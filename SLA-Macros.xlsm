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eadfast\OneDrive\Breadfast\Real time\2022\"/>
    </mc:Choice>
  </mc:AlternateContent>
  <xr:revisionPtr revIDLastSave="0" documentId="13_ncr:1_{79941626-87E5-4A69-B426-A9F73109AB9C}" xr6:coauthVersionLast="47" xr6:coauthVersionMax="47" xr10:uidLastSave="{00000000-0000-0000-0000-000000000000}"/>
  <bookViews>
    <workbookView xWindow="-110" yWindow="-110" windowWidth="19420" windowHeight="10420" firstSheet="6" activeTab="13" xr2:uid="{00000000-000D-0000-FFFF-FFFF00000000}"/>
  </bookViews>
  <sheets>
    <sheet name="Data" sheetId="14" r:id="rId1"/>
    <sheet name="Run Report" sheetId="15" r:id="rId2"/>
    <sheet name="HC" sheetId="11" r:id="rId3"/>
    <sheet name="Chat" sheetId="1" r:id="rId4"/>
    <sheet name="Chat Run" sheetId="2" r:id="rId5"/>
    <sheet name="Social media " sheetId="3" r:id="rId6"/>
    <sheet name="Social media Run" sheetId="4" r:id="rId7"/>
    <sheet name="Email" sheetId="6" r:id="rId8"/>
    <sheet name="Email run" sheetId="7" r:id="rId9"/>
    <sheet name="Retention" sheetId="8" r:id="rId10"/>
    <sheet name="Retention RUN" sheetId="9" r:id="rId11"/>
    <sheet name="OB" sheetId="12" r:id="rId12"/>
    <sheet name="OB RUN" sheetId="13" r:id="rId13"/>
    <sheet name="Final View" sheetId="5" r:id="rId14"/>
  </sheets>
  <definedNames>
    <definedName name="_xlnm._FilterDatabase" localSheetId="2" hidden="1">HC!$A$1:$C$127</definedName>
    <definedName name="_xlnm._FilterDatabase" localSheetId="1" hidden="1">'Run Report'!$A$1:$M$761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90" i="15" l="1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1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08" i="15"/>
  <c r="N1609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N1664" i="15"/>
  <c r="N1665" i="15"/>
  <c r="N1666" i="15"/>
  <c r="N1667" i="15"/>
  <c r="N1668" i="15"/>
  <c r="N1669" i="15"/>
  <c r="N1670" i="15"/>
  <c r="N1671" i="15"/>
  <c r="N1672" i="15"/>
  <c r="N1673" i="15"/>
  <c r="N1674" i="15"/>
  <c r="N1675" i="15"/>
  <c r="N1676" i="15"/>
  <c r="N1677" i="15"/>
  <c r="N1678" i="15"/>
  <c r="N1679" i="15"/>
  <c r="N1680" i="15"/>
  <c r="N1681" i="15"/>
  <c r="N1682" i="15"/>
  <c r="N1683" i="15"/>
  <c r="N1684" i="15"/>
  <c r="N1685" i="15"/>
  <c r="N1686" i="15"/>
  <c r="N1687" i="15"/>
  <c r="N1688" i="15"/>
  <c r="N1689" i="15"/>
  <c r="N1690" i="15"/>
  <c r="N1691" i="15"/>
  <c r="N1692" i="15"/>
  <c r="N1693" i="15"/>
  <c r="N1694" i="15"/>
  <c r="N1695" i="15"/>
  <c r="N1696" i="15"/>
  <c r="N1697" i="15"/>
  <c r="N1698" i="15"/>
  <c r="N1699" i="15"/>
  <c r="N1700" i="15"/>
  <c r="N1701" i="15"/>
  <c r="N1702" i="15"/>
  <c r="N1703" i="15"/>
  <c r="N1704" i="15"/>
  <c r="N1705" i="15"/>
  <c r="N1706" i="15"/>
  <c r="N1707" i="15"/>
  <c r="N1708" i="15"/>
  <c r="N1709" i="15"/>
  <c r="N1710" i="15"/>
  <c r="N1711" i="15"/>
  <c r="N1712" i="15"/>
  <c r="N1713" i="15"/>
  <c r="N1714" i="15"/>
  <c r="N1715" i="15"/>
  <c r="N1716" i="15"/>
  <c r="N1717" i="15"/>
  <c r="N1718" i="15"/>
  <c r="N1719" i="15"/>
  <c r="N1720" i="15"/>
  <c r="N1721" i="15"/>
  <c r="N1722" i="15"/>
  <c r="N1723" i="15"/>
  <c r="N1724" i="15"/>
  <c r="N1725" i="15"/>
  <c r="N1726" i="15"/>
  <c r="N1727" i="15"/>
  <c r="N1728" i="15"/>
  <c r="N1729" i="15"/>
  <c r="N1730" i="15"/>
  <c r="N1731" i="15"/>
  <c r="N1732" i="15"/>
  <c r="N1733" i="15"/>
  <c r="N1734" i="15"/>
  <c r="N1735" i="15"/>
  <c r="N1736" i="15"/>
  <c r="N1737" i="15"/>
  <c r="N1738" i="15"/>
  <c r="N1739" i="15"/>
  <c r="N1740" i="15"/>
  <c r="N1741" i="15"/>
  <c r="N1742" i="15"/>
  <c r="N1743" i="15"/>
  <c r="N1744" i="15"/>
  <c r="N1745" i="15"/>
  <c r="N1746" i="15"/>
  <c r="N1747" i="15"/>
  <c r="N1748" i="15"/>
  <c r="N1749" i="15"/>
  <c r="N1750" i="15"/>
  <c r="N1751" i="15"/>
  <c r="N1752" i="15"/>
  <c r="N1753" i="15"/>
  <c r="N1754" i="15"/>
  <c r="N1755" i="15"/>
  <c r="N1756" i="15"/>
  <c r="N1757" i="15"/>
  <c r="N1758" i="15"/>
  <c r="N1759" i="15"/>
  <c r="N1760" i="15"/>
  <c r="N1761" i="15"/>
  <c r="N1762" i="15"/>
  <c r="N1763" i="15"/>
  <c r="N1764" i="15"/>
  <c r="N1765" i="15"/>
  <c r="N1766" i="15"/>
  <c r="N1767" i="15"/>
  <c r="N1768" i="15"/>
  <c r="N1769" i="15"/>
  <c r="N1770" i="15"/>
  <c r="N1771" i="15"/>
  <c r="N1772" i="15"/>
  <c r="N1773" i="15"/>
  <c r="N1774" i="15"/>
  <c r="N1775" i="15"/>
  <c r="N1776" i="15"/>
  <c r="N1777" i="15"/>
  <c r="N1778" i="15"/>
  <c r="N1779" i="15"/>
  <c r="N1780" i="15"/>
  <c r="N1781" i="15"/>
  <c r="N1782" i="15"/>
  <c r="N1783" i="15"/>
  <c r="N1784" i="15"/>
  <c r="N1785" i="15"/>
  <c r="N1786" i="15"/>
  <c r="N1787" i="15"/>
  <c r="N1788" i="15"/>
  <c r="N1789" i="15"/>
  <c r="N1790" i="15"/>
  <c r="N1791" i="15"/>
  <c r="N1792" i="15"/>
  <c r="N1793" i="15"/>
  <c r="N1794" i="15"/>
  <c r="N1795" i="15"/>
  <c r="N1796" i="15"/>
  <c r="N1797" i="15"/>
  <c r="N1798" i="15"/>
  <c r="N1799" i="15"/>
  <c r="N1800" i="15"/>
  <c r="N1801" i="15"/>
  <c r="N1802" i="15"/>
  <c r="N1803" i="15"/>
  <c r="N1804" i="15"/>
  <c r="N1805" i="15"/>
  <c r="N1806" i="15"/>
  <c r="N1807" i="15"/>
  <c r="N1808" i="15"/>
  <c r="N1809" i="15"/>
  <c r="N1810" i="15"/>
  <c r="N1811" i="15"/>
  <c r="N1812" i="15"/>
  <c r="N1813" i="15"/>
  <c r="N1814" i="15"/>
  <c r="N1815" i="15"/>
  <c r="N1816" i="15"/>
  <c r="N1817" i="15"/>
  <c r="N1818" i="15"/>
  <c r="N1819" i="15"/>
  <c r="N1820" i="15"/>
  <c r="N1821" i="15"/>
  <c r="N1822" i="15"/>
  <c r="N1823" i="15"/>
  <c r="N1824" i="15"/>
  <c r="N1825" i="15"/>
  <c r="N1826" i="15"/>
  <c r="N1827" i="15"/>
  <c r="N1828" i="15"/>
  <c r="N1829" i="15"/>
  <c r="N1830" i="15"/>
  <c r="N1831" i="15"/>
  <c r="N1832" i="15"/>
  <c r="N1833" i="15"/>
  <c r="N1834" i="15"/>
  <c r="N1835" i="15"/>
  <c r="N1836" i="15"/>
  <c r="N1837" i="15"/>
  <c r="N1838" i="15"/>
  <c r="N1839" i="15"/>
  <c r="N1840" i="15"/>
  <c r="N1841" i="15"/>
  <c r="N1842" i="15"/>
  <c r="N1843" i="15"/>
  <c r="N1844" i="15"/>
  <c r="N1845" i="15"/>
  <c r="N1846" i="15"/>
  <c r="N1847" i="15"/>
  <c r="N1848" i="15"/>
  <c r="N1849" i="15"/>
  <c r="N1850" i="15"/>
  <c r="N1851" i="15"/>
  <c r="N1852" i="15"/>
  <c r="N1853" i="15"/>
  <c r="N1854" i="15"/>
  <c r="N1855" i="15"/>
  <c r="N1856" i="15"/>
  <c r="N1857" i="15"/>
  <c r="N1858" i="15"/>
  <c r="N1859" i="15"/>
  <c r="N1860" i="15"/>
  <c r="N1861" i="15"/>
  <c r="N1862" i="15"/>
  <c r="N1863" i="15"/>
  <c r="N1864" i="15"/>
  <c r="N1865" i="15"/>
  <c r="N1866" i="15"/>
  <c r="N1867" i="15"/>
  <c r="N1868" i="15"/>
  <c r="N1869" i="15"/>
  <c r="N1870" i="15"/>
  <c r="N1871" i="15"/>
  <c r="N1872" i="15"/>
  <c r="N1873" i="15"/>
  <c r="N1874" i="15"/>
  <c r="N1875" i="15"/>
  <c r="N1876" i="15"/>
  <c r="N1877" i="15"/>
  <c r="N1878" i="15"/>
  <c r="N1879" i="15"/>
  <c r="N1880" i="15"/>
  <c r="N1881" i="15"/>
  <c r="N1882" i="15"/>
  <c r="N1883" i="15"/>
  <c r="N1884" i="15"/>
  <c r="N1885" i="15"/>
  <c r="N1886" i="15"/>
  <c r="N1887" i="15"/>
  <c r="N1888" i="15"/>
  <c r="N1889" i="15"/>
  <c r="N1890" i="15"/>
  <c r="N1891" i="15"/>
  <c r="N1892" i="15"/>
  <c r="N1893" i="15"/>
  <c r="N1894" i="15"/>
  <c r="N1895" i="15"/>
  <c r="N1896" i="15"/>
  <c r="N1897" i="15"/>
  <c r="N1898" i="15"/>
  <c r="N1899" i="15"/>
  <c r="N1900" i="15"/>
  <c r="N1901" i="15"/>
  <c r="N1902" i="15"/>
  <c r="N1903" i="15"/>
  <c r="N1904" i="15"/>
  <c r="N1905" i="15"/>
  <c r="N1906" i="15"/>
  <c r="N1907" i="15"/>
  <c r="N1908" i="15"/>
  <c r="N1909" i="15"/>
  <c r="N1910" i="15"/>
  <c r="N1911" i="15"/>
  <c r="N1912" i="15"/>
  <c r="N1913" i="15"/>
  <c r="N1914" i="15"/>
  <c r="N1915" i="15"/>
  <c r="N1916" i="15"/>
  <c r="N1917" i="15"/>
  <c r="N1918" i="15"/>
  <c r="N1919" i="15"/>
  <c r="N1920" i="15"/>
  <c r="N1921" i="15"/>
  <c r="N1922" i="15"/>
  <c r="N1923" i="15"/>
  <c r="N1924" i="15"/>
  <c r="N1925" i="15"/>
  <c r="N1926" i="15"/>
  <c r="N1927" i="15"/>
  <c r="N1928" i="15"/>
  <c r="N1929" i="15"/>
  <c r="N1930" i="15"/>
  <c r="N1931" i="15"/>
  <c r="N1932" i="15"/>
  <c r="N1933" i="15"/>
  <c r="N1934" i="15"/>
  <c r="N1935" i="15"/>
  <c r="N1936" i="15"/>
  <c r="N1937" i="15"/>
  <c r="N1938" i="15"/>
  <c r="N1939" i="15"/>
  <c r="N1940" i="15"/>
  <c r="N1941" i="15"/>
  <c r="N1942" i="15"/>
  <c r="N1943" i="15"/>
  <c r="N1944" i="15"/>
  <c r="N1945" i="15"/>
  <c r="N1946" i="15"/>
  <c r="N1947" i="15"/>
  <c r="N1948" i="15"/>
  <c r="N1949" i="15"/>
  <c r="N1950" i="15"/>
  <c r="N1951" i="15"/>
  <c r="N1952" i="15"/>
  <c r="N1953" i="15"/>
  <c r="N1954" i="15"/>
  <c r="N1955" i="15"/>
  <c r="N1956" i="15"/>
  <c r="N1957" i="15"/>
  <c r="N1958" i="15"/>
  <c r="N1959" i="15"/>
  <c r="N1960" i="15"/>
  <c r="N1961" i="15"/>
  <c r="N1962" i="15"/>
  <c r="N1963" i="15"/>
  <c r="N1964" i="15"/>
  <c r="N1965" i="15"/>
  <c r="N1966" i="15"/>
  <c r="N1967" i="15"/>
  <c r="N1968" i="15"/>
  <c r="N1969" i="15"/>
  <c r="N1970" i="15"/>
  <c r="N1971" i="15"/>
  <c r="N1972" i="15"/>
  <c r="N1973" i="15"/>
  <c r="N1974" i="15"/>
  <c r="N1975" i="15"/>
  <c r="N1976" i="15"/>
  <c r="N1977" i="15"/>
  <c r="N1978" i="15"/>
  <c r="N1979" i="15"/>
  <c r="N1980" i="15"/>
  <c r="N1981" i="15"/>
  <c r="N1982" i="15"/>
  <c r="N1983" i="15"/>
  <c r="N1984" i="15"/>
  <c r="N1985" i="15"/>
  <c r="N1986" i="15"/>
  <c r="N1987" i="15"/>
  <c r="N1988" i="15"/>
  <c r="N1989" i="15"/>
  <c r="N1990" i="15"/>
  <c r="N1991" i="15"/>
  <c r="N1992" i="15"/>
  <c r="N1993" i="15"/>
  <c r="N1994" i="15"/>
  <c r="N1995" i="15"/>
  <c r="N1996" i="15"/>
  <c r="N1997" i="15"/>
  <c r="N1998" i="15"/>
  <c r="N1999" i="15"/>
  <c r="N2000" i="15"/>
  <c r="N2001" i="15"/>
  <c r="N2002" i="15"/>
  <c r="N2003" i="15"/>
  <c r="AY1" i="15" l="1" a="1"/>
  <c r="P1" i="15"/>
  <c r="C11" i="3"/>
  <c r="C12" i="3"/>
  <c r="C13" i="3"/>
  <c r="C14" i="3"/>
  <c r="C11" i="6"/>
  <c r="C12" i="6"/>
  <c r="C13" i="6"/>
  <c r="C11" i="12"/>
  <c r="C12" i="12"/>
  <c r="C13" i="12"/>
  <c r="C11" i="1"/>
  <c r="C12" i="1"/>
  <c r="C13" i="1"/>
  <c r="C14" i="1"/>
  <c r="C15" i="1"/>
  <c r="R764" i="15"/>
  <c r="S764" i="15"/>
  <c r="T764" i="15"/>
  <c r="U764" i="15"/>
  <c r="V764" i="15"/>
  <c r="W764" i="15"/>
  <c r="X764" i="15"/>
  <c r="Y764" i="15"/>
  <c r="Z764" i="15"/>
  <c r="AA764" i="15"/>
  <c r="AB764" i="15"/>
  <c r="AC764" i="15"/>
  <c r="AD764" i="15"/>
  <c r="AE764" i="15"/>
  <c r="AF764" i="15"/>
  <c r="AG764" i="15"/>
  <c r="AH764" i="15"/>
  <c r="AI764" i="15"/>
  <c r="AJ764" i="15"/>
  <c r="AK764" i="15"/>
  <c r="AL764" i="15"/>
  <c r="AM764" i="15"/>
  <c r="AN764" i="15"/>
  <c r="AO764" i="15"/>
  <c r="R765" i="15"/>
  <c r="S765" i="15"/>
  <c r="T765" i="15"/>
  <c r="U765" i="15"/>
  <c r="V765" i="15"/>
  <c r="W765" i="15"/>
  <c r="X765" i="15"/>
  <c r="Y765" i="15"/>
  <c r="Z765" i="15"/>
  <c r="AA765" i="15"/>
  <c r="AB765" i="15"/>
  <c r="AC765" i="15"/>
  <c r="AD765" i="15"/>
  <c r="AE765" i="15"/>
  <c r="AF765" i="15"/>
  <c r="AG765" i="15"/>
  <c r="AH765" i="15"/>
  <c r="AI765" i="15"/>
  <c r="AJ765" i="15"/>
  <c r="AK765" i="15"/>
  <c r="AL765" i="15"/>
  <c r="AM765" i="15"/>
  <c r="AN765" i="15"/>
  <c r="AO765" i="15"/>
  <c r="R766" i="15"/>
  <c r="S766" i="15"/>
  <c r="T766" i="15"/>
  <c r="U766" i="15"/>
  <c r="V766" i="15"/>
  <c r="W766" i="15"/>
  <c r="X766" i="15"/>
  <c r="Y766" i="15"/>
  <c r="Z766" i="15"/>
  <c r="AA766" i="15"/>
  <c r="AB766" i="15"/>
  <c r="AC766" i="15"/>
  <c r="AD766" i="15"/>
  <c r="AE766" i="15"/>
  <c r="AF766" i="15"/>
  <c r="AG766" i="15"/>
  <c r="AH766" i="15"/>
  <c r="AI766" i="15"/>
  <c r="AJ766" i="15"/>
  <c r="AK766" i="15"/>
  <c r="AL766" i="15"/>
  <c r="AM766" i="15"/>
  <c r="AN766" i="15"/>
  <c r="AO766" i="15"/>
  <c r="R767" i="15"/>
  <c r="S767" i="15"/>
  <c r="T767" i="15"/>
  <c r="U767" i="15"/>
  <c r="V767" i="15"/>
  <c r="W767" i="15"/>
  <c r="X767" i="15"/>
  <c r="Y767" i="15"/>
  <c r="Z767" i="15"/>
  <c r="AA767" i="15"/>
  <c r="AB767" i="15"/>
  <c r="AC767" i="15"/>
  <c r="AD767" i="15"/>
  <c r="AE767" i="15"/>
  <c r="AF767" i="15"/>
  <c r="AG767" i="15"/>
  <c r="AH767" i="15"/>
  <c r="AI767" i="15"/>
  <c r="AJ767" i="15"/>
  <c r="AK767" i="15"/>
  <c r="AL767" i="15"/>
  <c r="AM767" i="15"/>
  <c r="AN767" i="15"/>
  <c r="AO767" i="15"/>
  <c r="R768" i="15"/>
  <c r="S768" i="15"/>
  <c r="T768" i="15"/>
  <c r="U768" i="15"/>
  <c r="V768" i="15"/>
  <c r="W768" i="15"/>
  <c r="X768" i="15"/>
  <c r="Y768" i="15"/>
  <c r="Z768" i="15"/>
  <c r="AA768" i="15"/>
  <c r="AB768" i="15"/>
  <c r="AC768" i="15"/>
  <c r="AD768" i="15"/>
  <c r="AE768" i="15"/>
  <c r="AF768" i="15"/>
  <c r="AG768" i="15"/>
  <c r="AH768" i="15"/>
  <c r="AI768" i="15"/>
  <c r="AJ768" i="15"/>
  <c r="AK768" i="15"/>
  <c r="AL768" i="15"/>
  <c r="AM768" i="15"/>
  <c r="AN768" i="15"/>
  <c r="AO768" i="15"/>
  <c r="R769" i="15"/>
  <c r="S769" i="15"/>
  <c r="T769" i="15"/>
  <c r="U769" i="15"/>
  <c r="V769" i="15"/>
  <c r="W769" i="15"/>
  <c r="X769" i="15"/>
  <c r="Y769" i="15"/>
  <c r="Z769" i="15"/>
  <c r="AA769" i="15"/>
  <c r="AB769" i="15"/>
  <c r="AC769" i="15"/>
  <c r="AD769" i="15"/>
  <c r="AE769" i="15"/>
  <c r="AF769" i="15"/>
  <c r="AG769" i="15"/>
  <c r="AH769" i="15"/>
  <c r="AI769" i="15"/>
  <c r="AJ769" i="15"/>
  <c r="AK769" i="15"/>
  <c r="AL769" i="15"/>
  <c r="AM769" i="15"/>
  <c r="AN769" i="15"/>
  <c r="AO769" i="15"/>
  <c r="R770" i="15"/>
  <c r="S770" i="15"/>
  <c r="T770" i="15"/>
  <c r="U770" i="15"/>
  <c r="V770" i="15"/>
  <c r="W770" i="15"/>
  <c r="X770" i="15"/>
  <c r="Y770" i="15"/>
  <c r="Z770" i="15"/>
  <c r="AA770" i="15"/>
  <c r="AB770" i="15"/>
  <c r="AC770" i="15"/>
  <c r="AD770" i="15"/>
  <c r="AE770" i="15"/>
  <c r="AF770" i="15"/>
  <c r="AG770" i="15"/>
  <c r="AH770" i="15"/>
  <c r="AI770" i="15"/>
  <c r="AJ770" i="15"/>
  <c r="AK770" i="15"/>
  <c r="AL770" i="15"/>
  <c r="AM770" i="15"/>
  <c r="AN770" i="15"/>
  <c r="AO770" i="15"/>
  <c r="R771" i="15"/>
  <c r="S771" i="15"/>
  <c r="T771" i="15"/>
  <c r="U771" i="15"/>
  <c r="V771" i="15"/>
  <c r="W771" i="15"/>
  <c r="X771" i="15"/>
  <c r="Y771" i="15"/>
  <c r="Z771" i="15"/>
  <c r="AA771" i="15"/>
  <c r="AB771" i="15"/>
  <c r="AC771" i="15"/>
  <c r="AD771" i="15"/>
  <c r="AE771" i="15"/>
  <c r="AF771" i="15"/>
  <c r="AG771" i="15"/>
  <c r="AH771" i="15"/>
  <c r="AI771" i="15"/>
  <c r="AJ771" i="15"/>
  <c r="AK771" i="15"/>
  <c r="AL771" i="15"/>
  <c r="AM771" i="15"/>
  <c r="AN771" i="15"/>
  <c r="AO771" i="15"/>
  <c r="R772" i="15"/>
  <c r="S772" i="15"/>
  <c r="T772" i="15"/>
  <c r="U772" i="15"/>
  <c r="V772" i="15"/>
  <c r="W772" i="15"/>
  <c r="X772" i="15"/>
  <c r="Y772" i="15"/>
  <c r="Z772" i="15"/>
  <c r="AA772" i="15"/>
  <c r="AB772" i="15"/>
  <c r="AC772" i="15"/>
  <c r="AD772" i="15"/>
  <c r="AE772" i="15"/>
  <c r="AF772" i="15"/>
  <c r="AG772" i="15"/>
  <c r="AH772" i="15"/>
  <c r="AI772" i="15"/>
  <c r="AJ772" i="15"/>
  <c r="AK772" i="15"/>
  <c r="AL772" i="15"/>
  <c r="AM772" i="15"/>
  <c r="AN772" i="15"/>
  <c r="AO772" i="15"/>
  <c r="R773" i="15"/>
  <c r="S773" i="15"/>
  <c r="T773" i="15"/>
  <c r="U773" i="15"/>
  <c r="V773" i="15"/>
  <c r="W773" i="15"/>
  <c r="X773" i="15"/>
  <c r="Y773" i="15"/>
  <c r="Z773" i="15"/>
  <c r="AA773" i="15"/>
  <c r="AB773" i="15"/>
  <c r="AC773" i="15"/>
  <c r="AD773" i="15"/>
  <c r="AE773" i="15"/>
  <c r="AF773" i="15"/>
  <c r="AG773" i="15"/>
  <c r="AH773" i="15"/>
  <c r="AI773" i="15"/>
  <c r="AJ773" i="15"/>
  <c r="AK773" i="15"/>
  <c r="AL773" i="15"/>
  <c r="AM773" i="15"/>
  <c r="AN773" i="15"/>
  <c r="AO773" i="15"/>
  <c r="R774" i="15"/>
  <c r="S774" i="15"/>
  <c r="T774" i="15"/>
  <c r="U774" i="15"/>
  <c r="V774" i="15"/>
  <c r="W774" i="15"/>
  <c r="X774" i="15"/>
  <c r="Y774" i="15"/>
  <c r="Z774" i="15"/>
  <c r="AA774" i="15"/>
  <c r="AB774" i="15"/>
  <c r="AC774" i="15"/>
  <c r="AD774" i="15"/>
  <c r="AE774" i="15"/>
  <c r="AF774" i="15"/>
  <c r="AG774" i="15"/>
  <c r="AH774" i="15"/>
  <c r="AI774" i="15"/>
  <c r="AJ774" i="15"/>
  <c r="AK774" i="15"/>
  <c r="AL774" i="15"/>
  <c r="AM774" i="15"/>
  <c r="AN774" i="15"/>
  <c r="AO774" i="15"/>
  <c r="R775" i="15"/>
  <c r="S775" i="15"/>
  <c r="T775" i="15"/>
  <c r="U775" i="15"/>
  <c r="V775" i="15"/>
  <c r="W775" i="15"/>
  <c r="X775" i="15"/>
  <c r="Y775" i="15"/>
  <c r="Z775" i="15"/>
  <c r="AA775" i="15"/>
  <c r="AB775" i="15"/>
  <c r="AC775" i="15"/>
  <c r="AD775" i="15"/>
  <c r="AE775" i="15"/>
  <c r="AF775" i="15"/>
  <c r="AG775" i="15"/>
  <c r="AH775" i="15"/>
  <c r="AI775" i="15"/>
  <c r="AJ775" i="15"/>
  <c r="AK775" i="15"/>
  <c r="AL775" i="15"/>
  <c r="AM775" i="15"/>
  <c r="AN775" i="15"/>
  <c r="AO775" i="15"/>
  <c r="R776" i="15"/>
  <c r="S776" i="15"/>
  <c r="T776" i="15"/>
  <c r="U776" i="15"/>
  <c r="V776" i="15"/>
  <c r="W776" i="15"/>
  <c r="X776" i="15"/>
  <c r="Y776" i="15"/>
  <c r="Z776" i="15"/>
  <c r="AA776" i="15"/>
  <c r="AB776" i="15"/>
  <c r="AC776" i="15"/>
  <c r="AD776" i="15"/>
  <c r="AE776" i="15"/>
  <c r="AF776" i="15"/>
  <c r="AG776" i="15"/>
  <c r="AH776" i="15"/>
  <c r="AI776" i="15"/>
  <c r="AJ776" i="15"/>
  <c r="AK776" i="15"/>
  <c r="AL776" i="15"/>
  <c r="AM776" i="15"/>
  <c r="AN776" i="15"/>
  <c r="AO776" i="15"/>
  <c r="R777" i="15"/>
  <c r="S777" i="15"/>
  <c r="T777" i="15"/>
  <c r="U777" i="15"/>
  <c r="V777" i="15"/>
  <c r="W777" i="15"/>
  <c r="X777" i="15"/>
  <c r="Y777" i="15"/>
  <c r="Z777" i="15"/>
  <c r="AA777" i="15"/>
  <c r="AB777" i="15"/>
  <c r="AC777" i="15"/>
  <c r="AD777" i="15"/>
  <c r="AE777" i="15"/>
  <c r="AF777" i="15"/>
  <c r="AG777" i="15"/>
  <c r="AH777" i="15"/>
  <c r="AI777" i="15"/>
  <c r="AJ777" i="15"/>
  <c r="AK777" i="15"/>
  <c r="AL777" i="15"/>
  <c r="AM777" i="15"/>
  <c r="AN777" i="15"/>
  <c r="AO777" i="15"/>
  <c r="R778" i="15"/>
  <c r="S778" i="15"/>
  <c r="T778" i="15"/>
  <c r="U778" i="15"/>
  <c r="V778" i="15"/>
  <c r="W778" i="15"/>
  <c r="X778" i="15"/>
  <c r="Y778" i="15"/>
  <c r="Z778" i="15"/>
  <c r="AA778" i="15"/>
  <c r="AB778" i="15"/>
  <c r="AC778" i="15"/>
  <c r="AD778" i="15"/>
  <c r="AE778" i="15"/>
  <c r="AF778" i="15"/>
  <c r="AG778" i="15"/>
  <c r="AH778" i="15"/>
  <c r="AI778" i="15"/>
  <c r="AJ778" i="15"/>
  <c r="AK778" i="15"/>
  <c r="AL778" i="15"/>
  <c r="AM778" i="15"/>
  <c r="AN778" i="15"/>
  <c r="AO778" i="15"/>
  <c r="R779" i="15"/>
  <c r="S779" i="15"/>
  <c r="T779" i="15"/>
  <c r="U779" i="15"/>
  <c r="V779" i="15"/>
  <c r="W779" i="15"/>
  <c r="X779" i="15"/>
  <c r="Y779" i="15"/>
  <c r="Z779" i="15"/>
  <c r="AA779" i="15"/>
  <c r="AB779" i="15"/>
  <c r="AC779" i="15"/>
  <c r="AD779" i="15"/>
  <c r="AE779" i="15"/>
  <c r="AF779" i="15"/>
  <c r="AG779" i="15"/>
  <c r="AH779" i="15"/>
  <c r="AI779" i="15"/>
  <c r="AJ779" i="15"/>
  <c r="AK779" i="15"/>
  <c r="AL779" i="15"/>
  <c r="AM779" i="15"/>
  <c r="AN779" i="15"/>
  <c r="AO779" i="15"/>
  <c r="R780" i="15"/>
  <c r="S780" i="15"/>
  <c r="T780" i="15"/>
  <c r="U780" i="15"/>
  <c r="V780" i="15"/>
  <c r="W780" i="15"/>
  <c r="X780" i="15"/>
  <c r="Y780" i="15"/>
  <c r="Z780" i="15"/>
  <c r="AA780" i="15"/>
  <c r="AB780" i="15"/>
  <c r="AC780" i="15"/>
  <c r="AD780" i="15"/>
  <c r="AE780" i="15"/>
  <c r="AF780" i="15"/>
  <c r="AG780" i="15"/>
  <c r="AH780" i="15"/>
  <c r="AI780" i="15"/>
  <c r="AJ780" i="15"/>
  <c r="AK780" i="15"/>
  <c r="AL780" i="15"/>
  <c r="AM780" i="15"/>
  <c r="AN780" i="15"/>
  <c r="AO780" i="15"/>
  <c r="R781" i="15"/>
  <c r="S781" i="15"/>
  <c r="T781" i="15"/>
  <c r="U781" i="15"/>
  <c r="V781" i="15"/>
  <c r="W781" i="15"/>
  <c r="X781" i="15"/>
  <c r="Y781" i="15"/>
  <c r="Z781" i="15"/>
  <c r="AA781" i="15"/>
  <c r="AB781" i="15"/>
  <c r="AC781" i="15"/>
  <c r="AD781" i="15"/>
  <c r="AE781" i="15"/>
  <c r="AF781" i="15"/>
  <c r="AG781" i="15"/>
  <c r="AH781" i="15"/>
  <c r="AI781" i="15"/>
  <c r="AJ781" i="15"/>
  <c r="AK781" i="15"/>
  <c r="AL781" i="15"/>
  <c r="AM781" i="15"/>
  <c r="AN781" i="15"/>
  <c r="AO781" i="15"/>
  <c r="R782" i="15"/>
  <c r="S782" i="15"/>
  <c r="T782" i="15"/>
  <c r="U782" i="15"/>
  <c r="V782" i="15"/>
  <c r="W782" i="15"/>
  <c r="X782" i="15"/>
  <c r="Y782" i="15"/>
  <c r="Z782" i="15"/>
  <c r="AA782" i="15"/>
  <c r="AB782" i="15"/>
  <c r="AC782" i="15"/>
  <c r="AD782" i="15"/>
  <c r="AE782" i="15"/>
  <c r="AF782" i="15"/>
  <c r="AG782" i="15"/>
  <c r="AH782" i="15"/>
  <c r="AI782" i="15"/>
  <c r="AJ782" i="15"/>
  <c r="AK782" i="15"/>
  <c r="AL782" i="15"/>
  <c r="AM782" i="15"/>
  <c r="AN782" i="15"/>
  <c r="AO782" i="15"/>
  <c r="R783" i="15"/>
  <c r="S783" i="15"/>
  <c r="T783" i="15"/>
  <c r="U783" i="15"/>
  <c r="V783" i="15"/>
  <c r="W783" i="15"/>
  <c r="X783" i="15"/>
  <c r="Y783" i="15"/>
  <c r="Z783" i="15"/>
  <c r="AA783" i="15"/>
  <c r="AB783" i="15"/>
  <c r="AC783" i="15"/>
  <c r="AD783" i="15"/>
  <c r="AE783" i="15"/>
  <c r="AF783" i="15"/>
  <c r="AG783" i="15"/>
  <c r="AH783" i="15"/>
  <c r="AI783" i="15"/>
  <c r="AJ783" i="15"/>
  <c r="AK783" i="15"/>
  <c r="AL783" i="15"/>
  <c r="AM783" i="15"/>
  <c r="AN783" i="15"/>
  <c r="AO783" i="15"/>
  <c r="R784" i="15"/>
  <c r="S784" i="15"/>
  <c r="T784" i="15"/>
  <c r="U784" i="15"/>
  <c r="V784" i="15"/>
  <c r="W784" i="15"/>
  <c r="X784" i="15"/>
  <c r="Y784" i="15"/>
  <c r="Z784" i="15"/>
  <c r="AA784" i="15"/>
  <c r="AB784" i="15"/>
  <c r="AC784" i="15"/>
  <c r="AD784" i="15"/>
  <c r="AE784" i="15"/>
  <c r="AF784" i="15"/>
  <c r="AG784" i="15"/>
  <c r="AH784" i="15"/>
  <c r="AI784" i="15"/>
  <c r="AJ784" i="15"/>
  <c r="AK784" i="15"/>
  <c r="AL784" i="15"/>
  <c r="AM784" i="15"/>
  <c r="AN784" i="15"/>
  <c r="AO784" i="15"/>
  <c r="R785" i="15"/>
  <c r="S785" i="15"/>
  <c r="T785" i="15"/>
  <c r="U785" i="15"/>
  <c r="V785" i="15"/>
  <c r="W785" i="15"/>
  <c r="X785" i="15"/>
  <c r="Y785" i="15"/>
  <c r="Z785" i="15"/>
  <c r="AA785" i="15"/>
  <c r="AB785" i="15"/>
  <c r="AC785" i="15"/>
  <c r="AD785" i="15"/>
  <c r="AE785" i="15"/>
  <c r="AF785" i="15"/>
  <c r="AG785" i="15"/>
  <c r="AH785" i="15"/>
  <c r="AI785" i="15"/>
  <c r="AJ785" i="15"/>
  <c r="AK785" i="15"/>
  <c r="AL785" i="15"/>
  <c r="AM785" i="15"/>
  <c r="AN785" i="15"/>
  <c r="AO785" i="15"/>
  <c r="R786" i="15"/>
  <c r="S786" i="15"/>
  <c r="T786" i="15"/>
  <c r="U786" i="15"/>
  <c r="V786" i="15"/>
  <c r="W786" i="15"/>
  <c r="X786" i="15"/>
  <c r="Y786" i="15"/>
  <c r="Z786" i="15"/>
  <c r="AA786" i="15"/>
  <c r="AB786" i="15"/>
  <c r="AC786" i="15"/>
  <c r="AD786" i="15"/>
  <c r="AE786" i="15"/>
  <c r="AF786" i="15"/>
  <c r="AG786" i="15"/>
  <c r="AH786" i="15"/>
  <c r="AI786" i="15"/>
  <c r="AJ786" i="15"/>
  <c r="AK786" i="15"/>
  <c r="AL786" i="15"/>
  <c r="AM786" i="15"/>
  <c r="AN786" i="15"/>
  <c r="AO786" i="15"/>
  <c r="R787" i="15"/>
  <c r="S787" i="15"/>
  <c r="T787" i="15"/>
  <c r="U787" i="15"/>
  <c r="V787" i="15"/>
  <c r="W787" i="15"/>
  <c r="X787" i="15"/>
  <c r="Y787" i="15"/>
  <c r="Z787" i="15"/>
  <c r="AA787" i="15"/>
  <c r="AB787" i="15"/>
  <c r="AC787" i="15"/>
  <c r="AD787" i="15"/>
  <c r="AE787" i="15"/>
  <c r="AF787" i="15"/>
  <c r="AG787" i="15"/>
  <c r="AH787" i="15"/>
  <c r="AI787" i="15"/>
  <c r="AJ787" i="15"/>
  <c r="AK787" i="15"/>
  <c r="AL787" i="15"/>
  <c r="AM787" i="15"/>
  <c r="AN787" i="15"/>
  <c r="AO787" i="15"/>
  <c r="R788" i="15"/>
  <c r="S788" i="15"/>
  <c r="T788" i="15"/>
  <c r="U788" i="15"/>
  <c r="V788" i="15"/>
  <c r="W788" i="15"/>
  <c r="X788" i="15"/>
  <c r="Y788" i="15"/>
  <c r="Z788" i="15"/>
  <c r="AA788" i="15"/>
  <c r="AB788" i="15"/>
  <c r="AC788" i="15"/>
  <c r="AD788" i="15"/>
  <c r="AE788" i="15"/>
  <c r="AF788" i="15"/>
  <c r="AG788" i="15"/>
  <c r="AH788" i="15"/>
  <c r="AI788" i="15"/>
  <c r="AJ788" i="15"/>
  <c r="AK788" i="15"/>
  <c r="AL788" i="15"/>
  <c r="AM788" i="15"/>
  <c r="AN788" i="15"/>
  <c r="AO788" i="15"/>
  <c r="R789" i="15"/>
  <c r="S789" i="15"/>
  <c r="T789" i="15"/>
  <c r="U789" i="15"/>
  <c r="V789" i="15"/>
  <c r="W789" i="15"/>
  <c r="X789" i="15"/>
  <c r="Y789" i="15"/>
  <c r="Z789" i="15"/>
  <c r="AA789" i="15"/>
  <c r="AB789" i="15"/>
  <c r="AC789" i="15"/>
  <c r="AD789" i="15"/>
  <c r="AE789" i="15"/>
  <c r="AF789" i="15"/>
  <c r="AG789" i="15"/>
  <c r="AH789" i="15"/>
  <c r="AI789" i="15"/>
  <c r="AJ789" i="15"/>
  <c r="AK789" i="15"/>
  <c r="AL789" i="15"/>
  <c r="AM789" i="15"/>
  <c r="AN789" i="15"/>
  <c r="AO789" i="15"/>
  <c r="R790" i="15"/>
  <c r="S790" i="15"/>
  <c r="T790" i="15"/>
  <c r="U790" i="15"/>
  <c r="V790" i="15"/>
  <c r="W790" i="15"/>
  <c r="X790" i="15"/>
  <c r="Y790" i="15"/>
  <c r="Z790" i="15"/>
  <c r="AA790" i="15"/>
  <c r="AB790" i="15"/>
  <c r="AC790" i="15"/>
  <c r="AD790" i="15"/>
  <c r="AE790" i="15"/>
  <c r="AF790" i="15"/>
  <c r="AG790" i="15"/>
  <c r="AH790" i="15"/>
  <c r="AI790" i="15"/>
  <c r="AJ790" i="15"/>
  <c r="AK790" i="15"/>
  <c r="AL790" i="15"/>
  <c r="AM790" i="15"/>
  <c r="AN790" i="15"/>
  <c r="AO790" i="15"/>
  <c r="R791" i="15"/>
  <c r="S791" i="15"/>
  <c r="T791" i="15"/>
  <c r="U791" i="15"/>
  <c r="V791" i="15"/>
  <c r="W791" i="15"/>
  <c r="X791" i="15"/>
  <c r="Y791" i="15"/>
  <c r="Z791" i="15"/>
  <c r="AA791" i="15"/>
  <c r="AB791" i="15"/>
  <c r="AC791" i="15"/>
  <c r="AD791" i="15"/>
  <c r="AE791" i="15"/>
  <c r="AF791" i="15"/>
  <c r="AG791" i="15"/>
  <c r="AH791" i="15"/>
  <c r="AI791" i="15"/>
  <c r="AJ791" i="15"/>
  <c r="AK791" i="15"/>
  <c r="AL791" i="15"/>
  <c r="AM791" i="15"/>
  <c r="AN791" i="15"/>
  <c r="AO791" i="15"/>
  <c r="R792" i="15"/>
  <c r="S792" i="15"/>
  <c r="T792" i="15"/>
  <c r="U792" i="15"/>
  <c r="V792" i="15"/>
  <c r="W792" i="15"/>
  <c r="X792" i="15"/>
  <c r="Y792" i="15"/>
  <c r="Z792" i="15"/>
  <c r="AA792" i="15"/>
  <c r="AB792" i="15"/>
  <c r="AC792" i="15"/>
  <c r="AD792" i="15"/>
  <c r="AE792" i="15"/>
  <c r="AF792" i="15"/>
  <c r="AG792" i="15"/>
  <c r="AH792" i="15"/>
  <c r="AI792" i="15"/>
  <c r="AJ792" i="15"/>
  <c r="AK792" i="15"/>
  <c r="AL792" i="15"/>
  <c r="AM792" i="15"/>
  <c r="AN792" i="15"/>
  <c r="AO792" i="15"/>
  <c r="R793" i="15"/>
  <c r="S793" i="15"/>
  <c r="T793" i="15"/>
  <c r="U793" i="15"/>
  <c r="V793" i="15"/>
  <c r="W793" i="15"/>
  <c r="X793" i="15"/>
  <c r="Y793" i="15"/>
  <c r="Z793" i="15"/>
  <c r="AA793" i="15"/>
  <c r="AB793" i="15"/>
  <c r="AC793" i="15"/>
  <c r="AD793" i="15"/>
  <c r="AE793" i="15"/>
  <c r="AF793" i="15"/>
  <c r="AG793" i="15"/>
  <c r="AH793" i="15"/>
  <c r="AI793" i="15"/>
  <c r="AJ793" i="15"/>
  <c r="AK793" i="15"/>
  <c r="AL793" i="15"/>
  <c r="AM793" i="15"/>
  <c r="AN793" i="15"/>
  <c r="AO793" i="15"/>
  <c r="R794" i="15"/>
  <c r="S794" i="15"/>
  <c r="T794" i="15"/>
  <c r="U794" i="15"/>
  <c r="V794" i="15"/>
  <c r="W794" i="15"/>
  <c r="X794" i="15"/>
  <c r="Y794" i="15"/>
  <c r="Z794" i="15"/>
  <c r="AA794" i="15"/>
  <c r="AB794" i="15"/>
  <c r="AC794" i="15"/>
  <c r="AD794" i="15"/>
  <c r="AE794" i="15"/>
  <c r="AF794" i="15"/>
  <c r="AG794" i="15"/>
  <c r="AH794" i="15"/>
  <c r="AI794" i="15"/>
  <c r="AJ794" i="15"/>
  <c r="AK794" i="15"/>
  <c r="AL794" i="15"/>
  <c r="AM794" i="15"/>
  <c r="AN794" i="15"/>
  <c r="AO794" i="15"/>
  <c r="R795" i="15"/>
  <c r="S795" i="15"/>
  <c r="T795" i="15"/>
  <c r="U795" i="15"/>
  <c r="V795" i="15"/>
  <c r="W795" i="15"/>
  <c r="X795" i="15"/>
  <c r="Y795" i="15"/>
  <c r="Z795" i="15"/>
  <c r="AA795" i="15"/>
  <c r="AB795" i="15"/>
  <c r="AC795" i="15"/>
  <c r="AD795" i="15"/>
  <c r="AE795" i="15"/>
  <c r="AF795" i="15"/>
  <c r="AG795" i="15"/>
  <c r="AH795" i="15"/>
  <c r="AI795" i="15"/>
  <c r="AJ795" i="15"/>
  <c r="AK795" i="15"/>
  <c r="AL795" i="15"/>
  <c r="AM795" i="15"/>
  <c r="AN795" i="15"/>
  <c r="AO795" i="15"/>
  <c r="R796" i="15"/>
  <c r="S796" i="15"/>
  <c r="T796" i="15"/>
  <c r="U796" i="15"/>
  <c r="V796" i="15"/>
  <c r="W796" i="15"/>
  <c r="X796" i="15"/>
  <c r="Y796" i="15"/>
  <c r="Z796" i="15"/>
  <c r="AA796" i="15"/>
  <c r="AB796" i="15"/>
  <c r="AC796" i="15"/>
  <c r="AD796" i="15"/>
  <c r="AE796" i="15"/>
  <c r="AF796" i="15"/>
  <c r="AG796" i="15"/>
  <c r="AH796" i="15"/>
  <c r="AI796" i="15"/>
  <c r="AJ796" i="15"/>
  <c r="AK796" i="15"/>
  <c r="AL796" i="15"/>
  <c r="AM796" i="15"/>
  <c r="AN796" i="15"/>
  <c r="AO796" i="15"/>
  <c r="R797" i="15"/>
  <c r="S797" i="15"/>
  <c r="T797" i="15"/>
  <c r="U797" i="15"/>
  <c r="V797" i="15"/>
  <c r="W797" i="15"/>
  <c r="X797" i="15"/>
  <c r="Y797" i="15"/>
  <c r="Z797" i="15"/>
  <c r="AA797" i="15"/>
  <c r="AB797" i="15"/>
  <c r="AC797" i="15"/>
  <c r="AD797" i="15"/>
  <c r="AE797" i="15"/>
  <c r="AF797" i="15"/>
  <c r="AG797" i="15"/>
  <c r="AH797" i="15"/>
  <c r="AI797" i="15"/>
  <c r="AJ797" i="15"/>
  <c r="AK797" i="15"/>
  <c r="AL797" i="15"/>
  <c r="AM797" i="15"/>
  <c r="AN797" i="15"/>
  <c r="AO797" i="15"/>
  <c r="R798" i="15"/>
  <c r="S798" i="15"/>
  <c r="T798" i="15"/>
  <c r="U798" i="15"/>
  <c r="V798" i="15"/>
  <c r="W798" i="15"/>
  <c r="X798" i="15"/>
  <c r="Y798" i="15"/>
  <c r="Z798" i="15"/>
  <c r="AA798" i="15"/>
  <c r="AB798" i="15"/>
  <c r="AC798" i="15"/>
  <c r="AD798" i="15"/>
  <c r="AE798" i="15"/>
  <c r="AF798" i="15"/>
  <c r="AG798" i="15"/>
  <c r="AH798" i="15"/>
  <c r="AI798" i="15"/>
  <c r="AJ798" i="15"/>
  <c r="AK798" i="15"/>
  <c r="AL798" i="15"/>
  <c r="AM798" i="15"/>
  <c r="AN798" i="15"/>
  <c r="AO798" i="15"/>
  <c r="R799" i="15"/>
  <c r="S799" i="15"/>
  <c r="T799" i="15"/>
  <c r="U799" i="15"/>
  <c r="V799" i="15"/>
  <c r="W799" i="15"/>
  <c r="X799" i="15"/>
  <c r="Y799" i="15"/>
  <c r="Z799" i="15"/>
  <c r="AA799" i="15"/>
  <c r="AB799" i="15"/>
  <c r="AC799" i="15"/>
  <c r="AD799" i="15"/>
  <c r="AE799" i="15"/>
  <c r="AF799" i="15"/>
  <c r="AG799" i="15"/>
  <c r="AH799" i="15"/>
  <c r="AI799" i="15"/>
  <c r="AJ799" i="15"/>
  <c r="AK799" i="15"/>
  <c r="AL799" i="15"/>
  <c r="AM799" i="15"/>
  <c r="AN799" i="15"/>
  <c r="AO799" i="15"/>
  <c r="R800" i="15"/>
  <c r="S800" i="15"/>
  <c r="T800" i="15"/>
  <c r="U800" i="15"/>
  <c r="V800" i="15"/>
  <c r="W800" i="15"/>
  <c r="X800" i="15"/>
  <c r="Y800" i="15"/>
  <c r="Z800" i="15"/>
  <c r="AA800" i="15"/>
  <c r="AB800" i="15"/>
  <c r="AC800" i="15"/>
  <c r="AD800" i="15"/>
  <c r="AE800" i="15"/>
  <c r="AF800" i="15"/>
  <c r="AG800" i="15"/>
  <c r="AH800" i="15"/>
  <c r="AI800" i="15"/>
  <c r="AJ800" i="15"/>
  <c r="AK800" i="15"/>
  <c r="AL800" i="15"/>
  <c r="AM800" i="15"/>
  <c r="AN800" i="15"/>
  <c r="AO800" i="15"/>
  <c r="R801" i="15"/>
  <c r="S801" i="15"/>
  <c r="T801" i="15"/>
  <c r="U801" i="15"/>
  <c r="V801" i="15"/>
  <c r="W801" i="15"/>
  <c r="X801" i="15"/>
  <c r="Y801" i="15"/>
  <c r="Z801" i="15"/>
  <c r="AA801" i="15"/>
  <c r="AB801" i="15"/>
  <c r="AC801" i="15"/>
  <c r="AD801" i="15"/>
  <c r="AE801" i="15"/>
  <c r="AF801" i="15"/>
  <c r="AG801" i="15"/>
  <c r="AH801" i="15"/>
  <c r="AI801" i="15"/>
  <c r="AJ801" i="15"/>
  <c r="AK801" i="15"/>
  <c r="AL801" i="15"/>
  <c r="AM801" i="15"/>
  <c r="AN801" i="15"/>
  <c r="AO801" i="15"/>
  <c r="R802" i="15"/>
  <c r="S802" i="15"/>
  <c r="T802" i="15"/>
  <c r="U802" i="15"/>
  <c r="V802" i="15"/>
  <c r="W802" i="15"/>
  <c r="X802" i="15"/>
  <c r="Y802" i="15"/>
  <c r="Z802" i="15"/>
  <c r="AA802" i="15"/>
  <c r="AB802" i="15"/>
  <c r="AC802" i="15"/>
  <c r="AD802" i="15"/>
  <c r="AE802" i="15"/>
  <c r="AF802" i="15"/>
  <c r="AG802" i="15"/>
  <c r="AH802" i="15"/>
  <c r="AI802" i="15"/>
  <c r="AJ802" i="15"/>
  <c r="AK802" i="15"/>
  <c r="AL802" i="15"/>
  <c r="AM802" i="15"/>
  <c r="AN802" i="15"/>
  <c r="AO802" i="15"/>
  <c r="R803" i="15"/>
  <c r="S803" i="15"/>
  <c r="T803" i="15"/>
  <c r="U803" i="15"/>
  <c r="V803" i="15"/>
  <c r="W803" i="15"/>
  <c r="X803" i="15"/>
  <c r="Y803" i="15"/>
  <c r="Z803" i="15"/>
  <c r="AA803" i="15"/>
  <c r="AB803" i="15"/>
  <c r="AC803" i="15"/>
  <c r="AD803" i="15"/>
  <c r="AE803" i="15"/>
  <c r="AF803" i="15"/>
  <c r="AG803" i="15"/>
  <c r="AH803" i="15"/>
  <c r="AI803" i="15"/>
  <c r="AJ803" i="15"/>
  <c r="AK803" i="15"/>
  <c r="AL803" i="15"/>
  <c r="AM803" i="15"/>
  <c r="AN803" i="15"/>
  <c r="AO803" i="15"/>
  <c r="R804" i="15"/>
  <c r="S804" i="15"/>
  <c r="T804" i="15"/>
  <c r="U804" i="15"/>
  <c r="V804" i="15"/>
  <c r="W804" i="15"/>
  <c r="X804" i="15"/>
  <c r="Y804" i="15"/>
  <c r="Z804" i="15"/>
  <c r="AA804" i="15"/>
  <c r="AB804" i="15"/>
  <c r="AC804" i="15"/>
  <c r="AD804" i="15"/>
  <c r="AE804" i="15"/>
  <c r="AF804" i="15"/>
  <c r="AG804" i="15"/>
  <c r="AH804" i="15"/>
  <c r="AI804" i="15"/>
  <c r="AJ804" i="15"/>
  <c r="AK804" i="15"/>
  <c r="AL804" i="15"/>
  <c r="AM804" i="15"/>
  <c r="AN804" i="15"/>
  <c r="AO804" i="15"/>
  <c r="R805" i="15"/>
  <c r="S805" i="15"/>
  <c r="T805" i="15"/>
  <c r="U805" i="15"/>
  <c r="V805" i="15"/>
  <c r="W805" i="15"/>
  <c r="X805" i="15"/>
  <c r="Y805" i="15"/>
  <c r="Z805" i="15"/>
  <c r="AA805" i="15"/>
  <c r="AB805" i="15"/>
  <c r="AC805" i="15"/>
  <c r="AD805" i="15"/>
  <c r="AE805" i="15"/>
  <c r="AF805" i="15"/>
  <c r="AG805" i="15"/>
  <c r="AH805" i="15"/>
  <c r="AI805" i="15"/>
  <c r="AJ805" i="15"/>
  <c r="AK805" i="15"/>
  <c r="AL805" i="15"/>
  <c r="AM805" i="15"/>
  <c r="AN805" i="15"/>
  <c r="AO805" i="15"/>
  <c r="R806" i="15"/>
  <c r="S806" i="15"/>
  <c r="T806" i="15"/>
  <c r="U806" i="15"/>
  <c r="V806" i="15"/>
  <c r="W806" i="15"/>
  <c r="X806" i="15"/>
  <c r="Y806" i="15"/>
  <c r="Z806" i="15"/>
  <c r="AA806" i="15"/>
  <c r="AB806" i="15"/>
  <c r="AC806" i="15"/>
  <c r="AD806" i="15"/>
  <c r="AE806" i="15"/>
  <c r="AF806" i="15"/>
  <c r="AG806" i="15"/>
  <c r="AH806" i="15"/>
  <c r="AI806" i="15"/>
  <c r="AJ806" i="15"/>
  <c r="AK806" i="15"/>
  <c r="AL806" i="15"/>
  <c r="AM806" i="15"/>
  <c r="AN806" i="15"/>
  <c r="AO806" i="15"/>
  <c r="R807" i="15"/>
  <c r="S807" i="15"/>
  <c r="T807" i="15"/>
  <c r="U807" i="15"/>
  <c r="V807" i="15"/>
  <c r="W807" i="15"/>
  <c r="X807" i="15"/>
  <c r="Y807" i="15"/>
  <c r="Z807" i="15"/>
  <c r="AA807" i="15"/>
  <c r="AB807" i="15"/>
  <c r="AC807" i="15"/>
  <c r="AD807" i="15"/>
  <c r="AE807" i="15"/>
  <c r="AF807" i="15"/>
  <c r="AG807" i="15"/>
  <c r="AH807" i="15"/>
  <c r="AI807" i="15"/>
  <c r="AJ807" i="15"/>
  <c r="AK807" i="15"/>
  <c r="AL807" i="15"/>
  <c r="AM807" i="15"/>
  <c r="AN807" i="15"/>
  <c r="AO807" i="15"/>
  <c r="R808" i="15"/>
  <c r="S808" i="15"/>
  <c r="T808" i="15"/>
  <c r="U808" i="15"/>
  <c r="V808" i="15"/>
  <c r="W808" i="15"/>
  <c r="X808" i="15"/>
  <c r="Y808" i="15"/>
  <c r="Z808" i="15"/>
  <c r="AA808" i="15"/>
  <c r="AB808" i="15"/>
  <c r="AC808" i="15"/>
  <c r="AD808" i="15"/>
  <c r="AE808" i="15"/>
  <c r="AF808" i="15"/>
  <c r="AG808" i="15"/>
  <c r="AH808" i="15"/>
  <c r="AI808" i="15"/>
  <c r="AJ808" i="15"/>
  <c r="AK808" i="15"/>
  <c r="AL808" i="15"/>
  <c r="AM808" i="15"/>
  <c r="AN808" i="15"/>
  <c r="AO808" i="15"/>
  <c r="R809" i="15"/>
  <c r="S809" i="15"/>
  <c r="T809" i="15"/>
  <c r="U809" i="15"/>
  <c r="V809" i="15"/>
  <c r="W809" i="15"/>
  <c r="X809" i="15"/>
  <c r="Y809" i="15"/>
  <c r="Z809" i="15"/>
  <c r="AA809" i="15"/>
  <c r="AB809" i="15"/>
  <c r="AC809" i="15"/>
  <c r="AD809" i="15"/>
  <c r="AE809" i="15"/>
  <c r="AF809" i="15"/>
  <c r="AG809" i="15"/>
  <c r="AH809" i="15"/>
  <c r="AI809" i="15"/>
  <c r="AJ809" i="15"/>
  <c r="AK809" i="15"/>
  <c r="AL809" i="15"/>
  <c r="AM809" i="15"/>
  <c r="AN809" i="15"/>
  <c r="AO809" i="15"/>
  <c r="R810" i="15"/>
  <c r="S810" i="15"/>
  <c r="T810" i="15"/>
  <c r="U810" i="15"/>
  <c r="V810" i="15"/>
  <c r="W810" i="15"/>
  <c r="X810" i="15"/>
  <c r="Y810" i="15"/>
  <c r="Z810" i="15"/>
  <c r="AA810" i="15"/>
  <c r="AB810" i="15"/>
  <c r="AC810" i="15"/>
  <c r="AD810" i="15"/>
  <c r="AE810" i="15"/>
  <c r="AF810" i="15"/>
  <c r="AG810" i="15"/>
  <c r="AH810" i="15"/>
  <c r="AI810" i="15"/>
  <c r="AJ810" i="15"/>
  <c r="AK810" i="15"/>
  <c r="AL810" i="15"/>
  <c r="AM810" i="15"/>
  <c r="AN810" i="15"/>
  <c r="AO810" i="15"/>
  <c r="R811" i="15"/>
  <c r="S811" i="15"/>
  <c r="T811" i="15"/>
  <c r="U811" i="15"/>
  <c r="V811" i="15"/>
  <c r="W811" i="15"/>
  <c r="X811" i="15"/>
  <c r="Y811" i="15"/>
  <c r="Z811" i="15"/>
  <c r="AA811" i="15"/>
  <c r="AB811" i="15"/>
  <c r="AC811" i="15"/>
  <c r="AD811" i="15"/>
  <c r="AE811" i="15"/>
  <c r="AF811" i="15"/>
  <c r="AG811" i="15"/>
  <c r="AH811" i="15"/>
  <c r="AI811" i="15"/>
  <c r="AJ811" i="15"/>
  <c r="AK811" i="15"/>
  <c r="AL811" i="15"/>
  <c r="AM811" i="15"/>
  <c r="AN811" i="15"/>
  <c r="AO811" i="15"/>
  <c r="R812" i="15"/>
  <c r="S812" i="15"/>
  <c r="T812" i="15"/>
  <c r="U812" i="15"/>
  <c r="V812" i="15"/>
  <c r="W812" i="15"/>
  <c r="X812" i="15"/>
  <c r="Y812" i="15"/>
  <c r="Z812" i="15"/>
  <c r="AA812" i="15"/>
  <c r="AB812" i="15"/>
  <c r="AC812" i="15"/>
  <c r="AD812" i="15"/>
  <c r="AE812" i="15"/>
  <c r="AF812" i="15"/>
  <c r="AG812" i="15"/>
  <c r="AH812" i="15"/>
  <c r="AI812" i="15"/>
  <c r="AJ812" i="15"/>
  <c r="AK812" i="15"/>
  <c r="AL812" i="15"/>
  <c r="AM812" i="15"/>
  <c r="AN812" i="15"/>
  <c r="AO812" i="15"/>
  <c r="R813" i="15"/>
  <c r="S813" i="15"/>
  <c r="T813" i="15"/>
  <c r="U813" i="15"/>
  <c r="V813" i="15"/>
  <c r="W813" i="15"/>
  <c r="X813" i="15"/>
  <c r="Y813" i="15"/>
  <c r="Z813" i="15"/>
  <c r="AA813" i="15"/>
  <c r="AB813" i="15"/>
  <c r="AC813" i="15"/>
  <c r="AD813" i="15"/>
  <c r="AE813" i="15"/>
  <c r="AF813" i="15"/>
  <c r="AG813" i="15"/>
  <c r="AH813" i="15"/>
  <c r="AI813" i="15"/>
  <c r="AJ813" i="15"/>
  <c r="AK813" i="15"/>
  <c r="AL813" i="15"/>
  <c r="AM813" i="15"/>
  <c r="AN813" i="15"/>
  <c r="AO813" i="15"/>
  <c r="R814" i="15"/>
  <c r="S814" i="15"/>
  <c r="T814" i="15"/>
  <c r="U814" i="15"/>
  <c r="V814" i="15"/>
  <c r="W814" i="15"/>
  <c r="X814" i="15"/>
  <c r="Y814" i="15"/>
  <c r="Z814" i="15"/>
  <c r="AA814" i="15"/>
  <c r="AB814" i="15"/>
  <c r="AC814" i="15"/>
  <c r="AD814" i="15"/>
  <c r="AE814" i="15"/>
  <c r="AF814" i="15"/>
  <c r="AG814" i="15"/>
  <c r="AH814" i="15"/>
  <c r="AI814" i="15"/>
  <c r="AJ814" i="15"/>
  <c r="AK814" i="15"/>
  <c r="AL814" i="15"/>
  <c r="AM814" i="15"/>
  <c r="AN814" i="15"/>
  <c r="AO814" i="15"/>
  <c r="R815" i="15"/>
  <c r="S815" i="15"/>
  <c r="T815" i="15"/>
  <c r="U815" i="15"/>
  <c r="V815" i="15"/>
  <c r="W815" i="15"/>
  <c r="X815" i="15"/>
  <c r="Y815" i="15"/>
  <c r="Z815" i="15"/>
  <c r="AA815" i="15"/>
  <c r="AB815" i="15"/>
  <c r="AC815" i="15"/>
  <c r="AD815" i="15"/>
  <c r="AE815" i="15"/>
  <c r="AF815" i="15"/>
  <c r="AG815" i="15"/>
  <c r="AH815" i="15"/>
  <c r="AI815" i="15"/>
  <c r="AJ815" i="15"/>
  <c r="AK815" i="15"/>
  <c r="AL815" i="15"/>
  <c r="AM815" i="15"/>
  <c r="AN815" i="15"/>
  <c r="AO815" i="15"/>
  <c r="R816" i="15"/>
  <c r="S816" i="15"/>
  <c r="T816" i="15"/>
  <c r="U816" i="15"/>
  <c r="V816" i="15"/>
  <c r="W816" i="15"/>
  <c r="X816" i="15"/>
  <c r="Y816" i="15"/>
  <c r="Z816" i="15"/>
  <c r="AA816" i="15"/>
  <c r="AB816" i="15"/>
  <c r="AC816" i="15"/>
  <c r="AD816" i="15"/>
  <c r="AE816" i="15"/>
  <c r="AF816" i="15"/>
  <c r="AG816" i="15"/>
  <c r="AH816" i="15"/>
  <c r="AI816" i="15"/>
  <c r="AJ816" i="15"/>
  <c r="AK816" i="15"/>
  <c r="AL816" i="15"/>
  <c r="AM816" i="15"/>
  <c r="AN816" i="15"/>
  <c r="AO816" i="15"/>
  <c r="R817" i="15"/>
  <c r="S817" i="15"/>
  <c r="T817" i="15"/>
  <c r="U817" i="15"/>
  <c r="V817" i="15"/>
  <c r="W817" i="15"/>
  <c r="X817" i="15"/>
  <c r="Y817" i="15"/>
  <c r="Z817" i="15"/>
  <c r="AA817" i="15"/>
  <c r="AB817" i="15"/>
  <c r="AC817" i="15"/>
  <c r="AD817" i="15"/>
  <c r="AE817" i="15"/>
  <c r="AF817" i="15"/>
  <c r="AG817" i="15"/>
  <c r="AH817" i="15"/>
  <c r="AI817" i="15"/>
  <c r="AJ817" i="15"/>
  <c r="AK817" i="15"/>
  <c r="AL817" i="15"/>
  <c r="AM817" i="15"/>
  <c r="AN817" i="15"/>
  <c r="AO817" i="15"/>
  <c r="R818" i="15"/>
  <c r="S818" i="15"/>
  <c r="T818" i="15"/>
  <c r="U818" i="15"/>
  <c r="V818" i="15"/>
  <c r="W818" i="15"/>
  <c r="X818" i="15"/>
  <c r="Y818" i="15"/>
  <c r="Z818" i="15"/>
  <c r="AA818" i="15"/>
  <c r="AB818" i="15"/>
  <c r="AC818" i="15"/>
  <c r="AD818" i="15"/>
  <c r="AE818" i="15"/>
  <c r="AF818" i="15"/>
  <c r="AG818" i="15"/>
  <c r="AH818" i="15"/>
  <c r="AI818" i="15"/>
  <c r="AJ818" i="15"/>
  <c r="AK818" i="15"/>
  <c r="AL818" i="15"/>
  <c r="AM818" i="15"/>
  <c r="AN818" i="15"/>
  <c r="AO818" i="15"/>
  <c r="R819" i="15"/>
  <c r="S819" i="15"/>
  <c r="T819" i="15"/>
  <c r="U819" i="15"/>
  <c r="V819" i="15"/>
  <c r="W819" i="15"/>
  <c r="X819" i="15"/>
  <c r="Y819" i="15"/>
  <c r="Z819" i="15"/>
  <c r="AA819" i="15"/>
  <c r="AB819" i="15"/>
  <c r="AC819" i="15"/>
  <c r="AD819" i="15"/>
  <c r="AE819" i="15"/>
  <c r="AF819" i="15"/>
  <c r="AG819" i="15"/>
  <c r="AH819" i="15"/>
  <c r="AI819" i="15"/>
  <c r="AJ819" i="15"/>
  <c r="AK819" i="15"/>
  <c r="AL819" i="15"/>
  <c r="AM819" i="15"/>
  <c r="AN819" i="15"/>
  <c r="AO819" i="15"/>
  <c r="R820" i="15"/>
  <c r="S820" i="15"/>
  <c r="T820" i="15"/>
  <c r="U820" i="15"/>
  <c r="V820" i="15"/>
  <c r="W820" i="15"/>
  <c r="X820" i="15"/>
  <c r="Y820" i="15"/>
  <c r="Z820" i="15"/>
  <c r="AA820" i="15"/>
  <c r="AB820" i="15"/>
  <c r="AC820" i="15"/>
  <c r="AD820" i="15"/>
  <c r="AE820" i="15"/>
  <c r="AF820" i="15"/>
  <c r="AG820" i="15"/>
  <c r="AH820" i="15"/>
  <c r="AI820" i="15"/>
  <c r="AJ820" i="15"/>
  <c r="AK820" i="15"/>
  <c r="AL820" i="15"/>
  <c r="AM820" i="15"/>
  <c r="AN820" i="15"/>
  <c r="AO820" i="15"/>
  <c r="R821" i="15"/>
  <c r="S821" i="15"/>
  <c r="T821" i="15"/>
  <c r="U821" i="15"/>
  <c r="V821" i="15"/>
  <c r="W821" i="15"/>
  <c r="X821" i="15"/>
  <c r="Y821" i="15"/>
  <c r="Z821" i="15"/>
  <c r="AA821" i="15"/>
  <c r="AB821" i="15"/>
  <c r="AC821" i="15"/>
  <c r="AD821" i="15"/>
  <c r="AE821" i="15"/>
  <c r="AF821" i="15"/>
  <c r="AG821" i="15"/>
  <c r="AH821" i="15"/>
  <c r="AI821" i="15"/>
  <c r="AJ821" i="15"/>
  <c r="AK821" i="15"/>
  <c r="AL821" i="15"/>
  <c r="AM821" i="15"/>
  <c r="AN821" i="15"/>
  <c r="AO821" i="15"/>
  <c r="R822" i="15"/>
  <c r="S822" i="15"/>
  <c r="T822" i="15"/>
  <c r="U822" i="15"/>
  <c r="V822" i="15"/>
  <c r="W822" i="15"/>
  <c r="X822" i="15"/>
  <c r="Y822" i="15"/>
  <c r="Z822" i="15"/>
  <c r="AA822" i="15"/>
  <c r="AB822" i="15"/>
  <c r="AC822" i="15"/>
  <c r="AD822" i="15"/>
  <c r="AE822" i="15"/>
  <c r="AF822" i="15"/>
  <c r="AG822" i="15"/>
  <c r="AH822" i="15"/>
  <c r="AI822" i="15"/>
  <c r="AJ822" i="15"/>
  <c r="AK822" i="15"/>
  <c r="AL822" i="15"/>
  <c r="AM822" i="15"/>
  <c r="AN822" i="15"/>
  <c r="AO822" i="15"/>
  <c r="R823" i="15"/>
  <c r="S823" i="15"/>
  <c r="T823" i="15"/>
  <c r="U823" i="15"/>
  <c r="V823" i="15"/>
  <c r="W823" i="15"/>
  <c r="X823" i="15"/>
  <c r="Y823" i="15"/>
  <c r="Z823" i="15"/>
  <c r="AA823" i="15"/>
  <c r="AB823" i="15"/>
  <c r="AC823" i="15"/>
  <c r="AD823" i="15"/>
  <c r="AE823" i="15"/>
  <c r="AF823" i="15"/>
  <c r="AG823" i="15"/>
  <c r="AH823" i="15"/>
  <c r="AI823" i="15"/>
  <c r="AJ823" i="15"/>
  <c r="AK823" i="15"/>
  <c r="AL823" i="15"/>
  <c r="AM823" i="15"/>
  <c r="AN823" i="15"/>
  <c r="AO823" i="15"/>
  <c r="R824" i="15"/>
  <c r="S824" i="15"/>
  <c r="T824" i="15"/>
  <c r="U824" i="15"/>
  <c r="V824" i="15"/>
  <c r="W824" i="15"/>
  <c r="X824" i="15"/>
  <c r="Y824" i="15"/>
  <c r="Z824" i="15"/>
  <c r="AA824" i="15"/>
  <c r="AB824" i="15"/>
  <c r="AC824" i="15"/>
  <c r="AD824" i="15"/>
  <c r="AE824" i="15"/>
  <c r="AF824" i="15"/>
  <c r="AG824" i="15"/>
  <c r="AH824" i="15"/>
  <c r="AI824" i="15"/>
  <c r="AJ824" i="15"/>
  <c r="AK824" i="15"/>
  <c r="AL824" i="15"/>
  <c r="AM824" i="15"/>
  <c r="AN824" i="15"/>
  <c r="AO824" i="15"/>
  <c r="R825" i="15"/>
  <c r="S825" i="15"/>
  <c r="T825" i="15"/>
  <c r="U825" i="15"/>
  <c r="V825" i="15"/>
  <c r="W825" i="15"/>
  <c r="X825" i="15"/>
  <c r="Y825" i="15"/>
  <c r="Z825" i="15"/>
  <c r="AA825" i="15"/>
  <c r="AB825" i="15"/>
  <c r="AC825" i="15"/>
  <c r="AD825" i="15"/>
  <c r="AE825" i="15"/>
  <c r="AF825" i="15"/>
  <c r="AG825" i="15"/>
  <c r="AH825" i="15"/>
  <c r="AI825" i="15"/>
  <c r="AJ825" i="15"/>
  <c r="AK825" i="15"/>
  <c r="AL825" i="15"/>
  <c r="AM825" i="15"/>
  <c r="AN825" i="15"/>
  <c r="AO825" i="15"/>
  <c r="R826" i="15"/>
  <c r="S826" i="15"/>
  <c r="T826" i="15"/>
  <c r="U826" i="15"/>
  <c r="V826" i="15"/>
  <c r="W826" i="15"/>
  <c r="X826" i="15"/>
  <c r="Y826" i="15"/>
  <c r="Z826" i="15"/>
  <c r="AA826" i="15"/>
  <c r="AB826" i="15"/>
  <c r="AC826" i="15"/>
  <c r="AD826" i="15"/>
  <c r="AE826" i="15"/>
  <c r="AF826" i="15"/>
  <c r="AG826" i="15"/>
  <c r="AH826" i="15"/>
  <c r="AI826" i="15"/>
  <c r="AJ826" i="15"/>
  <c r="AK826" i="15"/>
  <c r="AL826" i="15"/>
  <c r="AM826" i="15"/>
  <c r="AN826" i="15"/>
  <c r="AO826" i="15"/>
  <c r="R827" i="15"/>
  <c r="S827" i="15"/>
  <c r="T827" i="15"/>
  <c r="U827" i="15"/>
  <c r="V827" i="15"/>
  <c r="W827" i="15"/>
  <c r="X827" i="15"/>
  <c r="Y827" i="15"/>
  <c r="Z827" i="15"/>
  <c r="AA827" i="15"/>
  <c r="AB827" i="15"/>
  <c r="AC827" i="15"/>
  <c r="AD827" i="15"/>
  <c r="AE827" i="15"/>
  <c r="AF827" i="15"/>
  <c r="AG827" i="15"/>
  <c r="AH827" i="15"/>
  <c r="AI827" i="15"/>
  <c r="AJ827" i="15"/>
  <c r="AK827" i="15"/>
  <c r="AL827" i="15"/>
  <c r="AM827" i="15"/>
  <c r="AN827" i="15"/>
  <c r="AO827" i="15"/>
  <c r="R828" i="15"/>
  <c r="S828" i="15"/>
  <c r="T828" i="15"/>
  <c r="U828" i="15"/>
  <c r="V828" i="15"/>
  <c r="W828" i="15"/>
  <c r="X828" i="15"/>
  <c r="Y828" i="15"/>
  <c r="Z828" i="15"/>
  <c r="AA828" i="15"/>
  <c r="AB828" i="15"/>
  <c r="AC828" i="15"/>
  <c r="AD828" i="15"/>
  <c r="AE828" i="15"/>
  <c r="AF828" i="15"/>
  <c r="AG828" i="15"/>
  <c r="AH828" i="15"/>
  <c r="AI828" i="15"/>
  <c r="AJ828" i="15"/>
  <c r="AK828" i="15"/>
  <c r="AL828" i="15"/>
  <c r="AM828" i="15"/>
  <c r="AN828" i="15"/>
  <c r="AO828" i="15"/>
  <c r="R829" i="15"/>
  <c r="S829" i="15"/>
  <c r="T829" i="15"/>
  <c r="U829" i="15"/>
  <c r="V829" i="15"/>
  <c r="W829" i="15"/>
  <c r="X829" i="15"/>
  <c r="Y829" i="15"/>
  <c r="Z829" i="15"/>
  <c r="AA829" i="15"/>
  <c r="AB829" i="15"/>
  <c r="AC829" i="15"/>
  <c r="AD829" i="15"/>
  <c r="AE829" i="15"/>
  <c r="AF829" i="15"/>
  <c r="AG829" i="15"/>
  <c r="AH829" i="15"/>
  <c r="AI829" i="15"/>
  <c r="AJ829" i="15"/>
  <c r="AK829" i="15"/>
  <c r="AL829" i="15"/>
  <c r="AM829" i="15"/>
  <c r="AN829" i="15"/>
  <c r="AO829" i="15"/>
  <c r="R830" i="15"/>
  <c r="S830" i="15"/>
  <c r="T830" i="15"/>
  <c r="U830" i="15"/>
  <c r="V830" i="15"/>
  <c r="W830" i="15"/>
  <c r="X830" i="15"/>
  <c r="Y830" i="15"/>
  <c r="Z830" i="15"/>
  <c r="AA830" i="15"/>
  <c r="AB830" i="15"/>
  <c r="AC830" i="15"/>
  <c r="AD830" i="15"/>
  <c r="AE830" i="15"/>
  <c r="AF830" i="15"/>
  <c r="AG830" i="15"/>
  <c r="AH830" i="15"/>
  <c r="AI830" i="15"/>
  <c r="AJ830" i="15"/>
  <c r="AK830" i="15"/>
  <c r="AL830" i="15"/>
  <c r="AM830" i="15"/>
  <c r="AN830" i="15"/>
  <c r="AO830" i="15"/>
  <c r="R831" i="15"/>
  <c r="S831" i="15"/>
  <c r="T831" i="15"/>
  <c r="U831" i="15"/>
  <c r="V831" i="15"/>
  <c r="W831" i="15"/>
  <c r="X831" i="15"/>
  <c r="Y831" i="15"/>
  <c r="Z831" i="15"/>
  <c r="AA831" i="15"/>
  <c r="AB831" i="15"/>
  <c r="AC831" i="15"/>
  <c r="AD831" i="15"/>
  <c r="AE831" i="15"/>
  <c r="AF831" i="15"/>
  <c r="AG831" i="15"/>
  <c r="AH831" i="15"/>
  <c r="AI831" i="15"/>
  <c r="AJ831" i="15"/>
  <c r="AK831" i="15"/>
  <c r="AL831" i="15"/>
  <c r="AM831" i="15"/>
  <c r="AN831" i="15"/>
  <c r="AO831" i="15"/>
  <c r="R832" i="15"/>
  <c r="S832" i="15"/>
  <c r="T832" i="15"/>
  <c r="U832" i="15"/>
  <c r="V832" i="15"/>
  <c r="W832" i="15"/>
  <c r="X832" i="15"/>
  <c r="Y832" i="15"/>
  <c r="Z832" i="15"/>
  <c r="AA832" i="15"/>
  <c r="AB832" i="15"/>
  <c r="AC832" i="15"/>
  <c r="AD832" i="15"/>
  <c r="AE832" i="15"/>
  <c r="AF832" i="15"/>
  <c r="AG832" i="15"/>
  <c r="AH832" i="15"/>
  <c r="AI832" i="15"/>
  <c r="AJ832" i="15"/>
  <c r="AK832" i="15"/>
  <c r="AL832" i="15"/>
  <c r="AM832" i="15"/>
  <c r="AN832" i="15"/>
  <c r="AO832" i="15"/>
  <c r="R833" i="15"/>
  <c r="S833" i="15"/>
  <c r="T833" i="15"/>
  <c r="U833" i="15"/>
  <c r="V833" i="15"/>
  <c r="W833" i="15"/>
  <c r="X833" i="15"/>
  <c r="Y833" i="15"/>
  <c r="Z833" i="15"/>
  <c r="AA833" i="15"/>
  <c r="AB833" i="15"/>
  <c r="AC833" i="15"/>
  <c r="AD833" i="15"/>
  <c r="AE833" i="15"/>
  <c r="AF833" i="15"/>
  <c r="AG833" i="15"/>
  <c r="AH833" i="15"/>
  <c r="AI833" i="15"/>
  <c r="AJ833" i="15"/>
  <c r="AK833" i="15"/>
  <c r="AL833" i="15"/>
  <c r="AM833" i="15"/>
  <c r="AN833" i="15"/>
  <c r="AO833" i="15"/>
  <c r="R834" i="15"/>
  <c r="S834" i="15"/>
  <c r="T834" i="15"/>
  <c r="U834" i="15"/>
  <c r="V834" i="15"/>
  <c r="W834" i="15"/>
  <c r="X834" i="15"/>
  <c r="Y834" i="15"/>
  <c r="Z834" i="15"/>
  <c r="AA834" i="15"/>
  <c r="AB834" i="15"/>
  <c r="AC834" i="15"/>
  <c r="AD834" i="15"/>
  <c r="AE834" i="15"/>
  <c r="AF834" i="15"/>
  <c r="AG834" i="15"/>
  <c r="AH834" i="15"/>
  <c r="AI834" i="15"/>
  <c r="AJ834" i="15"/>
  <c r="AK834" i="15"/>
  <c r="AL834" i="15"/>
  <c r="AM834" i="15"/>
  <c r="AN834" i="15"/>
  <c r="AO834" i="15"/>
  <c r="R835" i="15"/>
  <c r="S835" i="15"/>
  <c r="T835" i="15"/>
  <c r="U835" i="15"/>
  <c r="V835" i="15"/>
  <c r="W835" i="15"/>
  <c r="X835" i="15"/>
  <c r="Y835" i="15"/>
  <c r="Z835" i="15"/>
  <c r="AA835" i="15"/>
  <c r="AB835" i="15"/>
  <c r="AC835" i="15"/>
  <c r="AD835" i="15"/>
  <c r="AE835" i="15"/>
  <c r="AF835" i="15"/>
  <c r="AG835" i="15"/>
  <c r="AH835" i="15"/>
  <c r="AI835" i="15"/>
  <c r="AJ835" i="15"/>
  <c r="AK835" i="15"/>
  <c r="AL835" i="15"/>
  <c r="AM835" i="15"/>
  <c r="AN835" i="15"/>
  <c r="AO835" i="15"/>
  <c r="R836" i="15"/>
  <c r="S836" i="15"/>
  <c r="T836" i="15"/>
  <c r="U836" i="15"/>
  <c r="V836" i="15"/>
  <c r="W836" i="15"/>
  <c r="X836" i="15"/>
  <c r="Y836" i="15"/>
  <c r="Z836" i="15"/>
  <c r="AA836" i="15"/>
  <c r="AB836" i="15"/>
  <c r="AC836" i="15"/>
  <c r="AD836" i="15"/>
  <c r="AE836" i="15"/>
  <c r="AF836" i="15"/>
  <c r="AG836" i="15"/>
  <c r="AH836" i="15"/>
  <c r="AI836" i="15"/>
  <c r="AJ836" i="15"/>
  <c r="AK836" i="15"/>
  <c r="AL836" i="15"/>
  <c r="AM836" i="15"/>
  <c r="AN836" i="15"/>
  <c r="AO836" i="15"/>
  <c r="R837" i="15"/>
  <c r="S837" i="15"/>
  <c r="T837" i="15"/>
  <c r="U837" i="15"/>
  <c r="V837" i="15"/>
  <c r="W837" i="15"/>
  <c r="X837" i="15"/>
  <c r="Y837" i="15"/>
  <c r="Z837" i="15"/>
  <c r="AA837" i="15"/>
  <c r="AB837" i="15"/>
  <c r="AC837" i="15"/>
  <c r="AD837" i="15"/>
  <c r="AE837" i="15"/>
  <c r="AF837" i="15"/>
  <c r="AG837" i="15"/>
  <c r="AH837" i="15"/>
  <c r="AI837" i="15"/>
  <c r="AJ837" i="15"/>
  <c r="AK837" i="15"/>
  <c r="AL837" i="15"/>
  <c r="AM837" i="15"/>
  <c r="AN837" i="15"/>
  <c r="AO837" i="15"/>
  <c r="R838" i="15"/>
  <c r="S838" i="15"/>
  <c r="T838" i="15"/>
  <c r="U838" i="15"/>
  <c r="V838" i="15"/>
  <c r="W838" i="15"/>
  <c r="X838" i="15"/>
  <c r="Y838" i="15"/>
  <c r="Z838" i="15"/>
  <c r="AA838" i="15"/>
  <c r="AB838" i="15"/>
  <c r="AC838" i="15"/>
  <c r="AD838" i="15"/>
  <c r="AE838" i="15"/>
  <c r="AF838" i="15"/>
  <c r="AG838" i="15"/>
  <c r="AH838" i="15"/>
  <c r="AI838" i="15"/>
  <c r="AJ838" i="15"/>
  <c r="AK838" i="15"/>
  <c r="AL838" i="15"/>
  <c r="AM838" i="15"/>
  <c r="AN838" i="15"/>
  <c r="AO838" i="15"/>
  <c r="R839" i="15"/>
  <c r="S839" i="15"/>
  <c r="T839" i="15"/>
  <c r="U839" i="15"/>
  <c r="V839" i="15"/>
  <c r="W839" i="15"/>
  <c r="X839" i="15"/>
  <c r="Y839" i="15"/>
  <c r="Z839" i="15"/>
  <c r="AA839" i="15"/>
  <c r="AB839" i="15"/>
  <c r="AC839" i="15"/>
  <c r="AD839" i="15"/>
  <c r="AE839" i="15"/>
  <c r="AF839" i="15"/>
  <c r="AG839" i="15"/>
  <c r="AH839" i="15"/>
  <c r="AI839" i="15"/>
  <c r="AJ839" i="15"/>
  <c r="AK839" i="15"/>
  <c r="AL839" i="15"/>
  <c r="AM839" i="15"/>
  <c r="AN839" i="15"/>
  <c r="AO839" i="15"/>
  <c r="R840" i="15"/>
  <c r="S840" i="15"/>
  <c r="T840" i="15"/>
  <c r="U840" i="15"/>
  <c r="V840" i="15"/>
  <c r="W840" i="15"/>
  <c r="X840" i="15"/>
  <c r="Y840" i="15"/>
  <c r="Z840" i="15"/>
  <c r="AA840" i="15"/>
  <c r="AB840" i="15"/>
  <c r="AC840" i="15"/>
  <c r="AD840" i="15"/>
  <c r="AE840" i="15"/>
  <c r="AF840" i="15"/>
  <c r="AG840" i="15"/>
  <c r="AH840" i="15"/>
  <c r="AI840" i="15"/>
  <c r="AJ840" i="15"/>
  <c r="AK840" i="15"/>
  <c r="AL840" i="15"/>
  <c r="AM840" i="15"/>
  <c r="AN840" i="15"/>
  <c r="AO840" i="15"/>
  <c r="R841" i="15"/>
  <c r="S841" i="15"/>
  <c r="T841" i="15"/>
  <c r="U841" i="15"/>
  <c r="V841" i="15"/>
  <c r="W841" i="15"/>
  <c r="X841" i="15"/>
  <c r="Y841" i="15"/>
  <c r="Z841" i="15"/>
  <c r="AA841" i="15"/>
  <c r="AB841" i="15"/>
  <c r="AC841" i="15"/>
  <c r="AD841" i="15"/>
  <c r="AE841" i="15"/>
  <c r="AF841" i="15"/>
  <c r="AG841" i="15"/>
  <c r="AH841" i="15"/>
  <c r="AI841" i="15"/>
  <c r="AJ841" i="15"/>
  <c r="AK841" i="15"/>
  <c r="AL841" i="15"/>
  <c r="AM841" i="15"/>
  <c r="AN841" i="15"/>
  <c r="AO841" i="15"/>
  <c r="R842" i="15"/>
  <c r="S842" i="15"/>
  <c r="T842" i="15"/>
  <c r="U842" i="15"/>
  <c r="V842" i="15"/>
  <c r="W842" i="15"/>
  <c r="X842" i="15"/>
  <c r="Y842" i="15"/>
  <c r="Z842" i="15"/>
  <c r="AA842" i="15"/>
  <c r="AB842" i="15"/>
  <c r="AC842" i="15"/>
  <c r="AD842" i="15"/>
  <c r="AE842" i="15"/>
  <c r="AF842" i="15"/>
  <c r="AG842" i="15"/>
  <c r="AH842" i="15"/>
  <c r="AI842" i="15"/>
  <c r="AJ842" i="15"/>
  <c r="AK842" i="15"/>
  <c r="AL842" i="15"/>
  <c r="AM842" i="15"/>
  <c r="AN842" i="15"/>
  <c r="AO842" i="15"/>
  <c r="R843" i="15"/>
  <c r="S843" i="15"/>
  <c r="T843" i="15"/>
  <c r="U843" i="15"/>
  <c r="V843" i="15"/>
  <c r="W843" i="15"/>
  <c r="X843" i="15"/>
  <c r="Y843" i="15"/>
  <c r="Z843" i="15"/>
  <c r="AA843" i="15"/>
  <c r="AB843" i="15"/>
  <c r="AC843" i="15"/>
  <c r="AD843" i="15"/>
  <c r="AE843" i="15"/>
  <c r="AF843" i="15"/>
  <c r="AG843" i="15"/>
  <c r="AH843" i="15"/>
  <c r="AI843" i="15"/>
  <c r="AJ843" i="15"/>
  <c r="AK843" i="15"/>
  <c r="AL843" i="15"/>
  <c r="AM843" i="15"/>
  <c r="AN843" i="15"/>
  <c r="AO843" i="15"/>
  <c r="R844" i="15"/>
  <c r="S844" i="15"/>
  <c r="T844" i="15"/>
  <c r="U844" i="15"/>
  <c r="V844" i="15"/>
  <c r="W844" i="15"/>
  <c r="X844" i="15"/>
  <c r="Y844" i="15"/>
  <c r="Z844" i="15"/>
  <c r="AA844" i="15"/>
  <c r="AB844" i="15"/>
  <c r="AC844" i="15"/>
  <c r="AD844" i="15"/>
  <c r="AE844" i="15"/>
  <c r="AF844" i="15"/>
  <c r="AG844" i="15"/>
  <c r="AH844" i="15"/>
  <c r="AI844" i="15"/>
  <c r="AJ844" i="15"/>
  <c r="AK844" i="15"/>
  <c r="AL844" i="15"/>
  <c r="AM844" i="15"/>
  <c r="AN844" i="15"/>
  <c r="AO844" i="15"/>
  <c r="R845" i="15"/>
  <c r="S845" i="15"/>
  <c r="T845" i="15"/>
  <c r="U845" i="15"/>
  <c r="V845" i="15"/>
  <c r="W845" i="15"/>
  <c r="X845" i="15"/>
  <c r="Y845" i="15"/>
  <c r="Z845" i="15"/>
  <c r="AA845" i="15"/>
  <c r="AB845" i="15"/>
  <c r="AC845" i="15"/>
  <c r="AD845" i="15"/>
  <c r="AE845" i="15"/>
  <c r="AF845" i="15"/>
  <c r="AG845" i="15"/>
  <c r="AH845" i="15"/>
  <c r="AI845" i="15"/>
  <c r="AJ845" i="15"/>
  <c r="AK845" i="15"/>
  <c r="AL845" i="15"/>
  <c r="AM845" i="15"/>
  <c r="AN845" i="15"/>
  <c r="AO845" i="15"/>
  <c r="R846" i="15"/>
  <c r="S846" i="15"/>
  <c r="T846" i="15"/>
  <c r="U846" i="15"/>
  <c r="V846" i="15"/>
  <c r="W846" i="15"/>
  <c r="X846" i="15"/>
  <c r="Y846" i="15"/>
  <c r="Z846" i="15"/>
  <c r="AA846" i="15"/>
  <c r="AB846" i="15"/>
  <c r="AC846" i="15"/>
  <c r="AD846" i="15"/>
  <c r="AE846" i="15"/>
  <c r="AF846" i="15"/>
  <c r="AG846" i="15"/>
  <c r="AH846" i="15"/>
  <c r="AI846" i="15"/>
  <c r="AJ846" i="15"/>
  <c r="AK846" i="15"/>
  <c r="AL846" i="15"/>
  <c r="AM846" i="15"/>
  <c r="AN846" i="15"/>
  <c r="AO846" i="15"/>
  <c r="R847" i="15"/>
  <c r="S847" i="15"/>
  <c r="T847" i="15"/>
  <c r="U847" i="15"/>
  <c r="V847" i="15"/>
  <c r="W847" i="15"/>
  <c r="X847" i="15"/>
  <c r="Y847" i="15"/>
  <c r="Z847" i="15"/>
  <c r="AA847" i="15"/>
  <c r="AB847" i="15"/>
  <c r="AC847" i="15"/>
  <c r="AD847" i="15"/>
  <c r="AE847" i="15"/>
  <c r="AF847" i="15"/>
  <c r="AG847" i="15"/>
  <c r="AH847" i="15"/>
  <c r="AI847" i="15"/>
  <c r="AJ847" i="15"/>
  <c r="AK847" i="15"/>
  <c r="AL847" i="15"/>
  <c r="AM847" i="15"/>
  <c r="AN847" i="15"/>
  <c r="AO847" i="15"/>
  <c r="R848" i="15"/>
  <c r="S848" i="15"/>
  <c r="T848" i="15"/>
  <c r="U848" i="15"/>
  <c r="V848" i="15"/>
  <c r="W848" i="15"/>
  <c r="X848" i="15"/>
  <c r="Y848" i="15"/>
  <c r="Z848" i="15"/>
  <c r="AA848" i="15"/>
  <c r="AB848" i="15"/>
  <c r="AC848" i="15"/>
  <c r="AD848" i="15"/>
  <c r="AE848" i="15"/>
  <c r="AF848" i="15"/>
  <c r="AG848" i="15"/>
  <c r="AH848" i="15"/>
  <c r="AI848" i="15"/>
  <c r="AJ848" i="15"/>
  <c r="AK848" i="15"/>
  <c r="AL848" i="15"/>
  <c r="AM848" i="15"/>
  <c r="AN848" i="15"/>
  <c r="AO848" i="15"/>
  <c r="R849" i="15"/>
  <c r="S849" i="15"/>
  <c r="T849" i="15"/>
  <c r="U849" i="15"/>
  <c r="V849" i="15"/>
  <c r="W849" i="15"/>
  <c r="X849" i="15"/>
  <c r="Y849" i="15"/>
  <c r="Z849" i="15"/>
  <c r="AA849" i="15"/>
  <c r="AB849" i="15"/>
  <c r="AC849" i="15"/>
  <c r="AD849" i="15"/>
  <c r="AE849" i="15"/>
  <c r="AF849" i="15"/>
  <c r="AG849" i="15"/>
  <c r="AH849" i="15"/>
  <c r="AI849" i="15"/>
  <c r="AJ849" i="15"/>
  <c r="AK849" i="15"/>
  <c r="AL849" i="15"/>
  <c r="AM849" i="15"/>
  <c r="AN849" i="15"/>
  <c r="AO849" i="15"/>
  <c r="R850" i="15"/>
  <c r="S850" i="15"/>
  <c r="T850" i="15"/>
  <c r="U850" i="15"/>
  <c r="V850" i="15"/>
  <c r="W850" i="15"/>
  <c r="X850" i="15"/>
  <c r="Y850" i="15"/>
  <c r="Z850" i="15"/>
  <c r="AA850" i="15"/>
  <c r="AB850" i="15"/>
  <c r="AC850" i="15"/>
  <c r="AD850" i="15"/>
  <c r="AE850" i="15"/>
  <c r="AF850" i="15"/>
  <c r="AG850" i="15"/>
  <c r="AH850" i="15"/>
  <c r="AI850" i="15"/>
  <c r="AJ850" i="15"/>
  <c r="AK850" i="15"/>
  <c r="AL850" i="15"/>
  <c r="AM850" i="15"/>
  <c r="AN850" i="15"/>
  <c r="AO850" i="15"/>
  <c r="R851" i="15"/>
  <c r="S851" i="15"/>
  <c r="T851" i="15"/>
  <c r="U851" i="15"/>
  <c r="V851" i="15"/>
  <c r="W851" i="15"/>
  <c r="X851" i="15"/>
  <c r="Y851" i="15"/>
  <c r="Z851" i="15"/>
  <c r="AA851" i="15"/>
  <c r="AB851" i="15"/>
  <c r="AC851" i="15"/>
  <c r="AD851" i="15"/>
  <c r="AE851" i="15"/>
  <c r="AF851" i="15"/>
  <c r="AG851" i="15"/>
  <c r="AH851" i="15"/>
  <c r="AI851" i="15"/>
  <c r="AJ851" i="15"/>
  <c r="AK851" i="15"/>
  <c r="AL851" i="15"/>
  <c r="AM851" i="15"/>
  <c r="AN851" i="15"/>
  <c r="AO851" i="15"/>
  <c r="R852" i="15"/>
  <c r="S852" i="15"/>
  <c r="T852" i="15"/>
  <c r="U852" i="15"/>
  <c r="V852" i="15"/>
  <c r="W852" i="15"/>
  <c r="X852" i="15"/>
  <c r="Y852" i="15"/>
  <c r="Z852" i="15"/>
  <c r="AA852" i="15"/>
  <c r="AB852" i="15"/>
  <c r="AC852" i="15"/>
  <c r="AD852" i="15"/>
  <c r="AE852" i="15"/>
  <c r="AF852" i="15"/>
  <c r="AG852" i="15"/>
  <c r="AH852" i="15"/>
  <c r="AI852" i="15"/>
  <c r="AJ852" i="15"/>
  <c r="AK852" i="15"/>
  <c r="AL852" i="15"/>
  <c r="AM852" i="15"/>
  <c r="AN852" i="15"/>
  <c r="AO852" i="15"/>
  <c r="R853" i="15"/>
  <c r="S853" i="15"/>
  <c r="T853" i="15"/>
  <c r="U853" i="15"/>
  <c r="V853" i="15"/>
  <c r="W853" i="15"/>
  <c r="X853" i="15"/>
  <c r="Y853" i="15"/>
  <c r="Z853" i="15"/>
  <c r="AA853" i="15"/>
  <c r="AB853" i="15"/>
  <c r="AC853" i="15"/>
  <c r="AD853" i="15"/>
  <c r="AE853" i="15"/>
  <c r="AF853" i="15"/>
  <c r="AG853" i="15"/>
  <c r="AH853" i="15"/>
  <c r="AI853" i="15"/>
  <c r="AJ853" i="15"/>
  <c r="AK853" i="15"/>
  <c r="AL853" i="15"/>
  <c r="AM853" i="15"/>
  <c r="AN853" i="15"/>
  <c r="AO853" i="15"/>
  <c r="R854" i="15"/>
  <c r="S854" i="15"/>
  <c r="T854" i="15"/>
  <c r="U854" i="15"/>
  <c r="V854" i="15"/>
  <c r="W854" i="15"/>
  <c r="X854" i="15"/>
  <c r="Y854" i="15"/>
  <c r="Z854" i="15"/>
  <c r="AA854" i="15"/>
  <c r="AB854" i="15"/>
  <c r="AC854" i="15"/>
  <c r="AD854" i="15"/>
  <c r="AE854" i="15"/>
  <c r="AF854" i="15"/>
  <c r="AG854" i="15"/>
  <c r="AH854" i="15"/>
  <c r="AI854" i="15"/>
  <c r="AJ854" i="15"/>
  <c r="AK854" i="15"/>
  <c r="AL854" i="15"/>
  <c r="AM854" i="15"/>
  <c r="AN854" i="15"/>
  <c r="AO854" i="15"/>
  <c r="R855" i="15"/>
  <c r="S855" i="15"/>
  <c r="T855" i="15"/>
  <c r="U855" i="15"/>
  <c r="V855" i="15"/>
  <c r="W855" i="15"/>
  <c r="X855" i="15"/>
  <c r="Y855" i="15"/>
  <c r="Z855" i="15"/>
  <c r="AA855" i="15"/>
  <c r="AB855" i="15"/>
  <c r="AC855" i="15"/>
  <c r="AD855" i="15"/>
  <c r="AE855" i="15"/>
  <c r="AF855" i="15"/>
  <c r="AG855" i="15"/>
  <c r="AH855" i="15"/>
  <c r="AI855" i="15"/>
  <c r="AJ855" i="15"/>
  <c r="AK855" i="15"/>
  <c r="AL855" i="15"/>
  <c r="AM855" i="15"/>
  <c r="AN855" i="15"/>
  <c r="AO855" i="15"/>
  <c r="R856" i="15"/>
  <c r="S856" i="15"/>
  <c r="T856" i="15"/>
  <c r="U856" i="15"/>
  <c r="V856" i="15"/>
  <c r="W856" i="15"/>
  <c r="X856" i="15"/>
  <c r="Y856" i="15"/>
  <c r="Z856" i="15"/>
  <c r="AA856" i="15"/>
  <c r="AB856" i="15"/>
  <c r="AC856" i="15"/>
  <c r="AD856" i="15"/>
  <c r="AE856" i="15"/>
  <c r="AF856" i="15"/>
  <c r="AG856" i="15"/>
  <c r="AH856" i="15"/>
  <c r="AI856" i="15"/>
  <c r="AJ856" i="15"/>
  <c r="AK856" i="15"/>
  <c r="AL856" i="15"/>
  <c r="AM856" i="15"/>
  <c r="AN856" i="15"/>
  <c r="AO856" i="15"/>
  <c r="R857" i="15"/>
  <c r="S857" i="15"/>
  <c r="T857" i="15"/>
  <c r="U857" i="15"/>
  <c r="V857" i="15"/>
  <c r="W857" i="15"/>
  <c r="X857" i="15"/>
  <c r="Y857" i="15"/>
  <c r="Z857" i="15"/>
  <c r="AA857" i="15"/>
  <c r="AB857" i="15"/>
  <c r="AC857" i="15"/>
  <c r="AD857" i="15"/>
  <c r="AE857" i="15"/>
  <c r="AF857" i="15"/>
  <c r="AG857" i="15"/>
  <c r="AH857" i="15"/>
  <c r="AI857" i="15"/>
  <c r="AJ857" i="15"/>
  <c r="AK857" i="15"/>
  <c r="AL857" i="15"/>
  <c r="AM857" i="15"/>
  <c r="AN857" i="15"/>
  <c r="AO857" i="15"/>
  <c r="R858" i="15"/>
  <c r="S858" i="15"/>
  <c r="T858" i="15"/>
  <c r="U858" i="15"/>
  <c r="V858" i="15"/>
  <c r="W858" i="15"/>
  <c r="X858" i="15"/>
  <c r="Y858" i="15"/>
  <c r="Z858" i="15"/>
  <c r="AA858" i="15"/>
  <c r="AB858" i="15"/>
  <c r="AC858" i="15"/>
  <c r="AD858" i="15"/>
  <c r="AE858" i="15"/>
  <c r="AF858" i="15"/>
  <c r="AG858" i="15"/>
  <c r="AH858" i="15"/>
  <c r="AI858" i="15"/>
  <c r="AJ858" i="15"/>
  <c r="AK858" i="15"/>
  <c r="AL858" i="15"/>
  <c r="AM858" i="15"/>
  <c r="AN858" i="15"/>
  <c r="AO858" i="15"/>
  <c r="R859" i="15"/>
  <c r="S859" i="15"/>
  <c r="T859" i="15"/>
  <c r="U859" i="15"/>
  <c r="V859" i="15"/>
  <c r="W859" i="15"/>
  <c r="X859" i="15"/>
  <c r="Y859" i="15"/>
  <c r="Z859" i="15"/>
  <c r="AA859" i="15"/>
  <c r="AB859" i="15"/>
  <c r="AC859" i="15"/>
  <c r="AD859" i="15"/>
  <c r="AE859" i="15"/>
  <c r="AF859" i="15"/>
  <c r="AG859" i="15"/>
  <c r="AH859" i="15"/>
  <c r="AI859" i="15"/>
  <c r="AJ859" i="15"/>
  <c r="AK859" i="15"/>
  <c r="AL859" i="15"/>
  <c r="AM859" i="15"/>
  <c r="AN859" i="15"/>
  <c r="AO859" i="15"/>
  <c r="R860" i="15"/>
  <c r="S860" i="15"/>
  <c r="T860" i="15"/>
  <c r="U860" i="15"/>
  <c r="V860" i="15"/>
  <c r="W860" i="15"/>
  <c r="X860" i="15"/>
  <c r="Y860" i="15"/>
  <c r="Z860" i="15"/>
  <c r="AA860" i="15"/>
  <c r="AB860" i="15"/>
  <c r="AC860" i="15"/>
  <c r="AD860" i="15"/>
  <c r="AE860" i="15"/>
  <c r="AF860" i="15"/>
  <c r="AG860" i="15"/>
  <c r="AH860" i="15"/>
  <c r="AI860" i="15"/>
  <c r="AJ860" i="15"/>
  <c r="AK860" i="15"/>
  <c r="AL860" i="15"/>
  <c r="AM860" i="15"/>
  <c r="AN860" i="15"/>
  <c r="AO860" i="15"/>
  <c r="R861" i="15"/>
  <c r="S861" i="15"/>
  <c r="T861" i="15"/>
  <c r="U861" i="15"/>
  <c r="V861" i="15"/>
  <c r="W861" i="15"/>
  <c r="X861" i="15"/>
  <c r="Y861" i="15"/>
  <c r="Z861" i="15"/>
  <c r="AA861" i="15"/>
  <c r="AB861" i="15"/>
  <c r="AC861" i="15"/>
  <c r="AD861" i="15"/>
  <c r="AE861" i="15"/>
  <c r="AF861" i="15"/>
  <c r="AG861" i="15"/>
  <c r="AH861" i="15"/>
  <c r="AI861" i="15"/>
  <c r="AJ861" i="15"/>
  <c r="AK861" i="15"/>
  <c r="AL861" i="15"/>
  <c r="AM861" i="15"/>
  <c r="AN861" i="15"/>
  <c r="AO861" i="15"/>
  <c r="R862" i="15"/>
  <c r="S862" i="15"/>
  <c r="T862" i="15"/>
  <c r="U862" i="15"/>
  <c r="V862" i="15"/>
  <c r="W862" i="15"/>
  <c r="X862" i="15"/>
  <c r="Y862" i="15"/>
  <c r="Z862" i="15"/>
  <c r="AA862" i="15"/>
  <c r="AB862" i="15"/>
  <c r="AC862" i="15"/>
  <c r="AD862" i="15"/>
  <c r="AE862" i="15"/>
  <c r="AF862" i="15"/>
  <c r="AG862" i="15"/>
  <c r="AH862" i="15"/>
  <c r="AI862" i="15"/>
  <c r="AJ862" i="15"/>
  <c r="AK862" i="15"/>
  <c r="AL862" i="15"/>
  <c r="AM862" i="15"/>
  <c r="AN862" i="15"/>
  <c r="AO862" i="15"/>
  <c r="R863" i="15"/>
  <c r="S863" i="15"/>
  <c r="T863" i="15"/>
  <c r="U863" i="15"/>
  <c r="V863" i="15"/>
  <c r="W863" i="15"/>
  <c r="X863" i="15"/>
  <c r="Y863" i="15"/>
  <c r="Z863" i="15"/>
  <c r="AA863" i="15"/>
  <c r="AB863" i="15"/>
  <c r="AC863" i="15"/>
  <c r="AD863" i="15"/>
  <c r="AE863" i="15"/>
  <c r="AF863" i="15"/>
  <c r="AG863" i="15"/>
  <c r="AH863" i="15"/>
  <c r="AI863" i="15"/>
  <c r="AJ863" i="15"/>
  <c r="AK863" i="15"/>
  <c r="AL863" i="15"/>
  <c r="AM863" i="15"/>
  <c r="AN863" i="15"/>
  <c r="AO863" i="15"/>
  <c r="R864" i="15"/>
  <c r="S864" i="15"/>
  <c r="T864" i="15"/>
  <c r="U864" i="15"/>
  <c r="V864" i="15"/>
  <c r="W864" i="15"/>
  <c r="X864" i="15"/>
  <c r="Y864" i="15"/>
  <c r="Z864" i="15"/>
  <c r="AA864" i="15"/>
  <c r="AB864" i="15"/>
  <c r="AC864" i="15"/>
  <c r="AD864" i="15"/>
  <c r="AE864" i="15"/>
  <c r="AF864" i="15"/>
  <c r="AG864" i="15"/>
  <c r="AH864" i="15"/>
  <c r="AI864" i="15"/>
  <c r="AJ864" i="15"/>
  <c r="AK864" i="15"/>
  <c r="AL864" i="15"/>
  <c r="AM864" i="15"/>
  <c r="AN864" i="15"/>
  <c r="AO864" i="15"/>
  <c r="R865" i="15"/>
  <c r="S865" i="15"/>
  <c r="T865" i="15"/>
  <c r="U865" i="15"/>
  <c r="V865" i="15"/>
  <c r="W865" i="15"/>
  <c r="X865" i="15"/>
  <c r="Y865" i="15"/>
  <c r="Z865" i="15"/>
  <c r="AA865" i="15"/>
  <c r="AB865" i="15"/>
  <c r="AC865" i="15"/>
  <c r="AD865" i="15"/>
  <c r="AE865" i="15"/>
  <c r="AF865" i="15"/>
  <c r="AG865" i="15"/>
  <c r="AH865" i="15"/>
  <c r="AI865" i="15"/>
  <c r="AJ865" i="15"/>
  <c r="AK865" i="15"/>
  <c r="AL865" i="15"/>
  <c r="AM865" i="15"/>
  <c r="AN865" i="15"/>
  <c r="AO865" i="15"/>
  <c r="R866" i="15"/>
  <c r="S866" i="15"/>
  <c r="T866" i="15"/>
  <c r="U866" i="15"/>
  <c r="V866" i="15"/>
  <c r="W866" i="15"/>
  <c r="X866" i="15"/>
  <c r="Y866" i="15"/>
  <c r="Z866" i="15"/>
  <c r="AA866" i="15"/>
  <c r="AB866" i="15"/>
  <c r="AC866" i="15"/>
  <c r="AD866" i="15"/>
  <c r="AE866" i="15"/>
  <c r="AF866" i="15"/>
  <c r="AG866" i="15"/>
  <c r="AH866" i="15"/>
  <c r="AI866" i="15"/>
  <c r="AJ866" i="15"/>
  <c r="AK866" i="15"/>
  <c r="AL866" i="15"/>
  <c r="AM866" i="15"/>
  <c r="AN866" i="15"/>
  <c r="AO866" i="15"/>
  <c r="R867" i="15"/>
  <c r="S867" i="15"/>
  <c r="T867" i="15"/>
  <c r="U867" i="15"/>
  <c r="V867" i="15"/>
  <c r="W867" i="15"/>
  <c r="X867" i="15"/>
  <c r="Y867" i="15"/>
  <c r="Z867" i="15"/>
  <c r="AA867" i="15"/>
  <c r="AB867" i="15"/>
  <c r="AC867" i="15"/>
  <c r="AD867" i="15"/>
  <c r="AE867" i="15"/>
  <c r="AF867" i="15"/>
  <c r="AG867" i="15"/>
  <c r="AH867" i="15"/>
  <c r="AI867" i="15"/>
  <c r="AJ867" i="15"/>
  <c r="AK867" i="15"/>
  <c r="AL867" i="15"/>
  <c r="AM867" i="15"/>
  <c r="AN867" i="15"/>
  <c r="AO867" i="15"/>
  <c r="R868" i="15"/>
  <c r="S868" i="15"/>
  <c r="T868" i="15"/>
  <c r="U868" i="15"/>
  <c r="V868" i="15"/>
  <c r="W868" i="15"/>
  <c r="X868" i="15"/>
  <c r="Y868" i="15"/>
  <c r="Z868" i="15"/>
  <c r="AA868" i="15"/>
  <c r="AB868" i="15"/>
  <c r="AC868" i="15"/>
  <c r="AD868" i="15"/>
  <c r="AE868" i="15"/>
  <c r="AF868" i="15"/>
  <c r="AG868" i="15"/>
  <c r="AH868" i="15"/>
  <c r="AI868" i="15"/>
  <c r="AJ868" i="15"/>
  <c r="AK868" i="15"/>
  <c r="AL868" i="15"/>
  <c r="AM868" i="15"/>
  <c r="AN868" i="15"/>
  <c r="AO868" i="15"/>
  <c r="R869" i="15"/>
  <c r="S869" i="15"/>
  <c r="T869" i="15"/>
  <c r="U869" i="15"/>
  <c r="V869" i="15"/>
  <c r="W869" i="15"/>
  <c r="X869" i="15"/>
  <c r="Y869" i="15"/>
  <c r="Z869" i="15"/>
  <c r="AA869" i="15"/>
  <c r="AB869" i="15"/>
  <c r="AC869" i="15"/>
  <c r="AD869" i="15"/>
  <c r="AE869" i="15"/>
  <c r="AF869" i="15"/>
  <c r="AG869" i="15"/>
  <c r="AH869" i="15"/>
  <c r="AI869" i="15"/>
  <c r="AJ869" i="15"/>
  <c r="AK869" i="15"/>
  <c r="AL869" i="15"/>
  <c r="AM869" i="15"/>
  <c r="AN869" i="15"/>
  <c r="AO869" i="15"/>
  <c r="R870" i="15"/>
  <c r="S870" i="15"/>
  <c r="T870" i="15"/>
  <c r="U870" i="15"/>
  <c r="V870" i="15"/>
  <c r="W870" i="15"/>
  <c r="X870" i="15"/>
  <c r="Y870" i="15"/>
  <c r="Z870" i="15"/>
  <c r="AA870" i="15"/>
  <c r="AB870" i="15"/>
  <c r="AC870" i="15"/>
  <c r="AD870" i="15"/>
  <c r="AE870" i="15"/>
  <c r="AF870" i="15"/>
  <c r="AG870" i="15"/>
  <c r="AH870" i="15"/>
  <c r="AI870" i="15"/>
  <c r="AJ870" i="15"/>
  <c r="AK870" i="15"/>
  <c r="AL870" i="15"/>
  <c r="AM870" i="15"/>
  <c r="AN870" i="15"/>
  <c r="AO870" i="15"/>
  <c r="R871" i="15"/>
  <c r="S871" i="15"/>
  <c r="T871" i="15"/>
  <c r="U871" i="15"/>
  <c r="V871" i="15"/>
  <c r="W871" i="15"/>
  <c r="X871" i="15"/>
  <c r="Y871" i="15"/>
  <c r="Z871" i="15"/>
  <c r="AA871" i="15"/>
  <c r="AB871" i="15"/>
  <c r="AC871" i="15"/>
  <c r="AD871" i="15"/>
  <c r="AE871" i="15"/>
  <c r="AF871" i="15"/>
  <c r="AG871" i="15"/>
  <c r="AH871" i="15"/>
  <c r="AI871" i="15"/>
  <c r="AJ871" i="15"/>
  <c r="AK871" i="15"/>
  <c r="AL871" i="15"/>
  <c r="AM871" i="15"/>
  <c r="AN871" i="15"/>
  <c r="AO871" i="15"/>
  <c r="R872" i="15"/>
  <c r="S872" i="15"/>
  <c r="T872" i="15"/>
  <c r="U872" i="15"/>
  <c r="V872" i="15"/>
  <c r="W872" i="15"/>
  <c r="X872" i="15"/>
  <c r="Y872" i="15"/>
  <c r="Z872" i="15"/>
  <c r="AA872" i="15"/>
  <c r="AB872" i="15"/>
  <c r="AC872" i="15"/>
  <c r="AD872" i="15"/>
  <c r="AE872" i="15"/>
  <c r="AF872" i="15"/>
  <c r="AG872" i="15"/>
  <c r="AH872" i="15"/>
  <c r="AI872" i="15"/>
  <c r="AJ872" i="15"/>
  <c r="AK872" i="15"/>
  <c r="AL872" i="15"/>
  <c r="AM872" i="15"/>
  <c r="AN872" i="15"/>
  <c r="AO872" i="15"/>
  <c r="R873" i="15"/>
  <c r="S873" i="15"/>
  <c r="T873" i="15"/>
  <c r="U873" i="15"/>
  <c r="V873" i="15"/>
  <c r="W873" i="15"/>
  <c r="X873" i="15"/>
  <c r="Y873" i="15"/>
  <c r="Z873" i="15"/>
  <c r="AA873" i="15"/>
  <c r="AB873" i="15"/>
  <c r="AC873" i="15"/>
  <c r="AD873" i="15"/>
  <c r="AE873" i="15"/>
  <c r="AF873" i="15"/>
  <c r="AG873" i="15"/>
  <c r="AH873" i="15"/>
  <c r="AI873" i="15"/>
  <c r="AJ873" i="15"/>
  <c r="AK873" i="15"/>
  <c r="AL873" i="15"/>
  <c r="AM873" i="15"/>
  <c r="AN873" i="15"/>
  <c r="AO873" i="15"/>
  <c r="R874" i="15"/>
  <c r="S874" i="15"/>
  <c r="T874" i="15"/>
  <c r="U874" i="15"/>
  <c r="V874" i="15"/>
  <c r="W874" i="15"/>
  <c r="X874" i="15"/>
  <c r="Y874" i="15"/>
  <c r="Z874" i="15"/>
  <c r="AA874" i="15"/>
  <c r="AB874" i="15"/>
  <c r="AC874" i="15"/>
  <c r="AD874" i="15"/>
  <c r="AE874" i="15"/>
  <c r="AF874" i="15"/>
  <c r="AG874" i="15"/>
  <c r="AH874" i="15"/>
  <c r="AI874" i="15"/>
  <c r="AJ874" i="15"/>
  <c r="AK874" i="15"/>
  <c r="AL874" i="15"/>
  <c r="AM874" i="15"/>
  <c r="AN874" i="15"/>
  <c r="AO874" i="15"/>
  <c r="R875" i="15"/>
  <c r="S875" i="15"/>
  <c r="T875" i="15"/>
  <c r="U875" i="15"/>
  <c r="V875" i="15"/>
  <c r="W875" i="15"/>
  <c r="X875" i="15"/>
  <c r="Y875" i="15"/>
  <c r="Z875" i="15"/>
  <c r="AA875" i="15"/>
  <c r="AB875" i="15"/>
  <c r="AC875" i="15"/>
  <c r="AD875" i="15"/>
  <c r="AE875" i="15"/>
  <c r="AF875" i="15"/>
  <c r="AG875" i="15"/>
  <c r="AH875" i="15"/>
  <c r="AI875" i="15"/>
  <c r="AJ875" i="15"/>
  <c r="AK875" i="15"/>
  <c r="AL875" i="15"/>
  <c r="AM875" i="15"/>
  <c r="AN875" i="15"/>
  <c r="AO875" i="15"/>
  <c r="R876" i="15"/>
  <c r="S876" i="15"/>
  <c r="T876" i="15"/>
  <c r="U876" i="15"/>
  <c r="V876" i="15"/>
  <c r="W876" i="15"/>
  <c r="X876" i="15"/>
  <c r="Y876" i="15"/>
  <c r="Z876" i="15"/>
  <c r="AA876" i="15"/>
  <c r="AB876" i="15"/>
  <c r="AC876" i="15"/>
  <c r="AD876" i="15"/>
  <c r="AE876" i="15"/>
  <c r="AF876" i="15"/>
  <c r="AG876" i="15"/>
  <c r="AH876" i="15"/>
  <c r="AI876" i="15"/>
  <c r="AJ876" i="15"/>
  <c r="AK876" i="15"/>
  <c r="AL876" i="15"/>
  <c r="AM876" i="15"/>
  <c r="AN876" i="15"/>
  <c r="AO876" i="15"/>
  <c r="R877" i="15"/>
  <c r="S877" i="15"/>
  <c r="T877" i="15"/>
  <c r="U877" i="15"/>
  <c r="V877" i="15"/>
  <c r="W877" i="15"/>
  <c r="X877" i="15"/>
  <c r="Y877" i="15"/>
  <c r="Z877" i="15"/>
  <c r="AA877" i="15"/>
  <c r="AB877" i="15"/>
  <c r="AC877" i="15"/>
  <c r="AD877" i="15"/>
  <c r="AE877" i="15"/>
  <c r="AF877" i="15"/>
  <c r="AG877" i="15"/>
  <c r="AH877" i="15"/>
  <c r="AI877" i="15"/>
  <c r="AJ877" i="15"/>
  <c r="AK877" i="15"/>
  <c r="AL877" i="15"/>
  <c r="AM877" i="15"/>
  <c r="AN877" i="15"/>
  <c r="AO877" i="15"/>
  <c r="R878" i="15"/>
  <c r="S878" i="15"/>
  <c r="T878" i="15"/>
  <c r="U878" i="15"/>
  <c r="V878" i="15"/>
  <c r="W878" i="15"/>
  <c r="X878" i="15"/>
  <c r="Y878" i="15"/>
  <c r="Z878" i="15"/>
  <c r="AA878" i="15"/>
  <c r="AB878" i="15"/>
  <c r="AC878" i="15"/>
  <c r="AD878" i="15"/>
  <c r="AE878" i="15"/>
  <c r="AF878" i="15"/>
  <c r="AG878" i="15"/>
  <c r="AH878" i="15"/>
  <c r="AI878" i="15"/>
  <c r="AJ878" i="15"/>
  <c r="AK878" i="15"/>
  <c r="AL878" i="15"/>
  <c r="AM878" i="15"/>
  <c r="AN878" i="15"/>
  <c r="AO878" i="15"/>
  <c r="R879" i="15"/>
  <c r="S879" i="15"/>
  <c r="T879" i="15"/>
  <c r="U879" i="15"/>
  <c r="V879" i="15"/>
  <c r="W879" i="15"/>
  <c r="X879" i="15"/>
  <c r="Y879" i="15"/>
  <c r="Z879" i="15"/>
  <c r="AA879" i="15"/>
  <c r="AB879" i="15"/>
  <c r="AC879" i="15"/>
  <c r="AD879" i="15"/>
  <c r="AE879" i="15"/>
  <c r="AF879" i="15"/>
  <c r="AG879" i="15"/>
  <c r="AH879" i="15"/>
  <c r="AI879" i="15"/>
  <c r="AJ879" i="15"/>
  <c r="AK879" i="15"/>
  <c r="AL879" i="15"/>
  <c r="AM879" i="15"/>
  <c r="AN879" i="15"/>
  <c r="AO879" i="15"/>
  <c r="R880" i="15"/>
  <c r="S880" i="15"/>
  <c r="T880" i="15"/>
  <c r="U880" i="15"/>
  <c r="V880" i="15"/>
  <c r="W880" i="15"/>
  <c r="X880" i="15"/>
  <c r="Y880" i="15"/>
  <c r="Z880" i="15"/>
  <c r="AA880" i="15"/>
  <c r="AB880" i="15"/>
  <c r="AC880" i="15"/>
  <c r="AD880" i="15"/>
  <c r="AE880" i="15"/>
  <c r="AF880" i="15"/>
  <c r="AG880" i="15"/>
  <c r="AH880" i="15"/>
  <c r="AI880" i="15"/>
  <c r="AJ880" i="15"/>
  <c r="AK880" i="15"/>
  <c r="AL880" i="15"/>
  <c r="AM880" i="15"/>
  <c r="AN880" i="15"/>
  <c r="AO880" i="15"/>
  <c r="R881" i="15"/>
  <c r="S881" i="15"/>
  <c r="T881" i="15"/>
  <c r="U881" i="15"/>
  <c r="V881" i="15"/>
  <c r="W881" i="15"/>
  <c r="X881" i="15"/>
  <c r="Y881" i="15"/>
  <c r="Z881" i="15"/>
  <c r="AA881" i="15"/>
  <c r="AB881" i="15"/>
  <c r="AC881" i="15"/>
  <c r="AD881" i="15"/>
  <c r="AE881" i="15"/>
  <c r="AF881" i="15"/>
  <c r="AG881" i="15"/>
  <c r="AH881" i="15"/>
  <c r="AI881" i="15"/>
  <c r="AJ881" i="15"/>
  <c r="AK881" i="15"/>
  <c r="AL881" i="15"/>
  <c r="AM881" i="15"/>
  <c r="AN881" i="15"/>
  <c r="AO881" i="15"/>
  <c r="R882" i="15"/>
  <c r="S882" i="15"/>
  <c r="T882" i="15"/>
  <c r="U882" i="15"/>
  <c r="V882" i="15"/>
  <c r="W882" i="15"/>
  <c r="X882" i="15"/>
  <c r="Y882" i="15"/>
  <c r="Z882" i="15"/>
  <c r="AA882" i="15"/>
  <c r="AB882" i="15"/>
  <c r="AC882" i="15"/>
  <c r="AD882" i="15"/>
  <c r="AE882" i="15"/>
  <c r="AF882" i="15"/>
  <c r="AG882" i="15"/>
  <c r="AH882" i="15"/>
  <c r="AI882" i="15"/>
  <c r="AJ882" i="15"/>
  <c r="AK882" i="15"/>
  <c r="AL882" i="15"/>
  <c r="AM882" i="15"/>
  <c r="AN882" i="15"/>
  <c r="AO882" i="15"/>
  <c r="R883" i="15"/>
  <c r="S883" i="15"/>
  <c r="T883" i="15"/>
  <c r="U883" i="15"/>
  <c r="V883" i="15"/>
  <c r="W883" i="15"/>
  <c r="X883" i="15"/>
  <c r="Y883" i="15"/>
  <c r="Z883" i="15"/>
  <c r="AA883" i="15"/>
  <c r="AB883" i="15"/>
  <c r="AC883" i="15"/>
  <c r="AD883" i="15"/>
  <c r="AE883" i="15"/>
  <c r="AF883" i="15"/>
  <c r="AG883" i="15"/>
  <c r="AH883" i="15"/>
  <c r="AI883" i="15"/>
  <c r="AJ883" i="15"/>
  <c r="AK883" i="15"/>
  <c r="AL883" i="15"/>
  <c r="AM883" i="15"/>
  <c r="AN883" i="15"/>
  <c r="AO883" i="15"/>
  <c r="R884" i="15"/>
  <c r="S884" i="15"/>
  <c r="T884" i="15"/>
  <c r="U884" i="15"/>
  <c r="V884" i="15"/>
  <c r="W884" i="15"/>
  <c r="X884" i="15"/>
  <c r="Y884" i="15"/>
  <c r="Z884" i="15"/>
  <c r="AA884" i="15"/>
  <c r="AB884" i="15"/>
  <c r="AC884" i="15"/>
  <c r="AD884" i="15"/>
  <c r="AE884" i="15"/>
  <c r="AF884" i="15"/>
  <c r="AG884" i="15"/>
  <c r="AH884" i="15"/>
  <c r="AI884" i="15"/>
  <c r="AJ884" i="15"/>
  <c r="AK884" i="15"/>
  <c r="AL884" i="15"/>
  <c r="AM884" i="15"/>
  <c r="AN884" i="15"/>
  <c r="AO884" i="15"/>
  <c r="R885" i="15"/>
  <c r="S885" i="15"/>
  <c r="T885" i="15"/>
  <c r="U885" i="15"/>
  <c r="V885" i="15"/>
  <c r="W885" i="15"/>
  <c r="X885" i="15"/>
  <c r="Y885" i="15"/>
  <c r="Z885" i="15"/>
  <c r="AA885" i="15"/>
  <c r="AB885" i="15"/>
  <c r="AC885" i="15"/>
  <c r="AD885" i="15"/>
  <c r="AE885" i="15"/>
  <c r="AF885" i="15"/>
  <c r="AG885" i="15"/>
  <c r="AH885" i="15"/>
  <c r="AI885" i="15"/>
  <c r="AJ885" i="15"/>
  <c r="AK885" i="15"/>
  <c r="AL885" i="15"/>
  <c r="AM885" i="15"/>
  <c r="AN885" i="15"/>
  <c r="AO885" i="15"/>
  <c r="R886" i="15"/>
  <c r="S886" i="15"/>
  <c r="T886" i="15"/>
  <c r="U886" i="15"/>
  <c r="V886" i="15"/>
  <c r="W886" i="15"/>
  <c r="X886" i="15"/>
  <c r="Y886" i="15"/>
  <c r="Z886" i="15"/>
  <c r="AA886" i="15"/>
  <c r="AB886" i="15"/>
  <c r="AC886" i="15"/>
  <c r="AD886" i="15"/>
  <c r="AE886" i="15"/>
  <c r="AF886" i="15"/>
  <c r="AG886" i="15"/>
  <c r="AH886" i="15"/>
  <c r="AI886" i="15"/>
  <c r="AJ886" i="15"/>
  <c r="AK886" i="15"/>
  <c r="AL886" i="15"/>
  <c r="AM886" i="15"/>
  <c r="AN886" i="15"/>
  <c r="AO886" i="15"/>
  <c r="R887" i="15"/>
  <c r="S887" i="15"/>
  <c r="T887" i="15"/>
  <c r="U887" i="15"/>
  <c r="V887" i="15"/>
  <c r="W887" i="15"/>
  <c r="X887" i="15"/>
  <c r="Y887" i="15"/>
  <c r="Z887" i="15"/>
  <c r="AA887" i="15"/>
  <c r="AB887" i="15"/>
  <c r="AC887" i="15"/>
  <c r="AD887" i="15"/>
  <c r="AE887" i="15"/>
  <c r="AF887" i="15"/>
  <c r="AG887" i="15"/>
  <c r="AH887" i="15"/>
  <c r="AI887" i="15"/>
  <c r="AJ887" i="15"/>
  <c r="AK887" i="15"/>
  <c r="AL887" i="15"/>
  <c r="AM887" i="15"/>
  <c r="AN887" i="15"/>
  <c r="AO887" i="15"/>
  <c r="R888" i="15"/>
  <c r="S888" i="15"/>
  <c r="T888" i="15"/>
  <c r="U888" i="15"/>
  <c r="V888" i="15"/>
  <c r="W888" i="15"/>
  <c r="X888" i="15"/>
  <c r="Y888" i="15"/>
  <c r="Z888" i="15"/>
  <c r="AA888" i="15"/>
  <c r="AB888" i="15"/>
  <c r="AC888" i="15"/>
  <c r="AD888" i="15"/>
  <c r="AE888" i="15"/>
  <c r="AF888" i="15"/>
  <c r="AG888" i="15"/>
  <c r="AH888" i="15"/>
  <c r="AI888" i="15"/>
  <c r="AJ888" i="15"/>
  <c r="AK888" i="15"/>
  <c r="AL888" i="15"/>
  <c r="AM888" i="15"/>
  <c r="AN888" i="15"/>
  <c r="AO888" i="15"/>
  <c r="R889" i="15"/>
  <c r="S889" i="15"/>
  <c r="T889" i="15"/>
  <c r="U889" i="15"/>
  <c r="V889" i="15"/>
  <c r="W889" i="15"/>
  <c r="X889" i="15"/>
  <c r="Y889" i="15"/>
  <c r="Z889" i="15"/>
  <c r="AA889" i="15"/>
  <c r="AB889" i="15"/>
  <c r="AC889" i="15"/>
  <c r="AD889" i="15"/>
  <c r="AE889" i="15"/>
  <c r="AF889" i="15"/>
  <c r="AG889" i="15"/>
  <c r="AH889" i="15"/>
  <c r="AI889" i="15"/>
  <c r="AJ889" i="15"/>
  <c r="AK889" i="15"/>
  <c r="AL889" i="15"/>
  <c r="AM889" i="15"/>
  <c r="AN889" i="15"/>
  <c r="AO889" i="15"/>
  <c r="R890" i="15"/>
  <c r="S890" i="15"/>
  <c r="T890" i="15"/>
  <c r="U890" i="15"/>
  <c r="V890" i="15"/>
  <c r="W890" i="15"/>
  <c r="X890" i="15"/>
  <c r="Y890" i="15"/>
  <c r="Z890" i="15"/>
  <c r="AA890" i="15"/>
  <c r="AB890" i="15"/>
  <c r="AC890" i="15"/>
  <c r="AD890" i="15"/>
  <c r="AE890" i="15"/>
  <c r="AF890" i="15"/>
  <c r="AG890" i="15"/>
  <c r="AH890" i="15"/>
  <c r="AI890" i="15"/>
  <c r="AJ890" i="15"/>
  <c r="AK890" i="15"/>
  <c r="AL890" i="15"/>
  <c r="AM890" i="15"/>
  <c r="AN890" i="15"/>
  <c r="AO890" i="15"/>
  <c r="R891" i="15"/>
  <c r="S891" i="15"/>
  <c r="T891" i="15"/>
  <c r="U891" i="15"/>
  <c r="V891" i="15"/>
  <c r="W891" i="15"/>
  <c r="X891" i="15"/>
  <c r="Y891" i="15"/>
  <c r="Z891" i="15"/>
  <c r="AA891" i="15"/>
  <c r="AB891" i="15"/>
  <c r="AC891" i="15"/>
  <c r="AD891" i="15"/>
  <c r="AE891" i="15"/>
  <c r="AF891" i="15"/>
  <c r="AG891" i="15"/>
  <c r="AH891" i="15"/>
  <c r="AI891" i="15"/>
  <c r="AJ891" i="15"/>
  <c r="AK891" i="15"/>
  <c r="AL891" i="15"/>
  <c r="AM891" i="15"/>
  <c r="AN891" i="15"/>
  <c r="AO891" i="15"/>
  <c r="R892" i="15"/>
  <c r="S892" i="15"/>
  <c r="T892" i="15"/>
  <c r="U892" i="15"/>
  <c r="V892" i="15"/>
  <c r="W892" i="15"/>
  <c r="X892" i="15"/>
  <c r="Y892" i="15"/>
  <c r="Z892" i="15"/>
  <c r="AA892" i="15"/>
  <c r="AB892" i="15"/>
  <c r="AC892" i="15"/>
  <c r="AD892" i="15"/>
  <c r="AE892" i="15"/>
  <c r="AF892" i="15"/>
  <c r="AG892" i="15"/>
  <c r="AH892" i="15"/>
  <c r="AI892" i="15"/>
  <c r="AJ892" i="15"/>
  <c r="AK892" i="15"/>
  <c r="AL892" i="15"/>
  <c r="AM892" i="15"/>
  <c r="AN892" i="15"/>
  <c r="AO892" i="15"/>
  <c r="R893" i="15"/>
  <c r="S893" i="15"/>
  <c r="T893" i="15"/>
  <c r="U893" i="15"/>
  <c r="V893" i="15"/>
  <c r="W893" i="15"/>
  <c r="X893" i="15"/>
  <c r="Y893" i="15"/>
  <c r="Z893" i="15"/>
  <c r="AA893" i="15"/>
  <c r="AB893" i="15"/>
  <c r="AC893" i="15"/>
  <c r="AD893" i="15"/>
  <c r="AE893" i="15"/>
  <c r="AF893" i="15"/>
  <c r="AG893" i="15"/>
  <c r="AH893" i="15"/>
  <c r="AI893" i="15"/>
  <c r="AJ893" i="15"/>
  <c r="AK893" i="15"/>
  <c r="AL893" i="15"/>
  <c r="AM893" i="15"/>
  <c r="AN893" i="15"/>
  <c r="AO893" i="15"/>
  <c r="R894" i="15"/>
  <c r="S894" i="15"/>
  <c r="T894" i="15"/>
  <c r="U894" i="15"/>
  <c r="V894" i="15"/>
  <c r="W894" i="15"/>
  <c r="X894" i="15"/>
  <c r="Y894" i="15"/>
  <c r="Z894" i="15"/>
  <c r="AA894" i="15"/>
  <c r="AB894" i="15"/>
  <c r="AC894" i="15"/>
  <c r="AD894" i="15"/>
  <c r="AE894" i="15"/>
  <c r="AF894" i="15"/>
  <c r="AG894" i="15"/>
  <c r="AH894" i="15"/>
  <c r="AI894" i="15"/>
  <c r="AJ894" i="15"/>
  <c r="AK894" i="15"/>
  <c r="AL894" i="15"/>
  <c r="AM894" i="15"/>
  <c r="AN894" i="15"/>
  <c r="AO894" i="15"/>
  <c r="R895" i="15"/>
  <c r="S895" i="15"/>
  <c r="T895" i="15"/>
  <c r="U895" i="15"/>
  <c r="V895" i="15"/>
  <c r="W895" i="15"/>
  <c r="X895" i="15"/>
  <c r="Y895" i="15"/>
  <c r="Z895" i="15"/>
  <c r="AA895" i="15"/>
  <c r="AB895" i="15"/>
  <c r="AC895" i="15"/>
  <c r="AD895" i="15"/>
  <c r="AE895" i="15"/>
  <c r="AF895" i="15"/>
  <c r="AG895" i="15"/>
  <c r="AH895" i="15"/>
  <c r="AI895" i="15"/>
  <c r="AJ895" i="15"/>
  <c r="AK895" i="15"/>
  <c r="AL895" i="15"/>
  <c r="AM895" i="15"/>
  <c r="AN895" i="15"/>
  <c r="AO895" i="15"/>
  <c r="R896" i="15"/>
  <c r="S896" i="15"/>
  <c r="T896" i="15"/>
  <c r="U896" i="15"/>
  <c r="V896" i="15"/>
  <c r="W896" i="15"/>
  <c r="X896" i="15"/>
  <c r="Y896" i="15"/>
  <c r="Z896" i="15"/>
  <c r="AA896" i="15"/>
  <c r="AB896" i="15"/>
  <c r="AC896" i="15"/>
  <c r="AD896" i="15"/>
  <c r="AE896" i="15"/>
  <c r="AF896" i="15"/>
  <c r="AG896" i="15"/>
  <c r="AH896" i="15"/>
  <c r="AI896" i="15"/>
  <c r="AJ896" i="15"/>
  <c r="AK896" i="15"/>
  <c r="AL896" i="15"/>
  <c r="AM896" i="15"/>
  <c r="AN896" i="15"/>
  <c r="AO896" i="15"/>
  <c r="R897" i="15"/>
  <c r="S897" i="15"/>
  <c r="T897" i="15"/>
  <c r="U897" i="15"/>
  <c r="V897" i="15"/>
  <c r="W897" i="15"/>
  <c r="X897" i="15"/>
  <c r="Y897" i="15"/>
  <c r="Z897" i="15"/>
  <c r="AA897" i="15"/>
  <c r="AB897" i="15"/>
  <c r="AC897" i="15"/>
  <c r="AD897" i="15"/>
  <c r="AE897" i="15"/>
  <c r="AF897" i="15"/>
  <c r="AG897" i="15"/>
  <c r="AH897" i="15"/>
  <c r="AI897" i="15"/>
  <c r="AJ897" i="15"/>
  <c r="AK897" i="15"/>
  <c r="AL897" i="15"/>
  <c r="AM897" i="15"/>
  <c r="AN897" i="15"/>
  <c r="AO897" i="15"/>
  <c r="R898" i="15"/>
  <c r="S898" i="15"/>
  <c r="T898" i="15"/>
  <c r="U898" i="15"/>
  <c r="V898" i="15"/>
  <c r="W898" i="15"/>
  <c r="X898" i="15"/>
  <c r="Y898" i="15"/>
  <c r="Z898" i="15"/>
  <c r="AA898" i="15"/>
  <c r="AB898" i="15"/>
  <c r="AC898" i="15"/>
  <c r="AD898" i="15"/>
  <c r="AE898" i="15"/>
  <c r="AF898" i="15"/>
  <c r="AG898" i="15"/>
  <c r="AH898" i="15"/>
  <c r="AI898" i="15"/>
  <c r="AJ898" i="15"/>
  <c r="AK898" i="15"/>
  <c r="AL898" i="15"/>
  <c r="AM898" i="15"/>
  <c r="AN898" i="15"/>
  <c r="AO898" i="15"/>
  <c r="R899" i="15"/>
  <c r="S899" i="15"/>
  <c r="T899" i="15"/>
  <c r="U899" i="15"/>
  <c r="V899" i="15"/>
  <c r="W899" i="15"/>
  <c r="X899" i="15"/>
  <c r="Y899" i="15"/>
  <c r="Z899" i="15"/>
  <c r="AA899" i="15"/>
  <c r="AB899" i="15"/>
  <c r="AC899" i="15"/>
  <c r="AD899" i="15"/>
  <c r="AE899" i="15"/>
  <c r="AF899" i="15"/>
  <c r="AG899" i="15"/>
  <c r="AH899" i="15"/>
  <c r="AI899" i="15"/>
  <c r="AJ899" i="15"/>
  <c r="AK899" i="15"/>
  <c r="AL899" i="15"/>
  <c r="AM899" i="15"/>
  <c r="AN899" i="15"/>
  <c r="AO899" i="15"/>
  <c r="R900" i="15"/>
  <c r="S900" i="15"/>
  <c r="T900" i="15"/>
  <c r="U900" i="15"/>
  <c r="V900" i="15"/>
  <c r="W900" i="15"/>
  <c r="X900" i="15"/>
  <c r="Y900" i="15"/>
  <c r="Z900" i="15"/>
  <c r="AA900" i="15"/>
  <c r="AB900" i="15"/>
  <c r="AC900" i="15"/>
  <c r="AD900" i="15"/>
  <c r="AE900" i="15"/>
  <c r="AF900" i="15"/>
  <c r="AG900" i="15"/>
  <c r="AH900" i="15"/>
  <c r="AI900" i="15"/>
  <c r="AJ900" i="15"/>
  <c r="AK900" i="15"/>
  <c r="AL900" i="15"/>
  <c r="AM900" i="15"/>
  <c r="AN900" i="15"/>
  <c r="AO900" i="15"/>
  <c r="R901" i="15"/>
  <c r="S901" i="15"/>
  <c r="T901" i="15"/>
  <c r="U901" i="15"/>
  <c r="V901" i="15"/>
  <c r="W901" i="15"/>
  <c r="X901" i="15"/>
  <c r="Y901" i="15"/>
  <c r="Z901" i="15"/>
  <c r="AA901" i="15"/>
  <c r="AB901" i="15"/>
  <c r="AC901" i="15"/>
  <c r="AD901" i="15"/>
  <c r="AE901" i="15"/>
  <c r="AF901" i="15"/>
  <c r="AG901" i="15"/>
  <c r="AH901" i="15"/>
  <c r="AI901" i="15"/>
  <c r="AJ901" i="15"/>
  <c r="AK901" i="15"/>
  <c r="AL901" i="15"/>
  <c r="AM901" i="15"/>
  <c r="AN901" i="15"/>
  <c r="AO901" i="15"/>
  <c r="R902" i="15"/>
  <c r="S902" i="15"/>
  <c r="T902" i="15"/>
  <c r="U902" i="15"/>
  <c r="V902" i="15"/>
  <c r="W902" i="15"/>
  <c r="X902" i="15"/>
  <c r="Y902" i="15"/>
  <c r="Z902" i="15"/>
  <c r="AA902" i="15"/>
  <c r="AB902" i="15"/>
  <c r="AC902" i="15"/>
  <c r="AD902" i="15"/>
  <c r="AE902" i="15"/>
  <c r="AF902" i="15"/>
  <c r="AG902" i="15"/>
  <c r="AH902" i="15"/>
  <c r="AI902" i="15"/>
  <c r="AJ902" i="15"/>
  <c r="AK902" i="15"/>
  <c r="AL902" i="15"/>
  <c r="AM902" i="15"/>
  <c r="AN902" i="15"/>
  <c r="AO902" i="15"/>
  <c r="R903" i="15"/>
  <c r="S903" i="15"/>
  <c r="T903" i="15"/>
  <c r="U903" i="15"/>
  <c r="V903" i="15"/>
  <c r="W903" i="15"/>
  <c r="X903" i="15"/>
  <c r="Y903" i="15"/>
  <c r="Z903" i="15"/>
  <c r="AA903" i="15"/>
  <c r="AB903" i="15"/>
  <c r="AC903" i="15"/>
  <c r="AD903" i="15"/>
  <c r="AE903" i="15"/>
  <c r="AF903" i="15"/>
  <c r="AG903" i="15"/>
  <c r="AH903" i="15"/>
  <c r="AI903" i="15"/>
  <c r="AJ903" i="15"/>
  <c r="AK903" i="15"/>
  <c r="AL903" i="15"/>
  <c r="AM903" i="15"/>
  <c r="AN903" i="15"/>
  <c r="AO903" i="15"/>
  <c r="R904" i="15"/>
  <c r="S904" i="15"/>
  <c r="T904" i="15"/>
  <c r="U904" i="15"/>
  <c r="V904" i="15"/>
  <c r="W904" i="15"/>
  <c r="X904" i="15"/>
  <c r="Y904" i="15"/>
  <c r="Z904" i="15"/>
  <c r="AA904" i="15"/>
  <c r="AB904" i="15"/>
  <c r="AC904" i="15"/>
  <c r="AD904" i="15"/>
  <c r="AE904" i="15"/>
  <c r="AF904" i="15"/>
  <c r="AG904" i="15"/>
  <c r="AH904" i="15"/>
  <c r="AI904" i="15"/>
  <c r="AJ904" i="15"/>
  <c r="AK904" i="15"/>
  <c r="AL904" i="15"/>
  <c r="AM904" i="15"/>
  <c r="AN904" i="15"/>
  <c r="AO904" i="15"/>
  <c r="R905" i="15"/>
  <c r="S905" i="15"/>
  <c r="T905" i="15"/>
  <c r="U905" i="15"/>
  <c r="V905" i="15"/>
  <c r="W905" i="15"/>
  <c r="X905" i="15"/>
  <c r="Y905" i="15"/>
  <c r="Z905" i="15"/>
  <c r="AA905" i="15"/>
  <c r="AB905" i="15"/>
  <c r="AC905" i="15"/>
  <c r="AD905" i="15"/>
  <c r="AE905" i="15"/>
  <c r="AF905" i="15"/>
  <c r="AG905" i="15"/>
  <c r="AH905" i="15"/>
  <c r="AI905" i="15"/>
  <c r="AJ905" i="15"/>
  <c r="AK905" i="15"/>
  <c r="AL905" i="15"/>
  <c r="AM905" i="15"/>
  <c r="AN905" i="15"/>
  <c r="AO905" i="15"/>
  <c r="R906" i="15"/>
  <c r="S906" i="15"/>
  <c r="T906" i="15"/>
  <c r="U906" i="15"/>
  <c r="V906" i="15"/>
  <c r="W906" i="15"/>
  <c r="X906" i="15"/>
  <c r="Y906" i="15"/>
  <c r="Z906" i="15"/>
  <c r="AA906" i="15"/>
  <c r="AB906" i="15"/>
  <c r="AC906" i="15"/>
  <c r="AD906" i="15"/>
  <c r="AE906" i="15"/>
  <c r="AF906" i="15"/>
  <c r="AG906" i="15"/>
  <c r="AH906" i="15"/>
  <c r="AI906" i="15"/>
  <c r="AJ906" i="15"/>
  <c r="AK906" i="15"/>
  <c r="AL906" i="15"/>
  <c r="AM906" i="15"/>
  <c r="AN906" i="15"/>
  <c r="AO906" i="15"/>
  <c r="R907" i="15"/>
  <c r="S907" i="15"/>
  <c r="T907" i="15"/>
  <c r="U907" i="15"/>
  <c r="V907" i="15"/>
  <c r="W907" i="15"/>
  <c r="X907" i="15"/>
  <c r="Y907" i="15"/>
  <c r="Z907" i="15"/>
  <c r="AA907" i="15"/>
  <c r="AB907" i="15"/>
  <c r="AC907" i="15"/>
  <c r="AD907" i="15"/>
  <c r="AE907" i="15"/>
  <c r="AF907" i="15"/>
  <c r="AG907" i="15"/>
  <c r="AH907" i="15"/>
  <c r="AI907" i="15"/>
  <c r="AJ907" i="15"/>
  <c r="AK907" i="15"/>
  <c r="AL907" i="15"/>
  <c r="AM907" i="15"/>
  <c r="AN907" i="15"/>
  <c r="AO907" i="15"/>
  <c r="R908" i="15"/>
  <c r="S908" i="15"/>
  <c r="T908" i="15"/>
  <c r="U908" i="15"/>
  <c r="V908" i="15"/>
  <c r="W908" i="15"/>
  <c r="X908" i="15"/>
  <c r="Y908" i="15"/>
  <c r="Z908" i="15"/>
  <c r="AA908" i="15"/>
  <c r="AB908" i="15"/>
  <c r="AC908" i="15"/>
  <c r="AD908" i="15"/>
  <c r="AE908" i="15"/>
  <c r="AF908" i="15"/>
  <c r="AG908" i="15"/>
  <c r="AH908" i="15"/>
  <c r="AI908" i="15"/>
  <c r="AJ908" i="15"/>
  <c r="AK908" i="15"/>
  <c r="AL908" i="15"/>
  <c r="AM908" i="15"/>
  <c r="AN908" i="15"/>
  <c r="AO908" i="15"/>
  <c r="R909" i="15"/>
  <c r="S909" i="15"/>
  <c r="T909" i="15"/>
  <c r="U909" i="15"/>
  <c r="V909" i="15"/>
  <c r="W909" i="15"/>
  <c r="X909" i="15"/>
  <c r="Y909" i="15"/>
  <c r="Z909" i="15"/>
  <c r="AA909" i="15"/>
  <c r="AB909" i="15"/>
  <c r="AC909" i="15"/>
  <c r="AD909" i="15"/>
  <c r="AE909" i="15"/>
  <c r="AF909" i="15"/>
  <c r="AG909" i="15"/>
  <c r="AH909" i="15"/>
  <c r="AI909" i="15"/>
  <c r="AJ909" i="15"/>
  <c r="AK909" i="15"/>
  <c r="AL909" i="15"/>
  <c r="AM909" i="15"/>
  <c r="AN909" i="15"/>
  <c r="AO909" i="15"/>
  <c r="R910" i="15"/>
  <c r="S910" i="15"/>
  <c r="T910" i="15"/>
  <c r="U910" i="15"/>
  <c r="V910" i="15"/>
  <c r="W910" i="15"/>
  <c r="X910" i="15"/>
  <c r="Y910" i="15"/>
  <c r="Z910" i="15"/>
  <c r="AA910" i="15"/>
  <c r="AB910" i="15"/>
  <c r="AC910" i="15"/>
  <c r="AD910" i="15"/>
  <c r="AE910" i="15"/>
  <c r="AF910" i="15"/>
  <c r="AG910" i="15"/>
  <c r="AH910" i="15"/>
  <c r="AI910" i="15"/>
  <c r="AJ910" i="15"/>
  <c r="AK910" i="15"/>
  <c r="AL910" i="15"/>
  <c r="AM910" i="15"/>
  <c r="AN910" i="15"/>
  <c r="AO910" i="15"/>
  <c r="R911" i="15"/>
  <c r="S911" i="15"/>
  <c r="T911" i="15"/>
  <c r="U911" i="15"/>
  <c r="V911" i="15"/>
  <c r="W911" i="15"/>
  <c r="X911" i="15"/>
  <c r="Y911" i="15"/>
  <c r="Z911" i="15"/>
  <c r="AA911" i="15"/>
  <c r="AB911" i="15"/>
  <c r="AC911" i="15"/>
  <c r="AD911" i="15"/>
  <c r="AE911" i="15"/>
  <c r="AF911" i="15"/>
  <c r="AG911" i="15"/>
  <c r="AH911" i="15"/>
  <c r="AI911" i="15"/>
  <c r="AJ911" i="15"/>
  <c r="AK911" i="15"/>
  <c r="AL911" i="15"/>
  <c r="AM911" i="15"/>
  <c r="AN911" i="15"/>
  <c r="AO911" i="15"/>
  <c r="R912" i="15"/>
  <c r="S912" i="15"/>
  <c r="T912" i="15"/>
  <c r="U912" i="15"/>
  <c r="V912" i="15"/>
  <c r="W912" i="15"/>
  <c r="X912" i="15"/>
  <c r="Y912" i="15"/>
  <c r="Z912" i="15"/>
  <c r="AA912" i="15"/>
  <c r="AB912" i="15"/>
  <c r="AC912" i="15"/>
  <c r="AD912" i="15"/>
  <c r="AE912" i="15"/>
  <c r="AF912" i="15"/>
  <c r="AG912" i="15"/>
  <c r="AH912" i="15"/>
  <c r="AI912" i="15"/>
  <c r="AJ912" i="15"/>
  <c r="AK912" i="15"/>
  <c r="AL912" i="15"/>
  <c r="AM912" i="15"/>
  <c r="AN912" i="15"/>
  <c r="AO912" i="15"/>
  <c r="R913" i="15"/>
  <c r="S913" i="15"/>
  <c r="T913" i="15"/>
  <c r="U913" i="15"/>
  <c r="V913" i="15"/>
  <c r="W913" i="15"/>
  <c r="X913" i="15"/>
  <c r="Y913" i="15"/>
  <c r="Z913" i="15"/>
  <c r="AA913" i="15"/>
  <c r="AB913" i="15"/>
  <c r="AC913" i="15"/>
  <c r="AD913" i="15"/>
  <c r="AE913" i="15"/>
  <c r="AF913" i="15"/>
  <c r="AG913" i="15"/>
  <c r="AH913" i="15"/>
  <c r="AI913" i="15"/>
  <c r="AJ913" i="15"/>
  <c r="AK913" i="15"/>
  <c r="AL913" i="15"/>
  <c r="AM913" i="15"/>
  <c r="AN913" i="15"/>
  <c r="AO913" i="15"/>
  <c r="R914" i="15"/>
  <c r="S914" i="15"/>
  <c r="T914" i="15"/>
  <c r="U914" i="15"/>
  <c r="V914" i="15"/>
  <c r="W914" i="15"/>
  <c r="X914" i="15"/>
  <c r="Y914" i="15"/>
  <c r="Z914" i="15"/>
  <c r="AA914" i="15"/>
  <c r="AB914" i="15"/>
  <c r="AC914" i="15"/>
  <c r="AD914" i="15"/>
  <c r="AE914" i="15"/>
  <c r="AF914" i="15"/>
  <c r="AG914" i="15"/>
  <c r="AH914" i="15"/>
  <c r="AI914" i="15"/>
  <c r="AJ914" i="15"/>
  <c r="AK914" i="15"/>
  <c r="AL914" i="15"/>
  <c r="AM914" i="15"/>
  <c r="AN914" i="15"/>
  <c r="AO914" i="15"/>
  <c r="R915" i="15"/>
  <c r="S915" i="15"/>
  <c r="T915" i="15"/>
  <c r="U915" i="15"/>
  <c r="V915" i="15"/>
  <c r="W915" i="15"/>
  <c r="X915" i="15"/>
  <c r="Y915" i="15"/>
  <c r="Z915" i="15"/>
  <c r="AA915" i="15"/>
  <c r="AB915" i="15"/>
  <c r="AC915" i="15"/>
  <c r="AD915" i="15"/>
  <c r="AE915" i="15"/>
  <c r="AF915" i="15"/>
  <c r="AG915" i="15"/>
  <c r="AH915" i="15"/>
  <c r="AI915" i="15"/>
  <c r="AJ915" i="15"/>
  <c r="AK915" i="15"/>
  <c r="AL915" i="15"/>
  <c r="AM915" i="15"/>
  <c r="AN915" i="15"/>
  <c r="AO915" i="15"/>
  <c r="R916" i="15"/>
  <c r="S916" i="15"/>
  <c r="T916" i="15"/>
  <c r="U916" i="15"/>
  <c r="V916" i="15"/>
  <c r="W916" i="15"/>
  <c r="X916" i="15"/>
  <c r="Y916" i="15"/>
  <c r="Z916" i="15"/>
  <c r="AA916" i="15"/>
  <c r="AB916" i="15"/>
  <c r="AC916" i="15"/>
  <c r="AD916" i="15"/>
  <c r="AE916" i="15"/>
  <c r="AF916" i="15"/>
  <c r="AG916" i="15"/>
  <c r="AH916" i="15"/>
  <c r="AI916" i="15"/>
  <c r="AJ916" i="15"/>
  <c r="AK916" i="15"/>
  <c r="AL916" i="15"/>
  <c r="AM916" i="15"/>
  <c r="AN916" i="15"/>
  <c r="AO916" i="15"/>
  <c r="R917" i="15"/>
  <c r="S917" i="15"/>
  <c r="T917" i="15"/>
  <c r="U917" i="15"/>
  <c r="V917" i="15"/>
  <c r="W917" i="15"/>
  <c r="X917" i="15"/>
  <c r="Y917" i="15"/>
  <c r="Z917" i="15"/>
  <c r="AA917" i="15"/>
  <c r="AB917" i="15"/>
  <c r="AC917" i="15"/>
  <c r="AD917" i="15"/>
  <c r="AE917" i="15"/>
  <c r="AF917" i="15"/>
  <c r="AG917" i="15"/>
  <c r="AH917" i="15"/>
  <c r="AI917" i="15"/>
  <c r="AJ917" i="15"/>
  <c r="AK917" i="15"/>
  <c r="AL917" i="15"/>
  <c r="AM917" i="15"/>
  <c r="AN917" i="15"/>
  <c r="AO917" i="15"/>
  <c r="R918" i="15"/>
  <c r="S918" i="15"/>
  <c r="T918" i="15"/>
  <c r="U918" i="15"/>
  <c r="V918" i="15"/>
  <c r="W918" i="15"/>
  <c r="X918" i="15"/>
  <c r="Y918" i="15"/>
  <c r="Z918" i="15"/>
  <c r="AA918" i="15"/>
  <c r="AB918" i="15"/>
  <c r="AC918" i="15"/>
  <c r="AD918" i="15"/>
  <c r="AE918" i="15"/>
  <c r="AF918" i="15"/>
  <c r="AG918" i="15"/>
  <c r="AH918" i="15"/>
  <c r="AI918" i="15"/>
  <c r="AJ918" i="15"/>
  <c r="AK918" i="15"/>
  <c r="AL918" i="15"/>
  <c r="AM918" i="15"/>
  <c r="AN918" i="15"/>
  <c r="AO918" i="15"/>
  <c r="R919" i="15"/>
  <c r="S919" i="15"/>
  <c r="T919" i="15"/>
  <c r="U919" i="15"/>
  <c r="V919" i="15"/>
  <c r="W919" i="15"/>
  <c r="X919" i="15"/>
  <c r="Y919" i="15"/>
  <c r="Z919" i="15"/>
  <c r="AA919" i="15"/>
  <c r="AB919" i="15"/>
  <c r="AC919" i="15"/>
  <c r="AD919" i="15"/>
  <c r="AE919" i="15"/>
  <c r="AF919" i="15"/>
  <c r="AG919" i="15"/>
  <c r="AH919" i="15"/>
  <c r="AI919" i="15"/>
  <c r="AJ919" i="15"/>
  <c r="AK919" i="15"/>
  <c r="AL919" i="15"/>
  <c r="AM919" i="15"/>
  <c r="AN919" i="15"/>
  <c r="AO919" i="15"/>
  <c r="R920" i="15"/>
  <c r="S920" i="15"/>
  <c r="T920" i="15"/>
  <c r="U920" i="15"/>
  <c r="V920" i="15"/>
  <c r="W920" i="15"/>
  <c r="X920" i="15"/>
  <c r="Y920" i="15"/>
  <c r="Z920" i="15"/>
  <c r="AA920" i="15"/>
  <c r="AB920" i="15"/>
  <c r="AC920" i="15"/>
  <c r="AD920" i="15"/>
  <c r="AE920" i="15"/>
  <c r="AF920" i="15"/>
  <c r="AG920" i="15"/>
  <c r="AH920" i="15"/>
  <c r="AI920" i="15"/>
  <c r="AJ920" i="15"/>
  <c r="AK920" i="15"/>
  <c r="AL920" i="15"/>
  <c r="AM920" i="15"/>
  <c r="AN920" i="15"/>
  <c r="AO920" i="15"/>
  <c r="R921" i="15"/>
  <c r="S921" i="15"/>
  <c r="T921" i="15"/>
  <c r="U921" i="15"/>
  <c r="V921" i="15"/>
  <c r="W921" i="15"/>
  <c r="X921" i="15"/>
  <c r="Y921" i="15"/>
  <c r="Z921" i="15"/>
  <c r="AA921" i="15"/>
  <c r="AB921" i="15"/>
  <c r="AC921" i="15"/>
  <c r="AD921" i="15"/>
  <c r="AE921" i="15"/>
  <c r="AF921" i="15"/>
  <c r="AG921" i="15"/>
  <c r="AH921" i="15"/>
  <c r="AI921" i="15"/>
  <c r="AJ921" i="15"/>
  <c r="AK921" i="15"/>
  <c r="AL921" i="15"/>
  <c r="AM921" i="15"/>
  <c r="AN921" i="15"/>
  <c r="AO921" i="15"/>
  <c r="R922" i="15"/>
  <c r="S922" i="15"/>
  <c r="T922" i="15"/>
  <c r="U922" i="15"/>
  <c r="V922" i="15"/>
  <c r="W922" i="15"/>
  <c r="X922" i="15"/>
  <c r="Y922" i="15"/>
  <c r="Z922" i="15"/>
  <c r="AA922" i="15"/>
  <c r="AB922" i="15"/>
  <c r="AC922" i="15"/>
  <c r="AD922" i="15"/>
  <c r="AE922" i="15"/>
  <c r="AF922" i="15"/>
  <c r="AG922" i="15"/>
  <c r="AH922" i="15"/>
  <c r="AI922" i="15"/>
  <c r="AJ922" i="15"/>
  <c r="AK922" i="15"/>
  <c r="AL922" i="15"/>
  <c r="AM922" i="15"/>
  <c r="AN922" i="15"/>
  <c r="AO922" i="15"/>
  <c r="R923" i="15"/>
  <c r="S923" i="15"/>
  <c r="T923" i="15"/>
  <c r="U923" i="15"/>
  <c r="V923" i="15"/>
  <c r="W923" i="15"/>
  <c r="X923" i="15"/>
  <c r="Y923" i="15"/>
  <c r="Z923" i="15"/>
  <c r="AA923" i="15"/>
  <c r="AB923" i="15"/>
  <c r="AC923" i="15"/>
  <c r="AD923" i="15"/>
  <c r="AE923" i="15"/>
  <c r="AF923" i="15"/>
  <c r="AG923" i="15"/>
  <c r="AH923" i="15"/>
  <c r="AI923" i="15"/>
  <c r="AJ923" i="15"/>
  <c r="AK923" i="15"/>
  <c r="AL923" i="15"/>
  <c r="AM923" i="15"/>
  <c r="AN923" i="15"/>
  <c r="AO923" i="15"/>
  <c r="R924" i="15"/>
  <c r="S924" i="15"/>
  <c r="T924" i="15"/>
  <c r="U924" i="15"/>
  <c r="V924" i="15"/>
  <c r="W924" i="15"/>
  <c r="X924" i="15"/>
  <c r="Y924" i="15"/>
  <c r="Z924" i="15"/>
  <c r="AA924" i="15"/>
  <c r="AB924" i="15"/>
  <c r="AC924" i="15"/>
  <c r="AD924" i="15"/>
  <c r="AE924" i="15"/>
  <c r="AF924" i="15"/>
  <c r="AG924" i="15"/>
  <c r="AH924" i="15"/>
  <c r="AI924" i="15"/>
  <c r="AJ924" i="15"/>
  <c r="AK924" i="15"/>
  <c r="AL924" i="15"/>
  <c r="AM924" i="15"/>
  <c r="AN924" i="15"/>
  <c r="AO924" i="15"/>
  <c r="R925" i="15"/>
  <c r="S925" i="15"/>
  <c r="T925" i="15"/>
  <c r="U925" i="15"/>
  <c r="V925" i="15"/>
  <c r="W925" i="15"/>
  <c r="X925" i="15"/>
  <c r="Y925" i="15"/>
  <c r="Z925" i="15"/>
  <c r="AA925" i="15"/>
  <c r="AB925" i="15"/>
  <c r="AC925" i="15"/>
  <c r="AD925" i="15"/>
  <c r="AE925" i="15"/>
  <c r="AF925" i="15"/>
  <c r="AG925" i="15"/>
  <c r="AH925" i="15"/>
  <c r="AI925" i="15"/>
  <c r="AJ925" i="15"/>
  <c r="AK925" i="15"/>
  <c r="AL925" i="15"/>
  <c r="AM925" i="15"/>
  <c r="AN925" i="15"/>
  <c r="AO925" i="15"/>
  <c r="R926" i="15"/>
  <c r="S926" i="15"/>
  <c r="T926" i="15"/>
  <c r="U926" i="15"/>
  <c r="V926" i="15"/>
  <c r="W926" i="15"/>
  <c r="X926" i="15"/>
  <c r="Y926" i="15"/>
  <c r="Z926" i="15"/>
  <c r="AA926" i="15"/>
  <c r="AB926" i="15"/>
  <c r="AC926" i="15"/>
  <c r="AD926" i="15"/>
  <c r="AE926" i="15"/>
  <c r="AF926" i="15"/>
  <c r="AG926" i="15"/>
  <c r="AH926" i="15"/>
  <c r="AI926" i="15"/>
  <c r="AJ926" i="15"/>
  <c r="AK926" i="15"/>
  <c r="AL926" i="15"/>
  <c r="AM926" i="15"/>
  <c r="AN926" i="15"/>
  <c r="AO926" i="15"/>
  <c r="R927" i="15"/>
  <c r="S927" i="15"/>
  <c r="T927" i="15"/>
  <c r="U927" i="15"/>
  <c r="V927" i="15"/>
  <c r="W927" i="15"/>
  <c r="X927" i="15"/>
  <c r="Y927" i="15"/>
  <c r="Z927" i="15"/>
  <c r="AA927" i="15"/>
  <c r="AB927" i="15"/>
  <c r="AC927" i="15"/>
  <c r="AD927" i="15"/>
  <c r="AE927" i="15"/>
  <c r="AF927" i="15"/>
  <c r="AG927" i="15"/>
  <c r="AH927" i="15"/>
  <c r="AI927" i="15"/>
  <c r="AJ927" i="15"/>
  <c r="AK927" i="15"/>
  <c r="AL927" i="15"/>
  <c r="AM927" i="15"/>
  <c r="AN927" i="15"/>
  <c r="AO927" i="15"/>
  <c r="R928" i="15"/>
  <c r="S928" i="15"/>
  <c r="T928" i="15"/>
  <c r="U928" i="15"/>
  <c r="V928" i="15"/>
  <c r="W928" i="15"/>
  <c r="X928" i="15"/>
  <c r="Y928" i="15"/>
  <c r="Z928" i="15"/>
  <c r="AA928" i="15"/>
  <c r="AB928" i="15"/>
  <c r="AC928" i="15"/>
  <c r="AD928" i="15"/>
  <c r="AE928" i="15"/>
  <c r="AF928" i="15"/>
  <c r="AG928" i="15"/>
  <c r="AH928" i="15"/>
  <c r="AI928" i="15"/>
  <c r="AJ928" i="15"/>
  <c r="AK928" i="15"/>
  <c r="AL928" i="15"/>
  <c r="AM928" i="15"/>
  <c r="AN928" i="15"/>
  <c r="AO928" i="15"/>
  <c r="R929" i="15"/>
  <c r="S929" i="15"/>
  <c r="T929" i="15"/>
  <c r="U929" i="15"/>
  <c r="V929" i="15"/>
  <c r="W929" i="15"/>
  <c r="X929" i="15"/>
  <c r="Y929" i="15"/>
  <c r="Z929" i="15"/>
  <c r="AA929" i="15"/>
  <c r="AB929" i="15"/>
  <c r="AC929" i="15"/>
  <c r="AD929" i="15"/>
  <c r="AE929" i="15"/>
  <c r="AF929" i="15"/>
  <c r="AG929" i="15"/>
  <c r="AH929" i="15"/>
  <c r="AI929" i="15"/>
  <c r="AJ929" i="15"/>
  <c r="AK929" i="15"/>
  <c r="AL929" i="15"/>
  <c r="AM929" i="15"/>
  <c r="AN929" i="15"/>
  <c r="AO929" i="15"/>
  <c r="R930" i="15"/>
  <c r="S930" i="15"/>
  <c r="T930" i="15"/>
  <c r="U930" i="15"/>
  <c r="V930" i="15"/>
  <c r="W930" i="15"/>
  <c r="X930" i="15"/>
  <c r="Y930" i="15"/>
  <c r="Z930" i="15"/>
  <c r="AA930" i="15"/>
  <c r="AB930" i="15"/>
  <c r="AC930" i="15"/>
  <c r="AD930" i="15"/>
  <c r="AE930" i="15"/>
  <c r="AF930" i="15"/>
  <c r="AG930" i="15"/>
  <c r="AH930" i="15"/>
  <c r="AI930" i="15"/>
  <c r="AJ930" i="15"/>
  <c r="AK930" i="15"/>
  <c r="AL930" i="15"/>
  <c r="AM930" i="15"/>
  <c r="AN930" i="15"/>
  <c r="AO930" i="15"/>
  <c r="R931" i="15"/>
  <c r="S931" i="15"/>
  <c r="T931" i="15"/>
  <c r="U931" i="15"/>
  <c r="V931" i="15"/>
  <c r="W931" i="15"/>
  <c r="X931" i="15"/>
  <c r="Y931" i="15"/>
  <c r="Z931" i="15"/>
  <c r="AA931" i="15"/>
  <c r="AB931" i="15"/>
  <c r="AC931" i="15"/>
  <c r="AD931" i="15"/>
  <c r="AE931" i="15"/>
  <c r="AF931" i="15"/>
  <c r="AG931" i="15"/>
  <c r="AH931" i="15"/>
  <c r="AI931" i="15"/>
  <c r="AJ931" i="15"/>
  <c r="AK931" i="15"/>
  <c r="AL931" i="15"/>
  <c r="AM931" i="15"/>
  <c r="AN931" i="15"/>
  <c r="AO931" i="15"/>
  <c r="R932" i="15"/>
  <c r="S932" i="15"/>
  <c r="T932" i="15"/>
  <c r="U932" i="15"/>
  <c r="V932" i="15"/>
  <c r="W932" i="15"/>
  <c r="X932" i="15"/>
  <c r="Y932" i="15"/>
  <c r="Z932" i="15"/>
  <c r="AA932" i="15"/>
  <c r="AB932" i="15"/>
  <c r="AC932" i="15"/>
  <c r="AD932" i="15"/>
  <c r="AE932" i="15"/>
  <c r="AF932" i="15"/>
  <c r="AG932" i="15"/>
  <c r="AH932" i="15"/>
  <c r="AI932" i="15"/>
  <c r="AJ932" i="15"/>
  <c r="AK932" i="15"/>
  <c r="AL932" i="15"/>
  <c r="AM932" i="15"/>
  <c r="AN932" i="15"/>
  <c r="AO932" i="15"/>
  <c r="R933" i="15"/>
  <c r="S933" i="15"/>
  <c r="T933" i="15"/>
  <c r="U933" i="15"/>
  <c r="V933" i="15"/>
  <c r="W933" i="15"/>
  <c r="X933" i="15"/>
  <c r="Y933" i="15"/>
  <c r="Z933" i="15"/>
  <c r="AA933" i="15"/>
  <c r="AB933" i="15"/>
  <c r="AC933" i="15"/>
  <c r="AD933" i="15"/>
  <c r="AE933" i="15"/>
  <c r="AF933" i="15"/>
  <c r="AG933" i="15"/>
  <c r="AH933" i="15"/>
  <c r="AI933" i="15"/>
  <c r="AJ933" i="15"/>
  <c r="AK933" i="15"/>
  <c r="AL933" i="15"/>
  <c r="AM933" i="15"/>
  <c r="AN933" i="15"/>
  <c r="AO933" i="15"/>
  <c r="R934" i="15"/>
  <c r="S934" i="15"/>
  <c r="T934" i="15"/>
  <c r="U934" i="15"/>
  <c r="V934" i="15"/>
  <c r="W934" i="15"/>
  <c r="X934" i="15"/>
  <c r="Y934" i="15"/>
  <c r="Z934" i="15"/>
  <c r="AA934" i="15"/>
  <c r="AB934" i="15"/>
  <c r="AC934" i="15"/>
  <c r="AD934" i="15"/>
  <c r="AE934" i="15"/>
  <c r="AF934" i="15"/>
  <c r="AG934" i="15"/>
  <c r="AH934" i="15"/>
  <c r="AI934" i="15"/>
  <c r="AJ934" i="15"/>
  <c r="AK934" i="15"/>
  <c r="AL934" i="15"/>
  <c r="AM934" i="15"/>
  <c r="AN934" i="15"/>
  <c r="AO934" i="15"/>
  <c r="R935" i="15"/>
  <c r="S935" i="15"/>
  <c r="T935" i="15"/>
  <c r="U935" i="15"/>
  <c r="V935" i="15"/>
  <c r="W935" i="15"/>
  <c r="X935" i="15"/>
  <c r="Y935" i="15"/>
  <c r="Z935" i="15"/>
  <c r="AA935" i="15"/>
  <c r="AB935" i="15"/>
  <c r="AC935" i="15"/>
  <c r="AD935" i="15"/>
  <c r="AE935" i="15"/>
  <c r="AF935" i="15"/>
  <c r="AG935" i="15"/>
  <c r="AH935" i="15"/>
  <c r="AI935" i="15"/>
  <c r="AJ935" i="15"/>
  <c r="AK935" i="15"/>
  <c r="AL935" i="15"/>
  <c r="AM935" i="15"/>
  <c r="AN935" i="15"/>
  <c r="AO935" i="15"/>
  <c r="R936" i="15"/>
  <c r="S936" i="15"/>
  <c r="T936" i="15"/>
  <c r="U936" i="15"/>
  <c r="V936" i="15"/>
  <c r="W936" i="15"/>
  <c r="X936" i="15"/>
  <c r="Y936" i="15"/>
  <c r="Z936" i="15"/>
  <c r="AA936" i="15"/>
  <c r="AB936" i="15"/>
  <c r="AC936" i="15"/>
  <c r="AD936" i="15"/>
  <c r="AE936" i="15"/>
  <c r="AF936" i="15"/>
  <c r="AG936" i="15"/>
  <c r="AH936" i="15"/>
  <c r="AI936" i="15"/>
  <c r="AJ936" i="15"/>
  <c r="AK936" i="15"/>
  <c r="AL936" i="15"/>
  <c r="AM936" i="15"/>
  <c r="AN936" i="15"/>
  <c r="AO936" i="15"/>
  <c r="R937" i="15"/>
  <c r="S937" i="15"/>
  <c r="T937" i="15"/>
  <c r="U937" i="15"/>
  <c r="V937" i="15"/>
  <c r="W937" i="15"/>
  <c r="X937" i="15"/>
  <c r="Y937" i="15"/>
  <c r="Z937" i="15"/>
  <c r="AA937" i="15"/>
  <c r="AB937" i="15"/>
  <c r="AC937" i="15"/>
  <c r="AD937" i="15"/>
  <c r="AE937" i="15"/>
  <c r="AF937" i="15"/>
  <c r="AG937" i="15"/>
  <c r="AH937" i="15"/>
  <c r="AI937" i="15"/>
  <c r="AJ937" i="15"/>
  <c r="AK937" i="15"/>
  <c r="AL937" i="15"/>
  <c r="AM937" i="15"/>
  <c r="AN937" i="15"/>
  <c r="AO937" i="15"/>
  <c r="R938" i="15"/>
  <c r="S938" i="15"/>
  <c r="T938" i="15"/>
  <c r="U938" i="15"/>
  <c r="V938" i="15"/>
  <c r="W938" i="15"/>
  <c r="X938" i="15"/>
  <c r="Y938" i="15"/>
  <c r="Z938" i="15"/>
  <c r="AA938" i="15"/>
  <c r="AB938" i="15"/>
  <c r="AC938" i="15"/>
  <c r="AD938" i="15"/>
  <c r="AE938" i="15"/>
  <c r="AF938" i="15"/>
  <c r="AG938" i="15"/>
  <c r="AH938" i="15"/>
  <c r="AI938" i="15"/>
  <c r="AJ938" i="15"/>
  <c r="AK938" i="15"/>
  <c r="AL938" i="15"/>
  <c r="AM938" i="15"/>
  <c r="AN938" i="15"/>
  <c r="AO938" i="15"/>
  <c r="R939" i="15"/>
  <c r="S939" i="15"/>
  <c r="T939" i="15"/>
  <c r="U939" i="15"/>
  <c r="V939" i="15"/>
  <c r="W939" i="15"/>
  <c r="X939" i="15"/>
  <c r="Y939" i="15"/>
  <c r="Z939" i="15"/>
  <c r="AA939" i="15"/>
  <c r="AB939" i="15"/>
  <c r="AC939" i="15"/>
  <c r="AD939" i="15"/>
  <c r="AE939" i="15"/>
  <c r="AF939" i="15"/>
  <c r="AG939" i="15"/>
  <c r="AH939" i="15"/>
  <c r="AI939" i="15"/>
  <c r="AJ939" i="15"/>
  <c r="AK939" i="15"/>
  <c r="AL939" i="15"/>
  <c r="AM939" i="15"/>
  <c r="AN939" i="15"/>
  <c r="AO939" i="15"/>
  <c r="R940" i="15"/>
  <c r="S940" i="15"/>
  <c r="T940" i="15"/>
  <c r="U940" i="15"/>
  <c r="V940" i="15"/>
  <c r="W940" i="15"/>
  <c r="X940" i="15"/>
  <c r="Y940" i="15"/>
  <c r="Z940" i="15"/>
  <c r="AA940" i="15"/>
  <c r="AB940" i="15"/>
  <c r="AC940" i="15"/>
  <c r="AD940" i="15"/>
  <c r="AE940" i="15"/>
  <c r="AF940" i="15"/>
  <c r="AG940" i="15"/>
  <c r="AH940" i="15"/>
  <c r="AI940" i="15"/>
  <c r="AJ940" i="15"/>
  <c r="AK940" i="15"/>
  <c r="AL940" i="15"/>
  <c r="AM940" i="15"/>
  <c r="AN940" i="15"/>
  <c r="AO940" i="15"/>
  <c r="R941" i="15"/>
  <c r="S941" i="15"/>
  <c r="T941" i="15"/>
  <c r="U941" i="15"/>
  <c r="V941" i="15"/>
  <c r="W941" i="15"/>
  <c r="X941" i="15"/>
  <c r="Y941" i="15"/>
  <c r="Z941" i="15"/>
  <c r="AA941" i="15"/>
  <c r="AB941" i="15"/>
  <c r="AC941" i="15"/>
  <c r="AD941" i="15"/>
  <c r="AE941" i="15"/>
  <c r="AF941" i="15"/>
  <c r="AG941" i="15"/>
  <c r="AH941" i="15"/>
  <c r="AI941" i="15"/>
  <c r="AJ941" i="15"/>
  <c r="AK941" i="15"/>
  <c r="AL941" i="15"/>
  <c r="AM941" i="15"/>
  <c r="AN941" i="15"/>
  <c r="AO941" i="15"/>
  <c r="R942" i="15"/>
  <c r="S942" i="15"/>
  <c r="T942" i="15"/>
  <c r="U942" i="15"/>
  <c r="V942" i="15"/>
  <c r="W942" i="15"/>
  <c r="X942" i="15"/>
  <c r="Y942" i="15"/>
  <c r="Z942" i="15"/>
  <c r="AA942" i="15"/>
  <c r="AB942" i="15"/>
  <c r="AC942" i="15"/>
  <c r="AD942" i="15"/>
  <c r="AE942" i="15"/>
  <c r="AF942" i="15"/>
  <c r="AG942" i="15"/>
  <c r="AH942" i="15"/>
  <c r="AI942" i="15"/>
  <c r="AJ942" i="15"/>
  <c r="AK942" i="15"/>
  <c r="AL942" i="15"/>
  <c r="AM942" i="15"/>
  <c r="AN942" i="15"/>
  <c r="AO942" i="15"/>
  <c r="R943" i="15"/>
  <c r="S943" i="15"/>
  <c r="T943" i="15"/>
  <c r="U943" i="15"/>
  <c r="V943" i="15"/>
  <c r="W943" i="15"/>
  <c r="X943" i="15"/>
  <c r="Y943" i="15"/>
  <c r="Z943" i="15"/>
  <c r="AA943" i="15"/>
  <c r="AB943" i="15"/>
  <c r="AC943" i="15"/>
  <c r="AD943" i="15"/>
  <c r="AE943" i="15"/>
  <c r="AF943" i="15"/>
  <c r="AG943" i="15"/>
  <c r="AH943" i="15"/>
  <c r="AI943" i="15"/>
  <c r="AJ943" i="15"/>
  <c r="AK943" i="15"/>
  <c r="AL943" i="15"/>
  <c r="AM943" i="15"/>
  <c r="AN943" i="15"/>
  <c r="AO943" i="15"/>
  <c r="R944" i="15"/>
  <c r="S944" i="15"/>
  <c r="T944" i="15"/>
  <c r="U944" i="15"/>
  <c r="V944" i="15"/>
  <c r="W944" i="15"/>
  <c r="X944" i="15"/>
  <c r="Y944" i="15"/>
  <c r="Z944" i="15"/>
  <c r="AA944" i="15"/>
  <c r="AB944" i="15"/>
  <c r="AC944" i="15"/>
  <c r="AD944" i="15"/>
  <c r="AE944" i="15"/>
  <c r="AF944" i="15"/>
  <c r="AG944" i="15"/>
  <c r="AH944" i="15"/>
  <c r="AI944" i="15"/>
  <c r="AJ944" i="15"/>
  <c r="AK944" i="15"/>
  <c r="AL944" i="15"/>
  <c r="AM944" i="15"/>
  <c r="AN944" i="15"/>
  <c r="AO944" i="15"/>
  <c r="R945" i="15"/>
  <c r="S945" i="15"/>
  <c r="T945" i="15"/>
  <c r="U945" i="15"/>
  <c r="V945" i="15"/>
  <c r="W945" i="15"/>
  <c r="X945" i="15"/>
  <c r="Y945" i="15"/>
  <c r="Z945" i="15"/>
  <c r="AA945" i="15"/>
  <c r="AB945" i="15"/>
  <c r="AC945" i="15"/>
  <c r="AD945" i="15"/>
  <c r="AE945" i="15"/>
  <c r="AF945" i="15"/>
  <c r="AG945" i="15"/>
  <c r="AH945" i="15"/>
  <c r="AI945" i="15"/>
  <c r="AJ945" i="15"/>
  <c r="AK945" i="15"/>
  <c r="AL945" i="15"/>
  <c r="AM945" i="15"/>
  <c r="AN945" i="15"/>
  <c r="AO945" i="15"/>
  <c r="R946" i="15"/>
  <c r="S946" i="15"/>
  <c r="T946" i="15"/>
  <c r="U946" i="15"/>
  <c r="V946" i="15"/>
  <c r="W946" i="15"/>
  <c r="X946" i="15"/>
  <c r="Y946" i="15"/>
  <c r="Z946" i="15"/>
  <c r="AA946" i="15"/>
  <c r="AB946" i="15"/>
  <c r="AC946" i="15"/>
  <c r="AD946" i="15"/>
  <c r="AE946" i="15"/>
  <c r="AF946" i="15"/>
  <c r="AG946" i="15"/>
  <c r="AH946" i="15"/>
  <c r="AI946" i="15"/>
  <c r="AJ946" i="15"/>
  <c r="AK946" i="15"/>
  <c r="AL946" i="15"/>
  <c r="AM946" i="15"/>
  <c r="AN946" i="15"/>
  <c r="AO946" i="15"/>
  <c r="R947" i="15"/>
  <c r="S947" i="15"/>
  <c r="T947" i="15"/>
  <c r="U947" i="15"/>
  <c r="V947" i="15"/>
  <c r="W947" i="15"/>
  <c r="X947" i="15"/>
  <c r="Y947" i="15"/>
  <c r="Z947" i="15"/>
  <c r="AA947" i="15"/>
  <c r="AB947" i="15"/>
  <c r="AC947" i="15"/>
  <c r="AD947" i="15"/>
  <c r="AE947" i="15"/>
  <c r="AF947" i="15"/>
  <c r="AG947" i="15"/>
  <c r="AH947" i="15"/>
  <c r="AI947" i="15"/>
  <c r="AJ947" i="15"/>
  <c r="AK947" i="15"/>
  <c r="AL947" i="15"/>
  <c r="AM947" i="15"/>
  <c r="AN947" i="15"/>
  <c r="AO947" i="15"/>
  <c r="R948" i="15"/>
  <c r="S948" i="15"/>
  <c r="T948" i="15"/>
  <c r="U948" i="15"/>
  <c r="V948" i="15"/>
  <c r="W948" i="15"/>
  <c r="X948" i="15"/>
  <c r="Y948" i="15"/>
  <c r="Z948" i="15"/>
  <c r="AA948" i="15"/>
  <c r="AB948" i="15"/>
  <c r="AC948" i="15"/>
  <c r="AD948" i="15"/>
  <c r="AE948" i="15"/>
  <c r="AF948" i="15"/>
  <c r="AG948" i="15"/>
  <c r="AH948" i="15"/>
  <c r="AI948" i="15"/>
  <c r="AJ948" i="15"/>
  <c r="AK948" i="15"/>
  <c r="AL948" i="15"/>
  <c r="AM948" i="15"/>
  <c r="AN948" i="15"/>
  <c r="AO948" i="15"/>
  <c r="R949" i="15"/>
  <c r="S949" i="15"/>
  <c r="T949" i="15"/>
  <c r="U949" i="15"/>
  <c r="V949" i="15"/>
  <c r="W949" i="15"/>
  <c r="X949" i="15"/>
  <c r="Y949" i="15"/>
  <c r="Z949" i="15"/>
  <c r="AA949" i="15"/>
  <c r="AB949" i="15"/>
  <c r="AC949" i="15"/>
  <c r="AD949" i="15"/>
  <c r="AE949" i="15"/>
  <c r="AF949" i="15"/>
  <c r="AG949" i="15"/>
  <c r="AH949" i="15"/>
  <c r="AI949" i="15"/>
  <c r="AJ949" i="15"/>
  <c r="AK949" i="15"/>
  <c r="AL949" i="15"/>
  <c r="AM949" i="15"/>
  <c r="AN949" i="15"/>
  <c r="AO949" i="15"/>
  <c r="R950" i="15"/>
  <c r="S950" i="15"/>
  <c r="T950" i="15"/>
  <c r="U950" i="15"/>
  <c r="V950" i="15"/>
  <c r="W950" i="15"/>
  <c r="X950" i="15"/>
  <c r="Y950" i="15"/>
  <c r="Z950" i="15"/>
  <c r="AA950" i="15"/>
  <c r="AB950" i="15"/>
  <c r="AC950" i="15"/>
  <c r="AD950" i="15"/>
  <c r="AE950" i="15"/>
  <c r="AF950" i="15"/>
  <c r="AG950" i="15"/>
  <c r="AH950" i="15"/>
  <c r="AI950" i="15"/>
  <c r="AJ950" i="15"/>
  <c r="AK950" i="15"/>
  <c r="AL950" i="15"/>
  <c r="AM950" i="15"/>
  <c r="AN950" i="15"/>
  <c r="AO950" i="15"/>
  <c r="R951" i="15"/>
  <c r="S951" i="15"/>
  <c r="T951" i="15"/>
  <c r="U951" i="15"/>
  <c r="V951" i="15"/>
  <c r="W951" i="15"/>
  <c r="X951" i="15"/>
  <c r="Y951" i="15"/>
  <c r="Z951" i="15"/>
  <c r="AA951" i="15"/>
  <c r="AB951" i="15"/>
  <c r="AC951" i="15"/>
  <c r="AD951" i="15"/>
  <c r="AE951" i="15"/>
  <c r="AF951" i="15"/>
  <c r="AG951" i="15"/>
  <c r="AH951" i="15"/>
  <c r="AI951" i="15"/>
  <c r="AJ951" i="15"/>
  <c r="AK951" i="15"/>
  <c r="AL951" i="15"/>
  <c r="AM951" i="15"/>
  <c r="AN951" i="15"/>
  <c r="AO951" i="15"/>
  <c r="R952" i="15"/>
  <c r="S952" i="15"/>
  <c r="T952" i="15"/>
  <c r="U952" i="15"/>
  <c r="V952" i="15"/>
  <c r="W952" i="15"/>
  <c r="X952" i="15"/>
  <c r="Y952" i="15"/>
  <c r="Z952" i="15"/>
  <c r="AA952" i="15"/>
  <c r="AB952" i="15"/>
  <c r="AC952" i="15"/>
  <c r="AD952" i="15"/>
  <c r="AE952" i="15"/>
  <c r="AF952" i="15"/>
  <c r="AG952" i="15"/>
  <c r="AH952" i="15"/>
  <c r="AI952" i="15"/>
  <c r="AJ952" i="15"/>
  <c r="AK952" i="15"/>
  <c r="AL952" i="15"/>
  <c r="AM952" i="15"/>
  <c r="AN952" i="15"/>
  <c r="AO952" i="15"/>
  <c r="R953" i="15"/>
  <c r="S953" i="15"/>
  <c r="T953" i="15"/>
  <c r="U953" i="15"/>
  <c r="V953" i="15"/>
  <c r="W953" i="15"/>
  <c r="X953" i="15"/>
  <c r="Y953" i="15"/>
  <c r="Z953" i="15"/>
  <c r="AA953" i="15"/>
  <c r="AB953" i="15"/>
  <c r="AC953" i="15"/>
  <c r="AD953" i="15"/>
  <c r="AE953" i="15"/>
  <c r="AF953" i="15"/>
  <c r="AG953" i="15"/>
  <c r="AH953" i="15"/>
  <c r="AI953" i="15"/>
  <c r="AJ953" i="15"/>
  <c r="AK953" i="15"/>
  <c r="AL953" i="15"/>
  <c r="AM953" i="15"/>
  <c r="AN953" i="15"/>
  <c r="AO953" i="15"/>
  <c r="R954" i="15"/>
  <c r="S954" i="15"/>
  <c r="T954" i="15"/>
  <c r="U954" i="15"/>
  <c r="V954" i="15"/>
  <c r="W954" i="15"/>
  <c r="X954" i="15"/>
  <c r="Y954" i="15"/>
  <c r="Z954" i="15"/>
  <c r="AA954" i="15"/>
  <c r="AB954" i="15"/>
  <c r="AC954" i="15"/>
  <c r="AD954" i="15"/>
  <c r="AE954" i="15"/>
  <c r="AF954" i="15"/>
  <c r="AG954" i="15"/>
  <c r="AH954" i="15"/>
  <c r="AI954" i="15"/>
  <c r="AJ954" i="15"/>
  <c r="AK954" i="15"/>
  <c r="AL954" i="15"/>
  <c r="AM954" i="15"/>
  <c r="AN954" i="15"/>
  <c r="AO954" i="15"/>
  <c r="R955" i="15"/>
  <c r="S955" i="15"/>
  <c r="T955" i="15"/>
  <c r="U955" i="15"/>
  <c r="V955" i="15"/>
  <c r="W955" i="15"/>
  <c r="X955" i="15"/>
  <c r="Y955" i="15"/>
  <c r="Z955" i="15"/>
  <c r="AA955" i="15"/>
  <c r="AB955" i="15"/>
  <c r="AC955" i="15"/>
  <c r="AD955" i="15"/>
  <c r="AE955" i="15"/>
  <c r="AF955" i="15"/>
  <c r="AG955" i="15"/>
  <c r="AH955" i="15"/>
  <c r="AI955" i="15"/>
  <c r="AJ955" i="15"/>
  <c r="AK955" i="15"/>
  <c r="AL955" i="15"/>
  <c r="AM955" i="15"/>
  <c r="AN955" i="15"/>
  <c r="AO955" i="15"/>
  <c r="R956" i="15"/>
  <c r="S956" i="15"/>
  <c r="T956" i="15"/>
  <c r="U956" i="15"/>
  <c r="V956" i="15"/>
  <c r="W956" i="15"/>
  <c r="X956" i="15"/>
  <c r="Y956" i="15"/>
  <c r="Z956" i="15"/>
  <c r="AA956" i="15"/>
  <c r="AB956" i="15"/>
  <c r="AC956" i="15"/>
  <c r="AD956" i="15"/>
  <c r="AE956" i="15"/>
  <c r="AF956" i="15"/>
  <c r="AG956" i="15"/>
  <c r="AH956" i="15"/>
  <c r="AI956" i="15"/>
  <c r="AJ956" i="15"/>
  <c r="AK956" i="15"/>
  <c r="AL956" i="15"/>
  <c r="AM956" i="15"/>
  <c r="AN956" i="15"/>
  <c r="AO956" i="15"/>
  <c r="R957" i="15"/>
  <c r="S957" i="15"/>
  <c r="T957" i="15"/>
  <c r="U957" i="15"/>
  <c r="V957" i="15"/>
  <c r="W957" i="15"/>
  <c r="X957" i="15"/>
  <c r="Y957" i="15"/>
  <c r="Z957" i="15"/>
  <c r="AA957" i="15"/>
  <c r="AB957" i="15"/>
  <c r="AC957" i="15"/>
  <c r="AD957" i="15"/>
  <c r="AE957" i="15"/>
  <c r="AF957" i="15"/>
  <c r="AG957" i="15"/>
  <c r="AH957" i="15"/>
  <c r="AI957" i="15"/>
  <c r="AJ957" i="15"/>
  <c r="AK957" i="15"/>
  <c r="AL957" i="15"/>
  <c r="AM957" i="15"/>
  <c r="AN957" i="15"/>
  <c r="AO957" i="15"/>
  <c r="R958" i="15"/>
  <c r="S958" i="15"/>
  <c r="T958" i="15"/>
  <c r="U958" i="15"/>
  <c r="V958" i="15"/>
  <c r="W958" i="15"/>
  <c r="X958" i="15"/>
  <c r="Y958" i="15"/>
  <c r="Z958" i="15"/>
  <c r="AA958" i="15"/>
  <c r="AB958" i="15"/>
  <c r="AC958" i="15"/>
  <c r="AD958" i="15"/>
  <c r="AE958" i="15"/>
  <c r="AF958" i="15"/>
  <c r="AG958" i="15"/>
  <c r="AH958" i="15"/>
  <c r="AI958" i="15"/>
  <c r="AJ958" i="15"/>
  <c r="AK958" i="15"/>
  <c r="AL958" i="15"/>
  <c r="AM958" i="15"/>
  <c r="AN958" i="15"/>
  <c r="AO958" i="15"/>
  <c r="R959" i="15"/>
  <c r="S959" i="15"/>
  <c r="T959" i="15"/>
  <c r="U959" i="15"/>
  <c r="V959" i="15"/>
  <c r="W959" i="15"/>
  <c r="X959" i="15"/>
  <c r="Y959" i="15"/>
  <c r="Z959" i="15"/>
  <c r="AA959" i="15"/>
  <c r="AB959" i="15"/>
  <c r="AC959" i="15"/>
  <c r="AD959" i="15"/>
  <c r="AE959" i="15"/>
  <c r="AF959" i="15"/>
  <c r="AG959" i="15"/>
  <c r="AH959" i="15"/>
  <c r="AI959" i="15"/>
  <c r="AJ959" i="15"/>
  <c r="AK959" i="15"/>
  <c r="AL959" i="15"/>
  <c r="AM959" i="15"/>
  <c r="AN959" i="15"/>
  <c r="AO959" i="15"/>
  <c r="R960" i="15"/>
  <c r="S960" i="15"/>
  <c r="T960" i="15"/>
  <c r="U960" i="15"/>
  <c r="V960" i="15"/>
  <c r="W960" i="15"/>
  <c r="X960" i="15"/>
  <c r="Y960" i="15"/>
  <c r="Z960" i="15"/>
  <c r="AA960" i="15"/>
  <c r="AB960" i="15"/>
  <c r="AC960" i="15"/>
  <c r="AD960" i="15"/>
  <c r="AE960" i="15"/>
  <c r="AF960" i="15"/>
  <c r="AG960" i="15"/>
  <c r="AH960" i="15"/>
  <c r="AI960" i="15"/>
  <c r="AJ960" i="15"/>
  <c r="AK960" i="15"/>
  <c r="AL960" i="15"/>
  <c r="AM960" i="15"/>
  <c r="AN960" i="15"/>
  <c r="AO960" i="15"/>
  <c r="R961" i="15"/>
  <c r="S961" i="15"/>
  <c r="T961" i="15"/>
  <c r="U961" i="15"/>
  <c r="V961" i="15"/>
  <c r="W961" i="15"/>
  <c r="X961" i="15"/>
  <c r="Y961" i="15"/>
  <c r="Z961" i="15"/>
  <c r="AA961" i="15"/>
  <c r="AB961" i="15"/>
  <c r="AC961" i="15"/>
  <c r="AD961" i="15"/>
  <c r="AE961" i="15"/>
  <c r="AF961" i="15"/>
  <c r="AG961" i="15"/>
  <c r="AH961" i="15"/>
  <c r="AI961" i="15"/>
  <c r="AJ961" i="15"/>
  <c r="AK961" i="15"/>
  <c r="AL961" i="15"/>
  <c r="AM961" i="15"/>
  <c r="AN961" i="15"/>
  <c r="AO961" i="15"/>
  <c r="R962" i="15"/>
  <c r="S962" i="15"/>
  <c r="T962" i="15"/>
  <c r="U962" i="15"/>
  <c r="V962" i="15"/>
  <c r="W962" i="15"/>
  <c r="X962" i="15"/>
  <c r="Y962" i="15"/>
  <c r="Z962" i="15"/>
  <c r="AA962" i="15"/>
  <c r="AB962" i="15"/>
  <c r="AC962" i="15"/>
  <c r="AD962" i="15"/>
  <c r="AE962" i="15"/>
  <c r="AF962" i="15"/>
  <c r="AG962" i="15"/>
  <c r="AH962" i="15"/>
  <c r="AI962" i="15"/>
  <c r="AJ962" i="15"/>
  <c r="AK962" i="15"/>
  <c r="AL962" i="15"/>
  <c r="AM962" i="15"/>
  <c r="AN962" i="15"/>
  <c r="AO962" i="15"/>
  <c r="R963" i="15"/>
  <c r="S963" i="15"/>
  <c r="T963" i="15"/>
  <c r="U963" i="15"/>
  <c r="V963" i="15"/>
  <c r="W963" i="15"/>
  <c r="X963" i="15"/>
  <c r="Y963" i="15"/>
  <c r="Z963" i="15"/>
  <c r="AA963" i="15"/>
  <c r="AB963" i="15"/>
  <c r="AC963" i="15"/>
  <c r="AD963" i="15"/>
  <c r="AE963" i="15"/>
  <c r="AF963" i="15"/>
  <c r="AG963" i="15"/>
  <c r="AH963" i="15"/>
  <c r="AI963" i="15"/>
  <c r="AJ963" i="15"/>
  <c r="AK963" i="15"/>
  <c r="AL963" i="15"/>
  <c r="AM963" i="15"/>
  <c r="AN963" i="15"/>
  <c r="AO963" i="15"/>
  <c r="R964" i="15"/>
  <c r="S964" i="15"/>
  <c r="T964" i="15"/>
  <c r="U964" i="15"/>
  <c r="V964" i="15"/>
  <c r="W964" i="15"/>
  <c r="X964" i="15"/>
  <c r="Y964" i="15"/>
  <c r="Z964" i="15"/>
  <c r="AA964" i="15"/>
  <c r="AB964" i="15"/>
  <c r="AC964" i="15"/>
  <c r="AD964" i="15"/>
  <c r="AE964" i="15"/>
  <c r="AF964" i="15"/>
  <c r="AG964" i="15"/>
  <c r="AH964" i="15"/>
  <c r="AI964" i="15"/>
  <c r="AJ964" i="15"/>
  <c r="AK964" i="15"/>
  <c r="AL964" i="15"/>
  <c r="AM964" i="15"/>
  <c r="AN964" i="15"/>
  <c r="AO964" i="15"/>
  <c r="R965" i="15"/>
  <c r="S965" i="15"/>
  <c r="T965" i="15"/>
  <c r="U965" i="15"/>
  <c r="V965" i="15"/>
  <c r="W965" i="15"/>
  <c r="X965" i="15"/>
  <c r="Y965" i="15"/>
  <c r="Z965" i="15"/>
  <c r="AA965" i="15"/>
  <c r="AB965" i="15"/>
  <c r="AC965" i="15"/>
  <c r="AD965" i="15"/>
  <c r="AE965" i="15"/>
  <c r="AF965" i="15"/>
  <c r="AG965" i="15"/>
  <c r="AH965" i="15"/>
  <c r="AI965" i="15"/>
  <c r="AJ965" i="15"/>
  <c r="AK965" i="15"/>
  <c r="AL965" i="15"/>
  <c r="AM965" i="15"/>
  <c r="AN965" i="15"/>
  <c r="AO965" i="15"/>
  <c r="R966" i="15"/>
  <c r="S966" i="15"/>
  <c r="T966" i="15"/>
  <c r="U966" i="15"/>
  <c r="V966" i="15"/>
  <c r="W966" i="15"/>
  <c r="X966" i="15"/>
  <c r="Y966" i="15"/>
  <c r="Z966" i="15"/>
  <c r="AA966" i="15"/>
  <c r="AB966" i="15"/>
  <c r="AC966" i="15"/>
  <c r="AD966" i="15"/>
  <c r="AE966" i="15"/>
  <c r="AF966" i="15"/>
  <c r="AG966" i="15"/>
  <c r="AH966" i="15"/>
  <c r="AI966" i="15"/>
  <c r="AJ966" i="15"/>
  <c r="AK966" i="15"/>
  <c r="AL966" i="15"/>
  <c r="AM966" i="15"/>
  <c r="AN966" i="15"/>
  <c r="AO966" i="15"/>
  <c r="R967" i="15"/>
  <c r="S967" i="15"/>
  <c r="T967" i="15"/>
  <c r="U967" i="15"/>
  <c r="V967" i="15"/>
  <c r="W967" i="15"/>
  <c r="X967" i="15"/>
  <c r="Y967" i="15"/>
  <c r="Z967" i="15"/>
  <c r="AA967" i="15"/>
  <c r="AB967" i="15"/>
  <c r="AC967" i="15"/>
  <c r="AD967" i="15"/>
  <c r="AE967" i="15"/>
  <c r="AF967" i="15"/>
  <c r="AG967" i="15"/>
  <c r="AH967" i="15"/>
  <c r="AI967" i="15"/>
  <c r="AJ967" i="15"/>
  <c r="AK967" i="15"/>
  <c r="AL967" i="15"/>
  <c r="AM967" i="15"/>
  <c r="AN967" i="15"/>
  <c r="AO967" i="15"/>
  <c r="R968" i="15"/>
  <c r="S968" i="15"/>
  <c r="T968" i="15"/>
  <c r="U968" i="15"/>
  <c r="V968" i="15"/>
  <c r="W968" i="15"/>
  <c r="X968" i="15"/>
  <c r="Y968" i="15"/>
  <c r="Z968" i="15"/>
  <c r="AA968" i="15"/>
  <c r="AB968" i="15"/>
  <c r="AC968" i="15"/>
  <c r="AD968" i="15"/>
  <c r="AE968" i="15"/>
  <c r="AF968" i="15"/>
  <c r="AG968" i="15"/>
  <c r="AH968" i="15"/>
  <c r="AI968" i="15"/>
  <c r="AJ968" i="15"/>
  <c r="AK968" i="15"/>
  <c r="AL968" i="15"/>
  <c r="AM968" i="15"/>
  <c r="AN968" i="15"/>
  <c r="AO968" i="15"/>
  <c r="R969" i="15"/>
  <c r="S969" i="15"/>
  <c r="T969" i="15"/>
  <c r="U969" i="15"/>
  <c r="V969" i="15"/>
  <c r="W969" i="15"/>
  <c r="X969" i="15"/>
  <c r="Y969" i="15"/>
  <c r="Z969" i="15"/>
  <c r="AA969" i="15"/>
  <c r="AB969" i="15"/>
  <c r="AC969" i="15"/>
  <c r="AD969" i="15"/>
  <c r="AE969" i="15"/>
  <c r="AF969" i="15"/>
  <c r="AG969" i="15"/>
  <c r="AH969" i="15"/>
  <c r="AI969" i="15"/>
  <c r="AJ969" i="15"/>
  <c r="AK969" i="15"/>
  <c r="AL969" i="15"/>
  <c r="AM969" i="15"/>
  <c r="AN969" i="15"/>
  <c r="AO969" i="15"/>
  <c r="R970" i="15"/>
  <c r="S970" i="15"/>
  <c r="T970" i="15"/>
  <c r="U970" i="15"/>
  <c r="V970" i="15"/>
  <c r="W970" i="15"/>
  <c r="X970" i="15"/>
  <c r="Y970" i="15"/>
  <c r="Z970" i="15"/>
  <c r="AA970" i="15"/>
  <c r="AB970" i="15"/>
  <c r="AC970" i="15"/>
  <c r="AD970" i="15"/>
  <c r="AE970" i="15"/>
  <c r="AF970" i="15"/>
  <c r="AG970" i="15"/>
  <c r="AH970" i="15"/>
  <c r="AI970" i="15"/>
  <c r="AJ970" i="15"/>
  <c r="AK970" i="15"/>
  <c r="AL970" i="15"/>
  <c r="AM970" i="15"/>
  <c r="AN970" i="15"/>
  <c r="AO970" i="15"/>
  <c r="R971" i="15"/>
  <c r="S971" i="15"/>
  <c r="T971" i="15"/>
  <c r="U971" i="15"/>
  <c r="V971" i="15"/>
  <c r="W971" i="15"/>
  <c r="X971" i="15"/>
  <c r="Y971" i="15"/>
  <c r="Z971" i="15"/>
  <c r="AA971" i="15"/>
  <c r="AB971" i="15"/>
  <c r="AC971" i="15"/>
  <c r="AD971" i="15"/>
  <c r="AE971" i="15"/>
  <c r="AF971" i="15"/>
  <c r="AG971" i="15"/>
  <c r="AH971" i="15"/>
  <c r="AI971" i="15"/>
  <c r="AJ971" i="15"/>
  <c r="AK971" i="15"/>
  <c r="AL971" i="15"/>
  <c r="AM971" i="15"/>
  <c r="AN971" i="15"/>
  <c r="AO971" i="15"/>
  <c r="R972" i="15"/>
  <c r="S972" i="15"/>
  <c r="T972" i="15"/>
  <c r="U972" i="15"/>
  <c r="V972" i="15"/>
  <c r="W972" i="15"/>
  <c r="X972" i="15"/>
  <c r="Y972" i="15"/>
  <c r="Z972" i="15"/>
  <c r="AA972" i="15"/>
  <c r="AB972" i="15"/>
  <c r="AC972" i="15"/>
  <c r="AD972" i="15"/>
  <c r="AE972" i="15"/>
  <c r="AF972" i="15"/>
  <c r="AG972" i="15"/>
  <c r="AH972" i="15"/>
  <c r="AI972" i="15"/>
  <c r="AJ972" i="15"/>
  <c r="AK972" i="15"/>
  <c r="AL972" i="15"/>
  <c r="AM972" i="15"/>
  <c r="AN972" i="15"/>
  <c r="AO972" i="15"/>
  <c r="R973" i="15"/>
  <c r="S973" i="15"/>
  <c r="T973" i="15"/>
  <c r="U973" i="15"/>
  <c r="V973" i="15"/>
  <c r="W973" i="15"/>
  <c r="X973" i="15"/>
  <c r="Y973" i="15"/>
  <c r="Z973" i="15"/>
  <c r="AA973" i="15"/>
  <c r="AB973" i="15"/>
  <c r="AC973" i="15"/>
  <c r="AD973" i="15"/>
  <c r="AE973" i="15"/>
  <c r="AF973" i="15"/>
  <c r="AG973" i="15"/>
  <c r="AH973" i="15"/>
  <c r="AI973" i="15"/>
  <c r="AJ973" i="15"/>
  <c r="AK973" i="15"/>
  <c r="AL973" i="15"/>
  <c r="AM973" i="15"/>
  <c r="AN973" i="15"/>
  <c r="AO973" i="15"/>
  <c r="R974" i="15"/>
  <c r="S974" i="15"/>
  <c r="T974" i="15"/>
  <c r="U974" i="15"/>
  <c r="V974" i="15"/>
  <c r="W974" i="15"/>
  <c r="X974" i="15"/>
  <c r="Y974" i="15"/>
  <c r="Z974" i="15"/>
  <c r="AA974" i="15"/>
  <c r="AB974" i="15"/>
  <c r="AC974" i="15"/>
  <c r="AD974" i="15"/>
  <c r="AE974" i="15"/>
  <c r="AF974" i="15"/>
  <c r="AG974" i="15"/>
  <c r="AH974" i="15"/>
  <c r="AI974" i="15"/>
  <c r="AJ974" i="15"/>
  <c r="AK974" i="15"/>
  <c r="AL974" i="15"/>
  <c r="AM974" i="15"/>
  <c r="AN974" i="15"/>
  <c r="AO974" i="15"/>
  <c r="R975" i="15"/>
  <c r="S975" i="15"/>
  <c r="T975" i="15"/>
  <c r="U975" i="15"/>
  <c r="V975" i="15"/>
  <c r="W975" i="15"/>
  <c r="X975" i="15"/>
  <c r="Y975" i="15"/>
  <c r="Z975" i="15"/>
  <c r="AA975" i="15"/>
  <c r="AB975" i="15"/>
  <c r="AC975" i="15"/>
  <c r="AD975" i="15"/>
  <c r="AE975" i="15"/>
  <c r="AF975" i="15"/>
  <c r="AG975" i="15"/>
  <c r="AH975" i="15"/>
  <c r="AI975" i="15"/>
  <c r="AJ975" i="15"/>
  <c r="AK975" i="15"/>
  <c r="AL975" i="15"/>
  <c r="AM975" i="15"/>
  <c r="AN975" i="15"/>
  <c r="AO975" i="15"/>
  <c r="R976" i="15"/>
  <c r="S976" i="15"/>
  <c r="T976" i="15"/>
  <c r="U976" i="15"/>
  <c r="V976" i="15"/>
  <c r="W976" i="15"/>
  <c r="X976" i="15"/>
  <c r="Y976" i="15"/>
  <c r="Z976" i="15"/>
  <c r="AA976" i="15"/>
  <c r="AB976" i="15"/>
  <c r="AC976" i="15"/>
  <c r="AD976" i="15"/>
  <c r="AE976" i="15"/>
  <c r="AF976" i="15"/>
  <c r="AG976" i="15"/>
  <c r="AH976" i="15"/>
  <c r="AI976" i="15"/>
  <c r="AJ976" i="15"/>
  <c r="AK976" i="15"/>
  <c r="AL976" i="15"/>
  <c r="AM976" i="15"/>
  <c r="AN976" i="15"/>
  <c r="AO976" i="15"/>
  <c r="R977" i="15"/>
  <c r="S977" i="15"/>
  <c r="T977" i="15"/>
  <c r="U977" i="15"/>
  <c r="V977" i="15"/>
  <c r="W977" i="15"/>
  <c r="X977" i="15"/>
  <c r="Y977" i="15"/>
  <c r="Z977" i="15"/>
  <c r="AA977" i="15"/>
  <c r="AB977" i="15"/>
  <c r="AC977" i="15"/>
  <c r="AD977" i="15"/>
  <c r="AE977" i="15"/>
  <c r="AF977" i="15"/>
  <c r="AG977" i="15"/>
  <c r="AH977" i="15"/>
  <c r="AI977" i="15"/>
  <c r="AJ977" i="15"/>
  <c r="AK977" i="15"/>
  <c r="AL977" i="15"/>
  <c r="AM977" i="15"/>
  <c r="AN977" i="15"/>
  <c r="AO977" i="15"/>
  <c r="R978" i="15"/>
  <c r="S978" i="15"/>
  <c r="T978" i="15"/>
  <c r="U978" i="15"/>
  <c r="V978" i="15"/>
  <c r="W978" i="15"/>
  <c r="X978" i="15"/>
  <c r="Y978" i="15"/>
  <c r="Z978" i="15"/>
  <c r="AA978" i="15"/>
  <c r="AB978" i="15"/>
  <c r="AC978" i="15"/>
  <c r="AD978" i="15"/>
  <c r="AE978" i="15"/>
  <c r="AF978" i="15"/>
  <c r="AG978" i="15"/>
  <c r="AH978" i="15"/>
  <c r="AI978" i="15"/>
  <c r="AJ978" i="15"/>
  <c r="AK978" i="15"/>
  <c r="AL978" i="15"/>
  <c r="AM978" i="15"/>
  <c r="AN978" i="15"/>
  <c r="AO978" i="15"/>
  <c r="R979" i="15"/>
  <c r="S979" i="15"/>
  <c r="T979" i="15"/>
  <c r="U979" i="15"/>
  <c r="V979" i="15"/>
  <c r="W979" i="15"/>
  <c r="X979" i="15"/>
  <c r="Y979" i="15"/>
  <c r="Z979" i="15"/>
  <c r="AA979" i="15"/>
  <c r="AB979" i="15"/>
  <c r="AC979" i="15"/>
  <c r="AD979" i="15"/>
  <c r="AE979" i="15"/>
  <c r="AF979" i="15"/>
  <c r="AG979" i="15"/>
  <c r="AH979" i="15"/>
  <c r="AI979" i="15"/>
  <c r="AJ979" i="15"/>
  <c r="AK979" i="15"/>
  <c r="AL979" i="15"/>
  <c r="AM979" i="15"/>
  <c r="AN979" i="15"/>
  <c r="AO979" i="15"/>
  <c r="R980" i="15"/>
  <c r="S980" i="15"/>
  <c r="T980" i="15"/>
  <c r="U980" i="15"/>
  <c r="V980" i="15"/>
  <c r="W980" i="15"/>
  <c r="X980" i="15"/>
  <c r="Y980" i="15"/>
  <c r="Z980" i="15"/>
  <c r="AA980" i="15"/>
  <c r="AB980" i="15"/>
  <c r="AC980" i="15"/>
  <c r="AD980" i="15"/>
  <c r="AE980" i="15"/>
  <c r="AF980" i="15"/>
  <c r="AG980" i="15"/>
  <c r="AH980" i="15"/>
  <c r="AI980" i="15"/>
  <c r="AJ980" i="15"/>
  <c r="AK980" i="15"/>
  <c r="AL980" i="15"/>
  <c r="AM980" i="15"/>
  <c r="AN980" i="15"/>
  <c r="AO980" i="15"/>
  <c r="R981" i="15"/>
  <c r="S981" i="15"/>
  <c r="T981" i="15"/>
  <c r="U981" i="15"/>
  <c r="V981" i="15"/>
  <c r="W981" i="15"/>
  <c r="X981" i="15"/>
  <c r="Y981" i="15"/>
  <c r="Z981" i="15"/>
  <c r="AA981" i="15"/>
  <c r="AB981" i="15"/>
  <c r="AC981" i="15"/>
  <c r="AD981" i="15"/>
  <c r="AE981" i="15"/>
  <c r="AF981" i="15"/>
  <c r="AG981" i="15"/>
  <c r="AH981" i="15"/>
  <c r="AI981" i="15"/>
  <c r="AJ981" i="15"/>
  <c r="AK981" i="15"/>
  <c r="AL981" i="15"/>
  <c r="AM981" i="15"/>
  <c r="AN981" i="15"/>
  <c r="AO981" i="15"/>
  <c r="R982" i="15"/>
  <c r="S982" i="15"/>
  <c r="T982" i="15"/>
  <c r="U982" i="15"/>
  <c r="V982" i="15"/>
  <c r="W982" i="15"/>
  <c r="X982" i="15"/>
  <c r="Y982" i="15"/>
  <c r="Z982" i="15"/>
  <c r="AA982" i="15"/>
  <c r="AB982" i="15"/>
  <c r="AC982" i="15"/>
  <c r="AD982" i="15"/>
  <c r="AE982" i="15"/>
  <c r="AF982" i="15"/>
  <c r="AG982" i="15"/>
  <c r="AH982" i="15"/>
  <c r="AI982" i="15"/>
  <c r="AJ982" i="15"/>
  <c r="AK982" i="15"/>
  <c r="AL982" i="15"/>
  <c r="AM982" i="15"/>
  <c r="AN982" i="15"/>
  <c r="AO982" i="15"/>
  <c r="R983" i="15"/>
  <c r="S983" i="15"/>
  <c r="T983" i="15"/>
  <c r="U983" i="15"/>
  <c r="V983" i="15"/>
  <c r="W983" i="15"/>
  <c r="X983" i="15"/>
  <c r="Y983" i="15"/>
  <c r="Z983" i="15"/>
  <c r="AA983" i="15"/>
  <c r="AB983" i="15"/>
  <c r="AC983" i="15"/>
  <c r="AD983" i="15"/>
  <c r="AE983" i="15"/>
  <c r="AF983" i="15"/>
  <c r="AG983" i="15"/>
  <c r="AH983" i="15"/>
  <c r="AI983" i="15"/>
  <c r="AJ983" i="15"/>
  <c r="AK983" i="15"/>
  <c r="AL983" i="15"/>
  <c r="AM983" i="15"/>
  <c r="AN983" i="15"/>
  <c r="AO983" i="15"/>
  <c r="R984" i="15"/>
  <c r="S984" i="15"/>
  <c r="T984" i="15"/>
  <c r="U984" i="15"/>
  <c r="V984" i="15"/>
  <c r="W984" i="15"/>
  <c r="X984" i="15"/>
  <c r="Y984" i="15"/>
  <c r="Z984" i="15"/>
  <c r="AA984" i="15"/>
  <c r="AB984" i="15"/>
  <c r="AC984" i="15"/>
  <c r="AD984" i="15"/>
  <c r="AE984" i="15"/>
  <c r="AF984" i="15"/>
  <c r="AG984" i="15"/>
  <c r="AH984" i="15"/>
  <c r="AI984" i="15"/>
  <c r="AJ984" i="15"/>
  <c r="AK984" i="15"/>
  <c r="AL984" i="15"/>
  <c r="AM984" i="15"/>
  <c r="AN984" i="15"/>
  <c r="AO984" i="15"/>
  <c r="R985" i="15"/>
  <c r="S985" i="15"/>
  <c r="T985" i="15"/>
  <c r="U985" i="15"/>
  <c r="V985" i="15"/>
  <c r="W985" i="15"/>
  <c r="X985" i="15"/>
  <c r="Y985" i="15"/>
  <c r="Z985" i="15"/>
  <c r="AA985" i="15"/>
  <c r="AB985" i="15"/>
  <c r="AC985" i="15"/>
  <c r="AD985" i="15"/>
  <c r="AE985" i="15"/>
  <c r="AF985" i="15"/>
  <c r="AG985" i="15"/>
  <c r="AH985" i="15"/>
  <c r="AI985" i="15"/>
  <c r="AJ985" i="15"/>
  <c r="AK985" i="15"/>
  <c r="AL985" i="15"/>
  <c r="AM985" i="15"/>
  <c r="AN985" i="15"/>
  <c r="AO985" i="15"/>
  <c r="R986" i="15"/>
  <c r="S986" i="15"/>
  <c r="T986" i="15"/>
  <c r="U986" i="15"/>
  <c r="V986" i="15"/>
  <c r="W986" i="15"/>
  <c r="X986" i="15"/>
  <c r="Y986" i="15"/>
  <c r="Z986" i="15"/>
  <c r="AA986" i="15"/>
  <c r="AB986" i="15"/>
  <c r="AC986" i="15"/>
  <c r="AD986" i="15"/>
  <c r="AE986" i="15"/>
  <c r="AF986" i="15"/>
  <c r="AG986" i="15"/>
  <c r="AH986" i="15"/>
  <c r="AI986" i="15"/>
  <c r="AJ986" i="15"/>
  <c r="AK986" i="15"/>
  <c r="AL986" i="15"/>
  <c r="AM986" i="15"/>
  <c r="AN986" i="15"/>
  <c r="AO986" i="15"/>
  <c r="R987" i="15"/>
  <c r="S987" i="15"/>
  <c r="T987" i="15"/>
  <c r="U987" i="15"/>
  <c r="V987" i="15"/>
  <c r="W987" i="15"/>
  <c r="X987" i="15"/>
  <c r="Y987" i="15"/>
  <c r="Z987" i="15"/>
  <c r="AA987" i="15"/>
  <c r="AB987" i="15"/>
  <c r="AC987" i="15"/>
  <c r="AD987" i="15"/>
  <c r="AE987" i="15"/>
  <c r="AF987" i="15"/>
  <c r="AG987" i="15"/>
  <c r="AH987" i="15"/>
  <c r="AI987" i="15"/>
  <c r="AJ987" i="15"/>
  <c r="AK987" i="15"/>
  <c r="AL987" i="15"/>
  <c r="AM987" i="15"/>
  <c r="AN987" i="15"/>
  <c r="AO987" i="15"/>
  <c r="R988" i="15"/>
  <c r="S988" i="15"/>
  <c r="T988" i="15"/>
  <c r="U988" i="15"/>
  <c r="V988" i="15"/>
  <c r="W988" i="15"/>
  <c r="X988" i="15"/>
  <c r="Y988" i="15"/>
  <c r="Z988" i="15"/>
  <c r="AA988" i="15"/>
  <c r="AB988" i="15"/>
  <c r="AC988" i="15"/>
  <c r="AD988" i="15"/>
  <c r="AE988" i="15"/>
  <c r="AF988" i="15"/>
  <c r="AG988" i="15"/>
  <c r="AH988" i="15"/>
  <c r="AI988" i="15"/>
  <c r="AJ988" i="15"/>
  <c r="AK988" i="15"/>
  <c r="AL988" i="15"/>
  <c r="AM988" i="15"/>
  <c r="AN988" i="15"/>
  <c r="AO988" i="15"/>
  <c r="R989" i="15"/>
  <c r="S989" i="15"/>
  <c r="T989" i="15"/>
  <c r="U989" i="15"/>
  <c r="V989" i="15"/>
  <c r="W989" i="15"/>
  <c r="X989" i="15"/>
  <c r="Y989" i="15"/>
  <c r="Z989" i="15"/>
  <c r="AA989" i="15"/>
  <c r="AB989" i="15"/>
  <c r="AC989" i="15"/>
  <c r="AD989" i="15"/>
  <c r="AE989" i="15"/>
  <c r="AF989" i="15"/>
  <c r="AG989" i="15"/>
  <c r="AH989" i="15"/>
  <c r="AI989" i="15"/>
  <c r="AJ989" i="15"/>
  <c r="AK989" i="15"/>
  <c r="AL989" i="15"/>
  <c r="AM989" i="15"/>
  <c r="AN989" i="15"/>
  <c r="AO989" i="15"/>
  <c r="R990" i="15"/>
  <c r="S990" i="15"/>
  <c r="T990" i="15"/>
  <c r="U990" i="15"/>
  <c r="V990" i="15"/>
  <c r="W990" i="15"/>
  <c r="X990" i="15"/>
  <c r="Y990" i="15"/>
  <c r="Z990" i="15"/>
  <c r="AA990" i="15"/>
  <c r="AB990" i="15"/>
  <c r="AC990" i="15"/>
  <c r="AD990" i="15"/>
  <c r="AE990" i="15"/>
  <c r="AF990" i="15"/>
  <c r="AG990" i="15"/>
  <c r="AH990" i="15"/>
  <c r="AI990" i="15"/>
  <c r="AJ990" i="15"/>
  <c r="AK990" i="15"/>
  <c r="AL990" i="15"/>
  <c r="AM990" i="15"/>
  <c r="AN990" i="15"/>
  <c r="AO990" i="15"/>
  <c r="R991" i="15"/>
  <c r="S991" i="15"/>
  <c r="T991" i="15"/>
  <c r="U991" i="15"/>
  <c r="V991" i="15"/>
  <c r="W991" i="15"/>
  <c r="X991" i="15"/>
  <c r="Y991" i="15"/>
  <c r="Z991" i="15"/>
  <c r="AA991" i="15"/>
  <c r="AB991" i="15"/>
  <c r="AC991" i="15"/>
  <c r="AD991" i="15"/>
  <c r="AE991" i="15"/>
  <c r="AF991" i="15"/>
  <c r="AG991" i="15"/>
  <c r="AH991" i="15"/>
  <c r="AI991" i="15"/>
  <c r="AJ991" i="15"/>
  <c r="AK991" i="15"/>
  <c r="AL991" i="15"/>
  <c r="AM991" i="15"/>
  <c r="AN991" i="15"/>
  <c r="AO991" i="15"/>
  <c r="R992" i="15"/>
  <c r="S992" i="15"/>
  <c r="T992" i="15"/>
  <c r="U992" i="15"/>
  <c r="V992" i="15"/>
  <c r="W992" i="15"/>
  <c r="X992" i="15"/>
  <c r="Y992" i="15"/>
  <c r="Z992" i="15"/>
  <c r="AA992" i="15"/>
  <c r="AB992" i="15"/>
  <c r="AC992" i="15"/>
  <c r="AD992" i="15"/>
  <c r="AE992" i="15"/>
  <c r="AF992" i="15"/>
  <c r="AG992" i="15"/>
  <c r="AH992" i="15"/>
  <c r="AI992" i="15"/>
  <c r="AJ992" i="15"/>
  <c r="AK992" i="15"/>
  <c r="AL992" i="15"/>
  <c r="AM992" i="15"/>
  <c r="AN992" i="15"/>
  <c r="AO992" i="15"/>
  <c r="R993" i="15"/>
  <c r="S993" i="15"/>
  <c r="T993" i="15"/>
  <c r="U993" i="15"/>
  <c r="V993" i="15"/>
  <c r="W993" i="15"/>
  <c r="X993" i="15"/>
  <c r="Y993" i="15"/>
  <c r="Z993" i="15"/>
  <c r="AA993" i="15"/>
  <c r="AB993" i="15"/>
  <c r="AC993" i="15"/>
  <c r="AD993" i="15"/>
  <c r="AE993" i="15"/>
  <c r="AF993" i="15"/>
  <c r="AG993" i="15"/>
  <c r="AH993" i="15"/>
  <c r="AI993" i="15"/>
  <c r="AJ993" i="15"/>
  <c r="AK993" i="15"/>
  <c r="AL993" i="15"/>
  <c r="AM993" i="15"/>
  <c r="AN993" i="15"/>
  <c r="AO993" i="15"/>
  <c r="R994" i="15"/>
  <c r="S994" i="15"/>
  <c r="T994" i="15"/>
  <c r="U994" i="15"/>
  <c r="V994" i="15"/>
  <c r="W994" i="15"/>
  <c r="X994" i="15"/>
  <c r="Y994" i="15"/>
  <c r="Z994" i="15"/>
  <c r="AA994" i="15"/>
  <c r="AB994" i="15"/>
  <c r="AC994" i="15"/>
  <c r="AD994" i="15"/>
  <c r="AE994" i="15"/>
  <c r="AF994" i="15"/>
  <c r="AG994" i="15"/>
  <c r="AH994" i="15"/>
  <c r="AI994" i="15"/>
  <c r="AJ994" i="15"/>
  <c r="AK994" i="15"/>
  <c r="AL994" i="15"/>
  <c r="AM994" i="15"/>
  <c r="AN994" i="15"/>
  <c r="AO994" i="15"/>
  <c r="R995" i="15"/>
  <c r="S995" i="15"/>
  <c r="T995" i="15"/>
  <c r="U995" i="15"/>
  <c r="V995" i="15"/>
  <c r="W995" i="15"/>
  <c r="X995" i="15"/>
  <c r="Y995" i="15"/>
  <c r="Z995" i="15"/>
  <c r="AA995" i="15"/>
  <c r="AB995" i="15"/>
  <c r="AC995" i="15"/>
  <c r="AD995" i="15"/>
  <c r="AE995" i="15"/>
  <c r="AF995" i="15"/>
  <c r="AG995" i="15"/>
  <c r="AH995" i="15"/>
  <c r="AI995" i="15"/>
  <c r="AJ995" i="15"/>
  <c r="AK995" i="15"/>
  <c r="AL995" i="15"/>
  <c r="AM995" i="15"/>
  <c r="AN995" i="15"/>
  <c r="AO995" i="15"/>
  <c r="R996" i="15"/>
  <c r="S996" i="15"/>
  <c r="T996" i="15"/>
  <c r="U996" i="15"/>
  <c r="V996" i="15"/>
  <c r="W996" i="15"/>
  <c r="X996" i="15"/>
  <c r="Y996" i="15"/>
  <c r="Z996" i="15"/>
  <c r="AA996" i="15"/>
  <c r="AB996" i="15"/>
  <c r="AC996" i="15"/>
  <c r="AD996" i="15"/>
  <c r="AE996" i="15"/>
  <c r="AF996" i="15"/>
  <c r="AG996" i="15"/>
  <c r="AH996" i="15"/>
  <c r="AI996" i="15"/>
  <c r="AJ996" i="15"/>
  <c r="AK996" i="15"/>
  <c r="AL996" i="15"/>
  <c r="AM996" i="15"/>
  <c r="AN996" i="15"/>
  <c r="AO996" i="15"/>
  <c r="R997" i="15"/>
  <c r="S997" i="15"/>
  <c r="T997" i="15"/>
  <c r="U997" i="15"/>
  <c r="V997" i="15"/>
  <c r="W997" i="15"/>
  <c r="X997" i="15"/>
  <c r="Y997" i="15"/>
  <c r="Z997" i="15"/>
  <c r="AA997" i="15"/>
  <c r="AB997" i="15"/>
  <c r="AC997" i="15"/>
  <c r="AD997" i="15"/>
  <c r="AE997" i="15"/>
  <c r="AF997" i="15"/>
  <c r="AG997" i="15"/>
  <c r="AH997" i="15"/>
  <c r="AI997" i="15"/>
  <c r="AJ997" i="15"/>
  <c r="AK997" i="15"/>
  <c r="AL997" i="15"/>
  <c r="AM997" i="15"/>
  <c r="AN997" i="15"/>
  <c r="AO997" i="15"/>
  <c r="R998" i="15"/>
  <c r="S998" i="15"/>
  <c r="T998" i="15"/>
  <c r="U998" i="15"/>
  <c r="V998" i="15"/>
  <c r="W998" i="15"/>
  <c r="X998" i="15"/>
  <c r="Y998" i="15"/>
  <c r="Z998" i="15"/>
  <c r="AA998" i="15"/>
  <c r="AB998" i="15"/>
  <c r="AC998" i="15"/>
  <c r="AD998" i="15"/>
  <c r="AE998" i="15"/>
  <c r="AF998" i="15"/>
  <c r="AG998" i="15"/>
  <c r="AH998" i="15"/>
  <c r="AI998" i="15"/>
  <c r="AJ998" i="15"/>
  <c r="AK998" i="15"/>
  <c r="AL998" i="15"/>
  <c r="AM998" i="15"/>
  <c r="AN998" i="15"/>
  <c r="AO998" i="15"/>
  <c r="R999" i="15"/>
  <c r="S999" i="15"/>
  <c r="T999" i="15"/>
  <c r="U999" i="15"/>
  <c r="V999" i="15"/>
  <c r="W999" i="15"/>
  <c r="X999" i="15"/>
  <c r="Y999" i="15"/>
  <c r="Z999" i="15"/>
  <c r="AA999" i="15"/>
  <c r="AB999" i="15"/>
  <c r="AC999" i="15"/>
  <c r="AD999" i="15"/>
  <c r="AE999" i="15"/>
  <c r="AF999" i="15"/>
  <c r="AG999" i="15"/>
  <c r="AH999" i="15"/>
  <c r="AI999" i="15"/>
  <c r="AJ999" i="15"/>
  <c r="AK999" i="15"/>
  <c r="AL999" i="15"/>
  <c r="AM999" i="15"/>
  <c r="AN999" i="15"/>
  <c r="AO999" i="15"/>
  <c r="R1000" i="15"/>
  <c r="S1000" i="15"/>
  <c r="T1000" i="15"/>
  <c r="U1000" i="15"/>
  <c r="V1000" i="15"/>
  <c r="W1000" i="15"/>
  <c r="X1000" i="15"/>
  <c r="Y1000" i="15"/>
  <c r="Z1000" i="15"/>
  <c r="AA1000" i="15"/>
  <c r="AB1000" i="15"/>
  <c r="AC1000" i="15"/>
  <c r="AD1000" i="15"/>
  <c r="AE1000" i="15"/>
  <c r="AF1000" i="15"/>
  <c r="AG1000" i="15"/>
  <c r="AH1000" i="15"/>
  <c r="AI1000" i="15"/>
  <c r="AJ1000" i="15"/>
  <c r="AK1000" i="15"/>
  <c r="AL1000" i="15"/>
  <c r="AM1000" i="15"/>
  <c r="AN1000" i="15"/>
  <c r="AO1000" i="15"/>
  <c r="R1001" i="15"/>
  <c r="S1001" i="15"/>
  <c r="T1001" i="15"/>
  <c r="U1001" i="15"/>
  <c r="V1001" i="15"/>
  <c r="W1001" i="15"/>
  <c r="X1001" i="15"/>
  <c r="Y1001" i="15"/>
  <c r="Z1001" i="15"/>
  <c r="AA1001" i="15"/>
  <c r="AB1001" i="15"/>
  <c r="AC1001" i="15"/>
  <c r="AD1001" i="15"/>
  <c r="AE1001" i="15"/>
  <c r="AF1001" i="15"/>
  <c r="AG1001" i="15"/>
  <c r="AH1001" i="15"/>
  <c r="AI1001" i="15"/>
  <c r="AJ1001" i="15"/>
  <c r="AK1001" i="15"/>
  <c r="AL1001" i="15"/>
  <c r="AM1001" i="15"/>
  <c r="AN1001" i="15"/>
  <c r="AO1001" i="15"/>
  <c r="R1002" i="15"/>
  <c r="S1002" i="15"/>
  <c r="T1002" i="15"/>
  <c r="U1002" i="15"/>
  <c r="V1002" i="15"/>
  <c r="W1002" i="15"/>
  <c r="X1002" i="15"/>
  <c r="Y1002" i="15"/>
  <c r="Z1002" i="15"/>
  <c r="AA1002" i="15"/>
  <c r="AB1002" i="15"/>
  <c r="AC1002" i="15"/>
  <c r="AD1002" i="15"/>
  <c r="AE1002" i="15"/>
  <c r="AF1002" i="15"/>
  <c r="AG1002" i="15"/>
  <c r="AH1002" i="15"/>
  <c r="AI1002" i="15"/>
  <c r="AJ1002" i="15"/>
  <c r="AK1002" i="15"/>
  <c r="AL1002" i="15"/>
  <c r="AM1002" i="15"/>
  <c r="AN1002" i="15"/>
  <c r="AO1002" i="15"/>
  <c r="R1003" i="15"/>
  <c r="S1003" i="15"/>
  <c r="T1003" i="15"/>
  <c r="U1003" i="15"/>
  <c r="V1003" i="15"/>
  <c r="W1003" i="15"/>
  <c r="X1003" i="15"/>
  <c r="Y1003" i="15"/>
  <c r="Z1003" i="15"/>
  <c r="AA1003" i="15"/>
  <c r="AB1003" i="15"/>
  <c r="AC1003" i="15"/>
  <c r="AD1003" i="15"/>
  <c r="AE1003" i="15"/>
  <c r="AF1003" i="15"/>
  <c r="AG1003" i="15"/>
  <c r="AH1003" i="15"/>
  <c r="AI1003" i="15"/>
  <c r="AJ1003" i="15"/>
  <c r="AK1003" i="15"/>
  <c r="AL1003" i="15"/>
  <c r="AM1003" i="15"/>
  <c r="AN1003" i="15"/>
  <c r="AO1003" i="15"/>
  <c r="R1004" i="15"/>
  <c r="S1004" i="15"/>
  <c r="T1004" i="15"/>
  <c r="U1004" i="15"/>
  <c r="V1004" i="15"/>
  <c r="W1004" i="15"/>
  <c r="X1004" i="15"/>
  <c r="Y1004" i="15"/>
  <c r="Z1004" i="15"/>
  <c r="AA1004" i="15"/>
  <c r="AB1004" i="15"/>
  <c r="AC1004" i="15"/>
  <c r="AD1004" i="15"/>
  <c r="AE1004" i="15"/>
  <c r="AF1004" i="15"/>
  <c r="AG1004" i="15"/>
  <c r="AH1004" i="15"/>
  <c r="AI1004" i="15"/>
  <c r="AJ1004" i="15"/>
  <c r="AK1004" i="15"/>
  <c r="AL1004" i="15"/>
  <c r="AM1004" i="15"/>
  <c r="AN1004" i="15"/>
  <c r="AO1004" i="15"/>
  <c r="R1005" i="15"/>
  <c r="S1005" i="15"/>
  <c r="T1005" i="15"/>
  <c r="U1005" i="15"/>
  <c r="V1005" i="15"/>
  <c r="W1005" i="15"/>
  <c r="X1005" i="15"/>
  <c r="Y1005" i="15"/>
  <c r="Z1005" i="15"/>
  <c r="AA1005" i="15"/>
  <c r="AB1005" i="15"/>
  <c r="AC1005" i="15"/>
  <c r="AD1005" i="15"/>
  <c r="AE1005" i="15"/>
  <c r="AF1005" i="15"/>
  <c r="AG1005" i="15"/>
  <c r="AH1005" i="15"/>
  <c r="AI1005" i="15"/>
  <c r="AJ1005" i="15"/>
  <c r="AK1005" i="15"/>
  <c r="AL1005" i="15"/>
  <c r="AM1005" i="15"/>
  <c r="AN1005" i="15"/>
  <c r="AO1005" i="15"/>
  <c r="R1006" i="15"/>
  <c r="S1006" i="15"/>
  <c r="T1006" i="15"/>
  <c r="U1006" i="15"/>
  <c r="V1006" i="15"/>
  <c r="W1006" i="15"/>
  <c r="X1006" i="15"/>
  <c r="Y1006" i="15"/>
  <c r="Z1006" i="15"/>
  <c r="AA1006" i="15"/>
  <c r="AB1006" i="15"/>
  <c r="AC1006" i="15"/>
  <c r="AD1006" i="15"/>
  <c r="AE1006" i="15"/>
  <c r="AF1006" i="15"/>
  <c r="AG1006" i="15"/>
  <c r="AH1006" i="15"/>
  <c r="AI1006" i="15"/>
  <c r="AJ1006" i="15"/>
  <c r="AK1006" i="15"/>
  <c r="AL1006" i="15"/>
  <c r="AM1006" i="15"/>
  <c r="AN1006" i="15"/>
  <c r="AO1006" i="15"/>
  <c r="R1007" i="15"/>
  <c r="S1007" i="15"/>
  <c r="T1007" i="15"/>
  <c r="U1007" i="15"/>
  <c r="V1007" i="15"/>
  <c r="W1007" i="15"/>
  <c r="X1007" i="15"/>
  <c r="Y1007" i="15"/>
  <c r="Z1007" i="15"/>
  <c r="AA1007" i="15"/>
  <c r="AB1007" i="15"/>
  <c r="AC1007" i="15"/>
  <c r="AD1007" i="15"/>
  <c r="AE1007" i="15"/>
  <c r="AF1007" i="15"/>
  <c r="AG1007" i="15"/>
  <c r="AH1007" i="15"/>
  <c r="AI1007" i="15"/>
  <c r="AJ1007" i="15"/>
  <c r="AK1007" i="15"/>
  <c r="AL1007" i="15"/>
  <c r="AM1007" i="15"/>
  <c r="AN1007" i="15"/>
  <c r="AO1007" i="15"/>
  <c r="R1008" i="15"/>
  <c r="S1008" i="15"/>
  <c r="T1008" i="15"/>
  <c r="U1008" i="15"/>
  <c r="V1008" i="15"/>
  <c r="W1008" i="15"/>
  <c r="X1008" i="15"/>
  <c r="Y1008" i="15"/>
  <c r="Z1008" i="15"/>
  <c r="AA1008" i="15"/>
  <c r="AB1008" i="15"/>
  <c r="AC1008" i="15"/>
  <c r="AD1008" i="15"/>
  <c r="AE1008" i="15"/>
  <c r="AF1008" i="15"/>
  <c r="AG1008" i="15"/>
  <c r="AH1008" i="15"/>
  <c r="AI1008" i="15"/>
  <c r="AJ1008" i="15"/>
  <c r="AK1008" i="15"/>
  <c r="AL1008" i="15"/>
  <c r="AM1008" i="15"/>
  <c r="AN1008" i="15"/>
  <c r="AO1008" i="15"/>
  <c r="R1009" i="15"/>
  <c r="S1009" i="15"/>
  <c r="T1009" i="15"/>
  <c r="U1009" i="15"/>
  <c r="V1009" i="15"/>
  <c r="W1009" i="15"/>
  <c r="X1009" i="15"/>
  <c r="Y1009" i="15"/>
  <c r="Z1009" i="15"/>
  <c r="AA1009" i="15"/>
  <c r="AB1009" i="15"/>
  <c r="AC1009" i="15"/>
  <c r="AD1009" i="15"/>
  <c r="AE1009" i="15"/>
  <c r="AF1009" i="15"/>
  <c r="AG1009" i="15"/>
  <c r="AH1009" i="15"/>
  <c r="AI1009" i="15"/>
  <c r="AJ1009" i="15"/>
  <c r="AK1009" i="15"/>
  <c r="AL1009" i="15"/>
  <c r="AM1009" i="15"/>
  <c r="AN1009" i="15"/>
  <c r="AO1009" i="15"/>
  <c r="R1010" i="15"/>
  <c r="S1010" i="15"/>
  <c r="T1010" i="15"/>
  <c r="U1010" i="15"/>
  <c r="V1010" i="15"/>
  <c r="W1010" i="15"/>
  <c r="X1010" i="15"/>
  <c r="Y1010" i="15"/>
  <c r="Z1010" i="15"/>
  <c r="AA1010" i="15"/>
  <c r="AB1010" i="15"/>
  <c r="AC1010" i="15"/>
  <c r="AD1010" i="15"/>
  <c r="AE1010" i="15"/>
  <c r="AF1010" i="15"/>
  <c r="AG1010" i="15"/>
  <c r="AH1010" i="15"/>
  <c r="AI1010" i="15"/>
  <c r="AJ1010" i="15"/>
  <c r="AK1010" i="15"/>
  <c r="AL1010" i="15"/>
  <c r="AM1010" i="15"/>
  <c r="AN1010" i="15"/>
  <c r="AO1010" i="15"/>
  <c r="R1011" i="15"/>
  <c r="S1011" i="15"/>
  <c r="T1011" i="15"/>
  <c r="U1011" i="15"/>
  <c r="V1011" i="15"/>
  <c r="W1011" i="15"/>
  <c r="X1011" i="15"/>
  <c r="Y1011" i="15"/>
  <c r="Z1011" i="15"/>
  <c r="AA1011" i="15"/>
  <c r="AB1011" i="15"/>
  <c r="AC1011" i="15"/>
  <c r="AD1011" i="15"/>
  <c r="AE1011" i="15"/>
  <c r="AF1011" i="15"/>
  <c r="AG1011" i="15"/>
  <c r="AH1011" i="15"/>
  <c r="AI1011" i="15"/>
  <c r="AJ1011" i="15"/>
  <c r="AK1011" i="15"/>
  <c r="AL1011" i="15"/>
  <c r="AM1011" i="15"/>
  <c r="AN1011" i="15"/>
  <c r="AO1011" i="15"/>
  <c r="R1012" i="15"/>
  <c r="S1012" i="15"/>
  <c r="T1012" i="15"/>
  <c r="U1012" i="15"/>
  <c r="V1012" i="15"/>
  <c r="W1012" i="15"/>
  <c r="X1012" i="15"/>
  <c r="Y1012" i="15"/>
  <c r="Z1012" i="15"/>
  <c r="AA1012" i="15"/>
  <c r="AB1012" i="15"/>
  <c r="AC1012" i="15"/>
  <c r="AD1012" i="15"/>
  <c r="AE1012" i="15"/>
  <c r="AF1012" i="15"/>
  <c r="AG1012" i="15"/>
  <c r="AH1012" i="15"/>
  <c r="AI1012" i="15"/>
  <c r="AJ1012" i="15"/>
  <c r="AK1012" i="15"/>
  <c r="AL1012" i="15"/>
  <c r="AM1012" i="15"/>
  <c r="AN1012" i="15"/>
  <c r="AO1012" i="15"/>
  <c r="R1013" i="15"/>
  <c r="S1013" i="15"/>
  <c r="T1013" i="15"/>
  <c r="U1013" i="15"/>
  <c r="V1013" i="15"/>
  <c r="W1013" i="15"/>
  <c r="X1013" i="15"/>
  <c r="Y1013" i="15"/>
  <c r="Z1013" i="15"/>
  <c r="AA1013" i="15"/>
  <c r="AB1013" i="15"/>
  <c r="AC1013" i="15"/>
  <c r="AD1013" i="15"/>
  <c r="AE1013" i="15"/>
  <c r="AF1013" i="15"/>
  <c r="AG1013" i="15"/>
  <c r="AH1013" i="15"/>
  <c r="AI1013" i="15"/>
  <c r="AJ1013" i="15"/>
  <c r="AK1013" i="15"/>
  <c r="AL1013" i="15"/>
  <c r="AM1013" i="15"/>
  <c r="AN1013" i="15"/>
  <c r="AO1013" i="15"/>
  <c r="R1014" i="15"/>
  <c r="S1014" i="15"/>
  <c r="T1014" i="15"/>
  <c r="U1014" i="15"/>
  <c r="V1014" i="15"/>
  <c r="W1014" i="15"/>
  <c r="X1014" i="15"/>
  <c r="Y1014" i="15"/>
  <c r="Z1014" i="15"/>
  <c r="AA1014" i="15"/>
  <c r="AB1014" i="15"/>
  <c r="AC1014" i="15"/>
  <c r="AD1014" i="15"/>
  <c r="AE1014" i="15"/>
  <c r="AF1014" i="15"/>
  <c r="AG1014" i="15"/>
  <c r="AH1014" i="15"/>
  <c r="AI1014" i="15"/>
  <c r="AJ1014" i="15"/>
  <c r="AK1014" i="15"/>
  <c r="AL1014" i="15"/>
  <c r="AM1014" i="15"/>
  <c r="AN1014" i="15"/>
  <c r="AO1014" i="15"/>
  <c r="R1015" i="15"/>
  <c r="S1015" i="15"/>
  <c r="T1015" i="15"/>
  <c r="U1015" i="15"/>
  <c r="V1015" i="15"/>
  <c r="W1015" i="15"/>
  <c r="X1015" i="15"/>
  <c r="Y1015" i="15"/>
  <c r="Z1015" i="15"/>
  <c r="AA1015" i="15"/>
  <c r="AB1015" i="15"/>
  <c r="AC1015" i="15"/>
  <c r="AD1015" i="15"/>
  <c r="AE1015" i="15"/>
  <c r="AF1015" i="15"/>
  <c r="AG1015" i="15"/>
  <c r="AH1015" i="15"/>
  <c r="AI1015" i="15"/>
  <c r="AJ1015" i="15"/>
  <c r="AK1015" i="15"/>
  <c r="AL1015" i="15"/>
  <c r="AM1015" i="15"/>
  <c r="AN1015" i="15"/>
  <c r="AO1015" i="15"/>
  <c r="R1016" i="15"/>
  <c r="S1016" i="15"/>
  <c r="T1016" i="15"/>
  <c r="U1016" i="15"/>
  <c r="V1016" i="15"/>
  <c r="W1016" i="15"/>
  <c r="X1016" i="15"/>
  <c r="Y1016" i="15"/>
  <c r="Z1016" i="15"/>
  <c r="AA1016" i="15"/>
  <c r="AB1016" i="15"/>
  <c r="AC1016" i="15"/>
  <c r="AD1016" i="15"/>
  <c r="AE1016" i="15"/>
  <c r="AF1016" i="15"/>
  <c r="AG1016" i="15"/>
  <c r="AH1016" i="15"/>
  <c r="AI1016" i="15"/>
  <c r="AJ1016" i="15"/>
  <c r="AK1016" i="15"/>
  <c r="AL1016" i="15"/>
  <c r="AM1016" i="15"/>
  <c r="AN1016" i="15"/>
  <c r="AO1016" i="15"/>
  <c r="R1017" i="15"/>
  <c r="S1017" i="15"/>
  <c r="T1017" i="15"/>
  <c r="U1017" i="15"/>
  <c r="V1017" i="15"/>
  <c r="W1017" i="15"/>
  <c r="X1017" i="15"/>
  <c r="Y1017" i="15"/>
  <c r="Z1017" i="15"/>
  <c r="AA1017" i="15"/>
  <c r="AB1017" i="15"/>
  <c r="AC1017" i="15"/>
  <c r="AD1017" i="15"/>
  <c r="AE1017" i="15"/>
  <c r="AF1017" i="15"/>
  <c r="AG1017" i="15"/>
  <c r="AH1017" i="15"/>
  <c r="AI1017" i="15"/>
  <c r="AJ1017" i="15"/>
  <c r="AK1017" i="15"/>
  <c r="AL1017" i="15"/>
  <c r="AM1017" i="15"/>
  <c r="AN1017" i="15"/>
  <c r="AO1017" i="15"/>
  <c r="R1018" i="15"/>
  <c r="S1018" i="15"/>
  <c r="T1018" i="15"/>
  <c r="U1018" i="15"/>
  <c r="V1018" i="15"/>
  <c r="W1018" i="15"/>
  <c r="X1018" i="15"/>
  <c r="Y1018" i="15"/>
  <c r="Z1018" i="15"/>
  <c r="AA1018" i="15"/>
  <c r="AB1018" i="15"/>
  <c r="AC1018" i="15"/>
  <c r="AD1018" i="15"/>
  <c r="AE1018" i="15"/>
  <c r="AF1018" i="15"/>
  <c r="AG1018" i="15"/>
  <c r="AH1018" i="15"/>
  <c r="AI1018" i="15"/>
  <c r="AJ1018" i="15"/>
  <c r="AK1018" i="15"/>
  <c r="AL1018" i="15"/>
  <c r="AM1018" i="15"/>
  <c r="AN1018" i="15"/>
  <c r="AO1018" i="15"/>
  <c r="R1019" i="15"/>
  <c r="S1019" i="15"/>
  <c r="T1019" i="15"/>
  <c r="U1019" i="15"/>
  <c r="V1019" i="15"/>
  <c r="W1019" i="15"/>
  <c r="X1019" i="15"/>
  <c r="Y1019" i="15"/>
  <c r="Z1019" i="15"/>
  <c r="AA1019" i="15"/>
  <c r="AB1019" i="15"/>
  <c r="AC1019" i="15"/>
  <c r="AD1019" i="15"/>
  <c r="AE1019" i="15"/>
  <c r="AF1019" i="15"/>
  <c r="AG1019" i="15"/>
  <c r="AH1019" i="15"/>
  <c r="AI1019" i="15"/>
  <c r="AJ1019" i="15"/>
  <c r="AK1019" i="15"/>
  <c r="AL1019" i="15"/>
  <c r="AM1019" i="15"/>
  <c r="AN1019" i="15"/>
  <c r="AO1019" i="15"/>
  <c r="R1020" i="15"/>
  <c r="S1020" i="15"/>
  <c r="T1020" i="15"/>
  <c r="U1020" i="15"/>
  <c r="V1020" i="15"/>
  <c r="W1020" i="15"/>
  <c r="X1020" i="15"/>
  <c r="Y1020" i="15"/>
  <c r="Z1020" i="15"/>
  <c r="AA1020" i="15"/>
  <c r="AB1020" i="15"/>
  <c r="AC1020" i="15"/>
  <c r="AD1020" i="15"/>
  <c r="AE1020" i="15"/>
  <c r="AF1020" i="15"/>
  <c r="AG1020" i="15"/>
  <c r="AH1020" i="15"/>
  <c r="AI1020" i="15"/>
  <c r="AJ1020" i="15"/>
  <c r="AK1020" i="15"/>
  <c r="AL1020" i="15"/>
  <c r="AM1020" i="15"/>
  <c r="AN1020" i="15"/>
  <c r="AO1020" i="15"/>
  <c r="R1021" i="15"/>
  <c r="S1021" i="15"/>
  <c r="T1021" i="15"/>
  <c r="U1021" i="15"/>
  <c r="V1021" i="15"/>
  <c r="W1021" i="15"/>
  <c r="X1021" i="15"/>
  <c r="Y1021" i="15"/>
  <c r="Z1021" i="15"/>
  <c r="AA1021" i="15"/>
  <c r="AB1021" i="15"/>
  <c r="AC1021" i="15"/>
  <c r="AD1021" i="15"/>
  <c r="AE1021" i="15"/>
  <c r="AF1021" i="15"/>
  <c r="AG1021" i="15"/>
  <c r="AH1021" i="15"/>
  <c r="AI1021" i="15"/>
  <c r="AJ1021" i="15"/>
  <c r="AK1021" i="15"/>
  <c r="AL1021" i="15"/>
  <c r="AM1021" i="15"/>
  <c r="AN1021" i="15"/>
  <c r="AO1021" i="15"/>
  <c r="R1022" i="15"/>
  <c r="S1022" i="15"/>
  <c r="T1022" i="15"/>
  <c r="U1022" i="15"/>
  <c r="V1022" i="15"/>
  <c r="W1022" i="15"/>
  <c r="X1022" i="15"/>
  <c r="Y1022" i="15"/>
  <c r="Z1022" i="15"/>
  <c r="AA1022" i="15"/>
  <c r="AB1022" i="15"/>
  <c r="AC1022" i="15"/>
  <c r="AD1022" i="15"/>
  <c r="AE1022" i="15"/>
  <c r="AF1022" i="15"/>
  <c r="AG1022" i="15"/>
  <c r="AH1022" i="15"/>
  <c r="AI1022" i="15"/>
  <c r="AJ1022" i="15"/>
  <c r="AK1022" i="15"/>
  <c r="AL1022" i="15"/>
  <c r="AM1022" i="15"/>
  <c r="AN1022" i="15"/>
  <c r="AO1022" i="15"/>
  <c r="R1023" i="15"/>
  <c r="S1023" i="15"/>
  <c r="T1023" i="15"/>
  <c r="U1023" i="15"/>
  <c r="V1023" i="15"/>
  <c r="W1023" i="15"/>
  <c r="X1023" i="15"/>
  <c r="Y1023" i="15"/>
  <c r="Z1023" i="15"/>
  <c r="AA1023" i="15"/>
  <c r="AB1023" i="15"/>
  <c r="AC1023" i="15"/>
  <c r="AD1023" i="15"/>
  <c r="AE1023" i="15"/>
  <c r="AF1023" i="15"/>
  <c r="AG1023" i="15"/>
  <c r="AH1023" i="15"/>
  <c r="AI1023" i="15"/>
  <c r="AJ1023" i="15"/>
  <c r="AK1023" i="15"/>
  <c r="AL1023" i="15"/>
  <c r="AM1023" i="15"/>
  <c r="AN1023" i="15"/>
  <c r="AO1023" i="15"/>
  <c r="R1024" i="15"/>
  <c r="S1024" i="15"/>
  <c r="T1024" i="15"/>
  <c r="U1024" i="15"/>
  <c r="V1024" i="15"/>
  <c r="W1024" i="15"/>
  <c r="X1024" i="15"/>
  <c r="Y1024" i="15"/>
  <c r="Z1024" i="15"/>
  <c r="AA1024" i="15"/>
  <c r="AB1024" i="15"/>
  <c r="AC1024" i="15"/>
  <c r="AD1024" i="15"/>
  <c r="AE1024" i="15"/>
  <c r="AF1024" i="15"/>
  <c r="AG1024" i="15"/>
  <c r="AH1024" i="15"/>
  <c r="AI1024" i="15"/>
  <c r="AJ1024" i="15"/>
  <c r="AK1024" i="15"/>
  <c r="AL1024" i="15"/>
  <c r="AM1024" i="15"/>
  <c r="AN1024" i="15"/>
  <c r="AO1024" i="15"/>
  <c r="R1025" i="15"/>
  <c r="S1025" i="15"/>
  <c r="T1025" i="15"/>
  <c r="U1025" i="15"/>
  <c r="V1025" i="15"/>
  <c r="W1025" i="15"/>
  <c r="X1025" i="15"/>
  <c r="Y1025" i="15"/>
  <c r="Z1025" i="15"/>
  <c r="AA1025" i="15"/>
  <c r="AB1025" i="15"/>
  <c r="AC1025" i="15"/>
  <c r="AD1025" i="15"/>
  <c r="AE1025" i="15"/>
  <c r="AF1025" i="15"/>
  <c r="AG1025" i="15"/>
  <c r="AH1025" i="15"/>
  <c r="AI1025" i="15"/>
  <c r="AJ1025" i="15"/>
  <c r="AK1025" i="15"/>
  <c r="AL1025" i="15"/>
  <c r="AM1025" i="15"/>
  <c r="AN1025" i="15"/>
  <c r="AO1025" i="15"/>
  <c r="R1026" i="15"/>
  <c r="S1026" i="15"/>
  <c r="T1026" i="15"/>
  <c r="U1026" i="15"/>
  <c r="V1026" i="15"/>
  <c r="W1026" i="15"/>
  <c r="X1026" i="15"/>
  <c r="Y1026" i="15"/>
  <c r="Z1026" i="15"/>
  <c r="AA1026" i="15"/>
  <c r="AB1026" i="15"/>
  <c r="AC1026" i="15"/>
  <c r="AD1026" i="15"/>
  <c r="AE1026" i="15"/>
  <c r="AF1026" i="15"/>
  <c r="AG1026" i="15"/>
  <c r="AH1026" i="15"/>
  <c r="AI1026" i="15"/>
  <c r="AJ1026" i="15"/>
  <c r="AK1026" i="15"/>
  <c r="AL1026" i="15"/>
  <c r="AM1026" i="15"/>
  <c r="AN1026" i="15"/>
  <c r="AO1026" i="15"/>
  <c r="R1027" i="15"/>
  <c r="S1027" i="15"/>
  <c r="T1027" i="15"/>
  <c r="U1027" i="15"/>
  <c r="V1027" i="15"/>
  <c r="W1027" i="15"/>
  <c r="X1027" i="15"/>
  <c r="Y1027" i="15"/>
  <c r="Z1027" i="15"/>
  <c r="AA1027" i="15"/>
  <c r="AB1027" i="15"/>
  <c r="AC1027" i="15"/>
  <c r="AD1027" i="15"/>
  <c r="AE1027" i="15"/>
  <c r="AF1027" i="15"/>
  <c r="AG1027" i="15"/>
  <c r="AH1027" i="15"/>
  <c r="AI1027" i="15"/>
  <c r="AJ1027" i="15"/>
  <c r="AK1027" i="15"/>
  <c r="AL1027" i="15"/>
  <c r="AM1027" i="15"/>
  <c r="AN1027" i="15"/>
  <c r="AO1027" i="15"/>
  <c r="R1028" i="15"/>
  <c r="S1028" i="15"/>
  <c r="T1028" i="15"/>
  <c r="U1028" i="15"/>
  <c r="V1028" i="15"/>
  <c r="W1028" i="15"/>
  <c r="X1028" i="15"/>
  <c r="Y1028" i="15"/>
  <c r="Z1028" i="15"/>
  <c r="AA1028" i="15"/>
  <c r="AB1028" i="15"/>
  <c r="AC1028" i="15"/>
  <c r="AD1028" i="15"/>
  <c r="AE1028" i="15"/>
  <c r="AF1028" i="15"/>
  <c r="AG1028" i="15"/>
  <c r="AH1028" i="15"/>
  <c r="AI1028" i="15"/>
  <c r="AJ1028" i="15"/>
  <c r="AK1028" i="15"/>
  <c r="AL1028" i="15"/>
  <c r="AM1028" i="15"/>
  <c r="AN1028" i="15"/>
  <c r="AO1028" i="15"/>
  <c r="R1029" i="15"/>
  <c r="S1029" i="15"/>
  <c r="T1029" i="15"/>
  <c r="U1029" i="15"/>
  <c r="V1029" i="15"/>
  <c r="W1029" i="15"/>
  <c r="X1029" i="15"/>
  <c r="Y1029" i="15"/>
  <c r="Z1029" i="15"/>
  <c r="AA1029" i="15"/>
  <c r="AB1029" i="15"/>
  <c r="AC1029" i="15"/>
  <c r="AD1029" i="15"/>
  <c r="AE1029" i="15"/>
  <c r="AF1029" i="15"/>
  <c r="AG1029" i="15"/>
  <c r="AH1029" i="15"/>
  <c r="AI1029" i="15"/>
  <c r="AJ1029" i="15"/>
  <c r="AK1029" i="15"/>
  <c r="AL1029" i="15"/>
  <c r="AM1029" i="15"/>
  <c r="AN1029" i="15"/>
  <c r="AO1029" i="15"/>
  <c r="R1030" i="15"/>
  <c r="S1030" i="15"/>
  <c r="T1030" i="15"/>
  <c r="U1030" i="15"/>
  <c r="V1030" i="15"/>
  <c r="W1030" i="15"/>
  <c r="X1030" i="15"/>
  <c r="Y1030" i="15"/>
  <c r="Z1030" i="15"/>
  <c r="AA1030" i="15"/>
  <c r="AB1030" i="15"/>
  <c r="AC1030" i="15"/>
  <c r="AD1030" i="15"/>
  <c r="AE1030" i="15"/>
  <c r="AF1030" i="15"/>
  <c r="AG1030" i="15"/>
  <c r="AH1030" i="15"/>
  <c r="AI1030" i="15"/>
  <c r="AJ1030" i="15"/>
  <c r="AK1030" i="15"/>
  <c r="AL1030" i="15"/>
  <c r="AM1030" i="15"/>
  <c r="AN1030" i="15"/>
  <c r="AO1030" i="15"/>
  <c r="R1031" i="15"/>
  <c r="S1031" i="15"/>
  <c r="T1031" i="15"/>
  <c r="U1031" i="15"/>
  <c r="V1031" i="15"/>
  <c r="W1031" i="15"/>
  <c r="X1031" i="15"/>
  <c r="Y1031" i="15"/>
  <c r="Z1031" i="15"/>
  <c r="AA1031" i="15"/>
  <c r="AB1031" i="15"/>
  <c r="AC1031" i="15"/>
  <c r="AD1031" i="15"/>
  <c r="AE1031" i="15"/>
  <c r="AF1031" i="15"/>
  <c r="AG1031" i="15"/>
  <c r="AH1031" i="15"/>
  <c r="AI1031" i="15"/>
  <c r="AJ1031" i="15"/>
  <c r="AK1031" i="15"/>
  <c r="AL1031" i="15"/>
  <c r="AM1031" i="15"/>
  <c r="AN1031" i="15"/>
  <c r="AO1031" i="15"/>
  <c r="R1032" i="15"/>
  <c r="S1032" i="15"/>
  <c r="T1032" i="15"/>
  <c r="U1032" i="15"/>
  <c r="V1032" i="15"/>
  <c r="W1032" i="15"/>
  <c r="X1032" i="15"/>
  <c r="Y1032" i="15"/>
  <c r="Z1032" i="15"/>
  <c r="AA1032" i="15"/>
  <c r="AB1032" i="15"/>
  <c r="AC1032" i="15"/>
  <c r="AD1032" i="15"/>
  <c r="AE1032" i="15"/>
  <c r="AF1032" i="15"/>
  <c r="AG1032" i="15"/>
  <c r="AH1032" i="15"/>
  <c r="AI1032" i="15"/>
  <c r="AJ1032" i="15"/>
  <c r="AK1032" i="15"/>
  <c r="AL1032" i="15"/>
  <c r="AM1032" i="15"/>
  <c r="AN1032" i="15"/>
  <c r="AO1032" i="15"/>
  <c r="R1033" i="15"/>
  <c r="S1033" i="15"/>
  <c r="T1033" i="15"/>
  <c r="U1033" i="15"/>
  <c r="V1033" i="15"/>
  <c r="W1033" i="15"/>
  <c r="X1033" i="15"/>
  <c r="Y1033" i="15"/>
  <c r="Z1033" i="15"/>
  <c r="AA1033" i="15"/>
  <c r="AB1033" i="15"/>
  <c r="AC1033" i="15"/>
  <c r="AD1033" i="15"/>
  <c r="AE1033" i="15"/>
  <c r="AF1033" i="15"/>
  <c r="AG1033" i="15"/>
  <c r="AH1033" i="15"/>
  <c r="AI1033" i="15"/>
  <c r="AJ1033" i="15"/>
  <c r="AK1033" i="15"/>
  <c r="AL1033" i="15"/>
  <c r="AM1033" i="15"/>
  <c r="AN1033" i="15"/>
  <c r="AO1033" i="15"/>
  <c r="R1034" i="15"/>
  <c r="S1034" i="15"/>
  <c r="T1034" i="15"/>
  <c r="U1034" i="15"/>
  <c r="V1034" i="15"/>
  <c r="W1034" i="15"/>
  <c r="X1034" i="15"/>
  <c r="Y1034" i="15"/>
  <c r="Z1034" i="15"/>
  <c r="AA1034" i="15"/>
  <c r="AB1034" i="15"/>
  <c r="AC1034" i="15"/>
  <c r="AD1034" i="15"/>
  <c r="AE1034" i="15"/>
  <c r="AF1034" i="15"/>
  <c r="AG1034" i="15"/>
  <c r="AH1034" i="15"/>
  <c r="AI1034" i="15"/>
  <c r="AJ1034" i="15"/>
  <c r="AK1034" i="15"/>
  <c r="AL1034" i="15"/>
  <c r="AM1034" i="15"/>
  <c r="AN1034" i="15"/>
  <c r="AO1034" i="15"/>
  <c r="R1035" i="15"/>
  <c r="S1035" i="15"/>
  <c r="T1035" i="15"/>
  <c r="U1035" i="15"/>
  <c r="V1035" i="15"/>
  <c r="W1035" i="15"/>
  <c r="X1035" i="15"/>
  <c r="Y1035" i="15"/>
  <c r="Z1035" i="15"/>
  <c r="AA1035" i="15"/>
  <c r="AB1035" i="15"/>
  <c r="AC1035" i="15"/>
  <c r="AD1035" i="15"/>
  <c r="AE1035" i="15"/>
  <c r="AF1035" i="15"/>
  <c r="AG1035" i="15"/>
  <c r="AH1035" i="15"/>
  <c r="AI1035" i="15"/>
  <c r="AJ1035" i="15"/>
  <c r="AK1035" i="15"/>
  <c r="AL1035" i="15"/>
  <c r="AM1035" i="15"/>
  <c r="AN1035" i="15"/>
  <c r="AO1035" i="15"/>
  <c r="R1036" i="15"/>
  <c r="S1036" i="15"/>
  <c r="T1036" i="15"/>
  <c r="U1036" i="15"/>
  <c r="V1036" i="15"/>
  <c r="W1036" i="15"/>
  <c r="X1036" i="15"/>
  <c r="Y1036" i="15"/>
  <c r="Z1036" i="15"/>
  <c r="AA1036" i="15"/>
  <c r="AB1036" i="15"/>
  <c r="AC1036" i="15"/>
  <c r="AD1036" i="15"/>
  <c r="AE1036" i="15"/>
  <c r="AF1036" i="15"/>
  <c r="AG1036" i="15"/>
  <c r="AH1036" i="15"/>
  <c r="AI1036" i="15"/>
  <c r="AJ1036" i="15"/>
  <c r="AK1036" i="15"/>
  <c r="AL1036" i="15"/>
  <c r="AM1036" i="15"/>
  <c r="AN1036" i="15"/>
  <c r="AO1036" i="15"/>
  <c r="R1037" i="15"/>
  <c r="S1037" i="15"/>
  <c r="T1037" i="15"/>
  <c r="U1037" i="15"/>
  <c r="V1037" i="15"/>
  <c r="W1037" i="15"/>
  <c r="X1037" i="15"/>
  <c r="Y1037" i="15"/>
  <c r="Z1037" i="15"/>
  <c r="AA1037" i="15"/>
  <c r="AB1037" i="15"/>
  <c r="AC1037" i="15"/>
  <c r="AD1037" i="15"/>
  <c r="AE1037" i="15"/>
  <c r="AF1037" i="15"/>
  <c r="AG1037" i="15"/>
  <c r="AH1037" i="15"/>
  <c r="AI1037" i="15"/>
  <c r="AJ1037" i="15"/>
  <c r="AK1037" i="15"/>
  <c r="AL1037" i="15"/>
  <c r="AM1037" i="15"/>
  <c r="AN1037" i="15"/>
  <c r="AO1037" i="15"/>
  <c r="R1038" i="15"/>
  <c r="S1038" i="15"/>
  <c r="T1038" i="15"/>
  <c r="U1038" i="15"/>
  <c r="V1038" i="15"/>
  <c r="W1038" i="15"/>
  <c r="X1038" i="15"/>
  <c r="Y1038" i="15"/>
  <c r="Z1038" i="15"/>
  <c r="AA1038" i="15"/>
  <c r="AB1038" i="15"/>
  <c r="AC1038" i="15"/>
  <c r="AD1038" i="15"/>
  <c r="AE1038" i="15"/>
  <c r="AF1038" i="15"/>
  <c r="AG1038" i="15"/>
  <c r="AH1038" i="15"/>
  <c r="AI1038" i="15"/>
  <c r="AJ1038" i="15"/>
  <c r="AK1038" i="15"/>
  <c r="AL1038" i="15"/>
  <c r="AM1038" i="15"/>
  <c r="AN1038" i="15"/>
  <c r="AO1038" i="15"/>
  <c r="R1039" i="15"/>
  <c r="S1039" i="15"/>
  <c r="T1039" i="15"/>
  <c r="U1039" i="15"/>
  <c r="V1039" i="15"/>
  <c r="W1039" i="15"/>
  <c r="X1039" i="15"/>
  <c r="Y1039" i="15"/>
  <c r="Z1039" i="15"/>
  <c r="AA1039" i="15"/>
  <c r="AB1039" i="15"/>
  <c r="AC1039" i="15"/>
  <c r="AD1039" i="15"/>
  <c r="AE1039" i="15"/>
  <c r="AF1039" i="15"/>
  <c r="AG1039" i="15"/>
  <c r="AH1039" i="15"/>
  <c r="AI1039" i="15"/>
  <c r="AJ1039" i="15"/>
  <c r="AK1039" i="15"/>
  <c r="AL1039" i="15"/>
  <c r="AM1039" i="15"/>
  <c r="AN1039" i="15"/>
  <c r="AO1039" i="15"/>
  <c r="R1040" i="15"/>
  <c r="S1040" i="15"/>
  <c r="T1040" i="15"/>
  <c r="U1040" i="15"/>
  <c r="V1040" i="15"/>
  <c r="W1040" i="15"/>
  <c r="X1040" i="15"/>
  <c r="Y1040" i="15"/>
  <c r="Z1040" i="15"/>
  <c r="AA1040" i="15"/>
  <c r="AB1040" i="15"/>
  <c r="AC1040" i="15"/>
  <c r="AD1040" i="15"/>
  <c r="AE1040" i="15"/>
  <c r="AF1040" i="15"/>
  <c r="AG1040" i="15"/>
  <c r="AH1040" i="15"/>
  <c r="AI1040" i="15"/>
  <c r="AJ1040" i="15"/>
  <c r="AK1040" i="15"/>
  <c r="AL1040" i="15"/>
  <c r="AM1040" i="15"/>
  <c r="AN1040" i="15"/>
  <c r="AO1040" i="15"/>
  <c r="R1041" i="15"/>
  <c r="S1041" i="15"/>
  <c r="T1041" i="15"/>
  <c r="U1041" i="15"/>
  <c r="V1041" i="15"/>
  <c r="W1041" i="15"/>
  <c r="X1041" i="15"/>
  <c r="Y1041" i="15"/>
  <c r="Z1041" i="15"/>
  <c r="AA1041" i="15"/>
  <c r="AB1041" i="15"/>
  <c r="AC1041" i="15"/>
  <c r="AD1041" i="15"/>
  <c r="AE1041" i="15"/>
  <c r="AF1041" i="15"/>
  <c r="AG1041" i="15"/>
  <c r="AH1041" i="15"/>
  <c r="AI1041" i="15"/>
  <c r="AJ1041" i="15"/>
  <c r="AK1041" i="15"/>
  <c r="AL1041" i="15"/>
  <c r="AM1041" i="15"/>
  <c r="AN1041" i="15"/>
  <c r="AO1041" i="15"/>
  <c r="R1042" i="15"/>
  <c r="S1042" i="15"/>
  <c r="T1042" i="15"/>
  <c r="U1042" i="15"/>
  <c r="V1042" i="15"/>
  <c r="W1042" i="15"/>
  <c r="X1042" i="15"/>
  <c r="Y1042" i="15"/>
  <c r="Z1042" i="15"/>
  <c r="AA1042" i="15"/>
  <c r="AB1042" i="15"/>
  <c r="AC1042" i="15"/>
  <c r="AD1042" i="15"/>
  <c r="AE1042" i="15"/>
  <c r="AF1042" i="15"/>
  <c r="AG1042" i="15"/>
  <c r="AH1042" i="15"/>
  <c r="AI1042" i="15"/>
  <c r="AJ1042" i="15"/>
  <c r="AK1042" i="15"/>
  <c r="AL1042" i="15"/>
  <c r="AM1042" i="15"/>
  <c r="AN1042" i="15"/>
  <c r="AO1042" i="15"/>
  <c r="R1043" i="15"/>
  <c r="S1043" i="15"/>
  <c r="T1043" i="15"/>
  <c r="U1043" i="15"/>
  <c r="V1043" i="15"/>
  <c r="W1043" i="15"/>
  <c r="X1043" i="15"/>
  <c r="Y1043" i="15"/>
  <c r="Z1043" i="15"/>
  <c r="AA1043" i="15"/>
  <c r="AB1043" i="15"/>
  <c r="AC1043" i="15"/>
  <c r="AD1043" i="15"/>
  <c r="AE1043" i="15"/>
  <c r="AF1043" i="15"/>
  <c r="AG1043" i="15"/>
  <c r="AH1043" i="15"/>
  <c r="AI1043" i="15"/>
  <c r="AJ1043" i="15"/>
  <c r="AK1043" i="15"/>
  <c r="AL1043" i="15"/>
  <c r="AM1043" i="15"/>
  <c r="AN1043" i="15"/>
  <c r="AO1043" i="15"/>
  <c r="R1044" i="15"/>
  <c r="S1044" i="15"/>
  <c r="T1044" i="15"/>
  <c r="U1044" i="15"/>
  <c r="V1044" i="15"/>
  <c r="W1044" i="15"/>
  <c r="X1044" i="15"/>
  <c r="Y1044" i="15"/>
  <c r="Z1044" i="15"/>
  <c r="AA1044" i="15"/>
  <c r="AB1044" i="15"/>
  <c r="AC1044" i="15"/>
  <c r="AD1044" i="15"/>
  <c r="AE1044" i="15"/>
  <c r="AF1044" i="15"/>
  <c r="AG1044" i="15"/>
  <c r="AH1044" i="15"/>
  <c r="AI1044" i="15"/>
  <c r="AJ1044" i="15"/>
  <c r="AK1044" i="15"/>
  <c r="AL1044" i="15"/>
  <c r="AM1044" i="15"/>
  <c r="AN1044" i="15"/>
  <c r="AO1044" i="15"/>
  <c r="R1045" i="15"/>
  <c r="S1045" i="15"/>
  <c r="T1045" i="15"/>
  <c r="U1045" i="15"/>
  <c r="V1045" i="15"/>
  <c r="W1045" i="15"/>
  <c r="X1045" i="15"/>
  <c r="Y1045" i="15"/>
  <c r="Z1045" i="15"/>
  <c r="AA1045" i="15"/>
  <c r="AB1045" i="15"/>
  <c r="AC1045" i="15"/>
  <c r="AD1045" i="15"/>
  <c r="AE1045" i="15"/>
  <c r="AF1045" i="15"/>
  <c r="AG1045" i="15"/>
  <c r="AH1045" i="15"/>
  <c r="AI1045" i="15"/>
  <c r="AJ1045" i="15"/>
  <c r="AK1045" i="15"/>
  <c r="AL1045" i="15"/>
  <c r="AM1045" i="15"/>
  <c r="AN1045" i="15"/>
  <c r="AO1045" i="15"/>
  <c r="R1046" i="15"/>
  <c r="S1046" i="15"/>
  <c r="T1046" i="15"/>
  <c r="U1046" i="15"/>
  <c r="V1046" i="15"/>
  <c r="W1046" i="15"/>
  <c r="X1046" i="15"/>
  <c r="Y1046" i="15"/>
  <c r="Z1046" i="15"/>
  <c r="AA1046" i="15"/>
  <c r="AB1046" i="15"/>
  <c r="AC1046" i="15"/>
  <c r="AD1046" i="15"/>
  <c r="AE1046" i="15"/>
  <c r="AF1046" i="15"/>
  <c r="AG1046" i="15"/>
  <c r="AH1046" i="15"/>
  <c r="AI1046" i="15"/>
  <c r="AJ1046" i="15"/>
  <c r="AK1046" i="15"/>
  <c r="AL1046" i="15"/>
  <c r="AM1046" i="15"/>
  <c r="AN1046" i="15"/>
  <c r="AO1046" i="15"/>
  <c r="R1047" i="15"/>
  <c r="S1047" i="15"/>
  <c r="T1047" i="15"/>
  <c r="U1047" i="15"/>
  <c r="V1047" i="15"/>
  <c r="W1047" i="15"/>
  <c r="X1047" i="15"/>
  <c r="Y1047" i="15"/>
  <c r="Z1047" i="15"/>
  <c r="AA1047" i="15"/>
  <c r="AB1047" i="15"/>
  <c r="AC1047" i="15"/>
  <c r="AD1047" i="15"/>
  <c r="AE1047" i="15"/>
  <c r="AF1047" i="15"/>
  <c r="AG1047" i="15"/>
  <c r="AH1047" i="15"/>
  <c r="AI1047" i="15"/>
  <c r="AJ1047" i="15"/>
  <c r="AK1047" i="15"/>
  <c r="AL1047" i="15"/>
  <c r="AM1047" i="15"/>
  <c r="AN1047" i="15"/>
  <c r="AO1047" i="15"/>
  <c r="R1048" i="15"/>
  <c r="S1048" i="15"/>
  <c r="T1048" i="15"/>
  <c r="U1048" i="15"/>
  <c r="V1048" i="15"/>
  <c r="W1048" i="15"/>
  <c r="X1048" i="15"/>
  <c r="Y1048" i="15"/>
  <c r="Z1048" i="15"/>
  <c r="AA1048" i="15"/>
  <c r="AB1048" i="15"/>
  <c r="AC1048" i="15"/>
  <c r="AD1048" i="15"/>
  <c r="AE1048" i="15"/>
  <c r="AF1048" i="15"/>
  <c r="AG1048" i="15"/>
  <c r="AH1048" i="15"/>
  <c r="AI1048" i="15"/>
  <c r="AJ1048" i="15"/>
  <c r="AK1048" i="15"/>
  <c r="AL1048" i="15"/>
  <c r="AM1048" i="15"/>
  <c r="AN1048" i="15"/>
  <c r="AO1048" i="15"/>
  <c r="R1049" i="15"/>
  <c r="S1049" i="15"/>
  <c r="T1049" i="15"/>
  <c r="U1049" i="15"/>
  <c r="V1049" i="15"/>
  <c r="W1049" i="15"/>
  <c r="X1049" i="15"/>
  <c r="Y1049" i="15"/>
  <c r="Z1049" i="15"/>
  <c r="AA1049" i="15"/>
  <c r="AB1049" i="15"/>
  <c r="AC1049" i="15"/>
  <c r="AD1049" i="15"/>
  <c r="AE1049" i="15"/>
  <c r="AF1049" i="15"/>
  <c r="AG1049" i="15"/>
  <c r="AH1049" i="15"/>
  <c r="AI1049" i="15"/>
  <c r="AJ1049" i="15"/>
  <c r="AK1049" i="15"/>
  <c r="AL1049" i="15"/>
  <c r="AM1049" i="15"/>
  <c r="AN1049" i="15"/>
  <c r="AO1049" i="15"/>
  <c r="R1050" i="15"/>
  <c r="S1050" i="15"/>
  <c r="T1050" i="15"/>
  <c r="U1050" i="15"/>
  <c r="V1050" i="15"/>
  <c r="W1050" i="15"/>
  <c r="X1050" i="15"/>
  <c r="Y1050" i="15"/>
  <c r="Z1050" i="15"/>
  <c r="AA1050" i="15"/>
  <c r="AB1050" i="15"/>
  <c r="AC1050" i="15"/>
  <c r="AD1050" i="15"/>
  <c r="AE1050" i="15"/>
  <c r="AF1050" i="15"/>
  <c r="AG1050" i="15"/>
  <c r="AH1050" i="15"/>
  <c r="AI1050" i="15"/>
  <c r="AJ1050" i="15"/>
  <c r="AK1050" i="15"/>
  <c r="AL1050" i="15"/>
  <c r="AM1050" i="15"/>
  <c r="AN1050" i="15"/>
  <c r="AO1050" i="15"/>
  <c r="R1051" i="15"/>
  <c r="S1051" i="15"/>
  <c r="T1051" i="15"/>
  <c r="U1051" i="15"/>
  <c r="V1051" i="15"/>
  <c r="W1051" i="15"/>
  <c r="X1051" i="15"/>
  <c r="Y1051" i="15"/>
  <c r="Z1051" i="15"/>
  <c r="AA1051" i="15"/>
  <c r="AB1051" i="15"/>
  <c r="AC1051" i="15"/>
  <c r="AD1051" i="15"/>
  <c r="AE1051" i="15"/>
  <c r="AF1051" i="15"/>
  <c r="AG1051" i="15"/>
  <c r="AH1051" i="15"/>
  <c r="AI1051" i="15"/>
  <c r="AJ1051" i="15"/>
  <c r="AK1051" i="15"/>
  <c r="AL1051" i="15"/>
  <c r="AM1051" i="15"/>
  <c r="AN1051" i="15"/>
  <c r="AO1051" i="15"/>
  <c r="R1052" i="15"/>
  <c r="S1052" i="15"/>
  <c r="T1052" i="15"/>
  <c r="U1052" i="15"/>
  <c r="V1052" i="15"/>
  <c r="W1052" i="15"/>
  <c r="X1052" i="15"/>
  <c r="Y1052" i="15"/>
  <c r="Z1052" i="15"/>
  <c r="AA1052" i="15"/>
  <c r="AB1052" i="15"/>
  <c r="AC1052" i="15"/>
  <c r="AD1052" i="15"/>
  <c r="AE1052" i="15"/>
  <c r="AF1052" i="15"/>
  <c r="AG1052" i="15"/>
  <c r="AH1052" i="15"/>
  <c r="AI1052" i="15"/>
  <c r="AJ1052" i="15"/>
  <c r="AK1052" i="15"/>
  <c r="AL1052" i="15"/>
  <c r="AM1052" i="15"/>
  <c r="AN1052" i="15"/>
  <c r="AO1052" i="15"/>
  <c r="R1053" i="15"/>
  <c r="S1053" i="15"/>
  <c r="T1053" i="15"/>
  <c r="U1053" i="15"/>
  <c r="V1053" i="15"/>
  <c r="W1053" i="15"/>
  <c r="X1053" i="15"/>
  <c r="Y1053" i="15"/>
  <c r="Z1053" i="15"/>
  <c r="AA1053" i="15"/>
  <c r="AB1053" i="15"/>
  <c r="AC1053" i="15"/>
  <c r="AD1053" i="15"/>
  <c r="AE1053" i="15"/>
  <c r="AF1053" i="15"/>
  <c r="AG1053" i="15"/>
  <c r="AH1053" i="15"/>
  <c r="AI1053" i="15"/>
  <c r="AJ1053" i="15"/>
  <c r="AK1053" i="15"/>
  <c r="AL1053" i="15"/>
  <c r="AM1053" i="15"/>
  <c r="AN1053" i="15"/>
  <c r="AO1053" i="15"/>
  <c r="R1054" i="15"/>
  <c r="S1054" i="15"/>
  <c r="T1054" i="15"/>
  <c r="U1054" i="15"/>
  <c r="V1054" i="15"/>
  <c r="W1054" i="15"/>
  <c r="X1054" i="15"/>
  <c r="Y1054" i="15"/>
  <c r="Z1054" i="15"/>
  <c r="AA1054" i="15"/>
  <c r="AB1054" i="15"/>
  <c r="AC1054" i="15"/>
  <c r="AD1054" i="15"/>
  <c r="AE1054" i="15"/>
  <c r="AF1054" i="15"/>
  <c r="AG1054" i="15"/>
  <c r="AH1054" i="15"/>
  <c r="AI1054" i="15"/>
  <c r="AJ1054" i="15"/>
  <c r="AK1054" i="15"/>
  <c r="AL1054" i="15"/>
  <c r="AM1054" i="15"/>
  <c r="AN1054" i="15"/>
  <c r="AO1054" i="15"/>
  <c r="R1055" i="15"/>
  <c r="S1055" i="15"/>
  <c r="T1055" i="15"/>
  <c r="U1055" i="15"/>
  <c r="V1055" i="15"/>
  <c r="W1055" i="15"/>
  <c r="X1055" i="15"/>
  <c r="Y1055" i="15"/>
  <c r="Z1055" i="15"/>
  <c r="AA1055" i="15"/>
  <c r="AB1055" i="15"/>
  <c r="AC1055" i="15"/>
  <c r="AD1055" i="15"/>
  <c r="AE1055" i="15"/>
  <c r="AF1055" i="15"/>
  <c r="AG1055" i="15"/>
  <c r="AH1055" i="15"/>
  <c r="AI1055" i="15"/>
  <c r="AJ1055" i="15"/>
  <c r="AK1055" i="15"/>
  <c r="AL1055" i="15"/>
  <c r="AM1055" i="15"/>
  <c r="AN1055" i="15"/>
  <c r="AO1055" i="15"/>
  <c r="R1056" i="15"/>
  <c r="S1056" i="15"/>
  <c r="T1056" i="15"/>
  <c r="U1056" i="15"/>
  <c r="V1056" i="15"/>
  <c r="W1056" i="15"/>
  <c r="X1056" i="15"/>
  <c r="Y1056" i="15"/>
  <c r="Z1056" i="15"/>
  <c r="AA1056" i="15"/>
  <c r="AB1056" i="15"/>
  <c r="AC1056" i="15"/>
  <c r="AD1056" i="15"/>
  <c r="AE1056" i="15"/>
  <c r="AF1056" i="15"/>
  <c r="AG1056" i="15"/>
  <c r="AH1056" i="15"/>
  <c r="AI1056" i="15"/>
  <c r="AJ1056" i="15"/>
  <c r="AK1056" i="15"/>
  <c r="AL1056" i="15"/>
  <c r="AM1056" i="15"/>
  <c r="AN1056" i="15"/>
  <c r="AO1056" i="15"/>
  <c r="R1057" i="15"/>
  <c r="S1057" i="15"/>
  <c r="T1057" i="15"/>
  <c r="U1057" i="15"/>
  <c r="V1057" i="15"/>
  <c r="W1057" i="15"/>
  <c r="X1057" i="15"/>
  <c r="Y1057" i="15"/>
  <c r="Z1057" i="15"/>
  <c r="AA1057" i="15"/>
  <c r="AB1057" i="15"/>
  <c r="AC1057" i="15"/>
  <c r="AD1057" i="15"/>
  <c r="AE1057" i="15"/>
  <c r="AF1057" i="15"/>
  <c r="AG1057" i="15"/>
  <c r="AH1057" i="15"/>
  <c r="AI1057" i="15"/>
  <c r="AJ1057" i="15"/>
  <c r="AK1057" i="15"/>
  <c r="AL1057" i="15"/>
  <c r="AM1057" i="15"/>
  <c r="AN1057" i="15"/>
  <c r="AO1057" i="15"/>
  <c r="R1058" i="15"/>
  <c r="S1058" i="15"/>
  <c r="T1058" i="15"/>
  <c r="U1058" i="15"/>
  <c r="V1058" i="15"/>
  <c r="W1058" i="15"/>
  <c r="X1058" i="15"/>
  <c r="Y1058" i="15"/>
  <c r="Z1058" i="15"/>
  <c r="AA1058" i="15"/>
  <c r="AB1058" i="15"/>
  <c r="AC1058" i="15"/>
  <c r="AD1058" i="15"/>
  <c r="AE1058" i="15"/>
  <c r="AF1058" i="15"/>
  <c r="AG1058" i="15"/>
  <c r="AH1058" i="15"/>
  <c r="AI1058" i="15"/>
  <c r="AJ1058" i="15"/>
  <c r="AK1058" i="15"/>
  <c r="AL1058" i="15"/>
  <c r="AM1058" i="15"/>
  <c r="AN1058" i="15"/>
  <c r="AO1058" i="15"/>
  <c r="R1059" i="15"/>
  <c r="S1059" i="15"/>
  <c r="T1059" i="15"/>
  <c r="U1059" i="15"/>
  <c r="V1059" i="15"/>
  <c r="W1059" i="15"/>
  <c r="X1059" i="15"/>
  <c r="Y1059" i="15"/>
  <c r="Z1059" i="15"/>
  <c r="AA1059" i="15"/>
  <c r="AB1059" i="15"/>
  <c r="AC1059" i="15"/>
  <c r="AD1059" i="15"/>
  <c r="AE1059" i="15"/>
  <c r="AF1059" i="15"/>
  <c r="AG1059" i="15"/>
  <c r="AH1059" i="15"/>
  <c r="AI1059" i="15"/>
  <c r="AJ1059" i="15"/>
  <c r="AK1059" i="15"/>
  <c r="AL1059" i="15"/>
  <c r="AM1059" i="15"/>
  <c r="AN1059" i="15"/>
  <c r="AO1059" i="15"/>
  <c r="R1060" i="15"/>
  <c r="S1060" i="15"/>
  <c r="T1060" i="15"/>
  <c r="U1060" i="15"/>
  <c r="V1060" i="15"/>
  <c r="W1060" i="15"/>
  <c r="X1060" i="15"/>
  <c r="Y1060" i="15"/>
  <c r="Z1060" i="15"/>
  <c r="AA1060" i="15"/>
  <c r="AB1060" i="15"/>
  <c r="AC1060" i="15"/>
  <c r="AD1060" i="15"/>
  <c r="AE1060" i="15"/>
  <c r="AF1060" i="15"/>
  <c r="AG1060" i="15"/>
  <c r="AH1060" i="15"/>
  <c r="AI1060" i="15"/>
  <c r="AJ1060" i="15"/>
  <c r="AK1060" i="15"/>
  <c r="AL1060" i="15"/>
  <c r="AM1060" i="15"/>
  <c r="AN1060" i="15"/>
  <c r="AO1060" i="15"/>
  <c r="R1061" i="15"/>
  <c r="S1061" i="15"/>
  <c r="T1061" i="15"/>
  <c r="U1061" i="15"/>
  <c r="V1061" i="15"/>
  <c r="W1061" i="15"/>
  <c r="X1061" i="15"/>
  <c r="Y1061" i="15"/>
  <c r="Z1061" i="15"/>
  <c r="AA1061" i="15"/>
  <c r="AB1061" i="15"/>
  <c r="AC1061" i="15"/>
  <c r="AD1061" i="15"/>
  <c r="AE1061" i="15"/>
  <c r="AF1061" i="15"/>
  <c r="AG1061" i="15"/>
  <c r="AH1061" i="15"/>
  <c r="AI1061" i="15"/>
  <c r="AJ1061" i="15"/>
  <c r="AK1061" i="15"/>
  <c r="AL1061" i="15"/>
  <c r="AM1061" i="15"/>
  <c r="AN1061" i="15"/>
  <c r="AO1061" i="15"/>
  <c r="R1062" i="15"/>
  <c r="S1062" i="15"/>
  <c r="T1062" i="15"/>
  <c r="U1062" i="15"/>
  <c r="V1062" i="15"/>
  <c r="W1062" i="15"/>
  <c r="X1062" i="15"/>
  <c r="Y1062" i="15"/>
  <c r="Z1062" i="15"/>
  <c r="AA1062" i="15"/>
  <c r="AB1062" i="15"/>
  <c r="AC1062" i="15"/>
  <c r="AD1062" i="15"/>
  <c r="AE1062" i="15"/>
  <c r="AF1062" i="15"/>
  <c r="AG1062" i="15"/>
  <c r="AH1062" i="15"/>
  <c r="AI1062" i="15"/>
  <c r="AJ1062" i="15"/>
  <c r="AK1062" i="15"/>
  <c r="AL1062" i="15"/>
  <c r="AM1062" i="15"/>
  <c r="AN1062" i="15"/>
  <c r="AO1062" i="15"/>
  <c r="R1063" i="15"/>
  <c r="S1063" i="15"/>
  <c r="T1063" i="15"/>
  <c r="U1063" i="15"/>
  <c r="V1063" i="15"/>
  <c r="W1063" i="15"/>
  <c r="X1063" i="15"/>
  <c r="Y1063" i="15"/>
  <c r="Z1063" i="15"/>
  <c r="AA1063" i="15"/>
  <c r="AB1063" i="15"/>
  <c r="AC1063" i="15"/>
  <c r="AD1063" i="15"/>
  <c r="AE1063" i="15"/>
  <c r="AF1063" i="15"/>
  <c r="AG1063" i="15"/>
  <c r="AH1063" i="15"/>
  <c r="AI1063" i="15"/>
  <c r="AJ1063" i="15"/>
  <c r="AK1063" i="15"/>
  <c r="AL1063" i="15"/>
  <c r="AM1063" i="15"/>
  <c r="AN1063" i="15"/>
  <c r="AO1063" i="15"/>
  <c r="R1064" i="15"/>
  <c r="S1064" i="15"/>
  <c r="T1064" i="15"/>
  <c r="U1064" i="15"/>
  <c r="V1064" i="15"/>
  <c r="W1064" i="15"/>
  <c r="X1064" i="15"/>
  <c r="Y1064" i="15"/>
  <c r="Z1064" i="15"/>
  <c r="AA1064" i="15"/>
  <c r="AB1064" i="15"/>
  <c r="AC1064" i="15"/>
  <c r="AD1064" i="15"/>
  <c r="AE1064" i="15"/>
  <c r="AF1064" i="15"/>
  <c r="AG1064" i="15"/>
  <c r="AH1064" i="15"/>
  <c r="AI1064" i="15"/>
  <c r="AJ1064" i="15"/>
  <c r="AK1064" i="15"/>
  <c r="AL1064" i="15"/>
  <c r="AM1064" i="15"/>
  <c r="AN1064" i="15"/>
  <c r="AO1064" i="15"/>
  <c r="R1065" i="15"/>
  <c r="S1065" i="15"/>
  <c r="T1065" i="15"/>
  <c r="U1065" i="15"/>
  <c r="V1065" i="15"/>
  <c r="W1065" i="15"/>
  <c r="X1065" i="15"/>
  <c r="Y1065" i="15"/>
  <c r="Z1065" i="15"/>
  <c r="AA1065" i="15"/>
  <c r="AB1065" i="15"/>
  <c r="AC1065" i="15"/>
  <c r="AD1065" i="15"/>
  <c r="AE1065" i="15"/>
  <c r="AF1065" i="15"/>
  <c r="AG1065" i="15"/>
  <c r="AH1065" i="15"/>
  <c r="AI1065" i="15"/>
  <c r="AJ1065" i="15"/>
  <c r="AK1065" i="15"/>
  <c r="AL1065" i="15"/>
  <c r="AM1065" i="15"/>
  <c r="AN1065" i="15"/>
  <c r="AO1065" i="15"/>
  <c r="R1066" i="15"/>
  <c r="S1066" i="15"/>
  <c r="T1066" i="15"/>
  <c r="U1066" i="15"/>
  <c r="V1066" i="15"/>
  <c r="W1066" i="15"/>
  <c r="X1066" i="15"/>
  <c r="Y1066" i="15"/>
  <c r="Z1066" i="15"/>
  <c r="AA1066" i="15"/>
  <c r="AB1066" i="15"/>
  <c r="AC1066" i="15"/>
  <c r="AD1066" i="15"/>
  <c r="AE1066" i="15"/>
  <c r="AF1066" i="15"/>
  <c r="AG1066" i="15"/>
  <c r="AH1066" i="15"/>
  <c r="AI1066" i="15"/>
  <c r="AJ1066" i="15"/>
  <c r="AK1066" i="15"/>
  <c r="AL1066" i="15"/>
  <c r="AM1066" i="15"/>
  <c r="AN1066" i="15"/>
  <c r="AO1066" i="15"/>
  <c r="R1067" i="15"/>
  <c r="S1067" i="15"/>
  <c r="T1067" i="15"/>
  <c r="U1067" i="15"/>
  <c r="V1067" i="15"/>
  <c r="W1067" i="15"/>
  <c r="X1067" i="15"/>
  <c r="Y1067" i="15"/>
  <c r="Z1067" i="15"/>
  <c r="AA1067" i="15"/>
  <c r="AB1067" i="15"/>
  <c r="AC1067" i="15"/>
  <c r="AD1067" i="15"/>
  <c r="AE1067" i="15"/>
  <c r="AF1067" i="15"/>
  <c r="AG1067" i="15"/>
  <c r="AH1067" i="15"/>
  <c r="AI1067" i="15"/>
  <c r="AJ1067" i="15"/>
  <c r="AK1067" i="15"/>
  <c r="AL1067" i="15"/>
  <c r="AM1067" i="15"/>
  <c r="AN1067" i="15"/>
  <c r="AO1067" i="15"/>
  <c r="R1068" i="15"/>
  <c r="S1068" i="15"/>
  <c r="T1068" i="15"/>
  <c r="U1068" i="15"/>
  <c r="V1068" i="15"/>
  <c r="W1068" i="15"/>
  <c r="X1068" i="15"/>
  <c r="Y1068" i="15"/>
  <c r="Z1068" i="15"/>
  <c r="AA1068" i="15"/>
  <c r="AB1068" i="15"/>
  <c r="AC1068" i="15"/>
  <c r="AD1068" i="15"/>
  <c r="AE1068" i="15"/>
  <c r="AF1068" i="15"/>
  <c r="AG1068" i="15"/>
  <c r="AH1068" i="15"/>
  <c r="AI1068" i="15"/>
  <c r="AJ1068" i="15"/>
  <c r="AK1068" i="15"/>
  <c r="AL1068" i="15"/>
  <c r="AM1068" i="15"/>
  <c r="AN1068" i="15"/>
  <c r="AO1068" i="15"/>
  <c r="R1069" i="15"/>
  <c r="S1069" i="15"/>
  <c r="T1069" i="15"/>
  <c r="U1069" i="15"/>
  <c r="V1069" i="15"/>
  <c r="W1069" i="15"/>
  <c r="X1069" i="15"/>
  <c r="Y1069" i="15"/>
  <c r="Z1069" i="15"/>
  <c r="AA1069" i="15"/>
  <c r="AB1069" i="15"/>
  <c r="AC1069" i="15"/>
  <c r="AD1069" i="15"/>
  <c r="AE1069" i="15"/>
  <c r="AF1069" i="15"/>
  <c r="AG1069" i="15"/>
  <c r="AH1069" i="15"/>
  <c r="AI1069" i="15"/>
  <c r="AJ1069" i="15"/>
  <c r="AK1069" i="15"/>
  <c r="AL1069" i="15"/>
  <c r="AM1069" i="15"/>
  <c r="AN1069" i="15"/>
  <c r="AO1069" i="15"/>
  <c r="R1070" i="15"/>
  <c r="S1070" i="15"/>
  <c r="T1070" i="15"/>
  <c r="U1070" i="15"/>
  <c r="V1070" i="15"/>
  <c r="W1070" i="15"/>
  <c r="X1070" i="15"/>
  <c r="Y1070" i="15"/>
  <c r="Z1070" i="15"/>
  <c r="AA1070" i="15"/>
  <c r="AB1070" i="15"/>
  <c r="AC1070" i="15"/>
  <c r="AD1070" i="15"/>
  <c r="AE1070" i="15"/>
  <c r="AF1070" i="15"/>
  <c r="AG1070" i="15"/>
  <c r="AH1070" i="15"/>
  <c r="AI1070" i="15"/>
  <c r="AJ1070" i="15"/>
  <c r="AK1070" i="15"/>
  <c r="AL1070" i="15"/>
  <c r="AM1070" i="15"/>
  <c r="AN1070" i="15"/>
  <c r="AO1070" i="15"/>
  <c r="R1071" i="15"/>
  <c r="S1071" i="15"/>
  <c r="T1071" i="15"/>
  <c r="U1071" i="15"/>
  <c r="V1071" i="15"/>
  <c r="W1071" i="15"/>
  <c r="X1071" i="15"/>
  <c r="Y1071" i="15"/>
  <c r="Z1071" i="15"/>
  <c r="AA1071" i="15"/>
  <c r="AB1071" i="15"/>
  <c r="AC1071" i="15"/>
  <c r="AD1071" i="15"/>
  <c r="AE1071" i="15"/>
  <c r="AF1071" i="15"/>
  <c r="AG1071" i="15"/>
  <c r="AH1071" i="15"/>
  <c r="AI1071" i="15"/>
  <c r="AJ1071" i="15"/>
  <c r="AK1071" i="15"/>
  <c r="AL1071" i="15"/>
  <c r="AM1071" i="15"/>
  <c r="AN1071" i="15"/>
  <c r="AO1071" i="15"/>
  <c r="R1072" i="15"/>
  <c r="S1072" i="15"/>
  <c r="T1072" i="15"/>
  <c r="U1072" i="15"/>
  <c r="V1072" i="15"/>
  <c r="W1072" i="15"/>
  <c r="X1072" i="15"/>
  <c r="Y1072" i="15"/>
  <c r="Z1072" i="15"/>
  <c r="AA1072" i="15"/>
  <c r="AB1072" i="15"/>
  <c r="AC1072" i="15"/>
  <c r="AD1072" i="15"/>
  <c r="AE1072" i="15"/>
  <c r="AF1072" i="15"/>
  <c r="AG1072" i="15"/>
  <c r="AH1072" i="15"/>
  <c r="AI1072" i="15"/>
  <c r="AJ1072" i="15"/>
  <c r="AK1072" i="15"/>
  <c r="AL1072" i="15"/>
  <c r="AM1072" i="15"/>
  <c r="AN1072" i="15"/>
  <c r="AO1072" i="15"/>
  <c r="R1073" i="15"/>
  <c r="S1073" i="15"/>
  <c r="T1073" i="15"/>
  <c r="U1073" i="15"/>
  <c r="V1073" i="15"/>
  <c r="W1073" i="15"/>
  <c r="X1073" i="15"/>
  <c r="Y1073" i="15"/>
  <c r="Z1073" i="15"/>
  <c r="AA1073" i="15"/>
  <c r="AB1073" i="15"/>
  <c r="AC1073" i="15"/>
  <c r="AD1073" i="15"/>
  <c r="AE1073" i="15"/>
  <c r="AF1073" i="15"/>
  <c r="AG1073" i="15"/>
  <c r="AH1073" i="15"/>
  <c r="AI1073" i="15"/>
  <c r="AJ1073" i="15"/>
  <c r="AK1073" i="15"/>
  <c r="AL1073" i="15"/>
  <c r="AM1073" i="15"/>
  <c r="AN1073" i="15"/>
  <c r="AO1073" i="15"/>
  <c r="R1074" i="15"/>
  <c r="S1074" i="15"/>
  <c r="T1074" i="15"/>
  <c r="U1074" i="15"/>
  <c r="V1074" i="15"/>
  <c r="W1074" i="15"/>
  <c r="X1074" i="15"/>
  <c r="Y1074" i="15"/>
  <c r="Z1074" i="15"/>
  <c r="AA1074" i="15"/>
  <c r="AB1074" i="15"/>
  <c r="AC1074" i="15"/>
  <c r="AD1074" i="15"/>
  <c r="AE1074" i="15"/>
  <c r="AF1074" i="15"/>
  <c r="AG1074" i="15"/>
  <c r="AH1074" i="15"/>
  <c r="AI1074" i="15"/>
  <c r="AJ1074" i="15"/>
  <c r="AK1074" i="15"/>
  <c r="AL1074" i="15"/>
  <c r="AM1074" i="15"/>
  <c r="AN1074" i="15"/>
  <c r="AO1074" i="15"/>
  <c r="R1075" i="15"/>
  <c r="S1075" i="15"/>
  <c r="T1075" i="15"/>
  <c r="U1075" i="15"/>
  <c r="V1075" i="15"/>
  <c r="W1075" i="15"/>
  <c r="X1075" i="15"/>
  <c r="Y1075" i="15"/>
  <c r="Z1075" i="15"/>
  <c r="AA1075" i="15"/>
  <c r="AB1075" i="15"/>
  <c r="AC1075" i="15"/>
  <c r="AD1075" i="15"/>
  <c r="AE1075" i="15"/>
  <c r="AF1075" i="15"/>
  <c r="AG1075" i="15"/>
  <c r="AH1075" i="15"/>
  <c r="AI1075" i="15"/>
  <c r="AJ1075" i="15"/>
  <c r="AK1075" i="15"/>
  <c r="AL1075" i="15"/>
  <c r="AM1075" i="15"/>
  <c r="AN1075" i="15"/>
  <c r="AO1075" i="15"/>
  <c r="R1076" i="15"/>
  <c r="S1076" i="15"/>
  <c r="T1076" i="15"/>
  <c r="U1076" i="15"/>
  <c r="V1076" i="15"/>
  <c r="W1076" i="15"/>
  <c r="X1076" i="15"/>
  <c r="Y1076" i="15"/>
  <c r="Z1076" i="15"/>
  <c r="AA1076" i="15"/>
  <c r="AB1076" i="15"/>
  <c r="AC1076" i="15"/>
  <c r="AD1076" i="15"/>
  <c r="AE1076" i="15"/>
  <c r="AF1076" i="15"/>
  <c r="AG1076" i="15"/>
  <c r="AH1076" i="15"/>
  <c r="AI1076" i="15"/>
  <c r="AJ1076" i="15"/>
  <c r="AK1076" i="15"/>
  <c r="AL1076" i="15"/>
  <c r="AM1076" i="15"/>
  <c r="AN1076" i="15"/>
  <c r="AO1076" i="15"/>
  <c r="R1077" i="15"/>
  <c r="S1077" i="15"/>
  <c r="T1077" i="15"/>
  <c r="U1077" i="15"/>
  <c r="V1077" i="15"/>
  <c r="W1077" i="15"/>
  <c r="X1077" i="15"/>
  <c r="Y1077" i="15"/>
  <c r="Z1077" i="15"/>
  <c r="AA1077" i="15"/>
  <c r="AB1077" i="15"/>
  <c r="AC1077" i="15"/>
  <c r="AD1077" i="15"/>
  <c r="AE1077" i="15"/>
  <c r="AF1077" i="15"/>
  <c r="AG1077" i="15"/>
  <c r="AH1077" i="15"/>
  <c r="AI1077" i="15"/>
  <c r="AJ1077" i="15"/>
  <c r="AK1077" i="15"/>
  <c r="AL1077" i="15"/>
  <c r="AM1077" i="15"/>
  <c r="AN1077" i="15"/>
  <c r="AO1077" i="15"/>
  <c r="R1078" i="15"/>
  <c r="S1078" i="15"/>
  <c r="T1078" i="15"/>
  <c r="U1078" i="15"/>
  <c r="V1078" i="15"/>
  <c r="W1078" i="15"/>
  <c r="X1078" i="15"/>
  <c r="Y1078" i="15"/>
  <c r="Z1078" i="15"/>
  <c r="AA1078" i="15"/>
  <c r="AB1078" i="15"/>
  <c r="AC1078" i="15"/>
  <c r="AD1078" i="15"/>
  <c r="AE1078" i="15"/>
  <c r="AF1078" i="15"/>
  <c r="AG1078" i="15"/>
  <c r="AH1078" i="15"/>
  <c r="AI1078" i="15"/>
  <c r="AJ1078" i="15"/>
  <c r="AK1078" i="15"/>
  <c r="AL1078" i="15"/>
  <c r="AM1078" i="15"/>
  <c r="AN1078" i="15"/>
  <c r="AO1078" i="15"/>
  <c r="R1079" i="15"/>
  <c r="S1079" i="15"/>
  <c r="T1079" i="15"/>
  <c r="U1079" i="15"/>
  <c r="V1079" i="15"/>
  <c r="W1079" i="15"/>
  <c r="X1079" i="15"/>
  <c r="Y1079" i="15"/>
  <c r="Z1079" i="15"/>
  <c r="AA1079" i="15"/>
  <c r="AB1079" i="15"/>
  <c r="AC1079" i="15"/>
  <c r="AD1079" i="15"/>
  <c r="AE1079" i="15"/>
  <c r="AF1079" i="15"/>
  <c r="AG1079" i="15"/>
  <c r="AH1079" i="15"/>
  <c r="AI1079" i="15"/>
  <c r="AJ1079" i="15"/>
  <c r="AK1079" i="15"/>
  <c r="AL1079" i="15"/>
  <c r="AM1079" i="15"/>
  <c r="AN1079" i="15"/>
  <c r="AO1079" i="15"/>
  <c r="R1080" i="15"/>
  <c r="S1080" i="15"/>
  <c r="T1080" i="15"/>
  <c r="U1080" i="15"/>
  <c r="V1080" i="15"/>
  <c r="W1080" i="15"/>
  <c r="X1080" i="15"/>
  <c r="Y1080" i="15"/>
  <c r="Z1080" i="15"/>
  <c r="AA1080" i="15"/>
  <c r="AB1080" i="15"/>
  <c r="AC1080" i="15"/>
  <c r="AD1080" i="15"/>
  <c r="AE1080" i="15"/>
  <c r="AF1080" i="15"/>
  <c r="AG1080" i="15"/>
  <c r="AH1080" i="15"/>
  <c r="AI1080" i="15"/>
  <c r="AJ1080" i="15"/>
  <c r="AK1080" i="15"/>
  <c r="AL1080" i="15"/>
  <c r="AM1080" i="15"/>
  <c r="AN1080" i="15"/>
  <c r="AO1080" i="15"/>
  <c r="R1081" i="15"/>
  <c r="S1081" i="15"/>
  <c r="T1081" i="15"/>
  <c r="U1081" i="15"/>
  <c r="V1081" i="15"/>
  <c r="W1081" i="15"/>
  <c r="X1081" i="15"/>
  <c r="Y1081" i="15"/>
  <c r="Z1081" i="15"/>
  <c r="AA1081" i="15"/>
  <c r="AB1081" i="15"/>
  <c r="AC1081" i="15"/>
  <c r="AD1081" i="15"/>
  <c r="AE1081" i="15"/>
  <c r="AF1081" i="15"/>
  <c r="AG1081" i="15"/>
  <c r="AH1081" i="15"/>
  <c r="AI1081" i="15"/>
  <c r="AJ1081" i="15"/>
  <c r="AK1081" i="15"/>
  <c r="AL1081" i="15"/>
  <c r="AM1081" i="15"/>
  <c r="AN1081" i="15"/>
  <c r="AO1081" i="15"/>
  <c r="R1082" i="15"/>
  <c r="S1082" i="15"/>
  <c r="T1082" i="15"/>
  <c r="U1082" i="15"/>
  <c r="V1082" i="15"/>
  <c r="W1082" i="15"/>
  <c r="X1082" i="15"/>
  <c r="Y1082" i="15"/>
  <c r="Z1082" i="15"/>
  <c r="AA1082" i="15"/>
  <c r="AB1082" i="15"/>
  <c r="AC1082" i="15"/>
  <c r="AD1082" i="15"/>
  <c r="AE1082" i="15"/>
  <c r="AF1082" i="15"/>
  <c r="AG1082" i="15"/>
  <c r="AH1082" i="15"/>
  <c r="AI1082" i="15"/>
  <c r="AJ1082" i="15"/>
  <c r="AK1082" i="15"/>
  <c r="AL1082" i="15"/>
  <c r="AM1082" i="15"/>
  <c r="AN1082" i="15"/>
  <c r="AO1082" i="15"/>
  <c r="R1083" i="15"/>
  <c r="S1083" i="15"/>
  <c r="T1083" i="15"/>
  <c r="U1083" i="15"/>
  <c r="V1083" i="15"/>
  <c r="W1083" i="15"/>
  <c r="X1083" i="15"/>
  <c r="Y1083" i="15"/>
  <c r="Z1083" i="15"/>
  <c r="AA1083" i="15"/>
  <c r="AB1083" i="15"/>
  <c r="AC1083" i="15"/>
  <c r="AD1083" i="15"/>
  <c r="AE1083" i="15"/>
  <c r="AF1083" i="15"/>
  <c r="AG1083" i="15"/>
  <c r="AH1083" i="15"/>
  <c r="AI1083" i="15"/>
  <c r="AJ1083" i="15"/>
  <c r="AK1083" i="15"/>
  <c r="AL1083" i="15"/>
  <c r="AM1083" i="15"/>
  <c r="AN1083" i="15"/>
  <c r="AO1083" i="15"/>
  <c r="R1084" i="15"/>
  <c r="S1084" i="15"/>
  <c r="T1084" i="15"/>
  <c r="U1084" i="15"/>
  <c r="V1084" i="15"/>
  <c r="W1084" i="15"/>
  <c r="X1084" i="15"/>
  <c r="Y1084" i="15"/>
  <c r="Z1084" i="15"/>
  <c r="AA1084" i="15"/>
  <c r="AB1084" i="15"/>
  <c r="AC1084" i="15"/>
  <c r="AD1084" i="15"/>
  <c r="AE1084" i="15"/>
  <c r="AF1084" i="15"/>
  <c r="AG1084" i="15"/>
  <c r="AH1084" i="15"/>
  <c r="AI1084" i="15"/>
  <c r="AJ1084" i="15"/>
  <c r="AK1084" i="15"/>
  <c r="AL1084" i="15"/>
  <c r="AM1084" i="15"/>
  <c r="AN1084" i="15"/>
  <c r="AO1084" i="15"/>
  <c r="R1085" i="15"/>
  <c r="S1085" i="15"/>
  <c r="T1085" i="15"/>
  <c r="U1085" i="15"/>
  <c r="V1085" i="15"/>
  <c r="W1085" i="15"/>
  <c r="X1085" i="15"/>
  <c r="Y1085" i="15"/>
  <c r="Z1085" i="15"/>
  <c r="AA1085" i="15"/>
  <c r="AB1085" i="15"/>
  <c r="AC1085" i="15"/>
  <c r="AD1085" i="15"/>
  <c r="AE1085" i="15"/>
  <c r="AF1085" i="15"/>
  <c r="AG1085" i="15"/>
  <c r="AH1085" i="15"/>
  <c r="AI1085" i="15"/>
  <c r="AJ1085" i="15"/>
  <c r="AK1085" i="15"/>
  <c r="AL1085" i="15"/>
  <c r="AM1085" i="15"/>
  <c r="AN1085" i="15"/>
  <c r="AO1085" i="15"/>
  <c r="R1086" i="15"/>
  <c r="S1086" i="15"/>
  <c r="T1086" i="15"/>
  <c r="U1086" i="15"/>
  <c r="V1086" i="15"/>
  <c r="W1086" i="15"/>
  <c r="X1086" i="15"/>
  <c r="Y1086" i="15"/>
  <c r="Z1086" i="15"/>
  <c r="AA1086" i="15"/>
  <c r="AB1086" i="15"/>
  <c r="AC1086" i="15"/>
  <c r="AD1086" i="15"/>
  <c r="AE1086" i="15"/>
  <c r="AF1086" i="15"/>
  <c r="AG1086" i="15"/>
  <c r="AH1086" i="15"/>
  <c r="AI1086" i="15"/>
  <c r="AJ1086" i="15"/>
  <c r="AK1086" i="15"/>
  <c r="AL1086" i="15"/>
  <c r="AM1086" i="15"/>
  <c r="AN1086" i="15"/>
  <c r="AO1086" i="15"/>
  <c r="R1087" i="15"/>
  <c r="S1087" i="15"/>
  <c r="T1087" i="15"/>
  <c r="U1087" i="15"/>
  <c r="V1087" i="15"/>
  <c r="W1087" i="15"/>
  <c r="X1087" i="15"/>
  <c r="Y1087" i="15"/>
  <c r="Z1087" i="15"/>
  <c r="AA1087" i="15"/>
  <c r="AB1087" i="15"/>
  <c r="AC1087" i="15"/>
  <c r="AD1087" i="15"/>
  <c r="AE1087" i="15"/>
  <c r="AF1087" i="15"/>
  <c r="AG1087" i="15"/>
  <c r="AH1087" i="15"/>
  <c r="AI1087" i="15"/>
  <c r="AJ1087" i="15"/>
  <c r="AK1087" i="15"/>
  <c r="AL1087" i="15"/>
  <c r="AM1087" i="15"/>
  <c r="AN1087" i="15"/>
  <c r="AO1087" i="15"/>
  <c r="R1088" i="15"/>
  <c r="S1088" i="15"/>
  <c r="T1088" i="15"/>
  <c r="U1088" i="15"/>
  <c r="V1088" i="15"/>
  <c r="W1088" i="15"/>
  <c r="X1088" i="15"/>
  <c r="Y1088" i="15"/>
  <c r="Z1088" i="15"/>
  <c r="AA1088" i="15"/>
  <c r="AB1088" i="15"/>
  <c r="AC1088" i="15"/>
  <c r="AD1088" i="15"/>
  <c r="AE1088" i="15"/>
  <c r="AF1088" i="15"/>
  <c r="AG1088" i="15"/>
  <c r="AH1088" i="15"/>
  <c r="AI1088" i="15"/>
  <c r="AJ1088" i="15"/>
  <c r="AK1088" i="15"/>
  <c r="AL1088" i="15"/>
  <c r="AM1088" i="15"/>
  <c r="AN1088" i="15"/>
  <c r="AO1088" i="15"/>
  <c r="R1089" i="15"/>
  <c r="S1089" i="15"/>
  <c r="T1089" i="15"/>
  <c r="U1089" i="15"/>
  <c r="V1089" i="15"/>
  <c r="W1089" i="15"/>
  <c r="X1089" i="15"/>
  <c r="Y1089" i="15"/>
  <c r="Z1089" i="15"/>
  <c r="AA1089" i="15"/>
  <c r="AB1089" i="15"/>
  <c r="AC1089" i="15"/>
  <c r="AD1089" i="15"/>
  <c r="AE1089" i="15"/>
  <c r="AF1089" i="15"/>
  <c r="AG1089" i="15"/>
  <c r="AH1089" i="15"/>
  <c r="AI1089" i="15"/>
  <c r="AJ1089" i="15"/>
  <c r="AK1089" i="15"/>
  <c r="AL1089" i="15"/>
  <c r="AM1089" i="15"/>
  <c r="AN1089" i="15"/>
  <c r="AO1089" i="15"/>
  <c r="R1090" i="15"/>
  <c r="S1090" i="15"/>
  <c r="T1090" i="15"/>
  <c r="U1090" i="15"/>
  <c r="V1090" i="15"/>
  <c r="W1090" i="15"/>
  <c r="X1090" i="15"/>
  <c r="Y1090" i="15"/>
  <c r="Z1090" i="15"/>
  <c r="AA1090" i="15"/>
  <c r="AB1090" i="15"/>
  <c r="AC1090" i="15"/>
  <c r="AD1090" i="15"/>
  <c r="AE1090" i="15"/>
  <c r="AF1090" i="15"/>
  <c r="AG1090" i="15"/>
  <c r="AH1090" i="15"/>
  <c r="AI1090" i="15"/>
  <c r="AJ1090" i="15"/>
  <c r="AK1090" i="15"/>
  <c r="AL1090" i="15"/>
  <c r="AM1090" i="15"/>
  <c r="AN1090" i="15"/>
  <c r="AO1090" i="15"/>
  <c r="R1091" i="15"/>
  <c r="S1091" i="15"/>
  <c r="T1091" i="15"/>
  <c r="U1091" i="15"/>
  <c r="V1091" i="15"/>
  <c r="W1091" i="15"/>
  <c r="X1091" i="15"/>
  <c r="Y1091" i="15"/>
  <c r="Z1091" i="15"/>
  <c r="AA1091" i="15"/>
  <c r="AB1091" i="15"/>
  <c r="AC1091" i="15"/>
  <c r="AD1091" i="15"/>
  <c r="AE1091" i="15"/>
  <c r="AF1091" i="15"/>
  <c r="AG1091" i="15"/>
  <c r="AH1091" i="15"/>
  <c r="AI1091" i="15"/>
  <c r="AJ1091" i="15"/>
  <c r="AK1091" i="15"/>
  <c r="AL1091" i="15"/>
  <c r="AM1091" i="15"/>
  <c r="AN1091" i="15"/>
  <c r="AO1091" i="15"/>
  <c r="R1092" i="15"/>
  <c r="S1092" i="15"/>
  <c r="T1092" i="15"/>
  <c r="U1092" i="15"/>
  <c r="V1092" i="15"/>
  <c r="W1092" i="15"/>
  <c r="X1092" i="15"/>
  <c r="Y1092" i="15"/>
  <c r="Z1092" i="15"/>
  <c r="AA1092" i="15"/>
  <c r="AB1092" i="15"/>
  <c r="AC1092" i="15"/>
  <c r="AD1092" i="15"/>
  <c r="AE1092" i="15"/>
  <c r="AF1092" i="15"/>
  <c r="AG1092" i="15"/>
  <c r="AH1092" i="15"/>
  <c r="AI1092" i="15"/>
  <c r="AJ1092" i="15"/>
  <c r="AK1092" i="15"/>
  <c r="AL1092" i="15"/>
  <c r="AM1092" i="15"/>
  <c r="AN1092" i="15"/>
  <c r="AO1092" i="15"/>
  <c r="R1093" i="15"/>
  <c r="S1093" i="15"/>
  <c r="T1093" i="15"/>
  <c r="U1093" i="15"/>
  <c r="V1093" i="15"/>
  <c r="W1093" i="15"/>
  <c r="X1093" i="15"/>
  <c r="Y1093" i="15"/>
  <c r="Z1093" i="15"/>
  <c r="AA1093" i="15"/>
  <c r="AB1093" i="15"/>
  <c r="AC1093" i="15"/>
  <c r="AD1093" i="15"/>
  <c r="AE1093" i="15"/>
  <c r="AF1093" i="15"/>
  <c r="AG1093" i="15"/>
  <c r="AH1093" i="15"/>
  <c r="AI1093" i="15"/>
  <c r="AJ1093" i="15"/>
  <c r="AK1093" i="15"/>
  <c r="AL1093" i="15"/>
  <c r="AM1093" i="15"/>
  <c r="AN1093" i="15"/>
  <c r="AO1093" i="15"/>
  <c r="R1094" i="15"/>
  <c r="S1094" i="15"/>
  <c r="T1094" i="15"/>
  <c r="U1094" i="15"/>
  <c r="V1094" i="15"/>
  <c r="W1094" i="15"/>
  <c r="X1094" i="15"/>
  <c r="Y1094" i="15"/>
  <c r="Z1094" i="15"/>
  <c r="AA1094" i="15"/>
  <c r="AB1094" i="15"/>
  <c r="AC1094" i="15"/>
  <c r="AD1094" i="15"/>
  <c r="AE1094" i="15"/>
  <c r="AF1094" i="15"/>
  <c r="AG1094" i="15"/>
  <c r="AH1094" i="15"/>
  <c r="AI1094" i="15"/>
  <c r="AJ1094" i="15"/>
  <c r="AK1094" i="15"/>
  <c r="AL1094" i="15"/>
  <c r="AM1094" i="15"/>
  <c r="AN1094" i="15"/>
  <c r="AO1094" i="15"/>
  <c r="R1095" i="15"/>
  <c r="S1095" i="15"/>
  <c r="T1095" i="15"/>
  <c r="U1095" i="15"/>
  <c r="V1095" i="15"/>
  <c r="W1095" i="15"/>
  <c r="X1095" i="15"/>
  <c r="Y1095" i="15"/>
  <c r="Z1095" i="15"/>
  <c r="AA1095" i="15"/>
  <c r="AB1095" i="15"/>
  <c r="AC1095" i="15"/>
  <c r="AD1095" i="15"/>
  <c r="AE1095" i="15"/>
  <c r="AF1095" i="15"/>
  <c r="AG1095" i="15"/>
  <c r="AH1095" i="15"/>
  <c r="AI1095" i="15"/>
  <c r="AJ1095" i="15"/>
  <c r="AK1095" i="15"/>
  <c r="AL1095" i="15"/>
  <c r="AM1095" i="15"/>
  <c r="AN1095" i="15"/>
  <c r="AO1095" i="15"/>
  <c r="R1096" i="15"/>
  <c r="S1096" i="15"/>
  <c r="T1096" i="15"/>
  <c r="U1096" i="15"/>
  <c r="V1096" i="15"/>
  <c r="W1096" i="15"/>
  <c r="X1096" i="15"/>
  <c r="Y1096" i="15"/>
  <c r="Z1096" i="15"/>
  <c r="AA1096" i="15"/>
  <c r="AB1096" i="15"/>
  <c r="AC1096" i="15"/>
  <c r="AD1096" i="15"/>
  <c r="AE1096" i="15"/>
  <c r="AF1096" i="15"/>
  <c r="AG1096" i="15"/>
  <c r="AH1096" i="15"/>
  <c r="AI1096" i="15"/>
  <c r="AJ1096" i="15"/>
  <c r="AK1096" i="15"/>
  <c r="AL1096" i="15"/>
  <c r="AM1096" i="15"/>
  <c r="AN1096" i="15"/>
  <c r="AO1096" i="15"/>
  <c r="R1097" i="15"/>
  <c r="S1097" i="15"/>
  <c r="T1097" i="15"/>
  <c r="U1097" i="15"/>
  <c r="V1097" i="15"/>
  <c r="W1097" i="15"/>
  <c r="X1097" i="15"/>
  <c r="Y1097" i="15"/>
  <c r="Z1097" i="15"/>
  <c r="AA1097" i="15"/>
  <c r="AB1097" i="15"/>
  <c r="AC1097" i="15"/>
  <c r="AD1097" i="15"/>
  <c r="AE1097" i="15"/>
  <c r="AF1097" i="15"/>
  <c r="AG1097" i="15"/>
  <c r="AH1097" i="15"/>
  <c r="AI1097" i="15"/>
  <c r="AJ1097" i="15"/>
  <c r="AK1097" i="15"/>
  <c r="AL1097" i="15"/>
  <c r="AM1097" i="15"/>
  <c r="AN1097" i="15"/>
  <c r="AO1097" i="15"/>
  <c r="R1098" i="15"/>
  <c r="S1098" i="15"/>
  <c r="T1098" i="15"/>
  <c r="U1098" i="15"/>
  <c r="V1098" i="15"/>
  <c r="W1098" i="15"/>
  <c r="X1098" i="15"/>
  <c r="Y1098" i="15"/>
  <c r="Z1098" i="15"/>
  <c r="AA1098" i="15"/>
  <c r="AB1098" i="15"/>
  <c r="AC1098" i="15"/>
  <c r="AD1098" i="15"/>
  <c r="AE1098" i="15"/>
  <c r="AF1098" i="15"/>
  <c r="AG1098" i="15"/>
  <c r="AH1098" i="15"/>
  <c r="AI1098" i="15"/>
  <c r="AJ1098" i="15"/>
  <c r="AK1098" i="15"/>
  <c r="AL1098" i="15"/>
  <c r="AM1098" i="15"/>
  <c r="AN1098" i="15"/>
  <c r="AO1098" i="15"/>
  <c r="R1099" i="15"/>
  <c r="S1099" i="15"/>
  <c r="T1099" i="15"/>
  <c r="U1099" i="15"/>
  <c r="V1099" i="15"/>
  <c r="W1099" i="15"/>
  <c r="X1099" i="15"/>
  <c r="Y1099" i="15"/>
  <c r="Z1099" i="15"/>
  <c r="AA1099" i="15"/>
  <c r="AB1099" i="15"/>
  <c r="AC1099" i="15"/>
  <c r="AD1099" i="15"/>
  <c r="AE1099" i="15"/>
  <c r="AF1099" i="15"/>
  <c r="AG1099" i="15"/>
  <c r="AH1099" i="15"/>
  <c r="AI1099" i="15"/>
  <c r="AJ1099" i="15"/>
  <c r="AK1099" i="15"/>
  <c r="AL1099" i="15"/>
  <c r="AM1099" i="15"/>
  <c r="AN1099" i="15"/>
  <c r="AO1099" i="15"/>
  <c r="R1100" i="15"/>
  <c r="S1100" i="15"/>
  <c r="T1100" i="15"/>
  <c r="U1100" i="15"/>
  <c r="V1100" i="15"/>
  <c r="W1100" i="15"/>
  <c r="X1100" i="15"/>
  <c r="Y1100" i="15"/>
  <c r="Z1100" i="15"/>
  <c r="AA1100" i="15"/>
  <c r="AB1100" i="15"/>
  <c r="AC1100" i="15"/>
  <c r="AD1100" i="15"/>
  <c r="AE1100" i="15"/>
  <c r="AF1100" i="15"/>
  <c r="AG1100" i="15"/>
  <c r="AH1100" i="15"/>
  <c r="AI1100" i="15"/>
  <c r="AJ1100" i="15"/>
  <c r="AK1100" i="15"/>
  <c r="AL1100" i="15"/>
  <c r="AM1100" i="15"/>
  <c r="AN1100" i="15"/>
  <c r="AO1100" i="15"/>
  <c r="R1101" i="15"/>
  <c r="S1101" i="15"/>
  <c r="T1101" i="15"/>
  <c r="U1101" i="15"/>
  <c r="V1101" i="15"/>
  <c r="W1101" i="15"/>
  <c r="X1101" i="15"/>
  <c r="Y1101" i="15"/>
  <c r="Z1101" i="15"/>
  <c r="AA1101" i="15"/>
  <c r="AB1101" i="15"/>
  <c r="AC1101" i="15"/>
  <c r="AD1101" i="15"/>
  <c r="AE1101" i="15"/>
  <c r="AF1101" i="15"/>
  <c r="AG1101" i="15"/>
  <c r="AH1101" i="15"/>
  <c r="AI1101" i="15"/>
  <c r="AJ1101" i="15"/>
  <c r="AK1101" i="15"/>
  <c r="AL1101" i="15"/>
  <c r="AM1101" i="15"/>
  <c r="AN1101" i="15"/>
  <c r="AO1101" i="15"/>
  <c r="R1102" i="15"/>
  <c r="S1102" i="15"/>
  <c r="T1102" i="15"/>
  <c r="U1102" i="15"/>
  <c r="V1102" i="15"/>
  <c r="W1102" i="15"/>
  <c r="X1102" i="15"/>
  <c r="Y1102" i="15"/>
  <c r="Z1102" i="15"/>
  <c r="AA1102" i="15"/>
  <c r="AB1102" i="15"/>
  <c r="AC1102" i="15"/>
  <c r="AD1102" i="15"/>
  <c r="AE1102" i="15"/>
  <c r="AF1102" i="15"/>
  <c r="AG1102" i="15"/>
  <c r="AH1102" i="15"/>
  <c r="AI1102" i="15"/>
  <c r="AJ1102" i="15"/>
  <c r="AK1102" i="15"/>
  <c r="AL1102" i="15"/>
  <c r="AM1102" i="15"/>
  <c r="AN1102" i="15"/>
  <c r="AO1102" i="15"/>
  <c r="R1103" i="15"/>
  <c r="S1103" i="15"/>
  <c r="T1103" i="15"/>
  <c r="U1103" i="15"/>
  <c r="V1103" i="15"/>
  <c r="W1103" i="15"/>
  <c r="X1103" i="15"/>
  <c r="Y1103" i="15"/>
  <c r="Z1103" i="15"/>
  <c r="AA1103" i="15"/>
  <c r="AB1103" i="15"/>
  <c r="AC1103" i="15"/>
  <c r="AD1103" i="15"/>
  <c r="AE1103" i="15"/>
  <c r="AF1103" i="15"/>
  <c r="AG1103" i="15"/>
  <c r="AH1103" i="15"/>
  <c r="AI1103" i="15"/>
  <c r="AJ1103" i="15"/>
  <c r="AK1103" i="15"/>
  <c r="AL1103" i="15"/>
  <c r="AM1103" i="15"/>
  <c r="AN1103" i="15"/>
  <c r="AO1103" i="15"/>
  <c r="R1104" i="15"/>
  <c r="S1104" i="15"/>
  <c r="T1104" i="15"/>
  <c r="U1104" i="15"/>
  <c r="V1104" i="15"/>
  <c r="W1104" i="15"/>
  <c r="X1104" i="15"/>
  <c r="Y1104" i="15"/>
  <c r="Z1104" i="15"/>
  <c r="AA1104" i="15"/>
  <c r="AB1104" i="15"/>
  <c r="AC1104" i="15"/>
  <c r="AD1104" i="15"/>
  <c r="AE1104" i="15"/>
  <c r="AF1104" i="15"/>
  <c r="AG1104" i="15"/>
  <c r="AH1104" i="15"/>
  <c r="AI1104" i="15"/>
  <c r="AJ1104" i="15"/>
  <c r="AK1104" i="15"/>
  <c r="AL1104" i="15"/>
  <c r="AM1104" i="15"/>
  <c r="AN1104" i="15"/>
  <c r="AO1104" i="15"/>
  <c r="R1105" i="15"/>
  <c r="S1105" i="15"/>
  <c r="T1105" i="15"/>
  <c r="U1105" i="15"/>
  <c r="V1105" i="15"/>
  <c r="W1105" i="15"/>
  <c r="X1105" i="15"/>
  <c r="Y1105" i="15"/>
  <c r="Z1105" i="15"/>
  <c r="AA1105" i="15"/>
  <c r="AB1105" i="15"/>
  <c r="AC1105" i="15"/>
  <c r="AD1105" i="15"/>
  <c r="AE1105" i="15"/>
  <c r="AF1105" i="15"/>
  <c r="AG1105" i="15"/>
  <c r="AH1105" i="15"/>
  <c r="AI1105" i="15"/>
  <c r="AJ1105" i="15"/>
  <c r="AK1105" i="15"/>
  <c r="AL1105" i="15"/>
  <c r="AM1105" i="15"/>
  <c r="AN1105" i="15"/>
  <c r="AO1105" i="15"/>
  <c r="R1106" i="15"/>
  <c r="S1106" i="15"/>
  <c r="T1106" i="15"/>
  <c r="U1106" i="15"/>
  <c r="V1106" i="15"/>
  <c r="W1106" i="15"/>
  <c r="X1106" i="15"/>
  <c r="Y1106" i="15"/>
  <c r="Z1106" i="15"/>
  <c r="AA1106" i="15"/>
  <c r="AB1106" i="15"/>
  <c r="AC1106" i="15"/>
  <c r="AD1106" i="15"/>
  <c r="AE1106" i="15"/>
  <c r="AF1106" i="15"/>
  <c r="AG1106" i="15"/>
  <c r="AH1106" i="15"/>
  <c r="AI1106" i="15"/>
  <c r="AJ1106" i="15"/>
  <c r="AK1106" i="15"/>
  <c r="AL1106" i="15"/>
  <c r="AM1106" i="15"/>
  <c r="AN1106" i="15"/>
  <c r="AO1106" i="15"/>
  <c r="R1107" i="15"/>
  <c r="S1107" i="15"/>
  <c r="T1107" i="15"/>
  <c r="U1107" i="15"/>
  <c r="V1107" i="15"/>
  <c r="W1107" i="15"/>
  <c r="X1107" i="15"/>
  <c r="Y1107" i="15"/>
  <c r="Z1107" i="15"/>
  <c r="AA1107" i="15"/>
  <c r="AB1107" i="15"/>
  <c r="AC1107" i="15"/>
  <c r="AD1107" i="15"/>
  <c r="AE1107" i="15"/>
  <c r="AF1107" i="15"/>
  <c r="AG1107" i="15"/>
  <c r="AH1107" i="15"/>
  <c r="AI1107" i="15"/>
  <c r="AJ1107" i="15"/>
  <c r="AK1107" i="15"/>
  <c r="AL1107" i="15"/>
  <c r="AM1107" i="15"/>
  <c r="AN1107" i="15"/>
  <c r="AO1107" i="15"/>
  <c r="R1108" i="15"/>
  <c r="S1108" i="15"/>
  <c r="T1108" i="15"/>
  <c r="U1108" i="15"/>
  <c r="V1108" i="15"/>
  <c r="W1108" i="15"/>
  <c r="X1108" i="15"/>
  <c r="Y1108" i="15"/>
  <c r="Z1108" i="15"/>
  <c r="AA1108" i="15"/>
  <c r="AB1108" i="15"/>
  <c r="AC1108" i="15"/>
  <c r="AD1108" i="15"/>
  <c r="AE1108" i="15"/>
  <c r="AF1108" i="15"/>
  <c r="AG1108" i="15"/>
  <c r="AH1108" i="15"/>
  <c r="AI1108" i="15"/>
  <c r="AJ1108" i="15"/>
  <c r="AK1108" i="15"/>
  <c r="AL1108" i="15"/>
  <c r="AM1108" i="15"/>
  <c r="AN1108" i="15"/>
  <c r="AO1108" i="15"/>
  <c r="R1109" i="15"/>
  <c r="S1109" i="15"/>
  <c r="T1109" i="15"/>
  <c r="U1109" i="15"/>
  <c r="V1109" i="15"/>
  <c r="W1109" i="15"/>
  <c r="X1109" i="15"/>
  <c r="Y1109" i="15"/>
  <c r="Z1109" i="15"/>
  <c r="AA1109" i="15"/>
  <c r="AB1109" i="15"/>
  <c r="AC1109" i="15"/>
  <c r="AD1109" i="15"/>
  <c r="AE1109" i="15"/>
  <c r="AF1109" i="15"/>
  <c r="AG1109" i="15"/>
  <c r="AH1109" i="15"/>
  <c r="AI1109" i="15"/>
  <c r="AJ1109" i="15"/>
  <c r="AK1109" i="15"/>
  <c r="AL1109" i="15"/>
  <c r="AM1109" i="15"/>
  <c r="AN1109" i="15"/>
  <c r="AO1109" i="15"/>
  <c r="R1110" i="15"/>
  <c r="S1110" i="15"/>
  <c r="T1110" i="15"/>
  <c r="U1110" i="15"/>
  <c r="V1110" i="15"/>
  <c r="W1110" i="15"/>
  <c r="X1110" i="15"/>
  <c r="Y1110" i="15"/>
  <c r="Z1110" i="15"/>
  <c r="AA1110" i="15"/>
  <c r="AB1110" i="15"/>
  <c r="AC1110" i="15"/>
  <c r="AD1110" i="15"/>
  <c r="AE1110" i="15"/>
  <c r="AF1110" i="15"/>
  <c r="AG1110" i="15"/>
  <c r="AH1110" i="15"/>
  <c r="AI1110" i="15"/>
  <c r="AJ1110" i="15"/>
  <c r="AK1110" i="15"/>
  <c r="AL1110" i="15"/>
  <c r="AM1110" i="15"/>
  <c r="AN1110" i="15"/>
  <c r="AO1110" i="15"/>
  <c r="R1111" i="15"/>
  <c r="S1111" i="15"/>
  <c r="T1111" i="15"/>
  <c r="U1111" i="15"/>
  <c r="V1111" i="15"/>
  <c r="W1111" i="15"/>
  <c r="X1111" i="15"/>
  <c r="Y1111" i="15"/>
  <c r="Z1111" i="15"/>
  <c r="AA1111" i="15"/>
  <c r="AB1111" i="15"/>
  <c r="AC1111" i="15"/>
  <c r="AD1111" i="15"/>
  <c r="AE1111" i="15"/>
  <c r="AF1111" i="15"/>
  <c r="AG1111" i="15"/>
  <c r="AH1111" i="15"/>
  <c r="AI1111" i="15"/>
  <c r="AJ1111" i="15"/>
  <c r="AK1111" i="15"/>
  <c r="AL1111" i="15"/>
  <c r="AM1111" i="15"/>
  <c r="AN1111" i="15"/>
  <c r="AO1111" i="15"/>
  <c r="R1112" i="15"/>
  <c r="S1112" i="15"/>
  <c r="T1112" i="15"/>
  <c r="U1112" i="15"/>
  <c r="V1112" i="15"/>
  <c r="W1112" i="15"/>
  <c r="X1112" i="15"/>
  <c r="Y1112" i="15"/>
  <c r="Z1112" i="15"/>
  <c r="AA1112" i="15"/>
  <c r="AB1112" i="15"/>
  <c r="AC1112" i="15"/>
  <c r="AD1112" i="15"/>
  <c r="AE1112" i="15"/>
  <c r="AF1112" i="15"/>
  <c r="AG1112" i="15"/>
  <c r="AH1112" i="15"/>
  <c r="AI1112" i="15"/>
  <c r="AJ1112" i="15"/>
  <c r="AK1112" i="15"/>
  <c r="AL1112" i="15"/>
  <c r="AM1112" i="15"/>
  <c r="AN1112" i="15"/>
  <c r="AO1112" i="15"/>
  <c r="R1113" i="15"/>
  <c r="S1113" i="15"/>
  <c r="T1113" i="15"/>
  <c r="U1113" i="15"/>
  <c r="V1113" i="15"/>
  <c r="W1113" i="15"/>
  <c r="X1113" i="15"/>
  <c r="Y1113" i="15"/>
  <c r="Z1113" i="15"/>
  <c r="AA1113" i="15"/>
  <c r="AB1113" i="15"/>
  <c r="AC1113" i="15"/>
  <c r="AD1113" i="15"/>
  <c r="AE1113" i="15"/>
  <c r="AF1113" i="15"/>
  <c r="AG1113" i="15"/>
  <c r="AH1113" i="15"/>
  <c r="AI1113" i="15"/>
  <c r="AJ1113" i="15"/>
  <c r="AK1113" i="15"/>
  <c r="AL1113" i="15"/>
  <c r="AM1113" i="15"/>
  <c r="AN1113" i="15"/>
  <c r="AO1113" i="15"/>
  <c r="R1114" i="15"/>
  <c r="S1114" i="15"/>
  <c r="T1114" i="15"/>
  <c r="U1114" i="15"/>
  <c r="V1114" i="15"/>
  <c r="W1114" i="15"/>
  <c r="X1114" i="15"/>
  <c r="Y1114" i="15"/>
  <c r="Z1114" i="15"/>
  <c r="AA1114" i="15"/>
  <c r="AB1114" i="15"/>
  <c r="AC1114" i="15"/>
  <c r="AD1114" i="15"/>
  <c r="AE1114" i="15"/>
  <c r="AF1114" i="15"/>
  <c r="AG1114" i="15"/>
  <c r="AH1114" i="15"/>
  <c r="AI1114" i="15"/>
  <c r="AJ1114" i="15"/>
  <c r="AK1114" i="15"/>
  <c r="AL1114" i="15"/>
  <c r="AM1114" i="15"/>
  <c r="AN1114" i="15"/>
  <c r="AO1114" i="15"/>
  <c r="R1115" i="15"/>
  <c r="S1115" i="15"/>
  <c r="T1115" i="15"/>
  <c r="U1115" i="15"/>
  <c r="V1115" i="15"/>
  <c r="W1115" i="15"/>
  <c r="X1115" i="15"/>
  <c r="Y1115" i="15"/>
  <c r="Z1115" i="15"/>
  <c r="AA1115" i="15"/>
  <c r="AB1115" i="15"/>
  <c r="AC1115" i="15"/>
  <c r="AD1115" i="15"/>
  <c r="AE1115" i="15"/>
  <c r="AF1115" i="15"/>
  <c r="AG1115" i="15"/>
  <c r="AH1115" i="15"/>
  <c r="AI1115" i="15"/>
  <c r="AJ1115" i="15"/>
  <c r="AK1115" i="15"/>
  <c r="AL1115" i="15"/>
  <c r="AM1115" i="15"/>
  <c r="AN1115" i="15"/>
  <c r="AO1115" i="15"/>
  <c r="R1116" i="15"/>
  <c r="S1116" i="15"/>
  <c r="T1116" i="15"/>
  <c r="U1116" i="15"/>
  <c r="V1116" i="15"/>
  <c r="W1116" i="15"/>
  <c r="X1116" i="15"/>
  <c r="Y1116" i="15"/>
  <c r="Z1116" i="15"/>
  <c r="AA1116" i="15"/>
  <c r="AB1116" i="15"/>
  <c r="AC1116" i="15"/>
  <c r="AD1116" i="15"/>
  <c r="AE1116" i="15"/>
  <c r="AF1116" i="15"/>
  <c r="AG1116" i="15"/>
  <c r="AH1116" i="15"/>
  <c r="AI1116" i="15"/>
  <c r="AJ1116" i="15"/>
  <c r="AK1116" i="15"/>
  <c r="AL1116" i="15"/>
  <c r="AM1116" i="15"/>
  <c r="AN1116" i="15"/>
  <c r="AO1116" i="15"/>
  <c r="R1117" i="15"/>
  <c r="S1117" i="15"/>
  <c r="T1117" i="15"/>
  <c r="U1117" i="15"/>
  <c r="V1117" i="15"/>
  <c r="W1117" i="15"/>
  <c r="X1117" i="15"/>
  <c r="Y1117" i="15"/>
  <c r="Z1117" i="15"/>
  <c r="AA1117" i="15"/>
  <c r="AB1117" i="15"/>
  <c r="AC1117" i="15"/>
  <c r="AD1117" i="15"/>
  <c r="AE1117" i="15"/>
  <c r="AF1117" i="15"/>
  <c r="AG1117" i="15"/>
  <c r="AH1117" i="15"/>
  <c r="AI1117" i="15"/>
  <c r="AJ1117" i="15"/>
  <c r="AK1117" i="15"/>
  <c r="AL1117" i="15"/>
  <c r="AM1117" i="15"/>
  <c r="AN1117" i="15"/>
  <c r="AO1117" i="15"/>
  <c r="R1118" i="15"/>
  <c r="S1118" i="15"/>
  <c r="T1118" i="15"/>
  <c r="U1118" i="15"/>
  <c r="V1118" i="15"/>
  <c r="W1118" i="15"/>
  <c r="X1118" i="15"/>
  <c r="Y1118" i="15"/>
  <c r="Z1118" i="15"/>
  <c r="AA1118" i="15"/>
  <c r="AB1118" i="15"/>
  <c r="AC1118" i="15"/>
  <c r="AD1118" i="15"/>
  <c r="AE1118" i="15"/>
  <c r="AF1118" i="15"/>
  <c r="AG1118" i="15"/>
  <c r="AH1118" i="15"/>
  <c r="AI1118" i="15"/>
  <c r="AJ1118" i="15"/>
  <c r="AK1118" i="15"/>
  <c r="AL1118" i="15"/>
  <c r="AM1118" i="15"/>
  <c r="AN1118" i="15"/>
  <c r="AO1118" i="15"/>
  <c r="R1119" i="15"/>
  <c r="S1119" i="15"/>
  <c r="T1119" i="15"/>
  <c r="U1119" i="15"/>
  <c r="V1119" i="15"/>
  <c r="W1119" i="15"/>
  <c r="X1119" i="15"/>
  <c r="Y1119" i="15"/>
  <c r="Z1119" i="15"/>
  <c r="AA1119" i="15"/>
  <c r="AB1119" i="15"/>
  <c r="AC1119" i="15"/>
  <c r="AD1119" i="15"/>
  <c r="AE1119" i="15"/>
  <c r="AF1119" i="15"/>
  <c r="AG1119" i="15"/>
  <c r="AH1119" i="15"/>
  <c r="AI1119" i="15"/>
  <c r="AJ1119" i="15"/>
  <c r="AK1119" i="15"/>
  <c r="AL1119" i="15"/>
  <c r="AM1119" i="15"/>
  <c r="AN1119" i="15"/>
  <c r="AO1119" i="15"/>
  <c r="R1120" i="15"/>
  <c r="S1120" i="15"/>
  <c r="T1120" i="15"/>
  <c r="U1120" i="15"/>
  <c r="V1120" i="15"/>
  <c r="W1120" i="15"/>
  <c r="X1120" i="15"/>
  <c r="Y1120" i="15"/>
  <c r="Z1120" i="15"/>
  <c r="AA1120" i="15"/>
  <c r="AB1120" i="15"/>
  <c r="AC1120" i="15"/>
  <c r="AD1120" i="15"/>
  <c r="AE1120" i="15"/>
  <c r="AF1120" i="15"/>
  <c r="AG1120" i="15"/>
  <c r="AH1120" i="15"/>
  <c r="AI1120" i="15"/>
  <c r="AJ1120" i="15"/>
  <c r="AK1120" i="15"/>
  <c r="AL1120" i="15"/>
  <c r="AM1120" i="15"/>
  <c r="AN1120" i="15"/>
  <c r="AO1120" i="15"/>
  <c r="R1121" i="15"/>
  <c r="S1121" i="15"/>
  <c r="T1121" i="15"/>
  <c r="U1121" i="15"/>
  <c r="V1121" i="15"/>
  <c r="W1121" i="15"/>
  <c r="X1121" i="15"/>
  <c r="Y1121" i="15"/>
  <c r="Z1121" i="15"/>
  <c r="AA1121" i="15"/>
  <c r="AB1121" i="15"/>
  <c r="AC1121" i="15"/>
  <c r="AD1121" i="15"/>
  <c r="AE1121" i="15"/>
  <c r="AF1121" i="15"/>
  <c r="AG1121" i="15"/>
  <c r="AH1121" i="15"/>
  <c r="AI1121" i="15"/>
  <c r="AJ1121" i="15"/>
  <c r="AK1121" i="15"/>
  <c r="AL1121" i="15"/>
  <c r="AM1121" i="15"/>
  <c r="AN1121" i="15"/>
  <c r="AO1121" i="15"/>
  <c r="R1122" i="15"/>
  <c r="S1122" i="15"/>
  <c r="T1122" i="15"/>
  <c r="U1122" i="15"/>
  <c r="V1122" i="15"/>
  <c r="W1122" i="15"/>
  <c r="X1122" i="15"/>
  <c r="Y1122" i="15"/>
  <c r="Z1122" i="15"/>
  <c r="AA1122" i="15"/>
  <c r="AB1122" i="15"/>
  <c r="AC1122" i="15"/>
  <c r="AD1122" i="15"/>
  <c r="AE1122" i="15"/>
  <c r="AF1122" i="15"/>
  <c r="AG1122" i="15"/>
  <c r="AH1122" i="15"/>
  <c r="AI1122" i="15"/>
  <c r="AJ1122" i="15"/>
  <c r="AK1122" i="15"/>
  <c r="AL1122" i="15"/>
  <c r="AM1122" i="15"/>
  <c r="AN1122" i="15"/>
  <c r="AO1122" i="15"/>
  <c r="R1123" i="15"/>
  <c r="S1123" i="15"/>
  <c r="T1123" i="15"/>
  <c r="U1123" i="15"/>
  <c r="V1123" i="15"/>
  <c r="W1123" i="15"/>
  <c r="X1123" i="15"/>
  <c r="Y1123" i="15"/>
  <c r="Z1123" i="15"/>
  <c r="AA1123" i="15"/>
  <c r="AB1123" i="15"/>
  <c r="AC1123" i="15"/>
  <c r="AD1123" i="15"/>
  <c r="AE1123" i="15"/>
  <c r="AF1123" i="15"/>
  <c r="AG1123" i="15"/>
  <c r="AH1123" i="15"/>
  <c r="AI1123" i="15"/>
  <c r="AJ1123" i="15"/>
  <c r="AK1123" i="15"/>
  <c r="AL1123" i="15"/>
  <c r="AM1123" i="15"/>
  <c r="AN1123" i="15"/>
  <c r="AO1123" i="15"/>
  <c r="R1124" i="15"/>
  <c r="S1124" i="15"/>
  <c r="T1124" i="15"/>
  <c r="U1124" i="15"/>
  <c r="V1124" i="15"/>
  <c r="W1124" i="15"/>
  <c r="X1124" i="15"/>
  <c r="Y1124" i="15"/>
  <c r="Z1124" i="15"/>
  <c r="AA1124" i="15"/>
  <c r="AB1124" i="15"/>
  <c r="AC1124" i="15"/>
  <c r="AD1124" i="15"/>
  <c r="AE1124" i="15"/>
  <c r="AF1124" i="15"/>
  <c r="AG1124" i="15"/>
  <c r="AH1124" i="15"/>
  <c r="AI1124" i="15"/>
  <c r="AJ1124" i="15"/>
  <c r="AK1124" i="15"/>
  <c r="AL1124" i="15"/>
  <c r="AM1124" i="15"/>
  <c r="AN1124" i="15"/>
  <c r="AO1124" i="15"/>
  <c r="R1125" i="15"/>
  <c r="S1125" i="15"/>
  <c r="T1125" i="15"/>
  <c r="U1125" i="15"/>
  <c r="V1125" i="15"/>
  <c r="W1125" i="15"/>
  <c r="X1125" i="15"/>
  <c r="Y1125" i="15"/>
  <c r="Z1125" i="15"/>
  <c r="AA1125" i="15"/>
  <c r="AB1125" i="15"/>
  <c r="AC1125" i="15"/>
  <c r="AD1125" i="15"/>
  <c r="AE1125" i="15"/>
  <c r="AF1125" i="15"/>
  <c r="AG1125" i="15"/>
  <c r="AH1125" i="15"/>
  <c r="AI1125" i="15"/>
  <c r="AJ1125" i="15"/>
  <c r="AK1125" i="15"/>
  <c r="AL1125" i="15"/>
  <c r="AM1125" i="15"/>
  <c r="AN1125" i="15"/>
  <c r="AO1125" i="15"/>
  <c r="R1126" i="15"/>
  <c r="S1126" i="15"/>
  <c r="T1126" i="15"/>
  <c r="U1126" i="15"/>
  <c r="V1126" i="15"/>
  <c r="W1126" i="15"/>
  <c r="X1126" i="15"/>
  <c r="Y1126" i="15"/>
  <c r="Z1126" i="15"/>
  <c r="AA1126" i="15"/>
  <c r="AB1126" i="15"/>
  <c r="AC1126" i="15"/>
  <c r="AD1126" i="15"/>
  <c r="AE1126" i="15"/>
  <c r="AF1126" i="15"/>
  <c r="AG1126" i="15"/>
  <c r="AH1126" i="15"/>
  <c r="AI1126" i="15"/>
  <c r="AJ1126" i="15"/>
  <c r="AK1126" i="15"/>
  <c r="AL1126" i="15"/>
  <c r="AM1126" i="15"/>
  <c r="AN1126" i="15"/>
  <c r="AO1126" i="15"/>
  <c r="R1127" i="15"/>
  <c r="S1127" i="15"/>
  <c r="T1127" i="15"/>
  <c r="U1127" i="15"/>
  <c r="V1127" i="15"/>
  <c r="W1127" i="15"/>
  <c r="X1127" i="15"/>
  <c r="Y1127" i="15"/>
  <c r="Z1127" i="15"/>
  <c r="AA1127" i="15"/>
  <c r="AB1127" i="15"/>
  <c r="AC1127" i="15"/>
  <c r="AD1127" i="15"/>
  <c r="AE1127" i="15"/>
  <c r="AF1127" i="15"/>
  <c r="AG1127" i="15"/>
  <c r="AH1127" i="15"/>
  <c r="AI1127" i="15"/>
  <c r="AJ1127" i="15"/>
  <c r="AK1127" i="15"/>
  <c r="AL1127" i="15"/>
  <c r="AM1127" i="15"/>
  <c r="AN1127" i="15"/>
  <c r="AO1127" i="15"/>
  <c r="R1128" i="15"/>
  <c r="S1128" i="15"/>
  <c r="T1128" i="15"/>
  <c r="U1128" i="15"/>
  <c r="V1128" i="15"/>
  <c r="W1128" i="15"/>
  <c r="X1128" i="15"/>
  <c r="Y1128" i="15"/>
  <c r="Z1128" i="15"/>
  <c r="AA1128" i="15"/>
  <c r="AB1128" i="15"/>
  <c r="AC1128" i="15"/>
  <c r="AD1128" i="15"/>
  <c r="AE1128" i="15"/>
  <c r="AF1128" i="15"/>
  <c r="AG1128" i="15"/>
  <c r="AH1128" i="15"/>
  <c r="AI1128" i="15"/>
  <c r="AJ1128" i="15"/>
  <c r="AK1128" i="15"/>
  <c r="AL1128" i="15"/>
  <c r="AM1128" i="15"/>
  <c r="AN1128" i="15"/>
  <c r="AO1128" i="15"/>
  <c r="R1129" i="15"/>
  <c r="S1129" i="15"/>
  <c r="T1129" i="15"/>
  <c r="U1129" i="15"/>
  <c r="V1129" i="15"/>
  <c r="W1129" i="15"/>
  <c r="X1129" i="15"/>
  <c r="Y1129" i="15"/>
  <c r="Z1129" i="15"/>
  <c r="AA1129" i="15"/>
  <c r="AB1129" i="15"/>
  <c r="AC1129" i="15"/>
  <c r="AD1129" i="15"/>
  <c r="AE1129" i="15"/>
  <c r="AF1129" i="15"/>
  <c r="AG1129" i="15"/>
  <c r="AH1129" i="15"/>
  <c r="AI1129" i="15"/>
  <c r="AJ1129" i="15"/>
  <c r="AK1129" i="15"/>
  <c r="AL1129" i="15"/>
  <c r="AM1129" i="15"/>
  <c r="AN1129" i="15"/>
  <c r="AO1129" i="15"/>
  <c r="R1130" i="15"/>
  <c r="S1130" i="15"/>
  <c r="T1130" i="15"/>
  <c r="U1130" i="15"/>
  <c r="V1130" i="15"/>
  <c r="W1130" i="15"/>
  <c r="X1130" i="15"/>
  <c r="Y1130" i="15"/>
  <c r="Z1130" i="15"/>
  <c r="AA1130" i="15"/>
  <c r="AB1130" i="15"/>
  <c r="AC1130" i="15"/>
  <c r="AD1130" i="15"/>
  <c r="AE1130" i="15"/>
  <c r="AF1130" i="15"/>
  <c r="AG1130" i="15"/>
  <c r="AH1130" i="15"/>
  <c r="AI1130" i="15"/>
  <c r="AJ1130" i="15"/>
  <c r="AK1130" i="15"/>
  <c r="AL1130" i="15"/>
  <c r="AM1130" i="15"/>
  <c r="AN1130" i="15"/>
  <c r="AO1130" i="15"/>
  <c r="R1131" i="15"/>
  <c r="S1131" i="15"/>
  <c r="T1131" i="15"/>
  <c r="U1131" i="15"/>
  <c r="V1131" i="15"/>
  <c r="W1131" i="15"/>
  <c r="X1131" i="15"/>
  <c r="Y1131" i="15"/>
  <c r="Z1131" i="15"/>
  <c r="AA1131" i="15"/>
  <c r="AB1131" i="15"/>
  <c r="AC1131" i="15"/>
  <c r="AD1131" i="15"/>
  <c r="AE1131" i="15"/>
  <c r="AF1131" i="15"/>
  <c r="AG1131" i="15"/>
  <c r="AH1131" i="15"/>
  <c r="AI1131" i="15"/>
  <c r="AJ1131" i="15"/>
  <c r="AK1131" i="15"/>
  <c r="AL1131" i="15"/>
  <c r="AM1131" i="15"/>
  <c r="AN1131" i="15"/>
  <c r="AO1131" i="15"/>
  <c r="R1132" i="15"/>
  <c r="S1132" i="15"/>
  <c r="T1132" i="15"/>
  <c r="U1132" i="15"/>
  <c r="V1132" i="15"/>
  <c r="W1132" i="15"/>
  <c r="X1132" i="15"/>
  <c r="Y1132" i="15"/>
  <c r="Z1132" i="15"/>
  <c r="AA1132" i="15"/>
  <c r="AB1132" i="15"/>
  <c r="AC1132" i="15"/>
  <c r="AD1132" i="15"/>
  <c r="AE1132" i="15"/>
  <c r="AF1132" i="15"/>
  <c r="AG1132" i="15"/>
  <c r="AH1132" i="15"/>
  <c r="AI1132" i="15"/>
  <c r="AJ1132" i="15"/>
  <c r="AK1132" i="15"/>
  <c r="AL1132" i="15"/>
  <c r="AM1132" i="15"/>
  <c r="AN1132" i="15"/>
  <c r="AO1132" i="15"/>
  <c r="R1133" i="15"/>
  <c r="S1133" i="15"/>
  <c r="T1133" i="15"/>
  <c r="U1133" i="15"/>
  <c r="V1133" i="15"/>
  <c r="W1133" i="15"/>
  <c r="X1133" i="15"/>
  <c r="Y1133" i="15"/>
  <c r="Z1133" i="15"/>
  <c r="AA1133" i="15"/>
  <c r="AB1133" i="15"/>
  <c r="AC1133" i="15"/>
  <c r="AD1133" i="15"/>
  <c r="AE1133" i="15"/>
  <c r="AF1133" i="15"/>
  <c r="AG1133" i="15"/>
  <c r="AH1133" i="15"/>
  <c r="AI1133" i="15"/>
  <c r="AJ1133" i="15"/>
  <c r="AK1133" i="15"/>
  <c r="AL1133" i="15"/>
  <c r="AM1133" i="15"/>
  <c r="AN1133" i="15"/>
  <c r="AO1133" i="15"/>
  <c r="R1134" i="15"/>
  <c r="S1134" i="15"/>
  <c r="T1134" i="15"/>
  <c r="U1134" i="15"/>
  <c r="V1134" i="15"/>
  <c r="W1134" i="15"/>
  <c r="X1134" i="15"/>
  <c r="Y1134" i="15"/>
  <c r="Z1134" i="15"/>
  <c r="AA1134" i="15"/>
  <c r="AB1134" i="15"/>
  <c r="AC1134" i="15"/>
  <c r="AD1134" i="15"/>
  <c r="AE1134" i="15"/>
  <c r="AF1134" i="15"/>
  <c r="AG1134" i="15"/>
  <c r="AH1134" i="15"/>
  <c r="AI1134" i="15"/>
  <c r="AJ1134" i="15"/>
  <c r="AK1134" i="15"/>
  <c r="AL1134" i="15"/>
  <c r="AM1134" i="15"/>
  <c r="AN1134" i="15"/>
  <c r="AO1134" i="15"/>
  <c r="R1135" i="15"/>
  <c r="S1135" i="15"/>
  <c r="T1135" i="15"/>
  <c r="U1135" i="15"/>
  <c r="V1135" i="15"/>
  <c r="W1135" i="15"/>
  <c r="X1135" i="15"/>
  <c r="Y1135" i="15"/>
  <c r="Z1135" i="15"/>
  <c r="AA1135" i="15"/>
  <c r="AB1135" i="15"/>
  <c r="AC1135" i="15"/>
  <c r="AD1135" i="15"/>
  <c r="AE1135" i="15"/>
  <c r="AF1135" i="15"/>
  <c r="AG1135" i="15"/>
  <c r="AH1135" i="15"/>
  <c r="AI1135" i="15"/>
  <c r="AJ1135" i="15"/>
  <c r="AK1135" i="15"/>
  <c r="AL1135" i="15"/>
  <c r="AM1135" i="15"/>
  <c r="AN1135" i="15"/>
  <c r="AO1135" i="15"/>
  <c r="R1136" i="15"/>
  <c r="S1136" i="15"/>
  <c r="T1136" i="15"/>
  <c r="U1136" i="15"/>
  <c r="V1136" i="15"/>
  <c r="W1136" i="15"/>
  <c r="X1136" i="15"/>
  <c r="Y1136" i="15"/>
  <c r="Z1136" i="15"/>
  <c r="AA1136" i="15"/>
  <c r="AB1136" i="15"/>
  <c r="AC1136" i="15"/>
  <c r="AD1136" i="15"/>
  <c r="AE1136" i="15"/>
  <c r="AF1136" i="15"/>
  <c r="AG1136" i="15"/>
  <c r="AH1136" i="15"/>
  <c r="AI1136" i="15"/>
  <c r="AJ1136" i="15"/>
  <c r="AK1136" i="15"/>
  <c r="AL1136" i="15"/>
  <c r="AM1136" i="15"/>
  <c r="AN1136" i="15"/>
  <c r="AO1136" i="15"/>
  <c r="R1137" i="15"/>
  <c r="S1137" i="15"/>
  <c r="T1137" i="15"/>
  <c r="U1137" i="15"/>
  <c r="V1137" i="15"/>
  <c r="W1137" i="15"/>
  <c r="X1137" i="15"/>
  <c r="Y1137" i="15"/>
  <c r="Z1137" i="15"/>
  <c r="AA1137" i="15"/>
  <c r="AB1137" i="15"/>
  <c r="AC1137" i="15"/>
  <c r="AD1137" i="15"/>
  <c r="AE1137" i="15"/>
  <c r="AF1137" i="15"/>
  <c r="AG1137" i="15"/>
  <c r="AH1137" i="15"/>
  <c r="AI1137" i="15"/>
  <c r="AJ1137" i="15"/>
  <c r="AK1137" i="15"/>
  <c r="AL1137" i="15"/>
  <c r="AM1137" i="15"/>
  <c r="AN1137" i="15"/>
  <c r="AO1137" i="15"/>
  <c r="R1138" i="15"/>
  <c r="S1138" i="15"/>
  <c r="T1138" i="15"/>
  <c r="U1138" i="15"/>
  <c r="V1138" i="15"/>
  <c r="W1138" i="15"/>
  <c r="X1138" i="15"/>
  <c r="Y1138" i="15"/>
  <c r="Z1138" i="15"/>
  <c r="AA1138" i="15"/>
  <c r="AB1138" i="15"/>
  <c r="AC1138" i="15"/>
  <c r="AD1138" i="15"/>
  <c r="AE1138" i="15"/>
  <c r="AF1138" i="15"/>
  <c r="AG1138" i="15"/>
  <c r="AH1138" i="15"/>
  <c r="AI1138" i="15"/>
  <c r="AJ1138" i="15"/>
  <c r="AK1138" i="15"/>
  <c r="AL1138" i="15"/>
  <c r="AM1138" i="15"/>
  <c r="AN1138" i="15"/>
  <c r="AO1138" i="15"/>
  <c r="R1139" i="15"/>
  <c r="S1139" i="15"/>
  <c r="T1139" i="15"/>
  <c r="U1139" i="15"/>
  <c r="V1139" i="15"/>
  <c r="W1139" i="15"/>
  <c r="X1139" i="15"/>
  <c r="Y1139" i="15"/>
  <c r="Z1139" i="15"/>
  <c r="AA1139" i="15"/>
  <c r="AB1139" i="15"/>
  <c r="AC1139" i="15"/>
  <c r="AD1139" i="15"/>
  <c r="AE1139" i="15"/>
  <c r="AF1139" i="15"/>
  <c r="AG1139" i="15"/>
  <c r="AH1139" i="15"/>
  <c r="AI1139" i="15"/>
  <c r="AJ1139" i="15"/>
  <c r="AK1139" i="15"/>
  <c r="AL1139" i="15"/>
  <c r="AM1139" i="15"/>
  <c r="AN1139" i="15"/>
  <c r="AO1139" i="15"/>
  <c r="R1140" i="15"/>
  <c r="S1140" i="15"/>
  <c r="T1140" i="15"/>
  <c r="U1140" i="15"/>
  <c r="V1140" i="15"/>
  <c r="W1140" i="15"/>
  <c r="X1140" i="15"/>
  <c r="Y1140" i="15"/>
  <c r="Z1140" i="15"/>
  <c r="AA1140" i="15"/>
  <c r="AB1140" i="15"/>
  <c r="AC1140" i="15"/>
  <c r="AD1140" i="15"/>
  <c r="AE1140" i="15"/>
  <c r="AF1140" i="15"/>
  <c r="AG1140" i="15"/>
  <c r="AH1140" i="15"/>
  <c r="AI1140" i="15"/>
  <c r="AJ1140" i="15"/>
  <c r="AK1140" i="15"/>
  <c r="AL1140" i="15"/>
  <c r="AM1140" i="15"/>
  <c r="AN1140" i="15"/>
  <c r="AO1140" i="15"/>
  <c r="R1141" i="15"/>
  <c r="S1141" i="15"/>
  <c r="T1141" i="15"/>
  <c r="U1141" i="15"/>
  <c r="V1141" i="15"/>
  <c r="W1141" i="15"/>
  <c r="X1141" i="15"/>
  <c r="Y1141" i="15"/>
  <c r="Z1141" i="15"/>
  <c r="AA1141" i="15"/>
  <c r="AB1141" i="15"/>
  <c r="AC1141" i="15"/>
  <c r="AD1141" i="15"/>
  <c r="AE1141" i="15"/>
  <c r="AF1141" i="15"/>
  <c r="AG1141" i="15"/>
  <c r="AH1141" i="15"/>
  <c r="AI1141" i="15"/>
  <c r="AJ1141" i="15"/>
  <c r="AK1141" i="15"/>
  <c r="AL1141" i="15"/>
  <c r="AM1141" i="15"/>
  <c r="AN1141" i="15"/>
  <c r="AO1141" i="15"/>
  <c r="R1142" i="15"/>
  <c r="S1142" i="15"/>
  <c r="T1142" i="15"/>
  <c r="U1142" i="15"/>
  <c r="V1142" i="15"/>
  <c r="W1142" i="15"/>
  <c r="X1142" i="15"/>
  <c r="Y1142" i="15"/>
  <c r="Z1142" i="15"/>
  <c r="AA1142" i="15"/>
  <c r="AB1142" i="15"/>
  <c r="AC1142" i="15"/>
  <c r="AD1142" i="15"/>
  <c r="AE1142" i="15"/>
  <c r="AF1142" i="15"/>
  <c r="AG1142" i="15"/>
  <c r="AH1142" i="15"/>
  <c r="AI1142" i="15"/>
  <c r="AJ1142" i="15"/>
  <c r="AK1142" i="15"/>
  <c r="AL1142" i="15"/>
  <c r="AM1142" i="15"/>
  <c r="AN1142" i="15"/>
  <c r="AO1142" i="15"/>
  <c r="R1143" i="15"/>
  <c r="S1143" i="15"/>
  <c r="T1143" i="15"/>
  <c r="U1143" i="15"/>
  <c r="V1143" i="15"/>
  <c r="W1143" i="15"/>
  <c r="X1143" i="15"/>
  <c r="Y1143" i="15"/>
  <c r="Z1143" i="15"/>
  <c r="AA1143" i="15"/>
  <c r="AB1143" i="15"/>
  <c r="AC1143" i="15"/>
  <c r="AD1143" i="15"/>
  <c r="AE1143" i="15"/>
  <c r="AF1143" i="15"/>
  <c r="AG1143" i="15"/>
  <c r="AH1143" i="15"/>
  <c r="AI1143" i="15"/>
  <c r="AJ1143" i="15"/>
  <c r="AK1143" i="15"/>
  <c r="AL1143" i="15"/>
  <c r="AM1143" i="15"/>
  <c r="AN1143" i="15"/>
  <c r="AO1143" i="15"/>
  <c r="R1144" i="15"/>
  <c r="S1144" i="15"/>
  <c r="T1144" i="15"/>
  <c r="U1144" i="15"/>
  <c r="V1144" i="15"/>
  <c r="W1144" i="15"/>
  <c r="X1144" i="15"/>
  <c r="Y1144" i="15"/>
  <c r="Z1144" i="15"/>
  <c r="AA1144" i="15"/>
  <c r="AB1144" i="15"/>
  <c r="AC1144" i="15"/>
  <c r="AD1144" i="15"/>
  <c r="AE1144" i="15"/>
  <c r="AF1144" i="15"/>
  <c r="AG1144" i="15"/>
  <c r="AH1144" i="15"/>
  <c r="AI1144" i="15"/>
  <c r="AJ1144" i="15"/>
  <c r="AK1144" i="15"/>
  <c r="AL1144" i="15"/>
  <c r="AM1144" i="15"/>
  <c r="AN1144" i="15"/>
  <c r="AO1144" i="15"/>
  <c r="R1145" i="15"/>
  <c r="S1145" i="15"/>
  <c r="T1145" i="15"/>
  <c r="U1145" i="15"/>
  <c r="V1145" i="15"/>
  <c r="W1145" i="15"/>
  <c r="X1145" i="15"/>
  <c r="Y1145" i="15"/>
  <c r="Z1145" i="15"/>
  <c r="AA1145" i="15"/>
  <c r="AB1145" i="15"/>
  <c r="AC1145" i="15"/>
  <c r="AD1145" i="15"/>
  <c r="AE1145" i="15"/>
  <c r="AF1145" i="15"/>
  <c r="AG1145" i="15"/>
  <c r="AH1145" i="15"/>
  <c r="AI1145" i="15"/>
  <c r="AJ1145" i="15"/>
  <c r="AK1145" i="15"/>
  <c r="AL1145" i="15"/>
  <c r="AM1145" i="15"/>
  <c r="AN1145" i="15"/>
  <c r="AO1145" i="15"/>
  <c r="R1146" i="15"/>
  <c r="S1146" i="15"/>
  <c r="T1146" i="15"/>
  <c r="U1146" i="15"/>
  <c r="V1146" i="15"/>
  <c r="W1146" i="15"/>
  <c r="X1146" i="15"/>
  <c r="Y1146" i="15"/>
  <c r="Z1146" i="15"/>
  <c r="AA1146" i="15"/>
  <c r="AB1146" i="15"/>
  <c r="AC1146" i="15"/>
  <c r="AD1146" i="15"/>
  <c r="AE1146" i="15"/>
  <c r="AF1146" i="15"/>
  <c r="AG1146" i="15"/>
  <c r="AH1146" i="15"/>
  <c r="AI1146" i="15"/>
  <c r="AJ1146" i="15"/>
  <c r="AK1146" i="15"/>
  <c r="AL1146" i="15"/>
  <c r="AM1146" i="15"/>
  <c r="AN1146" i="15"/>
  <c r="AO1146" i="15"/>
  <c r="R1147" i="15"/>
  <c r="S1147" i="15"/>
  <c r="T1147" i="15"/>
  <c r="U1147" i="15"/>
  <c r="V1147" i="15"/>
  <c r="W1147" i="15"/>
  <c r="X1147" i="15"/>
  <c r="Y1147" i="15"/>
  <c r="Z1147" i="15"/>
  <c r="AA1147" i="15"/>
  <c r="AB1147" i="15"/>
  <c r="AC1147" i="15"/>
  <c r="AD1147" i="15"/>
  <c r="AE1147" i="15"/>
  <c r="AF1147" i="15"/>
  <c r="AG1147" i="15"/>
  <c r="AH1147" i="15"/>
  <c r="AI1147" i="15"/>
  <c r="AJ1147" i="15"/>
  <c r="AK1147" i="15"/>
  <c r="AL1147" i="15"/>
  <c r="AM1147" i="15"/>
  <c r="AN1147" i="15"/>
  <c r="AO1147" i="15"/>
  <c r="R1148" i="15"/>
  <c r="S1148" i="15"/>
  <c r="T1148" i="15"/>
  <c r="U1148" i="15"/>
  <c r="V1148" i="15"/>
  <c r="W1148" i="15"/>
  <c r="X1148" i="15"/>
  <c r="Y1148" i="15"/>
  <c r="Z1148" i="15"/>
  <c r="AA1148" i="15"/>
  <c r="AB1148" i="15"/>
  <c r="AC1148" i="15"/>
  <c r="AD1148" i="15"/>
  <c r="AE1148" i="15"/>
  <c r="AF1148" i="15"/>
  <c r="AG1148" i="15"/>
  <c r="AH1148" i="15"/>
  <c r="AI1148" i="15"/>
  <c r="AJ1148" i="15"/>
  <c r="AK1148" i="15"/>
  <c r="AL1148" i="15"/>
  <c r="AM1148" i="15"/>
  <c r="AN1148" i="15"/>
  <c r="AO1148" i="15"/>
  <c r="R1149" i="15"/>
  <c r="S1149" i="15"/>
  <c r="T1149" i="15"/>
  <c r="U1149" i="15"/>
  <c r="V1149" i="15"/>
  <c r="W1149" i="15"/>
  <c r="X1149" i="15"/>
  <c r="Y1149" i="15"/>
  <c r="Z1149" i="15"/>
  <c r="AA1149" i="15"/>
  <c r="AB1149" i="15"/>
  <c r="AC1149" i="15"/>
  <c r="AD1149" i="15"/>
  <c r="AE1149" i="15"/>
  <c r="AF1149" i="15"/>
  <c r="AG1149" i="15"/>
  <c r="AH1149" i="15"/>
  <c r="AI1149" i="15"/>
  <c r="AJ1149" i="15"/>
  <c r="AK1149" i="15"/>
  <c r="AL1149" i="15"/>
  <c r="AM1149" i="15"/>
  <c r="AN1149" i="15"/>
  <c r="AO1149" i="15"/>
  <c r="R1150" i="15"/>
  <c r="S1150" i="15"/>
  <c r="T1150" i="15"/>
  <c r="U1150" i="15"/>
  <c r="V1150" i="15"/>
  <c r="W1150" i="15"/>
  <c r="X1150" i="15"/>
  <c r="Y1150" i="15"/>
  <c r="Z1150" i="15"/>
  <c r="AA1150" i="15"/>
  <c r="AB1150" i="15"/>
  <c r="AC1150" i="15"/>
  <c r="AD1150" i="15"/>
  <c r="AE1150" i="15"/>
  <c r="AF1150" i="15"/>
  <c r="AG1150" i="15"/>
  <c r="AH1150" i="15"/>
  <c r="AI1150" i="15"/>
  <c r="AJ1150" i="15"/>
  <c r="AK1150" i="15"/>
  <c r="AL1150" i="15"/>
  <c r="AM1150" i="15"/>
  <c r="AN1150" i="15"/>
  <c r="AO1150" i="15"/>
  <c r="R1151" i="15"/>
  <c r="S1151" i="15"/>
  <c r="T1151" i="15"/>
  <c r="U1151" i="15"/>
  <c r="V1151" i="15"/>
  <c r="W1151" i="15"/>
  <c r="X1151" i="15"/>
  <c r="Y1151" i="15"/>
  <c r="Z1151" i="15"/>
  <c r="AA1151" i="15"/>
  <c r="AB1151" i="15"/>
  <c r="AC1151" i="15"/>
  <c r="AD1151" i="15"/>
  <c r="AE1151" i="15"/>
  <c r="AF1151" i="15"/>
  <c r="AG1151" i="15"/>
  <c r="AH1151" i="15"/>
  <c r="AI1151" i="15"/>
  <c r="AJ1151" i="15"/>
  <c r="AK1151" i="15"/>
  <c r="AL1151" i="15"/>
  <c r="AM1151" i="15"/>
  <c r="AN1151" i="15"/>
  <c r="AO1151" i="15"/>
  <c r="R1152" i="15"/>
  <c r="S1152" i="15"/>
  <c r="T1152" i="15"/>
  <c r="U1152" i="15"/>
  <c r="V1152" i="15"/>
  <c r="W1152" i="15"/>
  <c r="X1152" i="15"/>
  <c r="Y1152" i="15"/>
  <c r="Z1152" i="15"/>
  <c r="AA1152" i="15"/>
  <c r="AB1152" i="15"/>
  <c r="AC1152" i="15"/>
  <c r="AD1152" i="15"/>
  <c r="AE1152" i="15"/>
  <c r="AF1152" i="15"/>
  <c r="AG1152" i="15"/>
  <c r="AH1152" i="15"/>
  <c r="AI1152" i="15"/>
  <c r="AJ1152" i="15"/>
  <c r="AK1152" i="15"/>
  <c r="AL1152" i="15"/>
  <c r="AM1152" i="15"/>
  <c r="AN1152" i="15"/>
  <c r="AO1152" i="15"/>
  <c r="R1153" i="15"/>
  <c r="S1153" i="15"/>
  <c r="T1153" i="15"/>
  <c r="U1153" i="15"/>
  <c r="V1153" i="15"/>
  <c r="W1153" i="15"/>
  <c r="X1153" i="15"/>
  <c r="Y1153" i="15"/>
  <c r="Z1153" i="15"/>
  <c r="AA1153" i="15"/>
  <c r="AB1153" i="15"/>
  <c r="AC1153" i="15"/>
  <c r="AD1153" i="15"/>
  <c r="AE1153" i="15"/>
  <c r="AF1153" i="15"/>
  <c r="AG1153" i="15"/>
  <c r="AH1153" i="15"/>
  <c r="AI1153" i="15"/>
  <c r="AJ1153" i="15"/>
  <c r="AK1153" i="15"/>
  <c r="AL1153" i="15"/>
  <c r="AM1153" i="15"/>
  <c r="AN1153" i="15"/>
  <c r="AO1153" i="15"/>
  <c r="R1154" i="15"/>
  <c r="S1154" i="15"/>
  <c r="T1154" i="15"/>
  <c r="U1154" i="15"/>
  <c r="V1154" i="15"/>
  <c r="W1154" i="15"/>
  <c r="X1154" i="15"/>
  <c r="Y1154" i="15"/>
  <c r="Z1154" i="15"/>
  <c r="AA1154" i="15"/>
  <c r="AB1154" i="15"/>
  <c r="AC1154" i="15"/>
  <c r="AD1154" i="15"/>
  <c r="AE1154" i="15"/>
  <c r="AF1154" i="15"/>
  <c r="AG1154" i="15"/>
  <c r="AH1154" i="15"/>
  <c r="AI1154" i="15"/>
  <c r="AJ1154" i="15"/>
  <c r="AK1154" i="15"/>
  <c r="AL1154" i="15"/>
  <c r="AM1154" i="15"/>
  <c r="AN1154" i="15"/>
  <c r="AO1154" i="15"/>
  <c r="R1155" i="15"/>
  <c r="S1155" i="15"/>
  <c r="T1155" i="15"/>
  <c r="U1155" i="15"/>
  <c r="V1155" i="15"/>
  <c r="W1155" i="15"/>
  <c r="X1155" i="15"/>
  <c r="Y1155" i="15"/>
  <c r="Z1155" i="15"/>
  <c r="AA1155" i="15"/>
  <c r="AB1155" i="15"/>
  <c r="AC1155" i="15"/>
  <c r="AD1155" i="15"/>
  <c r="AE1155" i="15"/>
  <c r="AF1155" i="15"/>
  <c r="AG1155" i="15"/>
  <c r="AH1155" i="15"/>
  <c r="AI1155" i="15"/>
  <c r="AJ1155" i="15"/>
  <c r="AK1155" i="15"/>
  <c r="AL1155" i="15"/>
  <c r="AM1155" i="15"/>
  <c r="AN1155" i="15"/>
  <c r="AO1155" i="15"/>
  <c r="R1156" i="15"/>
  <c r="S1156" i="15"/>
  <c r="T1156" i="15"/>
  <c r="U1156" i="15"/>
  <c r="V1156" i="15"/>
  <c r="W1156" i="15"/>
  <c r="X1156" i="15"/>
  <c r="Y1156" i="15"/>
  <c r="Z1156" i="15"/>
  <c r="AA1156" i="15"/>
  <c r="AB1156" i="15"/>
  <c r="AC1156" i="15"/>
  <c r="AD1156" i="15"/>
  <c r="AE1156" i="15"/>
  <c r="AF1156" i="15"/>
  <c r="AG1156" i="15"/>
  <c r="AH1156" i="15"/>
  <c r="AI1156" i="15"/>
  <c r="AJ1156" i="15"/>
  <c r="AK1156" i="15"/>
  <c r="AL1156" i="15"/>
  <c r="AM1156" i="15"/>
  <c r="AN1156" i="15"/>
  <c r="AO1156" i="15"/>
  <c r="R1157" i="15"/>
  <c r="S1157" i="15"/>
  <c r="T1157" i="15"/>
  <c r="U1157" i="15"/>
  <c r="V1157" i="15"/>
  <c r="W1157" i="15"/>
  <c r="X1157" i="15"/>
  <c r="Y1157" i="15"/>
  <c r="Z1157" i="15"/>
  <c r="AA1157" i="15"/>
  <c r="AB1157" i="15"/>
  <c r="AC1157" i="15"/>
  <c r="AD1157" i="15"/>
  <c r="AE1157" i="15"/>
  <c r="AF1157" i="15"/>
  <c r="AG1157" i="15"/>
  <c r="AH1157" i="15"/>
  <c r="AI1157" i="15"/>
  <c r="AJ1157" i="15"/>
  <c r="AK1157" i="15"/>
  <c r="AL1157" i="15"/>
  <c r="AM1157" i="15"/>
  <c r="AN1157" i="15"/>
  <c r="AO1157" i="15"/>
  <c r="R1158" i="15"/>
  <c r="S1158" i="15"/>
  <c r="T1158" i="15"/>
  <c r="U1158" i="15"/>
  <c r="V1158" i="15"/>
  <c r="W1158" i="15"/>
  <c r="X1158" i="15"/>
  <c r="Y1158" i="15"/>
  <c r="Z1158" i="15"/>
  <c r="AA1158" i="15"/>
  <c r="AB1158" i="15"/>
  <c r="AC1158" i="15"/>
  <c r="AD1158" i="15"/>
  <c r="AE1158" i="15"/>
  <c r="AF1158" i="15"/>
  <c r="AG1158" i="15"/>
  <c r="AH1158" i="15"/>
  <c r="AI1158" i="15"/>
  <c r="AJ1158" i="15"/>
  <c r="AK1158" i="15"/>
  <c r="AL1158" i="15"/>
  <c r="AM1158" i="15"/>
  <c r="AN1158" i="15"/>
  <c r="AO1158" i="15"/>
  <c r="R1159" i="15"/>
  <c r="S1159" i="15"/>
  <c r="T1159" i="15"/>
  <c r="U1159" i="15"/>
  <c r="V1159" i="15"/>
  <c r="W1159" i="15"/>
  <c r="X1159" i="15"/>
  <c r="Y1159" i="15"/>
  <c r="Z1159" i="15"/>
  <c r="AA1159" i="15"/>
  <c r="AB1159" i="15"/>
  <c r="AC1159" i="15"/>
  <c r="AD1159" i="15"/>
  <c r="AE1159" i="15"/>
  <c r="AF1159" i="15"/>
  <c r="AG1159" i="15"/>
  <c r="AH1159" i="15"/>
  <c r="AI1159" i="15"/>
  <c r="AJ1159" i="15"/>
  <c r="AK1159" i="15"/>
  <c r="AL1159" i="15"/>
  <c r="AM1159" i="15"/>
  <c r="AN1159" i="15"/>
  <c r="AO1159" i="15"/>
  <c r="R1160" i="15"/>
  <c r="S1160" i="15"/>
  <c r="T1160" i="15"/>
  <c r="U1160" i="15"/>
  <c r="V1160" i="15"/>
  <c r="W1160" i="15"/>
  <c r="X1160" i="15"/>
  <c r="Y1160" i="15"/>
  <c r="Z1160" i="15"/>
  <c r="AA1160" i="15"/>
  <c r="AB1160" i="15"/>
  <c r="AC1160" i="15"/>
  <c r="AD1160" i="15"/>
  <c r="AE1160" i="15"/>
  <c r="AF1160" i="15"/>
  <c r="AG1160" i="15"/>
  <c r="AH1160" i="15"/>
  <c r="AI1160" i="15"/>
  <c r="AJ1160" i="15"/>
  <c r="AK1160" i="15"/>
  <c r="AL1160" i="15"/>
  <c r="AM1160" i="15"/>
  <c r="AN1160" i="15"/>
  <c r="AO1160" i="15"/>
  <c r="R1161" i="15"/>
  <c r="S1161" i="15"/>
  <c r="T1161" i="15"/>
  <c r="U1161" i="15"/>
  <c r="V1161" i="15"/>
  <c r="W1161" i="15"/>
  <c r="X1161" i="15"/>
  <c r="Y1161" i="15"/>
  <c r="Z1161" i="15"/>
  <c r="AA1161" i="15"/>
  <c r="AB1161" i="15"/>
  <c r="AC1161" i="15"/>
  <c r="AD1161" i="15"/>
  <c r="AE1161" i="15"/>
  <c r="AF1161" i="15"/>
  <c r="AG1161" i="15"/>
  <c r="AH1161" i="15"/>
  <c r="AI1161" i="15"/>
  <c r="AJ1161" i="15"/>
  <c r="AK1161" i="15"/>
  <c r="AL1161" i="15"/>
  <c r="AM1161" i="15"/>
  <c r="AN1161" i="15"/>
  <c r="AO1161" i="15"/>
  <c r="R1162" i="15"/>
  <c r="S1162" i="15"/>
  <c r="T1162" i="15"/>
  <c r="U1162" i="15"/>
  <c r="V1162" i="15"/>
  <c r="W1162" i="15"/>
  <c r="X1162" i="15"/>
  <c r="Y1162" i="15"/>
  <c r="Z1162" i="15"/>
  <c r="AA1162" i="15"/>
  <c r="AB1162" i="15"/>
  <c r="AC1162" i="15"/>
  <c r="AD1162" i="15"/>
  <c r="AE1162" i="15"/>
  <c r="AF1162" i="15"/>
  <c r="AG1162" i="15"/>
  <c r="AH1162" i="15"/>
  <c r="AI1162" i="15"/>
  <c r="AJ1162" i="15"/>
  <c r="AK1162" i="15"/>
  <c r="AL1162" i="15"/>
  <c r="AM1162" i="15"/>
  <c r="AN1162" i="15"/>
  <c r="AO1162" i="15"/>
  <c r="R1163" i="15"/>
  <c r="S1163" i="15"/>
  <c r="T1163" i="15"/>
  <c r="U1163" i="15"/>
  <c r="V1163" i="15"/>
  <c r="W1163" i="15"/>
  <c r="X1163" i="15"/>
  <c r="Y1163" i="15"/>
  <c r="Z1163" i="15"/>
  <c r="AA1163" i="15"/>
  <c r="AB1163" i="15"/>
  <c r="AC1163" i="15"/>
  <c r="AD1163" i="15"/>
  <c r="AE1163" i="15"/>
  <c r="AF1163" i="15"/>
  <c r="AG1163" i="15"/>
  <c r="AH1163" i="15"/>
  <c r="AI1163" i="15"/>
  <c r="AJ1163" i="15"/>
  <c r="AK1163" i="15"/>
  <c r="AL1163" i="15"/>
  <c r="AM1163" i="15"/>
  <c r="AN1163" i="15"/>
  <c r="AO1163" i="15"/>
  <c r="R1164" i="15"/>
  <c r="S1164" i="15"/>
  <c r="T1164" i="15"/>
  <c r="U1164" i="15"/>
  <c r="V1164" i="15"/>
  <c r="W1164" i="15"/>
  <c r="X1164" i="15"/>
  <c r="Y1164" i="15"/>
  <c r="Z1164" i="15"/>
  <c r="AA1164" i="15"/>
  <c r="AB1164" i="15"/>
  <c r="AC1164" i="15"/>
  <c r="AD1164" i="15"/>
  <c r="AE1164" i="15"/>
  <c r="AF1164" i="15"/>
  <c r="AG1164" i="15"/>
  <c r="AH1164" i="15"/>
  <c r="AI1164" i="15"/>
  <c r="AJ1164" i="15"/>
  <c r="AK1164" i="15"/>
  <c r="AL1164" i="15"/>
  <c r="AM1164" i="15"/>
  <c r="AN1164" i="15"/>
  <c r="AO1164" i="15"/>
  <c r="R1165" i="15"/>
  <c r="S1165" i="15"/>
  <c r="T1165" i="15"/>
  <c r="U1165" i="15"/>
  <c r="V1165" i="15"/>
  <c r="W1165" i="15"/>
  <c r="X1165" i="15"/>
  <c r="Y1165" i="15"/>
  <c r="Z1165" i="15"/>
  <c r="AA1165" i="15"/>
  <c r="AB1165" i="15"/>
  <c r="AC1165" i="15"/>
  <c r="AD1165" i="15"/>
  <c r="AE1165" i="15"/>
  <c r="AF1165" i="15"/>
  <c r="AG1165" i="15"/>
  <c r="AH1165" i="15"/>
  <c r="AI1165" i="15"/>
  <c r="AJ1165" i="15"/>
  <c r="AK1165" i="15"/>
  <c r="AL1165" i="15"/>
  <c r="AM1165" i="15"/>
  <c r="AN1165" i="15"/>
  <c r="AO1165" i="15"/>
  <c r="R1166" i="15"/>
  <c r="S1166" i="15"/>
  <c r="T1166" i="15"/>
  <c r="U1166" i="15"/>
  <c r="V1166" i="15"/>
  <c r="W1166" i="15"/>
  <c r="X1166" i="15"/>
  <c r="Y1166" i="15"/>
  <c r="Z1166" i="15"/>
  <c r="AA1166" i="15"/>
  <c r="AB1166" i="15"/>
  <c r="AC1166" i="15"/>
  <c r="AD1166" i="15"/>
  <c r="AE1166" i="15"/>
  <c r="AF1166" i="15"/>
  <c r="AG1166" i="15"/>
  <c r="AH1166" i="15"/>
  <c r="AI1166" i="15"/>
  <c r="AJ1166" i="15"/>
  <c r="AK1166" i="15"/>
  <c r="AL1166" i="15"/>
  <c r="AM1166" i="15"/>
  <c r="AN1166" i="15"/>
  <c r="AO1166" i="15"/>
  <c r="R1167" i="15"/>
  <c r="S1167" i="15"/>
  <c r="T1167" i="15"/>
  <c r="U1167" i="15"/>
  <c r="V1167" i="15"/>
  <c r="W1167" i="15"/>
  <c r="X1167" i="15"/>
  <c r="Y1167" i="15"/>
  <c r="Z1167" i="15"/>
  <c r="AA1167" i="15"/>
  <c r="AB1167" i="15"/>
  <c r="AC1167" i="15"/>
  <c r="AD1167" i="15"/>
  <c r="AE1167" i="15"/>
  <c r="AF1167" i="15"/>
  <c r="AG1167" i="15"/>
  <c r="AH1167" i="15"/>
  <c r="AI1167" i="15"/>
  <c r="AJ1167" i="15"/>
  <c r="AK1167" i="15"/>
  <c r="AL1167" i="15"/>
  <c r="AM1167" i="15"/>
  <c r="AN1167" i="15"/>
  <c r="AO1167" i="15"/>
  <c r="R1168" i="15"/>
  <c r="S1168" i="15"/>
  <c r="T1168" i="15"/>
  <c r="U1168" i="15"/>
  <c r="V1168" i="15"/>
  <c r="W1168" i="15"/>
  <c r="X1168" i="15"/>
  <c r="Y1168" i="15"/>
  <c r="Z1168" i="15"/>
  <c r="AA1168" i="15"/>
  <c r="AB1168" i="15"/>
  <c r="AC1168" i="15"/>
  <c r="AD1168" i="15"/>
  <c r="AE1168" i="15"/>
  <c r="AF1168" i="15"/>
  <c r="AG1168" i="15"/>
  <c r="AH1168" i="15"/>
  <c r="AI1168" i="15"/>
  <c r="AJ1168" i="15"/>
  <c r="AK1168" i="15"/>
  <c r="AL1168" i="15"/>
  <c r="AM1168" i="15"/>
  <c r="AN1168" i="15"/>
  <c r="AO1168" i="15"/>
  <c r="R1169" i="15"/>
  <c r="S1169" i="15"/>
  <c r="T1169" i="15"/>
  <c r="U1169" i="15"/>
  <c r="V1169" i="15"/>
  <c r="W1169" i="15"/>
  <c r="X1169" i="15"/>
  <c r="Y1169" i="15"/>
  <c r="Z1169" i="15"/>
  <c r="AA1169" i="15"/>
  <c r="AB1169" i="15"/>
  <c r="AC1169" i="15"/>
  <c r="AD1169" i="15"/>
  <c r="AE1169" i="15"/>
  <c r="AF1169" i="15"/>
  <c r="AG1169" i="15"/>
  <c r="AH1169" i="15"/>
  <c r="AI1169" i="15"/>
  <c r="AJ1169" i="15"/>
  <c r="AK1169" i="15"/>
  <c r="AL1169" i="15"/>
  <c r="AM1169" i="15"/>
  <c r="AN1169" i="15"/>
  <c r="AO1169" i="15"/>
  <c r="R1170" i="15"/>
  <c r="S1170" i="15"/>
  <c r="T1170" i="15"/>
  <c r="U1170" i="15"/>
  <c r="V1170" i="15"/>
  <c r="W1170" i="15"/>
  <c r="X1170" i="15"/>
  <c r="Y1170" i="15"/>
  <c r="Z1170" i="15"/>
  <c r="AA1170" i="15"/>
  <c r="AB1170" i="15"/>
  <c r="AC1170" i="15"/>
  <c r="AD1170" i="15"/>
  <c r="AE1170" i="15"/>
  <c r="AF1170" i="15"/>
  <c r="AG1170" i="15"/>
  <c r="AH1170" i="15"/>
  <c r="AI1170" i="15"/>
  <c r="AJ1170" i="15"/>
  <c r="AK1170" i="15"/>
  <c r="AL1170" i="15"/>
  <c r="AM1170" i="15"/>
  <c r="AN1170" i="15"/>
  <c r="AO1170" i="15"/>
  <c r="R1171" i="15"/>
  <c r="S1171" i="15"/>
  <c r="T1171" i="15"/>
  <c r="U1171" i="15"/>
  <c r="V1171" i="15"/>
  <c r="W1171" i="15"/>
  <c r="X1171" i="15"/>
  <c r="Y1171" i="15"/>
  <c r="Z1171" i="15"/>
  <c r="AA1171" i="15"/>
  <c r="AB1171" i="15"/>
  <c r="AC1171" i="15"/>
  <c r="AD1171" i="15"/>
  <c r="AE1171" i="15"/>
  <c r="AF1171" i="15"/>
  <c r="AG1171" i="15"/>
  <c r="AH1171" i="15"/>
  <c r="AI1171" i="15"/>
  <c r="AJ1171" i="15"/>
  <c r="AK1171" i="15"/>
  <c r="AL1171" i="15"/>
  <c r="AM1171" i="15"/>
  <c r="AN1171" i="15"/>
  <c r="AO1171" i="15"/>
  <c r="R1172" i="15"/>
  <c r="S1172" i="15"/>
  <c r="T1172" i="15"/>
  <c r="U1172" i="15"/>
  <c r="V1172" i="15"/>
  <c r="W1172" i="15"/>
  <c r="X1172" i="15"/>
  <c r="Y1172" i="15"/>
  <c r="Z1172" i="15"/>
  <c r="AA1172" i="15"/>
  <c r="AB1172" i="15"/>
  <c r="AC1172" i="15"/>
  <c r="AD1172" i="15"/>
  <c r="AE1172" i="15"/>
  <c r="AF1172" i="15"/>
  <c r="AG1172" i="15"/>
  <c r="AH1172" i="15"/>
  <c r="AI1172" i="15"/>
  <c r="AJ1172" i="15"/>
  <c r="AK1172" i="15"/>
  <c r="AL1172" i="15"/>
  <c r="AM1172" i="15"/>
  <c r="AN1172" i="15"/>
  <c r="AO1172" i="15"/>
  <c r="R1173" i="15"/>
  <c r="S1173" i="15"/>
  <c r="T1173" i="15"/>
  <c r="U1173" i="15"/>
  <c r="V1173" i="15"/>
  <c r="W1173" i="15"/>
  <c r="X1173" i="15"/>
  <c r="Y1173" i="15"/>
  <c r="Z1173" i="15"/>
  <c r="AA1173" i="15"/>
  <c r="AB1173" i="15"/>
  <c r="AC1173" i="15"/>
  <c r="AD1173" i="15"/>
  <c r="AE1173" i="15"/>
  <c r="AF1173" i="15"/>
  <c r="AG1173" i="15"/>
  <c r="AH1173" i="15"/>
  <c r="AI1173" i="15"/>
  <c r="AJ1173" i="15"/>
  <c r="AK1173" i="15"/>
  <c r="AL1173" i="15"/>
  <c r="AM1173" i="15"/>
  <c r="AN1173" i="15"/>
  <c r="AO1173" i="15"/>
  <c r="R1174" i="15"/>
  <c r="S1174" i="15"/>
  <c r="T1174" i="15"/>
  <c r="U1174" i="15"/>
  <c r="V1174" i="15"/>
  <c r="W1174" i="15"/>
  <c r="X1174" i="15"/>
  <c r="Y1174" i="15"/>
  <c r="Z1174" i="15"/>
  <c r="AA1174" i="15"/>
  <c r="AB1174" i="15"/>
  <c r="AC1174" i="15"/>
  <c r="AD1174" i="15"/>
  <c r="AE1174" i="15"/>
  <c r="AF1174" i="15"/>
  <c r="AG1174" i="15"/>
  <c r="AH1174" i="15"/>
  <c r="AI1174" i="15"/>
  <c r="AJ1174" i="15"/>
  <c r="AK1174" i="15"/>
  <c r="AL1174" i="15"/>
  <c r="AM1174" i="15"/>
  <c r="AN1174" i="15"/>
  <c r="AO1174" i="15"/>
  <c r="R1175" i="15"/>
  <c r="S1175" i="15"/>
  <c r="T1175" i="15"/>
  <c r="U1175" i="15"/>
  <c r="V1175" i="15"/>
  <c r="W1175" i="15"/>
  <c r="X1175" i="15"/>
  <c r="Y1175" i="15"/>
  <c r="Z1175" i="15"/>
  <c r="AA1175" i="15"/>
  <c r="AB1175" i="15"/>
  <c r="AC1175" i="15"/>
  <c r="AD1175" i="15"/>
  <c r="AE1175" i="15"/>
  <c r="AF1175" i="15"/>
  <c r="AG1175" i="15"/>
  <c r="AH1175" i="15"/>
  <c r="AI1175" i="15"/>
  <c r="AJ1175" i="15"/>
  <c r="AK1175" i="15"/>
  <c r="AL1175" i="15"/>
  <c r="AM1175" i="15"/>
  <c r="AN1175" i="15"/>
  <c r="AO1175" i="15"/>
  <c r="R1176" i="15"/>
  <c r="S1176" i="15"/>
  <c r="T1176" i="15"/>
  <c r="U1176" i="15"/>
  <c r="V1176" i="15"/>
  <c r="W1176" i="15"/>
  <c r="X1176" i="15"/>
  <c r="Y1176" i="15"/>
  <c r="Z1176" i="15"/>
  <c r="AA1176" i="15"/>
  <c r="AB1176" i="15"/>
  <c r="AC1176" i="15"/>
  <c r="AD1176" i="15"/>
  <c r="AE1176" i="15"/>
  <c r="AF1176" i="15"/>
  <c r="AG1176" i="15"/>
  <c r="AH1176" i="15"/>
  <c r="AI1176" i="15"/>
  <c r="AJ1176" i="15"/>
  <c r="AK1176" i="15"/>
  <c r="AL1176" i="15"/>
  <c r="AM1176" i="15"/>
  <c r="AN1176" i="15"/>
  <c r="AO1176" i="15"/>
  <c r="R1177" i="15"/>
  <c r="S1177" i="15"/>
  <c r="T1177" i="15"/>
  <c r="U1177" i="15"/>
  <c r="V1177" i="15"/>
  <c r="W1177" i="15"/>
  <c r="X1177" i="15"/>
  <c r="Y1177" i="15"/>
  <c r="Z1177" i="15"/>
  <c r="AA1177" i="15"/>
  <c r="AB1177" i="15"/>
  <c r="AC1177" i="15"/>
  <c r="AD1177" i="15"/>
  <c r="AE1177" i="15"/>
  <c r="AF1177" i="15"/>
  <c r="AG1177" i="15"/>
  <c r="AH1177" i="15"/>
  <c r="AI1177" i="15"/>
  <c r="AJ1177" i="15"/>
  <c r="AK1177" i="15"/>
  <c r="AL1177" i="15"/>
  <c r="AM1177" i="15"/>
  <c r="AN1177" i="15"/>
  <c r="AO1177" i="15"/>
  <c r="R1178" i="15"/>
  <c r="S1178" i="15"/>
  <c r="T1178" i="15"/>
  <c r="U1178" i="15"/>
  <c r="V1178" i="15"/>
  <c r="W1178" i="15"/>
  <c r="X1178" i="15"/>
  <c r="Y1178" i="15"/>
  <c r="Z1178" i="15"/>
  <c r="AA1178" i="15"/>
  <c r="AB1178" i="15"/>
  <c r="AC1178" i="15"/>
  <c r="AD1178" i="15"/>
  <c r="AE1178" i="15"/>
  <c r="AF1178" i="15"/>
  <c r="AG1178" i="15"/>
  <c r="AH1178" i="15"/>
  <c r="AI1178" i="15"/>
  <c r="AJ1178" i="15"/>
  <c r="AK1178" i="15"/>
  <c r="AL1178" i="15"/>
  <c r="AM1178" i="15"/>
  <c r="AN1178" i="15"/>
  <c r="AO1178" i="15"/>
  <c r="R1179" i="15"/>
  <c r="S1179" i="15"/>
  <c r="T1179" i="15"/>
  <c r="U1179" i="15"/>
  <c r="V1179" i="15"/>
  <c r="W1179" i="15"/>
  <c r="X1179" i="15"/>
  <c r="Y1179" i="15"/>
  <c r="Z1179" i="15"/>
  <c r="AA1179" i="15"/>
  <c r="AB1179" i="15"/>
  <c r="AC1179" i="15"/>
  <c r="AD1179" i="15"/>
  <c r="AE1179" i="15"/>
  <c r="AF1179" i="15"/>
  <c r="AG1179" i="15"/>
  <c r="AH1179" i="15"/>
  <c r="AI1179" i="15"/>
  <c r="AJ1179" i="15"/>
  <c r="AK1179" i="15"/>
  <c r="AL1179" i="15"/>
  <c r="AM1179" i="15"/>
  <c r="AN1179" i="15"/>
  <c r="AO1179" i="15"/>
  <c r="R1180" i="15"/>
  <c r="S1180" i="15"/>
  <c r="T1180" i="15"/>
  <c r="U1180" i="15"/>
  <c r="V1180" i="15"/>
  <c r="W1180" i="15"/>
  <c r="X1180" i="15"/>
  <c r="Y1180" i="15"/>
  <c r="Z1180" i="15"/>
  <c r="AA1180" i="15"/>
  <c r="AB1180" i="15"/>
  <c r="AC1180" i="15"/>
  <c r="AD1180" i="15"/>
  <c r="AE1180" i="15"/>
  <c r="AF1180" i="15"/>
  <c r="AG1180" i="15"/>
  <c r="AH1180" i="15"/>
  <c r="AI1180" i="15"/>
  <c r="AJ1180" i="15"/>
  <c r="AK1180" i="15"/>
  <c r="AL1180" i="15"/>
  <c r="AM1180" i="15"/>
  <c r="AN1180" i="15"/>
  <c r="AO1180" i="15"/>
  <c r="R1181" i="15"/>
  <c r="S1181" i="15"/>
  <c r="T1181" i="15"/>
  <c r="U1181" i="15"/>
  <c r="V1181" i="15"/>
  <c r="W1181" i="15"/>
  <c r="X1181" i="15"/>
  <c r="Y1181" i="15"/>
  <c r="Z1181" i="15"/>
  <c r="AA1181" i="15"/>
  <c r="AB1181" i="15"/>
  <c r="AC1181" i="15"/>
  <c r="AD1181" i="15"/>
  <c r="AE1181" i="15"/>
  <c r="AF1181" i="15"/>
  <c r="AG1181" i="15"/>
  <c r="AH1181" i="15"/>
  <c r="AI1181" i="15"/>
  <c r="AJ1181" i="15"/>
  <c r="AK1181" i="15"/>
  <c r="AL1181" i="15"/>
  <c r="AM1181" i="15"/>
  <c r="AN1181" i="15"/>
  <c r="AO1181" i="15"/>
  <c r="R1182" i="15"/>
  <c r="S1182" i="15"/>
  <c r="T1182" i="15"/>
  <c r="U1182" i="15"/>
  <c r="V1182" i="15"/>
  <c r="W1182" i="15"/>
  <c r="X1182" i="15"/>
  <c r="Y1182" i="15"/>
  <c r="Z1182" i="15"/>
  <c r="AA1182" i="15"/>
  <c r="AB1182" i="15"/>
  <c r="AC1182" i="15"/>
  <c r="AD1182" i="15"/>
  <c r="AE1182" i="15"/>
  <c r="AF1182" i="15"/>
  <c r="AG1182" i="15"/>
  <c r="AH1182" i="15"/>
  <c r="AI1182" i="15"/>
  <c r="AJ1182" i="15"/>
  <c r="AK1182" i="15"/>
  <c r="AL1182" i="15"/>
  <c r="AM1182" i="15"/>
  <c r="AN1182" i="15"/>
  <c r="AO1182" i="15"/>
  <c r="R1183" i="15"/>
  <c r="S1183" i="15"/>
  <c r="T1183" i="15"/>
  <c r="U1183" i="15"/>
  <c r="V1183" i="15"/>
  <c r="W1183" i="15"/>
  <c r="X1183" i="15"/>
  <c r="Y1183" i="15"/>
  <c r="Z1183" i="15"/>
  <c r="AA1183" i="15"/>
  <c r="AB1183" i="15"/>
  <c r="AC1183" i="15"/>
  <c r="AD1183" i="15"/>
  <c r="AE1183" i="15"/>
  <c r="AF1183" i="15"/>
  <c r="AG1183" i="15"/>
  <c r="AH1183" i="15"/>
  <c r="AI1183" i="15"/>
  <c r="AJ1183" i="15"/>
  <c r="AK1183" i="15"/>
  <c r="AL1183" i="15"/>
  <c r="AM1183" i="15"/>
  <c r="AN1183" i="15"/>
  <c r="AO1183" i="15"/>
  <c r="R1184" i="15"/>
  <c r="S1184" i="15"/>
  <c r="T1184" i="15"/>
  <c r="U1184" i="15"/>
  <c r="V1184" i="15"/>
  <c r="W1184" i="15"/>
  <c r="X1184" i="15"/>
  <c r="Y1184" i="15"/>
  <c r="Z1184" i="15"/>
  <c r="AA1184" i="15"/>
  <c r="AB1184" i="15"/>
  <c r="AC1184" i="15"/>
  <c r="AD1184" i="15"/>
  <c r="AE1184" i="15"/>
  <c r="AF1184" i="15"/>
  <c r="AG1184" i="15"/>
  <c r="AH1184" i="15"/>
  <c r="AI1184" i="15"/>
  <c r="AJ1184" i="15"/>
  <c r="AK1184" i="15"/>
  <c r="AL1184" i="15"/>
  <c r="AM1184" i="15"/>
  <c r="AN1184" i="15"/>
  <c r="AO1184" i="15"/>
  <c r="R1185" i="15"/>
  <c r="S1185" i="15"/>
  <c r="T1185" i="15"/>
  <c r="U1185" i="15"/>
  <c r="V1185" i="15"/>
  <c r="W1185" i="15"/>
  <c r="X1185" i="15"/>
  <c r="Y1185" i="15"/>
  <c r="Z1185" i="15"/>
  <c r="AA1185" i="15"/>
  <c r="AB1185" i="15"/>
  <c r="AC1185" i="15"/>
  <c r="AD1185" i="15"/>
  <c r="AE1185" i="15"/>
  <c r="AF1185" i="15"/>
  <c r="AG1185" i="15"/>
  <c r="AH1185" i="15"/>
  <c r="AI1185" i="15"/>
  <c r="AJ1185" i="15"/>
  <c r="AK1185" i="15"/>
  <c r="AL1185" i="15"/>
  <c r="AM1185" i="15"/>
  <c r="AN1185" i="15"/>
  <c r="AO1185" i="15"/>
  <c r="R1186" i="15"/>
  <c r="S1186" i="15"/>
  <c r="T1186" i="15"/>
  <c r="U1186" i="15"/>
  <c r="V1186" i="15"/>
  <c r="W1186" i="15"/>
  <c r="X1186" i="15"/>
  <c r="Y1186" i="15"/>
  <c r="Z1186" i="15"/>
  <c r="AA1186" i="15"/>
  <c r="AB1186" i="15"/>
  <c r="AC1186" i="15"/>
  <c r="AD1186" i="15"/>
  <c r="AE1186" i="15"/>
  <c r="AF1186" i="15"/>
  <c r="AG1186" i="15"/>
  <c r="AH1186" i="15"/>
  <c r="AI1186" i="15"/>
  <c r="AJ1186" i="15"/>
  <c r="AK1186" i="15"/>
  <c r="AL1186" i="15"/>
  <c r="AM1186" i="15"/>
  <c r="AN1186" i="15"/>
  <c r="AO1186" i="15"/>
  <c r="R1187" i="15"/>
  <c r="S1187" i="15"/>
  <c r="T1187" i="15"/>
  <c r="U1187" i="15"/>
  <c r="V1187" i="15"/>
  <c r="W1187" i="15"/>
  <c r="X1187" i="15"/>
  <c r="Y1187" i="15"/>
  <c r="Z1187" i="15"/>
  <c r="AA1187" i="15"/>
  <c r="AB1187" i="15"/>
  <c r="AC1187" i="15"/>
  <c r="AD1187" i="15"/>
  <c r="AE1187" i="15"/>
  <c r="AF1187" i="15"/>
  <c r="AG1187" i="15"/>
  <c r="AH1187" i="15"/>
  <c r="AI1187" i="15"/>
  <c r="AJ1187" i="15"/>
  <c r="AK1187" i="15"/>
  <c r="AL1187" i="15"/>
  <c r="AM1187" i="15"/>
  <c r="AN1187" i="15"/>
  <c r="AO1187" i="15"/>
  <c r="R1188" i="15"/>
  <c r="S1188" i="15"/>
  <c r="T1188" i="15"/>
  <c r="U1188" i="15"/>
  <c r="V1188" i="15"/>
  <c r="W1188" i="15"/>
  <c r="X1188" i="15"/>
  <c r="Y1188" i="15"/>
  <c r="Z1188" i="15"/>
  <c r="AA1188" i="15"/>
  <c r="AB1188" i="15"/>
  <c r="AC1188" i="15"/>
  <c r="AD1188" i="15"/>
  <c r="AE1188" i="15"/>
  <c r="AF1188" i="15"/>
  <c r="AG1188" i="15"/>
  <c r="AH1188" i="15"/>
  <c r="AI1188" i="15"/>
  <c r="AJ1188" i="15"/>
  <c r="AK1188" i="15"/>
  <c r="AL1188" i="15"/>
  <c r="AM1188" i="15"/>
  <c r="AN1188" i="15"/>
  <c r="AO1188" i="15"/>
  <c r="R1189" i="15"/>
  <c r="S1189" i="15"/>
  <c r="T1189" i="15"/>
  <c r="U1189" i="15"/>
  <c r="V1189" i="15"/>
  <c r="W1189" i="15"/>
  <c r="X1189" i="15"/>
  <c r="Y1189" i="15"/>
  <c r="Z1189" i="15"/>
  <c r="AA1189" i="15"/>
  <c r="AB1189" i="15"/>
  <c r="AC1189" i="15"/>
  <c r="AD1189" i="15"/>
  <c r="AE1189" i="15"/>
  <c r="AF1189" i="15"/>
  <c r="AG1189" i="15"/>
  <c r="AH1189" i="15"/>
  <c r="AI1189" i="15"/>
  <c r="AJ1189" i="15"/>
  <c r="AK1189" i="15"/>
  <c r="AL1189" i="15"/>
  <c r="AM1189" i="15"/>
  <c r="AN1189" i="15"/>
  <c r="AO1189" i="15"/>
  <c r="R1190" i="15"/>
  <c r="S1190" i="15"/>
  <c r="T1190" i="15"/>
  <c r="U1190" i="15"/>
  <c r="V1190" i="15"/>
  <c r="W1190" i="15"/>
  <c r="X1190" i="15"/>
  <c r="Y1190" i="15"/>
  <c r="Z1190" i="15"/>
  <c r="AA1190" i="15"/>
  <c r="AB1190" i="15"/>
  <c r="AC1190" i="15"/>
  <c r="AD1190" i="15"/>
  <c r="AE1190" i="15"/>
  <c r="AF1190" i="15"/>
  <c r="AG1190" i="15"/>
  <c r="AH1190" i="15"/>
  <c r="AI1190" i="15"/>
  <c r="AJ1190" i="15"/>
  <c r="AK1190" i="15"/>
  <c r="AL1190" i="15"/>
  <c r="AM1190" i="15"/>
  <c r="AN1190" i="15"/>
  <c r="AO1190" i="15"/>
  <c r="R1191" i="15"/>
  <c r="S1191" i="15"/>
  <c r="T1191" i="15"/>
  <c r="U1191" i="15"/>
  <c r="V1191" i="15"/>
  <c r="W1191" i="15"/>
  <c r="X1191" i="15"/>
  <c r="Y1191" i="15"/>
  <c r="Z1191" i="15"/>
  <c r="AA1191" i="15"/>
  <c r="AB1191" i="15"/>
  <c r="AC1191" i="15"/>
  <c r="AD1191" i="15"/>
  <c r="AE1191" i="15"/>
  <c r="AF1191" i="15"/>
  <c r="AG1191" i="15"/>
  <c r="AH1191" i="15"/>
  <c r="AI1191" i="15"/>
  <c r="AJ1191" i="15"/>
  <c r="AK1191" i="15"/>
  <c r="AL1191" i="15"/>
  <c r="AM1191" i="15"/>
  <c r="AN1191" i="15"/>
  <c r="AO1191" i="15"/>
  <c r="R1192" i="15"/>
  <c r="S1192" i="15"/>
  <c r="T1192" i="15"/>
  <c r="U1192" i="15"/>
  <c r="V1192" i="15"/>
  <c r="W1192" i="15"/>
  <c r="X1192" i="15"/>
  <c r="Y1192" i="15"/>
  <c r="Z1192" i="15"/>
  <c r="AA1192" i="15"/>
  <c r="AB1192" i="15"/>
  <c r="AC1192" i="15"/>
  <c r="AD1192" i="15"/>
  <c r="AE1192" i="15"/>
  <c r="AF1192" i="15"/>
  <c r="AG1192" i="15"/>
  <c r="AH1192" i="15"/>
  <c r="AI1192" i="15"/>
  <c r="AJ1192" i="15"/>
  <c r="AK1192" i="15"/>
  <c r="AL1192" i="15"/>
  <c r="AM1192" i="15"/>
  <c r="AN1192" i="15"/>
  <c r="AO1192" i="15"/>
  <c r="R1193" i="15"/>
  <c r="S1193" i="15"/>
  <c r="T1193" i="15"/>
  <c r="U1193" i="15"/>
  <c r="V1193" i="15"/>
  <c r="W1193" i="15"/>
  <c r="X1193" i="15"/>
  <c r="Y1193" i="15"/>
  <c r="Z1193" i="15"/>
  <c r="AA1193" i="15"/>
  <c r="AB1193" i="15"/>
  <c r="AC1193" i="15"/>
  <c r="AD1193" i="15"/>
  <c r="AE1193" i="15"/>
  <c r="AF1193" i="15"/>
  <c r="AG1193" i="15"/>
  <c r="AH1193" i="15"/>
  <c r="AI1193" i="15"/>
  <c r="AJ1193" i="15"/>
  <c r="AK1193" i="15"/>
  <c r="AL1193" i="15"/>
  <c r="AM1193" i="15"/>
  <c r="AN1193" i="15"/>
  <c r="AO1193" i="15"/>
  <c r="R1194" i="15"/>
  <c r="S1194" i="15"/>
  <c r="T1194" i="15"/>
  <c r="U1194" i="15"/>
  <c r="V1194" i="15"/>
  <c r="W1194" i="15"/>
  <c r="X1194" i="15"/>
  <c r="Y1194" i="15"/>
  <c r="Z1194" i="15"/>
  <c r="AA1194" i="15"/>
  <c r="AB1194" i="15"/>
  <c r="AC1194" i="15"/>
  <c r="AD1194" i="15"/>
  <c r="AE1194" i="15"/>
  <c r="AF1194" i="15"/>
  <c r="AG1194" i="15"/>
  <c r="AH1194" i="15"/>
  <c r="AI1194" i="15"/>
  <c r="AJ1194" i="15"/>
  <c r="AK1194" i="15"/>
  <c r="AL1194" i="15"/>
  <c r="AM1194" i="15"/>
  <c r="AN1194" i="15"/>
  <c r="AO1194" i="15"/>
  <c r="R1195" i="15"/>
  <c r="S1195" i="15"/>
  <c r="T1195" i="15"/>
  <c r="U1195" i="15"/>
  <c r="V1195" i="15"/>
  <c r="W1195" i="15"/>
  <c r="X1195" i="15"/>
  <c r="Y1195" i="15"/>
  <c r="Z1195" i="15"/>
  <c r="AA1195" i="15"/>
  <c r="AB1195" i="15"/>
  <c r="AC1195" i="15"/>
  <c r="AD1195" i="15"/>
  <c r="AE1195" i="15"/>
  <c r="AF1195" i="15"/>
  <c r="AG1195" i="15"/>
  <c r="AH1195" i="15"/>
  <c r="AI1195" i="15"/>
  <c r="AJ1195" i="15"/>
  <c r="AK1195" i="15"/>
  <c r="AL1195" i="15"/>
  <c r="AM1195" i="15"/>
  <c r="AN1195" i="15"/>
  <c r="AO1195" i="15"/>
  <c r="R1196" i="15"/>
  <c r="S1196" i="15"/>
  <c r="T1196" i="15"/>
  <c r="U1196" i="15"/>
  <c r="V1196" i="15"/>
  <c r="W1196" i="15"/>
  <c r="X1196" i="15"/>
  <c r="Y1196" i="15"/>
  <c r="Z1196" i="15"/>
  <c r="AA1196" i="15"/>
  <c r="AB1196" i="15"/>
  <c r="AC1196" i="15"/>
  <c r="AD1196" i="15"/>
  <c r="AE1196" i="15"/>
  <c r="AF1196" i="15"/>
  <c r="AG1196" i="15"/>
  <c r="AH1196" i="15"/>
  <c r="AI1196" i="15"/>
  <c r="AJ1196" i="15"/>
  <c r="AK1196" i="15"/>
  <c r="AL1196" i="15"/>
  <c r="AM1196" i="15"/>
  <c r="AN1196" i="15"/>
  <c r="AO1196" i="15"/>
  <c r="R1197" i="15"/>
  <c r="S1197" i="15"/>
  <c r="T1197" i="15"/>
  <c r="U1197" i="15"/>
  <c r="V1197" i="15"/>
  <c r="W1197" i="15"/>
  <c r="X1197" i="15"/>
  <c r="Y1197" i="15"/>
  <c r="Z1197" i="15"/>
  <c r="AA1197" i="15"/>
  <c r="AB1197" i="15"/>
  <c r="AC1197" i="15"/>
  <c r="AD1197" i="15"/>
  <c r="AE1197" i="15"/>
  <c r="AF1197" i="15"/>
  <c r="AG1197" i="15"/>
  <c r="AH1197" i="15"/>
  <c r="AI1197" i="15"/>
  <c r="AJ1197" i="15"/>
  <c r="AK1197" i="15"/>
  <c r="AL1197" i="15"/>
  <c r="AM1197" i="15"/>
  <c r="AN1197" i="15"/>
  <c r="AO1197" i="15"/>
  <c r="R1198" i="15"/>
  <c r="S1198" i="15"/>
  <c r="T1198" i="15"/>
  <c r="U1198" i="15"/>
  <c r="V1198" i="15"/>
  <c r="W1198" i="15"/>
  <c r="X1198" i="15"/>
  <c r="Y1198" i="15"/>
  <c r="Z1198" i="15"/>
  <c r="AA1198" i="15"/>
  <c r="AB1198" i="15"/>
  <c r="AC1198" i="15"/>
  <c r="AD1198" i="15"/>
  <c r="AE1198" i="15"/>
  <c r="AF1198" i="15"/>
  <c r="AG1198" i="15"/>
  <c r="AH1198" i="15"/>
  <c r="AI1198" i="15"/>
  <c r="AJ1198" i="15"/>
  <c r="AK1198" i="15"/>
  <c r="AL1198" i="15"/>
  <c r="AM1198" i="15"/>
  <c r="AN1198" i="15"/>
  <c r="AO1198" i="15"/>
  <c r="R1199" i="15"/>
  <c r="S1199" i="15"/>
  <c r="T1199" i="15"/>
  <c r="U1199" i="15"/>
  <c r="V1199" i="15"/>
  <c r="W1199" i="15"/>
  <c r="X1199" i="15"/>
  <c r="Y1199" i="15"/>
  <c r="Z1199" i="15"/>
  <c r="AA1199" i="15"/>
  <c r="AB1199" i="15"/>
  <c r="AC1199" i="15"/>
  <c r="AD1199" i="15"/>
  <c r="AE1199" i="15"/>
  <c r="AF1199" i="15"/>
  <c r="AG1199" i="15"/>
  <c r="AH1199" i="15"/>
  <c r="AI1199" i="15"/>
  <c r="AJ1199" i="15"/>
  <c r="AK1199" i="15"/>
  <c r="AL1199" i="15"/>
  <c r="AM1199" i="15"/>
  <c r="AN1199" i="15"/>
  <c r="AO1199" i="15"/>
  <c r="R1200" i="15"/>
  <c r="S1200" i="15"/>
  <c r="T1200" i="15"/>
  <c r="U1200" i="15"/>
  <c r="V1200" i="15"/>
  <c r="W1200" i="15"/>
  <c r="X1200" i="15"/>
  <c r="Y1200" i="15"/>
  <c r="Z1200" i="15"/>
  <c r="AA1200" i="15"/>
  <c r="AB1200" i="15"/>
  <c r="AC1200" i="15"/>
  <c r="AD1200" i="15"/>
  <c r="AE1200" i="15"/>
  <c r="AF1200" i="15"/>
  <c r="AG1200" i="15"/>
  <c r="AH1200" i="15"/>
  <c r="AI1200" i="15"/>
  <c r="AJ1200" i="15"/>
  <c r="AK1200" i="15"/>
  <c r="AL1200" i="15"/>
  <c r="AM1200" i="15"/>
  <c r="AN1200" i="15"/>
  <c r="AO1200" i="15"/>
  <c r="R1201" i="15"/>
  <c r="S1201" i="15"/>
  <c r="T1201" i="15"/>
  <c r="U1201" i="15"/>
  <c r="V1201" i="15"/>
  <c r="W1201" i="15"/>
  <c r="X1201" i="15"/>
  <c r="Y1201" i="15"/>
  <c r="Z1201" i="15"/>
  <c r="AA1201" i="15"/>
  <c r="AB1201" i="15"/>
  <c r="AC1201" i="15"/>
  <c r="AD1201" i="15"/>
  <c r="AE1201" i="15"/>
  <c r="AF1201" i="15"/>
  <c r="AG1201" i="15"/>
  <c r="AH1201" i="15"/>
  <c r="AI1201" i="15"/>
  <c r="AJ1201" i="15"/>
  <c r="AK1201" i="15"/>
  <c r="AL1201" i="15"/>
  <c r="AM1201" i="15"/>
  <c r="AN1201" i="15"/>
  <c r="AO1201" i="15"/>
  <c r="R1202" i="15"/>
  <c r="S1202" i="15"/>
  <c r="T1202" i="15"/>
  <c r="U1202" i="15"/>
  <c r="V1202" i="15"/>
  <c r="W1202" i="15"/>
  <c r="X1202" i="15"/>
  <c r="Y1202" i="15"/>
  <c r="Z1202" i="15"/>
  <c r="AA1202" i="15"/>
  <c r="AB1202" i="15"/>
  <c r="AC1202" i="15"/>
  <c r="AD1202" i="15"/>
  <c r="AE1202" i="15"/>
  <c r="AF1202" i="15"/>
  <c r="AG1202" i="15"/>
  <c r="AH1202" i="15"/>
  <c r="AI1202" i="15"/>
  <c r="AJ1202" i="15"/>
  <c r="AK1202" i="15"/>
  <c r="AL1202" i="15"/>
  <c r="AM1202" i="15"/>
  <c r="AN1202" i="15"/>
  <c r="AO1202" i="15"/>
  <c r="R1203" i="15"/>
  <c r="S1203" i="15"/>
  <c r="T1203" i="15"/>
  <c r="U1203" i="15"/>
  <c r="V1203" i="15"/>
  <c r="W1203" i="15"/>
  <c r="X1203" i="15"/>
  <c r="Y1203" i="15"/>
  <c r="Z1203" i="15"/>
  <c r="AA1203" i="15"/>
  <c r="AB1203" i="15"/>
  <c r="AC1203" i="15"/>
  <c r="AD1203" i="15"/>
  <c r="AE1203" i="15"/>
  <c r="AF1203" i="15"/>
  <c r="AG1203" i="15"/>
  <c r="AH1203" i="15"/>
  <c r="AI1203" i="15"/>
  <c r="AJ1203" i="15"/>
  <c r="AK1203" i="15"/>
  <c r="AL1203" i="15"/>
  <c r="AM1203" i="15"/>
  <c r="AN1203" i="15"/>
  <c r="AO1203" i="15"/>
  <c r="R1204" i="15"/>
  <c r="S1204" i="15"/>
  <c r="T1204" i="15"/>
  <c r="U1204" i="15"/>
  <c r="V1204" i="15"/>
  <c r="W1204" i="15"/>
  <c r="X1204" i="15"/>
  <c r="Y1204" i="15"/>
  <c r="Z1204" i="15"/>
  <c r="AA1204" i="15"/>
  <c r="AB1204" i="15"/>
  <c r="AC1204" i="15"/>
  <c r="AD1204" i="15"/>
  <c r="AE1204" i="15"/>
  <c r="AF1204" i="15"/>
  <c r="AG1204" i="15"/>
  <c r="AH1204" i="15"/>
  <c r="AI1204" i="15"/>
  <c r="AJ1204" i="15"/>
  <c r="AK1204" i="15"/>
  <c r="AL1204" i="15"/>
  <c r="AM1204" i="15"/>
  <c r="AN1204" i="15"/>
  <c r="AO1204" i="15"/>
  <c r="R1205" i="15"/>
  <c r="S1205" i="15"/>
  <c r="T1205" i="15"/>
  <c r="U1205" i="15"/>
  <c r="V1205" i="15"/>
  <c r="W1205" i="15"/>
  <c r="X1205" i="15"/>
  <c r="Y1205" i="15"/>
  <c r="Z1205" i="15"/>
  <c r="AA1205" i="15"/>
  <c r="AB1205" i="15"/>
  <c r="AC1205" i="15"/>
  <c r="AD1205" i="15"/>
  <c r="AE1205" i="15"/>
  <c r="AF1205" i="15"/>
  <c r="AG1205" i="15"/>
  <c r="AH1205" i="15"/>
  <c r="AI1205" i="15"/>
  <c r="AJ1205" i="15"/>
  <c r="AK1205" i="15"/>
  <c r="AL1205" i="15"/>
  <c r="AM1205" i="15"/>
  <c r="AN1205" i="15"/>
  <c r="AO1205" i="15"/>
  <c r="R1206" i="15"/>
  <c r="S1206" i="15"/>
  <c r="T1206" i="15"/>
  <c r="U1206" i="15"/>
  <c r="V1206" i="15"/>
  <c r="W1206" i="15"/>
  <c r="X1206" i="15"/>
  <c r="Y1206" i="15"/>
  <c r="Z1206" i="15"/>
  <c r="AA1206" i="15"/>
  <c r="AB1206" i="15"/>
  <c r="AC1206" i="15"/>
  <c r="AD1206" i="15"/>
  <c r="AE1206" i="15"/>
  <c r="AF1206" i="15"/>
  <c r="AG1206" i="15"/>
  <c r="AH1206" i="15"/>
  <c r="AI1206" i="15"/>
  <c r="AJ1206" i="15"/>
  <c r="AK1206" i="15"/>
  <c r="AL1206" i="15"/>
  <c r="AM1206" i="15"/>
  <c r="AN1206" i="15"/>
  <c r="AO1206" i="15"/>
  <c r="R1207" i="15"/>
  <c r="S1207" i="15"/>
  <c r="T1207" i="15"/>
  <c r="U1207" i="15"/>
  <c r="V1207" i="15"/>
  <c r="W1207" i="15"/>
  <c r="X1207" i="15"/>
  <c r="Y1207" i="15"/>
  <c r="Z1207" i="15"/>
  <c r="AA1207" i="15"/>
  <c r="AB1207" i="15"/>
  <c r="AC1207" i="15"/>
  <c r="AD1207" i="15"/>
  <c r="AE1207" i="15"/>
  <c r="AF1207" i="15"/>
  <c r="AG1207" i="15"/>
  <c r="AH1207" i="15"/>
  <c r="AI1207" i="15"/>
  <c r="AJ1207" i="15"/>
  <c r="AK1207" i="15"/>
  <c r="AL1207" i="15"/>
  <c r="AM1207" i="15"/>
  <c r="AN1207" i="15"/>
  <c r="AO1207" i="15"/>
  <c r="R1208" i="15"/>
  <c r="S1208" i="15"/>
  <c r="T1208" i="15"/>
  <c r="U1208" i="15"/>
  <c r="V1208" i="15"/>
  <c r="W1208" i="15"/>
  <c r="X1208" i="15"/>
  <c r="Y1208" i="15"/>
  <c r="Z1208" i="15"/>
  <c r="AA1208" i="15"/>
  <c r="AB1208" i="15"/>
  <c r="AC1208" i="15"/>
  <c r="AD1208" i="15"/>
  <c r="AE1208" i="15"/>
  <c r="AF1208" i="15"/>
  <c r="AG1208" i="15"/>
  <c r="AH1208" i="15"/>
  <c r="AI1208" i="15"/>
  <c r="AJ1208" i="15"/>
  <c r="AK1208" i="15"/>
  <c r="AL1208" i="15"/>
  <c r="AM1208" i="15"/>
  <c r="AN1208" i="15"/>
  <c r="AO1208" i="15"/>
  <c r="R1209" i="15"/>
  <c r="S1209" i="15"/>
  <c r="T1209" i="15"/>
  <c r="U1209" i="15"/>
  <c r="V1209" i="15"/>
  <c r="W1209" i="15"/>
  <c r="X1209" i="15"/>
  <c r="Y1209" i="15"/>
  <c r="Z1209" i="15"/>
  <c r="AA1209" i="15"/>
  <c r="AB1209" i="15"/>
  <c r="AC1209" i="15"/>
  <c r="AD1209" i="15"/>
  <c r="AE1209" i="15"/>
  <c r="AF1209" i="15"/>
  <c r="AG1209" i="15"/>
  <c r="AH1209" i="15"/>
  <c r="AI1209" i="15"/>
  <c r="AJ1209" i="15"/>
  <c r="AK1209" i="15"/>
  <c r="AL1209" i="15"/>
  <c r="AM1209" i="15"/>
  <c r="AN1209" i="15"/>
  <c r="AO1209" i="15"/>
  <c r="R1210" i="15"/>
  <c r="S1210" i="15"/>
  <c r="T1210" i="15"/>
  <c r="U1210" i="15"/>
  <c r="V1210" i="15"/>
  <c r="W1210" i="15"/>
  <c r="X1210" i="15"/>
  <c r="Y1210" i="15"/>
  <c r="Z1210" i="15"/>
  <c r="AA1210" i="15"/>
  <c r="AB1210" i="15"/>
  <c r="AC1210" i="15"/>
  <c r="AD1210" i="15"/>
  <c r="AE1210" i="15"/>
  <c r="AF1210" i="15"/>
  <c r="AG1210" i="15"/>
  <c r="AH1210" i="15"/>
  <c r="AI1210" i="15"/>
  <c r="AJ1210" i="15"/>
  <c r="AK1210" i="15"/>
  <c r="AL1210" i="15"/>
  <c r="AM1210" i="15"/>
  <c r="AN1210" i="15"/>
  <c r="AO1210" i="15"/>
  <c r="R1211" i="15"/>
  <c r="S1211" i="15"/>
  <c r="T1211" i="15"/>
  <c r="U1211" i="15"/>
  <c r="V1211" i="15"/>
  <c r="W1211" i="15"/>
  <c r="X1211" i="15"/>
  <c r="Y1211" i="15"/>
  <c r="Z1211" i="15"/>
  <c r="AA1211" i="15"/>
  <c r="AB1211" i="15"/>
  <c r="AC1211" i="15"/>
  <c r="AD1211" i="15"/>
  <c r="AE1211" i="15"/>
  <c r="AF1211" i="15"/>
  <c r="AG1211" i="15"/>
  <c r="AH1211" i="15"/>
  <c r="AI1211" i="15"/>
  <c r="AJ1211" i="15"/>
  <c r="AK1211" i="15"/>
  <c r="AL1211" i="15"/>
  <c r="AM1211" i="15"/>
  <c r="AN1211" i="15"/>
  <c r="AO1211" i="15"/>
  <c r="R1212" i="15"/>
  <c r="S1212" i="15"/>
  <c r="T1212" i="15"/>
  <c r="U1212" i="15"/>
  <c r="V1212" i="15"/>
  <c r="W1212" i="15"/>
  <c r="X1212" i="15"/>
  <c r="Y1212" i="15"/>
  <c r="Z1212" i="15"/>
  <c r="AA1212" i="15"/>
  <c r="AB1212" i="15"/>
  <c r="AC1212" i="15"/>
  <c r="AD1212" i="15"/>
  <c r="AE1212" i="15"/>
  <c r="AF1212" i="15"/>
  <c r="AG1212" i="15"/>
  <c r="AH1212" i="15"/>
  <c r="AI1212" i="15"/>
  <c r="AJ1212" i="15"/>
  <c r="AK1212" i="15"/>
  <c r="AL1212" i="15"/>
  <c r="AM1212" i="15"/>
  <c r="AN1212" i="15"/>
  <c r="AO1212" i="15"/>
  <c r="R1213" i="15"/>
  <c r="S1213" i="15"/>
  <c r="T1213" i="15"/>
  <c r="U1213" i="15"/>
  <c r="V1213" i="15"/>
  <c r="W1213" i="15"/>
  <c r="X1213" i="15"/>
  <c r="Y1213" i="15"/>
  <c r="Z1213" i="15"/>
  <c r="AA1213" i="15"/>
  <c r="AB1213" i="15"/>
  <c r="AC1213" i="15"/>
  <c r="AD1213" i="15"/>
  <c r="AE1213" i="15"/>
  <c r="AF1213" i="15"/>
  <c r="AG1213" i="15"/>
  <c r="AH1213" i="15"/>
  <c r="AI1213" i="15"/>
  <c r="AJ1213" i="15"/>
  <c r="AK1213" i="15"/>
  <c r="AL1213" i="15"/>
  <c r="AM1213" i="15"/>
  <c r="AN1213" i="15"/>
  <c r="AO1213" i="15"/>
  <c r="R1214" i="15"/>
  <c r="S1214" i="15"/>
  <c r="T1214" i="15"/>
  <c r="U1214" i="15"/>
  <c r="V1214" i="15"/>
  <c r="W1214" i="15"/>
  <c r="X1214" i="15"/>
  <c r="Y1214" i="15"/>
  <c r="Z1214" i="15"/>
  <c r="AA1214" i="15"/>
  <c r="AB1214" i="15"/>
  <c r="AC1214" i="15"/>
  <c r="AD1214" i="15"/>
  <c r="AE1214" i="15"/>
  <c r="AF1214" i="15"/>
  <c r="AG1214" i="15"/>
  <c r="AH1214" i="15"/>
  <c r="AI1214" i="15"/>
  <c r="AJ1214" i="15"/>
  <c r="AK1214" i="15"/>
  <c r="AL1214" i="15"/>
  <c r="AM1214" i="15"/>
  <c r="AN1214" i="15"/>
  <c r="AO1214" i="15"/>
  <c r="R1215" i="15"/>
  <c r="S1215" i="15"/>
  <c r="T1215" i="15"/>
  <c r="U1215" i="15"/>
  <c r="V1215" i="15"/>
  <c r="W1215" i="15"/>
  <c r="X1215" i="15"/>
  <c r="Y1215" i="15"/>
  <c r="Z1215" i="15"/>
  <c r="AA1215" i="15"/>
  <c r="AB1215" i="15"/>
  <c r="AC1215" i="15"/>
  <c r="AD1215" i="15"/>
  <c r="AE1215" i="15"/>
  <c r="AF1215" i="15"/>
  <c r="AG1215" i="15"/>
  <c r="AH1215" i="15"/>
  <c r="AI1215" i="15"/>
  <c r="AJ1215" i="15"/>
  <c r="AK1215" i="15"/>
  <c r="AL1215" i="15"/>
  <c r="AM1215" i="15"/>
  <c r="AN1215" i="15"/>
  <c r="AO1215" i="15"/>
  <c r="R1216" i="15"/>
  <c r="S1216" i="15"/>
  <c r="T1216" i="15"/>
  <c r="U1216" i="15"/>
  <c r="V1216" i="15"/>
  <c r="W1216" i="15"/>
  <c r="X1216" i="15"/>
  <c r="Y1216" i="15"/>
  <c r="Z1216" i="15"/>
  <c r="AA1216" i="15"/>
  <c r="AB1216" i="15"/>
  <c r="AC1216" i="15"/>
  <c r="AD1216" i="15"/>
  <c r="AE1216" i="15"/>
  <c r="AF1216" i="15"/>
  <c r="AG1216" i="15"/>
  <c r="AH1216" i="15"/>
  <c r="AI1216" i="15"/>
  <c r="AJ1216" i="15"/>
  <c r="AK1216" i="15"/>
  <c r="AL1216" i="15"/>
  <c r="AM1216" i="15"/>
  <c r="AN1216" i="15"/>
  <c r="AO1216" i="15"/>
  <c r="R1217" i="15"/>
  <c r="S1217" i="15"/>
  <c r="T1217" i="15"/>
  <c r="U1217" i="15"/>
  <c r="V1217" i="15"/>
  <c r="W1217" i="15"/>
  <c r="X1217" i="15"/>
  <c r="Y1217" i="15"/>
  <c r="Z1217" i="15"/>
  <c r="AA1217" i="15"/>
  <c r="AB1217" i="15"/>
  <c r="AC1217" i="15"/>
  <c r="AD1217" i="15"/>
  <c r="AE1217" i="15"/>
  <c r="AF1217" i="15"/>
  <c r="AG1217" i="15"/>
  <c r="AH1217" i="15"/>
  <c r="AI1217" i="15"/>
  <c r="AJ1217" i="15"/>
  <c r="AK1217" i="15"/>
  <c r="AL1217" i="15"/>
  <c r="AM1217" i="15"/>
  <c r="AN1217" i="15"/>
  <c r="AO1217" i="15"/>
  <c r="R1218" i="15"/>
  <c r="S1218" i="15"/>
  <c r="T1218" i="15"/>
  <c r="U1218" i="15"/>
  <c r="V1218" i="15"/>
  <c r="W1218" i="15"/>
  <c r="X1218" i="15"/>
  <c r="Y1218" i="15"/>
  <c r="Z1218" i="15"/>
  <c r="AA1218" i="15"/>
  <c r="AB1218" i="15"/>
  <c r="AC1218" i="15"/>
  <c r="AD1218" i="15"/>
  <c r="AE1218" i="15"/>
  <c r="AF1218" i="15"/>
  <c r="AG1218" i="15"/>
  <c r="AH1218" i="15"/>
  <c r="AI1218" i="15"/>
  <c r="AJ1218" i="15"/>
  <c r="AK1218" i="15"/>
  <c r="AL1218" i="15"/>
  <c r="AM1218" i="15"/>
  <c r="AN1218" i="15"/>
  <c r="AO1218" i="15"/>
  <c r="R1219" i="15"/>
  <c r="S1219" i="15"/>
  <c r="T1219" i="15"/>
  <c r="U1219" i="15"/>
  <c r="V1219" i="15"/>
  <c r="W1219" i="15"/>
  <c r="X1219" i="15"/>
  <c r="Y1219" i="15"/>
  <c r="Z1219" i="15"/>
  <c r="AA1219" i="15"/>
  <c r="AB1219" i="15"/>
  <c r="AC1219" i="15"/>
  <c r="AD1219" i="15"/>
  <c r="AE1219" i="15"/>
  <c r="AF1219" i="15"/>
  <c r="AG1219" i="15"/>
  <c r="AH1219" i="15"/>
  <c r="AI1219" i="15"/>
  <c r="AJ1219" i="15"/>
  <c r="AK1219" i="15"/>
  <c r="AL1219" i="15"/>
  <c r="AM1219" i="15"/>
  <c r="AN1219" i="15"/>
  <c r="AO1219" i="15"/>
  <c r="R1220" i="15"/>
  <c r="S1220" i="15"/>
  <c r="T1220" i="15"/>
  <c r="U1220" i="15"/>
  <c r="V1220" i="15"/>
  <c r="W1220" i="15"/>
  <c r="X1220" i="15"/>
  <c r="Y1220" i="15"/>
  <c r="Z1220" i="15"/>
  <c r="AA1220" i="15"/>
  <c r="AB1220" i="15"/>
  <c r="AC1220" i="15"/>
  <c r="AD1220" i="15"/>
  <c r="AE1220" i="15"/>
  <c r="AF1220" i="15"/>
  <c r="AG1220" i="15"/>
  <c r="AH1220" i="15"/>
  <c r="AI1220" i="15"/>
  <c r="AJ1220" i="15"/>
  <c r="AK1220" i="15"/>
  <c r="AL1220" i="15"/>
  <c r="AM1220" i="15"/>
  <c r="AN1220" i="15"/>
  <c r="AO1220" i="15"/>
  <c r="R1221" i="15"/>
  <c r="S1221" i="15"/>
  <c r="T1221" i="15"/>
  <c r="U1221" i="15"/>
  <c r="V1221" i="15"/>
  <c r="W1221" i="15"/>
  <c r="X1221" i="15"/>
  <c r="Y1221" i="15"/>
  <c r="Z1221" i="15"/>
  <c r="AA1221" i="15"/>
  <c r="AB1221" i="15"/>
  <c r="AC1221" i="15"/>
  <c r="AD1221" i="15"/>
  <c r="AE1221" i="15"/>
  <c r="AF1221" i="15"/>
  <c r="AG1221" i="15"/>
  <c r="AH1221" i="15"/>
  <c r="AI1221" i="15"/>
  <c r="AJ1221" i="15"/>
  <c r="AK1221" i="15"/>
  <c r="AL1221" i="15"/>
  <c r="AM1221" i="15"/>
  <c r="AN1221" i="15"/>
  <c r="AO1221" i="15"/>
  <c r="R1222" i="15"/>
  <c r="S1222" i="15"/>
  <c r="T1222" i="15"/>
  <c r="U1222" i="15"/>
  <c r="V1222" i="15"/>
  <c r="W1222" i="15"/>
  <c r="X1222" i="15"/>
  <c r="Y1222" i="15"/>
  <c r="Z1222" i="15"/>
  <c r="AA1222" i="15"/>
  <c r="AB1222" i="15"/>
  <c r="AC1222" i="15"/>
  <c r="AD1222" i="15"/>
  <c r="AE1222" i="15"/>
  <c r="AF1222" i="15"/>
  <c r="AG1222" i="15"/>
  <c r="AH1222" i="15"/>
  <c r="AI1222" i="15"/>
  <c r="AJ1222" i="15"/>
  <c r="AK1222" i="15"/>
  <c r="AL1222" i="15"/>
  <c r="AM1222" i="15"/>
  <c r="AN1222" i="15"/>
  <c r="AO1222" i="15"/>
  <c r="R1223" i="15"/>
  <c r="S1223" i="15"/>
  <c r="T1223" i="15"/>
  <c r="U1223" i="15"/>
  <c r="V1223" i="15"/>
  <c r="W1223" i="15"/>
  <c r="X1223" i="15"/>
  <c r="Y1223" i="15"/>
  <c r="Z1223" i="15"/>
  <c r="AA1223" i="15"/>
  <c r="AB1223" i="15"/>
  <c r="AC1223" i="15"/>
  <c r="AD1223" i="15"/>
  <c r="AE1223" i="15"/>
  <c r="AF1223" i="15"/>
  <c r="AG1223" i="15"/>
  <c r="AH1223" i="15"/>
  <c r="AI1223" i="15"/>
  <c r="AJ1223" i="15"/>
  <c r="AK1223" i="15"/>
  <c r="AL1223" i="15"/>
  <c r="AM1223" i="15"/>
  <c r="AN1223" i="15"/>
  <c r="AO1223" i="15"/>
  <c r="R1224" i="15"/>
  <c r="S1224" i="15"/>
  <c r="T1224" i="15"/>
  <c r="U1224" i="15"/>
  <c r="V1224" i="15"/>
  <c r="W1224" i="15"/>
  <c r="X1224" i="15"/>
  <c r="Y1224" i="15"/>
  <c r="Z1224" i="15"/>
  <c r="AA1224" i="15"/>
  <c r="AB1224" i="15"/>
  <c r="AC1224" i="15"/>
  <c r="AD1224" i="15"/>
  <c r="AE1224" i="15"/>
  <c r="AF1224" i="15"/>
  <c r="AG1224" i="15"/>
  <c r="AH1224" i="15"/>
  <c r="AI1224" i="15"/>
  <c r="AJ1224" i="15"/>
  <c r="AK1224" i="15"/>
  <c r="AL1224" i="15"/>
  <c r="AM1224" i="15"/>
  <c r="AN1224" i="15"/>
  <c r="AO1224" i="15"/>
  <c r="R1225" i="15"/>
  <c r="S1225" i="15"/>
  <c r="T1225" i="15"/>
  <c r="U1225" i="15"/>
  <c r="V1225" i="15"/>
  <c r="W1225" i="15"/>
  <c r="X1225" i="15"/>
  <c r="Y1225" i="15"/>
  <c r="Z1225" i="15"/>
  <c r="AA1225" i="15"/>
  <c r="AB1225" i="15"/>
  <c r="AC1225" i="15"/>
  <c r="AD1225" i="15"/>
  <c r="AE1225" i="15"/>
  <c r="AF1225" i="15"/>
  <c r="AG1225" i="15"/>
  <c r="AH1225" i="15"/>
  <c r="AI1225" i="15"/>
  <c r="AJ1225" i="15"/>
  <c r="AK1225" i="15"/>
  <c r="AL1225" i="15"/>
  <c r="AM1225" i="15"/>
  <c r="AN1225" i="15"/>
  <c r="AO1225" i="15"/>
  <c r="R1226" i="15"/>
  <c r="S1226" i="15"/>
  <c r="T1226" i="15"/>
  <c r="U1226" i="15"/>
  <c r="V1226" i="15"/>
  <c r="W1226" i="15"/>
  <c r="X1226" i="15"/>
  <c r="Y1226" i="15"/>
  <c r="Z1226" i="15"/>
  <c r="AA1226" i="15"/>
  <c r="AB1226" i="15"/>
  <c r="AC1226" i="15"/>
  <c r="AD1226" i="15"/>
  <c r="AE1226" i="15"/>
  <c r="AF1226" i="15"/>
  <c r="AG1226" i="15"/>
  <c r="AH1226" i="15"/>
  <c r="AI1226" i="15"/>
  <c r="AJ1226" i="15"/>
  <c r="AK1226" i="15"/>
  <c r="AL1226" i="15"/>
  <c r="AM1226" i="15"/>
  <c r="AN1226" i="15"/>
  <c r="AO1226" i="15"/>
  <c r="R1227" i="15"/>
  <c r="S1227" i="15"/>
  <c r="T1227" i="15"/>
  <c r="U1227" i="15"/>
  <c r="V1227" i="15"/>
  <c r="W1227" i="15"/>
  <c r="X1227" i="15"/>
  <c r="Y1227" i="15"/>
  <c r="Z1227" i="15"/>
  <c r="AA1227" i="15"/>
  <c r="AB1227" i="15"/>
  <c r="AC1227" i="15"/>
  <c r="AD1227" i="15"/>
  <c r="AE1227" i="15"/>
  <c r="AF1227" i="15"/>
  <c r="AG1227" i="15"/>
  <c r="AH1227" i="15"/>
  <c r="AI1227" i="15"/>
  <c r="AJ1227" i="15"/>
  <c r="AK1227" i="15"/>
  <c r="AL1227" i="15"/>
  <c r="AM1227" i="15"/>
  <c r="AN1227" i="15"/>
  <c r="AO1227" i="15"/>
  <c r="R1228" i="15"/>
  <c r="S1228" i="15"/>
  <c r="T1228" i="15"/>
  <c r="U1228" i="15"/>
  <c r="V1228" i="15"/>
  <c r="W1228" i="15"/>
  <c r="X1228" i="15"/>
  <c r="Y1228" i="15"/>
  <c r="Z1228" i="15"/>
  <c r="AA1228" i="15"/>
  <c r="AB1228" i="15"/>
  <c r="AC1228" i="15"/>
  <c r="AD1228" i="15"/>
  <c r="AE1228" i="15"/>
  <c r="AF1228" i="15"/>
  <c r="AG1228" i="15"/>
  <c r="AH1228" i="15"/>
  <c r="AI1228" i="15"/>
  <c r="AJ1228" i="15"/>
  <c r="AK1228" i="15"/>
  <c r="AL1228" i="15"/>
  <c r="AM1228" i="15"/>
  <c r="AN1228" i="15"/>
  <c r="AO1228" i="15"/>
  <c r="R1229" i="15"/>
  <c r="S1229" i="15"/>
  <c r="T1229" i="15"/>
  <c r="U1229" i="15"/>
  <c r="V1229" i="15"/>
  <c r="W1229" i="15"/>
  <c r="X1229" i="15"/>
  <c r="Y1229" i="15"/>
  <c r="Z1229" i="15"/>
  <c r="AA1229" i="15"/>
  <c r="AB1229" i="15"/>
  <c r="AC1229" i="15"/>
  <c r="AD1229" i="15"/>
  <c r="AE1229" i="15"/>
  <c r="AF1229" i="15"/>
  <c r="AG1229" i="15"/>
  <c r="AH1229" i="15"/>
  <c r="AI1229" i="15"/>
  <c r="AJ1229" i="15"/>
  <c r="AK1229" i="15"/>
  <c r="AL1229" i="15"/>
  <c r="AM1229" i="15"/>
  <c r="AN1229" i="15"/>
  <c r="AO1229" i="15"/>
  <c r="R1230" i="15"/>
  <c r="S1230" i="15"/>
  <c r="T1230" i="15"/>
  <c r="U1230" i="15"/>
  <c r="V1230" i="15"/>
  <c r="W1230" i="15"/>
  <c r="X1230" i="15"/>
  <c r="Y1230" i="15"/>
  <c r="Z1230" i="15"/>
  <c r="AA1230" i="15"/>
  <c r="AB1230" i="15"/>
  <c r="AC1230" i="15"/>
  <c r="AD1230" i="15"/>
  <c r="AE1230" i="15"/>
  <c r="AF1230" i="15"/>
  <c r="AG1230" i="15"/>
  <c r="AH1230" i="15"/>
  <c r="AI1230" i="15"/>
  <c r="AJ1230" i="15"/>
  <c r="AK1230" i="15"/>
  <c r="AL1230" i="15"/>
  <c r="AM1230" i="15"/>
  <c r="AN1230" i="15"/>
  <c r="AO1230" i="15"/>
  <c r="R1231" i="15"/>
  <c r="S1231" i="15"/>
  <c r="T1231" i="15"/>
  <c r="U1231" i="15"/>
  <c r="V1231" i="15"/>
  <c r="W1231" i="15"/>
  <c r="X1231" i="15"/>
  <c r="Y1231" i="15"/>
  <c r="Z1231" i="15"/>
  <c r="AA1231" i="15"/>
  <c r="AB1231" i="15"/>
  <c r="AC1231" i="15"/>
  <c r="AD1231" i="15"/>
  <c r="AE1231" i="15"/>
  <c r="AF1231" i="15"/>
  <c r="AG1231" i="15"/>
  <c r="AH1231" i="15"/>
  <c r="AI1231" i="15"/>
  <c r="AJ1231" i="15"/>
  <c r="AK1231" i="15"/>
  <c r="AL1231" i="15"/>
  <c r="AM1231" i="15"/>
  <c r="AN1231" i="15"/>
  <c r="AO1231" i="15"/>
  <c r="R1232" i="15"/>
  <c r="S1232" i="15"/>
  <c r="T1232" i="15"/>
  <c r="U1232" i="15"/>
  <c r="V1232" i="15"/>
  <c r="W1232" i="15"/>
  <c r="X1232" i="15"/>
  <c r="Y1232" i="15"/>
  <c r="Z1232" i="15"/>
  <c r="AA1232" i="15"/>
  <c r="AB1232" i="15"/>
  <c r="AC1232" i="15"/>
  <c r="AD1232" i="15"/>
  <c r="AE1232" i="15"/>
  <c r="AF1232" i="15"/>
  <c r="AG1232" i="15"/>
  <c r="AH1232" i="15"/>
  <c r="AI1232" i="15"/>
  <c r="AJ1232" i="15"/>
  <c r="AK1232" i="15"/>
  <c r="AL1232" i="15"/>
  <c r="AM1232" i="15"/>
  <c r="AN1232" i="15"/>
  <c r="AO1232" i="15"/>
  <c r="R1233" i="15"/>
  <c r="S1233" i="15"/>
  <c r="T1233" i="15"/>
  <c r="U1233" i="15"/>
  <c r="V1233" i="15"/>
  <c r="W1233" i="15"/>
  <c r="X1233" i="15"/>
  <c r="Y1233" i="15"/>
  <c r="Z1233" i="15"/>
  <c r="AA1233" i="15"/>
  <c r="AB1233" i="15"/>
  <c r="AC1233" i="15"/>
  <c r="AD1233" i="15"/>
  <c r="AE1233" i="15"/>
  <c r="AF1233" i="15"/>
  <c r="AG1233" i="15"/>
  <c r="AH1233" i="15"/>
  <c r="AI1233" i="15"/>
  <c r="AJ1233" i="15"/>
  <c r="AK1233" i="15"/>
  <c r="AL1233" i="15"/>
  <c r="AM1233" i="15"/>
  <c r="AN1233" i="15"/>
  <c r="AO1233" i="15"/>
  <c r="R1234" i="15"/>
  <c r="S1234" i="15"/>
  <c r="T1234" i="15"/>
  <c r="U1234" i="15"/>
  <c r="V1234" i="15"/>
  <c r="W1234" i="15"/>
  <c r="X1234" i="15"/>
  <c r="Y1234" i="15"/>
  <c r="Z1234" i="15"/>
  <c r="AA1234" i="15"/>
  <c r="AB1234" i="15"/>
  <c r="AC1234" i="15"/>
  <c r="AD1234" i="15"/>
  <c r="AE1234" i="15"/>
  <c r="AF1234" i="15"/>
  <c r="AG1234" i="15"/>
  <c r="AH1234" i="15"/>
  <c r="AI1234" i="15"/>
  <c r="AJ1234" i="15"/>
  <c r="AK1234" i="15"/>
  <c r="AL1234" i="15"/>
  <c r="AM1234" i="15"/>
  <c r="AN1234" i="15"/>
  <c r="AO1234" i="15"/>
  <c r="R1235" i="15"/>
  <c r="S1235" i="15"/>
  <c r="T1235" i="15"/>
  <c r="U1235" i="15"/>
  <c r="V1235" i="15"/>
  <c r="W1235" i="15"/>
  <c r="X1235" i="15"/>
  <c r="Y1235" i="15"/>
  <c r="Z1235" i="15"/>
  <c r="AA1235" i="15"/>
  <c r="AB1235" i="15"/>
  <c r="AC1235" i="15"/>
  <c r="AD1235" i="15"/>
  <c r="AE1235" i="15"/>
  <c r="AF1235" i="15"/>
  <c r="AG1235" i="15"/>
  <c r="AH1235" i="15"/>
  <c r="AI1235" i="15"/>
  <c r="AJ1235" i="15"/>
  <c r="AK1235" i="15"/>
  <c r="AL1235" i="15"/>
  <c r="AM1235" i="15"/>
  <c r="AN1235" i="15"/>
  <c r="AO1235" i="15"/>
  <c r="R1236" i="15"/>
  <c r="S1236" i="15"/>
  <c r="T1236" i="15"/>
  <c r="U1236" i="15"/>
  <c r="V1236" i="15"/>
  <c r="W1236" i="15"/>
  <c r="X1236" i="15"/>
  <c r="Y1236" i="15"/>
  <c r="Z1236" i="15"/>
  <c r="AA1236" i="15"/>
  <c r="AB1236" i="15"/>
  <c r="AC1236" i="15"/>
  <c r="AD1236" i="15"/>
  <c r="AE1236" i="15"/>
  <c r="AF1236" i="15"/>
  <c r="AG1236" i="15"/>
  <c r="AH1236" i="15"/>
  <c r="AI1236" i="15"/>
  <c r="AJ1236" i="15"/>
  <c r="AK1236" i="15"/>
  <c r="AL1236" i="15"/>
  <c r="AM1236" i="15"/>
  <c r="AN1236" i="15"/>
  <c r="AO1236" i="15"/>
  <c r="R1237" i="15"/>
  <c r="S1237" i="15"/>
  <c r="T1237" i="15"/>
  <c r="U1237" i="15"/>
  <c r="V1237" i="15"/>
  <c r="W1237" i="15"/>
  <c r="X1237" i="15"/>
  <c r="Y1237" i="15"/>
  <c r="Z1237" i="15"/>
  <c r="AA1237" i="15"/>
  <c r="AB1237" i="15"/>
  <c r="AC1237" i="15"/>
  <c r="AD1237" i="15"/>
  <c r="AE1237" i="15"/>
  <c r="AF1237" i="15"/>
  <c r="AG1237" i="15"/>
  <c r="AH1237" i="15"/>
  <c r="AI1237" i="15"/>
  <c r="AJ1237" i="15"/>
  <c r="AK1237" i="15"/>
  <c r="AL1237" i="15"/>
  <c r="AM1237" i="15"/>
  <c r="AN1237" i="15"/>
  <c r="AO1237" i="15"/>
  <c r="R1238" i="15"/>
  <c r="S1238" i="15"/>
  <c r="T1238" i="15"/>
  <c r="U1238" i="15"/>
  <c r="V1238" i="15"/>
  <c r="W1238" i="15"/>
  <c r="X1238" i="15"/>
  <c r="Y1238" i="15"/>
  <c r="Z1238" i="15"/>
  <c r="AA1238" i="15"/>
  <c r="AB1238" i="15"/>
  <c r="AC1238" i="15"/>
  <c r="AD1238" i="15"/>
  <c r="AE1238" i="15"/>
  <c r="AF1238" i="15"/>
  <c r="AG1238" i="15"/>
  <c r="AH1238" i="15"/>
  <c r="AI1238" i="15"/>
  <c r="AJ1238" i="15"/>
  <c r="AK1238" i="15"/>
  <c r="AL1238" i="15"/>
  <c r="AM1238" i="15"/>
  <c r="AN1238" i="15"/>
  <c r="AO1238" i="15"/>
  <c r="R1239" i="15"/>
  <c r="S1239" i="15"/>
  <c r="T1239" i="15"/>
  <c r="U1239" i="15"/>
  <c r="V1239" i="15"/>
  <c r="W1239" i="15"/>
  <c r="X1239" i="15"/>
  <c r="Y1239" i="15"/>
  <c r="Z1239" i="15"/>
  <c r="AA1239" i="15"/>
  <c r="AB1239" i="15"/>
  <c r="AC1239" i="15"/>
  <c r="AD1239" i="15"/>
  <c r="AE1239" i="15"/>
  <c r="AF1239" i="15"/>
  <c r="AG1239" i="15"/>
  <c r="AH1239" i="15"/>
  <c r="AI1239" i="15"/>
  <c r="AJ1239" i="15"/>
  <c r="AK1239" i="15"/>
  <c r="AL1239" i="15"/>
  <c r="AM1239" i="15"/>
  <c r="AN1239" i="15"/>
  <c r="AO1239" i="15"/>
  <c r="R1240" i="15"/>
  <c r="S1240" i="15"/>
  <c r="T1240" i="15"/>
  <c r="U1240" i="15"/>
  <c r="V1240" i="15"/>
  <c r="W1240" i="15"/>
  <c r="X1240" i="15"/>
  <c r="Y1240" i="15"/>
  <c r="Z1240" i="15"/>
  <c r="AA1240" i="15"/>
  <c r="AB1240" i="15"/>
  <c r="AC1240" i="15"/>
  <c r="AD1240" i="15"/>
  <c r="AE1240" i="15"/>
  <c r="AF1240" i="15"/>
  <c r="AG1240" i="15"/>
  <c r="AH1240" i="15"/>
  <c r="AI1240" i="15"/>
  <c r="AJ1240" i="15"/>
  <c r="AK1240" i="15"/>
  <c r="AL1240" i="15"/>
  <c r="AM1240" i="15"/>
  <c r="AN1240" i="15"/>
  <c r="AO1240" i="15"/>
  <c r="R1241" i="15"/>
  <c r="S1241" i="15"/>
  <c r="T1241" i="15"/>
  <c r="U1241" i="15"/>
  <c r="V1241" i="15"/>
  <c r="W1241" i="15"/>
  <c r="X1241" i="15"/>
  <c r="Y1241" i="15"/>
  <c r="Z1241" i="15"/>
  <c r="AA1241" i="15"/>
  <c r="AB1241" i="15"/>
  <c r="AC1241" i="15"/>
  <c r="AD1241" i="15"/>
  <c r="AE1241" i="15"/>
  <c r="AF1241" i="15"/>
  <c r="AG1241" i="15"/>
  <c r="AH1241" i="15"/>
  <c r="AI1241" i="15"/>
  <c r="AJ1241" i="15"/>
  <c r="AK1241" i="15"/>
  <c r="AL1241" i="15"/>
  <c r="AM1241" i="15"/>
  <c r="AN1241" i="15"/>
  <c r="AO1241" i="15"/>
  <c r="R1242" i="15"/>
  <c r="S1242" i="15"/>
  <c r="T1242" i="15"/>
  <c r="U1242" i="15"/>
  <c r="V1242" i="15"/>
  <c r="W1242" i="15"/>
  <c r="X1242" i="15"/>
  <c r="Y1242" i="15"/>
  <c r="Z1242" i="15"/>
  <c r="AA1242" i="15"/>
  <c r="AB1242" i="15"/>
  <c r="AC1242" i="15"/>
  <c r="AD1242" i="15"/>
  <c r="AE1242" i="15"/>
  <c r="AF1242" i="15"/>
  <c r="AG1242" i="15"/>
  <c r="AH1242" i="15"/>
  <c r="AI1242" i="15"/>
  <c r="AJ1242" i="15"/>
  <c r="AK1242" i="15"/>
  <c r="AL1242" i="15"/>
  <c r="AM1242" i="15"/>
  <c r="AN1242" i="15"/>
  <c r="AO1242" i="15"/>
  <c r="R1243" i="15"/>
  <c r="S1243" i="15"/>
  <c r="T1243" i="15"/>
  <c r="U1243" i="15"/>
  <c r="V1243" i="15"/>
  <c r="W1243" i="15"/>
  <c r="X1243" i="15"/>
  <c r="Y1243" i="15"/>
  <c r="Z1243" i="15"/>
  <c r="AA1243" i="15"/>
  <c r="AB1243" i="15"/>
  <c r="AC1243" i="15"/>
  <c r="AD1243" i="15"/>
  <c r="AE1243" i="15"/>
  <c r="AF1243" i="15"/>
  <c r="AG1243" i="15"/>
  <c r="AH1243" i="15"/>
  <c r="AI1243" i="15"/>
  <c r="AJ1243" i="15"/>
  <c r="AK1243" i="15"/>
  <c r="AL1243" i="15"/>
  <c r="AM1243" i="15"/>
  <c r="AN1243" i="15"/>
  <c r="AO1243" i="15"/>
  <c r="R1244" i="15"/>
  <c r="S1244" i="15"/>
  <c r="T1244" i="15"/>
  <c r="U1244" i="15"/>
  <c r="V1244" i="15"/>
  <c r="W1244" i="15"/>
  <c r="X1244" i="15"/>
  <c r="Y1244" i="15"/>
  <c r="Z1244" i="15"/>
  <c r="AA1244" i="15"/>
  <c r="AB1244" i="15"/>
  <c r="AC1244" i="15"/>
  <c r="AD1244" i="15"/>
  <c r="AE1244" i="15"/>
  <c r="AF1244" i="15"/>
  <c r="AG1244" i="15"/>
  <c r="AH1244" i="15"/>
  <c r="AI1244" i="15"/>
  <c r="AJ1244" i="15"/>
  <c r="AK1244" i="15"/>
  <c r="AL1244" i="15"/>
  <c r="AM1244" i="15"/>
  <c r="AN1244" i="15"/>
  <c r="AO1244" i="15"/>
  <c r="R1245" i="15"/>
  <c r="S1245" i="15"/>
  <c r="T1245" i="15"/>
  <c r="U1245" i="15"/>
  <c r="V1245" i="15"/>
  <c r="W1245" i="15"/>
  <c r="X1245" i="15"/>
  <c r="Y1245" i="15"/>
  <c r="Z1245" i="15"/>
  <c r="AA1245" i="15"/>
  <c r="AB1245" i="15"/>
  <c r="AC1245" i="15"/>
  <c r="AD1245" i="15"/>
  <c r="AE1245" i="15"/>
  <c r="AF1245" i="15"/>
  <c r="AG1245" i="15"/>
  <c r="AH1245" i="15"/>
  <c r="AI1245" i="15"/>
  <c r="AJ1245" i="15"/>
  <c r="AK1245" i="15"/>
  <c r="AL1245" i="15"/>
  <c r="AM1245" i="15"/>
  <c r="AN1245" i="15"/>
  <c r="AO1245" i="15"/>
  <c r="R1246" i="15"/>
  <c r="S1246" i="15"/>
  <c r="T1246" i="15"/>
  <c r="U1246" i="15"/>
  <c r="V1246" i="15"/>
  <c r="W1246" i="15"/>
  <c r="X1246" i="15"/>
  <c r="Y1246" i="15"/>
  <c r="Z1246" i="15"/>
  <c r="AA1246" i="15"/>
  <c r="AB1246" i="15"/>
  <c r="AC1246" i="15"/>
  <c r="AD1246" i="15"/>
  <c r="AE1246" i="15"/>
  <c r="AF1246" i="15"/>
  <c r="AG1246" i="15"/>
  <c r="AH1246" i="15"/>
  <c r="AI1246" i="15"/>
  <c r="AJ1246" i="15"/>
  <c r="AK1246" i="15"/>
  <c r="AL1246" i="15"/>
  <c r="AM1246" i="15"/>
  <c r="AN1246" i="15"/>
  <c r="AO1246" i="15"/>
  <c r="R1247" i="15"/>
  <c r="S1247" i="15"/>
  <c r="T1247" i="15"/>
  <c r="U1247" i="15"/>
  <c r="V1247" i="15"/>
  <c r="W1247" i="15"/>
  <c r="X1247" i="15"/>
  <c r="Y1247" i="15"/>
  <c r="Z1247" i="15"/>
  <c r="AA1247" i="15"/>
  <c r="AB1247" i="15"/>
  <c r="AC1247" i="15"/>
  <c r="AD1247" i="15"/>
  <c r="AE1247" i="15"/>
  <c r="AF1247" i="15"/>
  <c r="AG1247" i="15"/>
  <c r="AH1247" i="15"/>
  <c r="AI1247" i="15"/>
  <c r="AJ1247" i="15"/>
  <c r="AK1247" i="15"/>
  <c r="AL1247" i="15"/>
  <c r="AM1247" i="15"/>
  <c r="AN1247" i="15"/>
  <c r="AO1247" i="15"/>
  <c r="R1248" i="15"/>
  <c r="S1248" i="15"/>
  <c r="T1248" i="15"/>
  <c r="U1248" i="15"/>
  <c r="V1248" i="15"/>
  <c r="W1248" i="15"/>
  <c r="X1248" i="15"/>
  <c r="Y1248" i="15"/>
  <c r="Z1248" i="15"/>
  <c r="AA1248" i="15"/>
  <c r="AB1248" i="15"/>
  <c r="AC1248" i="15"/>
  <c r="AD1248" i="15"/>
  <c r="AE1248" i="15"/>
  <c r="AF1248" i="15"/>
  <c r="AG1248" i="15"/>
  <c r="AH1248" i="15"/>
  <c r="AI1248" i="15"/>
  <c r="AJ1248" i="15"/>
  <c r="AK1248" i="15"/>
  <c r="AL1248" i="15"/>
  <c r="AM1248" i="15"/>
  <c r="AN1248" i="15"/>
  <c r="AO1248" i="15"/>
  <c r="R1249" i="15"/>
  <c r="S1249" i="15"/>
  <c r="T1249" i="15"/>
  <c r="U1249" i="15"/>
  <c r="V1249" i="15"/>
  <c r="W1249" i="15"/>
  <c r="X1249" i="15"/>
  <c r="Y1249" i="15"/>
  <c r="Z1249" i="15"/>
  <c r="AA1249" i="15"/>
  <c r="AB1249" i="15"/>
  <c r="AC1249" i="15"/>
  <c r="AD1249" i="15"/>
  <c r="AE1249" i="15"/>
  <c r="AF1249" i="15"/>
  <c r="AG1249" i="15"/>
  <c r="AH1249" i="15"/>
  <c r="AI1249" i="15"/>
  <c r="AJ1249" i="15"/>
  <c r="AK1249" i="15"/>
  <c r="AL1249" i="15"/>
  <c r="AM1249" i="15"/>
  <c r="AN1249" i="15"/>
  <c r="AO1249" i="15"/>
  <c r="R1250" i="15"/>
  <c r="S1250" i="15"/>
  <c r="T1250" i="15"/>
  <c r="U1250" i="15"/>
  <c r="V1250" i="15"/>
  <c r="W1250" i="15"/>
  <c r="X1250" i="15"/>
  <c r="Y1250" i="15"/>
  <c r="Z1250" i="15"/>
  <c r="AA1250" i="15"/>
  <c r="AB1250" i="15"/>
  <c r="AC1250" i="15"/>
  <c r="AD1250" i="15"/>
  <c r="AE1250" i="15"/>
  <c r="AF1250" i="15"/>
  <c r="AG1250" i="15"/>
  <c r="AH1250" i="15"/>
  <c r="AI1250" i="15"/>
  <c r="AJ1250" i="15"/>
  <c r="AK1250" i="15"/>
  <c r="AL1250" i="15"/>
  <c r="AM1250" i="15"/>
  <c r="AN1250" i="15"/>
  <c r="AO1250" i="15"/>
  <c r="R1251" i="15"/>
  <c r="S1251" i="15"/>
  <c r="T1251" i="15"/>
  <c r="U1251" i="15"/>
  <c r="V1251" i="15"/>
  <c r="W1251" i="15"/>
  <c r="X1251" i="15"/>
  <c r="Y1251" i="15"/>
  <c r="Z1251" i="15"/>
  <c r="AA1251" i="15"/>
  <c r="AB1251" i="15"/>
  <c r="AC1251" i="15"/>
  <c r="AD1251" i="15"/>
  <c r="AE1251" i="15"/>
  <c r="AF1251" i="15"/>
  <c r="AG1251" i="15"/>
  <c r="AH1251" i="15"/>
  <c r="AI1251" i="15"/>
  <c r="AJ1251" i="15"/>
  <c r="AK1251" i="15"/>
  <c r="AL1251" i="15"/>
  <c r="AM1251" i="15"/>
  <c r="AN1251" i="15"/>
  <c r="AO1251" i="15"/>
  <c r="R1252" i="15"/>
  <c r="S1252" i="15"/>
  <c r="T1252" i="15"/>
  <c r="U1252" i="15"/>
  <c r="V1252" i="15"/>
  <c r="W1252" i="15"/>
  <c r="X1252" i="15"/>
  <c r="Y1252" i="15"/>
  <c r="Z1252" i="15"/>
  <c r="AA1252" i="15"/>
  <c r="AB1252" i="15"/>
  <c r="AC1252" i="15"/>
  <c r="AD1252" i="15"/>
  <c r="AE1252" i="15"/>
  <c r="AF1252" i="15"/>
  <c r="AG1252" i="15"/>
  <c r="AH1252" i="15"/>
  <c r="AI1252" i="15"/>
  <c r="AJ1252" i="15"/>
  <c r="AK1252" i="15"/>
  <c r="AL1252" i="15"/>
  <c r="AM1252" i="15"/>
  <c r="AN1252" i="15"/>
  <c r="AO1252" i="15"/>
  <c r="R1253" i="15"/>
  <c r="S1253" i="15"/>
  <c r="T1253" i="15"/>
  <c r="U1253" i="15"/>
  <c r="V1253" i="15"/>
  <c r="W1253" i="15"/>
  <c r="X1253" i="15"/>
  <c r="Y1253" i="15"/>
  <c r="Z1253" i="15"/>
  <c r="AA1253" i="15"/>
  <c r="AB1253" i="15"/>
  <c r="AC1253" i="15"/>
  <c r="AD1253" i="15"/>
  <c r="AE1253" i="15"/>
  <c r="AF1253" i="15"/>
  <c r="AG1253" i="15"/>
  <c r="AH1253" i="15"/>
  <c r="AI1253" i="15"/>
  <c r="AJ1253" i="15"/>
  <c r="AK1253" i="15"/>
  <c r="AL1253" i="15"/>
  <c r="AM1253" i="15"/>
  <c r="AN1253" i="15"/>
  <c r="AO1253" i="15"/>
  <c r="R1254" i="15"/>
  <c r="S1254" i="15"/>
  <c r="T1254" i="15"/>
  <c r="U1254" i="15"/>
  <c r="V1254" i="15"/>
  <c r="W1254" i="15"/>
  <c r="X1254" i="15"/>
  <c r="Y1254" i="15"/>
  <c r="Z1254" i="15"/>
  <c r="AA1254" i="15"/>
  <c r="AB1254" i="15"/>
  <c r="AC1254" i="15"/>
  <c r="AD1254" i="15"/>
  <c r="AE1254" i="15"/>
  <c r="AF1254" i="15"/>
  <c r="AG1254" i="15"/>
  <c r="AH1254" i="15"/>
  <c r="AI1254" i="15"/>
  <c r="AJ1254" i="15"/>
  <c r="AK1254" i="15"/>
  <c r="AL1254" i="15"/>
  <c r="AM1254" i="15"/>
  <c r="AN1254" i="15"/>
  <c r="AO1254" i="15"/>
  <c r="R1255" i="15"/>
  <c r="S1255" i="15"/>
  <c r="T1255" i="15"/>
  <c r="U1255" i="15"/>
  <c r="V1255" i="15"/>
  <c r="W1255" i="15"/>
  <c r="X1255" i="15"/>
  <c r="Y1255" i="15"/>
  <c r="Z1255" i="15"/>
  <c r="AA1255" i="15"/>
  <c r="AB1255" i="15"/>
  <c r="AC1255" i="15"/>
  <c r="AD1255" i="15"/>
  <c r="AE1255" i="15"/>
  <c r="AF1255" i="15"/>
  <c r="AG1255" i="15"/>
  <c r="AH1255" i="15"/>
  <c r="AI1255" i="15"/>
  <c r="AJ1255" i="15"/>
  <c r="AK1255" i="15"/>
  <c r="AL1255" i="15"/>
  <c r="AM1255" i="15"/>
  <c r="AN1255" i="15"/>
  <c r="AO1255" i="15"/>
  <c r="R1256" i="15"/>
  <c r="S1256" i="15"/>
  <c r="T1256" i="15"/>
  <c r="U1256" i="15"/>
  <c r="V1256" i="15"/>
  <c r="W1256" i="15"/>
  <c r="X1256" i="15"/>
  <c r="Y1256" i="15"/>
  <c r="Z1256" i="15"/>
  <c r="AA1256" i="15"/>
  <c r="AB1256" i="15"/>
  <c r="AC1256" i="15"/>
  <c r="AD1256" i="15"/>
  <c r="AE1256" i="15"/>
  <c r="AF1256" i="15"/>
  <c r="AG1256" i="15"/>
  <c r="AH1256" i="15"/>
  <c r="AI1256" i="15"/>
  <c r="AJ1256" i="15"/>
  <c r="AK1256" i="15"/>
  <c r="AL1256" i="15"/>
  <c r="AM1256" i="15"/>
  <c r="AN1256" i="15"/>
  <c r="AO1256" i="15"/>
  <c r="R1257" i="15"/>
  <c r="S1257" i="15"/>
  <c r="T1257" i="15"/>
  <c r="U1257" i="15"/>
  <c r="V1257" i="15"/>
  <c r="W1257" i="15"/>
  <c r="X1257" i="15"/>
  <c r="Y1257" i="15"/>
  <c r="Z1257" i="15"/>
  <c r="AA1257" i="15"/>
  <c r="AB1257" i="15"/>
  <c r="AC1257" i="15"/>
  <c r="AD1257" i="15"/>
  <c r="AE1257" i="15"/>
  <c r="AF1257" i="15"/>
  <c r="AG1257" i="15"/>
  <c r="AH1257" i="15"/>
  <c r="AI1257" i="15"/>
  <c r="AJ1257" i="15"/>
  <c r="AK1257" i="15"/>
  <c r="AL1257" i="15"/>
  <c r="AM1257" i="15"/>
  <c r="AN1257" i="15"/>
  <c r="AO1257" i="15"/>
  <c r="R1258" i="15"/>
  <c r="S1258" i="15"/>
  <c r="T1258" i="15"/>
  <c r="U1258" i="15"/>
  <c r="V1258" i="15"/>
  <c r="W1258" i="15"/>
  <c r="X1258" i="15"/>
  <c r="Y1258" i="15"/>
  <c r="Z1258" i="15"/>
  <c r="AA1258" i="15"/>
  <c r="AB1258" i="15"/>
  <c r="AC1258" i="15"/>
  <c r="AD1258" i="15"/>
  <c r="AE1258" i="15"/>
  <c r="AF1258" i="15"/>
  <c r="AG1258" i="15"/>
  <c r="AH1258" i="15"/>
  <c r="AI1258" i="15"/>
  <c r="AJ1258" i="15"/>
  <c r="AK1258" i="15"/>
  <c r="AL1258" i="15"/>
  <c r="AM1258" i="15"/>
  <c r="AN1258" i="15"/>
  <c r="AO1258" i="15"/>
  <c r="R1259" i="15"/>
  <c r="S1259" i="15"/>
  <c r="T1259" i="15"/>
  <c r="U1259" i="15"/>
  <c r="V1259" i="15"/>
  <c r="W1259" i="15"/>
  <c r="X1259" i="15"/>
  <c r="Y1259" i="15"/>
  <c r="Z1259" i="15"/>
  <c r="AA1259" i="15"/>
  <c r="AB1259" i="15"/>
  <c r="AC1259" i="15"/>
  <c r="AD1259" i="15"/>
  <c r="AE1259" i="15"/>
  <c r="AF1259" i="15"/>
  <c r="AG1259" i="15"/>
  <c r="AH1259" i="15"/>
  <c r="AI1259" i="15"/>
  <c r="AJ1259" i="15"/>
  <c r="AK1259" i="15"/>
  <c r="AL1259" i="15"/>
  <c r="AM1259" i="15"/>
  <c r="AN1259" i="15"/>
  <c r="AO1259" i="15"/>
  <c r="R1260" i="15"/>
  <c r="S1260" i="15"/>
  <c r="T1260" i="15"/>
  <c r="U1260" i="15"/>
  <c r="V1260" i="15"/>
  <c r="W1260" i="15"/>
  <c r="X1260" i="15"/>
  <c r="Y1260" i="15"/>
  <c r="Z1260" i="15"/>
  <c r="AA1260" i="15"/>
  <c r="AB1260" i="15"/>
  <c r="AC1260" i="15"/>
  <c r="AD1260" i="15"/>
  <c r="AE1260" i="15"/>
  <c r="AF1260" i="15"/>
  <c r="AG1260" i="15"/>
  <c r="AH1260" i="15"/>
  <c r="AI1260" i="15"/>
  <c r="AJ1260" i="15"/>
  <c r="AK1260" i="15"/>
  <c r="AL1260" i="15"/>
  <c r="AM1260" i="15"/>
  <c r="AN1260" i="15"/>
  <c r="AO1260" i="15"/>
  <c r="R1261" i="15"/>
  <c r="S1261" i="15"/>
  <c r="T1261" i="15"/>
  <c r="U1261" i="15"/>
  <c r="V1261" i="15"/>
  <c r="W1261" i="15"/>
  <c r="X1261" i="15"/>
  <c r="Y1261" i="15"/>
  <c r="Z1261" i="15"/>
  <c r="AA1261" i="15"/>
  <c r="AB1261" i="15"/>
  <c r="AC1261" i="15"/>
  <c r="AD1261" i="15"/>
  <c r="AE1261" i="15"/>
  <c r="AF1261" i="15"/>
  <c r="AG1261" i="15"/>
  <c r="AH1261" i="15"/>
  <c r="AI1261" i="15"/>
  <c r="AJ1261" i="15"/>
  <c r="AK1261" i="15"/>
  <c r="AL1261" i="15"/>
  <c r="AM1261" i="15"/>
  <c r="AN1261" i="15"/>
  <c r="AO1261" i="15"/>
  <c r="R1262" i="15"/>
  <c r="S1262" i="15"/>
  <c r="T1262" i="15"/>
  <c r="U1262" i="15"/>
  <c r="V1262" i="15"/>
  <c r="W1262" i="15"/>
  <c r="X1262" i="15"/>
  <c r="Y1262" i="15"/>
  <c r="Z1262" i="15"/>
  <c r="AA1262" i="15"/>
  <c r="AB1262" i="15"/>
  <c r="AC1262" i="15"/>
  <c r="AD1262" i="15"/>
  <c r="AE1262" i="15"/>
  <c r="AF1262" i="15"/>
  <c r="AG1262" i="15"/>
  <c r="AH1262" i="15"/>
  <c r="AI1262" i="15"/>
  <c r="AJ1262" i="15"/>
  <c r="AK1262" i="15"/>
  <c r="AL1262" i="15"/>
  <c r="AM1262" i="15"/>
  <c r="AN1262" i="15"/>
  <c r="AO1262" i="15"/>
  <c r="R1263" i="15"/>
  <c r="S1263" i="15"/>
  <c r="T1263" i="15"/>
  <c r="U1263" i="15"/>
  <c r="V1263" i="15"/>
  <c r="W1263" i="15"/>
  <c r="X1263" i="15"/>
  <c r="Y1263" i="15"/>
  <c r="Z1263" i="15"/>
  <c r="AA1263" i="15"/>
  <c r="AB1263" i="15"/>
  <c r="AC1263" i="15"/>
  <c r="AD1263" i="15"/>
  <c r="AE1263" i="15"/>
  <c r="AF1263" i="15"/>
  <c r="AG1263" i="15"/>
  <c r="AH1263" i="15"/>
  <c r="AI1263" i="15"/>
  <c r="AJ1263" i="15"/>
  <c r="AK1263" i="15"/>
  <c r="AL1263" i="15"/>
  <c r="AM1263" i="15"/>
  <c r="AN1263" i="15"/>
  <c r="AO1263" i="15"/>
  <c r="R1264" i="15"/>
  <c r="S1264" i="15"/>
  <c r="T1264" i="15"/>
  <c r="U1264" i="15"/>
  <c r="V1264" i="15"/>
  <c r="W1264" i="15"/>
  <c r="X1264" i="15"/>
  <c r="Y1264" i="15"/>
  <c r="Z1264" i="15"/>
  <c r="AA1264" i="15"/>
  <c r="AB1264" i="15"/>
  <c r="AC1264" i="15"/>
  <c r="AD1264" i="15"/>
  <c r="AE1264" i="15"/>
  <c r="AF1264" i="15"/>
  <c r="AG1264" i="15"/>
  <c r="AH1264" i="15"/>
  <c r="AI1264" i="15"/>
  <c r="AJ1264" i="15"/>
  <c r="AK1264" i="15"/>
  <c r="AL1264" i="15"/>
  <c r="AM1264" i="15"/>
  <c r="AN1264" i="15"/>
  <c r="AO1264" i="15"/>
  <c r="R1265" i="15"/>
  <c r="S1265" i="15"/>
  <c r="T1265" i="15"/>
  <c r="U1265" i="15"/>
  <c r="V1265" i="15"/>
  <c r="W1265" i="15"/>
  <c r="X1265" i="15"/>
  <c r="Y1265" i="15"/>
  <c r="Z1265" i="15"/>
  <c r="AA1265" i="15"/>
  <c r="AB1265" i="15"/>
  <c r="AC1265" i="15"/>
  <c r="AD1265" i="15"/>
  <c r="AE1265" i="15"/>
  <c r="AF1265" i="15"/>
  <c r="AG1265" i="15"/>
  <c r="AH1265" i="15"/>
  <c r="AI1265" i="15"/>
  <c r="AJ1265" i="15"/>
  <c r="AK1265" i="15"/>
  <c r="AL1265" i="15"/>
  <c r="AM1265" i="15"/>
  <c r="AN1265" i="15"/>
  <c r="AO1265" i="15"/>
  <c r="R1266" i="15"/>
  <c r="S1266" i="15"/>
  <c r="T1266" i="15"/>
  <c r="U1266" i="15"/>
  <c r="V1266" i="15"/>
  <c r="W1266" i="15"/>
  <c r="X1266" i="15"/>
  <c r="Y1266" i="15"/>
  <c r="Z1266" i="15"/>
  <c r="AA1266" i="15"/>
  <c r="AB1266" i="15"/>
  <c r="AC1266" i="15"/>
  <c r="AD1266" i="15"/>
  <c r="AE1266" i="15"/>
  <c r="AF1266" i="15"/>
  <c r="AG1266" i="15"/>
  <c r="AH1266" i="15"/>
  <c r="AI1266" i="15"/>
  <c r="AJ1266" i="15"/>
  <c r="AK1266" i="15"/>
  <c r="AL1266" i="15"/>
  <c r="AM1266" i="15"/>
  <c r="AN1266" i="15"/>
  <c r="AO1266" i="15"/>
  <c r="R1267" i="15"/>
  <c r="S1267" i="15"/>
  <c r="T1267" i="15"/>
  <c r="U1267" i="15"/>
  <c r="V1267" i="15"/>
  <c r="W1267" i="15"/>
  <c r="X1267" i="15"/>
  <c r="Y1267" i="15"/>
  <c r="Z1267" i="15"/>
  <c r="AA1267" i="15"/>
  <c r="AB1267" i="15"/>
  <c r="AC1267" i="15"/>
  <c r="AD1267" i="15"/>
  <c r="AE1267" i="15"/>
  <c r="AF1267" i="15"/>
  <c r="AG1267" i="15"/>
  <c r="AH1267" i="15"/>
  <c r="AI1267" i="15"/>
  <c r="AJ1267" i="15"/>
  <c r="AK1267" i="15"/>
  <c r="AL1267" i="15"/>
  <c r="AM1267" i="15"/>
  <c r="AN1267" i="15"/>
  <c r="AO1267" i="15"/>
  <c r="R1268" i="15"/>
  <c r="S1268" i="15"/>
  <c r="T1268" i="15"/>
  <c r="U1268" i="15"/>
  <c r="V1268" i="15"/>
  <c r="W1268" i="15"/>
  <c r="X1268" i="15"/>
  <c r="Y1268" i="15"/>
  <c r="Z1268" i="15"/>
  <c r="AA1268" i="15"/>
  <c r="AB1268" i="15"/>
  <c r="AC1268" i="15"/>
  <c r="AD1268" i="15"/>
  <c r="AE1268" i="15"/>
  <c r="AF1268" i="15"/>
  <c r="AG1268" i="15"/>
  <c r="AH1268" i="15"/>
  <c r="AI1268" i="15"/>
  <c r="AJ1268" i="15"/>
  <c r="AK1268" i="15"/>
  <c r="AL1268" i="15"/>
  <c r="AM1268" i="15"/>
  <c r="AN1268" i="15"/>
  <c r="AO1268" i="15"/>
  <c r="R1269" i="15"/>
  <c r="S1269" i="15"/>
  <c r="T1269" i="15"/>
  <c r="U1269" i="15"/>
  <c r="V1269" i="15"/>
  <c r="W1269" i="15"/>
  <c r="X1269" i="15"/>
  <c r="Y1269" i="15"/>
  <c r="Z1269" i="15"/>
  <c r="AA1269" i="15"/>
  <c r="AB1269" i="15"/>
  <c r="AC1269" i="15"/>
  <c r="AD1269" i="15"/>
  <c r="AE1269" i="15"/>
  <c r="AF1269" i="15"/>
  <c r="AG1269" i="15"/>
  <c r="AH1269" i="15"/>
  <c r="AI1269" i="15"/>
  <c r="AJ1269" i="15"/>
  <c r="AK1269" i="15"/>
  <c r="AL1269" i="15"/>
  <c r="AM1269" i="15"/>
  <c r="AN1269" i="15"/>
  <c r="AO1269" i="15"/>
  <c r="R1270" i="15"/>
  <c r="S1270" i="15"/>
  <c r="T1270" i="15"/>
  <c r="U1270" i="15"/>
  <c r="V1270" i="15"/>
  <c r="W1270" i="15"/>
  <c r="X1270" i="15"/>
  <c r="Y1270" i="15"/>
  <c r="Z1270" i="15"/>
  <c r="AA1270" i="15"/>
  <c r="AB1270" i="15"/>
  <c r="AC1270" i="15"/>
  <c r="AD1270" i="15"/>
  <c r="AE1270" i="15"/>
  <c r="AF1270" i="15"/>
  <c r="AG1270" i="15"/>
  <c r="AH1270" i="15"/>
  <c r="AI1270" i="15"/>
  <c r="AJ1270" i="15"/>
  <c r="AK1270" i="15"/>
  <c r="AL1270" i="15"/>
  <c r="AM1270" i="15"/>
  <c r="AN1270" i="15"/>
  <c r="AO1270" i="15"/>
  <c r="R1271" i="15"/>
  <c r="S1271" i="15"/>
  <c r="T1271" i="15"/>
  <c r="U1271" i="15"/>
  <c r="V1271" i="15"/>
  <c r="W1271" i="15"/>
  <c r="X1271" i="15"/>
  <c r="Y1271" i="15"/>
  <c r="Z1271" i="15"/>
  <c r="AA1271" i="15"/>
  <c r="AB1271" i="15"/>
  <c r="AC1271" i="15"/>
  <c r="AD1271" i="15"/>
  <c r="AE1271" i="15"/>
  <c r="AF1271" i="15"/>
  <c r="AG1271" i="15"/>
  <c r="AH1271" i="15"/>
  <c r="AI1271" i="15"/>
  <c r="AJ1271" i="15"/>
  <c r="AK1271" i="15"/>
  <c r="AL1271" i="15"/>
  <c r="AM1271" i="15"/>
  <c r="AN1271" i="15"/>
  <c r="AO1271" i="15"/>
  <c r="R1272" i="15"/>
  <c r="S1272" i="15"/>
  <c r="T1272" i="15"/>
  <c r="U1272" i="15"/>
  <c r="V1272" i="15"/>
  <c r="W1272" i="15"/>
  <c r="X1272" i="15"/>
  <c r="Y1272" i="15"/>
  <c r="Z1272" i="15"/>
  <c r="AA1272" i="15"/>
  <c r="AB1272" i="15"/>
  <c r="AC1272" i="15"/>
  <c r="AD1272" i="15"/>
  <c r="AE1272" i="15"/>
  <c r="AF1272" i="15"/>
  <c r="AG1272" i="15"/>
  <c r="AH1272" i="15"/>
  <c r="AI1272" i="15"/>
  <c r="AJ1272" i="15"/>
  <c r="AK1272" i="15"/>
  <c r="AL1272" i="15"/>
  <c r="AM1272" i="15"/>
  <c r="AN1272" i="15"/>
  <c r="AO1272" i="15"/>
  <c r="R1273" i="15"/>
  <c r="S1273" i="15"/>
  <c r="T1273" i="15"/>
  <c r="U1273" i="15"/>
  <c r="V1273" i="15"/>
  <c r="W1273" i="15"/>
  <c r="X1273" i="15"/>
  <c r="Y1273" i="15"/>
  <c r="Z1273" i="15"/>
  <c r="AA1273" i="15"/>
  <c r="AB1273" i="15"/>
  <c r="AC1273" i="15"/>
  <c r="AD1273" i="15"/>
  <c r="AE1273" i="15"/>
  <c r="AF1273" i="15"/>
  <c r="AG1273" i="15"/>
  <c r="AH1273" i="15"/>
  <c r="AI1273" i="15"/>
  <c r="AJ1273" i="15"/>
  <c r="AK1273" i="15"/>
  <c r="AL1273" i="15"/>
  <c r="AM1273" i="15"/>
  <c r="AN1273" i="15"/>
  <c r="AO1273" i="15"/>
  <c r="R1274" i="15"/>
  <c r="S1274" i="15"/>
  <c r="T1274" i="15"/>
  <c r="U1274" i="15"/>
  <c r="V1274" i="15"/>
  <c r="W1274" i="15"/>
  <c r="X1274" i="15"/>
  <c r="Y1274" i="15"/>
  <c r="Z1274" i="15"/>
  <c r="AA1274" i="15"/>
  <c r="AB1274" i="15"/>
  <c r="AC1274" i="15"/>
  <c r="AD1274" i="15"/>
  <c r="AE1274" i="15"/>
  <c r="AF1274" i="15"/>
  <c r="AG1274" i="15"/>
  <c r="AH1274" i="15"/>
  <c r="AI1274" i="15"/>
  <c r="AJ1274" i="15"/>
  <c r="AK1274" i="15"/>
  <c r="AL1274" i="15"/>
  <c r="AM1274" i="15"/>
  <c r="AN1274" i="15"/>
  <c r="AO1274" i="15"/>
  <c r="R1275" i="15"/>
  <c r="S1275" i="15"/>
  <c r="T1275" i="15"/>
  <c r="U1275" i="15"/>
  <c r="V1275" i="15"/>
  <c r="W1275" i="15"/>
  <c r="X1275" i="15"/>
  <c r="Y1275" i="15"/>
  <c r="Z1275" i="15"/>
  <c r="AA1275" i="15"/>
  <c r="AB1275" i="15"/>
  <c r="AC1275" i="15"/>
  <c r="AD1275" i="15"/>
  <c r="AE1275" i="15"/>
  <c r="AF1275" i="15"/>
  <c r="AG1275" i="15"/>
  <c r="AH1275" i="15"/>
  <c r="AI1275" i="15"/>
  <c r="AJ1275" i="15"/>
  <c r="AK1275" i="15"/>
  <c r="AL1275" i="15"/>
  <c r="AM1275" i="15"/>
  <c r="AN1275" i="15"/>
  <c r="AO1275" i="15"/>
  <c r="R1276" i="15"/>
  <c r="S1276" i="15"/>
  <c r="T1276" i="15"/>
  <c r="U1276" i="15"/>
  <c r="V1276" i="15"/>
  <c r="W1276" i="15"/>
  <c r="X1276" i="15"/>
  <c r="Y1276" i="15"/>
  <c r="Z1276" i="15"/>
  <c r="AA1276" i="15"/>
  <c r="AB1276" i="15"/>
  <c r="AC1276" i="15"/>
  <c r="AD1276" i="15"/>
  <c r="AE1276" i="15"/>
  <c r="AF1276" i="15"/>
  <c r="AG1276" i="15"/>
  <c r="AH1276" i="15"/>
  <c r="AI1276" i="15"/>
  <c r="AJ1276" i="15"/>
  <c r="AK1276" i="15"/>
  <c r="AL1276" i="15"/>
  <c r="AM1276" i="15"/>
  <c r="AN1276" i="15"/>
  <c r="AO1276" i="15"/>
  <c r="R1277" i="15"/>
  <c r="S1277" i="15"/>
  <c r="T1277" i="15"/>
  <c r="U1277" i="15"/>
  <c r="V1277" i="15"/>
  <c r="W1277" i="15"/>
  <c r="X1277" i="15"/>
  <c r="Y1277" i="15"/>
  <c r="Z1277" i="15"/>
  <c r="AA1277" i="15"/>
  <c r="AB1277" i="15"/>
  <c r="AC1277" i="15"/>
  <c r="AD1277" i="15"/>
  <c r="AE1277" i="15"/>
  <c r="AF1277" i="15"/>
  <c r="AG1277" i="15"/>
  <c r="AH1277" i="15"/>
  <c r="AI1277" i="15"/>
  <c r="AJ1277" i="15"/>
  <c r="AK1277" i="15"/>
  <c r="AL1277" i="15"/>
  <c r="AM1277" i="15"/>
  <c r="AN1277" i="15"/>
  <c r="AO1277" i="15"/>
  <c r="R1278" i="15"/>
  <c r="S1278" i="15"/>
  <c r="T1278" i="15"/>
  <c r="U1278" i="15"/>
  <c r="V1278" i="15"/>
  <c r="W1278" i="15"/>
  <c r="X1278" i="15"/>
  <c r="Y1278" i="15"/>
  <c r="Z1278" i="15"/>
  <c r="AA1278" i="15"/>
  <c r="AB1278" i="15"/>
  <c r="AC1278" i="15"/>
  <c r="AD1278" i="15"/>
  <c r="AE1278" i="15"/>
  <c r="AF1278" i="15"/>
  <c r="AG1278" i="15"/>
  <c r="AH1278" i="15"/>
  <c r="AI1278" i="15"/>
  <c r="AJ1278" i="15"/>
  <c r="AK1278" i="15"/>
  <c r="AL1278" i="15"/>
  <c r="AM1278" i="15"/>
  <c r="AN1278" i="15"/>
  <c r="AO1278" i="15"/>
  <c r="R1279" i="15"/>
  <c r="S1279" i="15"/>
  <c r="T1279" i="15"/>
  <c r="U1279" i="15"/>
  <c r="V1279" i="15"/>
  <c r="W1279" i="15"/>
  <c r="X1279" i="15"/>
  <c r="Y1279" i="15"/>
  <c r="Z1279" i="15"/>
  <c r="AA1279" i="15"/>
  <c r="AB1279" i="15"/>
  <c r="AC1279" i="15"/>
  <c r="AD1279" i="15"/>
  <c r="AE1279" i="15"/>
  <c r="AF1279" i="15"/>
  <c r="AG1279" i="15"/>
  <c r="AH1279" i="15"/>
  <c r="AI1279" i="15"/>
  <c r="AJ1279" i="15"/>
  <c r="AK1279" i="15"/>
  <c r="AL1279" i="15"/>
  <c r="AM1279" i="15"/>
  <c r="AN1279" i="15"/>
  <c r="AO1279" i="15"/>
  <c r="R1280" i="15"/>
  <c r="S1280" i="15"/>
  <c r="T1280" i="15"/>
  <c r="U1280" i="15"/>
  <c r="V1280" i="15"/>
  <c r="W1280" i="15"/>
  <c r="X1280" i="15"/>
  <c r="Y1280" i="15"/>
  <c r="Z1280" i="15"/>
  <c r="AA1280" i="15"/>
  <c r="AB1280" i="15"/>
  <c r="AC1280" i="15"/>
  <c r="AD1280" i="15"/>
  <c r="AE1280" i="15"/>
  <c r="AF1280" i="15"/>
  <c r="AG1280" i="15"/>
  <c r="AH1280" i="15"/>
  <c r="AI1280" i="15"/>
  <c r="AJ1280" i="15"/>
  <c r="AK1280" i="15"/>
  <c r="AL1280" i="15"/>
  <c r="AM1280" i="15"/>
  <c r="AN1280" i="15"/>
  <c r="AO1280" i="15"/>
  <c r="R1281" i="15"/>
  <c r="S1281" i="15"/>
  <c r="T1281" i="15"/>
  <c r="U1281" i="15"/>
  <c r="V1281" i="15"/>
  <c r="W1281" i="15"/>
  <c r="X1281" i="15"/>
  <c r="Y1281" i="15"/>
  <c r="Z1281" i="15"/>
  <c r="AA1281" i="15"/>
  <c r="AB1281" i="15"/>
  <c r="AC1281" i="15"/>
  <c r="AD1281" i="15"/>
  <c r="AE1281" i="15"/>
  <c r="AF1281" i="15"/>
  <c r="AG1281" i="15"/>
  <c r="AH1281" i="15"/>
  <c r="AI1281" i="15"/>
  <c r="AJ1281" i="15"/>
  <c r="AK1281" i="15"/>
  <c r="AL1281" i="15"/>
  <c r="AM1281" i="15"/>
  <c r="AN1281" i="15"/>
  <c r="AO1281" i="15"/>
  <c r="R1282" i="15"/>
  <c r="S1282" i="15"/>
  <c r="T1282" i="15"/>
  <c r="U1282" i="15"/>
  <c r="V1282" i="15"/>
  <c r="W1282" i="15"/>
  <c r="X1282" i="15"/>
  <c r="Y1282" i="15"/>
  <c r="Z1282" i="15"/>
  <c r="AA1282" i="15"/>
  <c r="AB1282" i="15"/>
  <c r="AC1282" i="15"/>
  <c r="AD1282" i="15"/>
  <c r="AE1282" i="15"/>
  <c r="AF1282" i="15"/>
  <c r="AG1282" i="15"/>
  <c r="AH1282" i="15"/>
  <c r="AI1282" i="15"/>
  <c r="AJ1282" i="15"/>
  <c r="AK1282" i="15"/>
  <c r="AL1282" i="15"/>
  <c r="AM1282" i="15"/>
  <c r="AN1282" i="15"/>
  <c r="AO1282" i="15"/>
  <c r="R1283" i="15"/>
  <c r="S1283" i="15"/>
  <c r="T1283" i="15"/>
  <c r="U1283" i="15"/>
  <c r="V1283" i="15"/>
  <c r="W1283" i="15"/>
  <c r="X1283" i="15"/>
  <c r="Y1283" i="15"/>
  <c r="Z1283" i="15"/>
  <c r="AA1283" i="15"/>
  <c r="AB1283" i="15"/>
  <c r="AC1283" i="15"/>
  <c r="AD1283" i="15"/>
  <c r="AE1283" i="15"/>
  <c r="AF1283" i="15"/>
  <c r="AG1283" i="15"/>
  <c r="AH1283" i="15"/>
  <c r="AI1283" i="15"/>
  <c r="AJ1283" i="15"/>
  <c r="AK1283" i="15"/>
  <c r="AL1283" i="15"/>
  <c r="AM1283" i="15"/>
  <c r="AN1283" i="15"/>
  <c r="AO1283" i="15"/>
  <c r="R1284" i="15"/>
  <c r="S1284" i="15"/>
  <c r="T1284" i="15"/>
  <c r="U1284" i="15"/>
  <c r="V1284" i="15"/>
  <c r="W1284" i="15"/>
  <c r="X1284" i="15"/>
  <c r="Y1284" i="15"/>
  <c r="Z1284" i="15"/>
  <c r="AA1284" i="15"/>
  <c r="AB1284" i="15"/>
  <c r="AC1284" i="15"/>
  <c r="AD1284" i="15"/>
  <c r="AE1284" i="15"/>
  <c r="AF1284" i="15"/>
  <c r="AG1284" i="15"/>
  <c r="AH1284" i="15"/>
  <c r="AI1284" i="15"/>
  <c r="AJ1284" i="15"/>
  <c r="AK1284" i="15"/>
  <c r="AL1284" i="15"/>
  <c r="AM1284" i="15"/>
  <c r="AN1284" i="15"/>
  <c r="AO1284" i="15"/>
  <c r="R1285" i="15"/>
  <c r="S1285" i="15"/>
  <c r="T1285" i="15"/>
  <c r="U1285" i="15"/>
  <c r="V1285" i="15"/>
  <c r="W1285" i="15"/>
  <c r="X1285" i="15"/>
  <c r="Y1285" i="15"/>
  <c r="Z1285" i="15"/>
  <c r="AA1285" i="15"/>
  <c r="AB1285" i="15"/>
  <c r="AC1285" i="15"/>
  <c r="AD1285" i="15"/>
  <c r="AE1285" i="15"/>
  <c r="AF1285" i="15"/>
  <c r="AG1285" i="15"/>
  <c r="AH1285" i="15"/>
  <c r="AI1285" i="15"/>
  <c r="AJ1285" i="15"/>
  <c r="AK1285" i="15"/>
  <c r="AL1285" i="15"/>
  <c r="AM1285" i="15"/>
  <c r="AN1285" i="15"/>
  <c r="AO1285" i="15"/>
  <c r="R1286" i="15"/>
  <c r="S1286" i="15"/>
  <c r="T1286" i="15"/>
  <c r="U1286" i="15"/>
  <c r="V1286" i="15"/>
  <c r="W1286" i="15"/>
  <c r="X1286" i="15"/>
  <c r="Y1286" i="15"/>
  <c r="Z1286" i="15"/>
  <c r="AA1286" i="15"/>
  <c r="AB1286" i="15"/>
  <c r="AC1286" i="15"/>
  <c r="AD1286" i="15"/>
  <c r="AE1286" i="15"/>
  <c r="AF1286" i="15"/>
  <c r="AG1286" i="15"/>
  <c r="AH1286" i="15"/>
  <c r="AI1286" i="15"/>
  <c r="AJ1286" i="15"/>
  <c r="AK1286" i="15"/>
  <c r="AL1286" i="15"/>
  <c r="AM1286" i="15"/>
  <c r="AN1286" i="15"/>
  <c r="AO1286" i="15"/>
  <c r="R1287" i="15"/>
  <c r="S1287" i="15"/>
  <c r="T1287" i="15"/>
  <c r="U1287" i="15"/>
  <c r="V1287" i="15"/>
  <c r="W1287" i="15"/>
  <c r="X1287" i="15"/>
  <c r="Y1287" i="15"/>
  <c r="Z1287" i="15"/>
  <c r="AA1287" i="15"/>
  <c r="AB1287" i="15"/>
  <c r="AC1287" i="15"/>
  <c r="AD1287" i="15"/>
  <c r="AE1287" i="15"/>
  <c r="AF1287" i="15"/>
  <c r="AG1287" i="15"/>
  <c r="AH1287" i="15"/>
  <c r="AI1287" i="15"/>
  <c r="AJ1287" i="15"/>
  <c r="AK1287" i="15"/>
  <c r="AL1287" i="15"/>
  <c r="AM1287" i="15"/>
  <c r="AN1287" i="15"/>
  <c r="AO1287" i="15"/>
  <c r="R1288" i="15"/>
  <c r="S1288" i="15"/>
  <c r="T1288" i="15"/>
  <c r="U1288" i="15"/>
  <c r="V1288" i="15"/>
  <c r="W1288" i="15"/>
  <c r="X1288" i="15"/>
  <c r="Y1288" i="15"/>
  <c r="Z1288" i="15"/>
  <c r="AA1288" i="15"/>
  <c r="AB1288" i="15"/>
  <c r="AC1288" i="15"/>
  <c r="AD1288" i="15"/>
  <c r="AE1288" i="15"/>
  <c r="AF1288" i="15"/>
  <c r="AG1288" i="15"/>
  <c r="AH1288" i="15"/>
  <c r="AI1288" i="15"/>
  <c r="AJ1288" i="15"/>
  <c r="AK1288" i="15"/>
  <c r="AL1288" i="15"/>
  <c r="AM1288" i="15"/>
  <c r="AN1288" i="15"/>
  <c r="AO1288" i="15"/>
  <c r="R1289" i="15"/>
  <c r="S1289" i="15"/>
  <c r="T1289" i="15"/>
  <c r="U1289" i="15"/>
  <c r="V1289" i="15"/>
  <c r="W1289" i="15"/>
  <c r="X1289" i="15"/>
  <c r="Y1289" i="15"/>
  <c r="Z1289" i="15"/>
  <c r="AA1289" i="15"/>
  <c r="AB1289" i="15"/>
  <c r="AC1289" i="15"/>
  <c r="AD1289" i="15"/>
  <c r="AE1289" i="15"/>
  <c r="AF1289" i="15"/>
  <c r="AG1289" i="15"/>
  <c r="AH1289" i="15"/>
  <c r="AI1289" i="15"/>
  <c r="AJ1289" i="15"/>
  <c r="AK1289" i="15"/>
  <c r="AL1289" i="15"/>
  <c r="AM1289" i="15"/>
  <c r="AN1289" i="15"/>
  <c r="AO1289" i="15"/>
  <c r="R1290" i="15"/>
  <c r="S1290" i="15"/>
  <c r="T1290" i="15"/>
  <c r="U1290" i="15"/>
  <c r="V1290" i="15"/>
  <c r="W1290" i="15"/>
  <c r="X1290" i="15"/>
  <c r="Y1290" i="15"/>
  <c r="Z1290" i="15"/>
  <c r="AA1290" i="15"/>
  <c r="AB1290" i="15"/>
  <c r="AC1290" i="15"/>
  <c r="AD1290" i="15"/>
  <c r="AE1290" i="15"/>
  <c r="AF1290" i="15"/>
  <c r="AG1290" i="15"/>
  <c r="AH1290" i="15"/>
  <c r="AI1290" i="15"/>
  <c r="AJ1290" i="15"/>
  <c r="AK1290" i="15"/>
  <c r="AL1290" i="15"/>
  <c r="AM1290" i="15"/>
  <c r="AN1290" i="15"/>
  <c r="AO1290" i="15"/>
  <c r="R1291" i="15"/>
  <c r="S1291" i="15"/>
  <c r="T1291" i="15"/>
  <c r="U1291" i="15"/>
  <c r="V1291" i="15"/>
  <c r="W1291" i="15"/>
  <c r="X1291" i="15"/>
  <c r="Y1291" i="15"/>
  <c r="Z1291" i="15"/>
  <c r="AA1291" i="15"/>
  <c r="AB1291" i="15"/>
  <c r="AC1291" i="15"/>
  <c r="AD1291" i="15"/>
  <c r="AE1291" i="15"/>
  <c r="AF1291" i="15"/>
  <c r="AG1291" i="15"/>
  <c r="AH1291" i="15"/>
  <c r="AI1291" i="15"/>
  <c r="AJ1291" i="15"/>
  <c r="AK1291" i="15"/>
  <c r="AL1291" i="15"/>
  <c r="AM1291" i="15"/>
  <c r="AN1291" i="15"/>
  <c r="AO1291" i="15"/>
  <c r="R1292" i="15"/>
  <c r="S1292" i="15"/>
  <c r="T1292" i="15"/>
  <c r="U1292" i="15"/>
  <c r="V1292" i="15"/>
  <c r="W1292" i="15"/>
  <c r="X1292" i="15"/>
  <c r="Y1292" i="15"/>
  <c r="Z1292" i="15"/>
  <c r="AA1292" i="15"/>
  <c r="AB1292" i="15"/>
  <c r="AC1292" i="15"/>
  <c r="AD1292" i="15"/>
  <c r="AE1292" i="15"/>
  <c r="AF1292" i="15"/>
  <c r="AG1292" i="15"/>
  <c r="AH1292" i="15"/>
  <c r="AI1292" i="15"/>
  <c r="AJ1292" i="15"/>
  <c r="AK1292" i="15"/>
  <c r="AL1292" i="15"/>
  <c r="AM1292" i="15"/>
  <c r="AN1292" i="15"/>
  <c r="AO1292" i="15"/>
  <c r="R1293" i="15"/>
  <c r="S1293" i="15"/>
  <c r="T1293" i="15"/>
  <c r="U1293" i="15"/>
  <c r="V1293" i="15"/>
  <c r="W1293" i="15"/>
  <c r="X1293" i="15"/>
  <c r="Y1293" i="15"/>
  <c r="Z1293" i="15"/>
  <c r="AA1293" i="15"/>
  <c r="AB1293" i="15"/>
  <c r="AC1293" i="15"/>
  <c r="AD1293" i="15"/>
  <c r="AE1293" i="15"/>
  <c r="AF1293" i="15"/>
  <c r="AG1293" i="15"/>
  <c r="AH1293" i="15"/>
  <c r="AI1293" i="15"/>
  <c r="AJ1293" i="15"/>
  <c r="AK1293" i="15"/>
  <c r="AL1293" i="15"/>
  <c r="AM1293" i="15"/>
  <c r="AN1293" i="15"/>
  <c r="AO1293" i="15"/>
  <c r="R1294" i="15"/>
  <c r="S1294" i="15"/>
  <c r="T1294" i="15"/>
  <c r="U1294" i="15"/>
  <c r="V1294" i="15"/>
  <c r="W1294" i="15"/>
  <c r="X1294" i="15"/>
  <c r="Y1294" i="15"/>
  <c r="Z1294" i="15"/>
  <c r="AA1294" i="15"/>
  <c r="AB1294" i="15"/>
  <c r="AC1294" i="15"/>
  <c r="AD1294" i="15"/>
  <c r="AE1294" i="15"/>
  <c r="AF1294" i="15"/>
  <c r="AG1294" i="15"/>
  <c r="AH1294" i="15"/>
  <c r="AI1294" i="15"/>
  <c r="AJ1294" i="15"/>
  <c r="AK1294" i="15"/>
  <c r="AL1294" i="15"/>
  <c r="AM1294" i="15"/>
  <c r="AN1294" i="15"/>
  <c r="AO1294" i="15"/>
  <c r="R1295" i="15"/>
  <c r="S1295" i="15"/>
  <c r="T1295" i="15"/>
  <c r="U1295" i="15"/>
  <c r="V1295" i="15"/>
  <c r="W1295" i="15"/>
  <c r="X1295" i="15"/>
  <c r="Y1295" i="15"/>
  <c r="Z1295" i="15"/>
  <c r="AA1295" i="15"/>
  <c r="AB1295" i="15"/>
  <c r="AC1295" i="15"/>
  <c r="AD1295" i="15"/>
  <c r="AE1295" i="15"/>
  <c r="AF1295" i="15"/>
  <c r="AG1295" i="15"/>
  <c r="AH1295" i="15"/>
  <c r="AI1295" i="15"/>
  <c r="AJ1295" i="15"/>
  <c r="AK1295" i="15"/>
  <c r="AL1295" i="15"/>
  <c r="AM1295" i="15"/>
  <c r="AN1295" i="15"/>
  <c r="AO1295" i="15"/>
  <c r="R1296" i="15"/>
  <c r="S1296" i="15"/>
  <c r="T1296" i="15"/>
  <c r="U1296" i="15"/>
  <c r="V1296" i="15"/>
  <c r="W1296" i="15"/>
  <c r="X1296" i="15"/>
  <c r="Y1296" i="15"/>
  <c r="Z1296" i="15"/>
  <c r="AA1296" i="15"/>
  <c r="AB1296" i="15"/>
  <c r="AC1296" i="15"/>
  <c r="AD1296" i="15"/>
  <c r="AE1296" i="15"/>
  <c r="AF1296" i="15"/>
  <c r="AG1296" i="15"/>
  <c r="AH1296" i="15"/>
  <c r="AI1296" i="15"/>
  <c r="AJ1296" i="15"/>
  <c r="AK1296" i="15"/>
  <c r="AL1296" i="15"/>
  <c r="AM1296" i="15"/>
  <c r="AN1296" i="15"/>
  <c r="AO1296" i="15"/>
  <c r="R1297" i="15"/>
  <c r="S1297" i="15"/>
  <c r="T1297" i="15"/>
  <c r="U1297" i="15"/>
  <c r="V1297" i="15"/>
  <c r="W1297" i="15"/>
  <c r="X1297" i="15"/>
  <c r="Y1297" i="15"/>
  <c r="Z1297" i="15"/>
  <c r="AA1297" i="15"/>
  <c r="AB1297" i="15"/>
  <c r="AC1297" i="15"/>
  <c r="AD1297" i="15"/>
  <c r="AE1297" i="15"/>
  <c r="AF1297" i="15"/>
  <c r="AG1297" i="15"/>
  <c r="AH1297" i="15"/>
  <c r="AI1297" i="15"/>
  <c r="AJ1297" i="15"/>
  <c r="AK1297" i="15"/>
  <c r="AL1297" i="15"/>
  <c r="AM1297" i="15"/>
  <c r="AN1297" i="15"/>
  <c r="AO1297" i="15"/>
  <c r="R1298" i="15"/>
  <c r="S1298" i="15"/>
  <c r="T1298" i="15"/>
  <c r="U1298" i="15"/>
  <c r="V1298" i="15"/>
  <c r="W1298" i="15"/>
  <c r="X1298" i="15"/>
  <c r="Y1298" i="15"/>
  <c r="Z1298" i="15"/>
  <c r="AA1298" i="15"/>
  <c r="AB1298" i="15"/>
  <c r="AC1298" i="15"/>
  <c r="AD1298" i="15"/>
  <c r="AE1298" i="15"/>
  <c r="AF1298" i="15"/>
  <c r="AG1298" i="15"/>
  <c r="AH1298" i="15"/>
  <c r="AI1298" i="15"/>
  <c r="AJ1298" i="15"/>
  <c r="AK1298" i="15"/>
  <c r="AL1298" i="15"/>
  <c r="AM1298" i="15"/>
  <c r="AN1298" i="15"/>
  <c r="AO1298" i="15"/>
  <c r="R1299" i="15"/>
  <c r="S1299" i="15"/>
  <c r="T1299" i="15"/>
  <c r="U1299" i="15"/>
  <c r="V1299" i="15"/>
  <c r="W1299" i="15"/>
  <c r="X1299" i="15"/>
  <c r="Y1299" i="15"/>
  <c r="Z1299" i="15"/>
  <c r="AA1299" i="15"/>
  <c r="AB1299" i="15"/>
  <c r="AC1299" i="15"/>
  <c r="AD1299" i="15"/>
  <c r="AE1299" i="15"/>
  <c r="AF1299" i="15"/>
  <c r="AG1299" i="15"/>
  <c r="AH1299" i="15"/>
  <c r="AI1299" i="15"/>
  <c r="AJ1299" i="15"/>
  <c r="AK1299" i="15"/>
  <c r="AL1299" i="15"/>
  <c r="AM1299" i="15"/>
  <c r="AN1299" i="15"/>
  <c r="AO1299" i="15"/>
  <c r="R1300" i="15"/>
  <c r="S1300" i="15"/>
  <c r="T1300" i="15"/>
  <c r="U1300" i="15"/>
  <c r="V1300" i="15"/>
  <c r="W1300" i="15"/>
  <c r="X1300" i="15"/>
  <c r="Y1300" i="15"/>
  <c r="Z1300" i="15"/>
  <c r="AA1300" i="15"/>
  <c r="AB1300" i="15"/>
  <c r="AC1300" i="15"/>
  <c r="AD1300" i="15"/>
  <c r="AE1300" i="15"/>
  <c r="AF1300" i="15"/>
  <c r="AG1300" i="15"/>
  <c r="AH1300" i="15"/>
  <c r="AI1300" i="15"/>
  <c r="AJ1300" i="15"/>
  <c r="AK1300" i="15"/>
  <c r="AL1300" i="15"/>
  <c r="AM1300" i="15"/>
  <c r="AN1300" i="15"/>
  <c r="AO1300" i="15"/>
  <c r="R1301" i="15"/>
  <c r="S1301" i="15"/>
  <c r="T1301" i="15"/>
  <c r="U1301" i="15"/>
  <c r="V1301" i="15"/>
  <c r="W1301" i="15"/>
  <c r="X1301" i="15"/>
  <c r="Y1301" i="15"/>
  <c r="Z1301" i="15"/>
  <c r="AA1301" i="15"/>
  <c r="AB1301" i="15"/>
  <c r="AC1301" i="15"/>
  <c r="AD1301" i="15"/>
  <c r="AE1301" i="15"/>
  <c r="AF1301" i="15"/>
  <c r="AG1301" i="15"/>
  <c r="AH1301" i="15"/>
  <c r="AI1301" i="15"/>
  <c r="AJ1301" i="15"/>
  <c r="AK1301" i="15"/>
  <c r="AL1301" i="15"/>
  <c r="AM1301" i="15"/>
  <c r="AN1301" i="15"/>
  <c r="AO1301" i="15"/>
  <c r="R1302" i="15"/>
  <c r="S1302" i="15"/>
  <c r="T1302" i="15"/>
  <c r="U1302" i="15"/>
  <c r="V1302" i="15"/>
  <c r="W1302" i="15"/>
  <c r="X1302" i="15"/>
  <c r="Y1302" i="15"/>
  <c r="Z1302" i="15"/>
  <c r="AA1302" i="15"/>
  <c r="AB1302" i="15"/>
  <c r="AC1302" i="15"/>
  <c r="AD1302" i="15"/>
  <c r="AE1302" i="15"/>
  <c r="AF1302" i="15"/>
  <c r="AG1302" i="15"/>
  <c r="AH1302" i="15"/>
  <c r="AI1302" i="15"/>
  <c r="AJ1302" i="15"/>
  <c r="AK1302" i="15"/>
  <c r="AL1302" i="15"/>
  <c r="AM1302" i="15"/>
  <c r="AN1302" i="15"/>
  <c r="AO1302" i="15"/>
  <c r="R1303" i="15"/>
  <c r="S1303" i="15"/>
  <c r="T1303" i="15"/>
  <c r="U1303" i="15"/>
  <c r="V1303" i="15"/>
  <c r="W1303" i="15"/>
  <c r="X1303" i="15"/>
  <c r="Y1303" i="15"/>
  <c r="Z1303" i="15"/>
  <c r="AA1303" i="15"/>
  <c r="AB1303" i="15"/>
  <c r="AC1303" i="15"/>
  <c r="AD1303" i="15"/>
  <c r="AE1303" i="15"/>
  <c r="AF1303" i="15"/>
  <c r="AG1303" i="15"/>
  <c r="AH1303" i="15"/>
  <c r="AI1303" i="15"/>
  <c r="AJ1303" i="15"/>
  <c r="AK1303" i="15"/>
  <c r="AL1303" i="15"/>
  <c r="AM1303" i="15"/>
  <c r="AN1303" i="15"/>
  <c r="AO1303" i="15"/>
  <c r="R1304" i="15"/>
  <c r="S1304" i="15"/>
  <c r="T1304" i="15"/>
  <c r="U1304" i="15"/>
  <c r="V1304" i="15"/>
  <c r="W1304" i="15"/>
  <c r="X1304" i="15"/>
  <c r="Y1304" i="15"/>
  <c r="Z1304" i="15"/>
  <c r="AA1304" i="15"/>
  <c r="AB1304" i="15"/>
  <c r="AC1304" i="15"/>
  <c r="AD1304" i="15"/>
  <c r="AE1304" i="15"/>
  <c r="AF1304" i="15"/>
  <c r="AG1304" i="15"/>
  <c r="AH1304" i="15"/>
  <c r="AI1304" i="15"/>
  <c r="AJ1304" i="15"/>
  <c r="AK1304" i="15"/>
  <c r="AL1304" i="15"/>
  <c r="AM1304" i="15"/>
  <c r="AN1304" i="15"/>
  <c r="AO1304" i="15"/>
  <c r="R1305" i="15"/>
  <c r="S1305" i="15"/>
  <c r="T1305" i="15"/>
  <c r="U1305" i="15"/>
  <c r="V1305" i="15"/>
  <c r="W1305" i="15"/>
  <c r="X1305" i="15"/>
  <c r="Y1305" i="15"/>
  <c r="Z1305" i="15"/>
  <c r="AA1305" i="15"/>
  <c r="AB1305" i="15"/>
  <c r="AC1305" i="15"/>
  <c r="AD1305" i="15"/>
  <c r="AE1305" i="15"/>
  <c r="AF1305" i="15"/>
  <c r="AG1305" i="15"/>
  <c r="AH1305" i="15"/>
  <c r="AI1305" i="15"/>
  <c r="AJ1305" i="15"/>
  <c r="AK1305" i="15"/>
  <c r="AL1305" i="15"/>
  <c r="AM1305" i="15"/>
  <c r="AN1305" i="15"/>
  <c r="AO1305" i="15"/>
  <c r="R1306" i="15"/>
  <c r="S1306" i="15"/>
  <c r="T1306" i="15"/>
  <c r="U1306" i="15"/>
  <c r="V1306" i="15"/>
  <c r="W1306" i="15"/>
  <c r="X1306" i="15"/>
  <c r="Y1306" i="15"/>
  <c r="Z1306" i="15"/>
  <c r="AA1306" i="15"/>
  <c r="AB1306" i="15"/>
  <c r="AC1306" i="15"/>
  <c r="AD1306" i="15"/>
  <c r="AE1306" i="15"/>
  <c r="AF1306" i="15"/>
  <c r="AG1306" i="15"/>
  <c r="AH1306" i="15"/>
  <c r="AI1306" i="15"/>
  <c r="AJ1306" i="15"/>
  <c r="AK1306" i="15"/>
  <c r="AL1306" i="15"/>
  <c r="AM1306" i="15"/>
  <c r="AN1306" i="15"/>
  <c r="AO1306" i="15"/>
  <c r="R1307" i="15"/>
  <c r="S1307" i="15"/>
  <c r="T1307" i="15"/>
  <c r="U1307" i="15"/>
  <c r="V1307" i="15"/>
  <c r="W1307" i="15"/>
  <c r="X1307" i="15"/>
  <c r="Y1307" i="15"/>
  <c r="Z1307" i="15"/>
  <c r="AA1307" i="15"/>
  <c r="AB1307" i="15"/>
  <c r="AC1307" i="15"/>
  <c r="AD1307" i="15"/>
  <c r="AE1307" i="15"/>
  <c r="AF1307" i="15"/>
  <c r="AG1307" i="15"/>
  <c r="AH1307" i="15"/>
  <c r="AI1307" i="15"/>
  <c r="AJ1307" i="15"/>
  <c r="AK1307" i="15"/>
  <c r="AL1307" i="15"/>
  <c r="AM1307" i="15"/>
  <c r="AN1307" i="15"/>
  <c r="AO1307" i="15"/>
  <c r="R1308" i="15"/>
  <c r="S1308" i="15"/>
  <c r="T1308" i="15"/>
  <c r="U1308" i="15"/>
  <c r="V1308" i="15"/>
  <c r="W1308" i="15"/>
  <c r="X1308" i="15"/>
  <c r="Y1308" i="15"/>
  <c r="Z1308" i="15"/>
  <c r="AA1308" i="15"/>
  <c r="AB1308" i="15"/>
  <c r="AC1308" i="15"/>
  <c r="AD1308" i="15"/>
  <c r="AE1308" i="15"/>
  <c r="AF1308" i="15"/>
  <c r="AG1308" i="15"/>
  <c r="AH1308" i="15"/>
  <c r="AI1308" i="15"/>
  <c r="AJ1308" i="15"/>
  <c r="AK1308" i="15"/>
  <c r="AL1308" i="15"/>
  <c r="AM1308" i="15"/>
  <c r="AN1308" i="15"/>
  <c r="AO1308" i="15"/>
  <c r="R1309" i="15"/>
  <c r="S1309" i="15"/>
  <c r="T1309" i="15"/>
  <c r="U1309" i="15"/>
  <c r="V1309" i="15"/>
  <c r="W1309" i="15"/>
  <c r="X1309" i="15"/>
  <c r="Y1309" i="15"/>
  <c r="Z1309" i="15"/>
  <c r="AA1309" i="15"/>
  <c r="AB1309" i="15"/>
  <c r="AC1309" i="15"/>
  <c r="AD1309" i="15"/>
  <c r="AE1309" i="15"/>
  <c r="AF1309" i="15"/>
  <c r="AG1309" i="15"/>
  <c r="AH1309" i="15"/>
  <c r="AI1309" i="15"/>
  <c r="AJ1309" i="15"/>
  <c r="AK1309" i="15"/>
  <c r="AL1309" i="15"/>
  <c r="AM1309" i="15"/>
  <c r="AN1309" i="15"/>
  <c r="AO1309" i="15"/>
  <c r="R1310" i="15"/>
  <c r="S1310" i="15"/>
  <c r="T1310" i="15"/>
  <c r="U1310" i="15"/>
  <c r="V1310" i="15"/>
  <c r="W1310" i="15"/>
  <c r="X1310" i="15"/>
  <c r="Y1310" i="15"/>
  <c r="Z1310" i="15"/>
  <c r="AA1310" i="15"/>
  <c r="AB1310" i="15"/>
  <c r="AC1310" i="15"/>
  <c r="AD1310" i="15"/>
  <c r="AE1310" i="15"/>
  <c r="AF1310" i="15"/>
  <c r="AG1310" i="15"/>
  <c r="AH1310" i="15"/>
  <c r="AI1310" i="15"/>
  <c r="AJ1310" i="15"/>
  <c r="AK1310" i="15"/>
  <c r="AL1310" i="15"/>
  <c r="AM1310" i="15"/>
  <c r="AN1310" i="15"/>
  <c r="AO1310" i="15"/>
  <c r="R1311" i="15"/>
  <c r="S1311" i="15"/>
  <c r="T1311" i="15"/>
  <c r="U1311" i="15"/>
  <c r="V1311" i="15"/>
  <c r="W1311" i="15"/>
  <c r="X1311" i="15"/>
  <c r="Y1311" i="15"/>
  <c r="Z1311" i="15"/>
  <c r="AA1311" i="15"/>
  <c r="AB1311" i="15"/>
  <c r="AC1311" i="15"/>
  <c r="AD1311" i="15"/>
  <c r="AE1311" i="15"/>
  <c r="AF1311" i="15"/>
  <c r="AG1311" i="15"/>
  <c r="AH1311" i="15"/>
  <c r="AI1311" i="15"/>
  <c r="AJ1311" i="15"/>
  <c r="AK1311" i="15"/>
  <c r="AL1311" i="15"/>
  <c r="AM1311" i="15"/>
  <c r="AN1311" i="15"/>
  <c r="AO1311" i="15"/>
  <c r="R1312" i="15"/>
  <c r="S1312" i="15"/>
  <c r="T1312" i="15"/>
  <c r="U1312" i="15"/>
  <c r="V1312" i="15"/>
  <c r="W1312" i="15"/>
  <c r="X1312" i="15"/>
  <c r="Y1312" i="15"/>
  <c r="Z1312" i="15"/>
  <c r="AA1312" i="15"/>
  <c r="AB1312" i="15"/>
  <c r="AC1312" i="15"/>
  <c r="AD1312" i="15"/>
  <c r="AE1312" i="15"/>
  <c r="AF1312" i="15"/>
  <c r="AG1312" i="15"/>
  <c r="AH1312" i="15"/>
  <c r="AI1312" i="15"/>
  <c r="AJ1312" i="15"/>
  <c r="AK1312" i="15"/>
  <c r="AL1312" i="15"/>
  <c r="AM1312" i="15"/>
  <c r="AN1312" i="15"/>
  <c r="AO1312" i="15"/>
  <c r="R1313" i="15"/>
  <c r="S1313" i="15"/>
  <c r="T1313" i="15"/>
  <c r="U1313" i="15"/>
  <c r="V1313" i="15"/>
  <c r="W1313" i="15"/>
  <c r="X1313" i="15"/>
  <c r="Y1313" i="15"/>
  <c r="Z1313" i="15"/>
  <c r="AA1313" i="15"/>
  <c r="AB1313" i="15"/>
  <c r="AC1313" i="15"/>
  <c r="AD1313" i="15"/>
  <c r="AE1313" i="15"/>
  <c r="AF1313" i="15"/>
  <c r="AG1313" i="15"/>
  <c r="AH1313" i="15"/>
  <c r="AI1313" i="15"/>
  <c r="AJ1313" i="15"/>
  <c r="AK1313" i="15"/>
  <c r="AL1313" i="15"/>
  <c r="AM1313" i="15"/>
  <c r="AN1313" i="15"/>
  <c r="AO1313" i="15"/>
  <c r="R1314" i="15"/>
  <c r="S1314" i="15"/>
  <c r="T1314" i="15"/>
  <c r="U1314" i="15"/>
  <c r="V1314" i="15"/>
  <c r="W1314" i="15"/>
  <c r="X1314" i="15"/>
  <c r="Y1314" i="15"/>
  <c r="Z1314" i="15"/>
  <c r="AA1314" i="15"/>
  <c r="AB1314" i="15"/>
  <c r="AC1314" i="15"/>
  <c r="AD1314" i="15"/>
  <c r="AE1314" i="15"/>
  <c r="AF1314" i="15"/>
  <c r="AG1314" i="15"/>
  <c r="AH1314" i="15"/>
  <c r="AI1314" i="15"/>
  <c r="AJ1314" i="15"/>
  <c r="AK1314" i="15"/>
  <c r="AL1314" i="15"/>
  <c r="AM1314" i="15"/>
  <c r="AN1314" i="15"/>
  <c r="AO1314" i="15"/>
  <c r="R1315" i="15"/>
  <c r="S1315" i="15"/>
  <c r="T1315" i="15"/>
  <c r="U1315" i="15"/>
  <c r="V1315" i="15"/>
  <c r="W1315" i="15"/>
  <c r="X1315" i="15"/>
  <c r="Y1315" i="15"/>
  <c r="Z1315" i="15"/>
  <c r="AA1315" i="15"/>
  <c r="AB1315" i="15"/>
  <c r="AC1315" i="15"/>
  <c r="AD1315" i="15"/>
  <c r="AE1315" i="15"/>
  <c r="AF1315" i="15"/>
  <c r="AG1315" i="15"/>
  <c r="AH1315" i="15"/>
  <c r="AI1315" i="15"/>
  <c r="AJ1315" i="15"/>
  <c r="AK1315" i="15"/>
  <c r="AL1315" i="15"/>
  <c r="AM1315" i="15"/>
  <c r="AN1315" i="15"/>
  <c r="AO1315" i="15"/>
  <c r="R1316" i="15"/>
  <c r="S1316" i="15"/>
  <c r="T1316" i="15"/>
  <c r="U1316" i="15"/>
  <c r="V1316" i="15"/>
  <c r="W1316" i="15"/>
  <c r="X1316" i="15"/>
  <c r="Y1316" i="15"/>
  <c r="Z1316" i="15"/>
  <c r="AA1316" i="15"/>
  <c r="AB1316" i="15"/>
  <c r="AC1316" i="15"/>
  <c r="AD1316" i="15"/>
  <c r="AE1316" i="15"/>
  <c r="AF1316" i="15"/>
  <c r="AG1316" i="15"/>
  <c r="AH1316" i="15"/>
  <c r="AI1316" i="15"/>
  <c r="AJ1316" i="15"/>
  <c r="AK1316" i="15"/>
  <c r="AL1316" i="15"/>
  <c r="AM1316" i="15"/>
  <c r="AN1316" i="15"/>
  <c r="AO1316" i="15"/>
  <c r="R1317" i="15"/>
  <c r="S1317" i="15"/>
  <c r="T1317" i="15"/>
  <c r="U1317" i="15"/>
  <c r="V1317" i="15"/>
  <c r="W1317" i="15"/>
  <c r="X1317" i="15"/>
  <c r="Y1317" i="15"/>
  <c r="Z1317" i="15"/>
  <c r="AA1317" i="15"/>
  <c r="AB1317" i="15"/>
  <c r="AC1317" i="15"/>
  <c r="AD1317" i="15"/>
  <c r="AE1317" i="15"/>
  <c r="AF1317" i="15"/>
  <c r="AG1317" i="15"/>
  <c r="AH1317" i="15"/>
  <c r="AI1317" i="15"/>
  <c r="AJ1317" i="15"/>
  <c r="AK1317" i="15"/>
  <c r="AL1317" i="15"/>
  <c r="AM1317" i="15"/>
  <c r="AN1317" i="15"/>
  <c r="AO1317" i="15"/>
  <c r="R1318" i="15"/>
  <c r="S1318" i="15"/>
  <c r="T1318" i="15"/>
  <c r="U1318" i="15"/>
  <c r="V1318" i="15"/>
  <c r="W1318" i="15"/>
  <c r="X1318" i="15"/>
  <c r="Y1318" i="15"/>
  <c r="Z1318" i="15"/>
  <c r="AA1318" i="15"/>
  <c r="AB1318" i="15"/>
  <c r="AC1318" i="15"/>
  <c r="AD1318" i="15"/>
  <c r="AE1318" i="15"/>
  <c r="AF1318" i="15"/>
  <c r="AG1318" i="15"/>
  <c r="AH1318" i="15"/>
  <c r="AI1318" i="15"/>
  <c r="AJ1318" i="15"/>
  <c r="AK1318" i="15"/>
  <c r="AL1318" i="15"/>
  <c r="AM1318" i="15"/>
  <c r="AN1318" i="15"/>
  <c r="AO1318" i="15"/>
  <c r="R1319" i="15"/>
  <c r="S1319" i="15"/>
  <c r="T1319" i="15"/>
  <c r="U1319" i="15"/>
  <c r="V1319" i="15"/>
  <c r="W1319" i="15"/>
  <c r="X1319" i="15"/>
  <c r="Y1319" i="15"/>
  <c r="Z1319" i="15"/>
  <c r="AA1319" i="15"/>
  <c r="AB1319" i="15"/>
  <c r="AC1319" i="15"/>
  <c r="AD1319" i="15"/>
  <c r="AE1319" i="15"/>
  <c r="AF1319" i="15"/>
  <c r="AG1319" i="15"/>
  <c r="AH1319" i="15"/>
  <c r="AI1319" i="15"/>
  <c r="AJ1319" i="15"/>
  <c r="AK1319" i="15"/>
  <c r="AL1319" i="15"/>
  <c r="AM1319" i="15"/>
  <c r="AN1319" i="15"/>
  <c r="AO1319" i="15"/>
  <c r="R1320" i="15"/>
  <c r="S1320" i="15"/>
  <c r="T1320" i="15"/>
  <c r="U1320" i="15"/>
  <c r="V1320" i="15"/>
  <c r="W1320" i="15"/>
  <c r="X1320" i="15"/>
  <c r="Y1320" i="15"/>
  <c r="Z1320" i="15"/>
  <c r="AA1320" i="15"/>
  <c r="AB1320" i="15"/>
  <c r="AC1320" i="15"/>
  <c r="AD1320" i="15"/>
  <c r="AE1320" i="15"/>
  <c r="AF1320" i="15"/>
  <c r="AG1320" i="15"/>
  <c r="AH1320" i="15"/>
  <c r="AI1320" i="15"/>
  <c r="AJ1320" i="15"/>
  <c r="AK1320" i="15"/>
  <c r="AL1320" i="15"/>
  <c r="AM1320" i="15"/>
  <c r="AN1320" i="15"/>
  <c r="AO1320" i="15"/>
  <c r="R1321" i="15"/>
  <c r="S1321" i="15"/>
  <c r="T1321" i="15"/>
  <c r="U1321" i="15"/>
  <c r="V1321" i="15"/>
  <c r="W1321" i="15"/>
  <c r="X1321" i="15"/>
  <c r="Y1321" i="15"/>
  <c r="Z1321" i="15"/>
  <c r="AA1321" i="15"/>
  <c r="AB1321" i="15"/>
  <c r="AC1321" i="15"/>
  <c r="AD1321" i="15"/>
  <c r="AE1321" i="15"/>
  <c r="AF1321" i="15"/>
  <c r="AG1321" i="15"/>
  <c r="AH1321" i="15"/>
  <c r="AI1321" i="15"/>
  <c r="AJ1321" i="15"/>
  <c r="AK1321" i="15"/>
  <c r="AL1321" i="15"/>
  <c r="AM1321" i="15"/>
  <c r="AN1321" i="15"/>
  <c r="AO1321" i="15"/>
  <c r="R1322" i="15"/>
  <c r="S1322" i="15"/>
  <c r="T1322" i="15"/>
  <c r="U1322" i="15"/>
  <c r="V1322" i="15"/>
  <c r="W1322" i="15"/>
  <c r="X1322" i="15"/>
  <c r="Y1322" i="15"/>
  <c r="Z1322" i="15"/>
  <c r="AA1322" i="15"/>
  <c r="AB1322" i="15"/>
  <c r="AC1322" i="15"/>
  <c r="AD1322" i="15"/>
  <c r="AE1322" i="15"/>
  <c r="AF1322" i="15"/>
  <c r="AG1322" i="15"/>
  <c r="AH1322" i="15"/>
  <c r="AI1322" i="15"/>
  <c r="AJ1322" i="15"/>
  <c r="AK1322" i="15"/>
  <c r="AL1322" i="15"/>
  <c r="AM1322" i="15"/>
  <c r="AN1322" i="15"/>
  <c r="AO1322" i="15"/>
  <c r="R1323" i="15"/>
  <c r="S1323" i="15"/>
  <c r="T1323" i="15"/>
  <c r="U1323" i="15"/>
  <c r="V1323" i="15"/>
  <c r="W1323" i="15"/>
  <c r="X1323" i="15"/>
  <c r="Y1323" i="15"/>
  <c r="Z1323" i="15"/>
  <c r="AA1323" i="15"/>
  <c r="AB1323" i="15"/>
  <c r="AC1323" i="15"/>
  <c r="AD1323" i="15"/>
  <c r="AE1323" i="15"/>
  <c r="AF1323" i="15"/>
  <c r="AG1323" i="15"/>
  <c r="AH1323" i="15"/>
  <c r="AI1323" i="15"/>
  <c r="AJ1323" i="15"/>
  <c r="AK1323" i="15"/>
  <c r="AL1323" i="15"/>
  <c r="AM1323" i="15"/>
  <c r="AN1323" i="15"/>
  <c r="AO1323" i="15"/>
  <c r="R1324" i="15"/>
  <c r="S1324" i="15"/>
  <c r="T1324" i="15"/>
  <c r="U1324" i="15"/>
  <c r="V1324" i="15"/>
  <c r="W1324" i="15"/>
  <c r="X1324" i="15"/>
  <c r="Y1324" i="15"/>
  <c r="Z1324" i="15"/>
  <c r="AA1324" i="15"/>
  <c r="AB1324" i="15"/>
  <c r="AC1324" i="15"/>
  <c r="AD1324" i="15"/>
  <c r="AE1324" i="15"/>
  <c r="AF1324" i="15"/>
  <c r="AG1324" i="15"/>
  <c r="AH1324" i="15"/>
  <c r="AI1324" i="15"/>
  <c r="AJ1324" i="15"/>
  <c r="AK1324" i="15"/>
  <c r="AL1324" i="15"/>
  <c r="AM1324" i="15"/>
  <c r="AN1324" i="15"/>
  <c r="AO1324" i="15"/>
  <c r="R1325" i="15"/>
  <c r="S1325" i="15"/>
  <c r="T1325" i="15"/>
  <c r="U1325" i="15"/>
  <c r="V1325" i="15"/>
  <c r="W1325" i="15"/>
  <c r="X1325" i="15"/>
  <c r="Y1325" i="15"/>
  <c r="Z1325" i="15"/>
  <c r="AA1325" i="15"/>
  <c r="AB1325" i="15"/>
  <c r="AC1325" i="15"/>
  <c r="AD1325" i="15"/>
  <c r="AE1325" i="15"/>
  <c r="AF1325" i="15"/>
  <c r="AG1325" i="15"/>
  <c r="AH1325" i="15"/>
  <c r="AI1325" i="15"/>
  <c r="AJ1325" i="15"/>
  <c r="AK1325" i="15"/>
  <c r="AL1325" i="15"/>
  <c r="AM1325" i="15"/>
  <c r="AN1325" i="15"/>
  <c r="AO1325" i="15"/>
  <c r="R1326" i="15"/>
  <c r="S1326" i="15"/>
  <c r="T1326" i="15"/>
  <c r="U1326" i="15"/>
  <c r="V1326" i="15"/>
  <c r="W1326" i="15"/>
  <c r="X1326" i="15"/>
  <c r="Y1326" i="15"/>
  <c r="Z1326" i="15"/>
  <c r="AA1326" i="15"/>
  <c r="AB1326" i="15"/>
  <c r="AC1326" i="15"/>
  <c r="AD1326" i="15"/>
  <c r="AE1326" i="15"/>
  <c r="AF1326" i="15"/>
  <c r="AG1326" i="15"/>
  <c r="AH1326" i="15"/>
  <c r="AI1326" i="15"/>
  <c r="AJ1326" i="15"/>
  <c r="AK1326" i="15"/>
  <c r="AL1326" i="15"/>
  <c r="AM1326" i="15"/>
  <c r="AN1326" i="15"/>
  <c r="AO1326" i="15"/>
  <c r="R1327" i="15"/>
  <c r="S1327" i="15"/>
  <c r="T1327" i="15"/>
  <c r="U1327" i="15"/>
  <c r="V1327" i="15"/>
  <c r="W1327" i="15"/>
  <c r="X1327" i="15"/>
  <c r="Y1327" i="15"/>
  <c r="Z1327" i="15"/>
  <c r="AA1327" i="15"/>
  <c r="AB1327" i="15"/>
  <c r="AC1327" i="15"/>
  <c r="AD1327" i="15"/>
  <c r="AE1327" i="15"/>
  <c r="AF1327" i="15"/>
  <c r="AG1327" i="15"/>
  <c r="AH1327" i="15"/>
  <c r="AI1327" i="15"/>
  <c r="AJ1327" i="15"/>
  <c r="AK1327" i="15"/>
  <c r="AL1327" i="15"/>
  <c r="AM1327" i="15"/>
  <c r="AN1327" i="15"/>
  <c r="AO1327" i="15"/>
  <c r="R1328" i="15"/>
  <c r="S1328" i="15"/>
  <c r="T1328" i="15"/>
  <c r="U1328" i="15"/>
  <c r="V1328" i="15"/>
  <c r="W1328" i="15"/>
  <c r="X1328" i="15"/>
  <c r="Y1328" i="15"/>
  <c r="Z1328" i="15"/>
  <c r="AA1328" i="15"/>
  <c r="AB1328" i="15"/>
  <c r="AC1328" i="15"/>
  <c r="AD1328" i="15"/>
  <c r="AE1328" i="15"/>
  <c r="AF1328" i="15"/>
  <c r="AG1328" i="15"/>
  <c r="AH1328" i="15"/>
  <c r="AI1328" i="15"/>
  <c r="AJ1328" i="15"/>
  <c r="AK1328" i="15"/>
  <c r="AL1328" i="15"/>
  <c r="AM1328" i="15"/>
  <c r="AN1328" i="15"/>
  <c r="AO1328" i="15"/>
  <c r="R1329" i="15"/>
  <c r="S1329" i="15"/>
  <c r="T1329" i="15"/>
  <c r="U1329" i="15"/>
  <c r="V1329" i="15"/>
  <c r="W1329" i="15"/>
  <c r="X1329" i="15"/>
  <c r="Y1329" i="15"/>
  <c r="Z1329" i="15"/>
  <c r="AA1329" i="15"/>
  <c r="AB1329" i="15"/>
  <c r="AC1329" i="15"/>
  <c r="AD1329" i="15"/>
  <c r="AE1329" i="15"/>
  <c r="AF1329" i="15"/>
  <c r="AG1329" i="15"/>
  <c r="AH1329" i="15"/>
  <c r="AI1329" i="15"/>
  <c r="AJ1329" i="15"/>
  <c r="AK1329" i="15"/>
  <c r="AL1329" i="15"/>
  <c r="AM1329" i="15"/>
  <c r="AN1329" i="15"/>
  <c r="AO1329" i="15"/>
  <c r="R1330" i="15"/>
  <c r="S1330" i="15"/>
  <c r="T1330" i="15"/>
  <c r="U1330" i="15"/>
  <c r="V1330" i="15"/>
  <c r="W1330" i="15"/>
  <c r="X1330" i="15"/>
  <c r="Y1330" i="15"/>
  <c r="Z1330" i="15"/>
  <c r="AA1330" i="15"/>
  <c r="AB1330" i="15"/>
  <c r="AC1330" i="15"/>
  <c r="AD1330" i="15"/>
  <c r="AE1330" i="15"/>
  <c r="AF1330" i="15"/>
  <c r="AG1330" i="15"/>
  <c r="AH1330" i="15"/>
  <c r="AI1330" i="15"/>
  <c r="AJ1330" i="15"/>
  <c r="AK1330" i="15"/>
  <c r="AL1330" i="15"/>
  <c r="AM1330" i="15"/>
  <c r="AN1330" i="15"/>
  <c r="AO1330" i="15"/>
  <c r="R1331" i="15"/>
  <c r="S1331" i="15"/>
  <c r="T1331" i="15"/>
  <c r="U1331" i="15"/>
  <c r="V1331" i="15"/>
  <c r="W1331" i="15"/>
  <c r="X1331" i="15"/>
  <c r="Y1331" i="15"/>
  <c r="Z1331" i="15"/>
  <c r="AA1331" i="15"/>
  <c r="AB1331" i="15"/>
  <c r="AC1331" i="15"/>
  <c r="AD1331" i="15"/>
  <c r="AE1331" i="15"/>
  <c r="AF1331" i="15"/>
  <c r="AG1331" i="15"/>
  <c r="AH1331" i="15"/>
  <c r="AI1331" i="15"/>
  <c r="AJ1331" i="15"/>
  <c r="AK1331" i="15"/>
  <c r="AL1331" i="15"/>
  <c r="AM1331" i="15"/>
  <c r="AN1331" i="15"/>
  <c r="AO1331" i="15"/>
  <c r="R1332" i="15"/>
  <c r="S1332" i="15"/>
  <c r="T1332" i="15"/>
  <c r="U1332" i="15"/>
  <c r="V1332" i="15"/>
  <c r="W1332" i="15"/>
  <c r="X1332" i="15"/>
  <c r="Y1332" i="15"/>
  <c r="Z1332" i="15"/>
  <c r="AA1332" i="15"/>
  <c r="AB1332" i="15"/>
  <c r="AC1332" i="15"/>
  <c r="AD1332" i="15"/>
  <c r="AE1332" i="15"/>
  <c r="AF1332" i="15"/>
  <c r="AG1332" i="15"/>
  <c r="AH1332" i="15"/>
  <c r="AI1332" i="15"/>
  <c r="AJ1332" i="15"/>
  <c r="AK1332" i="15"/>
  <c r="AL1332" i="15"/>
  <c r="AM1332" i="15"/>
  <c r="AN1332" i="15"/>
  <c r="AO1332" i="15"/>
  <c r="R1333" i="15"/>
  <c r="S1333" i="15"/>
  <c r="T1333" i="15"/>
  <c r="U1333" i="15"/>
  <c r="V1333" i="15"/>
  <c r="W1333" i="15"/>
  <c r="X1333" i="15"/>
  <c r="Y1333" i="15"/>
  <c r="Z1333" i="15"/>
  <c r="AA1333" i="15"/>
  <c r="AB1333" i="15"/>
  <c r="AC1333" i="15"/>
  <c r="AD1333" i="15"/>
  <c r="AE1333" i="15"/>
  <c r="AF1333" i="15"/>
  <c r="AG1333" i="15"/>
  <c r="AH1333" i="15"/>
  <c r="AI1333" i="15"/>
  <c r="AJ1333" i="15"/>
  <c r="AK1333" i="15"/>
  <c r="AL1333" i="15"/>
  <c r="AM1333" i="15"/>
  <c r="AN1333" i="15"/>
  <c r="AO1333" i="15"/>
  <c r="R1334" i="15"/>
  <c r="S1334" i="15"/>
  <c r="T1334" i="15"/>
  <c r="U1334" i="15"/>
  <c r="V1334" i="15"/>
  <c r="W1334" i="15"/>
  <c r="X1334" i="15"/>
  <c r="Y1334" i="15"/>
  <c r="Z1334" i="15"/>
  <c r="AA1334" i="15"/>
  <c r="AB1334" i="15"/>
  <c r="AC1334" i="15"/>
  <c r="AD1334" i="15"/>
  <c r="AE1334" i="15"/>
  <c r="AF1334" i="15"/>
  <c r="AG1334" i="15"/>
  <c r="AH1334" i="15"/>
  <c r="AI1334" i="15"/>
  <c r="AJ1334" i="15"/>
  <c r="AK1334" i="15"/>
  <c r="AL1334" i="15"/>
  <c r="AM1334" i="15"/>
  <c r="AN1334" i="15"/>
  <c r="AO1334" i="15"/>
  <c r="R1335" i="15"/>
  <c r="S1335" i="15"/>
  <c r="T1335" i="15"/>
  <c r="U1335" i="15"/>
  <c r="V1335" i="15"/>
  <c r="W1335" i="15"/>
  <c r="X1335" i="15"/>
  <c r="Y1335" i="15"/>
  <c r="Z1335" i="15"/>
  <c r="AA1335" i="15"/>
  <c r="AB1335" i="15"/>
  <c r="AC1335" i="15"/>
  <c r="AD1335" i="15"/>
  <c r="AE1335" i="15"/>
  <c r="AF1335" i="15"/>
  <c r="AG1335" i="15"/>
  <c r="AH1335" i="15"/>
  <c r="AI1335" i="15"/>
  <c r="AJ1335" i="15"/>
  <c r="AK1335" i="15"/>
  <c r="AL1335" i="15"/>
  <c r="AM1335" i="15"/>
  <c r="AN1335" i="15"/>
  <c r="AO1335" i="15"/>
  <c r="R1336" i="15"/>
  <c r="S1336" i="15"/>
  <c r="T1336" i="15"/>
  <c r="U1336" i="15"/>
  <c r="V1336" i="15"/>
  <c r="W1336" i="15"/>
  <c r="X1336" i="15"/>
  <c r="Y1336" i="15"/>
  <c r="Z1336" i="15"/>
  <c r="AA1336" i="15"/>
  <c r="AB1336" i="15"/>
  <c r="AC1336" i="15"/>
  <c r="AD1336" i="15"/>
  <c r="AE1336" i="15"/>
  <c r="AF1336" i="15"/>
  <c r="AG1336" i="15"/>
  <c r="AH1336" i="15"/>
  <c r="AI1336" i="15"/>
  <c r="AJ1336" i="15"/>
  <c r="AK1336" i="15"/>
  <c r="AL1336" i="15"/>
  <c r="AM1336" i="15"/>
  <c r="AN1336" i="15"/>
  <c r="AO1336" i="15"/>
  <c r="R1337" i="15"/>
  <c r="S1337" i="15"/>
  <c r="T1337" i="15"/>
  <c r="U1337" i="15"/>
  <c r="V1337" i="15"/>
  <c r="W1337" i="15"/>
  <c r="X1337" i="15"/>
  <c r="Y1337" i="15"/>
  <c r="Z1337" i="15"/>
  <c r="AA1337" i="15"/>
  <c r="AB1337" i="15"/>
  <c r="AC1337" i="15"/>
  <c r="AD1337" i="15"/>
  <c r="AE1337" i="15"/>
  <c r="AF1337" i="15"/>
  <c r="AG1337" i="15"/>
  <c r="AH1337" i="15"/>
  <c r="AI1337" i="15"/>
  <c r="AJ1337" i="15"/>
  <c r="AK1337" i="15"/>
  <c r="AL1337" i="15"/>
  <c r="AM1337" i="15"/>
  <c r="AN1337" i="15"/>
  <c r="AO1337" i="15"/>
  <c r="R1338" i="15"/>
  <c r="S1338" i="15"/>
  <c r="T1338" i="15"/>
  <c r="U1338" i="15"/>
  <c r="V1338" i="15"/>
  <c r="W1338" i="15"/>
  <c r="X1338" i="15"/>
  <c r="Y1338" i="15"/>
  <c r="Z1338" i="15"/>
  <c r="AA1338" i="15"/>
  <c r="AB1338" i="15"/>
  <c r="AC1338" i="15"/>
  <c r="AD1338" i="15"/>
  <c r="AE1338" i="15"/>
  <c r="AF1338" i="15"/>
  <c r="AG1338" i="15"/>
  <c r="AH1338" i="15"/>
  <c r="AI1338" i="15"/>
  <c r="AJ1338" i="15"/>
  <c r="AK1338" i="15"/>
  <c r="AL1338" i="15"/>
  <c r="AM1338" i="15"/>
  <c r="AN1338" i="15"/>
  <c r="AO1338" i="15"/>
  <c r="R1339" i="15"/>
  <c r="S1339" i="15"/>
  <c r="T1339" i="15"/>
  <c r="U1339" i="15"/>
  <c r="V1339" i="15"/>
  <c r="W1339" i="15"/>
  <c r="X1339" i="15"/>
  <c r="Y1339" i="15"/>
  <c r="Z1339" i="15"/>
  <c r="AA1339" i="15"/>
  <c r="AB1339" i="15"/>
  <c r="AC1339" i="15"/>
  <c r="AD1339" i="15"/>
  <c r="AE1339" i="15"/>
  <c r="AF1339" i="15"/>
  <c r="AG1339" i="15"/>
  <c r="AH1339" i="15"/>
  <c r="AI1339" i="15"/>
  <c r="AJ1339" i="15"/>
  <c r="AK1339" i="15"/>
  <c r="AL1339" i="15"/>
  <c r="AM1339" i="15"/>
  <c r="AN1339" i="15"/>
  <c r="AO1339" i="15"/>
  <c r="R1340" i="15"/>
  <c r="S1340" i="15"/>
  <c r="T1340" i="15"/>
  <c r="U1340" i="15"/>
  <c r="V1340" i="15"/>
  <c r="W1340" i="15"/>
  <c r="X1340" i="15"/>
  <c r="Y1340" i="15"/>
  <c r="Z1340" i="15"/>
  <c r="AA1340" i="15"/>
  <c r="AB1340" i="15"/>
  <c r="AC1340" i="15"/>
  <c r="AD1340" i="15"/>
  <c r="AE1340" i="15"/>
  <c r="AF1340" i="15"/>
  <c r="AG1340" i="15"/>
  <c r="AH1340" i="15"/>
  <c r="AI1340" i="15"/>
  <c r="AJ1340" i="15"/>
  <c r="AK1340" i="15"/>
  <c r="AL1340" i="15"/>
  <c r="AM1340" i="15"/>
  <c r="AN1340" i="15"/>
  <c r="AO1340" i="15"/>
  <c r="R1341" i="15"/>
  <c r="S1341" i="15"/>
  <c r="T1341" i="15"/>
  <c r="U1341" i="15"/>
  <c r="V1341" i="15"/>
  <c r="W1341" i="15"/>
  <c r="X1341" i="15"/>
  <c r="Y1341" i="15"/>
  <c r="Z1341" i="15"/>
  <c r="AA1341" i="15"/>
  <c r="AB1341" i="15"/>
  <c r="AC1341" i="15"/>
  <c r="AD1341" i="15"/>
  <c r="AE1341" i="15"/>
  <c r="AF1341" i="15"/>
  <c r="AG1341" i="15"/>
  <c r="AH1341" i="15"/>
  <c r="AI1341" i="15"/>
  <c r="AJ1341" i="15"/>
  <c r="AK1341" i="15"/>
  <c r="AL1341" i="15"/>
  <c r="AM1341" i="15"/>
  <c r="AN1341" i="15"/>
  <c r="AO1341" i="15"/>
  <c r="R1342" i="15"/>
  <c r="S1342" i="15"/>
  <c r="T1342" i="15"/>
  <c r="U1342" i="15"/>
  <c r="V1342" i="15"/>
  <c r="W1342" i="15"/>
  <c r="X1342" i="15"/>
  <c r="Y1342" i="15"/>
  <c r="Z1342" i="15"/>
  <c r="AA1342" i="15"/>
  <c r="AB1342" i="15"/>
  <c r="AC1342" i="15"/>
  <c r="AD1342" i="15"/>
  <c r="AE1342" i="15"/>
  <c r="AF1342" i="15"/>
  <c r="AG1342" i="15"/>
  <c r="AH1342" i="15"/>
  <c r="AI1342" i="15"/>
  <c r="AJ1342" i="15"/>
  <c r="AK1342" i="15"/>
  <c r="AL1342" i="15"/>
  <c r="AM1342" i="15"/>
  <c r="AN1342" i="15"/>
  <c r="AO1342" i="15"/>
  <c r="R1343" i="15"/>
  <c r="S1343" i="15"/>
  <c r="T1343" i="15"/>
  <c r="U1343" i="15"/>
  <c r="V1343" i="15"/>
  <c r="W1343" i="15"/>
  <c r="X1343" i="15"/>
  <c r="Y1343" i="15"/>
  <c r="Z1343" i="15"/>
  <c r="AA1343" i="15"/>
  <c r="AB1343" i="15"/>
  <c r="AC1343" i="15"/>
  <c r="AD1343" i="15"/>
  <c r="AE1343" i="15"/>
  <c r="AF1343" i="15"/>
  <c r="AG1343" i="15"/>
  <c r="AH1343" i="15"/>
  <c r="AI1343" i="15"/>
  <c r="AJ1343" i="15"/>
  <c r="AK1343" i="15"/>
  <c r="AL1343" i="15"/>
  <c r="AM1343" i="15"/>
  <c r="AN1343" i="15"/>
  <c r="AO1343" i="15"/>
  <c r="R1344" i="15"/>
  <c r="S1344" i="15"/>
  <c r="T1344" i="15"/>
  <c r="U1344" i="15"/>
  <c r="V1344" i="15"/>
  <c r="W1344" i="15"/>
  <c r="X1344" i="15"/>
  <c r="Y1344" i="15"/>
  <c r="Z1344" i="15"/>
  <c r="AA1344" i="15"/>
  <c r="AB1344" i="15"/>
  <c r="AC1344" i="15"/>
  <c r="AD1344" i="15"/>
  <c r="AE1344" i="15"/>
  <c r="AF1344" i="15"/>
  <c r="AG1344" i="15"/>
  <c r="AH1344" i="15"/>
  <c r="AI1344" i="15"/>
  <c r="AJ1344" i="15"/>
  <c r="AK1344" i="15"/>
  <c r="AL1344" i="15"/>
  <c r="AM1344" i="15"/>
  <c r="AN1344" i="15"/>
  <c r="AO1344" i="15"/>
  <c r="R1345" i="15"/>
  <c r="S1345" i="15"/>
  <c r="T1345" i="15"/>
  <c r="U1345" i="15"/>
  <c r="V1345" i="15"/>
  <c r="W1345" i="15"/>
  <c r="X1345" i="15"/>
  <c r="Y1345" i="15"/>
  <c r="Z1345" i="15"/>
  <c r="AA1345" i="15"/>
  <c r="AB1345" i="15"/>
  <c r="AC1345" i="15"/>
  <c r="AD1345" i="15"/>
  <c r="AE1345" i="15"/>
  <c r="AF1345" i="15"/>
  <c r="AG1345" i="15"/>
  <c r="AH1345" i="15"/>
  <c r="AI1345" i="15"/>
  <c r="AJ1345" i="15"/>
  <c r="AK1345" i="15"/>
  <c r="AL1345" i="15"/>
  <c r="AM1345" i="15"/>
  <c r="AN1345" i="15"/>
  <c r="AO1345" i="15"/>
  <c r="R1346" i="15"/>
  <c r="S1346" i="15"/>
  <c r="T1346" i="15"/>
  <c r="U1346" i="15"/>
  <c r="V1346" i="15"/>
  <c r="W1346" i="15"/>
  <c r="X1346" i="15"/>
  <c r="Y1346" i="15"/>
  <c r="Z1346" i="15"/>
  <c r="AA1346" i="15"/>
  <c r="AB1346" i="15"/>
  <c r="AC1346" i="15"/>
  <c r="AD1346" i="15"/>
  <c r="AE1346" i="15"/>
  <c r="AF1346" i="15"/>
  <c r="AG1346" i="15"/>
  <c r="AH1346" i="15"/>
  <c r="AI1346" i="15"/>
  <c r="AJ1346" i="15"/>
  <c r="AK1346" i="15"/>
  <c r="AL1346" i="15"/>
  <c r="AM1346" i="15"/>
  <c r="AN1346" i="15"/>
  <c r="AO1346" i="15"/>
  <c r="R1347" i="15"/>
  <c r="S1347" i="15"/>
  <c r="T1347" i="15"/>
  <c r="U1347" i="15"/>
  <c r="V1347" i="15"/>
  <c r="W1347" i="15"/>
  <c r="X1347" i="15"/>
  <c r="Y1347" i="15"/>
  <c r="Z1347" i="15"/>
  <c r="AA1347" i="15"/>
  <c r="AB1347" i="15"/>
  <c r="AC1347" i="15"/>
  <c r="AD1347" i="15"/>
  <c r="AE1347" i="15"/>
  <c r="AF1347" i="15"/>
  <c r="AG1347" i="15"/>
  <c r="AH1347" i="15"/>
  <c r="AI1347" i="15"/>
  <c r="AJ1347" i="15"/>
  <c r="AK1347" i="15"/>
  <c r="AL1347" i="15"/>
  <c r="AM1347" i="15"/>
  <c r="AN1347" i="15"/>
  <c r="AO1347" i="15"/>
  <c r="R1348" i="15"/>
  <c r="S1348" i="15"/>
  <c r="T1348" i="15"/>
  <c r="U1348" i="15"/>
  <c r="V1348" i="15"/>
  <c r="W1348" i="15"/>
  <c r="X1348" i="15"/>
  <c r="Y1348" i="15"/>
  <c r="Z1348" i="15"/>
  <c r="AA1348" i="15"/>
  <c r="AB1348" i="15"/>
  <c r="AC1348" i="15"/>
  <c r="AD1348" i="15"/>
  <c r="AE1348" i="15"/>
  <c r="AF1348" i="15"/>
  <c r="AG1348" i="15"/>
  <c r="AH1348" i="15"/>
  <c r="AI1348" i="15"/>
  <c r="AJ1348" i="15"/>
  <c r="AK1348" i="15"/>
  <c r="AL1348" i="15"/>
  <c r="AM1348" i="15"/>
  <c r="AN1348" i="15"/>
  <c r="AO1348" i="15"/>
  <c r="R1349" i="15"/>
  <c r="S1349" i="15"/>
  <c r="T1349" i="15"/>
  <c r="U1349" i="15"/>
  <c r="V1349" i="15"/>
  <c r="W1349" i="15"/>
  <c r="X1349" i="15"/>
  <c r="Y1349" i="15"/>
  <c r="Z1349" i="15"/>
  <c r="AA1349" i="15"/>
  <c r="AB1349" i="15"/>
  <c r="AC1349" i="15"/>
  <c r="AD1349" i="15"/>
  <c r="AE1349" i="15"/>
  <c r="AF1349" i="15"/>
  <c r="AG1349" i="15"/>
  <c r="AH1349" i="15"/>
  <c r="AI1349" i="15"/>
  <c r="AJ1349" i="15"/>
  <c r="AK1349" i="15"/>
  <c r="AL1349" i="15"/>
  <c r="AM1349" i="15"/>
  <c r="AN1349" i="15"/>
  <c r="AO1349" i="15"/>
  <c r="R1350" i="15"/>
  <c r="S1350" i="15"/>
  <c r="T1350" i="15"/>
  <c r="U1350" i="15"/>
  <c r="V1350" i="15"/>
  <c r="W1350" i="15"/>
  <c r="X1350" i="15"/>
  <c r="Y1350" i="15"/>
  <c r="Z1350" i="15"/>
  <c r="AA1350" i="15"/>
  <c r="AB1350" i="15"/>
  <c r="AC1350" i="15"/>
  <c r="AD1350" i="15"/>
  <c r="AE1350" i="15"/>
  <c r="AF1350" i="15"/>
  <c r="AG1350" i="15"/>
  <c r="AH1350" i="15"/>
  <c r="AI1350" i="15"/>
  <c r="AJ1350" i="15"/>
  <c r="AK1350" i="15"/>
  <c r="AL1350" i="15"/>
  <c r="AM1350" i="15"/>
  <c r="AN1350" i="15"/>
  <c r="AO1350" i="15"/>
  <c r="R1351" i="15"/>
  <c r="S1351" i="15"/>
  <c r="T1351" i="15"/>
  <c r="U1351" i="15"/>
  <c r="V1351" i="15"/>
  <c r="W1351" i="15"/>
  <c r="X1351" i="15"/>
  <c r="Y1351" i="15"/>
  <c r="Z1351" i="15"/>
  <c r="AA1351" i="15"/>
  <c r="AB1351" i="15"/>
  <c r="AC1351" i="15"/>
  <c r="AD1351" i="15"/>
  <c r="AE1351" i="15"/>
  <c r="AF1351" i="15"/>
  <c r="AG1351" i="15"/>
  <c r="AH1351" i="15"/>
  <c r="AI1351" i="15"/>
  <c r="AJ1351" i="15"/>
  <c r="AK1351" i="15"/>
  <c r="AL1351" i="15"/>
  <c r="AM1351" i="15"/>
  <c r="AN1351" i="15"/>
  <c r="AO1351" i="15"/>
  <c r="R1352" i="15"/>
  <c r="S1352" i="15"/>
  <c r="T1352" i="15"/>
  <c r="U1352" i="15"/>
  <c r="V1352" i="15"/>
  <c r="W1352" i="15"/>
  <c r="X1352" i="15"/>
  <c r="Y1352" i="15"/>
  <c r="Z1352" i="15"/>
  <c r="AA1352" i="15"/>
  <c r="AB1352" i="15"/>
  <c r="AC1352" i="15"/>
  <c r="AD1352" i="15"/>
  <c r="AE1352" i="15"/>
  <c r="AF1352" i="15"/>
  <c r="AG1352" i="15"/>
  <c r="AH1352" i="15"/>
  <c r="AI1352" i="15"/>
  <c r="AJ1352" i="15"/>
  <c r="AK1352" i="15"/>
  <c r="AL1352" i="15"/>
  <c r="AM1352" i="15"/>
  <c r="AN1352" i="15"/>
  <c r="AO1352" i="15"/>
  <c r="R1353" i="15"/>
  <c r="S1353" i="15"/>
  <c r="T1353" i="15"/>
  <c r="U1353" i="15"/>
  <c r="V1353" i="15"/>
  <c r="W1353" i="15"/>
  <c r="X1353" i="15"/>
  <c r="Y1353" i="15"/>
  <c r="Z1353" i="15"/>
  <c r="AA1353" i="15"/>
  <c r="AB1353" i="15"/>
  <c r="AC1353" i="15"/>
  <c r="AD1353" i="15"/>
  <c r="AE1353" i="15"/>
  <c r="AF1353" i="15"/>
  <c r="AG1353" i="15"/>
  <c r="AH1353" i="15"/>
  <c r="AI1353" i="15"/>
  <c r="AJ1353" i="15"/>
  <c r="AK1353" i="15"/>
  <c r="AL1353" i="15"/>
  <c r="AM1353" i="15"/>
  <c r="AN1353" i="15"/>
  <c r="AO1353" i="15"/>
  <c r="R1354" i="15"/>
  <c r="S1354" i="15"/>
  <c r="T1354" i="15"/>
  <c r="U1354" i="15"/>
  <c r="V1354" i="15"/>
  <c r="W1354" i="15"/>
  <c r="X1354" i="15"/>
  <c r="Y1354" i="15"/>
  <c r="Z1354" i="15"/>
  <c r="AA1354" i="15"/>
  <c r="AB1354" i="15"/>
  <c r="AC1354" i="15"/>
  <c r="AD1354" i="15"/>
  <c r="AE1354" i="15"/>
  <c r="AF1354" i="15"/>
  <c r="AG1354" i="15"/>
  <c r="AH1354" i="15"/>
  <c r="AI1354" i="15"/>
  <c r="AJ1354" i="15"/>
  <c r="AK1354" i="15"/>
  <c r="AL1354" i="15"/>
  <c r="AM1354" i="15"/>
  <c r="AN1354" i="15"/>
  <c r="AO1354" i="15"/>
  <c r="R1355" i="15"/>
  <c r="S1355" i="15"/>
  <c r="T1355" i="15"/>
  <c r="U1355" i="15"/>
  <c r="V1355" i="15"/>
  <c r="W1355" i="15"/>
  <c r="X1355" i="15"/>
  <c r="Y1355" i="15"/>
  <c r="Z1355" i="15"/>
  <c r="AA1355" i="15"/>
  <c r="AB1355" i="15"/>
  <c r="AC1355" i="15"/>
  <c r="AD1355" i="15"/>
  <c r="AE1355" i="15"/>
  <c r="AF1355" i="15"/>
  <c r="AG1355" i="15"/>
  <c r="AH1355" i="15"/>
  <c r="AI1355" i="15"/>
  <c r="AJ1355" i="15"/>
  <c r="AK1355" i="15"/>
  <c r="AL1355" i="15"/>
  <c r="AM1355" i="15"/>
  <c r="AN1355" i="15"/>
  <c r="AO1355" i="15"/>
  <c r="R1356" i="15"/>
  <c r="S1356" i="15"/>
  <c r="T1356" i="15"/>
  <c r="U1356" i="15"/>
  <c r="V1356" i="15"/>
  <c r="W1356" i="15"/>
  <c r="X1356" i="15"/>
  <c r="Y1356" i="15"/>
  <c r="Z1356" i="15"/>
  <c r="AA1356" i="15"/>
  <c r="AB1356" i="15"/>
  <c r="AC1356" i="15"/>
  <c r="AD1356" i="15"/>
  <c r="AE1356" i="15"/>
  <c r="AF1356" i="15"/>
  <c r="AG1356" i="15"/>
  <c r="AH1356" i="15"/>
  <c r="AI1356" i="15"/>
  <c r="AJ1356" i="15"/>
  <c r="AK1356" i="15"/>
  <c r="AL1356" i="15"/>
  <c r="AM1356" i="15"/>
  <c r="AN1356" i="15"/>
  <c r="AO1356" i="15"/>
  <c r="R1357" i="15"/>
  <c r="S1357" i="15"/>
  <c r="T1357" i="15"/>
  <c r="U1357" i="15"/>
  <c r="V1357" i="15"/>
  <c r="W1357" i="15"/>
  <c r="X1357" i="15"/>
  <c r="Y1357" i="15"/>
  <c r="Z1357" i="15"/>
  <c r="AA1357" i="15"/>
  <c r="AB1357" i="15"/>
  <c r="AC1357" i="15"/>
  <c r="AD1357" i="15"/>
  <c r="AE1357" i="15"/>
  <c r="AF1357" i="15"/>
  <c r="AG1357" i="15"/>
  <c r="AH1357" i="15"/>
  <c r="AI1357" i="15"/>
  <c r="AJ1357" i="15"/>
  <c r="AK1357" i="15"/>
  <c r="AL1357" i="15"/>
  <c r="AM1357" i="15"/>
  <c r="AN1357" i="15"/>
  <c r="AO1357" i="15"/>
  <c r="R1358" i="15"/>
  <c r="S1358" i="15"/>
  <c r="T1358" i="15"/>
  <c r="U1358" i="15"/>
  <c r="V1358" i="15"/>
  <c r="W1358" i="15"/>
  <c r="X1358" i="15"/>
  <c r="Y1358" i="15"/>
  <c r="Z1358" i="15"/>
  <c r="AA1358" i="15"/>
  <c r="AB1358" i="15"/>
  <c r="AC1358" i="15"/>
  <c r="AD1358" i="15"/>
  <c r="AE1358" i="15"/>
  <c r="AF1358" i="15"/>
  <c r="AG1358" i="15"/>
  <c r="AH1358" i="15"/>
  <c r="AI1358" i="15"/>
  <c r="AJ1358" i="15"/>
  <c r="AK1358" i="15"/>
  <c r="AL1358" i="15"/>
  <c r="AM1358" i="15"/>
  <c r="AN1358" i="15"/>
  <c r="AO1358" i="15"/>
  <c r="R1359" i="15"/>
  <c r="S1359" i="15"/>
  <c r="T1359" i="15"/>
  <c r="U1359" i="15"/>
  <c r="V1359" i="15"/>
  <c r="W1359" i="15"/>
  <c r="X1359" i="15"/>
  <c r="Y1359" i="15"/>
  <c r="Z1359" i="15"/>
  <c r="AA1359" i="15"/>
  <c r="AB1359" i="15"/>
  <c r="AC1359" i="15"/>
  <c r="AD1359" i="15"/>
  <c r="AE1359" i="15"/>
  <c r="AF1359" i="15"/>
  <c r="AG1359" i="15"/>
  <c r="AH1359" i="15"/>
  <c r="AI1359" i="15"/>
  <c r="AJ1359" i="15"/>
  <c r="AK1359" i="15"/>
  <c r="AL1359" i="15"/>
  <c r="AM1359" i="15"/>
  <c r="AN1359" i="15"/>
  <c r="AO1359" i="15"/>
  <c r="R1360" i="15"/>
  <c r="S1360" i="15"/>
  <c r="T1360" i="15"/>
  <c r="U1360" i="15"/>
  <c r="V1360" i="15"/>
  <c r="W1360" i="15"/>
  <c r="X1360" i="15"/>
  <c r="Y1360" i="15"/>
  <c r="Z1360" i="15"/>
  <c r="AA1360" i="15"/>
  <c r="AB1360" i="15"/>
  <c r="AC1360" i="15"/>
  <c r="AD1360" i="15"/>
  <c r="AE1360" i="15"/>
  <c r="AF1360" i="15"/>
  <c r="AG1360" i="15"/>
  <c r="AH1360" i="15"/>
  <c r="AI1360" i="15"/>
  <c r="AJ1360" i="15"/>
  <c r="AK1360" i="15"/>
  <c r="AL1360" i="15"/>
  <c r="AM1360" i="15"/>
  <c r="AN1360" i="15"/>
  <c r="AO1360" i="15"/>
  <c r="R1361" i="15"/>
  <c r="S1361" i="15"/>
  <c r="T1361" i="15"/>
  <c r="U1361" i="15"/>
  <c r="V1361" i="15"/>
  <c r="W1361" i="15"/>
  <c r="X1361" i="15"/>
  <c r="Y1361" i="15"/>
  <c r="Z1361" i="15"/>
  <c r="AA1361" i="15"/>
  <c r="AB1361" i="15"/>
  <c r="AC1361" i="15"/>
  <c r="AD1361" i="15"/>
  <c r="AE1361" i="15"/>
  <c r="AF1361" i="15"/>
  <c r="AG1361" i="15"/>
  <c r="AH1361" i="15"/>
  <c r="AI1361" i="15"/>
  <c r="AJ1361" i="15"/>
  <c r="AK1361" i="15"/>
  <c r="AL1361" i="15"/>
  <c r="AM1361" i="15"/>
  <c r="AN1361" i="15"/>
  <c r="AO1361" i="15"/>
  <c r="R1362" i="15"/>
  <c r="S1362" i="15"/>
  <c r="T1362" i="15"/>
  <c r="U1362" i="15"/>
  <c r="V1362" i="15"/>
  <c r="W1362" i="15"/>
  <c r="X1362" i="15"/>
  <c r="Y1362" i="15"/>
  <c r="Z1362" i="15"/>
  <c r="AA1362" i="15"/>
  <c r="AB1362" i="15"/>
  <c r="AC1362" i="15"/>
  <c r="AD1362" i="15"/>
  <c r="AE1362" i="15"/>
  <c r="AF1362" i="15"/>
  <c r="AG1362" i="15"/>
  <c r="AH1362" i="15"/>
  <c r="AI1362" i="15"/>
  <c r="AJ1362" i="15"/>
  <c r="AK1362" i="15"/>
  <c r="AL1362" i="15"/>
  <c r="AM1362" i="15"/>
  <c r="AN1362" i="15"/>
  <c r="AO1362" i="15"/>
  <c r="R1363" i="15"/>
  <c r="S1363" i="15"/>
  <c r="T1363" i="15"/>
  <c r="U1363" i="15"/>
  <c r="V1363" i="15"/>
  <c r="W1363" i="15"/>
  <c r="X1363" i="15"/>
  <c r="Y1363" i="15"/>
  <c r="Z1363" i="15"/>
  <c r="AA1363" i="15"/>
  <c r="AB1363" i="15"/>
  <c r="AC1363" i="15"/>
  <c r="AD1363" i="15"/>
  <c r="AE1363" i="15"/>
  <c r="AF1363" i="15"/>
  <c r="AG1363" i="15"/>
  <c r="AH1363" i="15"/>
  <c r="AI1363" i="15"/>
  <c r="AJ1363" i="15"/>
  <c r="AK1363" i="15"/>
  <c r="AL1363" i="15"/>
  <c r="AM1363" i="15"/>
  <c r="AN1363" i="15"/>
  <c r="AO1363" i="15"/>
  <c r="R1364" i="15"/>
  <c r="S1364" i="15"/>
  <c r="T1364" i="15"/>
  <c r="U1364" i="15"/>
  <c r="V1364" i="15"/>
  <c r="W1364" i="15"/>
  <c r="X1364" i="15"/>
  <c r="Y1364" i="15"/>
  <c r="Z1364" i="15"/>
  <c r="AA1364" i="15"/>
  <c r="AB1364" i="15"/>
  <c r="AC1364" i="15"/>
  <c r="AD1364" i="15"/>
  <c r="AE1364" i="15"/>
  <c r="AF1364" i="15"/>
  <c r="AG1364" i="15"/>
  <c r="AH1364" i="15"/>
  <c r="AI1364" i="15"/>
  <c r="AJ1364" i="15"/>
  <c r="AK1364" i="15"/>
  <c r="AL1364" i="15"/>
  <c r="AM1364" i="15"/>
  <c r="AN1364" i="15"/>
  <c r="AO1364" i="15"/>
  <c r="R1365" i="15"/>
  <c r="S1365" i="15"/>
  <c r="T1365" i="15"/>
  <c r="U1365" i="15"/>
  <c r="V1365" i="15"/>
  <c r="W1365" i="15"/>
  <c r="X1365" i="15"/>
  <c r="Y1365" i="15"/>
  <c r="Z1365" i="15"/>
  <c r="AA1365" i="15"/>
  <c r="AB1365" i="15"/>
  <c r="AC1365" i="15"/>
  <c r="AD1365" i="15"/>
  <c r="AE1365" i="15"/>
  <c r="AF1365" i="15"/>
  <c r="AG1365" i="15"/>
  <c r="AH1365" i="15"/>
  <c r="AI1365" i="15"/>
  <c r="AJ1365" i="15"/>
  <c r="AK1365" i="15"/>
  <c r="AL1365" i="15"/>
  <c r="AM1365" i="15"/>
  <c r="AN1365" i="15"/>
  <c r="AO1365" i="15"/>
  <c r="R1366" i="15"/>
  <c r="S1366" i="15"/>
  <c r="T1366" i="15"/>
  <c r="U1366" i="15"/>
  <c r="V1366" i="15"/>
  <c r="W1366" i="15"/>
  <c r="X1366" i="15"/>
  <c r="Y1366" i="15"/>
  <c r="Z1366" i="15"/>
  <c r="AA1366" i="15"/>
  <c r="AB1366" i="15"/>
  <c r="AC1366" i="15"/>
  <c r="AD1366" i="15"/>
  <c r="AE1366" i="15"/>
  <c r="AF1366" i="15"/>
  <c r="AG1366" i="15"/>
  <c r="AH1366" i="15"/>
  <c r="AI1366" i="15"/>
  <c r="AJ1366" i="15"/>
  <c r="AK1366" i="15"/>
  <c r="AL1366" i="15"/>
  <c r="AM1366" i="15"/>
  <c r="AN1366" i="15"/>
  <c r="AO1366" i="15"/>
  <c r="R1367" i="15"/>
  <c r="S1367" i="15"/>
  <c r="T1367" i="15"/>
  <c r="U1367" i="15"/>
  <c r="V1367" i="15"/>
  <c r="W1367" i="15"/>
  <c r="X1367" i="15"/>
  <c r="Y1367" i="15"/>
  <c r="Z1367" i="15"/>
  <c r="AA1367" i="15"/>
  <c r="AB1367" i="15"/>
  <c r="AC1367" i="15"/>
  <c r="AD1367" i="15"/>
  <c r="AE1367" i="15"/>
  <c r="AF1367" i="15"/>
  <c r="AG1367" i="15"/>
  <c r="AH1367" i="15"/>
  <c r="AI1367" i="15"/>
  <c r="AJ1367" i="15"/>
  <c r="AK1367" i="15"/>
  <c r="AL1367" i="15"/>
  <c r="AM1367" i="15"/>
  <c r="AN1367" i="15"/>
  <c r="AO1367" i="15"/>
  <c r="R1368" i="15"/>
  <c r="S1368" i="15"/>
  <c r="T1368" i="15"/>
  <c r="U1368" i="15"/>
  <c r="V1368" i="15"/>
  <c r="W1368" i="15"/>
  <c r="X1368" i="15"/>
  <c r="Y1368" i="15"/>
  <c r="Z1368" i="15"/>
  <c r="AA1368" i="15"/>
  <c r="AB1368" i="15"/>
  <c r="AC1368" i="15"/>
  <c r="AD1368" i="15"/>
  <c r="AE1368" i="15"/>
  <c r="AF1368" i="15"/>
  <c r="AG1368" i="15"/>
  <c r="AH1368" i="15"/>
  <c r="AI1368" i="15"/>
  <c r="AJ1368" i="15"/>
  <c r="AK1368" i="15"/>
  <c r="AL1368" i="15"/>
  <c r="AM1368" i="15"/>
  <c r="AN1368" i="15"/>
  <c r="AO1368" i="15"/>
  <c r="R1369" i="15"/>
  <c r="S1369" i="15"/>
  <c r="T1369" i="15"/>
  <c r="U1369" i="15"/>
  <c r="V1369" i="15"/>
  <c r="W1369" i="15"/>
  <c r="X1369" i="15"/>
  <c r="Y1369" i="15"/>
  <c r="Z1369" i="15"/>
  <c r="AA1369" i="15"/>
  <c r="AB1369" i="15"/>
  <c r="AC1369" i="15"/>
  <c r="AD1369" i="15"/>
  <c r="AE1369" i="15"/>
  <c r="AF1369" i="15"/>
  <c r="AG1369" i="15"/>
  <c r="AH1369" i="15"/>
  <c r="AI1369" i="15"/>
  <c r="AJ1369" i="15"/>
  <c r="AK1369" i="15"/>
  <c r="AL1369" i="15"/>
  <c r="AM1369" i="15"/>
  <c r="AN1369" i="15"/>
  <c r="AO1369" i="15"/>
  <c r="R1370" i="15"/>
  <c r="S1370" i="15"/>
  <c r="T1370" i="15"/>
  <c r="U1370" i="15"/>
  <c r="V1370" i="15"/>
  <c r="W1370" i="15"/>
  <c r="X1370" i="15"/>
  <c r="Y1370" i="15"/>
  <c r="Z1370" i="15"/>
  <c r="AA1370" i="15"/>
  <c r="AB1370" i="15"/>
  <c r="AC1370" i="15"/>
  <c r="AD1370" i="15"/>
  <c r="AE1370" i="15"/>
  <c r="AF1370" i="15"/>
  <c r="AG1370" i="15"/>
  <c r="AH1370" i="15"/>
  <c r="AI1370" i="15"/>
  <c r="AJ1370" i="15"/>
  <c r="AK1370" i="15"/>
  <c r="AL1370" i="15"/>
  <c r="AM1370" i="15"/>
  <c r="AN1370" i="15"/>
  <c r="AO1370" i="15"/>
  <c r="R1371" i="15"/>
  <c r="S1371" i="15"/>
  <c r="T1371" i="15"/>
  <c r="U1371" i="15"/>
  <c r="V1371" i="15"/>
  <c r="W1371" i="15"/>
  <c r="X1371" i="15"/>
  <c r="Y1371" i="15"/>
  <c r="Z1371" i="15"/>
  <c r="AA1371" i="15"/>
  <c r="AB1371" i="15"/>
  <c r="AC1371" i="15"/>
  <c r="AD1371" i="15"/>
  <c r="AE1371" i="15"/>
  <c r="AF1371" i="15"/>
  <c r="AG1371" i="15"/>
  <c r="AH1371" i="15"/>
  <c r="AI1371" i="15"/>
  <c r="AJ1371" i="15"/>
  <c r="AK1371" i="15"/>
  <c r="AL1371" i="15"/>
  <c r="AM1371" i="15"/>
  <c r="AN1371" i="15"/>
  <c r="AO1371" i="15"/>
  <c r="R1372" i="15"/>
  <c r="S1372" i="15"/>
  <c r="T1372" i="15"/>
  <c r="U1372" i="15"/>
  <c r="V1372" i="15"/>
  <c r="W1372" i="15"/>
  <c r="X1372" i="15"/>
  <c r="Y1372" i="15"/>
  <c r="Z1372" i="15"/>
  <c r="AA1372" i="15"/>
  <c r="AB1372" i="15"/>
  <c r="AC1372" i="15"/>
  <c r="AD1372" i="15"/>
  <c r="AE1372" i="15"/>
  <c r="AF1372" i="15"/>
  <c r="AG1372" i="15"/>
  <c r="AH1372" i="15"/>
  <c r="AI1372" i="15"/>
  <c r="AJ1372" i="15"/>
  <c r="AK1372" i="15"/>
  <c r="AL1372" i="15"/>
  <c r="AM1372" i="15"/>
  <c r="AN1372" i="15"/>
  <c r="AO1372" i="15"/>
  <c r="R1373" i="15"/>
  <c r="S1373" i="15"/>
  <c r="T1373" i="15"/>
  <c r="U1373" i="15"/>
  <c r="V1373" i="15"/>
  <c r="W1373" i="15"/>
  <c r="X1373" i="15"/>
  <c r="Y1373" i="15"/>
  <c r="Z1373" i="15"/>
  <c r="AA1373" i="15"/>
  <c r="AB1373" i="15"/>
  <c r="AC1373" i="15"/>
  <c r="AD1373" i="15"/>
  <c r="AE1373" i="15"/>
  <c r="AF1373" i="15"/>
  <c r="AG1373" i="15"/>
  <c r="AH1373" i="15"/>
  <c r="AI1373" i="15"/>
  <c r="AJ1373" i="15"/>
  <c r="AK1373" i="15"/>
  <c r="AL1373" i="15"/>
  <c r="AM1373" i="15"/>
  <c r="AN1373" i="15"/>
  <c r="AO1373" i="15"/>
  <c r="R1374" i="15"/>
  <c r="S1374" i="15"/>
  <c r="T1374" i="15"/>
  <c r="U1374" i="15"/>
  <c r="V1374" i="15"/>
  <c r="W1374" i="15"/>
  <c r="X1374" i="15"/>
  <c r="Y1374" i="15"/>
  <c r="Z1374" i="15"/>
  <c r="AA1374" i="15"/>
  <c r="AB1374" i="15"/>
  <c r="AC1374" i="15"/>
  <c r="AD1374" i="15"/>
  <c r="AE1374" i="15"/>
  <c r="AF1374" i="15"/>
  <c r="AG1374" i="15"/>
  <c r="AH1374" i="15"/>
  <c r="AI1374" i="15"/>
  <c r="AJ1374" i="15"/>
  <c r="AK1374" i="15"/>
  <c r="AL1374" i="15"/>
  <c r="AM1374" i="15"/>
  <c r="AN1374" i="15"/>
  <c r="AO1374" i="15"/>
  <c r="R1375" i="15"/>
  <c r="S1375" i="15"/>
  <c r="T1375" i="15"/>
  <c r="U1375" i="15"/>
  <c r="V1375" i="15"/>
  <c r="W1375" i="15"/>
  <c r="X1375" i="15"/>
  <c r="Y1375" i="15"/>
  <c r="Z1375" i="15"/>
  <c r="AA1375" i="15"/>
  <c r="AB1375" i="15"/>
  <c r="AC1375" i="15"/>
  <c r="AD1375" i="15"/>
  <c r="AE1375" i="15"/>
  <c r="AF1375" i="15"/>
  <c r="AG1375" i="15"/>
  <c r="AH1375" i="15"/>
  <c r="AI1375" i="15"/>
  <c r="AJ1375" i="15"/>
  <c r="AK1375" i="15"/>
  <c r="AL1375" i="15"/>
  <c r="AM1375" i="15"/>
  <c r="AN1375" i="15"/>
  <c r="AO1375" i="15"/>
  <c r="R1376" i="15"/>
  <c r="S1376" i="15"/>
  <c r="T1376" i="15"/>
  <c r="U1376" i="15"/>
  <c r="V1376" i="15"/>
  <c r="W1376" i="15"/>
  <c r="X1376" i="15"/>
  <c r="Y1376" i="15"/>
  <c r="Z1376" i="15"/>
  <c r="AA1376" i="15"/>
  <c r="AB1376" i="15"/>
  <c r="AC1376" i="15"/>
  <c r="AD1376" i="15"/>
  <c r="AE1376" i="15"/>
  <c r="AF1376" i="15"/>
  <c r="AG1376" i="15"/>
  <c r="AH1376" i="15"/>
  <c r="AI1376" i="15"/>
  <c r="AJ1376" i="15"/>
  <c r="AK1376" i="15"/>
  <c r="AL1376" i="15"/>
  <c r="AM1376" i="15"/>
  <c r="AN1376" i="15"/>
  <c r="AO1376" i="15"/>
  <c r="R1377" i="15"/>
  <c r="S1377" i="15"/>
  <c r="T1377" i="15"/>
  <c r="U1377" i="15"/>
  <c r="V1377" i="15"/>
  <c r="W1377" i="15"/>
  <c r="X1377" i="15"/>
  <c r="Y1377" i="15"/>
  <c r="Z1377" i="15"/>
  <c r="AA1377" i="15"/>
  <c r="AB1377" i="15"/>
  <c r="AC1377" i="15"/>
  <c r="AD1377" i="15"/>
  <c r="AE1377" i="15"/>
  <c r="AF1377" i="15"/>
  <c r="AG1377" i="15"/>
  <c r="AH1377" i="15"/>
  <c r="AI1377" i="15"/>
  <c r="AJ1377" i="15"/>
  <c r="AK1377" i="15"/>
  <c r="AL1377" i="15"/>
  <c r="AM1377" i="15"/>
  <c r="AN1377" i="15"/>
  <c r="AO1377" i="15"/>
  <c r="R1378" i="15"/>
  <c r="S1378" i="15"/>
  <c r="T1378" i="15"/>
  <c r="U1378" i="15"/>
  <c r="V1378" i="15"/>
  <c r="W1378" i="15"/>
  <c r="X1378" i="15"/>
  <c r="Y1378" i="15"/>
  <c r="Z1378" i="15"/>
  <c r="AA1378" i="15"/>
  <c r="AB1378" i="15"/>
  <c r="AC1378" i="15"/>
  <c r="AD1378" i="15"/>
  <c r="AE1378" i="15"/>
  <c r="AF1378" i="15"/>
  <c r="AG1378" i="15"/>
  <c r="AH1378" i="15"/>
  <c r="AI1378" i="15"/>
  <c r="AJ1378" i="15"/>
  <c r="AK1378" i="15"/>
  <c r="AL1378" i="15"/>
  <c r="AM1378" i="15"/>
  <c r="AN1378" i="15"/>
  <c r="AO1378" i="15"/>
  <c r="R1379" i="15"/>
  <c r="S1379" i="15"/>
  <c r="T1379" i="15"/>
  <c r="U1379" i="15"/>
  <c r="V1379" i="15"/>
  <c r="W1379" i="15"/>
  <c r="X1379" i="15"/>
  <c r="Y1379" i="15"/>
  <c r="Z1379" i="15"/>
  <c r="AA1379" i="15"/>
  <c r="AB1379" i="15"/>
  <c r="AC1379" i="15"/>
  <c r="AD1379" i="15"/>
  <c r="AE1379" i="15"/>
  <c r="AF1379" i="15"/>
  <c r="AG1379" i="15"/>
  <c r="AH1379" i="15"/>
  <c r="AI1379" i="15"/>
  <c r="AJ1379" i="15"/>
  <c r="AK1379" i="15"/>
  <c r="AL1379" i="15"/>
  <c r="AM1379" i="15"/>
  <c r="AN1379" i="15"/>
  <c r="AO1379" i="15"/>
  <c r="R1380" i="15"/>
  <c r="S1380" i="15"/>
  <c r="T1380" i="15"/>
  <c r="U1380" i="15"/>
  <c r="V1380" i="15"/>
  <c r="W1380" i="15"/>
  <c r="X1380" i="15"/>
  <c r="Y1380" i="15"/>
  <c r="Z1380" i="15"/>
  <c r="AA1380" i="15"/>
  <c r="AB1380" i="15"/>
  <c r="AC1380" i="15"/>
  <c r="AD1380" i="15"/>
  <c r="AE1380" i="15"/>
  <c r="AF1380" i="15"/>
  <c r="AG1380" i="15"/>
  <c r="AH1380" i="15"/>
  <c r="AI1380" i="15"/>
  <c r="AJ1380" i="15"/>
  <c r="AK1380" i="15"/>
  <c r="AL1380" i="15"/>
  <c r="AM1380" i="15"/>
  <c r="AN1380" i="15"/>
  <c r="AO1380" i="15"/>
  <c r="R1381" i="15"/>
  <c r="S1381" i="15"/>
  <c r="T1381" i="15"/>
  <c r="U1381" i="15"/>
  <c r="V1381" i="15"/>
  <c r="W1381" i="15"/>
  <c r="X1381" i="15"/>
  <c r="Y1381" i="15"/>
  <c r="Z1381" i="15"/>
  <c r="AA1381" i="15"/>
  <c r="AB1381" i="15"/>
  <c r="AC1381" i="15"/>
  <c r="AD1381" i="15"/>
  <c r="AE1381" i="15"/>
  <c r="AF1381" i="15"/>
  <c r="AG1381" i="15"/>
  <c r="AH1381" i="15"/>
  <c r="AI1381" i="15"/>
  <c r="AJ1381" i="15"/>
  <c r="AK1381" i="15"/>
  <c r="AL1381" i="15"/>
  <c r="AM1381" i="15"/>
  <c r="AN1381" i="15"/>
  <c r="AO1381" i="15"/>
  <c r="R1382" i="15"/>
  <c r="S1382" i="15"/>
  <c r="T1382" i="15"/>
  <c r="U1382" i="15"/>
  <c r="V1382" i="15"/>
  <c r="W1382" i="15"/>
  <c r="X1382" i="15"/>
  <c r="Y1382" i="15"/>
  <c r="Z1382" i="15"/>
  <c r="AA1382" i="15"/>
  <c r="AB1382" i="15"/>
  <c r="AC1382" i="15"/>
  <c r="AD1382" i="15"/>
  <c r="AE1382" i="15"/>
  <c r="AF1382" i="15"/>
  <c r="AG1382" i="15"/>
  <c r="AH1382" i="15"/>
  <c r="AI1382" i="15"/>
  <c r="AJ1382" i="15"/>
  <c r="AK1382" i="15"/>
  <c r="AL1382" i="15"/>
  <c r="AM1382" i="15"/>
  <c r="AN1382" i="15"/>
  <c r="AO1382" i="15"/>
  <c r="R1383" i="15"/>
  <c r="S1383" i="15"/>
  <c r="T1383" i="15"/>
  <c r="U1383" i="15"/>
  <c r="V1383" i="15"/>
  <c r="W1383" i="15"/>
  <c r="X1383" i="15"/>
  <c r="Y1383" i="15"/>
  <c r="Z1383" i="15"/>
  <c r="AA1383" i="15"/>
  <c r="AB1383" i="15"/>
  <c r="AC1383" i="15"/>
  <c r="AD1383" i="15"/>
  <c r="AE1383" i="15"/>
  <c r="AF1383" i="15"/>
  <c r="AG1383" i="15"/>
  <c r="AH1383" i="15"/>
  <c r="AI1383" i="15"/>
  <c r="AJ1383" i="15"/>
  <c r="AK1383" i="15"/>
  <c r="AL1383" i="15"/>
  <c r="AM1383" i="15"/>
  <c r="AN1383" i="15"/>
  <c r="AO1383" i="15"/>
  <c r="R1384" i="15"/>
  <c r="S1384" i="15"/>
  <c r="T1384" i="15"/>
  <c r="U1384" i="15"/>
  <c r="V1384" i="15"/>
  <c r="W1384" i="15"/>
  <c r="X1384" i="15"/>
  <c r="Y1384" i="15"/>
  <c r="Z1384" i="15"/>
  <c r="AA1384" i="15"/>
  <c r="AB1384" i="15"/>
  <c r="AC1384" i="15"/>
  <c r="AD1384" i="15"/>
  <c r="AE1384" i="15"/>
  <c r="AF1384" i="15"/>
  <c r="AG1384" i="15"/>
  <c r="AH1384" i="15"/>
  <c r="AI1384" i="15"/>
  <c r="AJ1384" i="15"/>
  <c r="AK1384" i="15"/>
  <c r="AL1384" i="15"/>
  <c r="AM1384" i="15"/>
  <c r="AN1384" i="15"/>
  <c r="AO1384" i="15"/>
  <c r="R1385" i="15"/>
  <c r="S1385" i="15"/>
  <c r="T1385" i="15"/>
  <c r="U1385" i="15"/>
  <c r="V1385" i="15"/>
  <c r="W1385" i="15"/>
  <c r="X1385" i="15"/>
  <c r="Y1385" i="15"/>
  <c r="Z1385" i="15"/>
  <c r="AA1385" i="15"/>
  <c r="AB1385" i="15"/>
  <c r="AC1385" i="15"/>
  <c r="AD1385" i="15"/>
  <c r="AE1385" i="15"/>
  <c r="AF1385" i="15"/>
  <c r="AG1385" i="15"/>
  <c r="AH1385" i="15"/>
  <c r="AI1385" i="15"/>
  <c r="AJ1385" i="15"/>
  <c r="AK1385" i="15"/>
  <c r="AL1385" i="15"/>
  <c r="AM1385" i="15"/>
  <c r="AN1385" i="15"/>
  <c r="AO1385" i="15"/>
  <c r="R1386" i="15"/>
  <c r="S1386" i="15"/>
  <c r="T1386" i="15"/>
  <c r="U1386" i="15"/>
  <c r="V1386" i="15"/>
  <c r="W1386" i="15"/>
  <c r="X1386" i="15"/>
  <c r="Y1386" i="15"/>
  <c r="Z1386" i="15"/>
  <c r="AA1386" i="15"/>
  <c r="AB1386" i="15"/>
  <c r="AC1386" i="15"/>
  <c r="AD1386" i="15"/>
  <c r="AE1386" i="15"/>
  <c r="AF1386" i="15"/>
  <c r="AG1386" i="15"/>
  <c r="AH1386" i="15"/>
  <c r="AI1386" i="15"/>
  <c r="AJ1386" i="15"/>
  <c r="AK1386" i="15"/>
  <c r="AL1386" i="15"/>
  <c r="AM1386" i="15"/>
  <c r="AN1386" i="15"/>
  <c r="AO1386" i="15"/>
  <c r="R1387" i="15"/>
  <c r="S1387" i="15"/>
  <c r="T1387" i="15"/>
  <c r="U1387" i="15"/>
  <c r="V1387" i="15"/>
  <c r="W1387" i="15"/>
  <c r="X1387" i="15"/>
  <c r="Y1387" i="15"/>
  <c r="Z1387" i="15"/>
  <c r="AA1387" i="15"/>
  <c r="AB1387" i="15"/>
  <c r="AC1387" i="15"/>
  <c r="AD1387" i="15"/>
  <c r="AE1387" i="15"/>
  <c r="AF1387" i="15"/>
  <c r="AG1387" i="15"/>
  <c r="AH1387" i="15"/>
  <c r="AI1387" i="15"/>
  <c r="AJ1387" i="15"/>
  <c r="AK1387" i="15"/>
  <c r="AL1387" i="15"/>
  <c r="AM1387" i="15"/>
  <c r="AN1387" i="15"/>
  <c r="AO1387" i="15"/>
  <c r="R1388" i="15"/>
  <c r="S1388" i="15"/>
  <c r="T1388" i="15"/>
  <c r="U1388" i="15"/>
  <c r="V1388" i="15"/>
  <c r="W1388" i="15"/>
  <c r="X1388" i="15"/>
  <c r="Y1388" i="15"/>
  <c r="Z1388" i="15"/>
  <c r="AA1388" i="15"/>
  <c r="AB1388" i="15"/>
  <c r="AC1388" i="15"/>
  <c r="AD1388" i="15"/>
  <c r="AE1388" i="15"/>
  <c r="AF1388" i="15"/>
  <c r="AG1388" i="15"/>
  <c r="AH1388" i="15"/>
  <c r="AI1388" i="15"/>
  <c r="AJ1388" i="15"/>
  <c r="AK1388" i="15"/>
  <c r="AL1388" i="15"/>
  <c r="AM1388" i="15"/>
  <c r="AN1388" i="15"/>
  <c r="AO1388" i="15"/>
  <c r="R1389" i="15"/>
  <c r="S1389" i="15"/>
  <c r="T1389" i="15"/>
  <c r="U1389" i="15"/>
  <c r="V1389" i="15"/>
  <c r="W1389" i="15"/>
  <c r="X1389" i="15"/>
  <c r="Y1389" i="15"/>
  <c r="Z1389" i="15"/>
  <c r="AA1389" i="15"/>
  <c r="AB1389" i="15"/>
  <c r="AC1389" i="15"/>
  <c r="AD1389" i="15"/>
  <c r="AE1389" i="15"/>
  <c r="AF1389" i="15"/>
  <c r="AG1389" i="15"/>
  <c r="AH1389" i="15"/>
  <c r="AI1389" i="15"/>
  <c r="AJ1389" i="15"/>
  <c r="AK1389" i="15"/>
  <c r="AL1389" i="15"/>
  <c r="AM1389" i="15"/>
  <c r="AN1389" i="15"/>
  <c r="AO1389" i="15"/>
  <c r="R1390" i="15"/>
  <c r="S1390" i="15"/>
  <c r="T1390" i="15"/>
  <c r="U1390" i="15"/>
  <c r="V1390" i="15"/>
  <c r="W1390" i="15"/>
  <c r="X1390" i="15"/>
  <c r="Y1390" i="15"/>
  <c r="Z1390" i="15"/>
  <c r="AA1390" i="15"/>
  <c r="AB1390" i="15"/>
  <c r="AC1390" i="15"/>
  <c r="AD1390" i="15"/>
  <c r="AE1390" i="15"/>
  <c r="AF1390" i="15"/>
  <c r="AG1390" i="15"/>
  <c r="AH1390" i="15"/>
  <c r="AI1390" i="15"/>
  <c r="AJ1390" i="15"/>
  <c r="AK1390" i="15"/>
  <c r="AL1390" i="15"/>
  <c r="AM1390" i="15"/>
  <c r="AN1390" i="15"/>
  <c r="AO1390" i="15"/>
  <c r="R1391" i="15"/>
  <c r="S1391" i="15"/>
  <c r="T1391" i="15"/>
  <c r="U1391" i="15"/>
  <c r="V1391" i="15"/>
  <c r="W1391" i="15"/>
  <c r="X1391" i="15"/>
  <c r="Y1391" i="15"/>
  <c r="Z1391" i="15"/>
  <c r="AA1391" i="15"/>
  <c r="AB1391" i="15"/>
  <c r="AC1391" i="15"/>
  <c r="AD1391" i="15"/>
  <c r="AE1391" i="15"/>
  <c r="AF1391" i="15"/>
  <c r="AG1391" i="15"/>
  <c r="AH1391" i="15"/>
  <c r="AI1391" i="15"/>
  <c r="AJ1391" i="15"/>
  <c r="AK1391" i="15"/>
  <c r="AL1391" i="15"/>
  <c r="AM1391" i="15"/>
  <c r="AN1391" i="15"/>
  <c r="AO1391" i="15"/>
  <c r="R1392" i="15"/>
  <c r="S1392" i="15"/>
  <c r="T1392" i="15"/>
  <c r="U1392" i="15"/>
  <c r="V1392" i="15"/>
  <c r="W1392" i="15"/>
  <c r="X1392" i="15"/>
  <c r="Y1392" i="15"/>
  <c r="Z1392" i="15"/>
  <c r="AA1392" i="15"/>
  <c r="AB1392" i="15"/>
  <c r="AC1392" i="15"/>
  <c r="AD1392" i="15"/>
  <c r="AE1392" i="15"/>
  <c r="AF1392" i="15"/>
  <c r="AG1392" i="15"/>
  <c r="AH1392" i="15"/>
  <c r="AI1392" i="15"/>
  <c r="AJ1392" i="15"/>
  <c r="AK1392" i="15"/>
  <c r="AL1392" i="15"/>
  <c r="AM1392" i="15"/>
  <c r="AN1392" i="15"/>
  <c r="AO1392" i="15"/>
  <c r="R1393" i="15"/>
  <c r="S1393" i="15"/>
  <c r="T1393" i="15"/>
  <c r="U1393" i="15"/>
  <c r="V1393" i="15"/>
  <c r="W1393" i="15"/>
  <c r="X1393" i="15"/>
  <c r="Y1393" i="15"/>
  <c r="Z1393" i="15"/>
  <c r="AA1393" i="15"/>
  <c r="AB1393" i="15"/>
  <c r="AC1393" i="15"/>
  <c r="AD1393" i="15"/>
  <c r="AE1393" i="15"/>
  <c r="AF1393" i="15"/>
  <c r="AG1393" i="15"/>
  <c r="AH1393" i="15"/>
  <c r="AI1393" i="15"/>
  <c r="AJ1393" i="15"/>
  <c r="AK1393" i="15"/>
  <c r="AL1393" i="15"/>
  <c r="AM1393" i="15"/>
  <c r="AN1393" i="15"/>
  <c r="AO1393" i="15"/>
  <c r="R1394" i="15"/>
  <c r="S1394" i="15"/>
  <c r="T1394" i="15"/>
  <c r="U1394" i="15"/>
  <c r="V1394" i="15"/>
  <c r="W1394" i="15"/>
  <c r="X1394" i="15"/>
  <c r="Y1394" i="15"/>
  <c r="Z1394" i="15"/>
  <c r="AA1394" i="15"/>
  <c r="AB1394" i="15"/>
  <c r="AC1394" i="15"/>
  <c r="AD1394" i="15"/>
  <c r="AE1394" i="15"/>
  <c r="AF1394" i="15"/>
  <c r="AG1394" i="15"/>
  <c r="AH1394" i="15"/>
  <c r="AI1394" i="15"/>
  <c r="AJ1394" i="15"/>
  <c r="AK1394" i="15"/>
  <c r="AL1394" i="15"/>
  <c r="AM1394" i="15"/>
  <c r="AN1394" i="15"/>
  <c r="AO1394" i="15"/>
  <c r="R1395" i="15"/>
  <c r="S1395" i="15"/>
  <c r="T1395" i="15"/>
  <c r="U1395" i="15"/>
  <c r="V1395" i="15"/>
  <c r="W1395" i="15"/>
  <c r="X1395" i="15"/>
  <c r="Y1395" i="15"/>
  <c r="Z1395" i="15"/>
  <c r="AA1395" i="15"/>
  <c r="AB1395" i="15"/>
  <c r="AC1395" i="15"/>
  <c r="AD1395" i="15"/>
  <c r="AE1395" i="15"/>
  <c r="AF1395" i="15"/>
  <c r="AG1395" i="15"/>
  <c r="AH1395" i="15"/>
  <c r="AI1395" i="15"/>
  <c r="AJ1395" i="15"/>
  <c r="AK1395" i="15"/>
  <c r="AL1395" i="15"/>
  <c r="AM1395" i="15"/>
  <c r="AN1395" i="15"/>
  <c r="AO1395" i="15"/>
  <c r="R1396" i="15"/>
  <c r="S1396" i="15"/>
  <c r="T1396" i="15"/>
  <c r="U1396" i="15"/>
  <c r="V1396" i="15"/>
  <c r="W1396" i="15"/>
  <c r="X1396" i="15"/>
  <c r="Y1396" i="15"/>
  <c r="Z1396" i="15"/>
  <c r="AA1396" i="15"/>
  <c r="AB1396" i="15"/>
  <c r="AC1396" i="15"/>
  <c r="AD1396" i="15"/>
  <c r="AE1396" i="15"/>
  <c r="AF1396" i="15"/>
  <c r="AG1396" i="15"/>
  <c r="AH1396" i="15"/>
  <c r="AI1396" i="15"/>
  <c r="AJ1396" i="15"/>
  <c r="AK1396" i="15"/>
  <c r="AL1396" i="15"/>
  <c r="AM1396" i="15"/>
  <c r="AN1396" i="15"/>
  <c r="AO1396" i="15"/>
  <c r="R1397" i="15"/>
  <c r="S1397" i="15"/>
  <c r="T1397" i="15"/>
  <c r="U1397" i="15"/>
  <c r="V1397" i="15"/>
  <c r="W1397" i="15"/>
  <c r="X1397" i="15"/>
  <c r="Y1397" i="15"/>
  <c r="Z1397" i="15"/>
  <c r="AA1397" i="15"/>
  <c r="AB1397" i="15"/>
  <c r="AC1397" i="15"/>
  <c r="AD1397" i="15"/>
  <c r="AE1397" i="15"/>
  <c r="AF1397" i="15"/>
  <c r="AG1397" i="15"/>
  <c r="AH1397" i="15"/>
  <c r="AI1397" i="15"/>
  <c r="AJ1397" i="15"/>
  <c r="AK1397" i="15"/>
  <c r="AL1397" i="15"/>
  <c r="AM1397" i="15"/>
  <c r="AN1397" i="15"/>
  <c r="AO1397" i="15"/>
  <c r="R1398" i="15"/>
  <c r="S1398" i="15"/>
  <c r="T1398" i="15"/>
  <c r="U1398" i="15"/>
  <c r="V1398" i="15"/>
  <c r="W1398" i="15"/>
  <c r="X1398" i="15"/>
  <c r="Y1398" i="15"/>
  <c r="Z1398" i="15"/>
  <c r="AA1398" i="15"/>
  <c r="AB1398" i="15"/>
  <c r="AC1398" i="15"/>
  <c r="AD1398" i="15"/>
  <c r="AE1398" i="15"/>
  <c r="AF1398" i="15"/>
  <c r="AG1398" i="15"/>
  <c r="AH1398" i="15"/>
  <c r="AI1398" i="15"/>
  <c r="AJ1398" i="15"/>
  <c r="AK1398" i="15"/>
  <c r="AL1398" i="15"/>
  <c r="AM1398" i="15"/>
  <c r="AN1398" i="15"/>
  <c r="AO1398" i="15"/>
  <c r="R1399" i="15"/>
  <c r="S1399" i="15"/>
  <c r="T1399" i="15"/>
  <c r="U1399" i="15"/>
  <c r="V1399" i="15"/>
  <c r="W1399" i="15"/>
  <c r="X1399" i="15"/>
  <c r="Y1399" i="15"/>
  <c r="Z1399" i="15"/>
  <c r="AA1399" i="15"/>
  <c r="AB1399" i="15"/>
  <c r="AC1399" i="15"/>
  <c r="AD1399" i="15"/>
  <c r="AE1399" i="15"/>
  <c r="AF1399" i="15"/>
  <c r="AG1399" i="15"/>
  <c r="AH1399" i="15"/>
  <c r="AI1399" i="15"/>
  <c r="AJ1399" i="15"/>
  <c r="AK1399" i="15"/>
  <c r="AL1399" i="15"/>
  <c r="AM1399" i="15"/>
  <c r="AN1399" i="15"/>
  <c r="AO1399" i="15"/>
  <c r="R1400" i="15"/>
  <c r="S1400" i="15"/>
  <c r="T1400" i="15"/>
  <c r="U1400" i="15"/>
  <c r="V1400" i="15"/>
  <c r="W1400" i="15"/>
  <c r="X1400" i="15"/>
  <c r="Y1400" i="15"/>
  <c r="Z1400" i="15"/>
  <c r="AA1400" i="15"/>
  <c r="AB1400" i="15"/>
  <c r="AC1400" i="15"/>
  <c r="AD1400" i="15"/>
  <c r="AE1400" i="15"/>
  <c r="AF1400" i="15"/>
  <c r="AG1400" i="15"/>
  <c r="AH1400" i="15"/>
  <c r="AI1400" i="15"/>
  <c r="AJ1400" i="15"/>
  <c r="AK1400" i="15"/>
  <c r="AL1400" i="15"/>
  <c r="AM1400" i="15"/>
  <c r="AN1400" i="15"/>
  <c r="AO1400" i="15"/>
  <c r="R1401" i="15"/>
  <c r="S1401" i="15"/>
  <c r="T1401" i="15"/>
  <c r="U1401" i="15"/>
  <c r="V1401" i="15"/>
  <c r="W1401" i="15"/>
  <c r="X1401" i="15"/>
  <c r="Y1401" i="15"/>
  <c r="Z1401" i="15"/>
  <c r="AA1401" i="15"/>
  <c r="AB1401" i="15"/>
  <c r="AC1401" i="15"/>
  <c r="AD1401" i="15"/>
  <c r="AE1401" i="15"/>
  <c r="AF1401" i="15"/>
  <c r="AG1401" i="15"/>
  <c r="AH1401" i="15"/>
  <c r="AI1401" i="15"/>
  <c r="AJ1401" i="15"/>
  <c r="AK1401" i="15"/>
  <c r="AL1401" i="15"/>
  <c r="AM1401" i="15"/>
  <c r="AN1401" i="15"/>
  <c r="AO1401" i="15"/>
  <c r="R1402" i="15"/>
  <c r="S1402" i="15"/>
  <c r="T1402" i="15"/>
  <c r="U1402" i="15"/>
  <c r="V1402" i="15"/>
  <c r="W1402" i="15"/>
  <c r="X1402" i="15"/>
  <c r="Y1402" i="15"/>
  <c r="Z1402" i="15"/>
  <c r="AA1402" i="15"/>
  <c r="AB1402" i="15"/>
  <c r="AC1402" i="15"/>
  <c r="AD1402" i="15"/>
  <c r="AE1402" i="15"/>
  <c r="AF1402" i="15"/>
  <c r="AG1402" i="15"/>
  <c r="AH1402" i="15"/>
  <c r="AI1402" i="15"/>
  <c r="AJ1402" i="15"/>
  <c r="AK1402" i="15"/>
  <c r="AL1402" i="15"/>
  <c r="AM1402" i="15"/>
  <c r="AN1402" i="15"/>
  <c r="AO1402" i="15"/>
  <c r="R1403" i="15"/>
  <c r="S1403" i="15"/>
  <c r="T1403" i="15"/>
  <c r="U1403" i="15"/>
  <c r="V1403" i="15"/>
  <c r="W1403" i="15"/>
  <c r="X1403" i="15"/>
  <c r="Y1403" i="15"/>
  <c r="Z1403" i="15"/>
  <c r="AA1403" i="15"/>
  <c r="AB1403" i="15"/>
  <c r="AC1403" i="15"/>
  <c r="AD1403" i="15"/>
  <c r="AE1403" i="15"/>
  <c r="AF1403" i="15"/>
  <c r="AG1403" i="15"/>
  <c r="AH1403" i="15"/>
  <c r="AI1403" i="15"/>
  <c r="AJ1403" i="15"/>
  <c r="AK1403" i="15"/>
  <c r="AL1403" i="15"/>
  <c r="AM1403" i="15"/>
  <c r="AN1403" i="15"/>
  <c r="AO1403" i="15"/>
  <c r="R1404" i="15"/>
  <c r="S1404" i="15"/>
  <c r="T1404" i="15"/>
  <c r="U1404" i="15"/>
  <c r="V1404" i="15"/>
  <c r="W1404" i="15"/>
  <c r="X1404" i="15"/>
  <c r="Y1404" i="15"/>
  <c r="Z1404" i="15"/>
  <c r="AA1404" i="15"/>
  <c r="AB1404" i="15"/>
  <c r="AC1404" i="15"/>
  <c r="AD1404" i="15"/>
  <c r="AE1404" i="15"/>
  <c r="AF1404" i="15"/>
  <c r="AG1404" i="15"/>
  <c r="AH1404" i="15"/>
  <c r="AI1404" i="15"/>
  <c r="AJ1404" i="15"/>
  <c r="AK1404" i="15"/>
  <c r="AL1404" i="15"/>
  <c r="AM1404" i="15"/>
  <c r="AN1404" i="15"/>
  <c r="AO1404" i="15"/>
  <c r="R1405" i="15"/>
  <c r="S1405" i="15"/>
  <c r="T1405" i="15"/>
  <c r="U1405" i="15"/>
  <c r="V1405" i="15"/>
  <c r="W1405" i="15"/>
  <c r="X1405" i="15"/>
  <c r="Y1405" i="15"/>
  <c r="Z1405" i="15"/>
  <c r="AA1405" i="15"/>
  <c r="AB1405" i="15"/>
  <c r="AC1405" i="15"/>
  <c r="AD1405" i="15"/>
  <c r="AE1405" i="15"/>
  <c r="AF1405" i="15"/>
  <c r="AG1405" i="15"/>
  <c r="AH1405" i="15"/>
  <c r="AI1405" i="15"/>
  <c r="AJ1405" i="15"/>
  <c r="AK1405" i="15"/>
  <c r="AL1405" i="15"/>
  <c r="AM1405" i="15"/>
  <c r="AN1405" i="15"/>
  <c r="AO1405" i="15"/>
  <c r="R1406" i="15"/>
  <c r="S1406" i="15"/>
  <c r="T1406" i="15"/>
  <c r="U1406" i="15"/>
  <c r="V1406" i="15"/>
  <c r="W1406" i="15"/>
  <c r="X1406" i="15"/>
  <c r="Y1406" i="15"/>
  <c r="Z1406" i="15"/>
  <c r="AA1406" i="15"/>
  <c r="AB1406" i="15"/>
  <c r="AC1406" i="15"/>
  <c r="AD1406" i="15"/>
  <c r="AE1406" i="15"/>
  <c r="AF1406" i="15"/>
  <c r="AG1406" i="15"/>
  <c r="AH1406" i="15"/>
  <c r="AI1406" i="15"/>
  <c r="AJ1406" i="15"/>
  <c r="AK1406" i="15"/>
  <c r="AL1406" i="15"/>
  <c r="AM1406" i="15"/>
  <c r="AN1406" i="15"/>
  <c r="AO1406" i="15"/>
  <c r="R1407" i="15"/>
  <c r="S1407" i="15"/>
  <c r="T1407" i="15"/>
  <c r="U1407" i="15"/>
  <c r="V1407" i="15"/>
  <c r="W1407" i="15"/>
  <c r="X1407" i="15"/>
  <c r="Y1407" i="15"/>
  <c r="Z1407" i="15"/>
  <c r="AA1407" i="15"/>
  <c r="AB1407" i="15"/>
  <c r="AC1407" i="15"/>
  <c r="AD1407" i="15"/>
  <c r="AE1407" i="15"/>
  <c r="AF1407" i="15"/>
  <c r="AG1407" i="15"/>
  <c r="AH1407" i="15"/>
  <c r="AI1407" i="15"/>
  <c r="AJ1407" i="15"/>
  <c r="AK1407" i="15"/>
  <c r="AL1407" i="15"/>
  <c r="AM1407" i="15"/>
  <c r="AN1407" i="15"/>
  <c r="AO1407" i="15"/>
  <c r="R1408" i="15"/>
  <c r="S1408" i="15"/>
  <c r="T1408" i="15"/>
  <c r="U1408" i="15"/>
  <c r="V1408" i="15"/>
  <c r="W1408" i="15"/>
  <c r="X1408" i="15"/>
  <c r="Y1408" i="15"/>
  <c r="Z1408" i="15"/>
  <c r="AA1408" i="15"/>
  <c r="AB1408" i="15"/>
  <c r="AC1408" i="15"/>
  <c r="AD1408" i="15"/>
  <c r="AE1408" i="15"/>
  <c r="AF1408" i="15"/>
  <c r="AG1408" i="15"/>
  <c r="AH1408" i="15"/>
  <c r="AI1408" i="15"/>
  <c r="AJ1408" i="15"/>
  <c r="AK1408" i="15"/>
  <c r="AL1408" i="15"/>
  <c r="AM1408" i="15"/>
  <c r="AN1408" i="15"/>
  <c r="AO1408" i="15"/>
  <c r="R1409" i="15"/>
  <c r="S1409" i="15"/>
  <c r="T1409" i="15"/>
  <c r="U1409" i="15"/>
  <c r="V1409" i="15"/>
  <c r="W1409" i="15"/>
  <c r="X1409" i="15"/>
  <c r="Y1409" i="15"/>
  <c r="Z1409" i="15"/>
  <c r="AA1409" i="15"/>
  <c r="AB1409" i="15"/>
  <c r="AC1409" i="15"/>
  <c r="AD1409" i="15"/>
  <c r="AE1409" i="15"/>
  <c r="AF1409" i="15"/>
  <c r="AG1409" i="15"/>
  <c r="AH1409" i="15"/>
  <c r="AI1409" i="15"/>
  <c r="AJ1409" i="15"/>
  <c r="AK1409" i="15"/>
  <c r="AL1409" i="15"/>
  <c r="AM1409" i="15"/>
  <c r="AN1409" i="15"/>
  <c r="AO1409" i="15"/>
  <c r="R1410" i="15"/>
  <c r="S1410" i="15"/>
  <c r="T1410" i="15"/>
  <c r="U1410" i="15"/>
  <c r="V1410" i="15"/>
  <c r="W1410" i="15"/>
  <c r="X1410" i="15"/>
  <c r="Y1410" i="15"/>
  <c r="Z1410" i="15"/>
  <c r="AA1410" i="15"/>
  <c r="AB1410" i="15"/>
  <c r="AC1410" i="15"/>
  <c r="AD1410" i="15"/>
  <c r="AE1410" i="15"/>
  <c r="AF1410" i="15"/>
  <c r="AG1410" i="15"/>
  <c r="AH1410" i="15"/>
  <c r="AI1410" i="15"/>
  <c r="AJ1410" i="15"/>
  <c r="AK1410" i="15"/>
  <c r="AL1410" i="15"/>
  <c r="AM1410" i="15"/>
  <c r="AN1410" i="15"/>
  <c r="AO1410" i="15"/>
  <c r="R1411" i="15"/>
  <c r="S1411" i="15"/>
  <c r="T1411" i="15"/>
  <c r="U1411" i="15"/>
  <c r="V1411" i="15"/>
  <c r="W1411" i="15"/>
  <c r="X1411" i="15"/>
  <c r="Y1411" i="15"/>
  <c r="Z1411" i="15"/>
  <c r="AA1411" i="15"/>
  <c r="AB1411" i="15"/>
  <c r="AC1411" i="15"/>
  <c r="AD1411" i="15"/>
  <c r="AE1411" i="15"/>
  <c r="AF1411" i="15"/>
  <c r="AG1411" i="15"/>
  <c r="AH1411" i="15"/>
  <c r="AI1411" i="15"/>
  <c r="AJ1411" i="15"/>
  <c r="AK1411" i="15"/>
  <c r="AL1411" i="15"/>
  <c r="AM1411" i="15"/>
  <c r="AN1411" i="15"/>
  <c r="AO1411" i="15"/>
  <c r="R1412" i="15"/>
  <c r="S1412" i="15"/>
  <c r="T1412" i="15"/>
  <c r="U1412" i="15"/>
  <c r="V1412" i="15"/>
  <c r="W1412" i="15"/>
  <c r="X1412" i="15"/>
  <c r="Y1412" i="15"/>
  <c r="Z1412" i="15"/>
  <c r="AA1412" i="15"/>
  <c r="AB1412" i="15"/>
  <c r="AC1412" i="15"/>
  <c r="AD1412" i="15"/>
  <c r="AE1412" i="15"/>
  <c r="AF1412" i="15"/>
  <c r="AG1412" i="15"/>
  <c r="AH1412" i="15"/>
  <c r="AI1412" i="15"/>
  <c r="AJ1412" i="15"/>
  <c r="AK1412" i="15"/>
  <c r="AL1412" i="15"/>
  <c r="AM1412" i="15"/>
  <c r="AN1412" i="15"/>
  <c r="AO1412" i="15"/>
  <c r="R1413" i="15"/>
  <c r="S1413" i="15"/>
  <c r="T1413" i="15"/>
  <c r="U1413" i="15"/>
  <c r="V1413" i="15"/>
  <c r="W1413" i="15"/>
  <c r="X1413" i="15"/>
  <c r="Y1413" i="15"/>
  <c r="Z1413" i="15"/>
  <c r="AA1413" i="15"/>
  <c r="AB1413" i="15"/>
  <c r="AC1413" i="15"/>
  <c r="AD1413" i="15"/>
  <c r="AE1413" i="15"/>
  <c r="AF1413" i="15"/>
  <c r="AG1413" i="15"/>
  <c r="AH1413" i="15"/>
  <c r="AI1413" i="15"/>
  <c r="AJ1413" i="15"/>
  <c r="AK1413" i="15"/>
  <c r="AL1413" i="15"/>
  <c r="AM1413" i="15"/>
  <c r="AN1413" i="15"/>
  <c r="AO1413" i="15"/>
  <c r="R1414" i="15"/>
  <c r="S1414" i="15"/>
  <c r="T1414" i="15"/>
  <c r="U1414" i="15"/>
  <c r="V1414" i="15"/>
  <c r="W1414" i="15"/>
  <c r="X1414" i="15"/>
  <c r="Y1414" i="15"/>
  <c r="Z1414" i="15"/>
  <c r="AA1414" i="15"/>
  <c r="AB1414" i="15"/>
  <c r="AC1414" i="15"/>
  <c r="AD1414" i="15"/>
  <c r="AE1414" i="15"/>
  <c r="AF1414" i="15"/>
  <c r="AG1414" i="15"/>
  <c r="AH1414" i="15"/>
  <c r="AI1414" i="15"/>
  <c r="AJ1414" i="15"/>
  <c r="AK1414" i="15"/>
  <c r="AL1414" i="15"/>
  <c r="AM1414" i="15"/>
  <c r="AN1414" i="15"/>
  <c r="AO1414" i="15"/>
  <c r="R1415" i="15"/>
  <c r="S1415" i="15"/>
  <c r="T1415" i="15"/>
  <c r="U1415" i="15"/>
  <c r="V1415" i="15"/>
  <c r="W1415" i="15"/>
  <c r="X1415" i="15"/>
  <c r="Y1415" i="15"/>
  <c r="Z1415" i="15"/>
  <c r="AA1415" i="15"/>
  <c r="AB1415" i="15"/>
  <c r="AC1415" i="15"/>
  <c r="AD1415" i="15"/>
  <c r="AE1415" i="15"/>
  <c r="AF1415" i="15"/>
  <c r="AG1415" i="15"/>
  <c r="AH1415" i="15"/>
  <c r="AI1415" i="15"/>
  <c r="AJ1415" i="15"/>
  <c r="AK1415" i="15"/>
  <c r="AL1415" i="15"/>
  <c r="AM1415" i="15"/>
  <c r="AN1415" i="15"/>
  <c r="AO1415" i="15"/>
  <c r="R1416" i="15"/>
  <c r="S1416" i="15"/>
  <c r="T1416" i="15"/>
  <c r="U1416" i="15"/>
  <c r="V1416" i="15"/>
  <c r="W1416" i="15"/>
  <c r="X1416" i="15"/>
  <c r="Y1416" i="15"/>
  <c r="Z1416" i="15"/>
  <c r="AA1416" i="15"/>
  <c r="AB1416" i="15"/>
  <c r="AC1416" i="15"/>
  <c r="AD1416" i="15"/>
  <c r="AE1416" i="15"/>
  <c r="AF1416" i="15"/>
  <c r="AG1416" i="15"/>
  <c r="AH1416" i="15"/>
  <c r="AI1416" i="15"/>
  <c r="AJ1416" i="15"/>
  <c r="AK1416" i="15"/>
  <c r="AL1416" i="15"/>
  <c r="AM1416" i="15"/>
  <c r="AN1416" i="15"/>
  <c r="AO1416" i="15"/>
  <c r="R1417" i="15"/>
  <c r="S1417" i="15"/>
  <c r="T1417" i="15"/>
  <c r="U1417" i="15"/>
  <c r="V1417" i="15"/>
  <c r="W1417" i="15"/>
  <c r="X1417" i="15"/>
  <c r="Y1417" i="15"/>
  <c r="Z1417" i="15"/>
  <c r="AA1417" i="15"/>
  <c r="AB1417" i="15"/>
  <c r="AC1417" i="15"/>
  <c r="AD1417" i="15"/>
  <c r="AE1417" i="15"/>
  <c r="AF1417" i="15"/>
  <c r="AG1417" i="15"/>
  <c r="AH1417" i="15"/>
  <c r="AI1417" i="15"/>
  <c r="AJ1417" i="15"/>
  <c r="AK1417" i="15"/>
  <c r="AL1417" i="15"/>
  <c r="AM1417" i="15"/>
  <c r="AN1417" i="15"/>
  <c r="AO1417" i="15"/>
  <c r="R1418" i="15"/>
  <c r="S1418" i="15"/>
  <c r="T1418" i="15"/>
  <c r="U1418" i="15"/>
  <c r="V1418" i="15"/>
  <c r="W1418" i="15"/>
  <c r="X1418" i="15"/>
  <c r="Y1418" i="15"/>
  <c r="Z1418" i="15"/>
  <c r="AA1418" i="15"/>
  <c r="AB1418" i="15"/>
  <c r="AC1418" i="15"/>
  <c r="AD1418" i="15"/>
  <c r="AE1418" i="15"/>
  <c r="AF1418" i="15"/>
  <c r="AG1418" i="15"/>
  <c r="AH1418" i="15"/>
  <c r="AI1418" i="15"/>
  <c r="AJ1418" i="15"/>
  <c r="AK1418" i="15"/>
  <c r="AL1418" i="15"/>
  <c r="AM1418" i="15"/>
  <c r="AN1418" i="15"/>
  <c r="AO1418" i="15"/>
  <c r="R1419" i="15"/>
  <c r="S1419" i="15"/>
  <c r="T1419" i="15"/>
  <c r="U1419" i="15"/>
  <c r="V1419" i="15"/>
  <c r="W1419" i="15"/>
  <c r="X1419" i="15"/>
  <c r="Y1419" i="15"/>
  <c r="Z1419" i="15"/>
  <c r="AA1419" i="15"/>
  <c r="AB1419" i="15"/>
  <c r="AC1419" i="15"/>
  <c r="AD1419" i="15"/>
  <c r="AE1419" i="15"/>
  <c r="AF1419" i="15"/>
  <c r="AG1419" i="15"/>
  <c r="AH1419" i="15"/>
  <c r="AI1419" i="15"/>
  <c r="AJ1419" i="15"/>
  <c r="AK1419" i="15"/>
  <c r="AL1419" i="15"/>
  <c r="AM1419" i="15"/>
  <c r="AN1419" i="15"/>
  <c r="AO1419" i="15"/>
  <c r="R1420" i="15"/>
  <c r="S1420" i="15"/>
  <c r="T1420" i="15"/>
  <c r="U1420" i="15"/>
  <c r="V1420" i="15"/>
  <c r="W1420" i="15"/>
  <c r="X1420" i="15"/>
  <c r="Y1420" i="15"/>
  <c r="Z1420" i="15"/>
  <c r="AA1420" i="15"/>
  <c r="AB1420" i="15"/>
  <c r="AC1420" i="15"/>
  <c r="AD1420" i="15"/>
  <c r="AE1420" i="15"/>
  <c r="AF1420" i="15"/>
  <c r="AG1420" i="15"/>
  <c r="AH1420" i="15"/>
  <c r="AI1420" i="15"/>
  <c r="AJ1420" i="15"/>
  <c r="AK1420" i="15"/>
  <c r="AL1420" i="15"/>
  <c r="AM1420" i="15"/>
  <c r="AN1420" i="15"/>
  <c r="AO1420" i="15"/>
  <c r="R1421" i="15"/>
  <c r="S1421" i="15"/>
  <c r="T1421" i="15"/>
  <c r="U1421" i="15"/>
  <c r="V1421" i="15"/>
  <c r="W1421" i="15"/>
  <c r="X1421" i="15"/>
  <c r="Y1421" i="15"/>
  <c r="Z1421" i="15"/>
  <c r="AA1421" i="15"/>
  <c r="AB1421" i="15"/>
  <c r="AC1421" i="15"/>
  <c r="AD1421" i="15"/>
  <c r="AE1421" i="15"/>
  <c r="AF1421" i="15"/>
  <c r="AG1421" i="15"/>
  <c r="AH1421" i="15"/>
  <c r="AI1421" i="15"/>
  <c r="AJ1421" i="15"/>
  <c r="AK1421" i="15"/>
  <c r="AL1421" i="15"/>
  <c r="AM1421" i="15"/>
  <c r="AN1421" i="15"/>
  <c r="AO1421" i="15"/>
  <c r="R1422" i="15"/>
  <c r="S1422" i="15"/>
  <c r="T1422" i="15"/>
  <c r="U1422" i="15"/>
  <c r="V1422" i="15"/>
  <c r="W1422" i="15"/>
  <c r="X1422" i="15"/>
  <c r="Y1422" i="15"/>
  <c r="Z1422" i="15"/>
  <c r="AA1422" i="15"/>
  <c r="AB1422" i="15"/>
  <c r="AC1422" i="15"/>
  <c r="AD1422" i="15"/>
  <c r="AE1422" i="15"/>
  <c r="AF1422" i="15"/>
  <c r="AG1422" i="15"/>
  <c r="AH1422" i="15"/>
  <c r="AI1422" i="15"/>
  <c r="AJ1422" i="15"/>
  <c r="AK1422" i="15"/>
  <c r="AL1422" i="15"/>
  <c r="AM1422" i="15"/>
  <c r="AN1422" i="15"/>
  <c r="AO1422" i="15"/>
  <c r="R1423" i="15"/>
  <c r="S1423" i="15"/>
  <c r="T1423" i="15"/>
  <c r="U1423" i="15"/>
  <c r="V1423" i="15"/>
  <c r="W1423" i="15"/>
  <c r="X1423" i="15"/>
  <c r="Y1423" i="15"/>
  <c r="Z1423" i="15"/>
  <c r="AA1423" i="15"/>
  <c r="AB1423" i="15"/>
  <c r="AC1423" i="15"/>
  <c r="AD1423" i="15"/>
  <c r="AE1423" i="15"/>
  <c r="AF1423" i="15"/>
  <c r="AG1423" i="15"/>
  <c r="AH1423" i="15"/>
  <c r="AI1423" i="15"/>
  <c r="AJ1423" i="15"/>
  <c r="AK1423" i="15"/>
  <c r="AL1423" i="15"/>
  <c r="AM1423" i="15"/>
  <c r="AN1423" i="15"/>
  <c r="AO1423" i="15"/>
  <c r="R1424" i="15"/>
  <c r="S1424" i="15"/>
  <c r="T1424" i="15"/>
  <c r="U1424" i="15"/>
  <c r="V1424" i="15"/>
  <c r="W1424" i="15"/>
  <c r="X1424" i="15"/>
  <c r="Y1424" i="15"/>
  <c r="Z1424" i="15"/>
  <c r="AA1424" i="15"/>
  <c r="AB1424" i="15"/>
  <c r="AC1424" i="15"/>
  <c r="AD1424" i="15"/>
  <c r="AE1424" i="15"/>
  <c r="AF1424" i="15"/>
  <c r="AG1424" i="15"/>
  <c r="AH1424" i="15"/>
  <c r="AI1424" i="15"/>
  <c r="AJ1424" i="15"/>
  <c r="AK1424" i="15"/>
  <c r="AL1424" i="15"/>
  <c r="AM1424" i="15"/>
  <c r="AN1424" i="15"/>
  <c r="AO1424" i="15"/>
  <c r="R1425" i="15"/>
  <c r="S1425" i="15"/>
  <c r="T1425" i="15"/>
  <c r="U1425" i="15"/>
  <c r="V1425" i="15"/>
  <c r="W1425" i="15"/>
  <c r="X1425" i="15"/>
  <c r="Y1425" i="15"/>
  <c r="Z1425" i="15"/>
  <c r="AA1425" i="15"/>
  <c r="AB1425" i="15"/>
  <c r="AC1425" i="15"/>
  <c r="AD1425" i="15"/>
  <c r="AE1425" i="15"/>
  <c r="AF1425" i="15"/>
  <c r="AG1425" i="15"/>
  <c r="AH1425" i="15"/>
  <c r="AI1425" i="15"/>
  <c r="AJ1425" i="15"/>
  <c r="AK1425" i="15"/>
  <c r="AL1425" i="15"/>
  <c r="AM1425" i="15"/>
  <c r="AN1425" i="15"/>
  <c r="AO1425" i="15"/>
  <c r="R1426" i="15"/>
  <c r="S1426" i="15"/>
  <c r="T1426" i="15"/>
  <c r="U1426" i="15"/>
  <c r="V1426" i="15"/>
  <c r="W1426" i="15"/>
  <c r="X1426" i="15"/>
  <c r="Y1426" i="15"/>
  <c r="Z1426" i="15"/>
  <c r="AA1426" i="15"/>
  <c r="AB1426" i="15"/>
  <c r="AC1426" i="15"/>
  <c r="AD1426" i="15"/>
  <c r="AE1426" i="15"/>
  <c r="AF1426" i="15"/>
  <c r="AG1426" i="15"/>
  <c r="AH1426" i="15"/>
  <c r="AI1426" i="15"/>
  <c r="AJ1426" i="15"/>
  <c r="AK1426" i="15"/>
  <c r="AL1426" i="15"/>
  <c r="AM1426" i="15"/>
  <c r="AN1426" i="15"/>
  <c r="AO1426" i="15"/>
  <c r="R1427" i="15"/>
  <c r="S1427" i="15"/>
  <c r="T1427" i="15"/>
  <c r="U1427" i="15"/>
  <c r="V1427" i="15"/>
  <c r="W1427" i="15"/>
  <c r="X1427" i="15"/>
  <c r="Y1427" i="15"/>
  <c r="Z1427" i="15"/>
  <c r="AA1427" i="15"/>
  <c r="AB1427" i="15"/>
  <c r="AC1427" i="15"/>
  <c r="AD1427" i="15"/>
  <c r="AE1427" i="15"/>
  <c r="AF1427" i="15"/>
  <c r="AG1427" i="15"/>
  <c r="AH1427" i="15"/>
  <c r="AI1427" i="15"/>
  <c r="AJ1427" i="15"/>
  <c r="AK1427" i="15"/>
  <c r="AL1427" i="15"/>
  <c r="AM1427" i="15"/>
  <c r="AN1427" i="15"/>
  <c r="AO1427" i="15"/>
  <c r="R1428" i="15"/>
  <c r="S1428" i="15"/>
  <c r="T1428" i="15"/>
  <c r="U1428" i="15"/>
  <c r="V1428" i="15"/>
  <c r="W1428" i="15"/>
  <c r="X1428" i="15"/>
  <c r="Y1428" i="15"/>
  <c r="Z1428" i="15"/>
  <c r="AA1428" i="15"/>
  <c r="AB1428" i="15"/>
  <c r="AC1428" i="15"/>
  <c r="AD1428" i="15"/>
  <c r="AE1428" i="15"/>
  <c r="AF1428" i="15"/>
  <c r="AG1428" i="15"/>
  <c r="AH1428" i="15"/>
  <c r="AI1428" i="15"/>
  <c r="AJ1428" i="15"/>
  <c r="AK1428" i="15"/>
  <c r="AL1428" i="15"/>
  <c r="AM1428" i="15"/>
  <c r="AN1428" i="15"/>
  <c r="AO1428" i="15"/>
  <c r="R1429" i="15"/>
  <c r="S1429" i="15"/>
  <c r="T1429" i="15"/>
  <c r="U1429" i="15"/>
  <c r="V1429" i="15"/>
  <c r="W1429" i="15"/>
  <c r="X1429" i="15"/>
  <c r="Y1429" i="15"/>
  <c r="Z1429" i="15"/>
  <c r="AA1429" i="15"/>
  <c r="AB1429" i="15"/>
  <c r="AC1429" i="15"/>
  <c r="AD1429" i="15"/>
  <c r="AE1429" i="15"/>
  <c r="AF1429" i="15"/>
  <c r="AG1429" i="15"/>
  <c r="AH1429" i="15"/>
  <c r="AI1429" i="15"/>
  <c r="AJ1429" i="15"/>
  <c r="AK1429" i="15"/>
  <c r="AL1429" i="15"/>
  <c r="AM1429" i="15"/>
  <c r="AN1429" i="15"/>
  <c r="AO1429" i="15"/>
  <c r="R1430" i="15"/>
  <c r="S1430" i="15"/>
  <c r="T1430" i="15"/>
  <c r="U1430" i="15"/>
  <c r="V1430" i="15"/>
  <c r="W1430" i="15"/>
  <c r="X1430" i="15"/>
  <c r="Y1430" i="15"/>
  <c r="Z1430" i="15"/>
  <c r="AA1430" i="15"/>
  <c r="AB1430" i="15"/>
  <c r="AC1430" i="15"/>
  <c r="AD1430" i="15"/>
  <c r="AE1430" i="15"/>
  <c r="AF1430" i="15"/>
  <c r="AG1430" i="15"/>
  <c r="AH1430" i="15"/>
  <c r="AI1430" i="15"/>
  <c r="AJ1430" i="15"/>
  <c r="AK1430" i="15"/>
  <c r="AL1430" i="15"/>
  <c r="AM1430" i="15"/>
  <c r="AN1430" i="15"/>
  <c r="AO1430" i="15"/>
  <c r="R1431" i="15"/>
  <c r="S1431" i="15"/>
  <c r="T1431" i="15"/>
  <c r="U1431" i="15"/>
  <c r="V1431" i="15"/>
  <c r="W1431" i="15"/>
  <c r="X1431" i="15"/>
  <c r="Y1431" i="15"/>
  <c r="Z1431" i="15"/>
  <c r="AA1431" i="15"/>
  <c r="AB1431" i="15"/>
  <c r="AC1431" i="15"/>
  <c r="AD1431" i="15"/>
  <c r="AE1431" i="15"/>
  <c r="AF1431" i="15"/>
  <c r="AG1431" i="15"/>
  <c r="AH1431" i="15"/>
  <c r="AI1431" i="15"/>
  <c r="AJ1431" i="15"/>
  <c r="AK1431" i="15"/>
  <c r="AL1431" i="15"/>
  <c r="AM1431" i="15"/>
  <c r="AN1431" i="15"/>
  <c r="AO1431" i="15"/>
  <c r="R1432" i="15"/>
  <c r="S1432" i="15"/>
  <c r="T1432" i="15"/>
  <c r="U1432" i="15"/>
  <c r="V1432" i="15"/>
  <c r="W1432" i="15"/>
  <c r="X1432" i="15"/>
  <c r="Y1432" i="15"/>
  <c r="Z1432" i="15"/>
  <c r="AA1432" i="15"/>
  <c r="AB1432" i="15"/>
  <c r="AC1432" i="15"/>
  <c r="AD1432" i="15"/>
  <c r="AE1432" i="15"/>
  <c r="AF1432" i="15"/>
  <c r="AG1432" i="15"/>
  <c r="AH1432" i="15"/>
  <c r="AI1432" i="15"/>
  <c r="AJ1432" i="15"/>
  <c r="AK1432" i="15"/>
  <c r="AL1432" i="15"/>
  <c r="AM1432" i="15"/>
  <c r="AN1432" i="15"/>
  <c r="AO1432" i="15"/>
  <c r="R1433" i="15"/>
  <c r="S1433" i="15"/>
  <c r="T1433" i="15"/>
  <c r="U1433" i="15"/>
  <c r="V1433" i="15"/>
  <c r="W1433" i="15"/>
  <c r="X1433" i="15"/>
  <c r="Y1433" i="15"/>
  <c r="Z1433" i="15"/>
  <c r="AA1433" i="15"/>
  <c r="AB1433" i="15"/>
  <c r="AC1433" i="15"/>
  <c r="AD1433" i="15"/>
  <c r="AE1433" i="15"/>
  <c r="AF1433" i="15"/>
  <c r="AG1433" i="15"/>
  <c r="AH1433" i="15"/>
  <c r="AI1433" i="15"/>
  <c r="AJ1433" i="15"/>
  <c r="AK1433" i="15"/>
  <c r="AL1433" i="15"/>
  <c r="AM1433" i="15"/>
  <c r="AN1433" i="15"/>
  <c r="AO1433" i="15"/>
  <c r="R1434" i="15"/>
  <c r="S1434" i="15"/>
  <c r="T1434" i="15"/>
  <c r="U1434" i="15"/>
  <c r="V1434" i="15"/>
  <c r="W1434" i="15"/>
  <c r="X1434" i="15"/>
  <c r="Y1434" i="15"/>
  <c r="Z1434" i="15"/>
  <c r="AA1434" i="15"/>
  <c r="AB1434" i="15"/>
  <c r="AC1434" i="15"/>
  <c r="AD1434" i="15"/>
  <c r="AE1434" i="15"/>
  <c r="AF1434" i="15"/>
  <c r="AG1434" i="15"/>
  <c r="AH1434" i="15"/>
  <c r="AI1434" i="15"/>
  <c r="AJ1434" i="15"/>
  <c r="AK1434" i="15"/>
  <c r="AL1434" i="15"/>
  <c r="AM1434" i="15"/>
  <c r="AN1434" i="15"/>
  <c r="AO1434" i="15"/>
  <c r="R1435" i="15"/>
  <c r="S1435" i="15"/>
  <c r="T1435" i="15"/>
  <c r="U1435" i="15"/>
  <c r="V1435" i="15"/>
  <c r="W1435" i="15"/>
  <c r="X1435" i="15"/>
  <c r="Y1435" i="15"/>
  <c r="Z1435" i="15"/>
  <c r="AA1435" i="15"/>
  <c r="AB1435" i="15"/>
  <c r="AC1435" i="15"/>
  <c r="AD1435" i="15"/>
  <c r="AE1435" i="15"/>
  <c r="AF1435" i="15"/>
  <c r="AG1435" i="15"/>
  <c r="AH1435" i="15"/>
  <c r="AI1435" i="15"/>
  <c r="AJ1435" i="15"/>
  <c r="AK1435" i="15"/>
  <c r="AL1435" i="15"/>
  <c r="AM1435" i="15"/>
  <c r="AN1435" i="15"/>
  <c r="AO1435" i="15"/>
  <c r="R1436" i="15"/>
  <c r="S1436" i="15"/>
  <c r="T1436" i="15"/>
  <c r="U1436" i="15"/>
  <c r="V1436" i="15"/>
  <c r="W1436" i="15"/>
  <c r="X1436" i="15"/>
  <c r="Y1436" i="15"/>
  <c r="Z1436" i="15"/>
  <c r="AA1436" i="15"/>
  <c r="AB1436" i="15"/>
  <c r="AC1436" i="15"/>
  <c r="AD1436" i="15"/>
  <c r="AE1436" i="15"/>
  <c r="AF1436" i="15"/>
  <c r="AG1436" i="15"/>
  <c r="AH1436" i="15"/>
  <c r="AI1436" i="15"/>
  <c r="AJ1436" i="15"/>
  <c r="AK1436" i="15"/>
  <c r="AL1436" i="15"/>
  <c r="AM1436" i="15"/>
  <c r="AN1436" i="15"/>
  <c r="AO1436" i="15"/>
  <c r="R1437" i="15"/>
  <c r="S1437" i="15"/>
  <c r="T1437" i="15"/>
  <c r="U1437" i="15"/>
  <c r="V1437" i="15"/>
  <c r="W1437" i="15"/>
  <c r="X1437" i="15"/>
  <c r="Y1437" i="15"/>
  <c r="Z1437" i="15"/>
  <c r="AA1437" i="15"/>
  <c r="AB1437" i="15"/>
  <c r="AC1437" i="15"/>
  <c r="AD1437" i="15"/>
  <c r="AE1437" i="15"/>
  <c r="AF1437" i="15"/>
  <c r="AG1437" i="15"/>
  <c r="AH1437" i="15"/>
  <c r="AI1437" i="15"/>
  <c r="AJ1437" i="15"/>
  <c r="AK1437" i="15"/>
  <c r="AL1437" i="15"/>
  <c r="AM1437" i="15"/>
  <c r="AN1437" i="15"/>
  <c r="AO1437" i="15"/>
  <c r="R1438" i="15"/>
  <c r="S1438" i="15"/>
  <c r="T1438" i="15"/>
  <c r="U1438" i="15"/>
  <c r="V1438" i="15"/>
  <c r="W1438" i="15"/>
  <c r="X1438" i="15"/>
  <c r="Y1438" i="15"/>
  <c r="Z1438" i="15"/>
  <c r="AA1438" i="15"/>
  <c r="AB1438" i="15"/>
  <c r="AC1438" i="15"/>
  <c r="AD1438" i="15"/>
  <c r="AE1438" i="15"/>
  <c r="AF1438" i="15"/>
  <c r="AG1438" i="15"/>
  <c r="AH1438" i="15"/>
  <c r="AI1438" i="15"/>
  <c r="AJ1438" i="15"/>
  <c r="AK1438" i="15"/>
  <c r="AL1438" i="15"/>
  <c r="AM1438" i="15"/>
  <c r="AN1438" i="15"/>
  <c r="AO1438" i="15"/>
  <c r="R1439" i="15"/>
  <c r="S1439" i="15"/>
  <c r="T1439" i="15"/>
  <c r="U1439" i="15"/>
  <c r="V1439" i="15"/>
  <c r="W1439" i="15"/>
  <c r="X1439" i="15"/>
  <c r="Y1439" i="15"/>
  <c r="Z1439" i="15"/>
  <c r="AA1439" i="15"/>
  <c r="AB1439" i="15"/>
  <c r="AC1439" i="15"/>
  <c r="AD1439" i="15"/>
  <c r="AE1439" i="15"/>
  <c r="AF1439" i="15"/>
  <c r="AG1439" i="15"/>
  <c r="AH1439" i="15"/>
  <c r="AI1439" i="15"/>
  <c r="AJ1439" i="15"/>
  <c r="AK1439" i="15"/>
  <c r="AL1439" i="15"/>
  <c r="AM1439" i="15"/>
  <c r="AN1439" i="15"/>
  <c r="AO1439" i="15"/>
  <c r="R1440" i="15"/>
  <c r="S1440" i="15"/>
  <c r="T1440" i="15"/>
  <c r="U1440" i="15"/>
  <c r="V1440" i="15"/>
  <c r="W1440" i="15"/>
  <c r="X1440" i="15"/>
  <c r="Y1440" i="15"/>
  <c r="Z1440" i="15"/>
  <c r="AA1440" i="15"/>
  <c r="AB1440" i="15"/>
  <c r="AC1440" i="15"/>
  <c r="AD1440" i="15"/>
  <c r="AE1440" i="15"/>
  <c r="AF1440" i="15"/>
  <c r="AG1440" i="15"/>
  <c r="AH1440" i="15"/>
  <c r="AI1440" i="15"/>
  <c r="AJ1440" i="15"/>
  <c r="AK1440" i="15"/>
  <c r="AL1440" i="15"/>
  <c r="AM1440" i="15"/>
  <c r="AN1440" i="15"/>
  <c r="AO1440" i="15"/>
  <c r="R1441" i="15"/>
  <c r="S1441" i="15"/>
  <c r="T1441" i="15"/>
  <c r="U1441" i="15"/>
  <c r="V1441" i="15"/>
  <c r="W1441" i="15"/>
  <c r="X1441" i="15"/>
  <c r="Y1441" i="15"/>
  <c r="Z1441" i="15"/>
  <c r="AA1441" i="15"/>
  <c r="AB1441" i="15"/>
  <c r="AC1441" i="15"/>
  <c r="AD1441" i="15"/>
  <c r="AE1441" i="15"/>
  <c r="AF1441" i="15"/>
  <c r="AG1441" i="15"/>
  <c r="AH1441" i="15"/>
  <c r="AI1441" i="15"/>
  <c r="AJ1441" i="15"/>
  <c r="AK1441" i="15"/>
  <c r="AL1441" i="15"/>
  <c r="AM1441" i="15"/>
  <c r="AN1441" i="15"/>
  <c r="AO1441" i="15"/>
  <c r="R1442" i="15"/>
  <c r="S1442" i="15"/>
  <c r="T1442" i="15"/>
  <c r="U1442" i="15"/>
  <c r="V1442" i="15"/>
  <c r="W1442" i="15"/>
  <c r="X1442" i="15"/>
  <c r="Y1442" i="15"/>
  <c r="Z1442" i="15"/>
  <c r="AA1442" i="15"/>
  <c r="AB1442" i="15"/>
  <c r="AC1442" i="15"/>
  <c r="AD1442" i="15"/>
  <c r="AE1442" i="15"/>
  <c r="AF1442" i="15"/>
  <c r="AG1442" i="15"/>
  <c r="AH1442" i="15"/>
  <c r="AI1442" i="15"/>
  <c r="AJ1442" i="15"/>
  <c r="AK1442" i="15"/>
  <c r="AL1442" i="15"/>
  <c r="AM1442" i="15"/>
  <c r="AN1442" i="15"/>
  <c r="AO1442" i="15"/>
  <c r="R1443" i="15"/>
  <c r="S1443" i="15"/>
  <c r="T1443" i="15"/>
  <c r="U1443" i="15"/>
  <c r="V1443" i="15"/>
  <c r="W1443" i="15"/>
  <c r="X1443" i="15"/>
  <c r="Y1443" i="15"/>
  <c r="Z1443" i="15"/>
  <c r="AA1443" i="15"/>
  <c r="AB1443" i="15"/>
  <c r="AC1443" i="15"/>
  <c r="AD1443" i="15"/>
  <c r="AE1443" i="15"/>
  <c r="AF1443" i="15"/>
  <c r="AG1443" i="15"/>
  <c r="AH1443" i="15"/>
  <c r="AI1443" i="15"/>
  <c r="AJ1443" i="15"/>
  <c r="AK1443" i="15"/>
  <c r="AL1443" i="15"/>
  <c r="AM1443" i="15"/>
  <c r="AN1443" i="15"/>
  <c r="AO1443" i="15"/>
  <c r="R1444" i="15"/>
  <c r="S1444" i="15"/>
  <c r="T1444" i="15"/>
  <c r="U1444" i="15"/>
  <c r="V1444" i="15"/>
  <c r="W1444" i="15"/>
  <c r="X1444" i="15"/>
  <c r="Y1444" i="15"/>
  <c r="Z1444" i="15"/>
  <c r="AA1444" i="15"/>
  <c r="AB1444" i="15"/>
  <c r="AC1444" i="15"/>
  <c r="AD1444" i="15"/>
  <c r="AE1444" i="15"/>
  <c r="AF1444" i="15"/>
  <c r="AG1444" i="15"/>
  <c r="AH1444" i="15"/>
  <c r="AI1444" i="15"/>
  <c r="AJ1444" i="15"/>
  <c r="AK1444" i="15"/>
  <c r="AL1444" i="15"/>
  <c r="AM1444" i="15"/>
  <c r="AN1444" i="15"/>
  <c r="AO1444" i="15"/>
  <c r="R1445" i="15"/>
  <c r="S1445" i="15"/>
  <c r="T1445" i="15"/>
  <c r="U1445" i="15"/>
  <c r="V1445" i="15"/>
  <c r="W1445" i="15"/>
  <c r="X1445" i="15"/>
  <c r="Y1445" i="15"/>
  <c r="Z1445" i="15"/>
  <c r="AA1445" i="15"/>
  <c r="AB1445" i="15"/>
  <c r="AC1445" i="15"/>
  <c r="AD1445" i="15"/>
  <c r="AE1445" i="15"/>
  <c r="AF1445" i="15"/>
  <c r="AG1445" i="15"/>
  <c r="AH1445" i="15"/>
  <c r="AI1445" i="15"/>
  <c r="AJ1445" i="15"/>
  <c r="AK1445" i="15"/>
  <c r="AL1445" i="15"/>
  <c r="AM1445" i="15"/>
  <c r="AN1445" i="15"/>
  <c r="AO1445" i="15"/>
  <c r="R1446" i="15"/>
  <c r="S1446" i="15"/>
  <c r="T1446" i="15"/>
  <c r="U1446" i="15"/>
  <c r="V1446" i="15"/>
  <c r="W1446" i="15"/>
  <c r="X1446" i="15"/>
  <c r="Y1446" i="15"/>
  <c r="Z1446" i="15"/>
  <c r="AA1446" i="15"/>
  <c r="AB1446" i="15"/>
  <c r="AC1446" i="15"/>
  <c r="AD1446" i="15"/>
  <c r="AE1446" i="15"/>
  <c r="AF1446" i="15"/>
  <c r="AG1446" i="15"/>
  <c r="AH1446" i="15"/>
  <c r="AI1446" i="15"/>
  <c r="AJ1446" i="15"/>
  <c r="AK1446" i="15"/>
  <c r="AL1446" i="15"/>
  <c r="AM1446" i="15"/>
  <c r="AN1446" i="15"/>
  <c r="AO1446" i="15"/>
  <c r="R1447" i="15"/>
  <c r="S1447" i="15"/>
  <c r="T1447" i="15"/>
  <c r="U1447" i="15"/>
  <c r="V1447" i="15"/>
  <c r="W1447" i="15"/>
  <c r="X1447" i="15"/>
  <c r="Y1447" i="15"/>
  <c r="Z1447" i="15"/>
  <c r="AA1447" i="15"/>
  <c r="AB1447" i="15"/>
  <c r="AC1447" i="15"/>
  <c r="AD1447" i="15"/>
  <c r="AE1447" i="15"/>
  <c r="AF1447" i="15"/>
  <c r="AG1447" i="15"/>
  <c r="AH1447" i="15"/>
  <c r="AI1447" i="15"/>
  <c r="AJ1447" i="15"/>
  <c r="AK1447" i="15"/>
  <c r="AL1447" i="15"/>
  <c r="AM1447" i="15"/>
  <c r="AN1447" i="15"/>
  <c r="AO1447" i="15"/>
  <c r="R1448" i="15"/>
  <c r="S1448" i="15"/>
  <c r="T1448" i="15"/>
  <c r="U1448" i="15"/>
  <c r="V1448" i="15"/>
  <c r="W1448" i="15"/>
  <c r="X1448" i="15"/>
  <c r="Y1448" i="15"/>
  <c r="Z1448" i="15"/>
  <c r="AA1448" i="15"/>
  <c r="AB1448" i="15"/>
  <c r="AC1448" i="15"/>
  <c r="AD1448" i="15"/>
  <c r="AE1448" i="15"/>
  <c r="AF1448" i="15"/>
  <c r="AG1448" i="15"/>
  <c r="AH1448" i="15"/>
  <c r="AI1448" i="15"/>
  <c r="AJ1448" i="15"/>
  <c r="AK1448" i="15"/>
  <c r="AL1448" i="15"/>
  <c r="AM1448" i="15"/>
  <c r="AN1448" i="15"/>
  <c r="AO1448" i="15"/>
  <c r="R1449" i="15"/>
  <c r="S1449" i="15"/>
  <c r="T1449" i="15"/>
  <c r="U1449" i="15"/>
  <c r="V1449" i="15"/>
  <c r="W1449" i="15"/>
  <c r="X1449" i="15"/>
  <c r="Y1449" i="15"/>
  <c r="Z1449" i="15"/>
  <c r="AA1449" i="15"/>
  <c r="AB1449" i="15"/>
  <c r="AC1449" i="15"/>
  <c r="AD1449" i="15"/>
  <c r="AE1449" i="15"/>
  <c r="AF1449" i="15"/>
  <c r="AG1449" i="15"/>
  <c r="AH1449" i="15"/>
  <c r="AI1449" i="15"/>
  <c r="AJ1449" i="15"/>
  <c r="AK1449" i="15"/>
  <c r="AL1449" i="15"/>
  <c r="AM1449" i="15"/>
  <c r="AN1449" i="15"/>
  <c r="AO1449" i="15"/>
  <c r="R1450" i="15"/>
  <c r="S1450" i="15"/>
  <c r="T1450" i="15"/>
  <c r="U1450" i="15"/>
  <c r="V1450" i="15"/>
  <c r="W1450" i="15"/>
  <c r="X1450" i="15"/>
  <c r="Y1450" i="15"/>
  <c r="Z1450" i="15"/>
  <c r="AA1450" i="15"/>
  <c r="AB1450" i="15"/>
  <c r="AC1450" i="15"/>
  <c r="AD1450" i="15"/>
  <c r="AE1450" i="15"/>
  <c r="AF1450" i="15"/>
  <c r="AG1450" i="15"/>
  <c r="AH1450" i="15"/>
  <c r="AI1450" i="15"/>
  <c r="AJ1450" i="15"/>
  <c r="AK1450" i="15"/>
  <c r="AL1450" i="15"/>
  <c r="AM1450" i="15"/>
  <c r="AN1450" i="15"/>
  <c r="AO1450" i="15"/>
  <c r="R1451" i="15"/>
  <c r="S1451" i="15"/>
  <c r="T1451" i="15"/>
  <c r="U1451" i="15"/>
  <c r="V1451" i="15"/>
  <c r="W1451" i="15"/>
  <c r="X1451" i="15"/>
  <c r="Y1451" i="15"/>
  <c r="Z1451" i="15"/>
  <c r="AA1451" i="15"/>
  <c r="AB1451" i="15"/>
  <c r="AC1451" i="15"/>
  <c r="AD1451" i="15"/>
  <c r="AE1451" i="15"/>
  <c r="AF1451" i="15"/>
  <c r="AG1451" i="15"/>
  <c r="AH1451" i="15"/>
  <c r="AI1451" i="15"/>
  <c r="AJ1451" i="15"/>
  <c r="AK1451" i="15"/>
  <c r="AL1451" i="15"/>
  <c r="AM1451" i="15"/>
  <c r="AN1451" i="15"/>
  <c r="AO1451" i="15"/>
  <c r="R1452" i="15"/>
  <c r="S1452" i="15"/>
  <c r="T1452" i="15"/>
  <c r="U1452" i="15"/>
  <c r="V1452" i="15"/>
  <c r="W1452" i="15"/>
  <c r="X1452" i="15"/>
  <c r="Y1452" i="15"/>
  <c r="Z1452" i="15"/>
  <c r="AA1452" i="15"/>
  <c r="AB1452" i="15"/>
  <c r="AC1452" i="15"/>
  <c r="AD1452" i="15"/>
  <c r="AE1452" i="15"/>
  <c r="AF1452" i="15"/>
  <c r="AG1452" i="15"/>
  <c r="AH1452" i="15"/>
  <c r="AI1452" i="15"/>
  <c r="AJ1452" i="15"/>
  <c r="AK1452" i="15"/>
  <c r="AL1452" i="15"/>
  <c r="AM1452" i="15"/>
  <c r="AN1452" i="15"/>
  <c r="AO1452" i="15"/>
  <c r="R1453" i="15"/>
  <c r="S1453" i="15"/>
  <c r="T1453" i="15"/>
  <c r="U1453" i="15"/>
  <c r="V1453" i="15"/>
  <c r="W1453" i="15"/>
  <c r="X1453" i="15"/>
  <c r="Y1453" i="15"/>
  <c r="Z1453" i="15"/>
  <c r="AA1453" i="15"/>
  <c r="AB1453" i="15"/>
  <c r="AC1453" i="15"/>
  <c r="AD1453" i="15"/>
  <c r="AE1453" i="15"/>
  <c r="AF1453" i="15"/>
  <c r="AG1453" i="15"/>
  <c r="AH1453" i="15"/>
  <c r="AI1453" i="15"/>
  <c r="AJ1453" i="15"/>
  <c r="AK1453" i="15"/>
  <c r="AL1453" i="15"/>
  <c r="AM1453" i="15"/>
  <c r="AN1453" i="15"/>
  <c r="AO1453" i="15"/>
  <c r="R1454" i="15"/>
  <c r="S1454" i="15"/>
  <c r="T1454" i="15"/>
  <c r="U1454" i="15"/>
  <c r="V1454" i="15"/>
  <c r="W1454" i="15"/>
  <c r="X1454" i="15"/>
  <c r="Y1454" i="15"/>
  <c r="Z1454" i="15"/>
  <c r="AA1454" i="15"/>
  <c r="AB1454" i="15"/>
  <c r="AC1454" i="15"/>
  <c r="AD1454" i="15"/>
  <c r="AE1454" i="15"/>
  <c r="AF1454" i="15"/>
  <c r="AG1454" i="15"/>
  <c r="AH1454" i="15"/>
  <c r="AI1454" i="15"/>
  <c r="AJ1454" i="15"/>
  <c r="AK1454" i="15"/>
  <c r="AL1454" i="15"/>
  <c r="AM1454" i="15"/>
  <c r="AN1454" i="15"/>
  <c r="AO1454" i="15"/>
  <c r="R1455" i="15"/>
  <c r="S1455" i="15"/>
  <c r="T1455" i="15"/>
  <c r="U1455" i="15"/>
  <c r="V1455" i="15"/>
  <c r="W1455" i="15"/>
  <c r="X1455" i="15"/>
  <c r="Y1455" i="15"/>
  <c r="Z1455" i="15"/>
  <c r="AA1455" i="15"/>
  <c r="AB1455" i="15"/>
  <c r="AC1455" i="15"/>
  <c r="AD1455" i="15"/>
  <c r="AE1455" i="15"/>
  <c r="AF1455" i="15"/>
  <c r="AG1455" i="15"/>
  <c r="AH1455" i="15"/>
  <c r="AI1455" i="15"/>
  <c r="AJ1455" i="15"/>
  <c r="AK1455" i="15"/>
  <c r="AL1455" i="15"/>
  <c r="AM1455" i="15"/>
  <c r="AN1455" i="15"/>
  <c r="AO1455" i="15"/>
  <c r="R1456" i="15"/>
  <c r="S1456" i="15"/>
  <c r="T1456" i="15"/>
  <c r="U1456" i="15"/>
  <c r="V1456" i="15"/>
  <c r="W1456" i="15"/>
  <c r="X1456" i="15"/>
  <c r="Y1456" i="15"/>
  <c r="Z1456" i="15"/>
  <c r="AA1456" i="15"/>
  <c r="AB1456" i="15"/>
  <c r="AC1456" i="15"/>
  <c r="AD1456" i="15"/>
  <c r="AE1456" i="15"/>
  <c r="AF1456" i="15"/>
  <c r="AG1456" i="15"/>
  <c r="AH1456" i="15"/>
  <c r="AI1456" i="15"/>
  <c r="AJ1456" i="15"/>
  <c r="AK1456" i="15"/>
  <c r="AL1456" i="15"/>
  <c r="AM1456" i="15"/>
  <c r="AN1456" i="15"/>
  <c r="AO1456" i="15"/>
  <c r="R1457" i="15"/>
  <c r="S1457" i="15"/>
  <c r="T1457" i="15"/>
  <c r="U1457" i="15"/>
  <c r="V1457" i="15"/>
  <c r="W1457" i="15"/>
  <c r="X1457" i="15"/>
  <c r="Y1457" i="15"/>
  <c r="Z1457" i="15"/>
  <c r="AA1457" i="15"/>
  <c r="AB1457" i="15"/>
  <c r="AC1457" i="15"/>
  <c r="AD1457" i="15"/>
  <c r="AE1457" i="15"/>
  <c r="AF1457" i="15"/>
  <c r="AG1457" i="15"/>
  <c r="AH1457" i="15"/>
  <c r="AI1457" i="15"/>
  <c r="AJ1457" i="15"/>
  <c r="AK1457" i="15"/>
  <c r="AL1457" i="15"/>
  <c r="AM1457" i="15"/>
  <c r="AN1457" i="15"/>
  <c r="AO1457" i="15"/>
  <c r="R1458" i="15"/>
  <c r="S1458" i="15"/>
  <c r="T1458" i="15"/>
  <c r="U1458" i="15"/>
  <c r="V1458" i="15"/>
  <c r="W1458" i="15"/>
  <c r="X1458" i="15"/>
  <c r="Y1458" i="15"/>
  <c r="Z1458" i="15"/>
  <c r="AA1458" i="15"/>
  <c r="AB1458" i="15"/>
  <c r="AC1458" i="15"/>
  <c r="AD1458" i="15"/>
  <c r="AE1458" i="15"/>
  <c r="AF1458" i="15"/>
  <c r="AG1458" i="15"/>
  <c r="AH1458" i="15"/>
  <c r="AI1458" i="15"/>
  <c r="AJ1458" i="15"/>
  <c r="AK1458" i="15"/>
  <c r="AL1458" i="15"/>
  <c r="AM1458" i="15"/>
  <c r="AN1458" i="15"/>
  <c r="AO1458" i="15"/>
  <c r="R1459" i="15"/>
  <c r="S1459" i="15"/>
  <c r="T1459" i="15"/>
  <c r="U1459" i="15"/>
  <c r="V1459" i="15"/>
  <c r="W1459" i="15"/>
  <c r="X1459" i="15"/>
  <c r="Y1459" i="15"/>
  <c r="Z1459" i="15"/>
  <c r="AA1459" i="15"/>
  <c r="AB1459" i="15"/>
  <c r="AC1459" i="15"/>
  <c r="AD1459" i="15"/>
  <c r="AE1459" i="15"/>
  <c r="AF1459" i="15"/>
  <c r="AG1459" i="15"/>
  <c r="AH1459" i="15"/>
  <c r="AI1459" i="15"/>
  <c r="AJ1459" i="15"/>
  <c r="AK1459" i="15"/>
  <c r="AL1459" i="15"/>
  <c r="AM1459" i="15"/>
  <c r="AN1459" i="15"/>
  <c r="AO1459" i="15"/>
  <c r="R1460" i="15"/>
  <c r="S1460" i="15"/>
  <c r="T1460" i="15"/>
  <c r="U1460" i="15"/>
  <c r="V1460" i="15"/>
  <c r="W1460" i="15"/>
  <c r="X1460" i="15"/>
  <c r="Y1460" i="15"/>
  <c r="Z1460" i="15"/>
  <c r="AA1460" i="15"/>
  <c r="AB1460" i="15"/>
  <c r="AC1460" i="15"/>
  <c r="AD1460" i="15"/>
  <c r="AE1460" i="15"/>
  <c r="AF1460" i="15"/>
  <c r="AG1460" i="15"/>
  <c r="AH1460" i="15"/>
  <c r="AI1460" i="15"/>
  <c r="AJ1460" i="15"/>
  <c r="AK1460" i="15"/>
  <c r="AL1460" i="15"/>
  <c r="AM1460" i="15"/>
  <c r="AN1460" i="15"/>
  <c r="AO1460" i="15"/>
  <c r="R1461" i="15"/>
  <c r="S1461" i="15"/>
  <c r="T1461" i="15"/>
  <c r="U1461" i="15"/>
  <c r="V1461" i="15"/>
  <c r="W1461" i="15"/>
  <c r="X1461" i="15"/>
  <c r="Y1461" i="15"/>
  <c r="Z1461" i="15"/>
  <c r="AA1461" i="15"/>
  <c r="AB1461" i="15"/>
  <c r="AC1461" i="15"/>
  <c r="AD1461" i="15"/>
  <c r="AE1461" i="15"/>
  <c r="AF1461" i="15"/>
  <c r="AG1461" i="15"/>
  <c r="AH1461" i="15"/>
  <c r="AI1461" i="15"/>
  <c r="AJ1461" i="15"/>
  <c r="AK1461" i="15"/>
  <c r="AL1461" i="15"/>
  <c r="AM1461" i="15"/>
  <c r="AN1461" i="15"/>
  <c r="AO1461" i="15"/>
  <c r="R1462" i="15"/>
  <c r="S1462" i="15"/>
  <c r="T1462" i="15"/>
  <c r="U1462" i="15"/>
  <c r="V1462" i="15"/>
  <c r="W1462" i="15"/>
  <c r="X1462" i="15"/>
  <c r="Y1462" i="15"/>
  <c r="Z1462" i="15"/>
  <c r="AA1462" i="15"/>
  <c r="AB1462" i="15"/>
  <c r="AC1462" i="15"/>
  <c r="AD1462" i="15"/>
  <c r="AE1462" i="15"/>
  <c r="AF1462" i="15"/>
  <c r="AG1462" i="15"/>
  <c r="AH1462" i="15"/>
  <c r="AI1462" i="15"/>
  <c r="AJ1462" i="15"/>
  <c r="AK1462" i="15"/>
  <c r="AL1462" i="15"/>
  <c r="AM1462" i="15"/>
  <c r="AN1462" i="15"/>
  <c r="AO1462" i="15"/>
  <c r="R1463" i="15"/>
  <c r="S1463" i="15"/>
  <c r="T1463" i="15"/>
  <c r="U1463" i="15"/>
  <c r="V1463" i="15"/>
  <c r="W1463" i="15"/>
  <c r="X1463" i="15"/>
  <c r="Y1463" i="15"/>
  <c r="Z1463" i="15"/>
  <c r="AA1463" i="15"/>
  <c r="AB1463" i="15"/>
  <c r="AC1463" i="15"/>
  <c r="AD1463" i="15"/>
  <c r="AE1463" i="15"/>
  <c r="AF1463" i="15"/>
  <c r="AG1463" i="15"/>
  <c r="AH1463" i="15"/>
  <c r="AI1463" i="15"/>
  <c r="AJ1463" i="15"/>
  <c r="AK1463" i="15"/>
  <c r="AL1463" i="15"/>
  <c r="AM1463" i="15"/>
  <c r="AN1463" i="15"/>
  <c r="AO1463" i="15"/>
  <c r="R1464" i="15"/>
  <c r="S1464" i="15"/>
  <c r="T1464" i="15"/>
  <c r="U1464" i="15"/>
  <c r="V1464" i="15"/>
  <c r="W1464" i="15"/>
  <c r="X1464" i="15"/>
  <c r="Y1464" i="15"/>
  <c r="Z1464" i="15"/>
  <c r="AA1464" i="15"/>
  <c r="AB1464" i="15"/>
  <c r="AC1464" i="15"/>
  <c r="AD1464" i="15"/>
  <c r="AE1464" i="15"/>
  <c r="AF1464" i="15"/>
  <c r="AG1464" i="15"/>
  <c r="AH1464" i="15"/>
  <c r="AI1464" i="15"/>
  <c r="AJ1464" i="15"/>
  <c r="AK1464" i="15"/>
  <c r="AL1464" i="15"/>
  <c r="AM1464" i="15"/>
  <c r="AN1464" i="15"/>
  <c r="AO1464" i="15"/>
  <c r="R1465" i="15"/>
  <c r="S1465" i="15"/>
  <c r="T1465" i="15"/>
  <c r="U1465" i="15"/>
  <c r="V1465" i="15"/>
  <c r="W1465" i="15"/>
  <c r="X1465" i="15"/>
  <c r="Y1465" i="15"/>
  <c r="Z1465" i="15"/>
  <c r="AA1465" i="15"/>
  <c r="AB1465" i="15"/>
  <c r="AC1465" i="15"/>
  <c r="AD1465" i="15"/>
  <c r="AE1465" i="15"/>
  <c r="AF1465" i="15"/>
  <c r="AG1465" i="15"/>
  <c r="AH1465" i="15"/>
  <c r="AI1465" i="15"/>
  <c r="AJ1465" i="15"/>
  <c r="AK1465" i="15"/>
  <c r="AL1465" i="15"/>
  <c r="AM1465" i="15"/>
  <c r="AN1465" i="15"/>
  <c r="AO1465" i="15"/>
  <c r="R1466" i="15"/>
  <c r="S1466" i="15"/>
  <c r="T1466" i="15"/>
  <c r="U1466" i="15"/>
  <c r="V1466" i="15"/>
  <c r="W1466" i="15"/>
  <c r="X1466" i="15"/>
  <c r="Y1466" i="15"/>
  <c r="Z1466" i="15"/>
  <c r="AA1466" i="15"/>
  <c r="AB1466" i="15"/>
  <c r="AC1466" i="15"/>
  <c r="AD1466" i="15"/>
  <c r="AE1466" i="15"/>
  <c r="AF1466" i="15"/>
  <c r="AG1466" i="15"/>
  <c r="AH1466" i="15"/>
  <c r="AI1466" i="15"/>
  <c r="AJ1466" i="15"/>
  <c r="AK1466" i="15"/>
  <c r="AL1466" i="15"/>
  <c r="AM1466" i="15"/>
  <c r="AN1466" i="15"/>
  <c r="AO1466" i="15"/>
  <c r="R1467" i="15"/>
  <c r="S1467" i="15"/>
  <c r="T1467" i="15"/>
  <c r="U1467" i="15"/>
  <c r="V1467" i="15"/>
  <c r="W1467" i="15"/>
  <c r="X1467" i="15"/>
  <c r="Y1467" i="15"/>
  <c r="Z1467" i="15"/>
  <c r="AA1467" i="15"/>
  <c r="AB1467" i="15"/>
  <c r="AC1467" i="15"/>
  <c r="AD1467" i="15"/>
  <c r="AE1467" i="15"/>
  <c r="AF1467" i="15"/>
  <c r="AG1467" i="15"/>
  <c r="AH1467" i="15"/>
  <c r="AI1467" i="15"/>
  <c r="AJ1467" i="15"/>
  <c r="AK1467" i="15"/>
  <c r="AL1467" i="15"/>
  <c r="AM1467" i="15"/>
  <c r="AN1467" i="15"/>
  <c r="AO1467" i="15"/>
  <c r="R1468" i="15"/>
  <c r="S1468" i="15"/>
  <c r="T1468" i="15"/>
  <c r="U1468" i="15"/>
  <c r="V1468" i="15"/>
  <c r="W1468" i="15"/>
  <c r="X1468" i="15"/>
  <c r="Y1468" i="15"/>
  <c r="Z1468" i="15"/>
  <c r="AA1468" i="15"/>
  <c r="AB1468" i="15"/>
  <c r="AC1468" i="15"/>
  <c r="AD1468" i="15"/>
  <c r="AE1468" i="15"/>
  <c r="AF1468" i="15"/>
  <c r="AG1468" i="15"/>
  <c r="AH1468" i="15"/>
  <c r="AI1468" i="15"/>
  <c r="AJ1468" i="15"/>
  <c r="AK1468" i="15"/>
  <c r="AL1468" i="15"/>
  <c r="AM1468" i="15"/>
  <c r="AN1468" i="15"/>
  <c r="AO1468" i="15"/>
  <c r="R1469" i="15"/>
  <c r="S1469" i="15"/>
  <c r="T1469" i="15"/>
  <c r="U1469" i="15"/>
  <c r="V1469" i="15"/>
  <c r="W1469" i="15"/>
  <c r="X1469" i="15"/>
  <c r="Y1469" i="15"/>
  <c r="Z1469" i="15"/>
  <c r="AA1469" i="15"/>
  <c r="AB1469" i="15"/>
  <c r="AC1469" i="15"/>
  <c r="AD1469" i="15"/>
  <c r="AE1469" i="15"/>
  <c r="AF1469" i="15"/>
  <c r="AG1469" i="15"/>
  <c r="AH1469" i="15"/>
  <c r="AI1469" i="15"/>
  <c r="AJ1469" i="15"/>
  <c r="AK1469" i="15"/>
  <c r="AL1469" i="15"/>
  <c r="AM1469" i="15"/>
  <c r="AN1469" i="15"/>
  <c r="AO1469" i="15"/>
  <c r="R1470" i="15"/>
  <c r="S1470" i="15"/>
  <c r="T1470" i="15"/>
  <c r="U1470" i="15"/>
  <c r="V1470" i="15"/>
  <c r="W1470" i="15"/>
  <c r="X1470" i="15"/>
  <c r="Y1470" i="15"/>
  <c r="Z1470" i="15"/>
  <c r="AA1470" i="15"/>
  <c r="AB1470" i="15"/>
  <c r="AC1470" i="15"/>
  <c r="AD1470" i="15"/>
  <c r="AE1470" i="15"/>
  <c r="AF1470" i="15"/>
  <c r="AG1470" i="15"/>
  <c r="AH1470" i="15"/>
  <c r="AI1470" i="15"/>
  <c r="AJ1470" i="15"/>
  <c r="AK1470" i="15"/>
  <c r="AL1470" i="15"/>
  <c r="AM1470" i="15"/>
  <c r="AN1470" i="15"/>
  <c r="AO1470" i="15"/>
  <c r="R1471" i="15"/>
  <c r="S1471" i="15"/>
  <c r="T1471" i="15"/>
  <c r="U1471" i="15"/>
  <c r="V1471" i="15"/>
  <c r="W1471" i="15"/>
  <c r="X1471" i="15"/>
  <c r="Y1471" i="15"/>
  <c r="Z1471" i="15"/>
  <c r="AA1471" i="15"/>
  <c r="AB1471" i="15"/>
  <c r="AC1471" i="15"/>
  <c r="AD1471" i="15"/>
  <c r="AE1471" i="15"/>
  <c r="AF1471" i="15"/>
  <c r="AG1471" i="15"/>
  <c r="AH1471" i="15"/>
  <c r="AI1471" i="15"/>
  <c r="AJ1471" i="15"/>
  <c r="AK1471" i="15"/>
  <c r="AL1471" i="15"/>
  <c r="AM1471" i="15"/>
  <c r="AN1471" i="15"/>
  <c r="AO1471" i="15"/>
  <c r="R1472" i="15"/>
  <c r="S1472" i="15"/>
  <c r="T1472" i="15"/>
  <c r="U1472" i="15"/>
  <c r="V1472" i="15"/>
  <c r="W1472" i="15"/>
  <c r="X1472" i="15"/>
  <c r="Y1472" i="15"/>
  <c r="Z1472" i="15"/>
  <c r="AA1472" i="15"/>
  <c r="AB1472" i="15"/>
  <c r="AC1472" i="15"/>
  <c r="AD1472" i="15"/>
  <c r="AE1472" i="15"/>
  <c r="AF1472" i="15"/>
  <c r="AG1472" i="15"/>
  <c r="AH1472" i="15"/>
  <c r="AI1472" i="15"/>
  <c r="AJ1472" i="15"/>
  <c r="AK1472" i="15"/>
  <c r="AL1472" i="15"/>
  <c r="AM1472" i="15"/>
  <c r="AN1472" i="15"/>
  <c r="AO1472" i="15"/>
  <c r="R1473" i="15"/>
  <c r="S1473" i="15"/>
  <c r="T1473" i="15"/>
  <c r="U1473" i="15"/>
  <c r="V1473" i="15"/>
  <c r="W1473" i="15"/>
  <c r="X1473" i="15"/>
  <c r="Y1473" i="15"/>
  <c r="Z1473" i="15"/>
  <c r="AA1473" i="15"/>
  <c r="AB1473" i="15"/>
  <c r="AC1473" i="15"/>
  <c r="AD1473" i="15"/>
  <c r="AE1473" i="15"/>
  <c r="AF1473" i="15"/>
  <c r="AG1473" i="15"/>
  <c r="AH1473" i="15"/>
  <c r="AI1473" i="15"/>
  <c r="AJ1473" i="15"/>
  <c r="AK1473" i="15"/>
  <c r="AL1473" i="15"/>
  <c r="AM1473" i="15"/>
  <c r="AN1473" i="15"/>
  <c r="AO1473" i="15"/>
  <c r="R1474" i="15"/>
  <c r="S1474" i="15"/>
  <c r="T1474" i="15"/>
  <c r="U1474" i="15"/>
  <c r="V1474" i="15"/>
  <c r="W1474" i="15"/>
  <c r="X1474" i="15"/>
  <c r="Y1474" i="15"/>
  <c r="Z1474" i="15"/>
  <c r="AA1474" i="15"/>
  <c r="AB1474" i="15"/>
  <c r="AC1474" i="15"/>
  <c r="AD1474" i="15"/>
  <c r="AE1474" i="15"/>
  <c r="AF1474" i="15"/>
  <c r="AG1474" i="15"/>
  <c r="AH1474" i="15"/>
  <c r="AI1474" i="15"/>
  <c r="AJ1474" i="15"/>
  <c r="AK1474" i="15"/>
  <c r="AL1474" i="15"/>
  <c r="AM1474" i="15"/>
  <c r="AN1474" i="15"/>
  <c r="AO1474" i="15"/>
  <c r="R1475" i="15"/>
  <c r="S1475" i="15"/>
  <c r="T1475" i="15"/>
  <c r="U1475" i="15"/>
  <c r="V1475" i="15"/>
  <c r="W1475" i="15"/>
  <c r="X1475" i="15"/>
  <c r="Y1475" i="15"/>
  <c r="Z1475" i="15"/>
  <c r="AA1475" i="15"/>
  <c r="AB1475" i="15"/>
  <c r="AC1475" i="15"/>
  <c r="AD1475" i="15"/>
  <c r="AE1475" i="15"/>
  <c r="AF1475" i="15"/>
  <c r="AG1475" i="15"/>
  <c r="AH1475" i="15"/>
  <c r="AI1475" i="15"/>
  <c r="AJ1475" i="15"/>
  <c r="AK1475" i="15"/>
  <c r="AL1475" i="15"/>
  <c r="AM1475" i="15"/>
  <c r="AN1475" i="15"/>
  <c r="AO1475" i="15"/>
  <c r="R1476" i="15"/>
  <c r="S1476" i="15"/>
  <c r="T1476" i="15"/>
  <c r="U1476" i="15"/>
  <c r="V1476" i="15"/>
  <c r="W1476" i="15"/>
  <c r="X1476" i="15"/>
  <c r="Y1476" i="15"/>
  <c r="Z1476" i="15"/>
  <c r="AA1476" i="15"/>
  <c r="AB1476" i="15"/>
  <c r="AC1476" i="15"/>
  <c r="AD1476" i="15"/>
  <c r="AE1476" i="15"/>
  <c r="AF1476" i="15"/>
  <c r="AG1476" i="15"/>
  <c r="AH1476" i="15"/>
  <c r="AI1476" i="15"/>
  <c r="AJ1476" i="15"/>
  <c r="AK1476" i="15"/>
  <c r="AL1476" i="15"/>
  <c r="AM1476" i="15"/>
  <c r="AN1476" i="15"/>
  <c r="AO1476" i="15"/>
  <c r="R1477" i="15"/>
  <c r="S1477" i="15"/>
  <c r="T1477" i="15"/>
  <c r="U1477" i="15"/>
  <c r="V1477" i="15"/>
  <c r="W1477" i="15"/>
  <c r="X1477" i="15"/>
  <c r="Y1477" i="15"/>
  <c r="Z1477" i="15"/>
  <c r="AA1477" i="15"/>
  <c r="AB1477" i="15"/>
  <c r="AC1477" i="15"/>
  <c r="AD1477" i="15"/>
  <c r="AE1477" i="15"/>
  <c r="AF1477" i="15"/>
  <c r="AG1477" i="15"/>
  <c r="AH1477" i="15"/>
  <c r="AI1477" i="15"/>
  <c r="AJ1477" i="15"/>
  <c r="AK1477" i="15"/>
  <c r="AL1477" i="15"/>
  <c r="AM1477" i="15"/>
  <c r="AN1477" i="15"/>
  <c r="AO1477" i="15"/>
  <c r="R1478" i="15"/>
  <c r="S1478" i="15"/>
  <c r="T1478" i="15"/>
  <c r="U1478" i="15"/>
  <c r="V1478" i="15"/>
  <c r="W1478" i="15"/>
  <c r="X1478" i="15"/>
  <c r="Y1478" i="15"/>
  <c r="Z1478" i="15"/>
  <c r="AA1478" i="15"/>
  <c r="AB1478" i="15"/>
  <c r="AC1478" i="15"/>
  <c r="AD1478" i="15"/>
  <c r="AE1478" i="15"/>
  <c r="AF1478" i="15"/>
  <c r="AG1478" i="15"/>
  <c r="AH1478" i="15"/>
  <c r="AI1478" i="15"/>
  <c r="AJ1478" i="15"/>
  <c r="AK1478" i="15"/>
  <c r="AL1478" i="15"/>
  <c r="AM1478" i="15"/>
  <c r="AN1478" i="15"/>
  <c r="AO1478" i="15"/>
  <c r="R1479" i="15"/>
  <c r="S1479" i="15"/>
  <c r="T1479" i="15"/>
  <c r="U1479" i="15"/>
  <c r="V1479" i="15"/>
  <c r="W1479" i="15"/>
  <c r="X1479" i="15"/>
  <c r="Y1479" i="15"/>
  <c r="Z1479" i="15"/>
  <c r="AA1479" i="15"/>
  <c r="AB1479" i="15"/>
  <c r="AC1479" i="15"/>
  <c r="AD1479" i="15"/>
  <c r="AE1479" i="15"/>
  <c r="AF1479" i="15"/>
  <c r="AG1479" i="15"/>
  <c r="AH1479" i="15"/>
  <c r="AI1479" i="15"/>
  <c r="AJ1479" i="15"/>
  <c r="AK1479" i="15"/>
  <c r="AL1479" i="15"/>
  <c r="AM1479" i="15"/>
  <c r="AN1479" i="15"/>
  <c r="AO1479" i="15"/>
  <c r="R1480" i="15"/>
  <c r="S1480" i="15"/>
  <c r="T1480" i="15"/>
  <c r="U1480" i="15"/>
  <c r="V1480" i="15"/>
  <c r="W1480" i="15"/>
  <c r="X1480" i="15"/>
  <c r="Y1480" i="15"/>
  <c r="Z1480" i="15"/>
  <c r="AA1480" i="15"/>
  <c r="AB1480" i="15"/>
  <c r="AC1480" i="15"/>
  <c r="AD1480" i="15"/>
  <c r="AE1480" i="15"/>
  <c r="AF1480" i="15"/>
  <c r="AG1480" i="15"/>
  <c r="AH1480" i="15"/>
  <c r="AI1480" i="15"/>
  <c r="AJ1480" i="15"/>
  <c r="AK1480" i="15"/>
  <c r="AL1480" i="15"/>
  <c r="AM1480" i="15"/>
  <c r="AN1480" i="15"/>
  <c r="AO1480" i="15"/>
  <c r="R1481" i="15"/>
  <c r="S1481" i="15"/>
  <c r="T1481" i="15"/>
  <c r="U1481" i="15"/>
  <c r="V1481" i="15"/>
  <c r="W1481" i="15"/>
  <c r="X1481" i="15"/>
  <c r="Y1481" i="15"/>
  <c r="Z1481" i="15"/>
  <c r="AA1481" i="15"/>
  <c r="AB1481" i="15"/>
  <c r="AC1481" i="15"/>
  <c r="AD1481" i="15"/>
  <c r="AE1481" i="15"/>
  <c r="AF1481" i="15"/>
  <c r="AG1481" i="15"/>
  <c r="AH1481" i="15"/>
  <c r="AI1481" i="15"/>
  <c r="AJ1481" i="15"/>
  <c r="AK1481" i="15"/>
  <c r="AL1481" i="15"/>
  <c r="AM1481" i="15"/>
  <c r="AN1481" i="15"/>
  <c r="AO1481" i="15"/>
  <c r="R1482" i="15"/>
  <c r="S1482" i="15"/>
  <c r="T1482" i="15"/>
  <c r="U1482" i="15"/>
  <c r="V1482" i="15"/>
  <c r="W1482" i="15"/>
  <c r="X1482" i="15"/>
  <c r="Y1482" i="15"/>
  <c r="Z1482" i="15"/>
  <c r="AA1482" i="15"/>
  <c r="AB1482" i="15"/>
  <c r="AC1482" i="15"/>
  <c r="AD1482" i="15"/>
  <c r="AE1482" i="15"/>
  <c r="AF1482" i="15"/>
  <c r="AG1482" i="15"/>
  <c r="AH1482" i="15"/>
  <c r="AI1482" i="15"/>
  <c r="AJ1482" i="15"/>
  <c r="AK1482" i="15"/>
  <c r="AL1482" i="15"/>
  <c r="AM1482" i="15"/>
  <c r="AN1482" i="15"/>
  <c r="AO1482" i="15"/>
  <c r="R1483" i="15"/>
  <c r="S1483" i="15"/>
  <c r="T1483" i="15"/>
  <c r="U1483" i="15"/>
  <c r="V1483" i="15"/>
  <c r="W1483" i="15"/>
  <c r="X1483" i="15"/>
  <c r="Y1483" i="15"/>
  <c r="Z1483" i="15"/>
  <c r="AA1483" i="15"/>
  <c r="AB1483" i="15"/>
  <c r="AC1483" i="15"/>
  <c r="AD1483" i="15"/>
  <c r="AE1483" i="15"/>
  <c r="AF1483" i="15"/>
  <c r="AG1483" i="15"/>
  <c r="AH1483" i="15"/>
  <c r="AI1483" i="15"/>
  <c r="AJ1483" i="15"/>
  <c r="AK1483" i="15"/>
  <c r="AL1483" i="15"/>
  <c r="AM1483" i="15"/>
  <c r="AN1483" i="15"/>
  <c r="AO1483" i="15"/>
  <c r="R1484" i="15"/>
  <c r="S1484" i="15"/>
  <c r="T1484" i="15"/>
  <c r="U1484" i="15"/>
  <c r="V1484" i="15"/>
  <c r="W1484" i="15"/>
  <c r="X1484" i="15"/>
  <c r="Y1484" i="15"/>
  <c r="Z1484" i="15"/>
  <c r="AA1484" i="15"/>
  <c r="AB1484" i="15"/>
  <c r="AC1484" i="15"/>
  <c r="AD1484" i="15"/>
  <c r="AE1484" i="15"/>
  <c r="AF1484" i="15"/>
  <c r="AG1484" i="15"/>
  <c r="AH1484" i="15"/>
  <c r="AI1484" i="15"/>
  <c r="AJ1484" i="15"/>
  <c r="AK1484" i="15"/>
  <c r="AL1484" i="15"/>
  <c r="AM1484" i="15"/>
  <c r="AN1484" i="15"/>
  <c r="AO1484" i="15"/>
  <c r="R1485" i="15"/>
  <c r="S1485" i="15"/>
  <c r="T1485" i="15"/>
  <c r="U1485" i="15"/>
  <c r="V1485" i="15"/>
  <c r="W1485" i="15"/>
  <c r="X1485" i="15"/>
  <c r="Y1485" i="15"/>
  <c r="Z1485" i="15"/>
  <c r="AA1485" i="15"/>
  <c r="AB1485" i="15"/>
  <c r="AC1485" i="15"/>
  <c r="AD1485" i="15"/>
  <c r="AE1485" i="15"/>
  <c r="AF1485" i="15"/>
  <c r="AG1485" i="15"/>
  <c r="AH1485" i="15"/>
  <c r="AI1485" i="15"/>
  <c r="AJ1485" i="15"/>
  <c r="AK1485" i="15"/>
  <c r="AL1485" i="15"/>
  <c r="AM1485" i="15"/>
  <c r="AN1485" i="15"/>
  <c r="AO1485" i="15"/>
  <c r="R1486" i="15"/>
  <c r="S1486" i="15"/>
  <c r="T1486" i="15"/>
  <c r="U1486" i="15"/>
  <c r="V1486" i="15"/>
  <c r="W1486" i="15"/>
  <c r="X1486" i="15"/>
  <c r="Y1486" i="15"/>
  <c r="Z1486" i="15"/>
  <c r="AA1486" i="15"/>
  <c r="AB1486" i="15"/>
  <c r="AC1486" i="15"/>
  <c r="AD1486" i="15"/>
  <c r="AE1486" i="15"/>
  <c r="AF1486" i="15"/>
  <c r="AG1486" i="15"/>
  <c r="AH1486" i="15"/>
  <c r="AI1486" i="15"/>
  <c r="AJ1486" i="15"/>
  <c r="AK1486" i="15"/>
  <c r="AL1486" i="15"/>
  <c r="AM1486" i="15"/>
  <c r="AN1486" i="15"/>
  <c r="AO1486" i="15"/>
  <c r="R1487" i="15"/>
  <c r="S1487" i="15"/>
  <c r="T1487" i="15"/>
  <c r="U1487" i="15"/>
  <c r="V1487" i="15"/>
  <c r="W1487" i="15"/>
  <c r="X1487" i="15"/>
  <c r="Y1487" i="15"/>
  <c r="Z1487" i="15"/>
  <c r="AA1487" i="15"/>
  <c r="AB1487" i="15"/>
  <c r="AC1487" i="15"/>
  <c r="AD1487" i="15"/>
  <c r="AE1487" i="15"/>
  <c r="AF1487" i="15"/>
  <c r="AG1487" i="15"/>
  <c r="AH1487" i="15"/>
  <c r="AI1487" i="15"/>
  <c r="AJ1487" i="15"/>
  <c r="AK1487" i="15"/>
  <c r="AL1487" i="15"/>
  <c r="AM1487" i="15"/>
  <c r="AN1487" i="15"/>
  <c r="AO1487" i="15"/>
  <c r="R1488" i="15"/>
  <c r="S1488" i="15"/>
  <c r="T1488" i="15"/>
  <c r="U1488" i="15"/>
  <c r="V1488" i="15"/>
  <c r="W1488" i="15"/>
  <c r="X1488" i="15"/>
  <c r="Y1488" i="15"/>
  <c r="Z1488" i="15"/>
  <c r="AA1488" i="15"/>
  <c r="AB1488" i="15"/>
  <c r="AC1488" i="15"/>
  <c r="AD1488" i="15"/>
  <c r="AE1488" i="15"/>
  <c r="AF1488" i="15"/>
  <c r="AG1488" i="15"/>
  <c r="AH1488" i="15"/>
  <c r="AI1488" i="15"/>
  <c r="AJ1488" i="15"/>
  <c r="AK1488" i="15"/>
  <c r="AL1488" i="15"/>
  <c r="AM1488" i="15"/>
  <c r="AN1488" i="15"/>
  <c r="AO1488" i="15"/>
  <c r="R1489" i="15"/>
  <c r="S1489" i="15"/>
  <c r="T1489" i="15"/>
  <c r="U1489" i="15"/>
  <c r="V1489" i="15"/>
  <c r="W1489" i="15"/>
  <c r="X1489" i="15"/>
  <c r="Y1489" i="15"/>
  <c r="Z1489" i="15"/>
  <c r="AA1489" i="15"/>
  <c r="AB1489" i="15"/>
  <c r="AC1489" i="15"/>
  <c r="AD1489" i="15"/>
  <c r="AE1489" i="15"/>
  <c r="AF1489" i="15"/>
  <c r="AG1489" i="15"/>
  <c r="AH1489" i="15"/>
  <c r="AI1489" i="15"/>
  <c r="AJ1489" i="15"/>
  <c r="AK1489" i="15"/>
  <c r="AL1489" i="15"/>
  <c r="AM1489" i="15"/>
  <c r="AN1489" i="15"/>
  <c r="AO1489" i="15"/>
  <c r="R1490" i="15"/>
  <c r="S1490" i="15"/>
  <c r="T1490" i="15"/>
  <c r="U1490" i="15"/>
  <c r="V1490" i="15"/>
  <c r="W1490" i="15"/>
  <c r="X1490" i="15"/>
  <c r="Y1490" i="15"/>
  <c r="Z1490" i="15"/>
  <c r="AA1490" i="15"/>
  <c r="AB1490" i="15"/>
  <c r="AC1490" i="15"/>
  <c r="AD1490" i="15"/>
  <c r="AE1490" i="15"/>
  <c r="AF1490" i="15"/>
  <c r="AG1490" i="15"/>
  <c r="AH1490" i="15"/>
  <c r="AI1490" i="15"/>
  <c r="AJ1490" i="15"/>
  <c r="AK1490" i="15"/>
  <c r="AL1490" i="15"/>
  <c r="AM1490" i="15"/>
  <c r="AN1490" i="15"/>
  <c r="AO1490" i="15"/>
  <c r="R1491" i="15"/>
  <c r="S1491" i="15"/>
  <c r="T1491" i="15"/>
  <c r="U1491" i="15"/>
  <c r="V1491" i="15"/>
  <c r="W1491" i="15"/>
  <c r="X1491" i="15"/>
  <c r="Y1491" i="15"/>
  <c r="Z1491" i="15"/>
  <c r="AA1491" i="15"/>
  <c r="AB1491" i="15"/>
  <c r="AC1491" i="15"/>
  <c r="AD1491" i="15"/>
  <c r="AE1491" i="15"/>
  <c r="AF1491" i="15"/>
  <c r="AG1491" i="15"/>
  <c r="AH1491" i="15"/>
  <c r="AI1491" i="15"/>
  <c r="AJ1491" i="15"/>
  <c r="AK1491" i="15"/>
  <c r="AL1491" i="15"/>
  <c r="AM1491" i="15"/>
  <c r="AN1491" i="15"/>
  <c r="AO1491" i="15"/>
  <c r="R1492" i="15"/>
  <c r="S1492" i="15"/>
  <c r="T1492" i="15"/>
  <c r="U1492" i="15"/>
  <c r="V1492" i="15"/>
  <c r="W1492" i="15"/>
  <c r="X1492" i="15"/>
  <c r="Y1492" i="15"/>
  <c r="Z1492" i="15"/>
  <c r="AA1492" i="15"/>
  <c r="AB1492" i="15"/>
  <c r="AC1492" i="15"/>
  <c r="AD1492" i="15"/>
  <c r="AE1492" i="15"/>
  <c r="AF1492" i="15"/>
  <c r="AG1492" i="15"/>
  <c r="AH1492" i="15"/>
  <c r="AI1492" i="15"/>
  <c r="AJ1492" i="15"/>
  <c r="AK1492" i="15"/>
  <c r="AL1492" i="15"/>
  <c r="AM1492" i="15"/>
  <c r="AN1492" i="15"/>
  <c r="AO1492" i="15"/>
  <c r="R1493" i="15"/>
  <c r="S1493" i="15"/>
  <c r="T1493" i="15"/>
  <c r="U1493" i="15"/>
  <c r="V1493" i="15"/>
  <c r="W1493" i="15"/>
  <c r="X1493" i="15"/>
  <c r="Y1493" i="15"/>
  <c r="Z1493" i="15"/>
  <c r="AA1493" i="15"/>
  <c r="AB1493" i="15"/>
  <c r="AC1493" i="15"/>
  <c r="AD1493" i="15"/>
  <c r="AE1493" i="15"/>
  <c r="AF1493" i="15"/>
  <c r="AG1493" i="15"/>
  <c r="AH1493" i="15"/>
  <c r="AI1493" i="15"/>
  <c r="AJ1493" i="15"/>
  <c r="AK1493" i="15"/>
  <c r="AL1493" i="15"/>
  <c r="AM1493" i="15"/>
  <c r="AN1493" i="15"/>
  <c r="AO1493" i="15"/>
  <c r="R1494" i="15"/>
  <c r="S1494" i="15"/>
  <c r="T1494" i="15"/>
  <c r="U1494" i="15"/>
  <c r="V1494" i="15"/>
  <c r="W1494" i="15"/>
  <c r="X1494" i="15"/>
  <c r="Y1494" i="15"/>
  <c r="Z1494" i="15"/>
  <c r="AA1494" i="15"/>
  <c r="AB1494" i="15"/>
  <c r="AC1494" i="15"/>
  <c r="AD1494" i="15"/>
  <c r="AE1494" i="15"/>
  <c r="AF1494" i="15"/>
  <c r="AG1494" i="15"/>
  <c r="AH1494" i="15"/>
  <c r="AI1494" i="15"/>
  <c r="AJ1494" i="15"/>
  <c r="AK1494" i="15"/>
  <c r="AL1494" i="15"/>
  <c r="AM1494" i="15"/>
  <c r="AN1494" i="15"/>
  <c r="AO1494" i="15"/>
  <c r="R1495" i="15"/>
  <c r="S1495" i="15"/>
  <c r="T1495" i="15"/>
  <c r="U1495" i="15"/>
  <c r="V1495" i="15"/>
  <c r="W1495" i="15"/>
  <c r="X1495" i="15"/>
  <c r="Y1495" i="15"/>
  <c r="Z1495" i="15"/>
  <c r="AA1495" i="15"/>
  <c r="AB1495" i="15"/>
  <c r="AC1495" i="15"/>
  <c r="AD1495" i="15"/>
  <c r="AE1495" i="15"/>
  <c r="AF1495" i="15"/>
  <c r="AG1495" i="15"/>
  <c r="AH1495" i="15"/>
  <c r="AI1495" i="15"/>
  <c r="AJ1495" i="15"/>
  <c r="AK1495" i="15"/>
  <c r="AL1495" i="15"/>
  <c r="AM1495" i="15"/>
  <c r="AN1495" i="15"/>
  <c r="AO1495" i="15"/>
  <c r="R1496" i="15"/>
  <c r="S1496" i="15"/>
  <c r="T1496" i="15"/>
  <c r="U1496" i="15"/>
  <c r="V1496" i="15"/>
  <c r="W1496" i="15"/>
  <c r="X1496" i="15"/>
  <c r="Y1496" i="15"/>
  <c r="Z1496" i="15"/>
  <c r="AA1496" i="15"/>
  <c r="AB1496" i="15"/>
  <c r="AC1496" i="15"/>
  <c r="AD1496" i="15"/>
  <c r="AE1496" i="15"/>
  <c r="AF1496" i="15"/>
  <c r="AG1496" i="15"/>
  <c r="AH1496" i="15"/>
  <c r="AI1496" i="15"/>
  <c r="AJ1496" i="15"/>
  <c r="AK1496" i="15"/>
  <c r="AL1496" i="15"/>
  <c r="AM1496" i="15"/>
  <c r="AN1496" i="15"/>
  <c r="AO1496" i="15"/>
  <c r="R1497" i="15"/>
  <c r="S1497" i="15"/>
  <c r="T1497" i="15"/>
  <c r="U1497" i="15"/>
  <c r="V1497" i="15"/>
  <c r="W1497" i="15"/>
  <c r="X1497" i="15"/>
  <c r="Y1497" i="15"/>
  <c r="Z1497" i="15"/>
  <c r="AA1497" i="15"/>
  <c r="AB1497" i="15"/>
  <c r="AC1497" i="15"/>
  <c r="AD1497" i="15"/>
  <c r="AE1497" i="15"/>
  <c r="AF1497" i="15"/>
  <c r="AG1497" i="15"/>
  <c r="AH1497" i="15"/>
  <c r="AI1497" i="15"/>
  <c r="AJ1497" i="15"/>
  <c r="AK1497" i="15"/>
  <c r="AL1497" i="15"/>
  <c r="AM1497" i="15"/>
  <c r="AN1497" i="15"/>
  <c r="AO1497" i="15"/>
  <c r="R1498" i="15"/>
  <c r="S1498" i="15"/>
  <c r="T1498" i="15"/>
  <c r="U1498" i="15"/>
  <c r="V1498" i="15"/>
  <c r="W1498" i="15"/>
  <c r="X1498" i="15"/>
  <c r="Y1498" i="15"/>
  <c r="Z1498" i="15"/>
  <c r="AA1498" i="15"/>
  <c r="AB1498" i="15"/>
  <c r="AC1498" i="15"/>
  <c r="AD1498" i="15"/>
  <c r="AE1498" i="15"/>
  <c r="AF1498" i="15"/>
  <c r="AG1498" i="15"/>
  <c r="AH1498" i="15"/>
  <c r="AI1498" i="15"/>
  <c r="AJ1498" i="15"/>
  <c r="AK1498" i="15"/>
  <c r="AL1498" i="15"/>
  <c r="AM1498" i="15"/>
  <c r="AN1498" i="15"/>
  <c r="AO1498" i="15"/>
  <c r="R1499" i="15"/>
  <c r="S1499" i="15"/>
  <c r="T1499" i="15"/>
  <c r="U1499" i="15"/>
  <c r="V1499" i="15"/>
  <c r="W1499" i="15"/>
  <c r="X1499" i="15"/>
  <c r="Y1499" i="15"/>
  <c r="Z1499" i="15"/>
  <c r="AA1499" i="15"/>
  <c r="AB1499" i="15"/>
  <c r="AC1499" i="15"/>
  <c r="AD1499" i="15"/>
  <c r="AE1499" i="15"/>
  <c r="AF1499" i="15"/>
  <c r="AG1499" i="15"/>
  <c r="AH1499" i="15"/>
  <c r="AI1499" i="15"/>
  <c r="AJ1499" i="15"/>
  <c r="AK1499" i="15"/>
  <c r="AL1499" i="15"/>
  <c r="AM1499" i="15"/>
  <c r="AN1499" i="15"/>
  <c r="AO1499" i="15"/>
  <c r="R1500" i="15"/>
  <c r="S1500" i="15"/>
  <c r="T1500" i="15"/>
  <c r="U1500" i="15"/>
  <c r="V1500" i="15"/>
  <c r="W1500" i="15"/>
  <c r="X1500" i="15"/>
  <c r="Y1500" i="15"/>
  <c r="Z1500" i="15"/>
  <c r="AA1500" i="15"/>
  <c r="AB1500" i="15"/>
  <c r="AC1500" i="15"/>
  <c r="AD1500" i="15"/>
  <c r="AE1500" i="15"/>
  <c r="AF1500" i="15"/>
  <c r="AG1500" i="15"/>
  <c r="AH1500" i="15"/>
  <c r="AI1500" i="15"/>
  <c r="AJ1500" i="15"/>
  <c r="AK1500" i="15"/>
  <c r="AL1500" i="15"/>
  <c r="AM1500" i="15"/>
  <c r="AN1500" i="15"/>
  <c r="AO1500" i="15"/>
  <c r="R1501" i="15"/>
  <c r="S1501" i="15"/>
  <c r="T1501" i="15"/>
  <c r="U1501" i="15"/>
  <c r="V1501" i="15"/>
  <c r="W1501" i="15"/>
  <c r="X1501" i="15"/>
  <c r="Y1501" i="15"/>
  <c r="Z1501" i="15"/>
  <c r="AA1501" i="15"/>
  <c r="AB1501" i="15"/>
  <c r="AC1501" i="15"/>
  <c r="AD1501" i="15"/>
  <c r="AE1501" i="15"/>
  <c r="AF1501" i="15"/>
  <c r="AG1501" i="15"/>
  <c r="AH1501" i="15"/>
  <c r="AI1501" i="15"/>
  <c r="AJ1501" i="15"/>
  <c r="AK1501" i="15"/>
  <c r="AL1501" i="15"/>
  <c r="AM1501" i="15"/>
  <c r="AN1501" i="15"/>
  <c r="AO1501" i="15"/>
  <c r="R1502" i="15"/>
  <c r="S1502" i="15"/>
  <c r="T1502" i="15"/>
  <c r="U1502" i="15"/>
  <c r="V1502" i="15"/>
  <c r="W1502" i="15"/>
  <c r="X1502" i="15"/>
  <c r="Y1502" i="15"/>
  <c r="Z1502" i="15"/>
  <c r="AA1502" i="15"/>
  <c r="AB1502" i="15"/>
  <c r="AC1502" i="15"/>
  <c r="AD1502" i="15"/>
  <c r="AE1502" i="15"/>
  <c r="AF1502" i="15"/>
  <c r="AG1502" i="15"/>
  <c r="AH1502" i="15"/>
  <c r="AI1502" i="15"/>
  <c r="AJ1502" i="15"/>
  <c r="AK1502" i="15"/>
  <c r="AL1502" i="15"/>
  <c r="AM1502" i="15"/>
  <c r="AN1502" i="15"/>
  <c r="AO1502" i="15"/>
  <c r="R1503" i="15"/>
  <c r="S1503" i="15"/>
  <c r="T1503" i="15"/>
  <c r="U1503" i="15"/>
  <c r="V1503" i="15"/>
  <c r="W1503" i="15"/>
  <c r="X1503" i="15"/>
  <c r="Y1503" i="15"/>
  <c r="Z1503" i="15"/>
  <c r="AA1503" i="15"/>
  <c r="AB1503" i="15"/>
  <c r="AC1503" i="15"/>
  <c r="AD1503" i="15"/>
  <c r="AE1503" i="15"/>
  <c r="AF1503" i="15"/>
  <c r="AG1503" i="15"/>
  <c r="AH1503" i="15"/>
  <c r="AI1503" i="15"/>
  <c r="AJ1503" i="15"/>
  <c r="AK1503" i="15"/>
  <c r="AL1503" i="15"/>
  <c r="AM1503" i="15"/>
  <c r="AN1503" i="15"/>
  <c r="AO1503" i="15"/>
  <c r="R1504" i="15"/>
  <c r="S1504" i="15"/>
  <c r="T1504" i="15"/>
  <c r="U1504" i="15"/>
  <c r="V1504" i="15"/>
  <c r="W1504" i="15"/>
  <c r="X1504" i="15"/>
  <c r="Y1504" i="15"/>
  <c r="Z1504" i="15"/>
  <c r="AA1504" i="15"/>
  <c r="AB1504" i="15"/>
  <c r="AC1504" i="15"/>
  <c r="AD1504" i="15"/>
  <c r="AE1504" i="15"/>
  <c r="AF1504" i="15"/>
  <c r="AG1504" i="15"/>
  <c r="AH1504" i="15"/>
  <c r="AI1504" i="15"/>
  <c r="AJ1504" i="15"/>
  <c r="AK1504" i="15"/>
  <c r="AL1504" i="15"/>
  <c r="AM1504" i="15"/>
  <c r="AN1504" i="15"/>
  <c r="AO1504" i="15"/>
  <c r="R1505" i="15"/>
  <c r="S1505" i="15"/>
  <c r="T1505" i="15"/>
  <c r="U1505" i="15"/>
  <c r="V1505" i="15"/>
  <c r="W1505" i="15"/>
  <c r="X1505" i="15"/>
  <c r="Y1505" i="15"/>
  <c r="Z1505" i="15"/>
  <c r="AA1505" i="15"/>
  <c r="AB1505" i="15"/>
  <c r="AC1505" i="15"/>
  <c r="AD1505" i="15"/>
  <c r="AE1505" i="15"/>
  <c r="AF1505" i="15"/>
  <c r="AG1505" i="15"/>
  <c r="AH1505" i="15"/>
  <c r="AI1505" i="15"/>
  <c r="AJ1505" i="15"/>
  <c r="AK1505" i="15"/>
  <c r="AL1505" i="15"/>
  <c r="AM1505" i="15"/>
  <c r="AN1505" i="15"/>
  <c r="AO1505" i="15"/>
  <c r="R1506" i="15"/>
  <c r="S1506" i="15"/>
  <c r="T1506" i="15"/>
  <c r="U1506" i="15"/>
  <c r="V1506" i="15"/>
  <c r="W1506" i="15"/>
  <c r="X1506" i="15"/>
  <c r="Y1506" i="15"/>
  <c r="Z1506" i="15"/>
  <c r="AA1506" i="15"/>
  <c r="AB1506" i="15"/>
  <c r="AC1506" i="15"/>
  <c r="AD1506" i="15"/>
  <c r="AE1506" i="15"/>
  <c r="AF1506" i="15"/>
  <c r="AG1506" i="15"/>
  <c r="AH1506" i="15"/>
  <c r="AI1506" i="15"/>
  <c r="AJ1506" i="15"/>
  <c r="AK1506" i="15"/>
  <c r="AL1506" i="15"/>
  <c r="AM1506" i="15"/>
  <c r="AN1506" i="15"/>
  <c r="AO1506" i="15"/>
  <c r="R1507" i="15"/>
  <c r="S1507" i="15"/>
  <c r="T1507" i="15"/>
  <c r="U1507" i="15"/>
  <c r="V1507" i="15"/>
  <c r="W1507" i="15"/>
  <c r="X1507" i="15"/>
  <c r="Y1507" i="15"/>
  <c r="Z1507" i="15"/>
  <c r="AA1507" i="15"/>
  <c r="AB1507" i="15"/>
  <c r="AC1507" i="15"/>
  <c r="AD1507" i="15"/>
  <c r="AE1507" i="15"/>
  <c r="AF1507" i="15"/>
  <c r="AG1507" i="15"/>
  <c r="AH1507" i="15"/>
  <c r="AI1507" i="15"/>
  <c r="AJ1507" i="15"/>
  <c r="AK1507" i="15"/>
  <c r="AL1507" i="15"/>
  <c r="AM1507" i="15"/>
  <c r="AN1507" i="15"/>
  <c r="AO1507" i="15"/>
  <c r="R1508" i="15"/>
  <c r="S1508" i="15"/>
  <c r="T1508" i="15"/>
  <c r="U1508" i="15"/>
  <c r="V1508" i="15"/>
  <c r="W1508" i="15"/>
  <c r="X1508" i="15"/>
  <c r="Y1508" i="15"/>
  <c r="Z1508" i="15"/>
  <c r="AA1508" i="15"/>
  <c r="AB1508" i="15"/>
  <c r="AC1508" i="15"/>
  <c r="AD1508" i="15"/>
  <c r="AE1508" i="15"/>
  <c r="AF1508" i="15"/>
  <c r="AG1508" i="15"/>
  <c r="AH1508" i="15"/>
  <c r="AI1508" i="15"/>
  <c r="AJ1508" i="15"/>
  <c r="AK1508" i="15"/>
  <c r="AL1508" i="15"/>
  <c r="AM1508" i="15"/>
  <c r="AN1508" i="15"/>
  <c r="AO1508" i="15"/>
  <c r="R1509" i="15"/>
  <c r="S1509" i="15"/>
  <c r="T1509" i="15"/>
  <c r="U1509" i="15"/>
  <c r="V1509" i="15"/>
  <c r="W1509" i="15"/>
  <c r="X1509" i="15"/>
  <c r="Y1509" i="15"/>
  <c r="Z1509" i="15"/>
  <c r="AA1509" i="15"/>
  <c r="AB1509" i="15"/>
  <c r="AC1509" i="15"/>
  <c r="AD1509" i="15"/>
  <c r="AE1509" i="15"/>
  <c r="AF1509" i="15"/>
  <c r="AG1509" i="15"/>
  <c r="AH1509" i="15"/>
  <c r="AI1509" i="15"/>
  <c r="AJ1509" i="15"/>
  <c r="AK1509" i="15"/>
  <c r="AL1509" i="15"/>
  <c r="AM1509" i="15"/>
  <c r="AN1509" i="15"/>
  <c r="AO1509" i="15"/>
  <c r="R1510" i="15"/>
  <c r="S1510" i="15"/>
  <c r="T1510" i="15"/>
  <c r="U1510" i="15"/>
  <c r="V1510" i="15"/>
  <c r="W1510" i="15"/>
  <c r="X1510" i="15"/>
  <c r="Y1510" i="15"/>
  <c r="Z1510" i="15"/>
  <c r="AA1510" i="15"/>
  <c r="AB1510" i="15"/>
  <c r="AC1510" i="15"/>
  <c r="AD1510" i="15"/>
  <c r="AE1510" i="15"/>
  <c r="AF1510" i="15"/>
  <c r="AG1510" i="15"/>
  <c r="AH1510" i="15"/>
  <c r="AI1510" i="15"/>
  <c r="AJ1510" i="15"/>
  <c r="AK1510" i="15"/>
  <c r="AL1510" i="15"/>
  <c r="AM1510" i="15"/>
  <c r="AN1510" i="15"/>
  <c r="AO1510" i="15"/>
  <c r="R1511" i="15"/>
  <c r="S1511" i="15"/>
  <c r="T1511" i="15"/>
  <c r="U1511" i="15"/>
  <c r="V1511" i="15"/>
  <c r="W1511" i="15"/>
  <c r="X1511" i="15"/>
  <c r="Y1511" i="15"/>
  <c r="Z1511" i="15"/>
  <c r="AA1511" i="15"/>
  <c r="AB1511" i="15"/>
  <c r="AC1511" i="15"/>
  <c r="AD1511" i="15"/>
  <c r="AE1511" i="15"/>
  <c r="AF1511" i="15"/>
  <c r="AG1511" i="15"/>
  <c r="AH1511" i="15"/>
  <c r="AI1511" i="15"/>
  <c r="AJ1511" i="15"/>
  <c r="AK1511" i="15"/>
  <c r="AL1511" i="15"/>
  <c r="AM1511" i="15"/>
  <c r="AN1511" i="15"/>
  <c r="AO1511" i="15"/>
  <c r="R1512" i="15"/>
  <c r="S1512" i="15"/>
  <c r="T1512" i="15"/>
  <c r="U1512" i="15"/>
  <c r="V1512" i="15"/>
  <c r="W1512" i="15"/>
  <c r="X1512" i="15"/>
  <c r="Y1512" i="15"/>
  <c r="Z1512" i="15"/>
  <c r="AA1512" i="15"/>
  <c r="AB1512" i="15"/>
  <c r="AC1512" i="15"/>
  <c r="AD1512" i="15"/>
  <c r="AE1512" i="15"/>
  <c r="AF1512" i="15"/>
  <c r="AG1512" i="15"/>
  <c r="AH1512" i="15"/>
  <c r="AI1512" i="15"/>
  <c r="AJ1512" i="15"/>
  <c r="AK1512" i="15"/>
  <c r="AL1512" i="15"/>
  <c r="AM1512" i="15"/>
  <c r="AN1512" i="15"/>
  <c r="AO1512" i="15"/>
  <c r="R1513" i="15"/>
  <c r="S1513" i="15"/>
  <c r="T1513" i="15"/>
  <c r="U1513" i="15"/>
  <c r="V1513" i="15"/>
  <c r="W1513" i="15"/>
  <c r="X1513" i="15"/>
  <c r="Y1513" i="15"/>
  <c r="Z1513" i="15"/>
  <c r="AA1513" i="15"/>
  <c r="AB1513" i="15"/>
  <c r="AC1513" i="15"/>
  <c r="AD1513" i="15"/>
  <c r="AE1513" i="15"/>
  <c r="AF1513" i="15"/>
  <c r="AG1513" i="15"/>
  <c r="AH1513" i="15"/>
  <c r="AI1513" i="15"/>
  <c r="AJ1513" i="15"/>
  <c r="AK1513" i="15"/>
  <c r="AL1513" i="15"/>
  <c r="AM1513" i="15"/>
  <c r="AN1513" i="15"/>
  <c r="AO1513" i="15"/>
  <c r="R1514" i="15"/>
  <c r="S1514" i="15"/>
  <c r="T1514" i="15"/>
  <c r="U1514" i="15"/>
  <c r="V1514" i="15"/>
  <c r="W1514" i="15"/>
  <c r="X1514" i="15"/>
  <c r="Y1514" i="15"/>
  <c r="Z1514" i="15"/>
  <c r="AA1514" i="15"/>
  <c r="AB1514" i="15"/>
  <c r="AC1514" i="15"/>
  <c r="AD1514" i="15"/>
  <c r="AE1514" i="15"/>
  <c r="AF1514" i="15"/>
  <c r="AG1514" i="15"/>
  <c r="AH1514" i="15"/>
  <c r="AI1514" i="15"/>
  <c r="AJ1514" i="15"/>
  <c r="AK1514" i="15"/>
  <c r="AL1514" i="15"/>
  <c r="AM1514" i="15"/>
  <c r="AN1514" i="15"/>
  <c r="AO1514" i="15"/>
  <c r="R1515" i="15"/>
  <c r="S1515" i="15"/>
  <c r="T1515" i="15"/>
  <c r="U1515" i="15"/>
  <c r="V1515" i="15"/>
  <c r="W1515" i="15"/>
  <c r="X1515" i="15"/>
  <c r="Y1515" i="15"/>
  <c r="Z1515" i="15"/>
  <c r="AA1515" i="15"/>
  <c r="AB1515" i="15"/>
  <c r="AC1515" i="15"/>
  <c r="AD1515" i="15"/>
  <c r="AE1515" i="15"/>
  <c r="AF1515" i="15"/>
  <c r="AG1515" i="15"/>
  <c r="AH1515" i="15"/>
  <c r="AI1515" i="15"/>
  <c r="AJ1515" i="15"/>
  <c r="AK1515" i="15"/>
  <c r="AL1515" i="15"/>
  <c r="AM1515" i="15"/>
  <c r="AN1515" i="15"/>
  <c r="AO1515" i="15"/>
  <c r="R1516" i="15"/>
  <c r="S1516" i="15"/>
  <c r="T1516" i="15"/>
  <c r="U1516" i="15"/>
  <c r="V1516" i="15"/>
  <c r="W1516" i="15"/>
  <c r="X1516" i="15"/>
  <c r="Y1516" i="15"/>
  <c r="Z1516" i="15"/>
  <c r="AA1516" i="15"/>
  <c r="AB1516" i="15"/>
  <c r="AC1516" i="15"/>
  <c r="AD1516" i="15"/>
  <c r="AE1516" i="15"/>
  <c r="AF1516" i="15"/>
  <c r="AG1516" i="15"/>
  <c r="AH1516" i="15"/>
  <c r="AI1516" i="15"/>
  <c r="AJ1516" i="15"/>
  <c r="AK1516" i="15"/>
  <c r="AL1516" i="15"/>
  <c r="AM1516" i="15"/>
  <c r="AN1516" i="15"/>
  <c r="AO1516" i="15"/>
  <c r="R1517" i="15"/>
  <c r="S1517" i="15"/>
  <c r="T1517" i="15"/>
  <c r="U1517" i="15"/>
  <c r="V1517" i="15"/>
  <c r="W1517" i="15"/>
  <c r="X1517" i="15"/>
  <c r="Y1517" i="15"/>
  <c r="Z1517" i="15"/>
  <c r="AA1517" i="15"/>
  <c r="AB1517" i="15"/>
  <c r="AC1517" i="15"/>
  <c r="AD1517" i="15"/>
  <c r="AE1517" i="15"/>
  <c r="AF1517" i="15"/>
  <c r="AG1517" i="15"/>
  <c r="AH1517" i="15"/>
  <c r="AI1517" i="15"/>
  <c r="AJ1517" i="15"/>
  <c r="AK1517" i="15"/>
  <c r="AL1517" i="15"/>
  <c r="AM1517" i="15"/>
  <c r="AN1517" i="15"/>
  <c r="AO1517" i="15"/>
  <c r="R1518" i="15"/>
  <c r="S1518" i="15"/>
  <c r="T1518" i="15"/>
  <c r="U1518" i="15"/>
  <c r="V1518" i="15"/>
  <c r="W1518" i="15"/>
  <c r="X1518" i="15"/>
  <c r="Y1518" i="15"/>
  <c r="Z1518" i="15"/>
  <c r="AA1518" i="15"/>
  <c r="AB1518" i="15"/>
  <c r="AC1518" i="15"/>
  <c r="AD1518" i="15"/>
  <c r="AE1518" i="15"/>
  <c r="AF1518" i="15"/>
  <c r="AG1518" i="15"/>
  <c r="AH1518" i="15"/>
  <c r="AI1518" i="15"/>
  <c r="AJ1518" i="15"/>
  <c r="AK1518" i="15"/>
  <c r="AL1518" i="15"/>
  <c r="AM1518" i="15"/>
  <c r="AN1518" i="15"/>
  <c r="AO1518" i="15"/>
  <c r="R1519" i="15"/>
  <c r="S1519" i="15"/>
  <c r="T1519" i="15"/>
  <c r="U1519" i="15"/>
  <c r="V1519" i="15"/>
  <c r="W1519" i="15"/>
  <c r="X1519" i="15"/>
  <c r="Y1519" i="15"/>
  <c r="Z1519" i="15"/>
  <c r="AA1519" i="15"/>
  <c r="AB1519" i="15"/>
  <c r="AC1519" i="15"/>
  <c r="AD1519" i="15"/>
  <c r="AE1519" i="15"/>
  <c r="AF1519" i="15"/>
  <c r="AG1519" i="15"/>
  <c r="AH1519" i="15"/>
  <c r="AI1519" i="15"/>
  <c r="AJ1519" i="15"/>
  <c r="AK1519" i="15"/>
  <c r="AL1519" i="15"/>
  <c r="AM1519" i="15"/>
  <c r="AN1519" i="15"/>
  <c r="AO1519" i="15"/>
  <c r="R1520" i="15"/>
  <c r="S1520" i="15"/>
  <c r="T1520" i="15"/>
  <c r="U1520" i="15"/>
  <c r="V1520" i="15"/>
  <c r="W1520" i="15"/>
  <c r="X1520" i="15"/>
  <c r="Y1520" i="15"/>
  <c r="Z1520" i="15"/>
  <c r="AA1520" i="15"/>
  <c r="AB1520" i="15"/>
  <c r="AC1520" i="15"/>
  <c r="AD1520" i="15"/>
  <c r="AE1520" i="15"/>
  <c r="AF1520" i="15"/>
  <c r="AG1520" i="15"/>
  <c r="AH1520" i="15"/>
  <c r="AI1520" i="15"/>
  <c r="AJ1520" i="15"/>
  <c r="AK1520" i="15"/>
  <c r="AL1520" i="15"/>
  <c r="AM1520" i="15"/>
  <c r="AN1520" i="15"/>
  <c r="AO1520" i="15"/>
  <c r="R1521" i="15"/>
  <c r="S1521" i="15"/>
  <c r="T1521" i="15"/>
  <c r="U1521" i="15"/>
  <c r="V1521" i="15"/>
  <c r="W1521" i="15"/>
  <c r="X1521" i="15"/>
  <c r="Y1521" i="15"/>
  <c r="Z1521" i="15"/>
  <c r="AA1521" i="15"/>
  <c r="AB1521" i="15"/>
  <c r="AC1521" i="15"/>
  <c r="AD1521" i="15"/>
  <c r="AE1521" i="15"/>
  <c r="AF1521" i="15"/>
  <c r="AG1521" i="15"/>
  <c r="AH1521" i="15"/>
  <c r="AI1521" i="15"/>
  <c r="AJ1521" i="15"/>
  <c r="AK1521" i="15"/>
  <c r="AL1521" i="15"/>
  <c r="AM1521" i="15"/>
  <c r="AN1521" i="15"/>
  <c r="AO1521" i="15"/>
  <c r="R1522" i="15"/>
  <c r="S1522" i="15"/>
  <c r="T1522" i="15"/>
  <c r="U1522" i="15"/>
  <c r="V1522" i="15"/>
  <c r="W1522" i="15"/>
  <c r="X1522" i="15"/>
  <c r="Y1522" i="15"/>
  <c r="Z1522" i="15"/>
  <c r="AA1522" i="15"/>
  <c r="AB1522" i="15"/>
  <c r="AC1522" i="15"/>
  <c r="AD1522" i="15"/>
  <c r="AE1522" i="15"/>
  <c r="AF1522" i="15"/>
  <c r="AG1522" i="15"/>
  <c r="AH1522" i="15"/>
  <c r="AI1522" i="15"/>
  <c r="AJ1522" i="15"/>
  <c r="AK1522" i="15"/>
  <c r="AL1522" i="15"/>
  <c r="AM1522" i="15"/>
  <c r="AN1522" i="15"/>
  <c r="AO1522" i="15"/>
  <c r="R1523" i="15"/>
  <c r="S1523" i="15"/>
  <c r="T1523" i="15"/>
  <c r="U1523" i="15"/>
  <c r="V1523" i="15"/>
  <c r="W1523" i="15"/>
  <c r="X1523" i="15"/>
  <c r="Y1523" i="15"/>
  <c r="Z1523" i="15"/>
  <c r="AA1523" i="15"/>
  <c r="AB1523" i="15"/>
  <c r="AC1523" i="15"/>
  <c r="AD1523" i="15"/>
  <c r="AE1523" i="15"/>
  <c r="AF1523" i="15"/>
  <c r="AG1523" i="15"/>
  <c r="AH1523" i="15"/>
  <c r="AI1523" i="15"/>
  <c r="AJ1523" i="15"/>
  <c r="AK1523" i="15"/>
  <c r="AL1523" i="15"/>
  <c r="AM1523" i="15"/>
  <c r="AN1523" i="15"/>
  <c r="AO1523" i="15"/>
  <c r="R1524" i="15"/>
  <c r="S1524" i="15"/>
  <c r="T1524" i="15"/>
  <c r="U1524" i="15"/>
  <c r="V1524" i="15"/>
  <c r="W1524" i="15"/>
  <c r="X1524" i="15"/>
  <c r="Y1524" i="15"/>
  <c r="Z1524" i="15"/>
  <c r="AA1524" i="15"/>
  <c r="AB1524" i="15"/>
  <c r="AC1524" i="15"/>
  <c r="AD1524" i="15"/>
  <c r="AE1524" i="15"/>
  <c r="AF1524" i="15"/>
  <c r="AG1524" i="15"/>
  <c r="AH1524" i="15"/>
  <c r="AI1524" i="15"/>
  <c r="AJ1524" i="15"/>
  <c r="AK1524" i="15"/>
  <c r="AL1524" i="15"/>
  <c r="AM1524" i="15"/>
  <c r="AN1524" i="15"/>
  <c r="AO1524" i="15"/>
  <c r="R1525" i="15"/>
  <c r="S1525" i="15"/>
  <c r="T1525" i="15"/>
  <c r="U1525" i="15"/>
  <c r="V1525" i="15"/>
  <c r="W1525" i="15"/>
  <c r="X1525" i="15"/>
  <c r="Y1525" i="15"/>
  <c r="Z1525" i="15"/>
  <c r="AA1525" i="15"/>
  <c r="AB1525" i="15"/>
  <c r="AC1525" i="15"/>
  <c r="AD1525" i="15"/>
  <c r="AE1525" i="15"/>
  <c r="AF1525" i="15"/>
  <c r="AG1525" i="15"/>
  <c r="AH1525" i="15"/>
  <c r="AI1525" i="15"/>
  <c r="AJ1525" i="15"/>
  <c r="AK1525" i="15"/>
  <c r="AL1525" i="15"/>
  <c r="AM1525" i="15"/>
  <c r="AN1525" i="15"/>
  <c r="AO1525" i="15"/>
  <c r="R1526" i="15"/>
  <c r="S1526" i="15"/>
  <c r="T1526" i="15"/>
  <c r="U1526" i="15"/>
  <c r="V1526" i="15"/>
  <c r="W1526" i="15"/>
  <c r="X1526" i="15"/>
  <c r="Y1526" i="15"/>
  <c r="Z1526" i="15"/>
  <c r="AA1526" i="15"/>
  <c r="AB1526" i="15"/>
  <c r="AC1526" i="15"/>
  <c r="AD1526" i="15"/>
  <c r="AE1526" i="15"/>
  <c r="AF1526" i="15"/>
  <c r="AG1526" i="15"/>
  <c r="AH1526" i="15"/>
  <c r="AI1526" i="15"/>
  <c r="AJ1526" i="15"/>
  <c r="AK1526" i="15"/>
  <c r="AL1526" i="15"/>
  <c r="AM1526" i="15"/>
  <c r="AN1526" i="15"/>
  <c r="AO1526" i="15"/>
  <c r="R1527" i="15"/>
  <c r="S1527" i="15"/>
  <c r="T1527" i="15"/>
  <c r="U1527" i="15"/>
  <c r="V1527" i="15"/>
  <c r="W1527" i="15"/>
  <c r="X1527" i="15"/>
  <c r="Y1527" i="15"/>
  <c r="Z1527" i="15"/>
  <c r="AA1527" i="15"/>
  <c r="AB1527" i="15"/>
  <c r="AC1527" i="15"/>
  <c r="AD1527" i="15"/>
  <c r="AE1527" i="15"/>
  <c r="AF1527" i="15"/>
  <c r="AG1527" i="15"/>
  <c r="AH1527" i="15"/>
  <c r="AI1527" i="15"/>
  <c r="AJ1527" i="15"/>
  <c r="AK1527" i="15"/>
  <c r="AL1527" i="15"/>
  <c r="AM1527" i="15"/>
  <c r="AN1527" i="15"/>
  <c r="AO1527" i="15"/>
  <c r="R1528" i="15"/>
  <c r="S1528" i="15"/>
  <c r="T1528" i="15"/>
  <c r="U1528" i="15"/>
  <c r="V1528" i="15"/>
  <c r="W1528" i="15"/>
  <c r="X1528" i="15"/>
  <c r="Y1528" i="15"/>
  <c r="Z1528" i="15"/>
  <c r="AA1528" i="15"/>
  <c r="AB1528" i="15"/>
  <c r="AC1528" i="15"/>
  <c r="AD1528" i="15"/>
  <c r="AE1528" i="15"/>
  <c r="AF1528" i="15"/>
  <c r="AG1528" i="15"/>
  <c r="AH1528" i="15"/>
  <c r="AI1528" i="15"/>
  <c r="AJ1528" i="15"/>
  <c r="AK1528" i="15"/>
  <c r="AL1528" i="15"/>
  <c r="AM1528" i="15"/>
  <c r="AN1528" i="15"/>
  <c r="AO1528" i="15"/>
  <c r="R1529" i="15"/>
  <c r="S1529" i="15"/>
  <c r="T1529" i="15"/>
  <c r="U1529" i="15"/>
  <c r="V1529" i="15"/>
  <c r="W1529" i="15"/>
  <c r="X1529" i="15"/>
  <c r="Y1529" i="15"/>
  <c r="Z1529" i="15"/>
  <c r="AA1529" i="15"/>
  <c r="AB1529" i="15"/>
  <c r="AC1529" i="15"/>
  <c r="AD1529" i="15"/>
  <c r="AE1529" i="15"/>
  <c r="AF1529" i="15"/>
  <c r="AG1529" i="15"/>
  <c r="AH1529" i="15"/>
  <c r="AI1529" i="15"/>
  <c r="AJ1529" i="15"/>
  <c r="AK1529" i="15"/>
  <c r="AL1529" i="15"/>
  <c r="AM1529" i="15"/>
  <c r="AN1529" i="15"/>
  <c r="AO1529" i="15"/>
  <c r="R1530" i="15"/>
  <c r="S1530" i="15"/>
  <c r="T1530" i="15"/>
  <c r="U1530" i="15"/>
  <c r="V1530" i="15"/>
  <c r="W1530" i="15"/>
  <c r="X1530" i="15"/>
  <c r="Y1530" i="15"/>
  <c r="Z1530" i="15"/>
  <c r="AA1530" i="15"/>
  <c r="AB1530" i="15"/>
  <c r="AC1530" i="15"/>
  <c r="AD1530" i="15"/>
  <c r="AE1530" i="15"/>
  <c r="AF1530" i="15"/>
  <c r="AG1530" i="15"/>
  <c r="AH1530" i="15"/>
  <c r="AI1530" i="15"/>
  <c r="AJ1530" i="15"/>
  <c r="AK1530" i="15"/>
  <c r="AL1530" i="15"/>
  <c r="AM1530" i="15"/>
  <c r="AN1530" i="15"/>
  <c r="AO1530" i="15"/>
  <c r="R1531" i="15"/>
  <c r="S1531" i="15"/>
  <c r="T1531" i="15"/>
  <c r="U1531" i="15"/>
  <c r="V1531" i="15"/>
  <c r="W1531" i="15"/>
  <c r="X1531" i="15"/>
  <c r="Y1531" i="15"/>
  <c r="Z1531" i="15"/>
  <c r="AA1531" i="15"/>
  <c r="AB1531" i="15"/>
  <c r="AC1531" i="15"/>
  <c r="AD1531" i="15"/>
  <c r="AE1531" i="15"/>
  <c r="AF1531" i="15"/>
  <c r="AG1531" i="15"/>
  <c r="AH1531" i="15"/>
  <c r="AI1531" i="15"/>
  <c r="AJ1531" i="15"/>
  <c r="AK1531" i="15"/>
  <c r="AL1531" i="15"/>
  <c r="AM1531" i="15"/>
  <c r="AN1531" i="15"/>
  <c r="AO1531" i="15"/>
  <c r="R1532" i="15"/>
  <c r="S1532" i="15"/>
  <c r="T1532" i="15"/>
  <c r="U1532" i="15"/>
  <c r="V1532" i="15"/>
  <c r="W1532" i="15"/>
  <c r="X1532" i="15"/>
  <c r="Y1532" i="15"/>
  <c r="Z1532" i="15"/>
  <c r="AA1532" i="15"/>
  <c r="AB1532" i="15"/>
  <c r="AC1532" i="15"/>
  <c r="AD1532" i="15"/>
  <c r="AE1532" i="15"/>
  <c r="AF1532" i="15"/>
  <c r="AG1532" i="15"/>
  <c r="AH1532" i="15"/>
  <c r="AI1532" i="15"/>
  <c r="AJ1532" i="15"/>
  <c r="AK1532" i="15"/>
  <c r="AL1532" i="15"/>
  <c r="AM1532" i="15"/>
  <c r="AN1532" i="15"/>
  <c r="AO1532" i="15"/>
  <c r="R1533" i="15"/>
  <c r="S1533" i="15"/>
  <c r="T1533" i="15"/>
  <c r="U1533" i="15"/>
  <c r="V1533" i="15"/>
  <c r="W1533" i="15"/>
  <c r="X1533" i="15"/>
  <c r="Y1533" i="15"/>
  <c r="Z1533" i="15"/>
  <c r="AA1533" i="15"/>
  <c r="AB1533" i="15"/>
  <c r="AC1533" i="15"/>
  <c r="AD1533" i="15"/>
  <c r="AE1533" i="15"/>
  <c r="AF1533" i="15"/>
  <c r="AG1533" i="15"/>
  <c r="AH1533" i="15"/>
  <c r="AI1533" i="15"/>
  <c r="AJ1533" i="15"/>
  <c r="AK1533" i="15"/>
  <c r="AL1533" i="15"/>
  <c r="AM1533" i="15"/>
  <c r="AN1533" i="15"/>
  <c r="AO1533" i="15"/>
  <c r="R1534" i="15"/>
  <c r="S1534" i="15"/>
  <c r="T1534" i="15"/>
  <c r="U1534" i="15"/>
  <c r="V1534" i="15"/>
  <c r="W1534" i="15"/>
  <c r="X1534" i="15"/>
  <c r="Y1534" i="15"/>
  <c r="Z1534" i="15"/>
  <c r="AA1534" i="15"/>
  <c r="AB1534" i="15"/>
  <c r="AC1534" i="15"/>
  <c r="AD1534" i="15"/>
  <c r="AE1534" i="15"/>
  <c r="AF1534" i="15"/>
  <c r="AG1534" i="15"/>
  <c r="AH1534" i="15"/>
  <c r="AI1534" i="15"/>
  <c r="AJ1534" i="15"/>
  <c r="AK1534" i="15"/>
  <c r="AL1534" i="15"/>
  <c r="AM1534" i="15"/>
  <c r="AN1534" i="15"/>
  <c r="AO1534" i="15"/>
  <c r="R1535" i="15"/>
  <c r="S1535" i="15"/>
  <c r="T1535" i="15"/>
  <c r="U1535" i="15"/>
  <c r="V1535" i="15"/>
  <c r="W1535" i="15"/>
  <c r="X1535" i="15"/>
  <c r="Y1535" i="15"/>
  <c r="Z1535" i="15"/>
  <c r="AA1535" i="15"/>
  <c r="AB1535" i="15"/>
  <c r="AC1535" i="15"/>
  <c r="AD1535" i="15"/>
  <c r="AE1535" i="15"/>
  <c r="AF1535" i="15"/>
  <c r="AG1535" i="15"/>
  <c r="AH1535" i="15"/>
  <c r="AI1535" i="15"/>
  <c r="AJ1535" i="15"/>
  <c r="AK1535" i="15"/>
  <c r="AL1535" i="15"/>
  <c r="AM1535" i="15"/>
  <c r="AN1535" i="15"/>
  <c r="AO1535" i="15"/>
  <c r="R1536" i="15"/>
  <c r="S1536" i="15"/>
  <c r="T1536" i="15"/>
  <c r="U1536" i="15"/>
  <c r="V1536" i="15"/>
  <c r="W1536" i="15"/>
  <c r="X1536" i="15"/>
  <c r="Y1536" i="15"/>
  <c r="Z1536" i="15"/>
  <c r="AA1536" i="15"/>
  <c r="AB1536" i="15"/>
  <c r="AC1536" i="15"/>
  <c r="AD1536" i="15"/>
  <c r="AE1536" i="15"/>
  <c r="AF1536" i="15"/>
  <c r="AG1536" i="15"/>
  <c r="AH1536" i="15"/>
  <c r="AI1536" i="15"/>
  <c r="AJ1536" i="15"/>
  <c r="AK1536" i="15"/>
  <c r="AL1536" i="15"/>
  <c r="AM1536" i="15"/>
  <c r="AN1536" i="15"/>
  <c r="AO1536" i="15"/>
  <c r="R1537" i="15"/>
  <c r="S1537" i="15"/>
  <c r="T1537" i="15"/>
  <c r="U1537" i="15"/>
  <c r="V1537" i="15"/>
  <c r="W1537" i="15"/>
  <c r="X1537" i="15"/>
  <c r="Y1537" i="15"/>
  <c r="Z1537" i="15"/>
  <c r="AA1537" i="15"/>
  <c r="AB1537" i="15"/>
  <c r="AC1537" i="15"/>
  <c r="AD1537" i="15"/>
  <c r="AE1537" i="15"/>
  <c r="AF1537" i="15"/>
  <c r="AG1537" i="15"/>
  <c r="AH1537" i="15"/>
  <c r="AI1537" i="15"/>
  <c r="AJ1537" i="15"/>
  <c r="AK1537" i="15"/>
  <c r="AL1537" i="15"/>
  <c r="AM1537" i="15"/>
  <c r="AN1537" i="15"/>
  <c r="AO1537" i="15"/>
  <c r="R1538" i="15"/>
  <c r="S1538" i="15"/>
  <c r="T1538" i="15"/>
  <c r="U1538" i="15"/>
  <c r="V1538" i="15"/>
  <c r="W1538" i="15"/>
  <c r="X1538" i="15"/>
  <c r="Y1538" i="15"/>
  <c r="Z1538" i="15"/>
  <c r="AA1538" i="15"/>
  <c r="AB1538" i="15"/>
  <c r="AC1538" i="15"/>
  <c r="AD1538" i="15"/>
  <c r="AE1538" i="15"/>
  <c r="AF1538" i="15"/>
  <c r="AG1538" i="15"/>
  <c r="AH1538" i="15"/>
  <c r="AI1538" i="15"/>
  <c r="AJ1538" i="15"/>
  <c r="AK1538" i="15"/>
  <c r="AL1538" i="15"/>
  <c r="AM1538" i="15"/>
  <c r="AN1538" i="15"/>
  <c r="AO1538" i="15"/>
  <c r="R1539" i="15"/>
  <c r="S1539" i="15"/>
  <c r="T1539" i="15"/>
  <c r="U1539" i="15"/>
  <c r="V1539" i="15"/>
  <c r="W1539" i="15"/>
  <c r="X1539" i="15"/>
  <c r="Y1539" i="15"/>
  <c r="Z1539" i="15"/>
  <c r="AA1539" i="15"/>
  <c r="AB1539" i="15"/>
  <c r="AC1539" i="15"/>
  <c r="AD1539" i="15"/>
  <c r="AE1539" i="15"/>
  <c r="AF1539" i="15"/>
  <c r="AG1539" i="15"/>
  <c r="AH1539" i="15"/>
  <c r="AI1539" i="15"/>
  <c r="AJ1539" i="15"/>
  <c r="AK1539" i="15"/>
  <c r="AL1539" i="15"/>
  <c r="AM1539" i="15"/>
  <c r="AN1539" i="15"/>
  <c r="AO1539" i="15"/>
  <c r="R1540" i="15"/>
  <c r="S1540" i="15"/>
  <c r="T1540" i="15"/>
  <c r="U1540" i="15"/>
  <c r="V1540" i="15"/>
  <c r="W1540" i="15"/>
  <c r="X1540" i="15"/>
  <c r="Y1540" i="15"/>
  <c r="Z1540" i="15"/>
  <c r="AA1540" i="15"/>
  <c r="AB1540" i="15"/>
  <c r="AC1540" i="15"/>
  <c r="AD1540" i="15"/>
  <c r="AE1540" i="15"/>
  <c r="AF1540" i="15"/>
  <c r="AG1540" i="15"/>
  <c r="AH1540" i="15"/>
  <c r="AI1540" i="15"/>
  <c r="AJ1540" i="15"/>
  <c r="AK1540" i="15"/>
  <c r="AL1540" i="15"/>
  <c r="AM1540" i="15"/>
  <c r="AN1540" i="15"/>
  <c r="AO1540" i="15"/>
  <c r="R1541" i="15"/>
  <c r="S1541" i="15"/>
  <c r="T1541" i="15"/>
  <c r="U1541" i="15"/>
  <c r="V1541" i="15"/>
  <c r="W1541" i="15"/>
  <c r="X1541" i="15"/>
  <c r="Y1541" i="15"/>
  <c r="Z1541" i="15"/>
  <c r="AA1541" i="15"/>
  <c r="AB1541" i="15"/>
  <c r="AC1541" i="15"/>
  <c r="AD1541" i="15"/>
  <c r="AE1541" i="15"/>
  <c r="AF1541" i="15"/>
  <c r="AG1541" i="15"/>
  <c r="AH1541" i="15"/>
  <c r="AI1541" i="15"/>
  <c r="AJ1541" i="15"/>
  <c r="AK1541" i="15"/>
  <c r="AL1541" i="15"/>
  <c r="AM1541" i="15"/>
  <c r="AN1541" i="15"/>
  <c r="AO1541" i="15"/>
  <c r="R1542" i="15"/>
  <c r="S1542" i="15"/>
  <c r="T1542" i="15"/>
  <c r="U1542" i="15"/>
  <c r="V1542" i="15"/>
  <c r="W1542" i="15"/>
  <c r="X1542" i="15"/>
  <c r="Y1542" i="15"/>
  <c r="Z1542" i="15"/>
  <c r="AA1542" i="15"/>
  <c r="AB1542" i="15"/>
  <c r="AC1542" i="15"/>
  <c r="AD1542" i="15"/>
  <c r="AE1542" i="15"/>
  <c r="AF1542" i="15"/>
  <c r="AG1542" i="15"/>
  <c r="AH1542" i="15"/>
  <c r="AI1542" i="15"/>
  <c r="AJ1542" i="15"/>
  <c r="AK1542" i="15"/>
  <c r="AL1542" i="15"/>
  <c r="AM1542" i="15"/>
  <c r="AN1542" i="15"/>
  <c r="AO1542" i="15"/>
  <c r="R1543" i="15"/>
  <c r="S1543" i="15"/>
  <c r="T1543" i="15"/>
  <c r="U1543" i="15"/>
  <c r="V1543" i="15"/>
  <c r="W1543" i="15"/>
  <c r="X1543" i="15"/>
  <c r="Y1543" i="15"/>
  <c r="Z1543" i="15"/>
  <c r="AA1543" i="15"/>
  <c r="AB1543" i="15"/>
  <c r="AC1543" i="15"/>
  <c r="AD1543" i="15"/>
  <c r="AE1543" i="15"/>
  <c r="AF1543" i="15"/>
  <c r="AG1543" i="15"/>
  <c r="AH1543" i="15"/>
  <c r="AI1543" i="15"/>
  <c r="AJ1543" i="15"/>
  <c r="AK1543" i="15"/>
  <c r="AL1543" i="15"/>
  <c r="AM1543" i="15"/>
  <c r="AN1543" i="15"/>
  <c r="AO1543" i="15"/>
  <c r="R1544" i="15"/>
  <c r="S1544" i="15"/>
  <c r="T1544" i="15"/>
  <c r="U1544" i="15"/>
  <c r="V1544" i="15"/>
  <c r="W1544" i="15"/>
  <c r="X1544" i="15"/>
  <c r="Y1544" i="15"/>
  <c r="Z1544" i="15"/>
  <c r="AA1544" i="15"/>
  <c r="AB1544" i="15"/>
  <c r="AC1544" i="15"/>
  <c r="AD1544" i="15"/>
  <c r="AE1544" i="15"/>
  <c r="AF1544" i="15"/>
  <c r="AG1544" i="15"/>
  <c r="AH1544" i="15"/>
  <c r="AI1544" i="15"/>
  <c r="AJ1544" i="15"/>
  <c r="AK1544" i="15"/>
  <c r="AL1544" i="15"/>
  <c r="AM1544" i="15"/>
  <c r="AN1544" i="15"/>
  <c r="AO1544" i="15"/>
  <c r="R1545" i="15"/>
  <c r="S1545" i="15"/>
  <c r="T1545" i="15"/>
  <c r="U1545" i="15"/>
  <c r="V1545" i="15"/>
  <c r="W1545" i="15"/>
  <c r="X1545" i="15"/>
  <c r="Y1545" i="15"/>
  <c r="Z1545" i="15"/>
  <c r="AA1545" i="15"/>
  <c r="AB1545" i="15"/>
  <c r="AC1545" i="15"/>
  <c r="AD1545" i="15"/>
  <c r="AE1545" i="15"/>
  <c r="AF1545" i="15"/>
  <c r="AG1545" i="15"/>
  <c r="AH1545" i="15"/>
  <c r="AI1545" i="15"/>
  <c r="AJ1545" i="15"/>
  <c r="AK1545" i="15"/>
  <c r="AL1545" i="15"/>
  <c r="AM1545" i="15"/>
  <c r="AN1545" i="15"/>
  <c r="AO1545" i="15"/>
  <c r="R1546" i="15"/>
  <c r="S1546" i="15"/>
  <c r="T1546" i="15"/>
  <c r="U1546" i="15"/>
  <c r="V1546" i="15"/>
  <c r="W1546" i="15"/>
  <c r="X1546" i="15"/>
  <c r="Y1546" i="15"/>
  <c r="Z1546" i="15"/>
  <c r="AA1546" i="15"/>
  <c r="AB1546" i="15"/>
  <c r="AC1546" i="15"/>
  <c r="AD1546" i="15"/>
  <c r="AE1546" i="15"/>
  <c r="AF1546" i="15"/>
  <c r="AG1546" i="15"/>
  <c r="AH1546" i="15"/>
  <c r="AI1546" i="15"/>
  <c r="AJ1546" i="15"/>
  <c r="AK1546" i="15"/>
  <c r="AL1546" i="15"/>
  <c r="AM1546" i="15"/>
  <c r="AN1546" i="15"/>
  <c r="AO1546" i="15"/>
  <c r="R1547" i="15"/>
  <c r="S1547" i="15"/>
  <c r="T1547" i="15"/>
  <c r="U1547" i="15"/>
  <c r="V1547" i="15"/>
  <c r="W1547" i="15"/>
  <c r="X1547" i="15"/>
  <c r="Y1547" i="15"/>
  <c r="Z1547" i="15"/>
  <c r="AA1547" i="15"/>
  <c r="AB1547" i="15"/>
  <c r="AC1547" i="15"/>
  <c r="AD1547" i="15"/>
  <c r="AE1547" i="15"/>
  <c r="AF1547" i="15"/>
  <c r="AG1547" i="15"/>
  <c r="AH1547" i="15"/>
  <c r="AI1547" i="15"/>
  <c r="AJ1547" i="15"/>
  <c r="AK1547" i="15"/>
  <c r="AL1547" i="15"/>
  <c r="AM1547" i="15"/>
  <c r="AN1547" i="15"/>
  <c r="AO1547" i="15"/>
  <c r="R1548" i="15"/>
  <c r="S1548" i="15"/>
  <c r="T1548" i="15"/>
  <c r="U1548" i="15"/>
  <c r="V1548" i="15"/>
  <c r="W1548" i="15"/>
  <c r="X1548" i="15"/>
  <c r="Y1548" i="15"/>
  <c r="Z1548" i="15"/>
  <c r="AA1548" i="15"/>
  <c r="AB1548" i="15"/>
  <c r="AC1548" i="15"/>
  <c r="AD1548" i="15"/>
  <c r="AE1548" i="15"/>
  <c r="AF1548" i="15"/>
  <c r="AG1548" i="15"/>
  <c r="AH1548" i="15"/>
  <c r="AI1548" i="15"/>
  <c r="AJ1548" i="15"/>
  <c r="AK1548" i="15"/>
  <c r="AL1548" i="15"/>
  <c r="AM1548" i="15"/>
  <c r="AN1548" i="15"/>
  <c r="AO1548" i="15"/>
  <c r="R1549" i="15"/>
  <c r="S1549" i="15"/>
  <c r="T1549" i="15"/>
  <c r="U1549" i="15"/>
  <c r="V1549" i="15"/>
  <c r="W1549" i="15"/>
  <c r="X1549" i="15"/>
  <c r="Y1549" i="15"/>
  <c r="Z1549" i="15"/>
  <c r="AA1549" i="15"/>
  <c r="AB1549" i="15"/>
  <c r="AC1549" i="15"/>
  <c r="AD1549" i="15"/>
  <c r="AE1549" i="15"/>
  <c r="AF1549" i="15"/>
  <c r="AG1549" i="15"/>
  <c r="AH1549" i="15"/>
  <c r="AI1549" i="15"/>
  <c r="AJ1549" i="15"/>
  <c r="AK1549" i="15"/>
  <c r="AL1549" i="15"/>
  <c r="AM1549" i="15"/>
  <c r="AN1549" i="15"/>
  <c r="AO1549" i="15"/>
  <c r="R1550" i="15"/>
  <c r="S1550" i="15"/>
  <c r="T1550" i="15"/>
  <c r="U1550" i="15"/>
  <c r="V1550" i="15"/>
  <c r="W1550" i="15"/>
  <c r="X1550" i="15"/>
  <c r="Y1550" i="15"/>
  <c r="Z1550" i="15"/>
  <c r="AA1550" i="15"/>
  <c r="AB1550" i="15"/>
  <c r="AC1550" i="15"/>
  <c r="AD1550" i="15"/>
  <c r="AE1550" i="15"/>
  <c r="AF1550" i="15"/>
  <c r="AG1550" i="15"/>
  <c r="AH1550" i="15"/>
  <c r="AI1550" i="15"/>
  <c r="AJ1550" i="15"/>
  <c r="AK1550" i="15"/>
  <c r="AL1550" i="15"/>
  <c r="AM1550" i="15"/>
  <c r="AN1550" i="15"/>
  <c r="AO1550" i="15"/>
  <c r="R1551" i="15"/>
  <c r="S1551" i="15"/>
  <c r="T1551" i="15"/>
  <c r="U1551" i="15"/>
  <c r="V1551" i="15"/>
  <c r="W1551" i="15"/>
  <c r="X1551" i="15"/>
  <c r="Y1551" i="15"/>
  <c r="Z1551" i="15"/>
  <c r="AA1551" i="15"/>
  <c r="AB1551" i="15"/>
  <c r="AC1551" i="15"/>
  <c r="AD1551" i="15"/>
  <c r="AE1551" i="15"/>
  <c r="AF1551" i="15"/>
  <c r="AG1551" i="15"/>
  <c r="AH1551" i="15"/>
  <c r="AI1551" i="15"/>
  <c r="AJ1551" i="15"/>
  <c r="AK1551" i="15"/>
  <c r="AL1551" i="15"/>
  <c r="AM1551" i="15"/>
  <c r="AN1551" i="15"/>
  <c r="AO1551" i="15"/>
  <c r="R1552" i="15"/>
  <c r="S1552" i="15"/>
  <c r="T1552" i="15"/>
  <c r="U1552" i="15"/>
  <c r="V1552" i="15"/>
  <c r="W1552" i="15"/>
  <c r="X1552" i="15"/>
  <c r="Y1552" i="15"/>
  <c r="Z1552" i="15"/>
  <c r="AA1552" i="15"/>
  <c r="AB1552" i="15"/>
  <c r="AC1552" i="15"/>
  <c r="AD1552" i="15"/>
  <c r="AE1552" i="15"/>
  <c r="AF1552" i="15"/>
  <c r="AG1552" i="15"/>
  <c r="AH1552" i="15"/>
  <c r="AI1552" i="15"/>
  <c r="AJ1552" i="15"/>
  <c r="AK1552" i="15"/>
  <c r="AL1552" i="15"/>
  <c r="AM1552" i="15"/>
  <c r="AN1552" i="15"/>
  <c r="AO1552" i="15"/>
  <c r="R1553" i="15"/>
  <c r="S1553" i="15"/>
  <c r="T1553" i="15"/>
  <c r="U1553" i="15"/>
  <c r="V1553" i="15"/>
  <c r="W1553" i="15"/>
  <c r="X1553" i="15"/>
  <c r="Y1553" i="15"/>
  <c r="Z1553" i="15"/>
  <c r="AA1553" i="15"/>
  <c r="AB1553" i="15"/>
  <c r="AC1553" i="15"/>
  <c r="AD1553" i="15"/>
  <c r="AE1553" i="15"/>
  <c r="AF1553" i="15"/>
  <c r="AG1553" i="15"/>
  <c r="AH1553" i="15"/>
  <c r="AI1553" i="15"/>
  <c r="AJ1553" i="15"/>
  <c r="AK1553" i="15"/>
  <c r="AL1553" i="15"/>
  <c r="AM1553" i="15"/>
  <c r="AN1553" i="15"/>
  <c r="AO1553" i="15"/>
  <c r="R1554" i="15"/>
  <c r="S1554" i="15"/>
  <c r="T1554" i="15"/>
  <c r="U1554" i="15"/>
  <c r="V1554" i="15"/>
  <c r="W1554" i="15"/>
  <c r="X1554" i="15"/>
  <c r="Y1554" i="15"/>
  <c r="Z1554" i="15"/>
  <c r="AA1554" i="15"/>
  <c r="AB1554" i="15"/>
  <c r="AC1554" i="15"/>
  <c r="AD1554" i="15"/>
  <c r="AE1554" i="15"/>
  <c r="AF1554" i="15"/>
  <c r="AG1554" i="15"/>
  <c r="AH1554" i="15"/>
  <c r="AI1554" i="15"/>
  <c r="AJ1554" i="15"/>
  <c r="AK1554" i="15"/>
  <c r="AL1554" i="15"/>
  <c r="AM1554" i="15"/>
  <c r="AN1554" i="15"/>
  <c r="AO1554" i="15"/>
  <c r="R1555" i="15"/>
  <c r="S1555" i="15"/>
  <c r="T1555" i="15"/>
  <c r="U1555" i="15"/>
  <c r="V1555" i="15"/>
  <c r="W1555" i="15"/>
  <c r="X1555" i="15"/>
  <c r="Y1555" i="15"/>
  <c r="Z1555" i="15"/>
  <c r="AA1555" i="15"/>
  <c r="AB1555" i="15"/>
  <c r="AC1555" i="15"/>
  <c r="AD1555" i="15"/>
  <c r="AE1555" i="15"/>
  <c r="AF1555" i="15"/>
  <c r="AG1555" i="15"/>
  <c r="AH1555" i="15"/>
  <c r="AI1555" i="15"/>
  <c r="AJ1555" i="15"/>
  <c r="AK1555" i="15"/>
  <c r="AL1555" i="15"/>
  <c r="AM1555" i="15"/>
  <c r="AN1555" i="15"/>
  <c r="AO1555" i="15"/>
  <c r="R1556" i="15"/>
  <c r="S1556" i="15"/>
  <c r="T1556" i="15"/>
  <c r="U1556" i="15"/>
  <c r="V1556" i="15"/>
  <c r="W1556" i="15"/>
  <c r="X1556" i="15"/>
  <c r="Y1556" i="15"/>
  <c r="Z1556" i="15"/>
  <c r="AA1556" i="15"/>
  <c r="AB1556" i="15"/>
  <c r="AC1556" i="15"/>
  <c r="AD1556" i="15"/>
  <c r="AE1556" i="15"/>
  <c r="AF1556" i="15"/>
  <c r="AG1556" i="15"/>
  <c r="AH1556" i="15"/>
  <c r="AI1556" i="15"/>
  <c r="AJ1556" i="15"/>
  <c r="AK1556" i="15"/>
  <c r="AL1556" i="15"/>
  <c r="AM1556" i="15"/>
  <c r="AN1556" i="15"/>
  <c r="AO1556" i="15"/>
  <c r="R1557" i="15"/>
  <c r="S1557" i="15"/>
  <c r="T1557" i="15"/>
  <c r="U1557" i="15"/>
  <c r="V1557" i="15"/>
  <c r="W1557" i="15"/>
  <c r="X1557" i="15"/>
  <c r="Y1557" i="15"/>
  <c r="Z1557" i="15"/>
  <c r="AA1557" i="15"/>
  <c r="AB1557" i="15"/>
  <c r="AC1557" i="15"/>
  <c r="AD1557" i="15"/>
  <c r="AE1557" i="15"/>
  <c r="AF1557" i="15"/>
  <c r="AG1557" i="15"/>
  <c r="AH1557" i="15"/>
  <c r="AI1557" i="15"/>
  <c r="AJ1557" i="15"/>
  <c r="AK1557" i="15"/>
  <c r="AL1557" i="15"/>
  <c r="AM1557" i="15"/>
  <c r="AN1557" i="15"/>
  <c r="AO1557" i="15"/>
  <c r="R1558" i="15"/>
  <c r="S1558" i="15"/>
  <c r="T1558" i="15"/>
  <c r="U1558" i="15"/>
  <c r="V1558" i="15"/>
  <c r="W1558" i="15"/>
  <c r="X1558" i="15"/>
  <c r="Y1558" i="15"/>
  <c r="Z1558" i="15"/>
  <c r="AA1558" i="15"/>
  <c r="AB1558" i="15"/>
  <c r="AC1558" i="15"/>
  <c r="AD1558" i="15"/>
  <c r="AE1558" i="15"/>
  <c r="AF1558" i="15"/>
  <c r="AG1558" i="15"/>
  <c r="AH1558" i="15"/>
  <c r="AI1558" i="15"/>
  <c r="AJ1558" i="15"/>
  <c r="AK1558" i="15"/>
  <c r="AL1558" i="15"/>
  <c r="AM1558" i="15"/>
  <c r="AN1558" i="15"/>
  <c r="AO1558" i="15"/>
  <c r="R1559" i="15"/>
  <c r="S1559" i="15"/>
  <c r="T1559" i="15"/>
  <c r="U1559" i="15"/>
  <c r="V1559" i="15"/>
  <c r="W1559" i="15"/>
  <c r="X1559" i="15"/>
  <c r="Y1559" i="15"/>
  <c r="Z1559" i="15"/>
  <c r="AA1559" i="15"/>
  <c r="AB1559" i="15"/>
  <c r="AC1559" i="15"/>
  <c r="AD1559" i="15"/>
  <c r="AE1559" i="15"/>
  <c r="AF1559" i="15"/>
  <c r="AG1559" i="15"/>
  <c r="AH1559" i="15"/>
  <c r="AI1559" i="15"/>
  <c r="AJ1559" i="15"/>
  <c r="AK1559" i="15"/>
  <c r="AL1559" i="15"/>
  <c r="AM1559" i="15"/>
  <c r="AN1559" i="15"/>
  <c r="AO1559" i="15"/>
  <c r="R1560" i="15"/>
  <c r="S1560" i="15"/>
  <c r="T1560" i="15"/>
  <c r="U1560" i="15"/>
  <c r="V1560" i="15"/>
  <c r="W1560" i="15"/>
  <c r="X1560" i="15"/>
  <c r="Y1560" i="15"/>
  <c r="Z1560" i="15"/>
  <c r="AA1560" i="15"/>
  <c r="AB1560" i="15"/>
  <c r="AC1560" i="15"/>
  <c r="AD1560" i="15"/>
  <c r="AE1560" i="15"/>
  <c r="AF1560" i="15"/>
  <c r="AG1560" i="15"/>
  <c r="AH1560" i="15"/>
  <c r="AI1560" i="15"/>
  <c r="AJ1560" i="15"/>
  <c r="AK1560" i="15"/>
  <c r="AL1560" i="15"/>
  <c r="AM1560" i="15"/>
  <c r="AN1560" i="15"/>
  <c r="AO1560" i="15"/>
  <c r="R1561" i="15"/>
  <c r="S1561" i="15"/>
  <c r="T1561" i="15"/>
  <c r="U1561" i="15"/>
  <c r="V1561" i="15"/>
  <c r="W1561" i="15"/>
  <c r="X1561" i="15"/>
  <c r="Y1561" i="15"/>
  <c r="Z1561" i="15"/>
  <c r="AA1561" i="15"/>
  <c r="AB1561" i="15"/>
  <c r="AC1561" i="15"/>
  <c r="AD1561" i="15"/>
  <c r="AE1561" i="15"/>
  <c r="AF1561" i="15"/>
  <c r="AG1561" i="15"/>
  <c r="AH1561" i="15"/>
  <c r="AI1561" i="15"/>
  <c r="AJ1561" i="15"/>
  <c r="AK1561" i="15"/>
  <c r="AL1561" i="15"/>
  <c r="AM1561" i="15"/>
  <c r="AN1561" i="15"/>
  <c r="AO1561" i="15"/>
  <c r="R1562" i="15"/>
  <c r="S1562" i="15"/>
  <c r="T1562" i="15"/>
  <c r="U1562" i="15"/>
  <c r="V1562" i="15"/>
  <c r="W1562" i="15"/>
  <c r="X1562" i="15"/>
  <c r="Y1562" i="15"/>
  <c r="Z1562" i="15"/>
  <c r="AA1562" i="15"/>
  <c r="AB1562" i="15"/>
  <c r="AC1562" i="15"/>
  <c r="AD1562" i="15"/>
  <c r="AE1562" i="15"/>
  <c r="AF1562" i="15"/>
  <c r="AG1562" i="15"/>
  <c r="AH1562" i="15"/>
  <c r="AI1562" i="15"/>
  <c r="AJ1562" i="15"/>
  <c r="AK1562" i="15"/>
  <c r="AL1562" i="15"/>
  <c r="AM1562" i="15"/>
  <c r="AN1562" i="15"/>
  <c r="AO1562" i="15"/>
  <c r="R1563" i="15"/>
  <c r="S1563" i="15"/>
  <c r="T1563" i="15"/>
  <c r="U1563" i="15"/>
  <c r="V1563" i="15"/>
  <c r="W1563" i="15"/>
  <c r="X1563" i="15"/>
  <c r="Y1563" i="15"/>
  <c r="Z1563" i="15"/>
  <c r="AA1563" i="15"/>
  <c r="AB1563" i="15"/>
  <c r="AC1563" i="15"/>
  <c r="AD1563" i="15"/>
  <c r="AE1563" i="15"/>
  <c r="AF1563" i="15"/>
  <c r="AG1563" i="15"/>
  <c r="AH1563" i="15"/>
  <c r="AI1563" i="15"/>
  <c r="AJ1563" i="15"/>
  <c r="AK1563" i="15"/>
  <c r="AL1563" i="15"/>
  <c r="AM1563" i="15"/>
  <c r="AN1563" i="15"/>
  <c r="AO1563" i="15"/>
  <c r="R1564" i="15"/>
  <c r="S1564" i="15"/>
  <c r="T1564" i="15"/>
  <c r="U1564" i="15"/>
  <c r="V1564" i="15"/>
  <c r="W1564" i="15"/>
  <c r="X1564" i="15"/>
  <c r="Y1564" i="15"/>
  <c r="Z1564" i="15"/>
  <c r="AA1564" i="15"/>
  <c r="AB1564" i="15"/>
  <c r="AC1564" i="15"/>
  <c r="AD1564" i="15"/>
  <c r="AE1564" i="15"/>
  <c r="AF1564" i="15"/>
  <c r="AG1564" i="15"/>
  <c r="AH1564" i="15"/>
  <c r="AI1564" i="15"/>
  <c r="AJ1564" i="15"/>
  <c r="AK1564" i="15"/>
  <c r="AL1564" i="15"/>
  <c r="AM1564" i="15"/>
  <c r="AN1564" i="15"/>
  <c r="AO1564" i="15"/>
  <c r="R1565" i="15"/>
  <c r="S1565" i="15"/>
  <c r="T1565" i="15"/>
  <c r="U1565" i="15"/>
  <c r="V1565" i="15"/>
  <c r="W1565" i="15"/>
  <c r="X1565" i="15"/>
  <c r="Y1565" i="15"/>
  <c r="Z1565" i="15"/>
  <c r="AA1565" i="15"/>
  <c r="AB1565" i="15"/>
  <c r="AC1565" i="15"/>
  <c r="AD1565" i="15"/>
  <c r="AE1565" i="15"/>
  <c r="AF1565" i="15"/>
  <c r="AG1565" i="15"/>
  <c r="AH1565" i="15"/>
  <c r="AI1565" i="15"/>
  <c r="AJ1565" i="15"/>
  <c r="AK1565" i="15"/>
  <c r="AL1565" i="15"/>
  <c r="AM1565" i="15"/>
  <c r="AN1565" i="15"/>
  <c r="AO1565" i="15"/>
  <c r="R1566" i="15"/>
  <c r="S1566" i="15"/>
  <c r="T1566" i="15"/>
  <c r="U1566" i="15"/>
  <c r="V1566" i="15"/>
  <c r="W1566" i="15"/>
  <c r="X1566" i="15"/>
  <c r="Y1566" i="15"/>
  <c r="Z1566" i="15"/>
  <c r="AA1566" i="15"/>
  <c r="AB1566" i="15"/>
  <c r="AC1566" i="15"/>
  <c r="AD1566" i="15"/>
  <c r="AE1566" i="15"/>
  <c r="AF1566" i="15"/>
  <c r="AG1566" i="15"/>
  <c r="AH1566" i="15"/>
  <c r="AI1566" i="15"/>
  <c r="AJ1566" i="15"/>
  <c r="AK1566" i="15"/>
  <c r="AL1566" i="15"/>
  <c r="AM1566" i="15"/>
  <c r="AN1566" i="15"/>
  <c r="AO1566" i="15"/>
  <c r="R1567" i="15"/>
  <c r="S1567" i="15"/>
  <c r="T1567" i="15"/>
  <c r="U1567" i="15"/>
  <c r="V1567" i="15"/>
  <c r="W1567" i="15"/>
  <c r="X1567" i="15"/>
  <c r="Y1567" i="15"/>
  <c r="Z1567" i="15"/>
  <c r="AA1567" i="15"/>
  <c r="AB1567" i="15"/>
  <c r="AC1567" i="15"/>
  <c r="AD1567" i="15"/>
  <c r="AE1567" i="15"/>
  <c r="AF1567" i="15"/>
  <c r="AG1567" i="15"/>
  <c r="AH1567" i="15"/>
  <c r="AI1567" i="15"/>
  <c r="AJ1567" i="15"/>
  <c r="AK1567" i="15"/>
  <c r="AL1567" i="15"/>
  <c r="AM1567" i="15"/>
  <c r="AN1567" i="15"/>
  <c r="AO1567" i="15"/>
  <c r="R1568" i="15"/>
  <c r="S1568" i="15"/>
  <c r="T1568" i="15"/>
  <c r="U1568" i="15"/>
  <c r="V1568" i="15"/>
  <c r="W1568" i="15"/>
  <c r="X1568" i="15"/>
  <c r="Y1568" i="15"/>
  <c r="Z1568" i="15"/>
  <c r="AA1568" i="15"/>
  <c r="AB1568" i="15"/>
  <c r="AC1568" i="15"/>
  <c r="AD1568" i="15"/>
  <c r="AE1568" i="15"/>
  <c r="AF1568" i="15"/>
  <c r="AG1568" i="15"/>
  <c r="AH1568" i="15"/>
  <c r="AI1568" i="15"/>
  <c r="AJ1568" i="15"/>
  <c r="AK1568" i="15"/>
  <c r="AL1568" i="15"/>
  <c r="AM1568" i="15"/>
  <c r="AN1568" i="15"/>
  <c r="AO1568" i="15"/>
  <c r="R1569" i="15"/>
  <c r="S1569" i="15"/>
  <c r="T1569" i="15"/>
  <c r="U1569" i="15"/>
  <c r="V1569" i="15"/>
  <c r="W1569" i="15"/>
  <c r="X1569" i="15"/>
  <c r="Y1569" i="15"/>
  <c r="Z1569" i="15"/>
  <c r="AA1569" i="15"/>
  <c r="AB1569" i="15"/>
  <c r="AC1569" i="15"/>
  <c r="AD1569" i="15"/>
  <c r="AE1569" i="15"/>
  <c r="AF1569" i="15"/>
  <c r="AG1569" i="15"/>
  <c r="AH1569" i="15"/>
  <c r="AI1569" i="15"/>
  <c r="AJ1569" i="15"/>
  <c r="AK1569" i="15"/>
  <c r="AL1569" i="15"/>
  <c r="AM1569" i="15"/>
  <c r="AN1569" i="15"/>
  <c r="AO1569" i="15"/>
  <c r="R1570" i="15"/>
  <c r="S1570" i="15"/>
  <c r="T1570" i="15"/>
  <c r="U1570" i="15"/>
  <c r="V1570" i="15"/>
  <c r="W1570" i="15"/>
  <c r="X1570" i="15"/>
  <c r="Y1570" i="15"/>
  <c r="Z1570" i="15"/>
  <c r="AA1570" i="15"/>
  <c r="AB1570" i="15"/>
  <c r="AC1570" i="15"/>
  <c r="AD1570" i="15"/>
  <c r="AE1570" i="15"/>
  <c r="AF1570" i="15"/>
  <c r="AG1570" i="15"/>
  <c r="AH1570" i="15"/>
  <c r="AI1570" i="15"/>
  <c r="AJ1570" i="15"/>
  <c r="AK1570" i="15"/>
  <c r="AL1570" i="15"/>
  <c r="AM1570" i="15"/>
  <c r="AN1570" i="15"/>
  <c r="AO1570" i="15"/>
  <c r="R1571" i="15"/>
  <c r="S1571" i="15"/>
  <c r="T1571" i="15"/>
  <c r="U1571" i="15"/>
  <c r="V1571" i="15"/>
  <c r="W1571" i="15"/>
  <c r="X1571" i="15"/>
  <c r="Y1571" i="15"/>
  <c r="Z1571" i="15"/>
  <c r="AA1571" i="15"/>
  <c r="AB1571" i="15"/>
  <c r="AC1571" i="15"/>
  <c r="AD1571" i="15"/>
  <c r="AE1571" i="15"/>
  <c r="AF1571" i="15"/>
  <c r="AG1571" i="15"/>
  <c r="AH1571" i="15"/>
  <c r="AI1571" i="15"/>
  <c r="AJ1571" i="15"/>
  <c r="AK1571" i="15"/>
  <c r="AL1571" i="15"/>
  <c r="AM1571" i="15"/>
  <c r="AN1571" i="15"/>
  <c r="AO1571" i="15"/>
  <c r="R1572" i="15"/>
  <c r="S1572" i="15"/>
  <c r="T1572" i="15"/>
  <c r="U1572" i="15"/>
  <c r="V1572" i="15"/>
  <c r="W1572" i="15"/>
  <c r="X1572" i="15"/>
  <c r="Y1572" i="15"/>
  <c r="Z1572" i="15"/>
  <c r="AA1572" i="15"/>
  <c r="AB1572" i="15"/>
  <c r="AC1572" i="15"/>
  <c r="AD1572" i="15"/>
  <c r="AE1572" i="15"/>
  <c r="AF1572" i="15"/>
  <c r="AG1572" i="15"/>
  <c r="AH1572" i="15"/>
  <c r="AI1572" i="15"/>
  <c r="AJ1572" i="15"/>
  <c r="AK1572" i="15"/>
  <c r="AL1572" i="15"/>
  <c r="AM1572" i="15"/>
  <c r="AN1572" i="15"/>
  <c r="AO1572" i="15"/>
  <c r="R1573" i="15"/>
  <c r="S1573" i="15"/>
  <c r="T1573" i="15"/>
  <c r="U1573" i="15"/>
  <c r="V1573" i="15"/>
  <c r="W1573" i="15"/>
  <c r="X1573" i="15"/>
  <c r="Y1573" i="15"/>
  <c r="Z1573" i="15"/>
  <c r="AA1573" i="15"/>
  <c r="AB1573" i="15"/>
  <c r="AC1573" i="15"/>
  <c r="AD1573" i="15"/>
  <c r="AE1573" i="15"/>
  <c r="AF1573" i="15"/>
  <c r="AG1573" i="15"/>
  <c r="AH1573" i="15"/>
  <c r="AI1573" i="15"/>
  <c r="AJ1573" i="15"/>
  <c r="AK1573" i="15"/>
  <c r="AL1573" i="15"/>
  <c r="AM1573" i="15"/>
  <c r="AN1573" i="15"/>
  <c r="AO1573" i="15"/>
  <c r="R1574" i="15"/>
  <c r="S1574" i="15"/>
  <c r="T1574" i="15"/>
  <c r="U1574" i="15"/>
  <c r="V1574" i="15"/>
  <c r="W1574" i="15"/>
  <c r="X1574" i="15"/>
  <c r="Y1574" i="15"/>
  <c r="Z1574" i="15"/>
  <c r="AA1574" i="15"/>
  <c r="AB1574" i="15"/>
  <c r="AC1574" i="15"/>
  <c r="AD1574" i="15"/>
  <c r="AE1574" i="15"/>
  <c r="AF1574" i="15"/>
  <c r="AG1574" i="15"/>
  <c r="AH1574" i="15"/>
  <c r="AI1574" i="15"/>
  <c r="AJ1574" i="15"/>
  <c r="AK1574" i="15"/>
  <c r="AL1574" i="15"/>
  <c r="AM1574" i="15"/>
  <c r="AN1574" i="15"/>
  <c r="AO1574" i="15"/>
  <c r="R1575" i="15"/>
  <c r="S1575" i="15"/>
  <c r="T1575" i="15"/>
  <c r="U1575" i="15"/>
  <c r="V1575" i="15"/>
  <c r="W1575" i="15"/>
  <c r="X1575" i="15"/>
  <c r="Y1575" i="15"/>
  <c r="Z1575" i="15"/>
  <c r="AA1575" i="15"/>
  <c r="AB1575" i="15"/>
  <c r="AC1575" i="15"/>
  <c r="AD1575" i="15"/>
  <c r="AE1575" i="15"/>
  <c r="AF1575" i="15"/>
  <c r="AG1575" i="15"/>
  <c r="AH1575" i="15"/>
  <c r="AI1575" i="15"/>
  <c r="AJ1575" i="15"/>
  <c r="AK1575" i="15"/>
  <c r="AL1575" i="15"/>
  <c r="AM1575" i="15"/>
  <c r="AN1575" i="15"/>
  <c r="AO1575" i="15"/>
  <c r="R1576" i="15"/>
  <c r="S1576" i="15"/>
  <c r="T1576" i="15"/>
  <c r="U1576" i="15"/>
  <c r="V1576" i="15"/>
  <c r="W1576" i="15"/>
  <c r="X1576" i="15"/>
  <c r="Y1576" i="15"/>
  <c r="Z1576" i="15"/>
  <c r="AA1576" i="15"/>
  <c r="AB1576" i="15"/>
  <c r="AC1576" i="15"/>
  <c r="AD1576" i="15"/>
  <c r="AE1576" i="15"/>
  <c r="AF1576" i="15"/>
  <c r="AG1576" i="15"/>
  <c r="AH1576" i="15"/>
  <c r="AI1576" i="15"/>
  <c r="AJ1576" i="15"/>
  <c r="AK1576" i="15"/>
  <c r="AL1576" i="15"/>
  <c r="AM1576" i="15"/>
  <c r="AN1576" i="15"/>
  <c r="AO1576" i="15"/>
  <c r="R1577" i="15"/>
  <c r="S1577" i="15"/>
  <c r="T1577" i="15"/>
  <c r="U1577" i="15"/>
  <c r="V1577" i="15"/>
  <c r="W1577" i="15"/>
  <c r="X1577" i="15"/>
  <c r="Y1577" i="15"/>
  <c r="Z1577" i="15"/>
  <c r="AA1577" i="15"/>
  <c r="AB1577" i="15"/>
  <c r="AC1577" i="15"/>
  <c r="AD1577" i="15"/>
  <c r="AE1577" i="15"/>
  <c r="AF1577" i="15"/>
  <c r="AG1577" i="15"/>
  <c r="AH1577" i="15"/>
  <c r="AI1577" i="15"/>
  <c r="AJ1577" i="15"/>
  <c r="AK1577" i="15"/>
  <c r="AL1577" i="15"/>
  <c r="AM1577" i="15"/>
  <c r="AN1577" i="15"/>
  <c r="AO1577" i="15"/>
  <c r="R1578" i="15"/>
  <c r="S1578" i="15"/>
  <c r="T1578" i="15"/>
  <c r="U1578" i="15"/>
  <c r="V1578" i="15"/>
  <c r="W1578" i="15"/>
  <c r="X1578" i="15"/>
  <c r="Y1578" i="15"/>
  <c r="Z1578" i="15"/>
  <c r="AA1578" i="15"/>
  <c r="AB1578" i="15"/>
  <c r="AC1578" i="15"/>
  <c r="AD1578" i="15"/>
  <c r="AE1578" i="15"/>
  <c r="AF1578" i="15"/>
  <c r="AG1578" i="15"/>
  <c r="AH1578" i="15"/>
  <c r="AI1578" i="15"/>
  <c r="AJ1578" i="15"/>
  <c r="AK1578" i="15"/>
  <c r="AL1578" i="15"/>
  <c r="AM1578" i="15"/>
  <c r="AN1578" i="15"/>
  <c r="AO1578" i="15"/>
  <c r="R1579" i="15"/>
  <c r="S1579" i="15"/>
  <c r="T1579" i="15"/>
  <c r="U1579" i="15"/>
  <c r="V1579" i="15"/>
  <c r="W1579" i="15"/>
  <c r="X1579" i="15"/>
  <c r="Y1579" i="15"/>
  <c r="Z1579" i="15"/>
  <c r="AA1579" i="15"/>
  <c r="AB1579" i="15"/>
  <c r="AC1579" i="15"/>
  <c r="AD1579" i="15"/>
  <c r="AE1579" i="15"/>
  <c r="AF1579" i="15"/>
  <c r="AG1579" i="15"/>
  <c r="AH1579" i="15"/>
  <c r="AI1579" i="15"/>
  <c r="AJ1579" i="15"/>
  <c r="AK1579" i="15"/>
  <c r="AL1579" i="15"/>
  <c r="AM1579" i="15"/>
  <c r="AN1579" i="15"/>
  <c r="AO1579" i="15"/>
  <c r="R1580" i="15"/>
  <c r="S1580" i="15"/>
  <c r="T1580" i="15"/>
  <c r="U1580" i="15"/>
  <c r="V1580" i="15"/>
  <c r="W1580" i="15"/>
  <c r="X1580" i="15"/>
  <c r="Y1580" i="15"/>
  <c r="Z1580" i="15"/>
  <c r="AA1580" i="15"/>
  <c r="AB1580" i="15"/>
  <c r="AC1580" i="15"/>
  <c r="AD1580" i="15"/>
  <c r="AE1580" i="15"/>
  <c r="AF1580" i="15"/>
  <c r="AG1580" i="15"/>
  <c r="AH1580" i="15"/>
  <c r="AI1580" i="15"/>
  <c r="AJ1580" i="15"/>
  <c r="AK1580" i="15"/>
  <c r="AL1580" i="15"/>
  <c r="AM1580" i="15"/>
  <c r="AN1580" i="15"/>
  <c r="AO1580" i="15"/>
  <c r="R1581" i="15"/>
  <c r="S1581" i="15"/>
  <c r="T1581" i="15"/>
  <c r="U1581" i="15"/>
  <c r="V1581" i="15"/>
  <c r="W1581" i="15"/>
  <c r="X1581" i="15"/>
  <c r="Y1581" i="15"/>
  <c r="Z1581" i="15"/>
  <c r="AA1581" i="15"/>
  <c r="AB1581" i="15"/>
  <c r="AC1581" i="15"/>
  <c r="AD1581" i="15"/>
  <c r="AE1581" i="15"/>
  <c r="AF1581" i="15"/>
  <c r="AG1581" i="15"/>
  <c r="AH1581" i="15"/>
  <c r="AI1581" i="15"/>
  <c r="AJ1581" i="15"/>
  <c r="AK1581" i="15"/>
  <c r="AL1581" i="15"/>
  <c r="AM1581" i="15"/>
  <c r="AN1581" i="15"/>
  <c r="AO1581" i="15"/>
  <c r="R1582" i="15"/>
  <c r="S1582" i="15"/>
  <c r="T1582" i="15"/>
  <c r="U1582" i="15"/>
  <c r="V1582" i="15"/>
  <c r="W1582" i="15"/>
  <c r="X1582" i="15"/>
  <c r="Y1582" i="15"/>
  <c r="Z1582" i="15"/>
  <c r="AA1582" i="15"/>
  <c r="AB1582" i="15"/>
  <c r="AC1582" i="15"/>
  <c r="AD1582" i="15"/>
  <c r="AE1582" i="15"/>
  <c r="AF1582" i="15"/>
  <c r="AG1582" i="15"/>
  <c r="AH1582" i="15"/>
  <c r="AI1582" i="15"/>
  <c r="AJ1582" i="15"/>
  <c r="AK1582" i="15"/>
  <c r="AL1582" i="15"/>
  <c r="AM1582" i="15"/>
  <c r="AN1582" i="15"/>
  <c r="AO1582" i="15"/>
  <c r="R1583" i="15"/>
  <c r="S1583" i="15"/>
  <c r="T1583" i="15"/>
  <c r="U1583" i="15"/>
  <c r="V1583" i="15"/>
  <c r="W1583" i="15"/>
  <c r="X1583" i="15"/>
  <c r="Y1583" i="15"/>
  <c r="Z1583" i="15"/>
  <c r="AA1583" i="15"/>
  <c r="AB1583" i="15"/>
  <c r="AC1583" i="15"/>
  <c r="AD1583" i="15"/>
  <c r="AE1583" i="15"/>
  <c r="AF1583" i="15"/>
  <c r="AG1583" i="15"/>
  <c r="AH1583" i="15"/>
  <c r="AI1583" i="15"/>
  <c r="AJ1583" i="15"/>
  <c r="AK1583" i="15"/>
  <c r="AL1583" i="15"/>
  <c r="AM1583" i="15"/>
  <c r="AN1583" i="15"/>
  <c r="AO1583" i="15"/>
  <c r="R1584" i="15"/>
  <c r="S1584" i="15"/>
  <c r="T1584" i="15"/>
  <c r="U1584" i="15"/>
  <c r="V1584" i="15"/>
  <c r="W1584" i="15"/>
  <c r="X1584" i="15"/>
  <c r="Y1584" i="15"/>
  <c r="Z1584" i="15"/>
  <c r="AA1584" i="15"/>
  <c r="AB1584" i="15"/>
  <c r="AC1584" i="15"/>
  <c r="AD1584" i="15"/>
  <c r="AE1584" i="15"/>
  <c r="AF1584" i="15"/>
  <c r="AG1584" i="15"/>
  <c r="AH1584" i="15"/>
  <c r="AI1584" i="15"/>
  <c r="AJ1584" i="15"/>
  <c r="AK1584" i="15"/>
  <c r="AL1584" i="15"/>
  <c r="AM1584" i="15"/>
  <c r="AN1584" i="15"/>
  <c r="AO1584" i="15"/>
  <c r="R1585" i="15"/>
  <c r="S1585" i="15"/>
  <c r="T1585" i="15"/>
  <c r="U1585" i="15"/>
  <c r="V1585" i="15"/>
  <c r="W1585" i="15"/>
  <c r="X1585" i="15"/>
  <c r="Y1585" i="15"/>
  <c r="Z1585" i="15"/>
  <c r="AA1585" i="15"/>
  <c r="AB1585" i="15"/>
  <c r="AC1585" i="15"/>
  <c r="AD1585" i="15"/>
  <c r="AE1585" i="15"/>
  <c r="AF1585" i="15"/>
  <c r="AG1585" i="15"/>
  <c r="AH1585" i="15"/>
  <c r="AI1585" i="15"/>
  <c r="AJ1585" i="15"/>
  <c r="AK1585" i="15"/>
  <c r="AL1585" i="15"/>
  <c r="AM1585" i="15"/>
  <c r="AN1585" i="15"/>
  <c r="AO1585" i="15"/>
  <c r="R1586" i="15"/>
  <c r="S1586" i="15"/>
  <c r="T1586" i="15"/>
  <c r="U1586" i="15"/>
  <c r="V1586" i="15"/>
  <c r="W1586" i="15"/>
  <c r="X1586" i="15"/>
  <c r="Y1586" i="15"/>
  <c r="Z1586" i="15"/>
  <c r="AA1586" i="15"/>
  <c r="AB1586" i="15"/>
  <c r="AC1586" i="15"/>
  <c r="AD1586" i="15"/>
  <c r="AE1586" i="15"/>
  <c r="AF1586" i="15"/>
  <c r="AG1586" i="15"/>
  <c r="AH1586" i="15"/>
  <c r="AI1586" i="15"/>
  <c r="AJ1586" i="15"/>
  <c r="AK1586" i="15"/>
  <c r="AL1586" i="15"/>
  <c r="AM1586" i="15"/>
  <c r="AN1586" i="15"/>
  <c r="AO1586" i="15"/>
  <c r="R1587" i="15"/>
  <c r="S1587" i="15"/>
  <c r="T1587" i="15"/>
  <c r="U1587" i="15"/>
  <c r="V1587" i="15"/>
  <c r="W1587" i="15"/>
  <c r="X1587" i="15"/>
  <c r="Y1587" i="15"/>
  <c r="Z1587" i="15"/>
  <c r="AA1587" i="15"/>
  <c r="AB1587" i="15"/>
  <c r="AC1587" i="15"/>
  <c r="AD1587" i="15"/>
  <c r="AE1587" i="15"/>
  <c r="AF1587" i="15"/>
  <c r="AG1587" i="15"/>
  <c r="AH1587" i="15"/>
  <c r="AI1587" i="15"/>
  <c r="AJ1587" i="15"/>
  <c r="AK1587" i="15"/>
  <c r="AL1587" i="15"/>
  <c r="AM1587" i="15"/>
  <c r="AN1587" i="15"/>
  <c r="AO1587" i="15"/>
  <c r="R1588" i="15"/>
  <c r="S1588" i="15"/>
  <c r="T1588" i="15"/>
  <c r="U1588" i="15"/>
  <c r="V1588" i="15"/>
  <c r="W1588" i="15"/>
  <c r="X1588" i="15"/>
  <c r="Y1588" i="15"/>
  <c r="Z1588" i="15"/>
  <c r="AA1588" i="15"/>
  <c r="AB1588" i="15"/>
  <c r="AC1588" i="15"/>
  <c r="AD1588" i="15"/>
  <c r="AE1588" i="15"/>
  <c r="AF1588" i="15"/>
  <c r="AG1588" i="15"/>
  <c r="AH1588" i="15"/>
  <c r="AI1588" i="15"/>
  <c r="AJ1588" i="15"/>
  <c r="AK1588" i="15"/>
  <c r="AL1588" i="15"/>
  <c r="AM1588" i="15"/>
  <c r="AN1588" i="15"/>
  <c r="AO1588" i="15"/>
  <c r="R1589" i="15"/>
  <c r="S1589" i="15"/>
  <c r="T1589" i="15"/>
  <c r="U1589" i="15"/>
  <c r="V1589" i="15"/>
  <c r="W1589" i="15"/>
  <c r="X1589" i="15"/>
  <c r="Y1589" i="15"/>
  <c r="Z1589" i="15"/>
  <c r="AA1589" i="15"/>
  <c r="AB1589" i="15"/>
  <c r="AC1589" i="15"/>
  <c r="AD1589" i="15"/>
  <c r="AE1589" i="15"/>
  <c r="AF1589" i="15"/>
  <c r="AG1589" i="15"/>
  <c r="AH1589" i="15"/>
  <c r="AI1589" i="15"/>
  <c r="AJ1589" i="15"/>
  <c r="AK1589" i="15"/>
  <c r="AL1589" i="15"/>
  <c r="AM1589" i="15"/>
  <c r="AN1589" i="15"/>
  <c r="AO1589" i="15"/>
  <c r="R1590" i="15"/>
  <c r="S1590" i="15"/>
  <c r="T1590" i="15"/>
  <c r="U1590" i="15"/>
  <c r="V1590" i="15"/>
  <c r="W1590" i="15"/>
  <c r="X1590" i="15"/>
  <c r="Y1590" i="15"/>
  <c r="Z1590" i="15"/>
  <c r="AA1590" i="15"/>
  <c r="AB1590" i="15"/>
  <c r="AC1590" i="15"/>
  <c r="AD1590" i="15"/>
  <c r="AE1590" i="15"/>
  <c r="AF1590" i="15"/>
  <c r="AG1590" i="15"/>
  <c r="AH1590" i="15"/>
  <c r="AI1590" i="15"/>
  <c r="AJ1590" i="15"/>
  <c r="AK1590" i="15"/>
  <c r="AL1590" i="15"/>
  <c r="AM1590" i="15"/>
  <c r="AN1590" i="15"/>
  <c r="AO1590" i="15"/>
  <c r="R1591" i="15"/>
  <c r="S1591" i="15"/>
  <c r="T1591" i="15"/>
  <c r="U1591" i="15"/>
  <c r="V1591" i="15"/>
  <c r="W1591" i="15"/>
  <c r="X1591" i="15"/>
  <c r="Y1591" i="15"/>
  <c r="Z1591" i="15"/>
  <c r="AA1591" i="15"/>
  <c r="AB1591" i="15"/>
  <c r="AC1591" i="15"/>
  <c r="AD1591" i="15"/>
  <c r="AE1591" i="15"/>
  <c r="AF1591" i="15"/>
  <c r="AG1591" i="15"/>
  <c r="AH1591" i="15"/>
  <c r="AI1591" i="15"/>
  <c r="AJ1591" i="15"/>
  <c r="AK1591" i="15"/>
  <c r="AL1591" i="15"/>
  <c r="AM1591" i="15"/>
  <c r="AN1591" i="15"/>
  <c r="AO1591" i="15"/>
  <c r="R1592" i="15"/>
  <c r="S1592" i="15"/>
  <c r="T1592" i="15"/>
  <c r="U1592" i="15"/>
  <c r="V1592" i="15"/>
  <c r="W1592" i="15"/>
  <c r="X1592" i="15"/>
  <c r="Y1592" i="15"/>
  <c r="Z1592" i="15"/>
  <c r="AA1592" i="15"/>
  <c r="AB1592" i="15"/>
  <c r="AC1592" i="15"/>
  <c r="AD1592" i="15"/>
  <c r="AE1592" i="15"/>
  <c r="AF1592" i="15"/>
  <c r="AG1592" i="15"/>
  <c r="AH1592" i="15"/>
  <c r="AI1592" i="15"/>
  <c r="AJ1592" i="15"/>
  <c r="AK1592" i="15"/>
  <c r="AL1592" i="15"/>
  <c r="AM1592" i="15"/>
  <c r="AN1592" i="15"/>
  <c r="AO1592" i="15"/>
  <c r="R1593" i="15"/>
  <c r="S1593" i="15"/>
  <c r="T1593" i="15"/>
  <c r="U1593" i="15"/>
  <c r="V1593" i="15"/>
  <c r="W1593" i="15"/>
  <c r="X1593" i="15"/>
  <c r="Y1593" i="15"/>
  <c r="Z1593" i="15"/>
  <c r="AA1593" i="15"/>
  <c r="AB1593" i="15"/>
  <c r="AC1593" i="15"/>
  <c r="AD1593" i="15"/>
  <c r="AE1593" i="15"/>
  <c r="AF1593" i="15"/>
  <c r="AG1593" i="15"/>
  <c r="AH1593" i="15"/>
  <c r="AI1593" i="15"/>
  <c r="AJ1593" i="15"/>
  <c r="AK1593" i="15"/>
  <c r="AL1593" i="15"/>
  <c r="AM1593" i="15"/>
  <c r="AN1593" i="15"/>
  <c r="AO1593" i="15"/>
  <c r="R1594" i="15"/>
  <c r="S1594" i="15"/>
  <c r="T1594" i="15"/>
  <c r="U1594" i="15"/>
  <c r="V1594" i="15"/>
  <c r="W1594" i="15"/>
  <c r="X1594" i="15"/>
  <c r="Y1594" i="15"/>
  <c r="Z1594" i="15"/>
  <c r="AA1594" i="15"/>
  <c r="AB1594" i="15"/>
  <c r="AC1594" i="15"/>
  <c r="AD1594" i="15"/>
  <c r="AE1594" i="15"/>
  <c r="AF1594" i="15"/>
  <c r="AG1594" i="15"/>
  <c r="AH1594" i="15"/>
  <c r="AI1594" i="15"/>
  <c r="AJ1594" i="15"/>
  <c r="AK1594" i="15"/>
  <c r="AL1594" i="15"/>
  <c r="AM1594" i="15"/>
  <c r="AN1594" i="15"/>
  <c r="AO1594" i="15"/>
  <c r="R1595" i="15"/>
  <c r="S1595" i="15"/>
  <c r="T1595" i="15"/>
  <c r="U1595" i="15"/>
  <c r="V1595" i="15"/>
  <c r="W1595" i="15"/>
  <c r="X1595" i="15"/>
  <c r="Y1595" i="15"/>
  <c r="Z1595" i="15"/>
  <c r="AA1595" i="15"/>
  <c r="AB1595" i="15"/>
  <c r="AC1595" i="15"/>
  <c r="AD1595" i="15"/>
  <c r="AE1595" i="15"/>
  <c r="AF1595" i="15"/>
  <c r="AG1595" i="15"/>
  <c r="AH1595" i="15"/>
  <c r="AI1595" i="15"/>
  <c r="AJ1595" i="15"/>
  <c r="AK1595" i="15"/>
  <c r="AL1595" i="15"/>
  <c r="AM1595" i="15"/>
  <c r="AN1595" i="15"/>
  <c r="AO1595" i="15"/>
  <c r="R1596" i="15"/>
  <c r="S1596" i="15"/>
  <c r="T1596" i="15"/>
  <c r="U1596" i="15"/>
  <c r="V1596" i="15"/>
  <c r="W1596" i="15"/>
  <c r="X1596" i="15"/>
  <c r="Y1596" i="15"/>
  <c r="Z1596" i="15"/>
  <c r="AA1596" i="15"/>
  <c r="AB1596" i="15"/>
  <c r="AC1596" i="15"/>
  <c r="AD1596" i="15"/>
  <c r="AE1596" i="15"/>
  <c r="AF1596" i="15"/>
  <c r="AG1596" i="15"/>
  <c r="AH1596" i="15"/>
  <c r="AI1596" i="15"/>
  <c r="AJ1596" i="15"/>
  <c r="AK1596" i="15"/>
  <c r="AL1596" i="15"/>
  <c r="AM1596" i="15"/>
  <c r="AN1596" i="15"/>
  <c r="AO1596" i="15"/>
  <c r="R1597" i="15"/>
  <c r="S1597" i="15"/>
  <c r="T1597" i="15"/>
  <c r="U1597" i="15"/>
  <c r="V1597" i="15"/>
  <c r="W1597" i="15"/>
  <c r="X1597" i="15"/>
  <c r="Y1597" i="15"/>
  <c r="Z1597" i="15"/>
  <c r="AA1597" i="15"/>
  <c r="AB1597" i="15"/>
  <c r="AC1597" i="15"/>
  <c r="AD1597" i="15"/>
  <c r="AE1597" i="15"/>
  <c r="AF1597" i="15"/>
  <c r="AG1597" i="15"/>
  <c r="AH1597" i="15"/>
  <c r="AI1597" i="15"/>
  <c r="AJ1597" i="15"/>
  <c r="AK1597" i="15"/>
  <c r="AL1597" i="15"/>
  <c r="AM1597" i="15"/>
  <c r="AN1597" i="15"/>
  <c r="AO1597" i="15"/>
  <c r="R1598" i="15"/>
  <c r="S1598" i="15"/>
  <c r="T1598" i="15"/>
  <c r="U1598" i="15"/>
  <c r="V1598" i="15"/>
  <c r="W1598" i="15"/>
  <c r="X1598" i="15"/>
  <c r="Y1598" i="15"/>
  <c r="Z1598" i="15"/>
  <c r="AA1598" i="15"/>
  <c r="AB1598" i="15"/>
  <c r="AC1598" i="15"/>
  <c r="AD1598" i="15"/>
  <c r="AE1598" i="15"/>
  <c r="AF1598" i="15"/>
  <c r="AG1598" i="15"/>
  <c r="AH1598" i="15"/>
  <c r="AI1598" i="15"/>
  <c r="AJ1598" i="15"/>
  <c r="AK1598" i="15"/>
  <c r="AL1598" i="15"/>
  <c r="AM1598" i="15"/>
  <c r="AN1598" i="15"/>
  <c r="AO1598" i="15"/>
  <c r="R1599" i="15"/>
  <c r="S1599" i="15"/>
  <c r="T1599" i="15"/>
  <c r="U1599" i="15"/>
  <c r="V1599" i="15"/>
  <c r="W1599" i="15"/>
  <c r="X1599" i="15"/>
  <c r="Y1599" i="15"/>
  <c r="Z1599" i="15"/>
  <c r="AA1599" i="15"/>
  <c r="AB1599" i="15"/>
  <c r="AC1599" i="15"/>
  <c r="AD1599" i="15"/>
  <c r="AE1599" i="15"/>
  <c r="AF1599" i="15"/>
  <c r="AG1599" i="15"/>
  <c r="AH1599" i="15"/>
  <c r="AI1599" i="15"/>
  <c r="AJ1599" i="15"/>
  <c r="AK1599" i="15"/>
  <c r="AL1599" i="15"/>
  <c r="AM1599" i="15"/>
  <c r="AN1599" i="15"/>
  <c r="AO1599" i="15"/>
  <c r="R1600" i="15"/>
  <c r="S1600" i="15"/>
  <c r="T1600" i="15"/>
  <c r="U1600" i="15"/>
  <c r="V1600" i="15"/>
  <c r="W1600" i="15"/>
  <c r="X1600" i="15"/>
  <c r="Y1600" i="15"/>
  <c r="Z1600" i="15"/>
  <c r="AA1600" i="15"/>
  <c r="AB1600" i="15"/>
  <c r="AC1600" i="15"/>
  <c r="AD1600" i="15"/>
  <c r="AE1600" i="15"/>
  <c r="AF1600" i="15"/>
  <c r="AG1600" i="15"/>
  <c r="AH1600" i="15"/>
  <c r="AI1600" i="15"/>
  <c r="AJ1600" i="15"/>
  <c r="AK1600" i="15"/>
  <c r="AL1600" i="15"/>
  <c r="AM1600" i="15"/>
  <c r="AN1600" i="15"/>
  <c r="AO1600" i="15"/>
  <c r="R1601" i="15"/>
  <c r="S1601" i="15"/>
  <c r="T1601" i="15"/>
  <c r="U1601" i="15"/>
  <c r="V1601" i="15"/>
  <c r="W1601" i="15"/>
  <c r="X1601" i="15"/>
  <c r="Y1601" i="15"/>
  <c r="Z1601" i="15"/>
  <c r="AA1601" i="15"/>
  <c r="AB1601" i="15"/>
  <c r="AC1601" i="15"/>
  <c r="AD1601" i="15"/>
  <c r="AE1601" i="15"/>
  <c r="AF1601" i="15"/>
  <c r="AG1601" i="15"/>
  <c r="AH1601" i="15"/>
  <c r="AI1601" i="15"/>
  <c r="AJ1601" i="15"/>
  <c r="AK1601" i="15"/>
  <c r="AL1601" i="15"/>
  <c r="AM1601" i="15"/>
  <c r="AN1601" i="15"/>
  <c r="AO1601" i="15"/>
  <c r="R1602" i="15"/>
  <c r="S1602" i="15"/>
  <c r="T1602" i="15"/>
  <c r="U1602" i="15"/>
  <c r="V1602" i="15"/>
  <c r="W1602" i="15"/>
  <c r="X1602" i="15"/>
  <c r="Y1602" i="15"/>
  <c r="Z1602" i="15"/>
  <c r="AA1602" i="15"/>
  <c r="AB1602" i="15"/>
  <c r="AC1602" i="15"/>
  <c r="AD1602" i="15"/>
  <c r="AE1602" i="15"/>
  <c r="AF1602" i="15"/>
  <c r="AG1602" i="15"/>
  <c r="AH1602" i="15"/>
  <c r="AI1602" i="15"/>
  <c r="AJ1602" i="15"/>
  <c r="AK1602" i="15"/>
  <c r="AL1602" i="15"/>
  <c r="AM1602" i="15"/>
  <c r="AN1602" i="15"/>
  <c r="AO1602" i="15"/>
  <c r="R1603" i="15"/>
  <c r="S1603" i="15"/>
  <c r="T1603" i="15"/>
  <c r="U1603" i="15"/>
  <c r="V1603" i="15"/>
  <c r="W1603" i="15"/>
  <c r="X1603" i="15"/>
  <c r="Y1603" i="15"/>
  <c r="Z1603" i="15"/>
  <c r="AA1603" i="15"/>
  <c r="AB1603" i="15"/>
  <c r="AC1603" i="15"/>
  <c r="AD1603" i="15"/>
  <c r="AE1603" i="15"/>
  <c r="AF1603" i="15"/>
  <c r="AG1603" i="15"/>
  <c r="AH1603" i="15"/>
  <c r="AI1603" i="15"/>
  <c r="AJ1603" i="15"/>
  <c r="AK1603" i="15"/>
  <c r="AL1603" i="15"/>
  <c r="AM1603" i="15"/>
  <c r="AN1603" i="15"/>
  <c r="AO1603" i="15"/>
  <c r="R1604" i="15"/>
  <c r="S1604" i="15"/>
  <c r="T1604" i="15"/>
  <c r="U1604" i="15"/>
  <c r="V1604" i="15"/>
  <c r="W1604" i="15"/>
  <c r="X1604" i="15"/>
  <c r="Y1604" i="15"/>
  <c r="Z1604" i="15"/>
  <c r="AA1604" i="15"/>
  <c r="AB1604" i="15"/>
  <c r="AC1604" i="15"/>
  <c r="AD1604" i="15"/>
  <c r="AE1604" i="15"/>
  <c r="AF1604" i="15"/>
  <c r="AG1604" i="15"/>
  <c r="AH1604" i="15"/>
  <c r="AI1604" i="15"/>
  <c r="AJ1604" i="15"/>
  <c r="AK1604" i="15"/>
  <c r="AL1604" i="15"/>
  <c r="AM1604" i="15"/>
  <c r="AN1604" i="15"/>
  <c r="AO1604" i="15"/>
  <c r="R1605" i="15"/>
  <c r="S1605" i="15"/>
  <c r="T1605" i="15"/>
  <c r="U1605" i="15"/>
  <c r="V1605" i="15"/>
  <c r="W1605" i="15"/>
  <c r="X1605" i="15"/>
  <c r="Y1605" i="15"/>
  <c r="Z1605" i="15"/>
  <c r="AA1605" i="15"/>
  <c r="AB1605" i="15"/>
  <c r="AC1605" i="15"/>
  <c r="AD1605" i="15"/>
  <c r="AE1605" i="15"/>
  <c r="AF1605" i="15"/>
  <c r="AG1605" i="15"/>
  <c r="AH1605" i="15"/>
  <c r="AI1605" i="15"/>
  <c r="AJ1605" i="15"/>
  <c r="AK1605" i="15"/>
  <c r="AL1605" i="15"/>
  <c r="AM1605" i="15"/>
  <c r="AN1605" i="15"/>
  <c r="AO1605" i="15"/>
  <c r="R1606" i="15"/>
  <c r="S1606" i="15"/>
  <c r="T1606" i="15"/>
  <c r="U1606" i="15"/>
  <c r="V1606" i="15"/>
  <c r="W1606" i="15"/>
  <c r="X1606" i="15"/>
  <c r="Y1606" i="15"/>
  <c r="Z1606" i="15"/>
  <c r="AA1606" i="15"/>
  <c r="AB1606" i="15"/>
  <c r="AC1606" i="15"/>
  <c r="AD1606" i="15"/>
  <c r="AE1606" i="15"/>
  <c r="AF1606" i="15"/>
  <c r="AG1606" i="15"/>
  <c r="AH1606" i="15"/>
  <c r="AI1606" i="15"/>
  <c r="AJ1606" i="15"/>
  <c r="AK1606" i="15"/>
  <c r="AL1606" i="15"/>
  <c r="AM1606" i="15"/>
  <c r="AN1606" i="15"/>
  <c r="AO1606" i="15"/>
  <c r="R1607" i="15"/>
  <c r="S1607" i="15"/>
  <c r="T1607" i="15"/>
  <c r="U1607" i="15"/>
  <c r="V1607" i="15"/>
  <c r="W1607" i="15"/>
  <c r="X1607" i="15"/>
  <c r="Y1607" i="15"/>
  <c r="Z1607" i="15"/>
  <c r="AA1607" i="15"/>
  <c r="AB1607" i="15"/>
  <c r="AC1607" i="15"/>
  <c r="AD1607" i="15"/>
  <c r="AE1607" i="15"/>
  <c r="AF1607" i="15"/>
  <c r="AG1607" i="15"/>
  <c r="AH1607" i="15"/>
  <c r="AI1607" i="15"/>
  <c r="AJ1607" i="15"/>
  <c r="AK1607" i="15"/>
  <c r="AL1607" i="15"/>
  <c r="AM1607" i="15"/>
  <c r="AN1607" i="15"/>
  <c r="AO1607" i="15"/>
  <c r="R1608" i="15"/>
  <c r="S1608" i="15"/>
  <c r="T1608" i="15"/>
  <c r="U1608" i="15"/>
  <c r="V1608" i="15"/>
  <c r="W1608" i="15"/>
  <c r="X1608" i="15"/>
  <c r="Y1608" i="15"/>
  <c r="Z1608" i="15"/>
  <c r="AA1608" i="15"/>
  <c r="AB1608" i="15"/>
  <c r="AC1608" i="15"/>
  <c r="AD1608" i="15"/>
  <c r="AE1608" i="15"/>
  <c r="AF1608" i="15"/>
  <c r="AG1608" i="15"/>
  <c r="AH1608" i="15"/>
  <c r="AI1608" i="15"/>
  <c r="AJ1608" i="15"/>
  <c r="AK1608" i="15"/>
  <c r="AL1608" i="15"/>
  <c r="AM1608" i="15"/>
  <c r="AN1608" i="15"/>
  <c r="AO1608" i="15"/>
  <c r="R1609" i="15"/>
  <c r="S1609" i="15"/>
  <c r="T1609" i="15"/>
  <c r="U1609" i="15"/>
  <c r="V1609" i="15"/>
  <c r="W1609" i="15"/>
  <c r="X1609" i="15"/>
  <c r="Y1609" i="15"/>
  <c r="Z1609" i="15"/>
  <c r="AA1609" i="15"/>
  <c r="AB1609" i="15"/>
  <c r="AC1609" i="15"/>
  <c r="AD1609" i="15"/>
  <c r="AE1609" i="15"/>
  <c r="AF1609" i="15"/>
  <c r="AG1609" i="15"/>
  <c r="AH1609" i="15"/>
  <c r="AI1609" i="15"/>
  <c r="AJ1609" i="15"/>
  <c r="AK1609" i="15"/>
  <c r="AL1609" i="15"/>
  <c r="AM1609" i="15"/>
  <c r="AN1609" i="15"/>
  <c r="AO1609" i="15"/>
  <c r="R1610" i="15"/>
  <c r="S1610" i="15"/>
  <c r="T1610" i="15"/>
  <c r="U1610" i="15"/>
  <c r="V1610" i="15"/>
  <c r="W1610" i="15"/>
  <c r="X1610" i="15"/>
  <c r="Y1610" i="15"/>
  <c r="Z1610" i="15"/>
  <c r="AA1610" i="15"/>
  <c r="AB1610" i="15"/>
  <c r="AC1610" i="15"/>
  <c r="AD1610" i="15"/>
  <c r="AE1610" i="15"/>
  <c r="AF1610" i="15"/>
  <c r="AG1610" i="15"/>
  <c r="AH1610" i="15"/>
  <c r="AI1610" i="15"/>
  <c r="AJ1610" i="15"/>
  <c r="AK1610" i="15"/>
  <c r="AL1610" i="15"/>
  <c r="AM1610" i="15"/>
  <c r="AN1610" i="15"/>
  <c r="AO1610" i="15"/>
  <c r="R1611" i="15"/>
  <c r="S1611" i="15"/>
  <c r="T1611" i="15"/>
  <c r="U1611" i="15"/>
  <c r="V1611" i="15"/>
  <c r="W1611" i="15"/>
  <c r="X1611" i="15"/>
  <c r="Y1611" i="15"/>
  <c r="Z1611" i="15"/>
  <c r="AA1611" i="15"/>
  <c r="AB1611" i="15"/>
  <c r="AC1611" i="15"/>
  <c r="AD1611" i="15"/>
  <c r="AE1611" i="15"/>
  <c r="AF1611" i="15"/>
  <c r="AG1611" i="15"/>
  <c r="AH1611" i="15"/>
  <c r="AI1611" i="15"/>
  <c r="AJ1611" i="15"/>
  <c r="AK1611" i="15"/>
  <c r="AL1611" i="15"/>
  <c r="AM1611" i="15"/>
  <c r="AN1611" i="15"/>
  <c r="AO1611" i="15"/>
  <c r="R1612" i="15"/>
  <c r="S1612" i="15"/>
  <c r="T1612" i="15"/>
  <c r="U1612" i="15"/>
  <c r="V1612" i="15"/>
  <c r="W1612" i="15"/>
  <c r="X1612" i="15"/>
  <c r="Y1612" i="15"/>
  <c r="Z1612" i="15"/>
  <c r="AA1612" i="15"/>
  <c r="AB1612" i="15"/>
  <c r="AC1612" i="15"/>
  <c r="AD1612" i="15"/>
  <c r="AE1612" i="15"/>
  <c r="AF1612" i="15"/>
  <c r="AG1612" i="15"/>
  <c r="AH1612" i="15"/>
  <c r="AI1612" i="15"/>
  <c r="AJ1612" i="15"/>
  <c r="AK1612" i="15"/>
  <c r="AL1612" i="15"/>
  <c r="AM1612" i="15"/>
  <c r="AN1612" i="15"/>
  <c r="AO1612" i="15"/>
  <c r="R1613" i="15"/>
  <c r="S1613" i="15"/>
  <c r="T1613" i="15"/>
  <c r="U1613" i="15"/>
  <c r="V1613" i="15"/>
  <c r="W1613" i="15"/>
  <c r="X1613" i="15"/>
  <c r="Y1613" i="15"/>
  <c r="Z1613" i="15"/>
  <c r="AA1613" i="15"/>
  <c r="AB1613" i="15"/>
  <c r="AC1613" i="15"/>
  <c r="AD1613" i="15"/>
  <c r="AE1613" i="15"/>
  <c r="AF1613" i="15"/>
  <c r="AG1613" i="15"/>
  <c r="AH1613" i="15"/>
  <c r="AI1613" i="15"/>
  <c r="AJ1613" i="15"/>
  <c r="AK1613" i="15"/>
  <c r="AL1613" i="15"/>
  <c r="AM1613" i="15"/>
  <c r="AN1613" i="15"/>
  <c r="AO1613" i="15"/>
  <c r="R1614" i="15"/>
  <c r="S1614" i="15"/>
  <c r="T1614" i="15"/>
  <c r="U1614" i="15"/>
  <c r="V1614" i="15"/>
  <c r="W1614" i="15"/>
  <c r="X1614" i="15"/>
  <c r="Y1614" i="15"/>
  <c r="Z1614" i="15"/>
  <c r="AA1614" i="15"/>
  <c r="AB1614" i="15"/>
  <c r="AC1614" i="15"/>
  <c r="AD1614" i="15"/>
  <c r="AE1614" i="15"/>
  <c r="AF1614" i="15"/>
  <c r="AG1614" i="15"/>
  <c r="AH1614" i="15"/>
  <c r="AI1614" i="15"/>
  <c r="AJ1614" i="15"/>
  <c r="AK1614" i="15"/>
  <c r="AL1614" i="15"/>
  <c r="AM1614" i="15"/>
  <c r="AN1614" i="15"/>
  <c r="AO1614" i="15"/>
  <c r="R1615" i="15"/>
  <c r="S1615" i="15"/>
  <c r="T1615" i="15"/>
  <c r="U1615" i="15"/>
  <c r="V1615" i="15"/>
  <c r="W1615" i="15"/>
  <c r="X1615" i="15"/>
  <c r="Y1615" i="15"/>
  <c r="Z1615" i="15"/>
  <c r="AA1615" i="15"/>
  <c r="AB1615" i="15"/>
  <c r="AC1615" i="15"/>
  <c r="AD1615" i="15"/>
  <c r="AE1615" i="15"/>
  <c r="AF1615" i="15"/>
  <c r="AG1615" i="15"/>
  <c r="AH1615" i="15"/>
  <c r="AI1615" i="15"/>
  <c r="AJ1615" i="15"/>
  <c r="AK1615" i="15"/>
  <c r="AL1615" i="15"/>
  <c r="AM1615" i="15"/>
  <c r="AN1615" i="15"/>
  <c r="AO1615" i="15"/>
  <c r="R1616" i="15"/>
  <c r="S1616" i="15"/>
  <c r="T1616" i="15"/>
  <c r="U1616" i="15"/>
  <c r="V1616" i="15"/>
  <c r="W1616" i="15"/>
  <c r="X1616" i="15"/>
  <c r="Y1616" i="15"/>
  <c r="Z1616" i="15"/>
  <c r="AA1616" i="15"/>
  <c r="AB1616" i="15"/>
  <c r="AC1616" i="15"/>
  <c r="AD1616" i="15"/>
  <c r="AE1616" i="15"/>
  <c r="AF1616" i="15"/>
  <c r="AG1616" i="15"/>
  <c r="AH1616" i="15"/>
  <c r="AI1616" i="15"/>
  <c r="AJ1616" i="15"/>
  <c r="AK1616" i="15"/>
  <c r="AL1616" i="15"/>
  <c r="AM1616" i="15"/>
  <c r="AN1616" i="15"/>
  <c r="AO1616" i="15"/>
  <c r="R1617" i="15"/>
  <c r="S1617" i="15"/>
  <c r="T1617" i="15"/>
  <c r="U1617" i="15"/>
  <c r="V1617" i="15"/>
  <c r="W1617" i="15"/>
  <c r="X1617" i="15"/>
  <c r="Y1617" i="15"/>
  <c r="Z1617" i="15"/>
  <c r="AA1617" i="15"/>
  <c r="AB1617" i="15"/>
  <c r="AC1617" i="15"/>
  <c r="AD1617" i="15"/>
  <c r="AE1617" i="15"/>
  <c r="AF1617" i="15"/>
  <c r="AG1617" i="15"/>
  <c r="AH1617" i="15"/>
  <c r="AI1617" i="15"/>
  <c r="AJ1617" i="15"/>
  <c r="AK1617" i="15"/>
  <c r="AL1617" i="15"/>
  <c r="AM1617" i="15"/>
  <c r="AN1617" i="15"/>
  <c r="AO1617" i="15"/>
  <c r="R1618" i="15"/>
  <c r="S1618" i="15"/>
  <c r="T1618" i="15"/>
  <c r="U1618" i="15"/>
  <c r="V1618" i="15"/>
  <c r="W1618" i="15"/>
  <c r="X1618" i="15"/>
  <c r="Y1618" i="15"/>
  <c r="Z1618" i="15"/>
  <c r="AA1618" i="15"/>
  <c r="AB1618" i="15"/>
  <c r="AC1618" i="15"/>
  <c r="AD1618" i="15"/>
  <c r="AE1618" i="15"/>
  <c r="AF1618" i="15"/>
  <c r="AG1618" i="15"/>
  <c r="AH1618" i="15"/>
  <c r="AI1618" i="15"/>
  <c r="AJ1618" i="15"/>
  <c r="AK1618" i="15"/>
  <c r="AL1618" i="15"/>
  <c r="AM1618" i="15"/>
  <c r="AN1618" i="15"/>
  <c r="AO1618" i="15"/>
  <c r="R1619" i="15"/>
  <c r="S1619" i="15"/>
  <c r="T1619" i="15"/>
  <c r="U1619" i="15"/>
  <c r="V1619" i="15"/>
  <c r="W1619" i="15"/>
  <c r="X1619" i="15"/>
  <c r="Y1619" i="15"/>
  <c r="Z1619" i="15"/>
  <c r="AA1619" i="15"/>
  <c r="AB1619" i="15"/>
  <c r="AC1619" i="15"/>
  <c r="AD1619" i="15"/>
  <c r="AE1619" i="15"/>
  <c r="AF1619" i="15"/>
  <c r="AG1619" i="15"/>
  <c r="AH1619" i="15"/>
  <c r="AI1619" i="15"/>
  <c r="AJ1619" i="15"/>
  <c r="AK1619" i="15"/>
  <c r="AL1619" i="15"/>
  <c r="AM1619" i="15"/>
  <c r="AN1619" i="15"/>
  <c r="AO1619" i="15"/>
  <c r="R1620" i="15"/>
  <c r="S1620" i="15"/>
  <c r="T1620" i="15"/>
  <c r="U1620" i="15"/>
  <c r="V1620" i="15"/>
  <c r="W1620" i="15"/>
  <c r="X1620" i="15"/>
  <c r="Y1620" i="15"/>
  <c r="Z1620" i="15"/>
  <c r="AA1620" i="15"/>
  <c r="AB1620" i="15"/>
  <c r="AC1620" i="15"/>
  <c r="AD1620" i="15"/>
  <c r="AE1620" i="15"/>
  <c r="AF1620" i="15"/>
  <c r="AG1620" i="15"/>
  <c r="AH1620" i="15"/>
  <c r="AI1620" i="15"/>
  <c r="AJ1620" i="15"/>
  <c r="AK1620" i="15"/>
  <c r="AL1620" i="15"/>
  <c r="AM1620" i="15"/>
  <c r="AN1620" i="15"/>
  <c r="AO1620" i="15"/>
  <c r="R1621" i="15"/>
  <c r="S1621" i="15"/>
  <c r="T1621" i="15"/>
  <c r="U1621" i="15"/>
  <c r="V1621" i="15"/>
  <c r="W1621" i="15"/>
  <c r="X1621" i="15"/>
  <c r="Y1621" i="15"/>
  <c r="Z1621" i="15"/>
  <c r="AA1621" i="15"/>
  <c r="AB1621" i="15"/>
  <c r="AC1621" i="15"/>
  <c r="AD1621" i="15"/>
  <c r="AE1621" i="15"/>
  <c r="AF1621" i="15"/>
  <c r="AG1621" i="15"/>
  <c r="AH1621" i="15"/>
  <c r="AI1621" i="15"/>
  <c r="AJ1621" i="15"/>
  <c r="AK1621" i="15"/>
  <c r="AL1621" i="15"/>
  <c r="AM1621" i="15"/>
  <c r="AN1621" i="15"/>
  <c r="AO1621" i="15"/>
  <c r="R1622" i="15"/>
  <c r="S1622" i="15"/>
  <c r="T1622" i="15"/>
  <c r="U1622" i="15"/>
  <c r="V1622" i="15"/>
  <c r="W1622" i="15"/>
  <c r="X1622" i="15"/>
  <c r="Y1622" i="15"/>
  <c r="Z1622" i="15"/>
  <c r="AA1622" i="15"/>
  <c r="AB1622" i="15"/>
  <c r="AC1622" i="15"/>
  <c r="AD1622" i="15"/>
  <c r="AE1622" i="15"/>
  <c r="AF1622" i="15"/>
  <c r="AG1622" i="15"/>
  <c r="AH1622" i="15"/>
  <c r="AI1622" i="15"/>
  <c r="AJ1622" i="15"/>
  <c r="AK1622" i="15"/>
  <c r="AL1622" i="15"/>
  <c r="AM1622" i="15"/>
  <c r="AN1622" i="15"/>
  <c r="AO1622" i="15"/>
  <c r="R1623" i="15"/>
  <c r="S1623" i="15"/>
  <c r="T1623" i="15"/>
  <c r="U1623" i="15"/>
  <c r="V1623" i="15"/>
  <c r="W1623" i="15"/>
  <c r="X1623" i="15"/>
  <c r="Y1623" i="15"/>
  <c r="Z1623" i="15"/>
  <c r="AA1623" i="15"/>
  <c r="AB1623" i="15"/>
  <c r="AC1623" i="15"/>
  <c r="AD1623" i="15"/>
  <c r="AE1623" i="15"/>
  <c r="AF1623" i="15"/>
  <c r="AG1623" i="15"/>
  <c r="AH1623" i="15"/>
  <c r="AI1623" i="15"/>
  <c r="AJ1623" i="15"/>
  <c r="AK1623" i="15"/>
  <c r="AL1623" i="15"/>
  <c r="AM1623" i="15"/>
  <c r="AN1623" i="15"/>
  <c r="AO1623" i="15"/>
  <c r="R1624" i="15"/>
  <c r="S1624" i="15"/>
  <c r="T1624" i="15"/>
  <c r="U1624" i="15"/>
  <c r="V1624" i="15"/>
  <c r="W1624" i="15"/>
  <c r="X1624" i="15"/>
  <c r="Y1624" i="15"/>
  <c r="Z1624" i="15"/>
  <c r="AA1624" i="15"/>
  <c r="AB1624" i="15"/>
  <c r="AC1624" i="15"/>
  <c r="AD1624" i="15"/>
  <c r="AE1624" i="15"/>
  <c r="AF1624" i="15"/>
  <c r="AG1624" i="15"/>
  <c r="AH1624" i="15"/>
  <c r="AI1624" i="15"/>
  <c r="AJ1624" i="15"/>
  <c r="AK1624" i="15"/>
  <c r="AL1624" i="15"/>
  <c r="AM1624" i="15"/>
  <c r="AN1624" i="15"/>
  <c r="AO1624" i="15"/>
  <c r="R1625" i="15"/>
  <c r="S1625" i="15"/>
  <c r="T1625" i="15"/>
  <c r="U1625" i="15"/>
  <c r="V1625" i="15"/>
  <c r="W1625" i="15"/>
  <c r="X1625" i="15"/>
  <c r="Y1625" i="15"/>
  <c r="Z1625" i="15"/>
  <c r="AA1625" i="15"/>
  <c r="AB1625" i="15"/>
  <c r="AC1625" i="15"/>
  <c r="AD1625" i="15"/>
  <c r="AE1625" i="15"/>
  <c r="AF1625" i="15"/>
  <c r="AG1625" i="15"/>
  <c r="AH1625" i="15"/>
  <c r="AI1625" i="15"/>
  <c r="AJ1625" i="15"/>
  <c r="AK1625" i="15"/>
  <c r="AL1625" i="15"/>
  <c r="AM1625" i="15"/>
  <c r="AN1625" i="15"/>
  <c r="AO1625" i="15"/>
  <c r="R1626" i="15"/>
  <c r="S1626" i="15"/>
  <c r="T1626" i="15"/>
  <c r="U1626" i="15"/>
  <c r="V1626" i="15"/>
  <c r="W1626" i="15"/>
  <c r="X1626" i="15"/>
  <c r="Y1626" i="15"/>
  <c r="Z1626" i="15"/>
  <c r="AA1626" i="15"/>
  <c r="AB1626" i="15"/>
  <c r="AC1626" i="15"/>
  <c r="AD1626" i="15"/>
  <c r="AE1626" i="15"/>
  <c r="AF1626" i="15"/>
  <c r="AG1626" i="15"/>
  <c r="AH1626" i="15"/>
  <c r="AI1626" i="15"/>
  <c r="AJ1626" i="15"/>
  <c r="AK1626" i="15"/>
  <c r="AL1626" i="15"/>
  <c r="AM1626" i="15"/>
  <c r="AN1626" i="15"/>
  <c r="AO1626" i="15"/>
  <c r="R1627" i="15"/>
  <c r="S1627" i="15"/>
  <c r="T1627" i="15"/>
  <c r="U1627" i="15"/>
  <c r="V1627" i="15"/>
  <c r="W1627" i="15"/>
  <c r="X1627" i="15"/>
  <c r="Y1627" i="15"/>
  <c r="Z1627" i="15"/>
  <c r="AA1627" i="15"/>
  <c r="AB1627" i="15"/>
  <c r="AC1627" i="15"/>
  <c r="AD1627" i="15"/>
  <c r="AE1627" i="15"/>
  <c r="AF1627" i="15"/>
  <c r="AG1627" i="15"/>
  <c r="AH1627" i="15"/>
  <c r="AI1627" i="15"/>
  <c r="AJ1627" i="15"/>
  <c r="AK1627" i="15"/>
  <c r="AL1627" i="15"/>
  <c r="AM1627" i="15"/>
  <c r="AN1627" i="15"/>
  <c r="AO1627" i="15"/>
  <c r="R1628" i="15"/>
  <c r="S1628" i="15"/>
  <c r="T1628" i="15"/>
  <c r="U1628" i="15"/>
  <c r="V1628" i="15"/>
  <c r="W1628" i="15"/>
  <c r="X1628" i="15"/>
  <c r="Y1628" i="15"/>
  <c r="Z1628" i="15"/>
  <c r="AA1628" i="15"/>
  <c r="AB1628" i="15"/>
  <c r="AC1628" i="15"/>
  <c r="AD1628" i="15"/>
  <c r="AE1628" i="15"/>
  <c r="AF1628" i="15"/>
  <c r="AG1628" i="15"/>
  <c r="AH1628" i="15"/>
  <c r="AI1628" i="15"/>
  <c r="AJ1628" i="15"/>
  <c r="AK1628" i="15"/>
  <c r="AL1628" i="15"/>
  <c r="AM1628" i="15"/>
  <c r="AN1628" i="15"/>
  <c r="AO1628" i="15"/>
  <c r="R1629" i="15"/>
  <c r="S1629" i="15"/>
  <c r="T1629" i="15"/>
  <c r="U1629" i="15"/>
  <c r="V1629" i="15"/>
  <c r="W1629" i="15"/>
  <c r="X1629" i="15"/>
  <c r="Y1629" i="15"/>
  <c r="Z1629" i="15"/>
  <c r="AA1629" i="15"/>
  <c r="AB1629" i="15"/>
  <c r="AC1629" i="15"/>
  <c r="AD1629" i="15"/>
  <c r="AE1629" i="15"/>
  <c r="AF1629" i="15"/>
  <c r="AG1629" i="15"/>
  <c r="AH1629" i="15"/>
  <c r="AI1629" i="15"/>
  <c r="AJ1629" i="15"/>
  <c r="AK1629" i="15"/>
  <c r="AL1629" i="15"/>
  <c r="AM1629" i="15"/>
  <c r="AN1629" i="15"/>
  <c r="AO1629" i="15"/>
  <c r="R1630" i="15"/>
  <c r="S1630" i="15"/>
  <c r="T1630" i="15"/>
  <c r="U1630" i="15"/>
  <c r="V1630" i="15"/>
  <c r="W1630" i="15"/>
  <c r="X1630" i="15"/>
  <c r="Y1630" i="15"/>
  <c r="Z1630" i="15"/>
  <c r="AA1630" i="15"/>
  <c r="AB1630" i="15"/>
  <c r="AC1630" i="15"/>
  <c r="AD1630" i="15"/>
  <c r="AE1630" i="15"/>
  <c r="AF1630" i="15"/>
  <c r="AG1630" i="15"/>
  <c r="AH1630" i="15"/>
  <c r="AI1630" i="15"/>
  <c r="AJ1630" i="15"/>
  <c r="AK1630" i="15"/>
  <c r="AL1630" i="15"/>
  <c r="AM1630" i="15"/>
  <c r="AN1630" i="15"/>
  <c r="AO1630" i="15"/>
  <c r="R1631" i="15"/>
  <c r="S1631" i="15"/>
  <c r="T1631" i="15"/>
  <c r="U1631" i="15"/>
  <c r="V1631" i="15"/>
  <c r="W1631" i="15"/>
  <c r="X1631" i="15"/>
  <c r="Y1631" i="15"/>
  <c r="Z1631" i="15"/>
  <c r="AA1631" i="15"/>
  <c r="AB1631" i="15"/>
  <c r="AC1631" i="15"/>
  <c r="AD1631" i="15"/>
  <c r="AE1631" i="15"/>
  <c r="AF1631" i="15"/>
  <c r="AG1631" i="15"/>
  <c r="AH1631" i="15"/>
  <c r="AI1631" i="15"/>
  <c r="AJ1631" i="15"/>
  <c r="AK1631" i="15"/>
  <c r="AL1631" i="15"/>
  <c r="AM1631" i="15"/>
  <c r="AN1631" i="15"/>
  <c r="AO1631" i="15"/>
  <c r="R1632" i="15"/>
  <c r="S1632" i="15"/>
  <c r="T1632" i="15"/>
  <c r="U1632" i="15"/>
  <c r="V1632" i="15"/>
  <c r="W1632" i="15"/>
  <c r="X1632" i="15"/>
  <c r="Y1632" i="15"/>
  <c r="Z1632" i="15"/>
  <c r="AA1632" i="15"/>
  <c r="AB1632" i="15"/>
  <c r="AC1632" i="15"/>
  <c r="AD1632" i="15"/>
  <c r="AE1632" i="15"/>
  <c r="AF1632" i="15"/>
  <c r="AG1632" i="15"/>
  <c r="AH1632" i="15"/>
  <c r="AI1632" i="15"/>
  <c r="AJ1632" i="15"/>
  <c r="AK1632" i="15"/>
  <c r="AL1632" i="15"/>
  <c r="AM1632" i="15"/>
  <c r="AN1632" i="15"/>
  <c r="AO1632" i="15"/>
  <c r="R1633" i="15"/>
  <c r="S1633" i="15"/>
  <c r="T1633" i="15"/>
  <c r="U1633" i="15"/>
  <c r="V1633" i="15"/>
  <c r="W1633" i="15"/>
  <c r="X1633" i="15"/>
  <c r="Y1633" i="15"/>
  <c r="Z1633" i="15"/>
  <c r="AA1633" i="15"/>
  <c r="AB1633" i="15"/>
  <c r="AC1633" i="15"/>
  <c r="AD1633" i="15"/>
  <c r="AE1633" i="15"/>
  <c r="AF1633" i="15"/>
  <c r="AG1633" i="15"/>
  <c r="AH1633" i="15"/>
  <c r="AI1633" i="15"/>
  <c r="AJ1633" i="15"/>
  <c r="AK1633" i="15"/>
  <c r="AL1633" i="15"/>
  <c r="AM1633" i="15"/>
  <c r="AN1633" i="15"/>
  <c r="AO1633" i="15"/>
  <c r="R1634" i="15"/>
  <c r="S1634" i="15"/>
  <c r="T1634" i="15"/>
  <c r="U1634" i="15"/>
  <c r="V1634" i="15"/>
  <c r="W1634" i="15"/>
  <c r="X1634" i="15"/>
  <c r="Y1634" i="15"/>
  <c r="Z1634" i="15"/>
  <c r="AA1634" i="15"/>
  <c r="AB1634" i="15"/>
  <c r="AC1634" i="15"/>
  <c r="AD1634" i="15"/>
  <c r="AE1634" i="15"/>
  <c r="AF1634" i="15"/>
  <c r="AG1634" i="15"/>
  <c r="AH1634" i="15"/>
  <c r="AI1634" i="15"/>
  <c r="AJ1634" i="15"/>
  <c r="AK1634" i="15"/>
  <c r="AL1634" i="15"/>
  <c r="AM1634" i="15"/>
  <c r="AN1634" i="15"/>
  <c r="AO1634" i="15"/>
  <c r="R1635" i="15"/>
  <c r="S1635" i="15"/>
  <c r="T1635" i="15"/>
  <c r="U1635" i="15"/>
  <c r="V1635" i="15"/>
  <c r="W1635" i="15"/>
  <c r="X1635" i="15"/>
  <c r="Y1635" i="15"/>
  <c r="Z1635" i="15"/>
  <c r="AA1635" i="15"/>
  <c r="AB1635" i="15"/>
  <c r="AC1635" i="15"/>
  <c r="AD1635" i="15"/>
  <c r="AE1635" i="15"/>
  <c r="AF1635" i="15"/>
  <c r="AG1635" i="15"/>
  <c r="AH1635" i="15"/>
  <c r="AI1635" i="15"/>
  <c r="AJ1635" i="15"/>
  <c r="AK1635" i="15"/>
  <c r="AL1635" i="15"/>
  <c r="AM1635" i="15"/>
  <c r="AN1635" i="15"/>
  <c r="AO1635" i="15"/>
  <c r="R1636" i="15"/>
  <c r="S1636" i="15"/>
  <c r="T1636" i="15"/>
  <c r="U1636" i="15"/>
  <c r="V1636" i="15"/>
  <c r="W1636" i="15"/>
  <c r="X1636" i="15"/>
  <c r="Y1636" i="15"/>
  <c r="Z1636" i="15"/>
  <c r="AA1636" i="15"/>
  <c r="AB1636" i="15"/>
  <c r="AC1636" i="15"/>
  <c r="AD1636" i="15"/>
  <c r="AE1636" i="15"/>
  <c r="AF1636" i="15"/>
  <c r="AG1636" i="15"/>
  <c r="AH1636" i="15"/>
  <c r="AI1636" i="15"/>
  <c r="AJ1636" i="15"/>
  <c r="AK1636" i="15"/>
  <c r="AL1636" i="15"/>
  <c r="AM1636" i="15"/>
  <c r="AN1636" i="15"/>
  <c r="AO1636" i="15"/>
  <c r="R1637" i="15"/>
  <c r="S1637" i="15"/>
  <c r="T1637" i="15"/>
  <c r="U1637" i="15"/>
  <c r="V1637" i="15"/>
  <c r="W1637" i="15"/>
  <c r="X1637" i="15"/>
  <c r="Y1637" i="15"/>
  <c r="Z1637" i="15"/>
  <c r="AA1637" i="15"/>
  <c r="AB1637" i="15"/>
  <c r="AC1637" i="15"/>
  <c r="AD1637" i="15"/>
  <c r="AE1637" i="15"/>
  <c r="AF1637" i="15"/>
  <c r="AG1637" i="15"/>
  <c r="AH1637" i="15"/>
  <c r="AI1637" i="15"/>
  <c r="AJ1637" i="15"/>
  <c r="AK1637" i="15"/>
  <c r="AL1637" i="15"/>
  <c r="AM1637" i="15"/>
  <c r="AN1637" i="15"/>
  <c r="AO1637" i="15"/>
  <c r="R1638" i="15"/>
  <c r="S1638" i="15"/>
  <c r="T1638" i="15"/>
  <c r="U1638" i="15"/>
  <c r="V1638" i="15"/>
  <c r="W1638" i="15"/>
  <c r="X1638" i="15"/>
  <c r="Y1638" i="15"/>
  <c r="Z1638" i="15"/>
  <c r="AA1638" i="15"/>
  <c r="AB1638" i="15"/>
  <c r="AC1638" i="15"/>
  <c r="AD1638" i="15"/>
  <c r="AE1638" i="15"/>
  <c r="AF1638" i="15"/>
  <c r="AG1638" i="15"/>
  <c r="AH1638" i="15"/>
  <c r="AI1638" i="15"/>
  <c r="AJ1638" i="15"/>
  <c r="AK1638" i="15"/>
  <c r="AL1638" i="15"/>
  <c r="AM1638" i="15"/>
  <c r="AN1638" i="15"/>
  <c r="AO1638" i="15"/>
  <c r="R1639" i="15"/>
  <c r="S1639" i="15"/>
  <c r="T1639" i="15"/>
  <c r="U1639" i="15"/>
  <c r="V1639" i="15"/>
  <c r="W1639" i="15"/>
  <c r="X1639" i="15"/>
  <c r="Y1639" i="15"/>
  <c r="Z1639" i="15"/>
  <c r="AA1639" i="15"/>
  <c r="AB1639" i="15"/>
  <c r="AC1639" i="15"/>
  <c r="AD1639" i="15"/>
  <c r="AE1639" i="15"/>
  <c r="AF1639" i="15"/>
  <c r="AG1639" i="15"/>
  <c r="AH1639" i="15"/>
  <c r="AI1639" i="15"/>
  <c r="AJ1639" i="15"/>
  <c r="AK1639" i="15"/>
  <c r="AL1639" i="15"/>
  <c r="AM1639" i="15"/>
  <c r="AN1639" i="15"/>
  <c r="AO1639" i="15"/>
  <c r="R1640" i="15"/>
  <c r="S1640" i="15"/>
  <c r="T1640" i="15"/>
  <c r="U1640" i="15"/>
  <c r="V1640" i="15"/>
  <c r="W1640" i="15"/>
  <c r="X1640" i="15"/>
  <c r="Y1640" i="15"/>
  <c r="Z1640" i="15"/>
  <c r="AA1640" i="15"/>
  <c r="AB1640" i="15"/>
  <c r="AC1640" i="15"/>
  <c r="AD1640" i="15"/>
  <c r="AE1640" i="15"/>
  <c r="AF1640" i="15"/>
  <c r="AG1640" i="15"/>
  <c r="AH1640" i="15"/>
  <c r="AI1640" i="15"/>
  <c r="AJ1640" i="15"/>
  <c r="AK1640" i="15"/>
  <c r="AL1640" i="15"/>
  <c r="AM1640" i="15"/>
  <c r="AN1640" i="15"/>
  <c r="AO1640" i="15"/>
  <c r="R1641" i="15"/>
  <c r="S1641" i="15"/>
  <c r="T1641" i="15"/>
  <c r="U1641" i="15"/>
  <c r="V1641" i="15"/>
  <c r="W1641" i="15"/>
  <c r="X1641" i="15"/>
  <c r="Y1641" i="15"/>
  <c r="Z1641" i="15"/>
  <c r="AA1641" i="15"/>
  <c r="AB1641" i="15"/>
  <c r="AC1641" i="15"/>
  <c r="AD1641" i="15"/>
  <c r="AE1641" i="15"/>
  <c r="AF1641" i="15"/>
  <c r="AG1641" i="15"/>
  <c r="AH1641" i="15"/>
  <c r="AI1641" i="15"/>
  <c r="AJ1641" i="15"/>
  <c r="AK1641" i="15"/>
  <c r="AL1641" i="15"/>
  <c r="AM1641" i="15"/>
  <c r="AN1641" i="15"/>
  <c r="AO1641" i="15"/>
  <c r="R1642" i="15"/>
  <c r="S1642" i="15"/>
  <c r="T1642" i="15"/>
  <c r="U1642" i="15"/>
  <c r="V1642" i="15"/>
  <c r="W1642" i="15"/>
  <c r="X1642" i="15"/>
  <c r="Y1642" i="15"/>
  <c r="Z1642" i="15"/>
  <c r="AA1642" i="15"/>
  <c r="AB1642" i="15"/>
  <c r="AC1642" i="15"/>
  <c r="AD1642" i="15"/>
  <c r="AE1642" i="15"/>
  <c r="AF1642" i="15"/>
  <c r="AG1642" i="15"/>
  <c r="AH1642" i="15"/>
  <c r="AI1642" i="15"/>
  <c r="AJ1642" i="15"/>
  <c r="AK1642" i="15"/>
  <c r="AL1642" i="15"/>
  <c r="AM1642" i="15"/>
  <c r="AN1642" i="15"/>
  <c r="AO1642" i="15"/>
  <c r="R1643" i="15"/>
  <c r="S1643" i="15"/>
  <c r="T1643" i="15"/>
  <c r="U1643" i="15"/>
  <c r="V1643" i="15"/>
  <c r="W1643" i="15"/>
  <c r="X1643" i="15"/>
  <c r="Y1643" i="15"/>
  <c r="Z1643" i="15"/>
  <c r="AA1643" i="15"/>
  <c r="AB1643" i="15"/>
  <c r="AC1643" i="15"/>
  <c r="AD1643" i="15"/>
  <c r="AE1643" i="15"/>
  <c r="AF1643" i="15"/>
  <c r="AG1643" i="15"/>
  <c r="AH1643" i="15"/>
  <c r="AI1643" i="15"/>
  <c r="AJ1643" i="15"/>
  <c r="AK1643" i="15"/>
  <c r="AL1643" i="15"/>
  <c r="AM1643" i="15"/>
  <c r="AN1643" i="15"/>
  <c r="AO1643" i="15"/>
  <c r="R1644" i="15"/>
  <c r="S1644" i="15"/>
  <c r="T1644" i="15"/>
  <c r="U1644" i="15"/>
  <c r="V1644" i="15"/>
  <c r="W1644" i="15"/>
  <c r="X1644" i="15"/>
  <c r="Y1644" i="15"/>
  <c r="Z1644" i="15"/>
  <c r="AA1644" i="15"/>
  <c r="AB1644" i="15"/>
  <c r="AC1644" i="15"/>
  <c r="AD1644" i="15"/>
  <c r="AE1644" i="15"/>
  <c r="AF1644" i="15"/>
  <c r="AG1644" i="15"/>
  <c r="AH1644" i="15"/>
  <c r="AI1644" i="15"/>
  <c r="AJ1644" i="15"/>
  <c r="AK1644" i="15"/>
  <c r="AL1644" i="15"/>
  <c r="AM1644" i="15"/>
  <c r="AN1644" i="15"/>
  <c r="AO1644" i="15"/>
  <c r="R1645" i="15"/>
  <c r="S1645" i="15"/>
  <c r="T1645" i="15"/>
  <c r="U1645" i="15"/>
  <c r="V1645" i="15"/>
  <c r="W1645" i="15"/>
  <c r="X1645" i="15"/>
  <c r="Y1645" i="15"/>
  <c r="Z1645" i="15"/>
  <c r="AA1645" i="15"/>
  <c r="AB1645" i="15"/>
  <c r="AC1645" i="15"/>
  <c r="AD1645" i="15"/>
  <c r="AE1645" i="15"/>
  <c r="AF1645" i="15"/>
  <c r="AG1645" i="15"/>
  <c r="AH1645" i="15"/>
  <c r="AI1645" i="15"/>
  <c r="AJ1645" i="15"/>
  <c r="AK1645" i="15"/>
  <c r="AL1645" i="15"/>
  <c r="AM1645" i="15"/>
  <c r="AN1645" i="15"/>
  <c r="AO1645" i="15"/>
  <c r="R1646" i="15"/>
  <c r="S1646" i="15"/>
  <c r="T1646" i="15"/>
  <c r="U1646" i="15"/>
  <c r="V1646" i="15"/>
  <c r="W1646" i="15"/>
  <c r="X1646" i="15"/>
  <c r="Y1646" i="15"/>
  <c r="Z1646" i="15"/>
  <c r="AA1646" i="15"/>
  <c r="AB1646" i="15"/>
  <c r="AC1646" i="15"/>
  <c r="AD1646" i="15"/>
  <c r="AE1646" i="15"/>
  <c r="AF1646" i="15"/>
  <c r="AG1646" i="15"/>
  <c r="AH1646" i="15"/>
  <c r="AI1646" i="15"/>
  <c r="AJ1646" i="15"/>
  <c r="AK1646" i="15"/>
  <c r="AL1646" i="15"/>
  <c r="AM1646" i="15"/>
  <c r="AN1646" i="15"/>
  <c r="AO1646" i="15"/>
  <c r="R1647" i="15"/>
  <c r="S1647" i="15"/>
  <c r="T1647" i="15"/>
  <c r="U1647" i="15"/>
  <c r="V1647" i="15"/>
  <c r="W1647" i="15"/>
  <c r="X1647" i="15"/>
  <c r="Y1647" i="15"/>
  <c r="Z1647" i="15"/>
  <c r="AA1647" i="15"/>
  <c r="AB1647" i="15"/>
  <c r="AC1647" i="15"/>
  <c r="AD1647" i="15"/>
  <c r="AE1647" i="15"/>
  <c r="AF1647" i="15"/>
  <c r="AG1647" i="15"/>
  <c r="AH1647" i="15"/>
  <c r="AI1647" i="15"/>
  <c r="AJ1647" i="15"/>
  <c r="AK1647" i="15"/>
  <c r="AL1647" i="15"/>
  <c r="AM1647" i="15"/>
  <c r="AN1647" i="15"/>
  <c r="AO1647" i="15"/>
  <c r="R1648" i="15"/>
  <c r="S1648" i="15"/>
  <c r="T1648" i="15"/>
  <c r="U1648" i="15"/>
  <c r="V1648" i="15"/>
  <c r="W1648" i="15"/>
  <c r="X1648" i="15"/>
  <c r="Y1648" i="15"/>
  <c r="Z1648" i="15"/>
  <c r="AA1648" i="15"/>
  <c r="AB1648" i="15"/>
  <c r="AC1648" i="15"/>
  <c r="AD1648" i="15"/>
  <c r="AE1648" i="15"/>
  <c r="AF1648" i="15"/>
  <c r="AG1648" i="15"/>
  <c r="AH1648" i="15"/>
  <c r="AI1648" i="15"/>
  <c r="AJ1648" i="15"/>
  <c r="AK1648" i="15"/>
  <c r="AL1648" i="15"/>
  <c r="AM1648" i="15"/>
  <c r="AN1648" i="15"/>
  <c r="AO1648" i="15"/>
  <c r="R1649" i="15"/>
  <c r="S1649" i="15"/>
  <c r="T1649" i="15"/>
  <c r="U1649" i="15"/>
  <c r="V1649" i="15"/>
  <c r="W1649" i="15"/>
  <c r="X1649" i="15"/>
  <c r="Y1649" i="15"/>
  <c r="Z1649" i="15"/>
  <c r="AA1649" i="15"/>
  <c r="AB1649" i="15"/>
  <c r="AC1649" i="15"/>
  <c r="AD1649" i="15"/>
  <c r="AE1649" i="15"/>
  <c r="AF1649" i="15"/>
  <c r="AG1649" i="15"/>
  <c r="AH1649" i="15"/>
  <c r="AI1649" i="15"/>
  <c r="AJ1649" i="15"/>
  <c r="AK1649" i="15"/>
  <c r="AL1649" i="15"/>
  <c r="AM1649" i="15"/>
  <c r="AN1649" i="15"/>
  <c r="AO1649" i="15"/>
  <c r="R1650" i="15"/>
  <c r="S1650" i="15"/>
  <c r="T1650" i="15"/>
  <c r="U1650" i="15"/>
  <c r="V1650" i="15"/>
  <c r="W1650" i="15"/>
  <c r="X1650" i="15"/>
  <c r="Y1650" i="15"/>
  <c r="Z1650" i="15"/>
  <c r="AA1650" i="15"/>
  <c r="AB1650" i="15"/>
  <c r="AC1650" i="15"/>
  <c r="AD1650" i="15"/>
  <c r="AE1650" i="15"/>
  <c r="AF1650" i="15"/>
  <c r="AG1650" i="15"/>
  <c r="AH1650" i="15"/>
  <c r="AI1650" i="15"/>
  <c r="AJ1650" i="15"/>
  <c r="AK1650" i="15"/>
  <c r="AL1650" i="15"/>
  <c r="AM1650" i="15"/>
  <c r="AN1650" i="15"/>
  <c r="AO1650" i="15"/>
  <c r="R1651" i="15"/>
  <c r="S1651" i="15"/>
  <c r="T1651" i="15"/>
  <c r="U1651" i="15"/>
  <c r="V1651" i="15"/>
  <c r="W1651" i="15"/>
  <c r="X1651" i="15"/>
  <c r="Y1651" i="15"/>
  <c r="Z1651" i="15"/>
  <c r="AA1651" i="15"/>
  <c r="AB1651" i="15"/>
  <c r="AC1651" i="15"/>
  <c r="AD1651" i="15"/>
  <c r="AE1651" i="15"/>
  <c r="AF1651" i="15"/>
  <c r="AG1651" i="15"/>
  <c r="AH1651" i="15"/>
  <c r="AI1651" i="15"/>
  <c r="AJ1651" i="15"/>
  <c r="AK1651" i="15"/>
  <c r="AL1651" i="15"/>
  <c r="AM1651" i="15"/>
  <c r="AN1651" i="15"/>
  <c r="AO1651" i="15"/>
  <c r="R1652" i="15"/>
  <c r="S1652" i="15"/>
  <c r="T1652" i="15"/>
  <c r="U1652" i="15"/>
  <c r="V1652" i="15"/>
  <c r="W1652" i="15"/>
  <c r="X1652" i="15"/>
  <c r="Y1652" i="15"/>
  <c r="Z1652" i="15"/>
  <c r="AA1652" i="15"/>
  <c r="AB1652" i="15"/>
  <c r="AC1652" i="15"/>
  <c r="AD1652" i="15"/>
  <c r="AE1652" i="15"/>
  <c r="AF1652" i="15"/>
  <c r="AG1652" i="15"/>
  <c r="AH1652" i="15"/>
  <c r="AI1652" i="15"/>
  <c r="AJ1652" i="15"/>
  <c r="AK1652" i="15"/>
  <c r="AL1652" i="15"/>
  <c r="AM1652" i="15"/>
  <c r="AN1652" i="15"/>
  <c r="AO1652" i="15"/>
  <c r="R1653" i="15"/>
  <c r="S1653" i="15"/>
  <c r="T1653" i="15"/>
  <c r="U1653" i="15"/>
  <c r="V1653" i="15"/>
  <c r="W1653" i="15"/>
  <c r="X1653" i="15"/>
  <c r="Y1653" i="15"/>
  <c r="Z1653" i="15"/>
  <c r="AA1653" i="15"/>
  <c r="AB1653" i="15"/>
  <c r="AC1653" i="15"/>
  <c r="AD1653" i="15"/>
  <c r="AE1653" i="15"/>
  <c r="AF1653" i="15"/>
  <c r="AG1653" i="15"/>
  <c r="AH1653" i="15"/>
  <c r="AI1653" i="15"/>
  <c r="AJ1653" i="15"/>
  <c r="AK1653" i="15"/>
  <c r="AL1653" i="15"/>
  <c r="AM1653" i="15"/>
  <c r="AN1653" i="15"/>
  <c r="AO1653" i="15"/>
  <c r="R1654" i="15"/>
  <c r="S1654" i="15"/>
  <c r="T1654" i="15"/>
  <c r="U1654" i="15"/>
  <c r="V1654" i="15"/>
  <c r="W1654" i="15"/>
  <c r="X1654" i="15"/>
  <c r="Y1654" i="15"/>
  <c r="Z1654" i="15"/>
  <c r="AA1654" i="15"/>
  <c r="AB1654" i="15"/>
  <c r="AC1654" i="15"/>
  <c r="AD1654" i="15"/>
  <c r="AE1654" i="15"/>
  <c r="AF1654" i="15"/>
  <c r="AG1654" i="15"/>
  <c r="AH1654" i="15"/>
  <c r="AI1654" i="15"/>
  <c r="AJ1654" i="15"/>
  <c r="AK1654" i="15"/>
  <c r="AL1654" i="15"/>
  <c r="AM1654" i="15"/>
  <c r="AN1654" i="15"/>
  <c r="AO1654" i="15"/>
  <c r="R1655" i="15"/>
  <c r="S1655" i="15"/>
  <c r="T1655" i="15"/>
  <c r="U1655" i="15"/>
  <c r="V1655" i="15"/>
  <c r="W1655" i="15"/>
  <c r="X1655" i="15"/>
  <c r="Y1655" i="15"/>
  <c r="Z1655" i="15"/>
  <c r="AA1655" i="15"/>
  <c r="AB1655" i="15"/>
  <c r="AC1655" i="15"/>
  <c r="AD1655" i="15"/>
  <c r="AE1655" i="15"/>
  <c r="AF1655" i="15"/>
  <c r="AG1655" i="15"/>
  <c r="AH1655" i="15"/>
  <c r="AI1655" i="15"/>
  <c r="AJ1655" i="15"/>
  <c r="AK1655" i="15"/>
  <c r="AL1655" i="15"/>
  <c r="AM1655" i="15"/>
  <c r="AN1655" i="15"/>
  <c r="AO1655" i="15"/>
  <c r="R1656" i="15"/>
  <c r="S1656" i="15"/>
  <c r="T1656" i="15"/>
  <c r="U1656" i="15"/>
  <c r="V1656" i="15"/>
  <c r="W1656" i="15"/>
  <c r="X1656" i="15"/>
  <c r="Y1656" i="15"/>
  <c r="Z1656" i="15"/>
  <c r="AA1656" i="15"/>
  <c r="AB1656" i="15"/>
  <c r="AC1656" i="15"/>
  <c r="AD1656" i="15"/>
  <c r="AE1656" i="15"/>
  <c r="AF1656" i="15"/>
  <c r="AG1656" i="15"/>
  <c r="AH1656" i="15"/>
  <c r="AI1656" i="15"/>
  <c r="AJ1656" i="15"/>
  <c r="AK1656" i="15"/>
  <c r="AL1656" i="15"/>
  <c r="AM1656" i="15"/>
  <c r="AN1656" i="15"/>
  <c r="AO1656" i="15"/>
  <c r="R1657" i="15"/>
  <c r="S1657" i="15"/>
  <c r="T1657" i="15"/>
  <c r="U1657" i="15"/>
  <c r="V1657" i="15"/>
  <c r="W1657" i="15"/>
  <c r="X1657" i="15"/>
  <c r="Y1657" i="15"/>
  <c r="Z1657" i="15"/>
  <c r="AA1657" i="15"/>
  <c r="AB1657" i="15"/>
  <c r="AC1657" i="15"/>
  <c r="AD1657" i="15"/>
  <c r="AE1657" i="15"/>
  <c r="AF1657" i="15"/>
  <c r="AG1657" i="15"/>
  <c r="AH1657" i="15"/>
  <c r="AI1657" i="15"/>
  <c r="AJ1657" i="15"/>
  <c r="AK1657" i="15"/>
  <c r="AL1657" i="15"/>
  <c r="AM1657" i="15"/>
  <c r="AN1657" i="15"/>
  <c r="AO1657" i="15"/>
  <c r="R1658" i="15"/>
  <c r="S1658" i="15"/>
  <c r="T1658" i="15"/>
  <c r="U1658" i="15"/>
  <c r="V1658" i="15"/>
  <c r="W1658" i="15"/>
  <c r="X1658" i="15"/>
  <c r="Y1658" i="15"/>
  <c r="Z1658" i="15"/>
  <c r="AA1658" i="15"/>
  <c r="AB1658" i="15"/>
  <c r="AC1658" i="15"/>
  <c r="AD1658" i="15"/>
  <c r="AE1658" i="15"/>
  <c r="AF1658" i="15"/>
  <c r="AG1658" i="15"/>
  <c r="AH1658" i="15"/>
  <c r="AI1658" i="15"/>
  <c r="AJ1658" i="15"/>
  <c r="AK1658" i="15"/>
  <c r="AL1658" i="15"/>
  <c r="AM1658" i="15"/>
  <c r="AN1658" i="15"/>
  <c r="AO1658" i="15"/>
  <c r="R1659" i="15"/>
  <c r="S1659" i="15"/>
  <c r="T1659" i="15"/>
  <c r="U1659" i="15"/>
  <c r="V1659" i="15"/>
  <c r="W1659" i="15"/>
  <c r="X1659" i="15"/>
  <c r="Y1659" i="15"/>
  <c r="Z1659" i="15"/>
  <c r="AA1659" i="15"/>
  <c r="AB1659" i="15"/>
  <c r="AC1659" i="15"/>
  <c r="AD1659" i="15"/>
  <c r="AE1659" i="15"/>
  <c r="AF1659" i="15"/>
  <c r="AG1659" i="15"/>
  <c r="AH1659" i="15"/>
  <c r="AI1659" i="15"/>
  <c r="AJ1659" i="15"/>
  <c r="AK1659" i="15"/>
  <c r="AL1659" i="15"/>
  <c r="AM1659" i="15"/>
  <c r="AN1659" i="15"/>
  <c r="AO1659" i="15"/>
  <c r="R1660" i="15"/>
  <c r="S1660" i="15"/>
  <c r="T1660" i="15"/>
  <c r="U1660" i="15"/>
  <c r="V1660" i="15"/>
  <c r="W1660" i="15"/>
  <c r="X1660" i="15"/>
  <c r="Y1660" i="15"/>
  <c r="Z1660" i="15"/>
  <c r="AA1660" i="15"/>
  <c r="AB1660" i="15"/>
  <c r="AC1660" i="15"/>
  <c r="AD1660" i="15"/>
  <c r="AE1660" i="15"/>
  <c r="AF1660" i="15"/>
  <c r="AG1660" i="15"/>
  <c r="AH1660" i="15"/>
  <c r="AI1660" i="15"/>
  <c r="AJ1660" i="15"/>
  <c r="AK1660" i="15"/>
  <c r="AL1660" i="15"/>
  <c r="AM1660" i="15"/>
  <c r="AN1660" i="15"/>
  <c r="AO1660" i="15"/>
  <c r="R1661" i="15"/>
  <c r="S1661" i="15"/>
  <c r="T1661" i="15"/>
  <c r="U1661" i="15"/>
  <c r="V1661" i="15"/>
  <c r="W1661" i="15"/>
  <c r="X1661" i="15"/>
  <c r="Y1661" i="15"/>
  <c r="Z1661" i="15"/>
  <c r="AA1661" i="15"/>
  <c r="AB1661" i="15"/>
  <c r="AC1661" i="15"/>
  <c r="AD1661" i="15"/>
  <c r="AE1661" i="15"/>
  <c r="AF1661" i="15"/>
  <c r="AG1661" i="15"/>
  <c r="AH1661" i="15"/>
  <c r="AI1661" i="15"/>
  <c r="AJ1661" i="15"/>
  <c r="AK1661" i="15"/>
  <c r="AL1661" i="15"/>
  <c r="AM1661" i="15"/>
  <c r="AN1661" i="15"/>
  <c r="AO1661" i="15"/>
  <c r="R1662" i="15"/>
  <c r="S1662" i="15"/>
  <c r="T1662" i="15"/>
  <c r="U1662" i="15"/>
  <c r="V1662" i="15"/>
  <c r="W1662" i="15"/>
  <c r="X1662" i="15"/>
  <c r="Y1662" i="15"/>
  <c r="Z1662" i="15"/>
  <c r="AA1662" i="15"/>
  <c r="AB1662" i="15"/>
  <c r="AC1662" i="15"/>
  <c r="AD1662" i="15"/>
  <c r="AE1662" i="15"/>
  <c r="AF1662" i="15"/>
  <c r="AG1662" i="15"/>
  <c r="AH1662" i="15"/>
  <c r="AI1662" i="15"/>
  <c r="AJ1662" i="15"/>
  <c r="AK1662" i="15"/>
  <c r="AL1662" i="15"/>
  <c r="AM1662" i="15"/>
  <c r="AN1662" i="15"/>
  <c r="AO1662" i="15"/>
  <c r="R1663" i="15"/>
  <c r="S1663" i="15"/>
  <c r="T1663" i="15"/>
  <c r="U1663" i="15"/>
  <c r="V1663" i="15"/>
  <c r="W1663" i="15"/>
  <c r="X1663" i="15"/>
  <c r="Y1663" i="15"/>
  <c r="Z1663" i="15"/>
  <c r="AA1663" i="15"/>
  <c r="AB1663" i="15"/>
  <c r="AC1663" i="15"/>
  <c r="AD1663" i="15"/>
  <c r="AE1663" i="15"/>
  <c r="AF1663" i="15"/>
  <c r="AG1663" i="15"/>
  <c r="AH1663" i="15"/>
  <c r="AI1663" i="15"/>
  <c r="AJ1663" i="15"/>
  <c r="AK1663" i="15"/>
  <c r="AL1663" i="15"/>
  <c r="AM1663" i="15"/>
  <c r="AN1663" i="15"/>
  <c r="AO1663" i="15"/>
  <c r="R1664" i="15"/>
  <c r="S1664" i="15"/>
  <c r="T1664" i="15"/>
  <c r="U1664" i="15"/>
  <c r="V1664" i="15"/>
  <c r="W1664" i="15"/>
  <c r="X1664" i="15"/>
  <c r="Y1664" i="15"/>
  <c r="Z1664" i="15"/>
  <c r="AA1664" i="15"/>
  <c r="AB1664" i="15"/>
  <c r="AC1664" i="15"/>
  <c r="AD1664" i="15"/>
  <c r="AE1664" i="15"/>
  <c r="AF1664" i="15"/>
  <c r="AG1664" i="15"/>
  <c r="AH1664" i="15"/>
  <c r="AI1664" i="15"/>
  <c r="AJ1664" i="15"/>
  <c r="AK1664" i="15"/>
  <c r="AL1664" i="15"/>
  <c r="AM1664" i="15"/>
  <c r="AN1664" i="15"/>
  <c r="AO1664" i="15"/>
  <c r="R1665" i="15"/>
  <c r="S1665" i="15"/>
  <c r="T1665" i="15"/>
  <c r="U1665" i="15"/>
  <c r="V1665" i="15"/>
  <c r="W1665" i="15"/>
  <c r="X1665" i="15"/>
  <c r="Y1665" i="15"/>
  <c r="Z1665" i="15"/>
  <c r="AA1665" i="15"/>
  <c r="AB1665" i="15"/>
  <c r="AC1665" i="15"/>
  <c r="AD1665" i="15"/>
  <c r="AE1665" i="15"/>
  <c r="AF1665" i="15"/>
  <c r="AG1665" i="15"/>
  <c r="AH1665" i="15"/>
  <c r="AI1665" i="15"/>
  <c r="AJ1665" i="15"/>
  <c r="AK1665" i="15"/>
  <c r="AL1665" i="15"/>
  <c r="AM1665" i="15"/>
  <c r="AN1665" i="15"/>
  <c r="AO1665" i="15"/>
  <c r="R1666" i="15"/>
  <c r="S1666" i="15"/>
  <c r="T1666" i="15"/>
  <c r="U1666" i="15"/>
  <c r="V1666" i="15"/>
  <c r="W1666" i="15"/>
  <c r="X1666" i="15"/>
  <c r="Y1666" i="15"/>
  <c r="Z1666" i="15"/>
  <c r="AA1666" i="15"/>
  <c r="AB1666" i="15"/>
  <c r="AC1666" i="15"/>
  <c r="AD1666" i="15"/>
  <c r="AE1666" i="15"/>
  <c r="AF1666" i="15"/>
  <c r="AG1666" i="15"/>
  <c r="AH1666" i="15"/>
  <c r="AI1666" i="15"/>
  <c r="AJ1666" i="15"/>
  <c r="AK1666" i="15"/>
  <c r="AL1666" i="15"/>
  <c r="AM1666" i="15"/>
  <c r="AN1666" i="15"/>
  <c r="AO1666" i="15"/>
  <c r="R1667" i="15"/>
  <c r="S1667" i="15"/>
  <c r="T1667" i="15"/>
  <c r="U1667" i="15"/>
  <c r="V1667" i="15"/>
  <c r="W1667" i="15"/>
  <c r="X1667" i="15"/>
  <c r="Y1667" i="15"/>
  <c r="Z1667" i="15"/>
  <c r="AA1667" i="15"/>
  <c r="AB1667" i="15"/>
  <c r="AC1667" i="15"/>
  <c r="AD1667" i="15"/>
  <c r="AE1667" i="15"/>
  <c r="AF1667" i="15"/>
  <c r="AG1667" i="15"/>
  <c r="AH1667" i="15"/>
  <c r="AI1667" i="15"/>
  <c r="AJ1667" i="15"/>
  <c r="AK1667" i="15"/>
  <c r="AL1667" i="15"/>
  <c r="AM1667" i="15"/>
  <c r="AN1667" i="15"/>
  <c r="AO1667" i="15"/>
  <c r="R1668" i="15"/>
  <c r="S1668" i="15"/>
  <c r="T1668" i="15"/>
  <c r="U1668" i="15"/>
  <c r="V1668" i="15"/>
  <c r="W1668" i="15"/>
  <c r="X1668" i="15"/>
  <c r="Y1668" i="15"/>
  <c r="Z1668" i="15"/>
  <c r="AA1668" i="15"/>
  <c r="AB1668" i="15"/>
  <c r="AC1668" i="15"/>
  <c r="AD1668" i="15"/>
  <c r="AE1668" i="15"/>
  <c r="AF1668" i="15"/>
  <c r="AG1668" i="15"/>
  <c r="AH1668" i="15"/>
  <c r="AI1668" i="15"/>
  <c r="AJ1668" i="15"/>
  <c r="AK1668" i="15"/>
  <c r="AL1668" i="15"/>
  <c r="AM1668" i="15"/>
  <c r="AN1668" i="15"/>
  <c r="AO1668" i="15"/>
  <c r="R1669" i="15"/>
  <c r="S1669" i="15"/>
  <c r="T1669" i="15"/>
  <c r="U1669" i="15"/>
  <c r="V1669" i="15"/>
  <c r="W1669" i="15"/>
  <c r="X1669" i="15"/>
  <c r="Y1669" i="15"/>
  <c r="Z1669" i="15"/>
  <c r="AA1669" i="15"/>
  <c r="AB1669" i="15"/>
  <c r="AC1669" i="15"/>
  <c r="AD1669" i="15"/>
  <c r="AE1669" i="15"/>
  <c r="AF1669" i="15"/>
  <c r="AG1669" i="15"/>
  <c r="AH1669" i="15"/>
  <c r="AI1669" i="15"/>
  <c r="AJ1669" i="15"/>
  <c r="AK1669" i="15"/>
  <c r="AL1669" i="15"/>
  <c r="AM1669" i="15"/>
  <c r="AN1669" i="15"/>
  <c r="AO1669" i="15"/>
  <c r="R1670" i="15"/>
  <c r="S1670" i="15"/>
  <c r="T1670" i="15"/>
  <c r="U1670" i="15"/>
  <c r="V1670" i="15"/>
  <c r="W1670" i="15"/>
  <c r="X1670" i="15"/>
  <c r="Y1670" i="15"/>
  <c r="Z1670" i="15"/>
  <c r="AA1670" i="15"/>
  <c r="AB1670" i="15"/>
  <c r="AC1670" i="15"/>
  <c r="AD1670" i="15"/>
  <c r="AE1670" i="15"/>
  <c r="AF1670" i="15"/>
  <c r="AG1670" i="15"/>
  <c r="AH1670" i="15"/>
  <c r="AI1670" i="15"/>
  <c r="AJ1670" i="15"/>
  <c r="AK1670" i="15"/>
  <c r="AL1670" i="15"/>
  <c r="AM1670" i="15"/>
  <c r="AN1670" i="15"/>
  <c r="AO1670" i="15"/>
  <c r="R1671" i="15"/>
  <c r="S1671" i="15"/>
  <c r="T1671" i="15"/>
  <c r="U1671" i="15"/>
  <c r="V1671" i="15"/>
  <c r="W1671" i="15"/>
  <c r="X1671" i="15"/>
  <c r="Y1671" i="15"/>
  <c r="Z1671" i="15"/>
  <c r="AA1671" i="15"/>
  <c r="AB1671" i="15"/>
  <c r="AC1671" i="15"/>
  <c r="AD1671" i="15"/>
  <c r="AE1671" i="15"/>
  <c r="AF1671" i="15"/>
  <c r="AG1671" i="15"/>
  <c r="AH1671" i="15"/>
  <c r="AI1671" i="15"/>
  <c r="AJ1671" i="15"/>
  <c r="AK1671" i="15"/>
  <c r="AL1671" i="15"/>
  <c r="AM1671" i="15"/>
  <c r="AN1671" i="15"/>
  <c r="AO1671" i="15"/>
  <c r="R1672" i="15"/>
  <c r="S1672" i="15"/>
  <c r="T1672" i="15"/>
  <c r="U1672" i="15"/>
  <c r="V1672" i="15"/>
  <c r="W1672" i="15"/>
  <c r="X1672" i="15"/>
  <c r="Y1672" i="15"/>
  <c r="Z1672" i="15"/>
  <c r="AA1672" i="15"/>
  <c r="AB1672" i="15"/>
  <c r="AC1672" i="15"/>
  <c r="AD1672" i="15"/>
  <c r="AE1672" i="15"/>
  <c r="AF1672" i="15"/>
  <c r="AG1672" i="15"/>
  <c r="AH1672" i="15"/>
  <c r="AI1672" i="15"/>
  <c r="AJ1672" i="15"/>
  <c r="AK1672" i="15"/>
  <c r="AL1672" i="15"/>
  <c r="AM1672" i="15"/>
  <c r="AN1672" i="15"/>
  <c r="AO1672" i="15"/>
  <c r="R1673" i="15"/>
  <c r="S1673" i="15"/>
  <c r="T1673" i="15"/>
  <c r="U1673" i="15"/>
  <c r="V1673" i="15"/>
  <c r="W1673" i="15"/>
  <c r="X1673" i="15"/>
  <c r="Y1673" i="15"/>
  <c r="Z1673" i="15"/>
  <c r="AA1673" i="15"/>
  <c r="AB1673" i="15"/>
  <c r="AC1673" i="15"/>
  <c r="AD1673" i="15"/>
  <c r="AE1673" i="15"/>
  <c r="AF1673" i="15"/>
  <c r="AG1673" i="15"/>
  <c r="AH1673" i="15"/>
  <c r="AI1673" i="15"/>
  <c r="AJ1673" i="15"/>
  <c r="AK1673" i="15"/>
  <c r="AL1673" i="15"/>
  <c r="AM1673" i="15"/>
  <c r="AN1673" i="15"/>
  <c r="AO1673" i="15"/>
  <c r="R1674" i="15"/>
  <c r="S1674" i="15"/>
  <c r="T1674" i="15"/>
  <c r="U1674" i="15"/>
  <c r="V1674" i="15"/>
  <c r="W1674" i="15"/>
  <c r="X1674" i="15"/>
  <c r="Y1674" i="15"/>
  <c r="Z1674" i="15"/>
  <c r="AA1674" i="15"/>
  <c r="AB1674" i="15"/>
  <c r="AC1674" i="15"/>
  <c r="AD1674" i="15"/>
  <c r="AE1674" i="15"/>
  <c r="AF1674" i="15"/>
  <c r="AG1674" i="15"/>
  <c r="AH1674" i="15"/>
  <c r="AI1674" i="15"/>
  <c r="AJ1674" i="15"/>
  <c r="AK1674" i="15"/>
  <c r="AL1674" i="15"/>
  <c r="AM1674" i="15"/>
  <c r="AN1674" i="15"/>
  <c r="AO1674" i="15"/>
  <c r="R1675" i="15"/>
  <c r="S1675" i="15"/>
  <c r="T1675" i="15"/>
  <c r="U1675" i="15"/>
  <c r="V1675" i="15"/>
  <c r="W1675" i="15"/>
  <c r="X1675" i="15"/>
  <c r="Y1675" i="15"/>
  <c r="Z1675" i="15"/>
  <c r="AA1675" i="15"/>
  <c r="AB1675" i="15"/>
  <c r="AC1675" i="15"/>
  <c r="AD1675" i="15"/>
  <c r="AE1675" i="15"/>
  <c r="AF1675" i="15"/>
  <c r="AG1675" i="15"/>
  <c r="AH1675" i="15"/>
  <c r="AI1675" i="15"/>
  <c r="AJ1675" i="15"/>
  <c r="AK1675" i="15"/>
  <c r="AL1675" i="15"/>
  <c r="AM1675" i="15"/>
  <c r="AN1675" i="15"/>
  <c r="AO1675" i="15"/>
  <c r="R1676" i="15"/>
  <c r="S1676" i="15"/>
  <c r="T1676" i="15"/>
  <c r="U1676" i="15"/>
  <c r="V1676" i="15"/>
  <c r="W1676" i="15"/>
  <c r="X1676" i="15"/>
  <c r="Y1676" i="15"/>
  <c r="Z1676" i="15"/>
  <c r="AA1676" i="15"/>
  <c r="AB1676" i="15"/>
  <c r="AC1676" i="15"/>
  <c r="AD1676" i="15"/>
  <c r="AE1676" i="15"/>
  <c r="AF1676" i="15"/>
  <c r="AG1676" i="15"/>
  <c r="AH1676" i="15"/>
  <c r="AI1676" i="15"/>
  <c r="AJ1676" i="15"/>
  <c r="AK1676" i="15"/>
  <c r="AL1676" i="15"/>
  <c r="AM1676" i="15"/>
  <c r="AN1676" i="15"/>
  <c r="AO1676" i="15"/>
  <c r="R1677" i="15"/>
  <c r="S1677" i="15"/>
  <c r="T1677" i="15"/>
  <c r="U1677" i="15"/>
  <c r="V1677" i="15"/>
  <c r="W1677" i="15"/>
  <c r="X1677" i="15"/>
  <c r="Y1677" i="15"/>
  <c r="Z1677" i="15"/>
  <c r="AA1677" i="15"/>
  <c r="AB1677" i="15"/>
  <c r="AC1677" i="15"/>
  <c r="AD1677" i="15"/>
  <c r="AE1677" i="15"/>
  <c r="AF1677" i="15"/>
  <c r="AG1677" i="15"/>
  <c r="AH1677" i="15"/>
  <c r="AI1677" i="15"/>
  <c r="AJ1677" i="15"/>
  <c r="AK1677" i="15"/>
  <c r="AL1677" i="15"/>
  <c r="AM1677" i="15"/>
  <c r="AN1677" i="15"/>
  <c r="AO1677" i="15"/>
  <c r="R1678" i="15"/>
  <c r="S1678" i="15"/>
  <c r="T1678" i="15"/>
  <c r="U1678" i="15"/>
  <c r="V1678" i="15"/>
  <c r="W1678" i="15"/>
  <c r="X1678" i="15"/>
  <c r="Y1678" i="15"/>
  <c r="Z1678" i="15"/>
  <c r="AA1678" i="15"/>
  <c r="AB1678" i="15"/>
  <c r="AC1678" i="15"/>
  <c r="AD1678" i="15"/>
  <c r="AE1678" i="15"/>
  <c r="AF1678" i="15"/>
  <c r="AG1678" i="15"/>
  <c r="AH1678" i="15"/>
  <c r="AI1678" i="15"/>
  <c r="AJ1678" i="15"/>
  <c r="AK1678" i="15"/>
  <c r="AL1678" i="15"/>
  <c r="AM1678" i="15"/>
  <c r="AN1678" i="15"/>
  <c r="AO1678" i="15"/>
  <c r="R1679" i="15"/>
  <c r="S1679" i="15"/>
  <c r="T1679" i="15"/>
  <c r="U1679" i="15"/>
  <c r="V1679" i="15"/>
  <c r="W1679" i="15"/>
  <c r="X1679" i="15"/>
  <c r="Y1679" i="15"/>
  <c r="Z1679" i="15"/>
  <c r="AA1679" i="15"/>
  <c r="AB1679" i="15"/>
  <c r="AC1679" i="15"/>
  <c r="AD1679" i="15"/>
  <c r="AE1679" i="15"/>
  <c r="AF1679" i="15"/>
  <c r="AG1679" i="15"/>
  <c r="AH1679" i="15"/>
  <c r="AI1679" i="15"/>
  <c r="AJ1679" i="15"/>
  <c r="AK1679" i="15"/>
  <c r="AL1679" i="15"/>
  <c r="AM1679" i="15"/>
  <c r="AN1679" i="15"/>
  <c r="AO1679" i="15"/>
  <c r="R1680" i="15"/>
  <c r="S1680" i="15"/>
  <c r="T1680" i="15"/>
  <c r="U1680" i="15"/>
  <c r="V1680" i="15"/>
  <c r="W1680" i="15"/>
  <c r="X1680" i="15"/>
  <c r="Y1680" i="15"/>
  <c r="Z1680" i="15"/>
  <c r="AA1680" i="15"/>
  <c r="AB1680" i="15"/>
  <c r="AC1680" i="15"/>
  <c r="AD1680" i="15"/>
  <c r="AE1680" i="15"/>
  <c r="AF1680" i="15"/>
  <c r="AG1680" i="15"/>
  <c r="AH1680" i="15"/>
  <c r="AI1680" i="15"/>
  <c r="AJ1680" i="15"/>
  <c r="AK1680" i="15"/>
  <c r="AL1680" i="15"/>
  <c r="AM1680" i="15"/>
  <c r="AN1680" i="15"/>
  <c r="AO1680" i="15"/>
  <c r="R1681" i="15"/>
  <c r="S1681" i="15"/>
  <c r="T1681" i="15"/>
  <c r="U1681" i="15"/>
  <c r="V1681" i="15"/>
  <c r="W1681" i="15"/>
  <c r="X1681" i="15"/>
  <c r="Y1681" i="15"/>
  <c r="Z1681" i="15"/>
  <c r="AA1681" i="15"/>
  <c r="AB1681" i="15"/>
  <c r="AC1681" i="15"/>
  <c r="AD1681" i="15"/>
  <c r="AE1681" i="15"/>
  <c r="AF1681" i="15"/>
  <c r="AG1681" i="15"/>
  <c r="AH1681" i="15"/>
  <c r="AI1681" i="15"/>
  <c r="AJ1681" i="15"/>
  <c r="AK1681" i="15"/>
  <c r="AL1681" i="15"/>
  <c r="AM1681" i="15"/>
  <c r="AN1681" i="15"/>
  <c r="AO1681" i="15"/>
  <c r="R1682" i="15"/>
  <c r="S1682" i="15"/>
  <c r="T1682" i="15"/>
  <c r="U1682" i="15"/>
  <c r="V1682" i="15"/>
  <c r="W1682" i="15"/>
  <c r="X1682" i="15"/>
  <c r="Y1682" i="15"/>
  <c r="Z1682" i="15"/>
  <c r="AA1682" i="15"/>
  <c r="AB1682" i="15"/>
  <c r="AC1682" i="15"/>
  <c r="AD1682" i="15"/>
  <c r="AE1682" i="15"/>
  <c r="AF1682" i="15"/>
  <c r="AG1682" i="15"/>
  <c r="AH1682" i="15"/>
  <c r="AI1682" i="15"/>
  <c r="AJ1682" i="15"/>
  <c r="AK1682" i="15"/>
  <c r="AL1682" i="15"/>
  <c r="AM1682" i="15"/>
  <c r="AN1682" i="15"/>
  <c r="AO1682" i="15"/>
  <c r="R1683" i="15"/>
  <c r="S1683" i="15"/>
  <c r="T1683" i="15"/>
  <c r="U1683" i="15"/>
  <c r="V1683" i="15"/>
  <c r="W1683" i="15"/>
  <c r="X1683" i="15"/>
  <c r="Y1683" i="15"/>
  <c r="Z1683" i="15"/>
  <c r="AA1683" i="15"/>
  <c r="AB1683" i="15"/>
  <c r="AC1683" i="15"/>
  <c r="AD1683" i="15"/>
  <c r="AE1683" i="15"/>
  <c r="AF1683" i="15"/>
  <c r="AG1683" i="15"/>
  <c r="AH1683" i="15"/>
  <c r="AI1683" i="15"/>
  <c r="AJ1683" i="15"/>
  <c r="AK1683" i="15"/>
  <c r="AL1683" i="15"/>
  <c r="AM1683" i="15"/>
  <c r="AN1683" i="15"/>
  <c r="AO1683" i="15"/>
  <c r="R1684" i="15"/>
  <c r="S1684" i="15"/>
  <c r="T1684" i="15"/>
  <c r="U1684" i="15"/>
  <c r="V1684" i="15"/>
  <c r="W1684" i="15"/>
  <c r="X1684" i="15"/>
  <c r="Y1684" i="15"/>
  <c r="Z1684" i="15"/>
  <c r="AA1684" i="15"/>
  <c r="AB1684" i="15"/>
  <c r="AC1684" i="15"/>
  <c r="AD1684" i="15"/>
  <c r="AE1684" i="15"/>
  <c r="AF1684" i="15"/>
  <c r="AG1684" i="15"/>
  <c r="AH1684" i="15"/>
  <c r="AI1684" i="15"/>
  <c r="AJ1684" i="15"/>
  <c r="AK1684" i="15"/>
  <c r="AL1684" i="15"/>
  <c r="AM1684" i="15"/>
  <c r="AN1684" i="15"/>
  <c r="AO1684" i="15"/>
  <c r="R1685" i="15"/>
  <c r="S1685" i="15"/>
  <c r="T1685" i="15"/>
  <c r="U1685" i="15"/>
  <c r="V1685" i="15"/>
  <c r="W1685" i="15"/>
  <c r="X1685" i="15"/>
  <c r="Y1685" i="15"/>
  <c r="Z1685" i="15"/>
  <c r="AA1685" i="15"/>
  <c r="AB1685" i="15"/>
  <c r="AC1685" i="15"/>
  <c r="AD1685" i="15"/>
  <c r="AE1685" i="15"/>
  <c r="AF1685" i="15"/>
  <c r="AG1685" i="15"/>
  <c r="AH1685" i="15"/>
  <c r="AI1685" i="15"/>
  <c r="AJ1685" i="15"/>
  <c r="AK1685" i="15"/>
  <c r="AL1685" i="15"/>
  <c r="AM1685" i="15"/>
  <c r="AN1685" i="15"/>
  <c r="AO1685" i="15"/>
  <c r="R1686" i="15"/>
  <c r="S1686" i="15"/>
  <c r="T1686" i="15"/>
  <c r="U1686" i="15"/>
  <c r="V1686" i="15"/>
  <c r="W1686" i="15"/>
  <c r="X1686" i="15"/>
  <c r="Y1686" i="15"/>
  <c r="Z1686" i="15"/>
  <c r="AA1686" i="15"/>
  <c r="AB1686" i="15"/>
  <c r="AC1686" i="15"/>
  <c r="AD1686" i="15"/>
  <c r="AE1686" i="15"/>
  <c r="AF1686" i="15"/>
  <c r="AG1686" i="15"/>
  <c r="AH1686" i="15"/>
  <c r="AI1686" i="15"/>
  <c r="AJ1686" i="15"/>
  <c r="AK1686" i="15"/>
  <c r="AL1686" i="15"/>
  <c r="AM1686" i="15"/>
  <c r="AN1686" i="15"/>
  <c r="AO1686" i="15"/>
  <c r="R1687" i="15"/>
  <c r="S1687" i="15"/>
  <c r="T1687" i="15"/>
  <c r="U1687" i="15"/>
  <c r="V1687" i="15"/>
  <c r="W1687" i="15"/>
  <c r="X1687" i="15"/>
  <c r="Y1687" i="15"/>
  <c r="Z1687" i="15"/>
  <c r="AA1687" i="15"/>
  <c r="AB1687" i="15"/>
  <c r="AC1687" i="15"/>
  <c r="AD1687" i="15"/>
  <c r="AE1687" i="15"/>
  <c r="AF1687" i="15"/>
  <c r="AG1687" i="15"/>
  <c r="AH1687" i="15"/>
  <c r="AI1687" i="15"/>
  <c r="AJ1687" i="15"/>
  <c r="AK1687" i="15"/>
  <c r="AL1687" i="15"/>
  <c r="AM1687" i="15"/>
  <c r="AN1687" i="15"/>
  <c r="AO1687" i="15"/>
  <c r="R1688" i="15"/>
  <c r="S1688" i="15"/>
  <c r="T1688" i="15"/>
  <c r="U1688" i="15"/>
  <c r="V1688" i="15"/>
  <c r="W1688" i="15"/>
  <c r="X1688" i="15"/>
  <c r="Y1688" i="15"/>
  <c r="Z1688" i="15"/>
  <c r="AA1688" i="15"/>
  <c r="AB1688" i="15"/>
  <c r="AC1688" i="15"/>
  <c r="AD1688" i="15"/>
  <c r="AE1688" i="15"/>
  <c r="AF1688" i="15"/>
  <c r="AG1688" i="15"/>
  <c r="AH1688" i="15"/>
  <c r="AI1688" i="15"/>
  <c r="AJ1688" i="15"/>
  <c r="AK1688" i="15"/>
  <c r="AL1688" i="15"/>
  <c r="AM1688" i="15"/>
  <c r="AN1688" i="15"/>
  <c r="AO1688" i="15"/>
  <c r="R1689" i="15"/>
  <c r="S1689" i="15"/>
  <c r="T1689" i="15"/>
  <c r="U1689" i="15"/>
  <c r="V1689" i="15"/>
  <c r="W1689" i="15"/>
  <c r="X1689" i="15"/>
  <c r="Y1689" i="15"/>
  <c r="Z1689" i="15"/>
  <c r="AA1689" i="15"/>
  <c r="AB1689" i="15"/>
  <c r="AC1689" i="15"/>
  <c r="AD1689" i="15"/>
  <c r="AE1689" i="15"/>
  <c r="AF1689" i="15"/>
  <c r="AG1689" i="15"/>
  <c r="AH1689" i="15"/>
  <c r="AI1689" i="15"/>
  <c r="AJ1689" i="15"/>
  <c r="AK1689" i="15"/>
  <c r="AL1689" i="15"/>
  <c r="AM1689" i="15"/>
  <c r="AN1689" i="15"/>
  <c r="AO1689" i="15"/>
  <c r="R1690" i="15"/>
  <c r="S1690" i="15"/>
  <c r="T1690" i="15"/>
  <c r="U1690" i="15"/>
  <c r="V1690" i="15"/>
  <c r="W1690" i="15"/>
  <c r="X1690" i="15"/>
  <c r="Y1690" i="15"/>
  <c r="Z1690" i="15"/>
  <c r="AA1690" i="15"/>
  <c r="AB1690" i="15"/>
  <c r="AC1690" i="15"/>
  <c r="AD1690" i="15"/>
  <c r="AE1690" i="15"/>
  <c r="AF1690" i="15"/>
  <c r="AG1690" i="15"/>
  <c r="AH1690" i="15"/>
  <c r="AI1690" i="15"/>
  <c r="AJ1690" i="15"/>
  <c r="AK1690" i="15"/>
  <c r="AL1690" i="15"/>
  <c r="AM1690" i="15"/>
  <c r="AN1690" i="15"/>
  <c r="AO1690" i="15"/>
  <c r="R1691" i="15"/>
  <c r="S1691" i="15"/>
  <c r="T1691" i="15"/>
  <c r="U1691" i="15"/>
  <c r="V1691" i="15"/>
  <c r="W1691" i="15"/>
  <c r="X1691" i="15"/>
  <c r="Y1691" i="15"/>
  <c r="Z1691" i="15"/>
  <c r="AA1691" i="15"/>
  <c r="AB1691" i="15"/>
  <c r="AC1691" i="15"/>
  <c r="AD1691" i="15"/>
  <c r="AE1691" i="15"/>
  <c r="AF1691" i="15"/>
  <c r="AG1691" i="15"/>
  <c r="AH1691" i="15"/>
  <c r="AI1691" i="15"/>
  <c r="AJ1691" i="15"/>
  <c r="AK1691" i="15"/>
  <c r="AL1691" i="15"/>
  <c r="AM1691" i="15"/>
  <c r="AN1691" i="15"/>
  <c r="AO1691" i="15"/>
  <c r="R1692" i="15"/>
  <c r="S1692" i="15"/>
  <c r="T1692" i="15"/>
  <c r="U1692" i="15"/>
  <c r="V1692" i="15"/>
  <c r="W1692" i="15"/>
  <c r="X1692" i="15"/>
  <c r="Y1692" i="15"/>
  <c r="Z1692" i="15"/>
  <c r="AA1692" i="15"/>
  <c r="AB1692" i="15"/>
  <c r="AC1692" i="15"/>
  <c r="AD1692" i="15"/>
  <c r="AE1692" i="15"/>
  <c r="AF1692" i="15"/>
  <c r="AG1692" i="15"/>
  <c r="AH1692" i="15"/>
  <c r="AI1692" i="15"/>
  <c r="AJ1692" i="15"/>
  <c r="AK1692" i="15"/>
  <c r="AL1692" i="15"/>
  <c r="AM1692" i="15"/>
  <c r="AN1692" i="15"/>
  <c r="AO1692" i="15"/>
  <c r="R1693" i="15"/>
  <c r="S1693" i="15"/>
  <c r="T1693" i="15"/>
  <c r="U1693" i="15"/>
  <c r="V1693" i="15"/>
  <c r="W1693" i="15"/>
  <c r="X1693" i="15"/>
  <c r="Y1693" i="15"/>
  <c r="Z1693" i="15"/>
  <c r="AA1693" i="15"/>
  <c r="AB1693" i="15"/>
  <c r="AC1693" i="15"/>
  <c r="AD1693" i="15"/>
  <c r="AE1693" i="15"/>
  <c r="AF1693" i="15"/>
  <c r="AG1693" i="15"/>
  <c r="AH1693" i="15"/>
  <c r="AI1693" i="15"/>
  <c r="AJ1693" i="15"/>
  <c r="AK1693" i="15"/>
  <c r="AL1693" i="15"/>
  <c r="AM1693" i="15"/>
  <c r="AN1693" i="15"/>
  <c r="AO1693" i="15"/>
  <c r="R1694" i="15"/>
  <c r="S1694" i="15"/>
  <c r="T1694" i="15"/>
  <c r="U1694" i="15"/>
  <c r="V1694" i="15"/>
  <c r="W1694" i="15"/>
  <c r="X1694" i="15"/>
  <c r="Y1694" i="15"/>
  <c r="Z1694" i="15"/>
  <c r="AA1694" i="15"/>
  <c r="AB1694" i="15"/>
  <c r="AC1694" i="15"/>
  <c r="AD1694" i="15"/>
  <c r="AE1694" i="15"/>
  <c r="AF1694" i="15"/>
  <c r="AG1694" i="15"/>
  <c r="AH1694" i="15"/>
  <c r="AI1694" i="15"/>
  <c r="AJ1694" i="15"/>
  <c r="AK1694" i="15"/>
  <c r="AL1694" i="15"/>
  <c r="AM1694" i="15"/>
  <c r="AN1694" i="15"/>
  <c r="AO1694" i="15"/>
  <c r="R1695" i="15"/>
  <c r="S1695" i="15"/>
  <c r="T1695" i="15"/>
  <c r="U1695" i="15"/>
  <c r="V1695" i="15"/>
  <c r="W1695" i="15"/>
  <c r="X1695" i="15"/>
  <c r="Y1695" i="15"/>
  <c r="Z1695" i="15"/>
  <c r="AA1695" i="15"/>
  <c r="AB1695" i="15"/>
  <c r="AC1695" i="15"/>
  <c r="AD1695" i="15"/>
  <c r="AE1695" i="15"/>
  <c r="AF1695" i="15"/>
  <c r="AG1695" i="15"/>
  <c r="AH1695" i="15"/>
  <c r="AI1695" i="15"/>
  <c r="AJ1695" i="15"/>
  <c r="AK1695" i="15"/>
  <c r="AL1695" i="15"/>
  <c r="AM1695" i="15"/>
  <c r="AN1695" i="15"/>
  <c r="AO1695" i="15"/>
  <c r="R1696" i="15"/>
  <c r="S1696" i="15"/>
  <c r="T1696" i="15"/>
  <c r="U1696" i="15"/>
  <c r="V1696" i="15"/>
  <c r="W1696" i="15"/>
  <c r="X1696" i="15"/>
  <c r="Y1696" i="15"/>
  <c r="Z1696" i="15"/>
  <c r="AA1696" i="15"/>
  <c r="AB1696" i="15"/>
  <c r="AC1696" i="15"/>
  <c r="AD1696" i="15"/>
  <c r="AE1696" i="15"/>
  <c r="AF1696" i="15"/>
  <c r="AG1696" i="15"/>
  <c r="AH1696" i="15"/>
  <c r="AI1696" i="15"/>
  <c r="AJ1696" i="15"/>
  <c r="AK1696" i="15"/>
  <c r="AL1696" i="15"/>
  <c r="AM1696" i="15"/>
  <c r="AN1696" i="15"/>
  <c r="AO1696" i="15"/>
  <c r="R1697" i="15"/>
  <c r="S1697" i="15"/>
  <c r="T1697" i="15"/>
  <c r="U1697" i="15"/>
  <c r="V1697" i="15"/>
  <c r="W1697" i="15"/>
  <c r="X1697" i="15"/>
  <c r="Y1697" i="15"/>
  <c r="Z1697" i="15"/>
  <c r="AA1697" i="15"/>
  <c r="AB1697" i="15"/>
  <c r="AC1697" i="15"/>
  <c r="AD1697" i="15"/>
  <c r="AE1697" i="15"/>
  <c r="AF1697" i="15"/>
  <c r="AG1697" i="15"/>
  <c r="AH1697" i="15"/>
  <c r="AI1697" i="15"/>
  <c r="AJ1697" i="15"/>
  <c r="AK1697" i="15"/>
  <c r="AL1697" i="15"/>
  <c r="AM1697" i="15"/>
  <c r="AN1697" i="15"/>
  <c r="AO1697" i="15"/>
  <c r="R1698" i="15"/>
  <c r="S1698" i="15"/>
  <c r="T1698" i="15"/>
  <c r="U1698" i="15"/>
  <c r="V1698" i="15"/>
  <c r="W1698" i="15"/>
  <c r="X1698" i="15"/>
  <c r="Y1698" i="15"/>
  <c r="Z1698" i="15"/>
  <c r="AA1698" i="15"/>
  <c r="AB1698" i="15"/>
  <c r="AC1698" i="15"/>
  <c r="AD1698" i="15"/>
  <c r="AE1698" i="15"/>
  <c r="AF1698" i="15"/>
  <c r="AG1698" i="15"/>
  <c r="AH1698" i="15"/>
  <c r="AI1698" i="15"/>
  <c r="AJ1698" i="15"/>
  <c r="AK1698" i="15"/>
  <c r="AL1698" i="15"/>
  <c r="AM1698" i="15"/>
  <c r="AN1698" i="15"/>
  <c r="AO1698" i="15"/>
  <c r="R1699" i="15"/>
  <c r="S1699" i="15"/>
  <c r="T1699" i="15"/>
  <c r="U1699" i="15"/>
  <c r="V1699" i="15"/>
  <c r="W1699" i="15"/>
  <c r="X1699" i="15"/>
  <c r="Y1699" i="15"/>
  <c r="Z1699" i="15"/>
  <c r="AA1699" i="15"/>
  <c r="AB1699" i="15"/>
  <c r="AC1699" i="15"/>
  <c r="AD1699" i="15"/>
  <c r="AE1699" i="15"/>
  <c r="AF1699" i="15"/>
  <c r="AG1699" i="15"/>
  <c r="AH1699" i="15"/>
  <c r="AI1699" i="15"/>
  <c r="AJ1699" i="15"/>
  <c r="AK1699" i="15"/>
  <c r="AL1699" i="15"/>
  <c r="AM1699" i="15"/>
  <c r="AN1699" i="15"/>
  <c r="AO1699" i="15"/>
  <c r="R1700" i="15"/>
  <c r="S1700" i="15"/>
  <c r="T1700" i="15"/>
  <c r="U1700" i="15"/>
  <c r="V1700" i="15"/>
  <c r="W1700" i="15"/>
  <c r="X1700" i="15"/>
  <c r="Y1700" i="15"/>
  <c r="Z1700" i="15"/>
  <c r="AA1700" i="15"/>
  <c r="AB1700" i="15"/>
  <c r="AC1700" i="15"/>
  <c r="AD1700" i="15"/>
  <c r="AE1700" i="15"/>
  <c r="AF1700" i="15"/>
  <c r="AG1700" i="15"/>
  <c r="AH1700" i="15"/>
  <c r="AI1700" i="15"/>
  <c r="AJ1700" i="15"/>
  <c r="AK1700" i="15"/>
  <c r="AL1700" i="15"/>
  <c r="AM1700" i="15"/>
  <c r="AN1700" i="15"/>
  <c r="AO1700" i="15"/>
  <c r="R1701" i="15"/>
  <c r="S1701" i="15"/>
  <c r="T1701" i="15"/>
  <c r="U1701" i="15"/>
  <c r="V1701" i="15"/>
  <c r="W1701" i="15"/>
  <c r="X1701" i="15"/>
  <c r="Y1701" i="15"/>
  <c r="Z1701" i="15"/>
  <c r="AA1701" i="15"/>
  <c r="AB1701" i="15"/>
  <c r="AC1701" i="15"/>
  <c r="AD1701" i="15"/>
  <c r="AE1701" i="15"/>
  <c r="AF1701" i="15"/>
  <c r="AG1701" i="15"/>
  <c r="AH1701" i="15"/>
  <c r="AI1701" i="15"/>
  <c r="AJ1701" i="15"/>
  <c r="AK1701" i="15"/>
  <c r="AL1701" i="15"/>
  <c r="AM1701" i="15"/>
  <c r="AN1701" i="15"/>
  <c r="AO1701" i="15"/>
  <c r="R1702" i="15"/>
  <c r="S1702" i="15"/>
  <c r="T1702" i="15"/>
  <c r="U1702" i="15"/>
  <c r="V1702" i="15"/>
  <c r="W1702" i="15"/>
  <c r="X1702" i="15"/>
  <c r="Y1702" i="15"/>
  <c r="Z1702" i="15"/>
  <c r="AA1702" i="15"/>
  <c r="AB1702" i="15"/>
  <c r="AC1702" i="15"/>
  <c r="AD1702" i="15"/>
  <c r="AE1702" i="15"/>
  <c r="AF1702" i="15"/>
  <c r="AG1702" i="15"/>
  <c r="AH1702" i="15"/>
  <c r="AI1702" i="15"/>
  <c r="AJ1702" i="15"/>
  <c r="AK1702" i="15"/>
  <c r="AL1702" i="15"/>
  <c r="AM1702" i="15"/>
  <c r="AN1702" i="15"/>
  <c r="AO1702" i="15"/>
  <c r="R1703" i="15"/>
  <c r="S1703" i="15"/>
  <c r="T1703" i="15"/>
  <c r="U1703" i="15"/>
  <c r="V1703" i="15"/>
  <c r="W1703" i="15"/>
  <c r="X1703" i="15"/>
  <c r="Y1703" i="15"/>
  <c r="Z1703" i="15"/>
  <c r="AA1703" i="15"/>
  <c r="AB1703" i="15"/>
  <c r="AC1703" i="15"/>
  <c r="AD1703" i="15"/>
  <c r="AE1703" i="15"/>
  <c r="AF1703" i="15"/>
  <c r="AG1703" i="15"/>
  <c r="AH1703" i="15"/>
  <c r="AI1703" i="15"/>
  <c r="AJ1703" i="15"/>
  <c r="AK1703" i="15"/>
  <c r="AL1703" i="15"/>
  <c r="AM1703" i="15"/>
  <c r="AN1703" i="15"/>
  <c r="AO1703" i="15"/>
  <c r="R1704" i="15"/>
  <c r="S1704" i="15"/>
  <c r="T1704" i="15"/>
  <c r="U1704" i="15"/>
  <c r="V1704" i="15"/>
  <c r="W1704" i="15"/>
  <c r="X1704" i="15"/>
  <c r="Y1704" i="15"/>
  <c r="Z1704" i="15"/>
  <c r="AA1704" i="15"/>
  <c r="AB1704" i="15"/>
  <c r="AC1704" i="15"/>
  <c r="AD1704" i="15"/>
  <c r="AE1704" i="15"/>
  <c r="AF1704" i="15"/>
  <c r="AG1704" i="15"/>
  <c r="AH1704" i="15"/>
  <c r="AI1704" i="15"/>
  <c r="AJ1704" i="15"/>
  <c r="AK1704" i="15"/>
  <c r="AL1704" i="15"/>
  <c r="AM1704" i="15"/>
  <c r="AN1704" i="15"/>
  <c r="AO1704" i="15"/>
  <c r="R1705" i="15"/>
  <c r="S1705" i="15"/>
  <c r="T1705" i="15"/>
  <c r="U1705" i="15"/>
  <c r="V1705" i="15"/>
  <c r="W1705" i="15"/>
  <c r="X1705" i="15"/>
  <c r="Y1705" i="15"/>
  <c r="Z1705" i="15"/>
  <c r="AA1705" i="15"/>
  <c r="AB1705" i="15"/>
  <c r="AC1705" i="15"/>
  <c r="AD1705" i="15"/>
  <c r="AE1705" i="15"/>
  <c r="AF1705" i="15"/>
  <c r="AG1705" i="15"/>
  <c r="AH1705" i="15"/>
  <c r="AI1705" i="15"/>
  <c r="AJ1705" i="15"/>
  <c r="AK1705" i="15"/>
  <c r="AL1705" i="15"/>
  <c r="AM1705" i="15"/>
  <c r="AN1705" i="15"/>
  <c r="AO1705" i="15"/>
  <c r="R1706" i="15"/>
  <c r="S1706" i="15"/>
  <c r="T1706" i="15"/>
  <c r="U1706" i="15"/>
  <c r="V1706" i="15"/>
  <c r="W1706" i="15"/>
  <c r="X1706" i="15"/>
  <c r="Y1706" i="15"/>
  <c r="Z1706" i="15"/>
  <c r="AA1706" i="15"/>
  <c r="AB1706" i="15"/>
  <c r="AC1706" i="15"/>
  <c r="AD1706" i="15"/>
  <c r="AE1706" i="15"/>
  <c r="AF1706" i="15"/>
  <c r="AG1706" i="15"/>
  <c r="AH1706" i="15"/>
  <c r="AI1706" i="15"/>
  <c r="AJ1706" i="15"/>
  <c r="AK1706" i="15"/>
  <c r="AL1706" i="15"/>
  <c r="AM1706" i="15"/>
  <c r="AN1706" i="15"/>
  <c r="AO1706" i="15"/>
  <c r="R1707" i="15"/>
  <c r="S1707" i="15"/>
  <c r="T1707" i="15"/>
  <c r="U1707" i="15"/>
  <c r="V1707" i="15"/>
  <c r="W1707" i="15"/>
  <c r="X1707" i="15"/>
  <c r="Y1707" i="15"/>
  <c r="Z1707" i="15"/>
  <c r="AA1707" i="15"/>
  <c r="AB1707" i="15"/>
  <c r="AC1707" i="15"/>
  <c r="AD1707" i="15"/>
  <c r="AE1707" i="15"/>
  <c r="AF1707" i="15"/>
  <c r="AG1707" i="15"/>
  <c r="AH1707" i="15"/>
  <c r="AI1707" i="15"/>
  <c r="AJ1707" i="15"/>
  <c r="AK1707" i="15"/>
  <c r="AL1707" i="15"/>
  <c r="AM1707" i="15"/>
  <c r="AN1707" i="15"/>
  <c r="AO1707" i="15"/>
  <c r="R1708" i="15"/>
  <c r="S1708" i="15"/>
  <c r="T1708" i="15"/>
  <c r="U1708" i="15"/>
  <c r="V1708" i="15"/>
  <c r="W1708" i="15"/>
  <c r="X1708" i="15"/>
  <c r="Y1708" i="15"/>
  <c r="Z1708" i="15"/>
  <c r="AA1708" i="15"/>
  <c r="AB1708" i="15"/>
  <c r="AC1708" i="15"/>
  <c r="AD1708" i="15"/>
  <c r="AE1708" i="15"/>
  <c r="AF1708" i="15"/>
  <c r="AG1708" i="15"/>
  <c r="AH1708" i="15"/>
  <c r="AI1708" i="15"/>
  <c r="AJ1708" i="15"/>
  <c r="AK1708" i="15"/>
  <c r="AL1708" i="15"/>
  <c r="AM1708" i="15"/>
  <c r="AN1708" i="15"/>
  <c r="AO1708" i="15"/>
  <c r="R1709" i="15"/>
  <c r="S1709" i="15"/>
  <c r="T1709" i="15"/>
  <c r="U1709" i="15"/>
  <c r="V1709" i="15"/>
  <c r="W1709" i="15"/>
  <c r="X1709" i="15"/>
  <c r="Y1709" i="15"/>
  <c r="Z1709" i="15"/>
  <c r="AA1709" i="15"/>
  <c r="AB1709" i="15"/>
  <c r="AC1709" i="15"/>
  <c r="AD1709" i="15"/>
  <c r="AE1709" i="15"/>
  <c r="AF1709" i="15"/>
  <c r="AG1709" i="15"/>
  <c r="AH1709" i="15"/>
  <c r="AI1709" i="15"/>
  <c r="AJ1709" i="15"/>
  <c r="AK1709" i="15"/>
  <c r="AL1709" i="15"/>
  <c r="AM1709" i="15"/>
  <c r="AN1709" i="15"/>
  <c r="AO1709" i="15"/>
  <c r="R1710" i="15"/>
  <c r="S1710" i="15"/>
  <c r="T1710" i="15"/>
  <c r="U1710" i="15"/>
  <c r="V1710" i="15"/>
  <c r="W1710" i="15"/>
  <c r="X1710" i="15"/>
  <c r="Y1710" i="15"/>
  <c r="Z1710" i="15"/>
  <c r="AA1710" i="15"/>
  <c r="AB1710" i="15"/>
  <c r="AC1710" i="15"/>
  <c r="AD1710" i="15"/>
  <c r="AE1710" i="15"/>
  <c r="AF1710" i="15"/>
  <c r="AG1710" i="15"/>
  <c r="AH1710" i="15"/>
  <c r="AI1710" i="15"/>
  <c r="AJ1710" i="15"/>
  <c r="AK1710" i="15"/>
  <c r="AL1710" i="15"/>
  <c r="AM1710" i="15"/>
  <c r="AN1710" i="15"/>
  <c r="AO1710" i="15"/>
  <c r="R1711" i="15"/>
  <c r="S1711" i="15"/>
  <c r="T1711" i="15"/>
  <c r="U1711" i="15"/>
  <c r="V1711" i="15"/>
  <c r="W1711" i="15"/>
  <c r="X1711" i="15"/>
  <c r="Y1711" i="15"/>
  <c r="Z1711" i="15"/>
  <c r="AA1711" i="15"/>
  <c r="AB1711" i="15"/>
  <c r="AC1711" i="15"/>
  <c r="AD1711" i="15"/>
  <c r="AE1711" i="15"/>
  <c r="AF1711" i="15"/>
  <c r="AG1711" i="15"/>
  <c r="AH1711" i="15"/>
  <c r="AI1711" i="15"/>
  <c r="AJ1711" i="15"/>
  <c r="AK1711" i="15"/>
  <c r="AL1711" i="15"/>
  <c r="AM1711" i="15"/>
  <c r="AN1711" i="15"/>
  <c r="AO1711" i="15"/>
  <c r="R1712" i="15"/>
  <c r="S1712" i="15"/>
  <c r="T1712" i="15"/>
  <c r="U1712" i="15"/>
  <c r="V1712" i="15"/>
  <c r="W1712" i="15"/>
  <c r="X1712" i="15"/>
  <c r="Y1712" i="15"/>
  <c r="Z1712" i="15"/>
  <c r="AA1712" i="15"/>
  <c r="AB1712" i="15"/>
  <c r="AC1712" i="15"/>
  <c r="AD1712" i="15"/>
  <c r="AE1712" i="15"/>
  <c r="AF1712" i="15"/>
  <c r="AG1712" i="15"/>
  <c r="AH1712" i="15"/>
  <c r="AI1712" i="15"/>
  <c r="AJ1712" i="15"/>
  <c r="AK1712" i="15"/>
  <c r="AL1712" i="15"/>
  <c r="AM1712" i="15"/>
  <c r="AN1712" i="15"/>
  <c r="AO1712" i="15"/>
  <c r="R1713" i="15"/>
  <c r="S1713" i="15"/>
  <c r="T1713" i="15"/>
  <c r="U1713" i="15"/>
  <c r="V1713" i="15"/>
  <c r="W1713" i="15"/>
  <c r="X1713" i="15"/>
  <c r="Y1713" i="15"/>
  <c r="Z1713" i="15"/>
  <c r="AA1713" i="15"/>
  <c r="AB1713" i="15"/>
  <c r="AC1713" i="15"/>
  <c r="AD1713" i="15"/>
  <c r="AE1713" i="15"/>
  <c r="AF1713" i="15"/>
  <c r="AG1713" i="15"/>
  <c r="AH1713" i="15"/>
  <c r="AI1713" i="15"/>
  <c r="AJ1713" i="15"/>
  <c r="AK1713" i="15"/>
  <c r="AL1713" i="15"/>
  <c r="AM1713" i="15"/>
  <c r="AN1713" i="15"/>
  <c r="AO1713" i="15"/>
  <c r="R1714" i="15"/>
  <c r="S1714" i="15"/>
  <c r="T1714" i="15"/>
  <c r="U1714" i="15"/>
  <c r="V1714" i="15"/>
  <c r="W1714" i="15"/>
  <c r="X1714" i="15"/>
  <c r="Y1714" i="15"/>
  <c r="Z1714" i="15"/>
  <c r="AA1714" i="15"/>
  <c r="AB1714" i="15"/>
  <c r="AC1714" i="15"/>
  <c r="AD1714" i="15"/>
  <c r="AE1714" i="15"/>
  <c r="AF1714" i="15"/>
  <c r="AG1714" i="15"/>
  <c r="AH1714" i="15"/>
  <c r="AI1714" i="15"/>
  <c r="AJ1714" i="15"/>
  <c r="AK1714" i="15"/>
  <c r="AL1714" i="15"/>
  <c r="AM1714" i="15"/>
  <c r="AN1714" i="15"/>
  <c r="AO1714" i="15"/>
  <c r="R1715" i="15"/>
  <c r="S1715" i="15"/>
  <c r="T1715" i="15"/>
  <c r="U1715" i="15"/>
  <c r="V1715" i="15"/>
  <c r="W1715" i="15"/>
  <c r="X1715" i="15"/>
  <c r="Y1715" i="15"/>
  <c r="Z1715" i="15"/>
  <c r="AA1715" i="15"/>
  <c r="AB1715" i="15"/>
  <c r="AC1715" i="15"/>
  <c r="AD1715" i="15"/>
  <c r="AE1715" i="15"/>
  <c r="AF1715" i="15"/>
  <c r="AG1715" i="15"/>
  <c r="AH1715" i="15"/>
  <c r="AI1715" i="15"/>
  <c r="AJ1715" i="15"/>
  <c r="AK1715" i="15"/>
  <c r="AL1715" i="15"/>
  <c r="AM1715" i="15"/>
  <c r="AN1715" i="15"/>
  <c r="AO1715" i="15"/>
  <c r="R1716" i="15"/>
  <c r="S1716" i="15"/>
  <c r="T1716" i="15"/>
  <c r="U1716" i="15"/>
  <c r="V1716" i="15"/>
  <c r="W1716" i="15"/>
  <c r="X1716" i="15"/>
  <c r="Y1716" i="15"/>
  <c r="Z1716" i="15"/>
  <c r="AA1716" i="15"/>
  <c r="AB1716" i="15"/>
  <c r="AC1716" i="15"/>
  <c r="AD1716" i="15"/>
  <c r="AE1716" i="15"/>
  <c r="AF1716" i="15"/>
  <c r="AG1716" i="15"/>
  <c r="AH1716" i="15"/>
  <c r="AI1716" i="15"/>
  <c r="AJ1716" i="15"/>
  <c r="AK1716" i="15"/>
  <c r="AL1716" i="15"/>
  <c r="AM1716" i="15"/>
  <c r="AN1716" i="15"/>
  <c r="AO1716" i="15"/>
  <c r="R1717" i="15"/>
  <c r="S1717" i="15"/>
  <c r="T1717" i="15"/>
  <c r="U1717" i="15"/>
  <c r="V1717" i="15"/>
  <c r="W1717" i="15"/>
  <c r="X1717" i="15"/>
  <c r="Y1717" i="15"/>
  <c r="Z1717" i="15"/>
  <c r="AA1717" i="15"/>
  <c r="AB1717" i="15"/>
  <c r="AC1717" i="15"/>
  <c r="AD1717" i="15"/>
  <c r="AE1717" i="15"/>
  <c r="AF1717" i="15"/>
  <c r="AG1717" i="15"/>
  <c r="AH1717" i="15"/>
  <c r="AI1717" i="15"/>
  <c r="AJ1717" i="15"/>
  <c r="AK1717" i="15"/>
  <c r="AL1717" i="15"/>
  <c r="AM1717" i="15"/>
  <c r="AN1717" i="15"/>
  <c r="AO1717" i="15"/>
  <c r="R1718" i="15"/>
  <c r="S1718" i="15"/>
  <c r="T1718" i="15"/>
  <c r="U1718" i="15"/>
  <c r="V1718" i="15"/>
  <c r="W1718" i="15"/>
  <c r="X1718" i="15"/>
  <c r="Y1718" i="15"/>
  <c r="Z1718" i="15"/>
  <c r="AA1718" i="15"/>
  <c r="AB1718" i="15"/>
  <c r="AC1718" i="15"/>
  <c r="AD1718" i="15"/>
  <c r="AE1718" i="15"/>
  <c r="AF1718" i="15"/>
  <c r="AG1718" i="15"/>
  <c r="AH1718" i="15"/>
  <c r="AI1718" i="15"/>
  <c r="AJ1718" i="15"/>
  <c r="AK1718" i="15"/>
  <c r="AL1718" i="15"/>
  <c r="AM1718" i="15"/>
  <c r="AN1718" i="15"/>
  <c r="AO1718" i="15"/>
  <c r="R1719" i="15"/>
  <c r="S1719" i="15"/>
  <c r="T1719" i="15"/>
  <c r="U1719" i="15"/>
  <c r="V1719" i="15"/>
  <c r="W1719" i="15"/>
  <c r="X1719" i="15"/>
  <c r="Y1719" i="15"/>
  <c r="Z1719" i="15"/>
  <c r="AA1719" i="15"/>
  <c r="AB1719" i="15"/>
  <c r="AC1719" i="15"/>
  <c r="AD1719" i="15"/>
  <c r="AE1719" i="15"/>
  <c r="AF1719" i="15"/>
  <c r="AG1719" i="15"/>
  <c r="AH1719" i="15"/>
  <c r="AI1719" i="15"/>
  <c r="AJ1719" i="15"/>
  <c r="AK1719" i="15"/>
  <c r="AL1719" i="15"/>
  <c r="AM1719" i="15"/>
  <c r="AN1719" i="15"/>
  <c r="AO1719" i="15"/>
  <c r="R1720" i="15"/>
  <c r="S1720" i="15"/>
  <c r="T1720" i="15"/>
  <c r="U1720" i="15"/>
  <c r="V1720" i="15"/>
  <c r="W1720" i="15"/>
  <c r="X1720" i="15"/>
  <c r="Y1720" i="15"/>
  <c r="Z1720" i="15"/>
  <c r="AA1720" i="15"/>
  <c r="AB1720" i="15"/>
  <c r="AC1720" i="15"/>
  <c r="AD1720" i="15"/>
  <c r="AE1720" i="15"/>
  <c r="AF1720" i="15"/>
  <c r="AG1720" i="15"/>
  <c r="AH1720" i="15"/>
  <c r="AI1720" i="15"/>
  <c r="AJ1720" i="15"/>
  <c r="AK1720" i="15"/>
  <c r="AL1720" i="15"/>
  <c r="AM1720" i="15"/>
  <c r="AN1720" i="15"/>
  <c r="AO1720" i="15"/>
  <c r="R1721" i="15"/>
  <c r="S1721" i="15"/>
  <c r="T1721" i="15"/>
  <c r="U1721" i="15"/>
  <c r="V1721" i="15"/>
  <c r="W1721" i="15"/>
  <c r="X1721" i="15"/>
  <c r="Y1721" i="15"/>
  <c r="Z1721" i="15"/>
  <c r="AA1721" i="15"/>
  <c r="AB1721" i="15"/>
  <c r="AC1721" i="15"/>
  <c r="AD1721" i="15"/>
  <c r="AE1721" i="15"/>
  <c r="AF1721" i="15"/>
  <c r="AG1721" i="15"/>
  <c r="AH1721" i="15"/>
  <c r="AI1721" i="15"/>
  <c r="AJ1721" i="15"/>
  <c r="AK1721" i="15"/>
  <c r="AL1721" i="15"/>
  <c r="AM1721" i="15"/>
  <c r="AN1721" i="15"/>
  <c r="AO1721" i="15"/>
  <c r="R1722" i="15"/>
  <c r="S1722" i="15"/>
  <c r="T1722" i="15"/>
  <c r="U1722" i="15"/>
  <c r="V1722" i="15"/>
  <c r="W1722" i="15"/>
  <c r="X1722" i="15"/>
  <c r="Y1722" i="15"/>
  <c r="Z1722" i="15"/>
  <c r="AA1722" i="15"/>
  <c r="AB1722" i="15"/>
  <c r="AC1722" i="15"/>
  <c r="AD1722" i="15"/>
  <c r="AE1722" i="15"/>
  <c r="AF1722" i="15"/>
  <c r="AG1722" i="15"/>
  <c r="AH1722" i="15"/>
  <c r="AI1722" i="15"/>
  <c r="AJ1722" i="15"/>
  <c r="AK1722" i="15"/>
  <c r="AL1722" i="15"/>
  <c r="AM1722" i="15"/>
  <c r="AN1722" i="15"/>
  <c r="AO1722" i="15"/>
  <c r="R1723" i="15"/>
  <c r="S1723" i="15"/>
  <c r="T1723" i="15"/>
  <c r="U1723" i="15"/>
  <c r="V1723" i="15"/>
  <c r="W1723" i="15"/>
  <c r="X1723" i="15"/>
  <c r="Y1723" i="15"/>
  <c r="Z1723" i="15"/>
  <c r="AA1723" i="15"/>
  <c r="AB1723" i="15"/>
  <c r="AC1723" i="15"/>
  <c r="AD1723" i="15"/>
  <c r="AE1723" i="15"/>
  <c r="AF1723" i="15"/>
  <c r="AG1723" i="15"/>
  <c r="AH1723" i="15"/>
  <c r="AI1723" i="15"/>
  <c r="AJ1723" i="15"/>
  <c r="AK1723" i="15"/>
  <c r="AL1723" i="15"/>
  <c r="AM1723" i="15"/>
  <c r="AN1723" i="15"/>
  <c r="AO1723" i="15"/>
  <c r="R1724" i="15"/>
  <c r="S1724" i="15"/>
  <c r="T1724" i="15"/>
  <c r="U1724" i="15"/>
  <c r="V1724" i="15"/>
  <c r="W1724" i="15"/>
  <c r="X1724" i="15"/>
  <c r="Y1724" i="15"/>
  <c r="Z1724" i="15"/>
  <c r="AA1724" i="15"/>
  <c r="AB1724" i="15"/>
  <c r="AC1724" i="15"/>
  <c r="AD1724" i="15"/>
  <c r="AE1724" i="15"/>
  <c r="AF1724" i="15"/>
  <c r="AG1724" i="15"/>
  <c r="AH1724" i="15"/>
  <c r="AI1724" i="15"/>
  <c r="AJ1724" i="15"/>
  <c r="AK1724" i="15"/>
  <c r="AL1724" i="15"/>
  <c r="AM1724" i="15"/>
  <c r="AN1724" i="15"/>
  <c r="AO1724" i="15"/>
  <c r="R1725" i="15"/>
  <c r="S1725" i="15"/>
  <c r="T1725" i="15"/>
  <c r="U1725" i="15"/>
  <c r="V1725" i="15"/>
  <c r="W1725" i="15"/>
  <c r="X1725" i="15"/>
  <c r="Y1725" i="15"/>
  <c r="Z1725" i="15"/>
  <c r="AA1725" i="15"/>
  <c r="AB1725" i="15"/>
  <c r="AC1725" i="15"/>
  <c r="AD1725" i="15"/>
  <c r="AE1725" i="15"/>
  <c r="AF1725" i="15"/>
  <c r="AG1725" i="15"/>
  <c r="AH1725" i="15"/>
  <c r="AI1725" i="15"/>
  <c r="AJ1725" i="15"/>
  <c r="AK1725" i="15"/>
  <c r="AL1725" i="15"/>
  <c r="AM1725" i="15"/>
  <c r="AN1725" i="15"/>
  <c r="AO1725" i="15"/>
  <c r="R1726" i="15"/>
  <c r="S1726" i="15"/>
  <c r="T1726" i="15"/>
  <c r="U1726" i="15"/>
  <c r="V1726" i="15"/>
  <c r="W1726" i="15"/>
  <c r="X1726" i="15"/>
  <c r="Y1726" i="15"/>
  <c r="Z1726" i="15"/>
  <c r="AA1726" i="15"/>
  <c r="AB1726" i="15"/>
  <c r="AC1726" i="15"/>
  <c r="AD1726" i="15"/>
  <c r="AE1726" i="15"/>
  <c r="AF1726" i="15"/>
  <c r="AG1726" i="15"/>
  <c r="AH1726" i="15"/>
  <c r="AI1726" i="15"/>
  <c r="AJ1726" i="15"/>
  <c r="AK1726" i="15"/>
  <c r="AL1726" i="15"/>
  <c r="AM1726" i="15"/>
  <c r="AN1726" i="15"/>
  <c r="AO1726" i="15"/>
  <c r="R1727" i="15"/>
  <c r="S1727" i="15"/>
  <c r="T1727" i="15"/>
  <c r="U1727" i="15"/>
  <c r="V1727" i="15"/>
  <c r="W1727" i="15"/>
  <c r="X1727" i="15"/>
  <c r="Y1727" i="15"/>
  <c r="Z1727" i="15"/>
  <c r="AA1727" i="15"/>
  <c r="AB1727" i="15"/>
  <c r="AC1727" i="15"/>
  <c r="AD1727" i="15"/>
  <c r="AE1727" i="15"/>
  <c r="AF1727" i="15"/>
  <c r="AG1727" i="15"/>
  <c r="AH1727" i="15"/>
  <c r="AI1727" i="15"/>
  <c r="AJ1727" i="15"/>
  <c r="AK1727" i="15"/>
  <c r="AL1727" i="15"/>
  <c r="AM1727" i="15"/>
  <c r="AN1727" i="15"/>
  <c r="AO1727" i="15"/>
  <c r="R1728" i="15"/>
  <c r="S1728" i="15"/>
  <c r="T1728" i="15"/>
  <c r="U1728" i="15"/>
  <c r="V1728" i="15"/>
  <c r="W1728" i="15"/>
  <c r="X1728" i="15"/>
  <c r="Y1728" i="15"/>
  <c r="Z1728" i="15"/>
  <c r="AA1728" i="15"/>
  <c r="AB1728" i="15"/>
  <c r="AC1728" i="15"/>
  <c r="AD1728" i="15"/>
  <c r="AE1728" i="15"/>
  <c r="AF1728" i="15"/>
  <c r="AG1728" i="15"/>
  <c r="AH1728" i="15"/>
  <c r="AI1728" i="15"/>
  <c r="AJ1728" i="15"/>
  <c r="AK1728" i="15"/>
  <c r="AL1728" i="15"/>
  <c r="AM1728" i="15"/>
  <c r="AN1728" i="15"/>
  <c r="AO1728" i="15"/>
  <c r="R1729" i="15"/>
  <c r="S1729" i="15"/>
  <c r="T1729" i="15"/>
  <c r="U1729" i="15"/>
  <c r="V1729" i="15"/>
  <c r="W1729" i="15"/>
  <c r="X1729" i="15"/>
  <c r="Y1729" i="15"/>
  <c r="Z1729" i="15"/>
  <c r="AA1729" i="15"/>
  <c r="AB1729" i="15"/>
  <c r="AC1729" i="15"/>
  <c r="AD1729" i="15"/>
  <c r="AE1729" i="15"/>
  <c r="AF1729" i="15"/>
  <c r="AG1729" i="15"/>
  <c r="AH1729" i="15"/>
  <c r="AI1729" i="15"/>
  <c r="AJ1729" i="15"/>
  <c r="AK1729" i="15"/>
  <c r="AL1729" i="15"/>
  <c r="AM1729" i="15"/>
  <c r="AN1729" i="15"/>
  <c r="AO1729" i="15"/>
  <c r="R1730" i="15"/>
  <c r="S1730" i="15"/>
  <c r="T1730" i="15"/>
  <c r="U1730" i="15"/>
  <c r="V1730" i="15"/>
  <c r="W1730" i="15"/>
  <c r="X1730" i="15"/>
  <c r="Y1730" i="15"/>
  <c r="Z1730" i="15"/>
  <c r="AA1730" i="15"/>
  <c r="AB1730" i="15"/>
  <c r="AC1730" i="15"/>
  <c r="AD1730" i="15"/>
  <c r="AE1730" i="15"/>
  <c r="AF1730" i="15"/>
  <c r="AG1730" i="15"/>
  <c r="AH1730" i="15"/>
  <c r="AI1730" i="15"/>
  <c r="AJ1730" i="15"/>
  <c r="AK1730" i="15"/>
  <c r="AL1730" i="15"/>
  <c r="AM1730" i="15"/>
  <c r="AN1730" i="15"/>
  <c r="AO1730" i="15"/>
  <c r="R1731" i="15"/>
  <c r="S1731" i="15"/>
  <c r="T1731" i="15"/>
  <c r="U1731" i="15"/>
  <c r="V1731" i="15"/>
  <c r="W1731" i="15"/>
  <c r="X1731" i="15"/>
  <c r="Y1731" i="15"/>
  <c r="Z1731" i="15"/>
  <c r="AA1731" i="15"/>
  <c r="AB1731" i="15"/>
  <c r="AC1731" i="15"/>
  <c r="AD1731" i="15"/>
  <c r="AE1731" i="15"/>
  <c r="AF1731" i="15"/>
  <c r="AG1731" i="15"/>
  <c r="AH1731" i="15"/>
  <c r="AI1731" i="15"/>
  <c r="AJ1731" i="15"/>
  <c r="AK1731" i="15"/>
  <c r="AL1731" i="15"/>
  <c r="AM1731" i="15"/>
  <c r="AN1731" i="15"/>
  <c r="AO1731" i="15"/>
  <c r="R1732" i="15"/>
  <c r="S1732" i="15"/>
  <c r="T1732" i="15"/>
  <c r="U1732" i="15"/>
  <c r="V1732" i="15"/>
  <c r="W1732" i="15"/>
  <c r="X1732" i="15"/>
  <c r="Y1732" i="15"/>
  <c r="Z1732" i="15"/>
  <c r="AA1732" i="15"/>
  <c r="AB1732" i="15"/>
  <c r="AC1732" i="15"/>
  <c r="AD1732" i="15"/>
  <c r="AE1732" i="15"/>
  <c r="AF1732" i="15"/>
  <c r="AG1732" i="15"/>
  <c r="AH1732" i="15"/>
  <c r="AI1732" i="15"/>
  <c r="AJ1732" i="15"/>
  <c r="AK1732" i="15"/>
  <c r="AL1732" i="15"/>
  <c r="AM1732" i="15"/>
  <c r="AN1732" i="15"/>
  <c r="AO1732" i="15"/>
  <c r="R1733" i="15"/>
  <c r="S1733" i="15"/>
  <c r="T1733" i="15"/>
  <c r="U1733" i="15"/>
  <c r="V1733" i="15"/>
  <c r="W1733" i="15"/>
  <c r="X1733" i="15"/>
  <c r="Y1733" i="15"/>
  <c r="Z1733" i="15"/>
  <c r="AA1733" i="15"/>
  <c r="AB1733" i="15"/>
  <c r="AC1733" i="15"/>
  <c r="AD1733" i="15"/>
  <c r="AE1733" i="15"/>
  <c r="AF1733" i="15"/>
  <c r="AG1733" i="15"/>
  <c r="AH1733" i="15"/>
  <c r="AI1733" i="15"/>
  <c r="AJ1733" i="15"/>
  <c r="AK1733" i="15"/>
  <c r="AL1733" i="15"/>
  <c r="AM1733" i="15"/>
  <c r="AN1733" i="15"/>
  <c r="AO1733" i="15"/>
  <c r="R1734" i="15"/>
  <c r="S1734" i="15"/>
  <c r="T1734" i="15"/>
  <c r="U1734" i="15"/>
  <c r="V1734" i="15"/>
  <c r="W1734" i="15"/>
  <c r="X1734" i="15"/>
  <c r="Y1734" i="15"/>
  <c r="Z1734" i="15"/>
  <c r="AA1734" i="15"/>
  <c r="AB1734" i="15"/>
  <c r="AC1734" i="15"/>
  <c r="AD1734" i="15"/>
  <c r="AE1734" i="15"/>
  <c r="AF1734" i="15"/>
  <c r="AG1734" i="15"/>
  <c r="AH1734" i="15"/>
  <c r="AI1734" i="15"/>
  <c r="AJ1734" i="15"/>
  <c r="AK1734" i="15"/>
  <c r="AL1734" i="15"/>
  <c r="AM1734" i="15"/>
  <c r="AN1734" i="15"/>
  <c r="AO1734" i="15"/>
  <c r="R1735" i="15"/>
  <c r="S1735" i="15"/>
  <c r="T1735" i="15"/>
  <c r="U1735" i="15"/>
  <c r="V1735" i="15"/>
  <c r="W1735" i="15"/>
  <c r="X1735" i="15"/>
  <c r="Y1735" i="15"/>
  <c r="Z1735" i="15"/>
  <c r="AA1735" i="15"/>
  <c r="AB1735" i="15"/>
  <c r="AC1735" i="15"/>
  <c r="AD1735" i="15"/>
  <c r="AE1735" i="15"/>
  <c r="AF1735" i="15"/>
  <c r="AG1735" i="15"/>
  <c r="AH1735" i="15"/>
  <c r="AI1735" i="15"/>
  <c r="AJ1735" i="15"/>
  <c r="AK1735" i="15"/>
  <c r="AL1735" i="15"/>
  <c r="AM1735" i="15"/>
  <c r="AN1735" i="15"/>
  <c r="AO1735" i="15"/>
  <c r="R1736" i="15"/>
  <c r="S1736" i="15"/>
  <c r="T1736" i="15"/>
  <c r="U1736" i="15"/>
  <c r="V1736" i="15"/>
  <c r="W1736" i="15"/>
  <c r="X1736" i="15"/>
  <c r="Y1736" i="15"/>
  <c r="Z1736" i="15"/>
  <c r="AA1736" i="15"/>
  <c r="AB1736" i="15"/>
  <c r="AC1736" i="15"/>
  <c r="AD1736" i="15"/>
  <c r="AE1736" i="15"/>
  <c r="AF1736" i="15"/>
  <c r="AG1736" i="15"/>
  <c r="AH1736" i="15"/>
  <c r="AI1736" i="15"/>
  <c r="AJ1736" i="15"/>
  <c r="AK1736" i="15"/>
  <c r="AL1736" i="15"/>
  <c r="AM1736" i="15"/>
  <c r="AN1736" i="15"/>
  <c r="AO1736" i="15"/>
  <c r="R1737" i="15"/>
  <c r="S1737" i="15"/>
  <c r="T1737" i="15"/>
  <c r="U1737" i="15"/>
  <c r="V1737" i="15"/>
  <c r="W1737" i="15"/>
  <c r="X1737" i="15"/>
  <c r="Y1737" i="15"/>
  <c r="Z1737" i="15"/>
  <c r="AA1737" i="15"/>
  <c r="AB1737" i="15"/>
  <c r="AC1737" i="15"/>
  <c r="AD1737" i="15"/>
  <c r="AE1737" i="15"/>
  <c r="AF1737" i="15"/>
  <c r="AG1737" i="15"/>
  <c r="AH1737" i="15"/>
  <c r="AI1737" i="15"/>
  <c r="AJ1737" i="15"/>
  <c r="AK1737" i="15"/>
  <c r="AL1737" i="15"/>
  <c r="AM1737" i="15"/>
  <c r="AN1737" i="15"/>
  <c r="AO1737" i="15"/>
  <c r="R1738" i="15"/>
  <c r="S1738" i="15"/>
  <c r="T1738" i="15"/>
  <c r="U1738" i="15"/>
  <c r="V1738" i="15"/>
  <c r="W1738" i="15"/>
  <c r="X1738" i="15"/>
  <c r="Y1738" i="15"/>
  <c r="Z1738" i="15"/>
  <c r="AA1738" i="15"/>
  <c r="AB1738" i="15"/>
  <c r="AC1738" i="15"/>
  <c r="AD1738" i="15"/>
  <c r="AE1738" i="15"/>
  <c r="AF1738" i="15"/>
  <c r="AG1738" i="15"/>
  <c r="AH1738" i="15"/>
  <c r="AI1738" i="15"/>
  <c r="AJ1738" i="15"/>
  <c r="AK1738" i="15"/>
  <c r="AL1738" i="15"/>
  <c r="AM1738" i="15"/>
  <c r="AN1738" i="15"/>
  <c r="AO1738" i="15"/>
  <c r="R1739" i="15"/>
  <c r="S1739" i="15"/>
  <c r="T1739" i="15"/>
  <c r="U1739" i="15"/>
  <c r="V1739" i="15"/>
  <c r="W1739" i="15"/>
  <c r="X1739" i="15"/>
  <c r="Y1739" i="15"/>
  <c r="Z1739" i="15"/>
  <c r="AA1739" i="15"/>
  <c r="AB1739" i="15"/>
  <c r="AC1739" i="15"/>
  <c r="AD1739" i="15"/>
  <c r="AE1739" i="15"/>
  <c r="AF1739" i="15"/>
  <c r="AG1739" i="15"/>
  <c r="AH1739" i="15"/>
  <c r="AI1739" i="15"/>
  <c r="AJ1739" i="15"/>
  <c r="AK1739" i="15"/>
  <c r="AL1739" i="15"/>
  <c r="AM1739" i="15"/>
  <c r="AN1739" i="15"/>
  <c r="AO1739" i="15"/>
  <c r="R1740" i="15"/>
  <c r="S1740" i="15"/>
  <c r="T1740" i="15"/>
  <c r="U1740" i="15"/>
  <c r="V1740" i="15"/>
  <c r="W1740" i="15"/>
  <c r="X1740" i="15"/>
  <c r="Y1740" i="15"/>
  <c r="Z1740" i="15"/>
  <c r="AA1740" i="15"/>
  <c r="AB1740" i="15"/>
  <c r="AC1740" i="15"/>
  <c r="AD1740" i="15"/>
  <c r="AE1740" i="15"/>
  <c r="AF1740" i="15"/>
  <c r="AG1740" i="15"/>
  <c r="AH1740" i="15"/>
  <c r="AI1740" i="15"/>
  <c r="AJ1740" i="15"/>
  <c r="AK1740" i="15"/>
  <c r="AL1740" i="15"/>
  <c r="AM1740" i="15"/>
  <c r="AN1740" i="15"/>
  <c r="AO1740" i="15"/>
  <c r="R1741" i="15"/>
  <c r="S1741" i="15"/>
  <c r="T1741" i="15"/>
  <c r="U1741" i="15"/>
  <c r="V1741" i="15"/>
  <c r="W1741" i="15"/>
  <c r="X1741" i="15"/>
  <c r="Y1741" i="15"/>
  <c r="Z1741" i="15"/>
  <c r="AA1741" i="15"/>
  <c r="AB1741" i="15"/>
  <c r="AC1741" i="15"/>
  <c r="AD1741" i="15"/>
  <c r="AE1741" i="15"/>
  <c r="AF1741" i="15"/>
  <c r="AG1741" i="15"/>
  <c r="AH1741" i="15"/>
  <c r="AI1741" i="15"/>
  <c r="AJ1741" i="15"/>
  <c r="AK1741" i="15"/>
  <c r="AL1741" i="15"/>
  <c r="AM1741" i="15"/>
  <c r="AN1741" i="15"/>
  <c r="AO1741" i="15"/>
  <c r="R1742" i="15"/>
  <c r="S1742" i="15"/>
  <c r="T1742" i="15"/>
  <c r="U1742" i="15"/>
  <c r="V1742" i="15"/>
  <c r="W1742" i="15"/>
  <c r="X1742" i="15"/>
  <c r="Y1742" i="15"/>
  <c r="Z1742" i="15"/>
  <c r="AA1742" i="15"/>
  <c r="AB1742" i="15"/>
  <c r="AC1742" i="15"/>
  <c r="AD1742" i="15"/>
  <c r="AE1742" i="15"/>
  <c r="AF1742" i="15"/>
  <c r="AG1742" i="15"/>
  <c r="AH1742" i="15"/>
  <c r="AI1742" i="15"/>
  <c r="AJ1742" i="15"/>
  <c r="AK1742" i="15"/>
  <c r="AL1742" i="15"/>
  <c r="AM1742" i="15"/>
  <c r="AN1742" i="15"/>
  <c r="AO1742" i="15"/>
  <c r="R1743" i="15"/>
  <c r="S1743" i="15"/>
  <c r="T1743" i="15"/>
  <c r="U1743" i="15"/>
  <c r="V1743" i="15"/>
  <c r="W1743" i="15"/>
  <c r="X1743" i="15"/>
  <c r="Y1743" i="15"/>
  <c r="Z1743" i="15"/>
  <c r="AA1743" i="15"/>
  <c r="AB1743" i="15"/>
  <c r="AC1743" i="15"/>
  <c r="AD1743" i="15"/>
  <c r="AE1743" i="15"/>
  <c r="AF1743" i="15"/>
  <c r="AG1743" i="15"/>
  <c r="AH1743" i="15"/>
  <c r="AI1743" i="15"/>
  <c r="AJ1743" i="15"/>
  <c r="AK1743" i="15"/>
  <c r="AL1743" i="15"/>
  <c r="AM1743" i="15"/>
  <c r="AN1743" i="15"/>
  <c r="AO1743" i="15"/>
  <c r="R1744" i="15"/>
  <c r="S1744" i="15"/>
  <c r="T1744" i="15"/>
  <c r="U1744" i="15"/>
  <c r="V1744" i="15"/>
  <c r="W1744" i="15"/>
  <c r="X1744" i="15"/>
  <c r="Y1744" i="15"/>
  <c r="Z1744" i="15"/>
  <c r="AA1744" i="15"/>
  <c r="AB1744" i="15"/>
  <c r="AC1744" i="15"/>
  <c r="AD1744" i="15"/>
  <c r="AE1744" i="15"/>
  <c r="AF1744" i="15"/>
  <c r="AG1744" i="15"/>
  <c r="AH1744" i="15"/>
  <c r="AI1744" i="15"/>
  <c r="AJ1744" i="15"/>
  <c r="AK1744" i="15"/>
  <c r="AL1744" i="15"/>
  <c r="AM1744" i="15"/>
  <c r="AN1744" i="15"/>
  <c r="AO1744" i="15"/>
  <c r="R1745" i="15"/>
  <c r="S1745" i="15"/>
  <c r="T1745" i="15"/>
  <c r="U1745" i="15"/>
  <c r="V1745" i="15"/>
  <c r="W1745" i="15"/>
  <c r="X1745" i="15"/>
  <c r="Y1745" i="15"/>
  <c r="Z1745" i="15"/>
  <c r="AA1745" i="15"/>
  <c r="AB1745" i="15"/>
  <c r="AC1745" i="15"/>
  <c r="AD1745" i="15"/>
  <c r="AE1745" i="15"/>
  <c r="AF1745" i="15"/>
  <c r="AG1745" i="15"/>
  <c r="AH1745" i="15"/>
  <c r="AI1745" i="15"/>
  <c r="AJ1745" i="15"/>
  <c r="AK1745" i="15"/>
  <c r="AL1745" i="15"/>
  <c r="AM1745" i="15"/>
  <c r="AN1745" i="15"/>
  <c r="AO1745" i="15"/>
  <c r="R1746" i="15"/>
  <c r="S1746" i="15"/>
  <c r="T1746" i="15"/>
  <c r="U1746" i="15"/>
  <c r="V1746" i="15"/>
  <c r="W1746" i="15"/>
  <c r="X1746" i="15"/>
  <c r="Y1746" i="15"/>
  <c r="Z1746" i="15"/>
  <c r="AA1746" i="15"/>
  <c r="AB1746" i="15"/>
  <c r="AC1746" i="15"/>
  <c r="AD1746" i="15"/>
  <c r="AE1746" i="15"/>
  <c r="AF1746" i="15"/>
  <c r="AG1746" i="15"/>
  <c r="AH1746" i="15"/>
  <c r="AI1746" i="15"/>
  <c r="AJ1746" i="15"/>
  <c r="AK1746" i="15"/>
  <c r="AL1746" i="15"/>
  <c r="AM1746" i="15"/>
  <c r="AN1746" i="15"/>
  <c r="AO1746" i="15"/>
  <c r="R1747" i="15"/>
  <c r="S1747" i="15"/>
  <c r="T1747" i="15"/>
  <c r="U1747" i="15"/>
  <c r="V1747" i="15"/>
  <c r="W1747" i="15"/>
  <c r="X1747" i="15"/>
  <c r="Y1747" i="15"/>
  <c r="Z1747" i="15"/>
  <c r="AA1747" i="15"/>
  <c r="AB1747" i="15"/>
  <c r="AC1747" i="15"/>
  <c r="AD1747" i="15"/>
  <c r="AE1747" i="15"/>
  <c r="AF1747" i="15"/>
  <c r="AG1747" i="15"/>
  <c r="AH1747" i="15"/>
  <c r="AI1747" i="15"/>
  <c r="AJ1747" i="15"/>
  <c r="AK1747" i="15"/>
  <c r="AL1747" i="15"/>
  <c r="AM1747" i="15"/>
  <c r="AN1747" i="15"/>
  <c r="AO1747" i="15"/>
  <c r="R1748" i="15"/>
  <c r="S1748" i="15"/>
  <c r="T1748" i="15"/>
  <c r="U1748" i="15"/>
  <c r="V1748" i="15"/>
  <c r="W1748" i="15"/>
  <c r="X1748" i="15"/>
  <c r="Y1748" i="15"/>
  <c r="Z1748" i="15"/>
  <c r="AA1748" i="15"/>
  <c r="AB1748" i="15"/>
  <c r="AC1748" i="15"/>
  <c r="AD1748" i="15"/>
  <c r="AE1748" i="15"/>
  <c r="AF1748" i="15"/>
  <c r="AG1748" i="15"/>
  <c r="AH1748" i="15"/>
  <c r="AI1748" i="15"/>
  <c r="AJ1748" i="15"/>
  <c r="AK1748" i="15"/>
  <c r="AL1748" i="15"/>
  <c r="AM1748" i="15"/>
  <c r="AN1748" i="15"/>
  <c r="AO1748" i="15"/>
  <c r="R1749" i="15"/>
  <c r="S1749" i="15"/>
  <c r="T1749" i="15"/>
  <c r="U1749" i="15"/>
  <c r="V1749" i="15"/>
  <c r="W1749" i="15"/>
  <c r="X1749" i="15"/>
  <c r="Y1749" i="15"/>
  <c r="Z1749" i="15"/>
  <c r="AA1749" i="15"/>
  <c r="AB1749" i="15"/>
  <c r="AC1749" i="15"/>
  <c r="AD1749" i="15"/>
  <c r="AE1749" i="15"/>
  <c r="AF1749" i="15"/>
  <c r="AG1749" i="15"/>
  <c r="AH1749" i="15"/>
  <c r="AI1749" i="15"/>
  <c r="AJ1749" i="15"/>
  <c r="AK1749" i="15"/>
  <c r="AL1749" i="15"/>
  <c r="AM1749" i="15"/>
  <c r="AN1749" i="15"/>
  <c r="AO1749" i="15"/>
  <c r="R1750" i="15"/>
  <c r="S1750" i="15"/>
  <c r="T1750" i="15"/>
  <c r="U1750" i="15"/>
  <c r="V1750" i="15"/>
  <c r="W1750" i="15"/>
  <c r="X1750" i="15"/>
  <c r="Y1750" i="15"/>
  <c r="Z1750" i="15"/>
  <c r="AA1750" i="15"/>
  <c r="AB1750" i="15"/>
  <c r="AC1750" i="15"/>
  <c r="AD1750" i="15"/>
  <c r="AE1750" i="15"/>
  <c r="AF1750" i="15"/>
  <c r="AG1750" i="15"/>
  <c r="AH1750" i="15"/>
  <c r="AI1750" i="15"/>
  <c r="AJ1750" i="15"/>
  <c r="AK1750" i="15"/>
  <c r="AL1750" i="15"/>
  <c r="AM1750" i="15"/>
  <c r="AN1750" i="15"/>
  <c r="AO1750" i="15"/>
  <c r="R1751" i="15"/>
  <c r="S1751" i="15"/>
  <c r="T1751" i="15"/>
  <c r="U1751" i="15"/>
  <c r="V1751" i="15"/>
  <c r="W1751" i="15"/>
  <c r="X1751" i="15"/>
  <c r="Y1751" i="15"/>
  <c r="Z1751" i="15"/>
  <c r="AA1751" i="15"/>
  <c r="AB1751" i="15"/>
  <c r="AC1751" i="15"/>
  <c r="AD1751" i="15"/>
  <c r="AE1751" i="15"/>
  <c r="AF1751" i="15"/>
  <c r="AG1751" i="15"/>
  <c r="AH1751" i="15"/>
  <c r="AI1751" i="15"/>
  <c r="AJ1751" i="15"/>
  <c r="AK1751" i="15"/>
  <c r="AL1751" i="15"/>
  <c r="AM1751" i="15"/>
  <c r="AN1751" i="15"/>
  <c r="AO1751" i="15"/>
  <c r="R1752" i="15"/>
  <c r="S1752" i="15"/>
  <c r="T1752" i="15"/>
  <c r="U1752" i="15"/>
  <c r="V1752" i="15"/>
  <c r="W1752" i="15"/>
  <c r="X1752" i="15"/>
  <c r="Y1752" i="15"/>
  <c r="Z1752" i="15"/>
  <c r="AA1752" i="15"/>
  <c r="AB1752" i="15"/>
  <c r="AC1752" i="15"/>
  <c r="AD1752" i="15"/>
  <c r="AE1752" i="15"/>
  <c r="AF1752" i="15"/>
  <c r="AG1752" i="15"/>
  <c r="AH1752" i="15"/>
  <c r="AI1752" i="15"/>
  <c r="AJ1752" i="15"/>
  <c r="AK1752" i="15"/>
  <c r="AL1752" i="15"/>
  <c r="AM1752" i="15"/>
  <c r="AN1752" i="15"/>
  <c r="AO1752" i="15"/>
  <c r="R1753" i="15"/>
  <c r="S1753" i="15"/>
  <c r="T1753" i="15"/>
  <c r="U1753" i="15"/>
  <c r="V1753" i="15"/>
  <c r="W1753" i="15"/>
  <c r="X1753" i="15"/>
  <c r="Y1753" i="15"/>
  <c r="Z1753" i="15"/>
  <c r="AA1753" i="15"/>
  <c r="AB1753" i="15"/>
  <c r="AC1753" i="15"/>
  <c r="AD1753" i="15"/>
  <c r="AE1753" i="15"/>
  <c r="AF1753" i="15"/>
  <c r="AG1753" i="15"/>
  <c r="AH1753" i="15"/>
  <c r="AI1753" i="15"/>
  <c r="AJ1753" i="15"/>
  <c r="AK1753" i="15"/>
  <c r="AL1753" i="15"/>
  <c r="AM1753" i="15"/>
  <c r="AN1753" i="15"/>
  <c r="AO1753" i="15"/>
  <c r="R1754" i="15"/>
  <c r="S1754" i="15"/>
  <c r="T1754" i="15"/>
  <c r="U1754" i="15"/>
  <c r="V1754" i="15"/>
  <c r="W1754" i="15"/>
  <c r="X1754" i="15"/>
  <c r="Y1754" i="15"/>
  <c r="Z1754" i="15"/>
  <c r="AA1754" i="15"/>
  <c r="AB1754" i="15"/>
  <c r="AC1754" i="15"/>
  <c r="AD1754" i="15"/>
  <c r="AE1754" i="15"/>
  <c r="AF1754" i="15"/>
  <c r="AG1754" i="15"/>
  <c r="AH1754" i="15"/>
  <c r="AI1754" i="15"/>
  <c r="AJ1754" i="15"/>
  <c r="AK1754" i="15"/>
  <c r="AL1754" i="15"/>
  <c r="AM1754" i="15"/>
  <c r="AN1754" i="15"/>
  <c r="AO1754" i="15"/>
  <c r="R1755" i="15"/>
  <c r="S1755" i="15"/>
  <c r="T1755" i="15"/>
  <c r="U1755" i="15"/>
  <c r="V1755" i="15"/>
  <c r="W1755" i="15"/>
  <c r="X1755" i="15"/>
  <c r="Y1755" i="15"/>
  <c r="Z1755" i="15"/>
  <c r="AA1755" i="15"/>
  <c r="AB1755" i="15"/>
  <c r="AC1755" i="15"/>
  <c r="AD1755" i="15"/>
  <c r="AE1755" i="15"/>
  <c r="AF1755" i="15"/>
  <c r="AG1755" i="15"/>
  <c r="AH1755" i="15"/>
  <c r="AI1755" i="15"/>
  <c r="AJ1755" i="15"/>
  <c r="AK1755" i="15"/>
  <c r="AL1755" i="15"/>
  <c r="AM1755" i="15"/>
  <c r="AN1755" i="15"/>
  <c r="AO1755" i="15"/>
  <c r="R1756" i="15"/>
  <c r="S1756" i="15"/>
  <c r="T1756" i="15"/>
  <c r="U1756" i="15"/>
  <c r="V1756" i="15"/>
  <c r="W1756" i="15"/>
  <c r="X1756" i="15"/>
  <c r="Y1756" i="15"/>
  <c r="Z1756" i="15"/>
  <c r="AA1756" i="15"/>
  <c r="AB1756" i="15"/>
  <c r="AC1756" i="15"/>
  <c r="AD1756" i="15"/>
  <c r="AE1756" i="15"/>
  <c r="AF1756" i="15"/>
  <c r="AG1756" i="15"/>
  <c r="AH1756" i="15"/>
  <c r="AI1756" i="15"/>
  <c r="AJ1756" i="15"/>
  <c r="AK1756" i="15"/>
  <c r="AL1756" i="15"/>
  <c r="AM1756" i="15"/>
  <c r="AN1756" i="15"/>
  <c r="AO1756" i="15"/>
  <c r="R1757" i="15"/>
  <c r="S1757" i="15"/>
  <c r="T1757" i="15"/>
  <c r="U1757" i="15"/>
  <c r="V1757" i="15"/>
  <c r="W1757" i="15"/>
  <c r="X1757" i="15"/>
  <c r="Y1757" i="15"/>
  <c r="Z1757" i="15"/>
  <c r="AA1757" i="15"/>
  <c r="AB1757" i="15"/>
  <c r="AC1757" i="15"/>
  <c r="AD1757" i="15"/>
  <c r="AE1757" i="15"/>
  <c r="AF1757" i="15"/>
  <c r="AG1757" i="15"/>
  <c r="AH1757" i="15"/>
  <c r="AI1757" i="15"/>
  <c r="AJ1757" i="15"/>
  <c r="AK1757" i="15"/>
  <c r="AL1757" i="15"/>
  <c r="AM1757" i="15"/>
  <c r="AN1757" i="15"/>
  <c r="AO1757" i="15"/>
  <c r="R1758" i="15"/>
  <c r="S1758" i="15"/>
  <c r="T1758" i="15"/>
  <c r="U1758" i="15"/>
  <c r="V1758" i="15"/>
  <c r="W1758" i="15"/>
  <c r="X1758" i="15"/>
  <c r="Y1758" i="15"/>
  <c r="Z1758" i="15"/>
  <c r="AA1758" i="15"/>
  <c r="AB1758" i="15"/>
  <c r="AC1758" i="15"/>
  <c r="AD1758" i="15"/>
  <c r="AE1758" i="15"/>
  <c r="AF1758" i="15"/>
  <c r="AG1758" i="15"/>
  <c r="AH1758" i="15"/>
  <c r="AI1758" i="15"/>
  <c r="AJ1758" i="15"/>
  <c r="AK1758" i="15"/>
  <c r="AL1758" i="15"/>
  <c r="AM1758" i="15"/>
  <c r="AN1758" i="15"/>
  <c r="AO1758" i="15"/>
  <c r="R1759" i="15"/>
  <c r="S1759" i="15"/>
  <c r="T1759" i="15"/>
  <c r="U1759" i="15"/>
  <c r="V1759" i="15"/>
  <c r="W1759" i="15"/>
  <c r="X1759" i="15"/>
  <c r="Y1759" i="15"/>
  <c r="Z1759" i="15"/>
  <c r="AA1759" i="15"/>
  <c r="AB1759" i="15"/>
  <c r="AC1759" i="15"/>
  <c r="AD1759" i="15"/>
  <c r="AE1759" i="15"/>
  <c r="AF1759" i="15"/>
  <c r="AG1759" i="15"/>
  <c r="AH1759" i="15"/>
  <c r="AI1759" i="15"/>
  <c r="AJ1759" i="15"/>
  <c r="AK1759" i="15"/>
  <c r="AL1759" i="15"/>
  <c r="AM1759" i="15"/>
  <c r="AN1759" i="15"/>
  <c r="AO1759" i="15"/>
  <c r="R1760" i="15"/>
  <c r="S1760" i="15"/>
  <c r="T1760" i="15"/>
  <c r="U1760" i="15"/>
  <c r="V1760" i="15"/>
  <c r="W1760" i="15"/>
  <c r="X1760" i="15"/>
  <c r="Y1760" i="15"/>
  <c r="Z1760" i="15"/>
  <c r="AA1760" i="15"/>
  <c r="AB1760" i="15"/>
  <c r="AC1760" i="15"/>
  <c r="AD1760" i="15"/>
  <c r="AE1760" i="15"/>
  <c r="AF1760" i="15"/>
  <c r="AG1760" i="15"/>
  <c r="AH1760" i="15"/>
  <c r="AI1760" i="15"/>
  <c r="AJ1760" i="15"/>
  <c r="AK1760" i="15"/>
  <c r="AL1760" i="15"/>
  <c r="AM1760" i="15"/>
  <c r="AN1760" i="15"/>
  <c r="AO1760" i="15"/>
  <c r="R1761" i="15"/>
  <c r="S1761" i="15"/>
  <c r="T1761" i="15"/>
  <c r="U1761" i="15"/>
  <c r="V1761" i="15"/>
  <c r="W1761" i="15"/>
  <c r="X1761" i="15"/>
  <c r="Y1761" i="15"/>
  <c r="Z1761" i="15"/>
  <c r="AA1761" i="15"/>
  <c r="AB1761" i="15"/>
  <c r="AC1761" i="15"/>
  <c r="AD1761" i="15"/>
  <c r="AE1761" i="15"/>
  <c r="AF1761" i="15"/>
  <c r="AG1761" i="15"/>
  <c r="AH1761" i="15"/>
  <c r="AI1761" i="15"/>
  <c r="AJ1761" i="15"/>
  <c r="AK1761" i="15"/>
  <c r="AL1761" i="15"/>
  <c r="AM1761" i="15"/>
  <c r="AN1761" i="15"/>
  <c r="AO1761" i="15"/>
  <c r="R1762" i="15"/>
  <c r="S1762" i="15"/>
  <c r="T1762" i="15"/>
  <c r="U1762" i="15"/>
  <c r="V1762" i="15"/>
  <c r="W1762" i="15"/>
  <c r="X1762" i="15"/>
  <c r="Y1762" i="15"/>
  <c r="Z1762" i="15"/>
  <c r="AA1762" i="15"/>
  <c r="AB1762" i="15"/>
  <c r="AC1762" i="15"/>
  <c r="AD1762" i="15"/>
  <c r="AE1762" i="15"/>
  <c r="AF1762" i="15"/>
  <c r="AG1762" i="15"/>
  <c r="AH1762" i="15"/>
  <c r="AI1762" i="15"/>
  <c r="AJ1762" i="15"/>
  <c r="AK1762" i="15"/>
  <c r="AL1762" i="15"/>
  <c r="AM1762" i="15"/>
  <c r="AN1762" i="15"/>
  <c r="AO1762" i="15"/>
  <c r="R1763" i="15"/>
  <c r="S1763" i="15"/>
  <c r="T1763" i="15"/>
  <c r="U1763" i="15"/>
  <c r="V1763" i="15"/>
  <c r="W1763" i="15"/>
  <c r="X1763" i="15"/>
  <c r="Y1763" i="15"/>
  <c r="Z1763" i="15"/>
  <c r="AA1763" i="15"/>
  <c r="AB1763" i="15"/>
  <c r="AC1763" i="15"/>
  <c r="AD1763" i="15"/>
  <c r="AE1763" i="15"/>
  <c r="AF1763" i="15"/>
  <c r="AG1763" i="15"/>
  <c r="AH1763" i="15"/>
  <c r="AI1763" i="15"/>
  <c r="AJ1763" i="15"/>
  <c r="AK1763" i="15"/>
  <c r="AL1763" i="15"/>
  <c r="AM1763" i="15"/>
  <c r="AN1763" i="15"/>
  <c r="AO1763" i="15"/>
  <c r="R1764" i="15"/>
  <c r="S1764" i="15"/>
  <c r="T1764" i="15"/>
  <c r="U1764" i="15"/>
  <c r="V1764" i="15"/>
  <c r="W1764" i="15"/>
  <c r="X1764" i="15"/>
  <c r="Y1764" i="15"/>
  <c r="Z1764" i="15"/>
  <c r="AA1764" i="15"/>
  <c r="AB1764" i="15"/>
  <c r="AC1764" i="15"/>
  <c r="AD1764" i="15"/>
  <c r="AE1764" i="15"/>
  <c r="AF1764" i="15"/>
  <c r="AG1764" i="15"/>
  <c r="AH1764" i="15"/>
  <c r="AI1764" i="15"/>
  <c r="AJ1764" i="15"/>
  <c r="AK1764" i="15"/>
  <c r="AL1764" i="15"/>
  <c r="AM1764" i="15"/>
  <c r="AN1764" i="15"/>
  <c r="AO1764" i="15"/>
  <c r="R1765" i="15"/>
  <c r="S1765" i="15"/>
  <c r="T1765" i="15"/>
  <c r="U1765" i="15"/>
  <c r="V1765" i="15"/>
  <c r="W1765" i="15"/>
  <c r="X1765" i="15"/>
  <c r="Y1765" i="15"/>
  <c r="Z1765" i="15"/>
  <c r="AA1765" i="15"/>
  <c r="AB1765" i="15"/>
  <c r="AC1765" i="15"/>
  <c r="AD1765" i="15"/>
  <c r="AE1765" i="15"/>
  <c r="AF1765" i="15"/>
  <c r="AG1765" i="15"/>
  <c r="AH1765" i="15"/>
  <c r="AI1765" i="15"/>
  <c r="AJ1765" i="15"/>
  <c r="AK1765" i="15"/>
  <c r="AL1765" i="15"/>
  <c r="AM1765" i="15"/>
  <c r="AN1765" i="15"/>
  <c r="AO1765" i="15"/>
  <c r="R1766" i="15"/>
  <c r="S1766" i="15"/>
  <c r="T1766" i="15"/>
  <c r="U1766" i="15"/>
  <c r="V1766" i="15"/>
  <c r="W1766" i="15"/>
  <c r="X1766" i="15"/>
  <c r="Y1766" i="15"/>
  <c r="Z1766" i="15"/>
  <c r="AA1766" i="15"/>
  <c r="AB1766" i="15"/>
  <c r="AC1766" i="15"/>
  <c r="AD1766" i="15"/>
  <c r="AE1766" i="15"/>
  <c r="AF1766" i="15"/>
  <c r="AG1766" i="15"/>
  <c r="AH1766" i="15"/>
  <c r="AI1766" i="15"/>
  <c r="AJ1766" i="15"/>
  <c r="AK1766" i="15"/>
  <c r="AL1766" i="15"/>
  <c r="AM1766" i="15"/>
  <c r="AN1766" i="15"/>
  <c r="AO1766" i="15"/>
  <c r="R1767" i="15"/>
  <c r="S1767" i="15"/>
  <c r="T1767" i="15"/>
  <c r="U1767" i="15"/>
  <c r="V1767" i="15"/>
  <c r="W1767" i="15"/>
  <c r="X1767" i="15"/>
  <c r="Y1767" i="15"/>
  <c r="Z1767" i="15"/>
  <c r="AA1767" i="15"/>
  <c r="AB1767" i="15"/>
  <c r="AC1767" i="15"/>
  <c r="AD1767" i="15"/>
  <c r="AE1767" i="15"/>
  <c r="AF1767" i="15"/>
  <c r="AG1767" i="15"/>
  <c r="AH1767" i="15"/>
  <c r="AI1767" i="15"/>
  <c r="AJ1767" i="15"/>
  <c r="AK1767" i="15"/>
  <c r="AL1767" i="15"/>
  <c r="AM1767" i="15"/>
  <c r="AN1767" i="15"/>
  <c r="AO1767" i="15"/>
  <c r="R1768" i="15"/>
  <c r="S1768" i="15"/>
  <c r="T1768" i="15"/>
  <c r="U1768" i="15"/>
  <c r="V1768" i="15"/>
  <c r="W1768" i="15"/>
  <c r="X1768" i="15"/>
  <c r="Y1768" i="15"/>
  <c r="Z1768" i="15"/>
  <c r="AA1768" i="15"/>
  <c r="AB1768" i="15"/>
  <c r="AC1768" i="15"/>
  <c r="AD1768" i="15"/>
  <c r="AE1768" i="15"/>
  <c r="AF1768" i="15"/>
  <c r="AG1768" i="15"/>
  <c r="AH1768" i="15"/>
  <c r="AI1768" i="15"/>
  <c r="AJ1768" i="15"/>
  <c r="AK1768" i="15"/>
  <c r="AL1768" i="15"/>
  <c r="AM1768" i="15"/>
  <c r="AN1768" i="15"/>
  <c r="AO1768" i="15"/>
  <c r="R1769" i="15"/>
  <c r="S1769" i="15"/>
  <c r="T1769" i="15"/>
  <c r="U1769" i="15"/>
  <c r="V1769" i="15"/>
  <c r="W1769" i="15"/>
  <c r="X1769" i="15"/>
  <c r="Y1769" i="15"/>
  <c r="Z1769" i="15"/>
  <c r="AA1769" i="15"/>
  <c r="AB1769" i="15"/>
  <c r="AC1769" i="15"/>
  <c r="AD1769" i="15"/>
  <c r="AE1769" i="15"/>
  <c r="AF1769" i="15"/>
  <c r="AG1769" i="15"/>
  <c r="AH1769" i="15"/>
  <c r="AI1769" i="15"/>
  <c r="AJ1769" i="15"/>
  <c r="AK1769" i="15"/>
  <c r="AL1769" i="15"/>
  <c r="AM1769" i="15"/>
  <c r="AN1769" i="15"/>
  <c r="AO1769" i="15"/>
  <c r="R1770" i="15"/>
  <c r="S1770" i="15"/>
  <c r="T1770" i="15"/>
  <c r="U1770" i="15"/>
  <c r="V1770" i="15"/>
  <c r="W1770" i="15"/>
  <c r="X1770" i="15"/>
  <c r="Y1770" i="15"/>
  <c r="Z1770" i="15"/>
  <c r="AA1770" i="15"/>
  <c r="AB1770" i="15"/>
  <c r="AC1770" i="15"/>
  <c r="AD1770" i="15"/>
  <c r="AE1770" i="15"/>
  <c r="AF1770" i="15"/>
  <c r="AG1770" i="15"/>
  <c r="AH1770" i="15"/>
  <c r="AI1770" i="15"/>
  <c r="AJ1770" i="15"/>
  <c r="AK1770" i="15"/>
  <c r="AL1770" i="15"/>
  <c r="AM1770" i="15"/>
  <c r="AN1770" i="15"/>
  <c r="AO1770" i="15"/>
  <c r="R1771" i="15"/>
  <c r="S1771" i="15"/>
  <c r="T1771" i="15"/>
  <c r="U1771" i="15"/>
  <c r="V1771" i="15"/>
  <c r="W1771" i="15"/>
  <c r="X1771" i="15"/>
  <c r="Y1771" i="15"/>
  <c r="Z1771" i="15"/>
  <c r="AA1771" i="15"/>
  <c r="AB1771" i="15"/>
  <c r="AC1771" i="15"/>
  <c r="AD1771" i="15"/>
  <c r="AE1771" i="15"/>
  <c r="AF1771" i="15"/>
  <c r="AG1771" i="15"/>
  <c r="AH1771" i="15"/>
  <c r="AI1771" i="15"/>
  <c r="AJ1771" i="15"/>
  <c r="AK1771" i="15"/>
  <c r="AL1771" i="15"/>
  <c r="AM1771" i="15"/>
  <c r="AN1771" i="15"/>
  <c r="AO1771" i="15"/>
  <c r="R1772" i="15"/>
  <c r="S1772" i="15"/>
  <c r="T1772" i="15"/>
  <c r="U1772" i="15"/>
  <c r="V1772" i="15"/>
  <c r="W1772" i="15"/>
  <c r="X1772" i="15"/>
  <c r="Y1772" i="15"/>
  <c r="Z1772" i="15"/>
  <c r="AA1772" i="15"/>
  <c r="AB1772" i="15"/>
  <c r="AC1772" i="15"/>
  <c r="AD1772" i="15"/>
  <c r="AE1772" i="15"/>
  <c r="AF1772" i="15"/>
  <c r="AG1772" i="15"/>
  <c r="AH1772" i="15"/>
  <c r="AI1772" i="15"/>
  <c r="AJ1772" i="15"/>
  <c r="AK1772" i="15"/>
  <c r="AL1772" i="15"/>
  <c r="AM1772" i="15"/>
  <c r="AN1772" i="15"/>
  <c r="AO1772" i="15"/>
  <c r="R1773" i="15"/>
  <c r="S1773" i="15"/>
  <c r="T1773" i="15"/>
  <c r="U1773" i="15"/>
  <c r="V1773" i="15"/>
  <c r="W1773" i="15"/>
  <c r="X1773" i="15"/>
  <c r="Y1773" i="15"/>
  <c r="Z1773" i="15"/>
  <c r="AA1773" i="15"/>
  <c r="AB1773" i="15"/>
  <c r="AC1773" i="15"/>
  <c r="AD1773" i="15"/>
  <c r="AE1773" i="15"/>
  <c r="AF1773" i="15"/>
  <c r="AG1773" i="15"/>
  <c r="AH1773" i="15"/>
  <c r="AI1773" i="15"/>
  <c r="AJ1773" i="15"/>
  <c r="AK1773" i="15"/>
  <c r="AL1773" i="15"/>
  <c r="AM1773" i="15"/>
  <c r="AN1773" i="15"/>
  <c r="AO1773" i="15"/>
  <c r="R1774" i="15"/>
  <c r="S1774" i="15"/>
  <c r="T1774" i="15"/>
  <c r="U1774" i="15"/>
  <c r="V1774" i="15"/>
  <c r="W1774" i="15"/>
  <c r="X1774" i="15"/>
  <c r="Y1774" i="15"/>
  <c r="Z1774" i="15"/>
  <c r="AA1774" i="15"/>
  <c r="AB1774" i="15"/>
  <c r="AC1774" i="15"/>
  <c r="AD1774" i="15"/>
  <c r="AE1774" i="15"/>
  <c r="AF1774" i="15"/>
  <c r="AG1774" i="15"/>
  <c r="AH1774" i="15"/>
  <c r="AI1774" i="15"/>
  <c r="AJ1774" i="15"/>
  <c r="AK1774" i="15"/>
  <c r="AL1774" i="15"/>
  <c r="AM1774" i="15"/>
  <c r="AN1774" i="15"/>
  <c r="AO1774" i="15"/>
  <c r="R1775" i="15"/>
  <c r="S1775" i="15"/>
  <c r="T1775" i="15"/>
  <c r="U1775" i="15"/>
  <c r="V1775" i="15"/>
  <c r="W1775" i="15"/>
  <c r="X1775" i="15"/>
  <c r="Y1775" i="15"/>
  <c r="Z1775" i="15"/>
  <c r="AA1775" i="15"/>
  <c r="AB1775" i="15"/>
  <c r="AC1775" i="15"/>
  <c r="AD1775" i="15"/>
  <c r="AE1775" i="15"/>
  <c r="AF1775" i="15"/>
  <c r="AG1775" i="15"/>
  <c r="AH1775" i="15"/>
  <c r="AI1775" i="15"/>
  <c r="AJ1775" i="15"/>
  <c r="AK1775" i="15"/>
  <c r="AL1775" i="15"/>
  <c r="AM1775" i="15"/>
  <c r="AN1775" i="15"/>
  <c r="AO1775" i="15"/>
  <c r="R1776" i="15"/>
  <c r="S1776" i="15"/>
  <c r="T1776" i="15"/>
  <c r="U1776" i="15"/>
  <c r="V1776" i="15"/>
  <c r="W1776" i="15"/>
  <c r="X1776" i="15"/>
  <c r="Y1776" i="15"/>
  <c r="Z1776" i="15"/>
  <c r="AA1776" i="15"/>
  <c r="AB1776" i="15"/>
  <c r="AC1776" i="15"/>
  <c r="AD1776" i="15"/>
  <c r="AE1776" i="15"/>
  <c r="AF1776" i="15"/>
  <c r="AG1776" i="15"/>
  <c r="AH1776" i="15"/>
  <c r="AI1776" i="15"/>
  <c r="AJ1776" i="15"/>
  <c r="AK1776" i="15"/>
  <c r="AL1776" i="15"/>
  <c r="AM1776" i="15"/>
  <c r="AN1776" i="15"/>
  <c r="AO1776" i="15"/>
  <c r="R1777" i="15"/>
  <c r="S1777" i="15"/>
  <c r="T1777" i="15"/>
  <c r="U1777" i="15"/>
  <c r="V1777" i="15"/>
  <c r="W1777" i="15"/>
  <c r="X1777" i="15"/>
  <c r="Y1777" i="15"/>
  <c r="Z1777" i="15"/>
  <c r="AA1777" i="15"/>
  <c r="AB1777" i="15"/>
  <c r="AC1777" i="15"/>
  <c r="AD1777" i="15"/>
  <c r="AE1777" i="15"/>
  <c r="AF1777" i="15"/>
  <c r="AG1777" i="15"/>
  <c r="AH1777" i="15"/>
  <c r="AI1777" i="15"/>
  <c r="AJ1777" i="15"/>
  <c r="AK1777" i="15"/>
  <c r="AL1777" i="15"/>
  <c r="AM1777" i="15"/>
  <c r="AN1777" i="15"/>
  <c r="AO1777" i="15"/>
  <c r="R1778" i="15"/>
  <c r="S1778" i="15"/>
  <c r="T1778" i="15"/>
  <c r="U1778" i="15"/>
  <c r="V1778" i="15"/>
  <c r="W1778" i="15"/>
  <c r="X1778" i="15"/>
  <c r="Y1778" i="15"/>
  <c r="Z1778" i="15"/>
  <c r="AA1778" i="15"/>
  <c r="AB1778" i="15"/>
  <c r="AC1778" i="15"/>
  <c r="AD1778" i="15"/>
  <c r="AE1778" i="15"/>
  <c r="AF1778" i="15"/>
  <c r="AG1778" i="15"/>
  <c r="AH1778" i="15"/>
  <c r="AI1778" i="15"/>
  <c r="AJ1778" i="15"/>
  <c r="AK1778" i="15"/>
  <c r="AL1778" i="15"/>
  <c r="AM1778" i="15"/>
  <c r="AN1778" i="15"/>
  <c r="AO1778" i="15"/>
  <c r="R1779" i="15"/>
  <c r="S1779" i="15"/>
  <c r="T1779" i="15"/>
  <c r="U1779" i="15"/>
  <c r="V1779" i="15"/>
  <c r="W1779" i="15"/>
  <c r="X1779" i="15"/>
  <c r="Y1779" i="15"/>
  <c r="Z1779" i="15"/>
  <c r="AA1779" i="15"/>
  <c r="AB1779" i="15"/>
  <c r="AC1779" i="15"/>
  <c r="AD1779" i="15"/>
  <c r="AE1779" i="15"/>
  <c r="AF1779" i="15"/>
  <c r="AG1779" i="15"/>
  <c r="AH1779" i="15"/>
  <c r="AI1779" i="15"/>
  <c r="AJ1779" i="15"/>
  <c r="AK1779" i="15"/>
  <c r="AL1779" i="15"/>
  <c r="AM1779" i="15"/>
  <c r="AN1779" i="15"/>
  <c r="AO1779" i="15"/>
  <c r="R1780" i="15"/>
  <c r="S1780" i="15"/>
  <c r="T1780" i="15"/>
  <c r="U1780" i="15"/>
  <c r="V1780" i="15"/>
  <c r="W1780" i="15"/>
  <c r="X1780" i="15"/>
  <c r="Y1780" i="15"/>
  <c r="Z1780" i="15"/>
  <c r="AA1780" i="15"/>
  <c r="AB1780" i="15"/>
  <c r="AC1780" i="15"/>
  <c r="AD1780" i="15"/>
  <c r="AE1780" i="15"/>
  <c r="AF1780" i="15"/>
  <c r="AG1780" i="15"/>
  <c r="AH1780" i="15"/>
  <c r="AI1780" i="15"/>
  <c r="AJ1780" i="15"/>
  <c r="AK1780" i="15"/>
  <c r="AL1780" i="15"/>
  <c r="AM1780" i="15"/>
  <c r="AN1780" i="15"/>
  <c r="AO1780" i="15"/>
  <c r="R1781" i="15"/>
  <c r="S1781" i="15"/>
  <c r="T1781" i="15"/>
  <c r="U1781" i="15"/>
  <c r="V1781" i="15"/>
  <c r="W1781" i="15"/>
  <c r="X1781" i="15"/>
  <c r="Y1781" i="15"/>
  <c r="Z1781" i="15"/>
  <c r="AA1781" i="15"/>
  <c r="AB1781" i="15"/>
  <c r="AC1781" i="15"/>
  <c r="AD1781" i="15"/>
  <c r="AE1781" i="15"/>
  <c r="AF1781" i="15"/>
  <c r="AG1781" i="15"/>
  <c r="AH1781" i="15"/>
  <c r="AI1781" i="15"/>
  <c r="AJ1781" i="15"/>
  <c r="AK1781" i="15"/>
  <c r="AL1781" i="15"/>
  <c r="AM1781" i="15"/>
  <c r="AN1781" i="15"/>
  <c r="AO1781" i="15"/>
  <c r="R1782" i="15"/>
  <c r="S1782" i="15"/>
  <c r="T1782" i="15"/>
  <c r="U1782" i="15"/>
  <c r="V1782" i="15"/>
  <c r="W1782" i="15"/>
  <c r="X1782" i="15"/>
  <c r="Y1782" i="15"/>
  <c r="Z1782" i="15"/>
  <c r="AA1782" i="15"/>
  <c r="AB1782" i="15"/>
  <c r="AC1782" i="15"/>
  <c r="AD1782" i="15"/>
  <c r="AE1782" i="15"/>
  <c r="AF1782" i="15"/>
  <c r="AG1782" i="15"/>
  <c r="AH1782" i="15"/>
  <c r="AI1782" i="15"/>
  <c r="AJ1782" i="15"/>
  <c r="AK1782" i="15"/>
  <c r="AL1782" i="15"/>
  <c r="AM1782" i="15"/>
  <c r="AN1782" i="15"/>
  <c r="AO1782" i="15"/>
  <c r="R1783" i="15"/>
  <c r="S1783" i="15"/>
  <c r="T1783" i="15"/>
  <c r="U1783" i="15"/>
  <c r="V1783" i="15"/>
  <c r="W1783" i="15"/>
  <c r="X1783" i="15"/>
  <c r="Y1783" i="15"/>
  <c r="Z1783" i="15"/>
  <c r="AA1783" i="15"/>
  <c r="AB1783" i="15"/>
  <c r="AC1783" i="15"/>
  <c r="AD1783" i="15"/>
  <c r="AE1783" i="15"/>
  <c r="AF1783" i="15"/>
  <c r="AG1783" i="15"/>
  <c r="AH1783" i="15"/>
  <c r="AI1783" i="15"/>
  <c r="AJ1783" i="15"/>
  <c r="AK1783" i="15"/>
  <c r="AL1783" i="15"/>
  <c r="AM1783" i="15"/>
  <c r="AN1783" i="15"/>
  <c r="AO1783" i="15"/>
  <c r="R1784" i="15"/>
  <c r="S1784" i="15"/>
  <c r="T1784" i="15"/>
  <c r="U1784" i="15"/>
  <c r="V1784" i="15"/>
  <c r="W1784" i="15"/>
  <c r="X1784" i="15"/>
  <c r="Y1784" i="15"/>
  <c r="Z1784" i="15"/>
  <c r="AA1784" i="15"/>
  <c r="AB1784" i="15"/>
  <c r="AC1784" i="15"/>
  <c r="AD1784" i="15"/>
  <c r="AE1784" i="15"/>
  <c r="AF1784" i="15"/>
  <c r="AG1784" i="15"/>
  <c r="AH1784" i="15"/>
  <c r="AI1784" i="15"/>
  <c r="AJ1784" i="15"/>
  <c r="AK1784" i="15"/>
  <c r="AL1784" i="15"/>
  <c r="AM1784" i="15"/>
  <c r="AN1784" i="15"/>
  <c r="AO1784" i="15"/>
  <c r="R1785" i="15"/>
  <c r="S1785" i="15"/>
  <c r="T1785" i="15"/>
  <c r="U1785" i="15"/>
  <c r="V1785" i="15"/>
  <c r="W1785" i="15"/>
  <c r="X1785" i="15"/>
  <c r="Y1785" i="15"/>
  <c r="Z1785" i="15"/>
  <c r="AA1785" i="15"/>
  <c r="AB1785" i="15"/>
  <c r="AC1785" i="15"/>
  <c r="AD1785" i="15"/>
  <c r="AE1785" i="15"/>
  <c r="AF1785" i="15"/>
  <c r="AG1785" i="15"/>
  <c r="AH1785" i="15"/>
  <c r="AI1785" i="15"/>
  <c r="AJ1785" i="15"/>
  <c r="AK1785" i="15"/>
  <c r="AL1785" i="15"/>
  <c r="AM1785" i="15"/>
  <c r="AN1785" i="15"/>
  <c r="AO1785" i="15"/>
  <c r="R1786" i="15"/>
  <c r="S1786" i="15"/>
  <c r="T1786" i="15"/>
  <c r="U1786" i="15"/>
  <c r="V1786" i="15"/>
  <c r="W1786" i="15"/>
  <c r="X1786" i="15"/>
  <c r="Y1786" i="15"/>
  <c r="Z1786" i="15"/>
  <c r="AA1786" i="15"/>
  <c r="AB1786" i="15"/>
  <c r="AC1786" i="15"/>
  <c r="AD1786" i="15"/>
  <c r="AE1786" i="15"/>
  <c r="AF1786" i="15"/>
  <c r="AG1786" i="15"/>
  <c r="AH1786" i="15"/>
  <c r="AI1786" i="15"/>
  <c r="AJ1786" i="15"/>
  <c r="AK1786" i="15"/>
  <c r="AL1786" i="15"/>
  <c r="AM1786" i="15"/>
  <c r="AN1786" i="15"/>
  <c r="AO1786" i="15"/>
  <c r="R1787" i="15"/>
  <c r="S1787" i="15"/>
  <c r="T1787" i="15"/>
  <c r="U1787" i="15"/>
  <c r="V1787" i="15"/>
  <c r="W1787" i="15"/>
  <c r="X1787" i="15"/>
  <c r="Y1787" i="15"/>
  <c r="Z1787" i="15"/>
  <c r="AA1787" i="15"/>
  <c r="AB1787" i="15"/>
  <c r="AC1787" i="15"/>
  <c r="AD1787" i="15"/>
  <c r="AE1787" i="15"/>
  <c r="AF1787" i="15"/>
  <c r="AG1787" i="15"/>
  <c r="AH1787" i="15"/>
  <c r="AI1787" i="15"/>
  <c r="AJ1787" i="15"/>
  <c r="AK1787" i="15"/>
  <c r="AL1787" i="15"/>
  <c r="AM1787" i="15"/>
  <c r="AN1787" i="15"/>
  <c r="AO1787" i="15"/>
  <c r="R1788" i="15"/>
  <c r="S1788" i="15"/>
  <c r="T1788" i="15"/>
  <c r="U1788" i="15"/>
  <c r="V1788" i="15"/>
  <c r="W1788" i="15"/>
  <c r="X1788" i="15"/>
  <c r="Y1788" i="15"/>
  <c r="Z1788" i="15"/>
  <c r="AA1788" i="15"/>
  <c r="AB1788" i="15"/>
  <c r="AC1788" i="15"/>
  <c r="AD1788" i="15"/>
  <c r="AE1788" i="15"/>
  <c r="AF1788" i="15"/>
  <c r="AG1788" i="15"/>
  <c r="AH1788" i="15"/>
  <c r="AI1788" i="15"/>
  <c r="AJ1788" i="15"/>
  <c r="AK1788" i="15"/>
  <c r="AL1788" i="15"/>
  <c r="AM1788" i="15"/>
  <c r="AN1788" i="15"/>
  <c r="AO1788" i="15"/>
  <c r="R1789" i="15"/>
  <c r="S1789" i="15"/>
  <c r="T1789" i="15"/>
  <c r="U1789" i="15"/>
  <c r="V1789" i="15"/>
  <c r="W1789" i="15"/>
  <c r="X1789" i="15"/>
  <c r="Y1789" i="15"/>
  <c r="Z1789" i="15"/>
  <c r="AA1789" i="15"/>
  <c r="AB1789" i="15"/>
  <c r="AC1789" i="15"/>
  <c r="AD1789" i="15"/>
  <c r="AE1789" i="15"/>
  <c r="AF1789" i="15"/>
  <c r="AG1789" i="15"/>
  <c r="AH1789" i="15"/>
  <c r="AI1789" i="15"/>
  <c r="AJ1789" i="15"/>
  <c r="AK1789" i="15"/>
  <c r="AL1789" i="15"/>
  <c r="AM1789" i="15"/>
  <c r="AN1789" i="15"/>
  <c r="AO1789" i="15"/>
  <c r="R1790" i="15"/>
  <c r="S1790" i="15"/>
  <c r="T1790" i="15"/>
  <c r="U1790" i="15"/>
  <c r="V1790" i="15"/>
  <c r="W1790" i="15"/>
  <c r="X1790" i="15"/>
  <c r="Y1790" i="15"/>
  <c r="Z1790" i="15"/>
  <c r="AA1790" i="15"/>
  <c r="AB1790" i="15"/>
  <c r="AC1790" i="15"/>
  <c r="AD1790" i="15"/>
  <c r="AE1790" i="15"/>
  <c r="AF1790" i="15"/>
  <c r="AG1790" i="15"/>
  <c r="AH1790" i="15"/>
  <c r="AI1790" i="15"/>
  <c r="AJ1790" i="15"/>
  <c r="AK1790" i="15"/>
  <c r="AL1790" i="15"/>
  <c r="AM1790" i="15"/>
  <c r="AN1790" i="15"/>
  <c r="AO1790" i="15"/>
  <c r="R1791" i="15"/>
  <c r="S1791" i="15"/>
  <c r="T1791" i="15"/>
  <c r="U1791" i="15"/>
  <c r="V1791" i="15"/>
  <c r="W1791" i="15"/>
  <c r="X1791" i="15"/>
  <c r="Y1791" i="15"/>
  <c r="Z1791" i="15"/>
  <c r="AA1791" i="15"/>
  <c r="AB1791" i="15"/>
  <c r="AC1791" i="15"/>
  <c r="AD1791" i="15"/>
  <c r="AE1791" i="15"/>
  <c r="AF1791" i="15"/>
  <c r="AG1791" i="15"/>
  <c r="AH1791" i="15"/>
  <c r="AI1791" i="15"/>
  <c r="AJ1791" i="15"/>
  <c r="AK1791" i="15"/>
  <c r="AL1791" i="15"/>
  <c r="AM1791" i="15"/>
  <c r="AN1791" i="15"/>
  <c r="AO1791" i="15"/>
  <c r="R1792" i="15"/>
  <c r="S1792" i="15"/>
  <c r="T1792" i="15"/>
  <c r="U1792" i="15"/>
  <c r="V1792" i="15"/>
  <c r="W1792" i="15"/>
  <c r="X1792" i="15"/>
  <c r="Y1792" i="15"/>
  <c r="Z1792" i="15"/>
  <c r="AA1792" i="15"/>
  <c r="AB1792" i="15"/>
  <c r="AC1792" i="15"/>
  <c r="AD1792" i="15"/>
  <c r="AE1792" i="15"/>
  <c r="AF1792" i="15"/>
  <c r="AG1792" i="15"/>
  <c r="AH1792" i="15"/>
  <c r="AI1792" i="15"/>
  <c r="AJ1792" i="15"/>
  <c r="AK1792" i="15"/>
  <c r="AL1792" i="15"/>
  <c r="AM1792" i="15"/>
  <c r="AN1792" i="15"/>
  <c r="AO1792" i="15"/>
  <c r="R1793" i="15"/>
  <c r="S1793" i="15"/>
  <c r="T1793" i="15"/>
  <c r="U1793" i="15"/>
  <c r="V1793" i="15"/>
  <c r="W1793" i="15"/>
  <c r="X1793" i="15"/>
  <c r="Y1793" i="15"/>
  <c r="Z1793" i="15"/>
  <c r="AA1793" i="15"/>
  <c r="AB1793" i="15"/>
  <c r="AC1793" i="15"/>
  <c r="AD1793" i="15"/>
  <c r="AE1793" i="15"/>
  <c r="AF1793" i="15"/>
  <c r="AG1793" i="15"/>
  <c r="AH1793" i="15"/>
  <c r="AI1793" i="15"/>
  <c r="AJ1793" i="15"/>
  <c r="AK1793" i="15"/>
  <c r="AL1793" i="15"/>
  <c r="AM1793" i="15"/>
  <c r="AN1793" i="15"/>
  <c r="AO1793" i="15"/>
  <c r="R1794" i="15"/>
  <c r="S1794" i="15"/>
  <c r="T1794" i="15"/>
  <c r="U1794" i="15"/>
  <c r="V1794" i="15"/>
  <c r="W1794" i="15"/>
  <c r="X1794" i="15"/>
  <c r="Y1794" i="15"/>
  <c r="Z1794" i="15"/>
  <c r="AA1794" i="15"/>
  <c r="AB1794" i="15"/>
  <c r="AC1794" i="15"/>
  <c r="AD1794" i="15"/>
  <c r="AE1794" i="15"/>
  <c r="AF1794" i="15"/>
  <c r="AG1794" i="15"/>
  <c r="AH1794" i="15"/>
  <c r="AI1794" i="15"/>
  <c r="AJ1794" i="15"/>
  <c r="AK1794" i="15"/>
  <c r="AL1794" i="15"/>
  <c r="AM1794" i="15"/>
  <c r="AN1794" i="15"/>
  <c r="AO1794" i="15"/>
  <c r="R1795" i="15"/>
  <c r="S1795" i="15"/>
  <c r="T1795" i="15"/>
  <c r="U1795" i="15"/>
  <c r="V1795" i="15"/>
  <c r="W1795" i="15"/>
  <c r="X1795" i="15"/>
  <c r="Y1795" i="15"/>
  <c r="Z1795" i="15"/>
  <c r="AA1795" i="15"/>
  <c r="AB1795" i="15"/>
  <c r="AC1795" i="15"/>
  <c r="AD1795" i="15"/>
  <c r="AE1795" i="15"/>
  <c r="AF1795" i="15"/>
  <c r="AG1795" i="15"/>
  <c r="AH1795" i="15"/>
  <c r="AI1795" i="15"/>
  <c r="AJ1795" i="15"/>
  <c r="AK1795" i="15"/>
  <c r="AL1795" i="15"/>
  <c r="AM1795" i="15"/>
  <c r="AN1795" i="15"/>
  <c r="AO1795" i="15"/>
  <c r="R1796" i="15"/>
  <c r="S1796" i="15"/>
  <c r="T1796" i="15"/>
  <c r="U1796" i="15"/>
  <c r="V1796" i="15"/>
  <c r="W1796" i="15"/>
  <c r="X1796" i="15"/>
  <c r="Y1796" i="15"/>
  <c r="Z1796" i="15"/>
  <c r="AA1796" i="15"/>
  <c r="AB1796" i="15"/>
  <c r="AC1796" i="15"/>
  <c r="AD1796" i="15"/>
  <c r="AE1796" i="15"/>
  <c r="AF1796" i="15"/>
  <c r="AG1796" i="15"/>
  <c r="AH1796" i="15"/>
  <c r="AI1796" i="15"/>
  <c r="AJ1796" i="15"/>
  <c r="AK1796" i="15"/>
  <c r="AL1796" i="15"/>
  <c r="AM1796" i="15"/>
  <c r="AN1796" i="15"/>
  <c r="AO1796" i="15"/>
  <c r="R1797" i="15"/>
  <c r="S1797" i="15"/>
  <c r="T1797" i="15"/>
  <c r="U1797" i="15"/>
  <c r="V1797" i="15"/>
  <c r="W1797" i="15"/>
  <c r="X1797" i="15"/>
  <c r="Y1797" i="15"/>
  <c r="Z1797" i="15"/>
  <c r="AA1797" i="15"/>
  <c r="AB1797" i="15"/>
  <c r="AC1797" i="15"/>
  <c r="AD1797" i="15"/>
  <c r="AE1797" i="15"/>
  <c r="AF1797" i="15"/>
  <c r="AG1797" i="15"/>
  <c r="AH1797" i="15"/>
  <c r="AI1797" i="15"/>
  <c r="AJ1797" i="15"/>
  <c r="AK1797" i="15"/>
  <c r="AL1797" i="15"/>
  <c r="AM1797" i="15"/>
  <c r="AN1797" i="15"/>
  <c r="AO1797" i="15"/>
  <c r="R1798" i="15"/>
  <c r="S1798" i="15"/>
  <c r="T1798" i="15"/>
  <c r="U1798" i="15"/>
  <c r="V1798" i="15"/>
  <c r="W1798" i="15"/>
  <c r="X1798" i="15"/>
  <c r="Y1798" i="15"/>
  <c r="Z1798" i="15"/>
  <c r="AA1798" i="15"/>
  <c r="AB1798" i="15"/>
  <c r="AC1798" i="15"/>
  <c r="AD1798" i="15"/>
  <c r="AE1798" i="15"/>
  <c r="AF1798" i="15"/>
  <c r="AG1798" i="15"/>
  <c r="AH1798" i="15"/>
  <c r="AI1798" i="15"/>
  <c r="AJ1798" i="15"/>
  <c r="AK1798" i="15"/>
  <c r="AL1798" i="15"/>
  <c r="AM1798" i="15"/>
  <c r="AN1798" i="15"/>
  <c r="AO1798" i="15"/>
  <c r="R1799" i="15"/>
  <c r="S1799" i="15"/>
  <c r="T1799" i="15"/>
  <c r="U1799" i="15"/>
  <c r="V1799" i="15"/>
  <c r="W1799" i="15"/>
  <c r="X1799" i="15"/>
  <c r="Y1799" i="15"/>
  <c r="Z1799" i="15"/>
  <c r="AA1799" i="15"/>
  <c r="AB1799" i="15"/>
  <c r="AC1799" i="15"/>
  <c r="AD1799" i="15"/>
  <c r="AE1799" i="15"/>
  <c r="AF1799" i="15"/>
  <c r="AG1799" i="15"/>
  <c r="AH1799" i="15"/>
  <c r="AI1799" i="15"/>
  <c r="AJ1799" i="15"/>
  <c r="AK1799" i="15"/>
  <c r="AL1799" i="15"/>
  <c r="AM1799" i="15"/>
  <c r="AN1799" i="15"/>
  <c r="AO1799" i="15"/>
  <c r="R1800" i="15"/>
  <c r="S1800" i="15"/>
  <c r="T1800" i="15"/>
  <c r="U1800" i="15"/>
  <c r="V1800" i="15"/>
  <c r="W1800" i="15"/>
  <c r="X1800" i="15"/>
  <c r="Y1800" i="15"/>
  <c r="Z1800" i="15"/>
  <c r="AA1800" i="15"/>
  <c r="AB1800" i="15"/>
  <c r="AC1800" i="15"/>
  <c r="AD1800" i="15"/>
  <c r="AE1800" i="15"/>
  <c r="AF1800" i="15"/>
  <c r="AG1800" i="15"/>
  <c r="AH1800" i="15"/>
  <c r="AI1800" i="15"/>
  <c r="AJ1800" i="15"/>
  <c r="AK1800" i="15"/>
  <c r="AL1800" i="15"/>
  <c r="AM1800" i="15"/>
  <c r="AN1800" i="15"/>
  <c r="AO1800" i="15"/>
  <c r="R1801" i="15"/>
  <c r="S1801" i="15"/>
  <c r="T1801" i="15"/>
  <c r="U1801" i="15"/>
  <c r="V1801" i="15"/>
  <c r="W1801" i="15"/>
  <c r="X1801" i="15"/>
  <c r="Y1801" i="15"/>
  <c r="Z1801" i="15"/>
  <c r="AA1801" i="15"/>
  <c r="AB1801" i="15"/>
  <c r="AC1801" i="15"/>
  <c r="AD1801" i="15"/>
  <c r="AE1801" i="15"/>
  <c r="AF1801" i="15"/>
  <c r="AG1801" i="15"/>
  <c r="AH1801" i="15"/>
  <c r="AI1801" i="15"/>
  <c r="AJ1801" i="15"/>
  <c r="AK1801" i="15"/>
  <c r="AL1801" i="15"/>
  <c r="AM1801" i="15"/>
  <c r="AN1801" i="15"/>
  <c r="AO1801" i="15"/>
  <c r="R1802" i="15"/>
  <c r="S1802" i="15"/>
  <c r="T1802" i="15"/>
  <c r="U1802" i="15"/>
  <c r="V1802" i="15"/>
  <c r="W1802" i="15"/>
  <c r="X1802" i="15"/>
  <c r="Y1802" i="15"/>
  <c r="Z1802" i="15"/>
  <c r="AA1802" i="15"/>
  <c r="AB1802" i="15"/>
  <c r="AC1802" i="15"/>
  <c r="AD1802" i="15"/>
  <c r="AE1802" i="15"/>
  <c r="AF1802" i="15"/>
  <c r="AG1802" i="15"/>
  <c r="AH1802" i="15"/>
  <c r="AI1802" i="15"/>
  <c r="AJ1802" i="15"/>
  <c r="AK1802" i="15"/>
  <c r="AL1802" i="15"/>
  <c r="AM1802" i="15"/>
  <c r="AN1802" i="15"/>
  <c r="AO1802" i="15"/>
  <c r="R1803" i="15"/>
  <c r="S1803" i="15"/>
  <c r="T1803" i="15"/>
  <c r="U1803" i="15"/>
  <c r="V1803" i="15"/>
  <c r="W1803" i="15"/>
  <c r="X1803" i="15"/>
  <c r="Y1803" i="15"/>
  <c r="Z1803" i="15"/>
  <c r="AA1803" i="15"/>
  <c r="AB1803" i="15"/>
  <c r="AC1803" i="15"/>
  <c r="AD1803" i="15"/>
  <c r="AE1803" i="15"/>
  <c r="AF1803" i="15"/>
  <c r="AG1803" i="15"/>
  <c r="AH1803" i="15"/>
  <c r="AI1803" i="15"/>
  <c r="AJ1803" i="15"/>
  <c r="AK1803" i="15"/>
  <c r="AL1803" i="15"/>
  <c r="AM1803" i="15"/>
  <c r="AN1803" i="15"/>
  <c r="AO1803" i="15"/>
  <c r="R1804" i="15"/>
  <c r="S1804" i="15"/>
  <c r="T1804" i="15"/>
  <c r="U1804" i="15"/>
  <c r="V1804" i="15"/>
  <c r="W1804" i="15"/>
  <c r="X1804" i="15"/>
  <c r="Y1804" i="15"/>
  <c r="Z1804" i="15"/>
  <c r="AA1804" i="15"/>
  <c r="AB1804" i="15"/>
  <c r="AC1804" i="15"/>
  <c r="AD1804" i="15"/>
  <c r="AE1804" i="15"/>
  <c r="AF1804" i="15"/>
  <c r="AG1804" i="15"/>
  <c r="AH1804" i="15"/>
  <c r="AI1804" i="15"/>
  <c r="AJ1804" i="15"/>
  <c r="AK1804" i="15"/>
  <c r="AL1804" i="15"/>
  <c r="AM1804" i="15"/>
  <c r="AN1804" i="15"/>
  <c r="AO1804" i="15"/>
  <c r="R1805" i="15"/>
  <c r="S1805" i="15"/>
  <c r="T1805" i="15"/>
  <c r="U1805" i="15"/>
  <c r="V1805" i="15"/>
  <c r="W1805" i="15"/>
  <c r="X1805" i="15"/>
  <c r="Y1805" i="15"/>
  <c r="Z1805" i="15"/>
  <c r="AA1805" i="15"/>
  <c r="AB1805" i="15"/>
  <c r="AC1805" i="15"/>
  <c r="AD1805" i="15"/>
  <c r="AE1805" i="15"/>
  <c r="AF1805" i="15"/>
  <c r="AG1805" i="15"/>
  <c r="AH1805" i="15"/>
  <c r="AI1805" i="15"/>
  <c r="AJ1805" i="15"/>
  <c r="AK1805" i="15"/>
  <c r="AL1805" i="15"/>
  <c r="AM1805" i="15"/>
  <c r="AN1805" i="15"/>
  <c r="AO1805" i="15"/>
  <c r="R1806" i="15"/>
  <c r="S1806" i="15"/>
  <c r="T1806" i="15"/>
  <c r="U1806" i="15"/>
  <c r="V1806" i="15"/>
  <c r="W1806" i="15"/>
  <c r="X1806" i="15"/>
  <c r="Y1806" i="15"/>
  <c r="Z1806" i="15"/>
  <c r="AA1806" i="15"/>
  <c r="AB1806" i="15"/>
  <c r="AC1806" i="15"/>
  <c r="AD1806" i="15"/>
  <c r="AE1806" i="15"/>
  <c r="AF1806" i="15"/>
  <c r="AG1806" i="15"/>
  <c r="AH1806" i="15"/>
  <c r="AI1806" i="15"/>
  <c r="AJ1806" i="15"/>
  <c r="AK1806" i="15"/>
  <c r="AL1806" i="15"/>
  <c r="AM1806" i="15"/>
  <c r="AN1806" i="15"/>
  <c r="AO1806" i="15"/>
  <c r="R1807" i="15"/>
  <c r="S1807" i="15"/>
  <c r="T1807" i="15"/>
  <c r="U1807" i="15"/>
  <c r="V1807" i="15"/>
  <c r="W1807" i="15"/>
  <c r="X1807" i="15"/>
  <c r="Y1807" i="15"/>
  <c r="Z1807" i="15"/>
  <c r="AA1807" i="15"/>
  <c r="AB1807" i="15"/>
  <c r="AC1807" i="15"/>
  <c r="AD1807" i="15"/>
  <c r="AE1807" i="15"/>
  <c r="AF1807" i="15"/>
  <c r="AG1807" i="15"/>
  <c r="AH1807" i="15"/>
  <c r="AI1807" i="15"/>
  <c r="AJ1807" i="15"/>
  <c r="AK1807" i="15"/>
  <c r="AL1807" i="15"/>
  <c r="AM1807" i="15"/>
  <c r="AN1807" i="15"/>
  <c r="AO1807" i="15"/>
  <c r="R1808" i="15"/>
  <c r="S1808" i="15"/>
  <c r="T1808" i="15"/>
  <c r="U1808" i="15"/>
  <c r="V1808" i="15"/>
  <c r="W1808" i="15"/>
  <c r="X1808" i="15"/>
  <c r="Y1808" i="15"/>
  <c r="Z1808" i="15"/>
  <c r="AA1808" i="15"/>
  <c r="AB1808" i="15"/>
  <c r="AC1808" i="15"/>
  <c r="AD1808" i="15"/>
  <c r="AE1808" i="15"/>
  <c r="AF1808" i="15"/>
  <c r="AG1808" i="15"/>
  <c r="AH1808" i="15"/>
  <c r="AI1808" i="15"/>
  <c r="AJ1808" i="15"/>
  <c r="AK1808" i="15"/>
  <c r="AL1808" i="15"/>
  <c r="AM1808" i="15"/>
  <c r="AN1808" i="15"/>
  <c r="AO1808" i="15"/>
  <c r="R1809" i="15"/>
  <c r="S1809" i="15"/>
  <c r="T1809" i="15"/>
  <c r="U1809" i="15"/>
  <c r="V1809" i="15"/>
  <c r="W1809" i="15"/>
  <c r="X1809" i="15"/>
  <c r="Y1809" i="15"/>
  <c r="Z1809" i="15"/>
  <c r="AA1809" i="15"/>
  <c r="AB1809" i="15"/>
  <c r="AC1809" i="15"/>
  <c r="AD1809" i="15"/>
  <c r="AE1809" i="15"/>
  <c r="AF1809" i="15"/>
  <c r="AG1809" i="15"/>
  <c r="AH1809" i="15"/>
  <c r="AI1809" i="15"/>
  <c r="AJ1809" i="15"/>
  <c r="AK1809" i="15"/>
  <c r="AL1809" i="15"/>
  <c r="AM1809" i="15"/>
  <c r="AN1809" i="15"/>
  <c r="AO1809" i="15"/>
  <c r="R1810" i="15"/>
  <c r="S1810" i="15"/>
  <c r="T1810" i="15"/>
  <c r="U1810" i="15"/>
  <c r="V1810" i="15"/>
  <c r="W1810" i="15"/>
  <c r="X1810" i="15"/>
  <c r="Y1810" i="15"/>
  <c r="Z1810" i="15"/>
  <c r="AA1810" i="15"/>
  <c r="AB1810" i="15"/>
  <c r="AC1810" i="15"/>
  <c r="AD1810" i="15"/>
  <c r="AE1810" i="15"/>
  <c r="AF1810" i="15"/>
  <c r="AG1810" i="15"/>
  <c r="AH1810" i="15"/>
  <c r="AI1810" i="15"/>
  <c r="AJ1810" i="15"/>
  <c r="AK1810" i="15"/>
  <c r="AL1810" i="15"/>
  <c r="AM1810" i="15"/>
  <c r="AN1810" i="15"/>
  <c r="AO1810" i="15"/>
  <c r="R1811" i="15"/>
  <c r="S1811" i="15"/>
  <c r="T1811" i="15"/>
  <c r="U1811" i="15"/>
  <c r="V1811" i="15"/>
  <c r="W1811" i="15"/>
  <c r="X1811" i="15"/>
  <c r="Y1811" i="15"/>
  <c r="Z1811" i="15"/>
  <c r="AA1811" i="15"/>
  <c r="AB1811" i="15"/>
  <c r="AC1811" i="15"/>
  <c r="AD1811" i="15"/>
  <c r="AE1811" i="15"/>
  <c r="AF1811" i="15"/>
  <c r="AG1811" i="15"/>
  <c r="AH1811" i="15"/>
  <c r="AI1811" i="15"/>
  <c r="AJ1811" i="15"/>
  <c r="AK1811" i="15"/>
  <c r="AL1811" i="15"/>
  <c r="AM1811" i="15"/>
  <c r="AN1811" i="15"/>
  <c r="AO1811" i="15"/>
  <c r="R1812" i="15"/>
  <c r="S1812" i="15"/>
  <c r="T1812" i="15"/>
  <c r="U1812" i="15"/>
  <c r="V1812" i="15"/>
  <c r="W1812" i="15"/>
  <c r="X1812" i="15"/>
  <c r="Y1812" i="15"/>
  <c r="Z1812" i="15"/>
  <c r="AA1812" i="15"/>
  <c r="AB1812" i="15"/>
  <c r="AC1812" i="15"/>
  <c r="AD1812" i="15"/>
  <c r="AE1812" i="15"/>
  <c r="AF1812" i="15"/>
  <c r="AG1812" i="15"/>
  <c r="AH1812" i="15"/>
  <c r="AI1812" i="15"/>
  <c r="AJ1812" i="15"/>
  <c r="AK1812" i="15"/>
  <c r="AL1812" i="15"/>
  <c r="AM1812" i="15"/>
  <c r="AN1812" i="15"/>
  <c r="AO1812" i="15"/>
  <c r="R1813" i="15"/>
  <c r="S1813" i="15"/>
  <c r="T1813" i="15"/>
  <c r="U1813" i="15"/>
  <c r="V1813" i="15"/>
  <c r="W1813" i="15"/>
  <c r="X1813" i="15"/>
  <c r="Y1813" i="15"/>
  <c r="Z1813" i="15"/>
  <c r="AA1813" i="15"/>
  <c r="AB1813" i="15"/>
  <c r="AC1813" i="15"/>
  <c r="AD1813" i="15"/>
  <c r="AE1813" i="15"/>
  <c r="AF1813" i="15"/>
  <c r="AG1813" i="15"/>
  <c r="AH1813" i="15"/>
  <c r="AI1813" i="15"/>
  <c r="AJ1813" i="15"/>
  <c r="AK1813" i="15"/>
  <c r="AL1813" i="15"/>
  <c r="AM1813" i="15"/>
  <c r="AN1813" i="15"/>
  <c r="AO1813" i="15"/>
  <c r="R1814" i="15"/>
  <c r="S1814" i="15"/>
  <c r="T1814" i="15"/>
  <c r="U1814" i="15"/>
  <c r="V1814" i="15"/>
  <c r="W1814" i="15"/>
  <c r="X1814" i="15"/>
  <c r="Y1814" i="15"/>
  <c r="Z1814" i="15"/>
  <c r="AA1814" i="15"/>
  <c r="AB1814" i="15"/>
  <c r="AC1814" i="15"/>
  <c r="AD1814" i="15"/>
  <c r="AE1814" i="15"/>
  <c r="AF1814" i="15"/>
  <c r="AG1814" i="15"/>
  <c r="AH1814" i="15"/>
  <c r="AI1814" i="15"/>
  <c r="AJ1814" i="15"/>
  <c r="AK1814" i="15"/>
  <c r="AL1814" i="15"/>
  <c r="AM1814" i="15"/>
  <c r="AN1814" i="15"/>
  <c r="AO1814" i="15"/>
  <c r="R1815" i="15"/>
  <c r="S1815" i="15"/>
  <c r="T1815" i="15"/>
  <c r="U1815" i="15"/>
  <c r="V1815" i="15"/>
  <c r="W1815" i="15"/>
  <c r="X1815" i="15"/>
  <c r="Y1815" i="15"/>
  <c r="Z1815" i="15"/>
  <c r="AA1815" i="15"/>
  <c r="AB1815" i="15"/>
  <c r="AC1815" i="15"/>
  <c r="AD1815" i="15"/>
  <c r="AE1815" i="15"/>
  <c r="AF1815" i="15"/>
  <c r="AG1815" i="15"/>
  <c r="AH1815" i="15"/>
  <c r="AI1815" i="15"/>
  <c r="AJ1815" i="15"/>
  <c r="AK1815" i="15"/>
  <c r="AL1815" i="15"/>
  <c r="AM1815" i="15"/>
  <c r="AN1815" i="15"/>
  <c r="AO1815" i="15"/>
  <c r="R1816" i="15"/>
  <c r="S1816" i="15"/>
  <c r="T1816" i="15"/>
  <c r="U1816" i="15"/>
  <c r="V1816" i="15"/>
  <c r="W1816" i="15"/>
  <c r="X1816" i="15"/>
  <c r="Y1816" i="15"/>
  <c r="Z1816" i="15"/>
  <c r="AA1816" i="15"/>
  <c r="AB1816" i="15"/>
  <c r="AC1816" i="15"/>
  <c r="AD1816" i="15"/>
  <c r="AE1816" i="15"/>
  <c r="AF1816" i="15"/>
  <c r="AG1816" i="15"/>
  <c r="AH1816" i="15"/>
  <c r="AI1816" i="15"/>
  <c r="AJ1816" i="15"/>
  <c r="AK1816" i="15"/>
  <c r="AL1816" i="15"/>
  <c r="AM1816" i="15"/>
  <c r="AN1816" i="15"/>
  <c r="AO1816" i="15"/>
  <c r="R1817" i="15"/>
  <c r="S1817" i="15"/>
  <c r="T1817" i="15"/>
  <c r="U1817" i="15"/>
  <c r="V1817" i="15"/>
  <c r="W1817" i="15"/>
  <c r="X1817" i="15"/>
  <c r="Y1817" i="15"/>
  <c r="Z1817" i="15"/>
  <c r="AA1817" i="15"/>
  <c r="AB1817" i="15"/>
  <c r="AC1817" i="15"/>
  <c r="AD1817" i="15"/>
  <c r="AE1817" i="15"/>
  <c r="AF1817" i="15"/>
  <c r="AG1817" i="15"/>
  <c r="AH1817" i="15"/>
  <c r="AI1817" i="15"/>
  <c r="AJ1817" i="15"/>
  <c r="AK1817" i="15"/>
  <c r="AL1817" i="15"/>
  <c r="AM1817" i="15"/>
  <c r="AN1817" i="15"/>
  <c r="AO1817" i="15"/>
  <c r="R1818" i="15"/>
  <c r="S1818" i="15"/>
  <c r="T1818" i="15"/>
  <c r="U1818" i="15"/>
  <c r="V1818" i="15"/>
  <c r="W1818" i="15"/>
  <c r="X1818" i="15"/>
  <c r="Y1818" i="15"/>
  <c r="Z1818" i="15"/>
  <c r="AA1818" i="15"/>
  <c r="AB1818" i="15"/>
  <c r="AC1818" i="15"/>
  <c r="AD1818" i="15"/>
  <c r="AE1818" i="15"/>
  <c r="AF1818" i="15"/>
  <c r="AG1818" i="15"/>
  <c r="AH1818" i="15"/>
  <c r="AI1818" i="15"/>
  <c r="AJ1818" i="15"/>
  <c r="AK1818" i="15"/>
  <c r="AL1818" i="15"/>
  <c r="AM1818" i="15"/>
  <c r="AN1818" i="15"/>
  <c r="AO1818" i="15"/>
  <c r="R1819" i="15"/>
  <c r="S1819" i="15"/>
  <c r="T1819" i="15"/>
  <c r="U1819" i="15"/>
  <c r="V1819" i="15"/>
  <c r="W1819" i="15"/>
  <c r="X1819" i="15"/>
  <c r="Y1819" i="15"/>
  <c r="Z1819" i="15"/>
  <c r="AA1819" i="15"/>
  <c r="AB1819" i="15"/>
  <c r="AC1819" i="15"/>
  <c r="AD1819" i="15"/>
  <c r="AE1819" i="15"/>
  <c r="AF1819" i="15"/>
  <c r="AG1819" i="15"/>
  <c r="AH1819" i="15"/>
  <c r="AI1819" i="15"/>
  <c r="AJ1819" i="15"/>
  <c r="AK1819" i="15"/>
  <c r="AL1819" i="15"/>
  <c r="AM1819" i="15"/>
  <c r="AN1819" i="15"/>
  <c r="AO1819" i="15"/>
  <c r="R1820" i="15"/>
  <c r="S1820" i="15"/>
  <c r="T1820" i="15"/>
  <c r="U1820" i="15"/>
  <c r="V1820" i="15"/>
  <c r="W1820" i="15"/>
  <c r="X1820" i="15"/>
  <c r="Y1820" i="15"/>
  <c r="Z1820" i="15"/>
  <c r="AA1820" i="15"/>
  <c r="AB1820" i="15"/>
  <c r="AC1820" i="15"/>
  <c r="AD1820" i="15"/>
  <c r="AE1820" i="15"/>
  <c r="AF1820" i="15"/>
  <c r="AG1820" i="15"/>
  <c r="AH1820" i="15"/>
  <c r="AI1820" i="15"/>
  <c r="AJ1820" i="15"/>
  <c r="AK1820" i="15"/>
  <c r="AL1820" i="15"/>
  <c r="AM1820" i="15"/>
  <c r="AN1820" i="15"/>
  <c r="AO1820" i="15"/>
  <c r="R1821" i="15"/>
  <c r="S1821" i="15"/>
  <c r="T1821" i="15"/>
  <c r="U1821" i="15"/>
  <c r="V1821" i="15"/>
  <c r="W1821" i="15"/>
  <c r="X1821" i="15"/>
  <c r="Y1821" i="15"/>
  <c r="Z1821" i="15"/>
  <c r="AA1821" i="15"/>
  <c r="AB1821" i="15"/>
  <c r="AC1821" i="15"/>
  <c r="AD1821" i="15"/>
  <c r="AE1821" i="15"/>
  <c r="AF1821" i="15"/>
  <c r="AG1821" i="15"/>
  <c r="AH1821" i="15"/>
  <c r="AI1821" i="15"/>
  <c r="AJ1821" i="15"/>
  <c r="AK1821" i="15"/>
  <c r="AL1821" i="15"/>
  <c r="AM1821" i="15"/>
  <c r="AN1821" i="15"/>
  <c r="AO1821" i="15"/>
  <c r="R1822" i="15"/>
  <c r="S1822" i="15"/>
  <c r="T1822" i="15"/>
  <c r="U1822" i="15"/>
  <c r="V1822" i="15"/>
  <c r="W1822" i="15"/>
  <c r="X1822" i="15"/>
  <c r="Y1822" i="15"/>
  <c r="Z1822" i="15"/>
  <c r="AA1822" i="15"/>
  <c r="AB1822" i="15"/>
  <c r="AC1822" i="15"/>
  <c r="AD1822" i="15"/>
  <c r="AE1822" i="15"/>
  <c r="AF1822" i="15"/>
  <c r="AG1822" i="15"/>
  <c r="AH1822" i="15"/>
  <c r="AI1822" i="15"/>
  <c r="AJ1822" i="15"/>
  <c r="AK1822" i="15"/>
  <c r="AL1822" i="15"/>
  <c r="AM1822" i="15"/>
  <c r="AN1822" i="15"/>
  <c r="AO1822" i="15"/>
  <c r="R1823" i="15"/>
  <c r="S1823" i="15"/>
  <c r="T1823" i="15"/>
  <c r="U1823" i="15"/>
  <c r="V1823" i="15"/>
  <c r="W1823" i="15"/>
  <c r="X1823" i="15"/>
  <c r="Y1823" i="15"/>
  <c r="Z1823" i="15"/>
  <c r="AA1823" i="15"/>
  <c r="AB1823" i="15"/>
  <c r="AC1823" i="15"/>
  <c r="AD1823" i="15"/>
  <c r="AE1823" i="15"/>
  <c r="AF1823" i="15"/>
  <c r="AG1823" i="15"/>
  <c r="AH1823" i="15"/>
  <c r="AI1823" i="15"/>
  <c r="AJ1823" i="15"/>
  <c r="AK1823" i="15"/>
  <c r="AL1823" i="15"/>
  <c r="AM1823" i="15"/>
  <c r="AN1823" i="15"/>
  <c r="AO1823" i="15"/>
  <c r="R1824" i="15"/>
  <c r="S1824" i="15"/>
  <c r="T1824" i="15"/>
  <c r="U1824" i="15"/>
  <c r="V1824" i="15"/>
  <c r="W1824" i="15"/>
  <c r="X1824" i="15"/>
  <c r="Y1824" i="15"/>
  <c r="Z1824" i="15"/>
  <c r="AA1824" i="15"/>
  <c r="AB1824" i="15"/>
  <c r="AC1824" i="15"/>
  <c r="AD1824" i="15"/>
  <c r="AE1824" i="15"/>
  <c r="AF1824" i="15"/>
  <c r="AG1824" i="15"/>
  <c r="AH1824" i="15"/>
  <c r="AI1824" i="15"/>
  <c r="AJ1824" i="15"/>
  <c r="AK1824" i="15"/>
  <c r="AL1824" i="15"/>
  <c r="AM1824" i="15"/>
  <c r="AN1824" i="15"/>
  <c r="AO1824" i="15"/>
  <c r="R1825" i="15"/>
  <c r="S1825" i="15"/>
  <c r="T1825" i="15"/>
  <c r="U1825" i="15"/>
  <c r="V1825" i="15"/>
  <c r="W1825" i="15"/>
  <c r="X1825" i="15"/>
  <c r="Y1825" i="15"/>
  <c r="Z1825" i="15"/>
  <c r="AA1825" i="15"/>
  <c r="AB1825" i="15"/>
  <c r="AC1825" i="15"/>
  <c r="AD1825" i="15"/>
  <c r="AE1825" i="15"/>
  <c r="AF1825" i="15"/>
  <c r="AG1825" i="15"/>
  <c r="AH1825" i="15"/>
  <c r="AI1825" i="15"/>
  <c r="AJ1825" i="15"/>
  <c r="AK1825" i="15"/>
  <c r="AL1825" i="15"/>
  <c r="AM1825" i="15"/>
  <c r="AN1825" i="15"/>
  <c r="AO1825" i="15"/>
  <c r="R1826" i="15"/>
  <c r="S1826" i="15"/>
  <c r="T1826" i="15"/>
  <c r="U1826" i="15"/>
  <c r="V1826" i="15"/>
  <c r="W1826" i="15"/>
  <c r="X1826" i="15"/>
  <c r="Y1826" i="15"/>
  <c r="Z1826" i="15"/>
  <c r="AA1826" i="15"/>
  <c r="AB1826" i="15"/>
  <c r="AC1826" i="15"/>
  <c r="AD1826" i="15"/>
  <c r="AE1826" i="15"/>
  <c r="AF1826" i="15"/>
  <c r="AG1826" i="15"/>
  <c r="AH1826" i="15"/>
  <c r="AI1826" i="15"/>
  <c r="AJ1826" i="15"/>
  <c r="AK1826" i="15"/>
  <c r="AL1826" i="15"/>
  <c r="AM1826" i="15"/>
  <c r="AN1826" i="15"/>
  <c r="AO1826" i="15"/>
  <c r="R1827" i="15"/>
  <c r="S1827" i="15"/>
  <c r="T1827" i="15"/>
  <c r="U1827" i="15"/>
  <c r="V1827" i="15"/>
  <c r="W1827" i="15"/>
  <c r="X1827" i="15"/>
  <c r="Y1827" i="15"/>
  <c r="Z1827" i="15"/>
  <c r="AA1827" i="15"/>
  <c r="AB1827" i="15"/>
  <c r="AC1827" i="15"/>
  <c r="AD1827" i="15"/>
  <c r="AE1827" i="15"/>
  <c r="AF1827" i="15"/>
  <c r="AG1827" i="15"/>
  <c r="AH1827" i="15"/>
  <c r="AI1827" i="15"/>
  <c r="AJ1827" i="15"/>
  <c r="AK1827" i="15"/>
  <c r="AL1827" i="15"/>
  <c r="AM1827" i="15"/>
  <c r="AN1827" i="15"/>
  <c r="AO1827" i="15"/>
  <c r="R1828" i="15"/>
  <c r="S1828" i="15"/>
  <c r="T1828" i="15"/>
  <c r="U1828" i="15"/>
  <c r="V1828" i="15"/>
  <c r="W1828" i="15"/>
  <c r="X1828" i="15"/>
  <c r="Y1828" i="15"/>
  <c r="Z1828" i="15"/>
  <c r="AA1828" i="15"/>
  <c r="AB1828" i="15"/>
  <c r="AC1828" i="15"/>
  <c r="AD1828" i="15"/>
  <c r="AE1828" i="15"/>
  <c r="AF1828" i="15"/>
  <c r="AG1828" i="15"/>
  <c r="AH1828" i="15"/>
  <c r="AI1828" i="15"/>
  <c r="AJ1828" i="15"/>
  <c r="AK1828" i="15"/>
  <c r="AL1828" i="15"/>
  <c r="AM1828" i="15"/>
  <c r="AN1828" i="15"/>
  <c r="AO1828" i="15"/>
  <c r="R1829" i="15"/>
  <c r="S1829" i="15"/>
  <c r="T1829" i="15"/>
  <c r="U1829" i="15"/>
  <c r="V1829" i="15"/>
  <c r="W1829" i="15"/>
  <c r="X1829" i="15"/>
  <c r="Y1829" i="15"/>
  <c r="Z1829" i="15"/>
  <c r="AA1829" i="15"/>
  <c r="AB1829" i="15"/>
  <c r="AC1829" i="15"/>
  <c r="AD1829" i="15"/>
  <c r="AE1829" i="15"/>
  <c r="AF1829" i="15"/>
  <c r="AG1829" i="15"/>
  <c r="AH1829" i="15"/>
  <c r="AI1829" i="15"/>
  <c r="AJ1829" i="15"/>
  <c r="AK1829" i="15"/>
  <c r="AL1829" i="15"/>
  <c r="AM1829" i="15"/>
  <c r="AN1829" i="15"/>
  <c r="AO1829" i="15"/>
  <c r="R1830" i="15"/>
  <c r="S1830" i="15"/>
  <c r="T1830" i="15"/>
  <c r="U1830" i="15"/>
  <c r="V1830" i="15"/>
  <c r="W1830" i="15"/>
  <c r="X1830" i="15"/>
  <c r="Y1830" i="15"/>
  <c r="Z1830" i="15"/>
  <c r="AA1830" i="15"/>
  <c r="AB1830" i="15"/>
  <c r="AC1830" i="15"/>
  <c r="AD1830" i="15"/>
  <c r="AE1830" i="15"/>
  <c r="AF1830" i="15"/>
  <c r="AG1830" i="15"/>
  <c r="AH1830" i="15"/>
  <c r="AI1830" i="15"/>
  <c r="AJ1830" i="15"/>
  <c r="AK1830" i="15"/>
  <c r="AL1830" i="15"/>
  <c r="AM1830" i="15"/>
  <c r="AN1830" i="15"/>
  <c r="AO1830" i="15"/>
  <c r="R1831" i="15"/>
  <c r="S1831" i="15"/>
  <c r="T1831" i="15"/>
  <c r="U1831" i="15"/>
  <c r="V1831" i="15"/>
  <c r="W1831" i="15"/>
  <c r="X1831" i="15"/>
  <c r="Y1831" i="15"/>
  <c r="Z1831" i="15"/>
  <c r="AA1831" i="15"/>
  <c r="AB1831" i="15"/>
  <c r="AC1831" i="15"/>
  <c r="AD1831" i="15"/>
  <c r="AE1831" i="15"/>
  <c r="AF1831" i="15"/>
  <c r="AG1831" i="15"/>
  <c r="AH1831" i="15"/>
  <c r="AI1831" i="15"/>
  <c r="AJ1831" i="15"/>
  <c r="AK1831" i="15"/>
  <c r="AL1831" i="15"/>
  <c r="AM1831" i="15"/>
  <c r="AN1831" i="15"/>
  <c r="AO1831" i="15"/>
  <c r="R1832" i="15"/>
  <c r="S1832" i="15"/>
  <c r="T1832" i="15"/>
  <c r="U1832" i="15"/>
  <c r="V1832" i="15"/>
  <c r="W1832" i="15"/>
  <c r="X1832" i="15"/>
  <c r="Y1832" i="15"/>
  <c r="Z1832" i="15"/>
  <c r="AA1832" i="15"/>
  <c r="AB1832" i="15"/>
  <c r="AC1832" i="15"/>
  <c r="AD1832" i="15"/>
  <c r="AE1832" i="15"/>
  <c r="AF1832" i="15"/>
  <c r="AG1832" i="15"/>
  <c r="AH1832" i="15"/>
  <c r="AI1832" i="15"/>
  <c r="AJ1832" i="15"/>
  <c r="AK1832" i="15"/>
  <c r="AL1832" i="15"/>
  <c r="AM1832" i="15"/>
  <c r="AN1832" i="15"/>
  <c r="AO1832" i="15"/>
  <c r="R1833" i="15"/>
  <c r="S1833" i="15"/>
  <c r="T1833" i="15"/>
  <c r="U1833" i="15"/>
  <c r="V1833" i="15"/>
  <c r="W1833" i="15"/>
  <c r="X1833" i="15"/>
  <c r="Y1833" i="15"/>
  <c r="Z1833" i="15"/>
  <c r="AA1833" i="15"/>
  <c r="AB1833" i="15"/>
  <c r="AC1833" i="15"/>
  <c r="AD1833" i="15"/>
  <c r="AE1833" i="15"/>
  <c r="AF1833" i="15"/>
  <c r="AG1833" i="15"/>
  <c r="AH1833" i="15"/>
  <c r="AI1833" i="15"/>
  <c r="AJ1833" i="15"/>
  <c r="AK1833" i="15"/>
  <c r="AL1833" i="15"/>
  <c r="AM1833" i="15"/>
  <c r="AN1833" i="15"/>
  <c r="AO1833" i="15"/>
  <c r="R1834" i="15"/>
  <c r="S1834" i="15"/>
  <c r="T1834" i="15"/>
  <c r="U1834" i="15"/>
  <c r="V1834" i="15"/>
  <c r="W1834" i="15"/>
  <c r="X1834" i="15"/>
  <c r="Y1834" i="15"/>
  <c r="Z1834" i="15"/>
  <c r="AA1834" i="15"/>
  <c r="AB1834" i="15"/>
  <c r="AC1834" i="15"/>
  <c r="AD1834" i="15"/>
  <c r="AE1834" i="15"/>
  <c r="AF1834" i="15"/>
  <c r="AG1834" i="15"/>
  <c r="AH1834" i="15"/>
  <c r="AI1834" i="15"/>
  <c r="AJ1834" i="15"/>
  <c r="AK1834" i="15"/>
  <c r="AL1834" i="15"/>
  <c r="AM1834" i="15"/>
  <c r="AN1834" i="15"/>
  <c r="AO1834" i="15"/>
  <c r="R1835" i="15"/>
  <c r="S1835" i="15"/>
  <c r="T1835" i="15"/>
  <c r="U1835" i="15"/>
  <c r="V1835" i="15"/>
  <c r="W1835" i="15"/>
  <c r="X1835" i="15"/>
  <c r="Y1835" i="15"/>
  <c r="Z1835" i="15"/>
  <c r="AA1835" i="15"/>
  <c r="AB1835" i="15"/>
  <c r="AC1835" i="15"/>
  <c r="AD1835" i="15"/>
  <c r="AE1835" i="15"/>
  <c r="AF1835" i="15"/>
  <c r="AG1835" i="15"/>
  <c r="AH1835" i="15"/>
  <c r="AI1835" i="15"/>
  <c r="AJ1835" i="15"/>
  <c r="AK1835" i="15"/>
  <c r="AL1835" i="15"/>
  <c r="AM1835" i="15"/>
  <c r="AN1835" i="15"/>
  <c r="AO1835" i="15"/>
  <c r="R1836" i="15"/>
  <c r="S1836" i="15"/>
  <c r="T1836" i="15"/>
  <c r="U1836" i="15"/>
  <c r="V1836" i="15"/>
  <c r="W1836" i="15"/>
  <c r="X1836" i="15"/>
  <c r="Y1836" i="15"/>
  <c r="Z1836" i="15"/>
  <c r="AA1836" i="15"/>
  <c r="AB1836" i="15"/>
  <c r="AC1836" i="15"/>
  <c r="AD1836" i="15"/>
  <c r="AE1836" i="15"/>
  <c r="AF1836" i="15"/>
  <c r="AG1836" i="15"/>
  <c r="AH1836" i="15"/>
  <c r="AI1836" i="15"/>
  <c r="AJ1836" i="15"/>
  <c r="AK1836" i="15"/>
  <c r="AL1836" i="15"/>
  <c r="AM1836" i="15"/>
  <c r="AN1836" i="15"/>
  <c r="AO1836" i="15"/>
  <c r="R1837" i="15"/>
  <c r="S1837" i="15"/>
  <c r="T1837" i="15"/>
  <c r="U1837" i="15"/>
  <c r="V1837" i="15"/>
  <c r="W1837" i="15"/>
  <c r="X1837" i="15"/>
  <c r="Y1837" i="15"/>
  <c r="Z1837" i="15"/>
  <c r="AA1837" i="15"/>
  <c r="AB1837" i="15"/>
  <c r="AC1837" i="15"/>
  <c r="AD1837" i="15"/>
  <c r="AE1837" i="15"/>
  <c r="AF1837" i="15"/>
  <c r="AG1837" i="15"/>
  <c r="AH1837" i="15"/>
  <c r="AI1837" i="15"/>
  <c r="AJ1837" i="15"/>
  <c r="AK1837" i="15"/>
  <c r="AL1837" i="15"/>
  <c r="AM1837" i="15"/>
  <c r="AN1837" i="15"/>
  <c r="AO1837" i="15"/>
  <c r="R1838" i="15"/>
  <c r="S1838" i="15"/>
  <c r="T1838" i="15"/>
  <c r="U1838" i="15"/>
  <c r="V1838" i="15"/>
  <c r="W1838" i="15"/>
  <c r="X1838" i="15"/>
  <c r="Y1838" i="15"/>
  <c r="Z1838" i="15"/>
  <c r="AA1838" i="15"/>
  <c r="AB1838" i="15"/>
  <c r="AC1838" i="15"/>
  <c r="AD1838" i="15"/>
  <c r="AE1838" i="15"/>
  <c r="AF1838" i="15"/>
  <c r="AG1838" i="15"/>
  <c r="AH1838" i="15"/>
  <c r="AI1838" i="15"/>
  <c r="AJ1838" i="15"/>
  <c r="AK1838" i="15"/>
  <c r="AL1838" i="15"/>
  <c r="AM1838" i="15"/>
  <c r="AN1838" i="15"/>
  <c r="AO1838" i="15"/>
  <c r="R1839" i="15"/>
  <c r="S1839" i="15"/>
  <c r="T1839" i="15"/>
  <c r="U1839" i="15"/>
  <c r="V1839" i="15"/>
  <c r="W1839" i="15"/>
  <c r="X1839" i="15"/>
  <c r="Y1839" i="15"/>
  <c r="Z1839" i="15"/>
  <c r="AA1839" i="15"/>
  <c r="AB1839" i="15"/>
  <c r="AC1839" i="15"/>
  <c r="AD1839" i="15"/>
  <c r="AE1839" i="15"/>
  <c r="AF1839" i="15"/>
  <c r="AG1839" i="15"/>
  <c r="AH1839" i="15"/>
  <c r="AI1839" i="15"/>
  <c r="AJ1839" i="15"/>
  <c r="AK1839" i="15"/>
  <c r="AL1839" i="15"/>
  <c r="AM1839" i="15"/>
  <c r="AN1839" i="15"/>
  <c r="AO1839" i="15"/>
  <c r="R1840" i="15"/>
  <c r="S1840" i="15"/>
  <c r="T1840" i="15"/>
  <c r="U1840" i="15"/>
  <c r="V1840" i="15"/>
  <c r="W1840" i="15"/>
  <c r="X1840" i="15"/>
  <c r="Y1840" i="15"/>
  <c r="Z1840" i="15"/>
  <c r="AA1840" i="15"/>
  <c r="AB1840" i="15"/>
  <c r="AC1840" i="15"/>
  <c r="AD1840" i="15"/>
  <c r="AE1840" i="15"/>
  <c r="AF1840" i="15"/>
  <c r="AG1840" i="15"/>
  <c r="AH1840" i="15"/>
  <c r="AI1840" i="15"/>
  <c r="AJ1840" i="15"/>
  <c r="AK1840" i="15"/>
  <c r="AL1840" i="15"/>
  <c r="AM1840" i="15"/>
  <c r="AN1840" i="15"/>
  <c r="AO1840" i="15"/>
  <c r="R1841" i="15"/>
  <c r="S1841" i="15"/>
  <c r="T1841" i="15"/>
  <c r="U1841" i="15"/>
  <c r="V1841" i="15"/>
  <c r="W1841" i="15"/>
  <c r="X1841" i="15"/>
  <c r="Y1841" i="15"/>
  <c r="Z1841" i="15"/>
  <c r="AA1841" i="15"/>
  <c r="AB1841" i="15"/>
  <c r="AC1841" i="15"/>
  <c r="AD1841" i="15"/>
  <c r="AE1841" i="15"/>
  <c r="AF1841" i="15"/>
  <c r="AG1841" i="15"/>
  <c r="AH1841" i="15"/>
  <c r="AI1841" i="15"/>
  <c r="AJ1841" i="15"/>
  <c r="AK1841" i="15"/>
  <c r="AL1841" i="15"/>
  <c r="AM1841" i="15"/>
  <c r="AN1841" i="15"/>
  <c r="AO1841" i="15"/>
  <c r="R1842" i="15"/>
  <c r="S1842" i="15"/>
  <c r="T1842" i="15"/>
  <c r="U1842" i="15"/>
  <c r="V1842" i="15"/>
  <c r="W1842" i="15"/>
  <c r="X1842" i="15"/>
  <c r="Y1842" i="15"/>
  <c r="Z1842" i="15"/>
  <c r="AA1842" i="15"/>
  <c r="AB1842" i="15"/>
  <c r="AC1842" i="15"/>
  <c r="AD1842" i="15"/>
  <c r="AE1842" i="15"/>
  <c r="AF1842" i="15"/>
  <c r="AG1842" i="15"/>
  <c r="AH1842" i="15"/>
  <c r="AI1842" i="15"/>
  <c r="AJ1842" i="15"/>
  <c r="AK1842" i="15"/>
  <c r="AL1842" i="15"/>
  <c r="AM1842" i="15"/>
  <c r="AN1842" i="15"/>
  <c r="AO1842" i="15"/>
  <c r="R1843" i="15"/>
  <c r="S1843" i="15"/>
  <c r="T1843" i="15"/>
  <c r="U1843" i="15"/>
  <c r="V1843" i="15"/>
  <c r="W1843" i="15"/>
  <c r="X1843" i="15"/>
  <c r="Y1843" i="15"/>
  <c r="Z1843" i="15"/>
  <c r="AA1843" i="15"/>
  <c r="AB1843" i="15"/>
  <c r="AC1843" i="15"/>
  <c r="AD1843" i="15"/>
  <c r="AE1843" i="15"/>
  <c r="AF1843" i="15"/>
  <c r="AG1843" i="15"/>
  <c r="AH1843" i="15"/>
  <c r="AI1843" i="15"/>
  <c r="AJ1843" i="15"/>
  <c r="AK1843" i="15"/>
  <c r="AL1843" i="15"/>
  <c r="AM1843" i="15"/>
  <c r="AN1843" i="15"/>
  <c r="AO1843" i="15"/>
  <c r="R1844" i="15"/>
  <c r="S1844" i="15"/>
  <c r="T1844" i="15"/>
  <c r="U1844" i="15"/>
  <c r="V1844" i="15"/>
  <c r="W1844" i="15"/>
  <c r="X1844" i="15"/>
  <c r="Y1844" i="15"/>
  <c r="Z1844" i="15"/>
  <c r="AA1844" i="15"/>
  <c r="AB1844" i="15"/>
  <c r="AC1844" i="15"/>
  <c r="AD1844" i="15"/>
  <c r="AE1844" i="15"/>
  <c r="AF1844" i="15"/>
  <c r="AG1844" i="15"/>
  <c r="AH1844" i="15"/>
  <c r="AI1844" i="15"/>
  <c r="AJ1844" i="15"/>
  <c r="AK1844" i="15"/>
  <c r="AL1844" i="15"/>
  <c r="AM1844" i="15"/>
  <c r="AN1844" i="15"/>
  <c r="AO1844" i="15"/>
  <c r="R1845" i="15"/>
  <c r="S1845" i="15"/>
  <c r="T1845" i="15"/>
  <c r="U1845" i="15"/>
  <c r="V1845" i="15"/>
  <c r="W1845" i="15"/>
  <c r="X1845" i="15"/>
  <c r="Y1845" i="15"/>
  <c r="Z1845" i="15"/>
  <c r="AA1845" i="15"/>
  <c r="AB1845" i="15"/>
  <c r="AC1845" i="15"/>
  <c r="AD1845" i="15"/>
  <c r="AE1845" i="15"/>
  <c r="AF1845" i="15"/>
  <c r="AG1845" i="15"/>
  <c r="AH1845" i="15"/>
  <c r="AI1845" i="15"/>
  <c r="AJ1845" i="15"/>
  <c r="AK1845" i="15"/>
  <c r="AL1845" i="15"/>
  <c r="AM1845" i="15"/>
  <c r="AN1845" i="15"/>
  <c r="AO1845" i="15"/>
  <c r="R1846" i="15"/>
  <c r="S1846" i="15"/>
  <c r="T1846" i="15"/>
  <c r="U1846" i="15"/>
  <c r="V1846" i="15"/>
  <c r="W1846" i="15"/>
  <c r="X1846" i="15"/>
  <c r="Y1846" i="15"/>
  <c r="Z1846" i="15"/>
  <c r="AA1846" i="15"/>
  <c r="AB1846" i="15"/>
  <c r="AC1846" i="15"/>
  <c r="AD1846" i="15"/>
  <c r="AE1846" i="15"/>
  <c r="AF1846" i="15"/>
  <c r="AG1846" i="15"/>
  <c r="AH1846" i="15"/>
  <c r="AI1846" i="15"/>
  <c r="AJ1846" i="15"/>
  <c r="AK1846" i="15"/>
  <c r="AL1846" i="15"/>
  <c r="AM1846" i="15"/>
  <c r="AN1846" i="15"/>
  <c r="AO1846" i="15"/>
  <c r="R1847" i="15"/>
  <c r="S1847" i="15"/>
  <c r="T1847" i="15"/>
  <c r="U1847" i="15"/>
  <c r="V1847" i="15"/>
  <c r="W1847" i="15"/>
  <c r="X1847" i="15"/>
  <c r="Y1847" i="15"/>
  <c r="Z1847" i="15"/>
  <c r="AA1847" i="15"/>
  <c r="AB1847" i="15"/>
  <c r="AC1847" i="15"/>
  <c r="AD1847" i="15"/>
  <c r="AE1847" i="15"/>
  <c r="AF1847" i="15"/>
  <c r="AG1847" i="15"/>
  <c r="AH1847" i="15"/>
  <c r="AI1847" i="15"/>
  <c r="AJ1847" i="15"/>
  <c r="AK1847" i="15"/>
  <c r="AL1847" i="15"/>
  <c r="AM1847" i="15"/>
  <c r="AN1847" i="15"/>
  <c r="AO1847" i="15"/>
  <c r="R1848" i="15"/>
  <c r="S1848" i="15"/>
  <c r="T1848" i="15"/>
  <c r="U1848" i="15"/>
  <c r="V1848" i="15"/>
  <c r="W1848" i="15"/>
  <c r="X1848" i="15"/>
  <c r="Y1848" i="15"/>
  <c r="Z1848" i="15"/>
  <c r="AA1848" i="15"/>
  <c r="AB1848" i="15"/>
  <c r="AC1848" i="15"/>
  <c r="AD1848" i="15"/>
  <c r="AE1848" i="15"/>
  <c r="AF1848" i="15"/>
  <c r="AG1848" i="15"/>
  <c r="AH1848" i="15"/>
  <c r="AI1848" i="15"/>
  <c r="AJ1848" i="15"/>
  <c r="AK1848" i="15"/>
  <c r="AL1848" i="15"/>
  <c r="AM1848" i="15"/>
  <c r="AN1848" i="15"/>
  <c r="AO1848" i="15"/>
  <c r="R1849" i="15"/>
  <c r="S1849" i="15"/>
  <c r="T1849" i="15"/>
  <c r="U1849" i="15"/>
  <c r="V1849" i="15"/>
  <c r="W1849" i="15"/>
  <c r="X1849" i="15"/>
  <c r="Y1849" i="15"/>
  <c r="Z1849" i="15"/>
  <c r="AA1849" i="15"/>
  <c r="AB1849" i="15"/>
  <c r="AC1849" i="15"/>
  <c r="AD1849" i="15"/>
  <c r="AE1849" i="15"/>
  <c r="AF1849" i="15"/>
  <c r="AG1849" i="15"/>
  <c r="AH1849" i="15"/>
  <c r="AI1849" i="15"/>
  <c r="AJ1849" i="15"/>
  <c r="AK1849" i="15"/>
  <c r="AL1849" i="15"/>
  <c r="AM1849" i="15"/>
  <c r="AN1849" i="15"/>
  <c r="AO1849" i="15"/>
  <c r="R1850" i="15"/>
  <c r="S1850" i="15"/>
  <c r="T1850" i="15"/>
  <c r="U1850" i="15"/>
  <c r="V1850" i="15"/>
  <c r="W1850" i="15"/>
  <c r="X1850" i="15"/>
  <c r="Y1850" i="15"/>
  <c r="Z1850" i="15"/>
  <c r="AA1850" i="15"/>
  <c r="AB1850" i="15"/>
  <c r="AC1850" i="15"/>
  <c r="AD1850" i="15"/>
  <c r="AE1850" i="15"/>
  <c r="AF1850" i="15"/>
  <c r="AG1850" i="15"/>
  <c r="AH1850" i="15"/>
  <c r="AI1850" i="15"/>
  <c r="AJ1850" i="15"/>
  <c r="AK1850" i="15"/>
  <c r="AL1850" i="15"/>
  <c r="AM1850" i="15"/>
  <c r="AN1850" i="15"/>
  <c r="AO1850" i="15"/>
  <c r="R1851" i="15"/>
  <c r="S1851" i="15"/>
  <c r="T1851" i="15"/>
  <c r="U1851" i="15"/>
  <c r="V1851" i="15"/>
  <c r="W1851" i="15"/>
  <c r="X1851" i="15"/>
  <c r="Y1851" i="15"/>
  <c r="Z1851" i="15"/>
  <c r="AA1851" i="15"/>
  <c r="AB1851" i="15"/>
  <c r="AC1851" i="15"/>
  <c r="AD1851" i="15"/>
  <c r="AE1851" i="15"/>
  <c r="AF1851" i="15"/>
  <c r="AG1851" i="15"/>
  <c r="AH1851" i="15"/>
  <c r="AI1851" i="15"/>
  <c r="AJ1851" i="15"/>
  <c r="AK1851" i="15"/>
  <c r="AL1851" i="15"/>
  <c r="AM1851" i="15"/>
  <c r="AN1851" i="15"/>
  <c r="AO1851" i="15"/>
  <c r="R1852" i="15"/>
  <c r="S1852" i="15"/>
  <c r="T1852" i="15"/>
  <c r="U1852" i="15"/>
  <c r="V1852" i="15"/>
  <c r="W1852" i="15"/>
  <c r="X1852" i="15"/>
  <c r="Y1852" i="15"/>
  <c r="Z1852" i="15"/>
  <c r="AA1852" i="15"/>
  <c r="AB1852" i="15"/>
  <c r="AC1852" i="15"/>
  <c r="AD1852" i="15"/>
  <c r="AE1852" i="15"/>
  <c r="AF1852" i="15"/>
  <c r="AG1852" i="15"/>
  <c r="AH1852" i="15"/>
  <c r="AI1852" i="15"/>
  <c r="AJ1852" i="15"/>
  <c r="AK1852" i="15"/>
  <c r="AL1852" i="15"/>
  <c r="AM1852" i="15"/>
  <c r="AN1852" i="15"/>
  <c r="AO1852" i="15"/>
  <c r="R1853" i="15"/>
  <c r="S1853" i="15"/>
  <c r="T1853" i="15"/>
  <c r="U1853" i="15"/>
  <c r="V1853" i="15"/>
  <c r="W1853" i="15"/>
  <c r="X1853" i="15"/>
  <c r="Y1853" i="15"/>
  <c r="Z1853" i="15"/>
  <c r="AA1853" i="15"/>
  <c r="AB1853" i="15"/>
  <c r="AC1853" i="15"/>
  <c r="AD1853" i="15"/>
  <c r="AE1853" i="15"/>
  <c r="AF1853" i="15"/>
  <c r="AG1853" i="15"/>
  <c r="AH1853" i="15"/>
  <c r="AI1853" i="15"/>
  <c r="AJ1853" i="15"/>
  <c r="AK1853" i="15"/>
  <c r="AL1853" i="15"/>
  <c r="AM1853" i="15"/>
  <c r="AN1853" i="15"/>
  <c r="AO1853" i="15"/>
  <c r="R1854" i="15"/>
  <c r="S1854" i="15"/>
  <c r="T1854" i="15"/>
  <c r="U1854" i="15"/>
  <c r="V1854" i="15"/>
  <c r="W1854" i="15"/>
  <c r="X1854" i="15"/>
  <c r="Y1854" i="15"/>
  <c r="Z1854" i="15"/>
  <c r="AA1854" i="15"/>
  <c r="AB1854" i="15"/>
  <c r="AC1854" i="15"/>
  <c r="AD1854" i="15"/>
  <c r="AE1854" i="15"/>
  <c r="AF1854" i="15"/>
  <c r="AG1854" i="15"/>
  <c r="AH1854" i="15"/>
  <c r="AI1854" i="15"/>
  <c r="AJ1854" i="15"/>
  <c r="AK1854" i="15"/>
  <c r="AL1854" i="15"/>
  <c r="AM1854" i="15"/>
  <c r="AN1854" i="15"/>
  <c r="AO1854" i="15"/>
  <c r="R1855" i="15"/>
  <c r="S1855" i="15"/>
  <c r="T1855" i="15"/>
  <c r="U1855" i="15"/>
  <c r="V1855" i="15"/>
  <c r="W1855" i="15"/>
  <c r="X1855" i="15"/>
  <c r="Y1855" i="15"/>
  <c r="Z1855" i="15"/>
  <c r="AA1855" i="15"/>
  <c r="AB1855" i="15"/>
  <c r="AC1855" i="15"/>
  <c r="AD1855" i="15"/>
  <c r="AE1855" i="15"/>
  <c r="AF1855" i="15"/>
  <c r="AG1855" i="15"/>
  <c r="AH1855" i="15"/>
  <c r="AI1855" i="15"/>
  <c r="AJ1855" i="15"/>
  <c r="AK1855" i="15"/>
  <c r="AL1855" i="15"/>
  <c r="AM1855" i="15"/>
  <c r="AN1855" i="15"/>
  <c r="AO1855" i="15"/>
  <c r="R1856" i="15"/>
  <c r="S1856" i="15"/>
  <c r="T1856" i="15"/>
  <c r="U1856" i="15"/>
  <c r="V1856" i="15"/>
  <c r="W1856" i="15"/>
  <c r="X1856" i="15"/>
  <c r="Y1856" i="15"/>
  <c r="Z1856" i="15"/>
  <c r="AA1856" i="15"/>
  <c r="AB1856" i="15"/>
  <c r="AC1856" i="15"/>
  <c r="AD1856" i="15"/>
  <c r="AE1856" i="15"/>
  <c r="AF1856" i="15"/>
  <c r="AG1856" i="15"/>
  <c r="AH1856" i="15"/>
  <c r="AI1856" i="15"/>
  <c r="AJ1856" i="15"/>
  <c r="AK1856" i="15"/>
  <c r="AL1856" i="15"/>
  <c r="AM1856" i="15"/>
  <c r="AN1856" i="15"/>
  <c r="AO1856" i="15"/>
  <c r="R1857" i="15"/>
  <c r="S1857" i="15"/>
  <c r="T1857" i="15"/>
  <c r="U1857" i="15"/>
  <c r="V1857" i="15"/>
  <c r="W1857" i="15"/>
  <c r="X1857" i="15"/>
  <c r="Y1857" i="15"/>
  <c r="Z1857" i="15"/>
  <c r="AA1857" i="15"/>
  <c r="AB1857" i="15"/>
  <c r="AC1857" i="15"/>
  <c r="AD1857" i="15"/>
  <c r="AE1857" i="15"/>
  <c r="AF1857" i="15"/>
  <c r="AG1857" i="15"/>
  <c r="AH1857" i="15"/>
  <c r="AI1857" i="15"/>
  <c r="AJ1857" i="15"/>
  <c r="AK1857" i="15"/>
  <c r="AL1857" i="15"/>
  <c r="AM1857" i="15"/>
  <c r="AN1857" i="15"/>
  <c r="AO1857" i="15"/>
  <c r="R1858" i="15"/>
  <c r="S1858" i="15"/>
  <c r="T1858" i="15"/>
  <c r="U1858" i="15"/>
  <c r="V1858" i="15"/>
  <c r="W1858" i="15"/>
  <c r="X1858" i="15"/>
  <c r="Y1858" i="15"/>
  <c r="Z1858" i="15"/>
  <c r="AA1858" i="15"/>
  <c r="AB1858" i="15"/>
  <c r="AC1858" i="15"/>
  <c r="AD1858" i="15"/>
  <c r="AE1858" i="15"/>
  <c r="AF1858" i="15"/>
  <c r="AG1858" i="15"/>
  <c r="AH1858" i="15"/>
  <c r="AI1858" i="15"/>
  <c r="AJ1858" i="15"/>
  <c r="AK1858" i="15"/>
  <c r="AL1858" i="15"/>
  <c r="AM1858" i="15"/>
  <c r="AN1858" i="15"/>
  <c r="AO1858" i="15"/>
  <c r="R1859" i="15"/>
  <c r="S1859" i="15"/>
  <c r="T1859" i="15"/>
  <c r="U1859" i="15"/>
  <c r="V1859" i="15"/>
  <c r="W1859" i="15"/>
  <c r="X1859" i="15"/>
  <c r="Y1859" i="15"/>
  <c r="Z1859" i="15"/>
  <c r="AA1859" i="15"/>
  <c r="AB1859" i="15"/>
  <c r="AC1859" i="15"/>
  <c r="AD1859" i="15"/>
  <c r="AE1859" i="15"/>
  <c r="AF1859" i="15"/>
  <c r="AG1859" i="15"/>
  <c r="AH1859" i="15"/>
  <c r="AI1859" i="15"/>
  <c r="AJ1859" i="15"/>
  <c r="AK1859" i="15"/>
  <c r="AL1859" i="15"/>
  <c r="AM1859" i="15"/>
  <c r="AN1859" i="15"/>
  <c r="AO1859" i="15"/>
  <c r="R1860" i="15"/>
  <c r="S1860" i="15"/>
  <c r="T1860" i="15"/>
  <c r="U1860" i="15"/>
  <c r="V1860" i="15"/>
  <c r="W1860" i="15"/>
  <c r="X1860" i="15"/>
  <c r="Y1860" i="15"/>
  <c r="Z1860" i="15"/>
  <c r="AA1860" i="15"/>
  <c r="AB1860" i="15"/>
  <c r="AC1860" i="15"/>
  <c r="AD1860" i="15"/>
  <c r="AE1860" i="15"/>
  <c r="AF1860" i="15"/>
  <c r="AG1860" i="15"/>
  <c r="AH1860" i="15"/>
  <c r="AI1860" i="15"/>
  <c r="AJ1860" i="15"/>
  <c r="AK1860" i="15"/>
  <c r="AL1860" i="15"/>
  <c r="AM1860" i="15"/>
  <c r="AN1860" i="15"/>
  <c r="AO1860" i="15"/>
  <c r="R1861" i="15"/>
  <c r="S1861" i="15"/>
  <c r="T1861" i="15"/>
  <c r="U1861" i="15"/>
  <c r="V1861" i="15"/>
  <c r="W1861" i="15"/>
  <c r="X1861" i="15"/>
  <c r="Y1861" i="15"/>
  <c r="Z1861" i="15"/>
  <c r="AA1861" i="15"/>
  <c r="AB1861" i="15"/>
  <c r="AC1861" i="15"/>
  <c r="AD1861" i="15"/>
  <c r="AE1861" i="15"/>
  <c r="AF1861" i="15"/>
  <c r="AG1861" i="15"/>
  <c r="AH1861" i="15"/>
  <c r="AI1861" i="15"/>
  <c r="AJ1861" i="15"/>
  <c r="AK1861" i="15"/>
  <c r="AL1861" i="15"/>
  <c r="AM1861" i="15"/>
  <c r="AN1861" i="15"/>
  <c r="AO1861" i="15"/>
  <c r="R1862" i="15"/>
  <c r="S1862" i="15"/>
  <c r="T1862" i="15"/>
  <c r="U1862" i="15"/>
  <c r="V1862" i="15"/>
  <c r="W1862" i="15"/>
  <c r="X1862" i="15"/>
  <c r="Y1862" i="15"/>
  <c r="Z1862" i="15"/>
  <c r="AA1862" i="15"/>
  <c r="AB1862" i="15"/>
  <c r="AC1862" i="15"/>
  <c r="AD1862" i="15"/>
  <c r="AE1862" i="15"/>
  <c r="AF1862" i="15"/>
  <c r="AG1862" i="15"/>
  <c r="AH1862" i="15"/>
  <c r="AI1862" i="15"/>
  <c r="AJ1862" i="15"/>
  <c r="AK1862" i="15"/>
  <c r="AL1862" i="15"/>
  <c r="AM1862" i="15"/>
  <c r="AN1862" i="15"/>
  <c r="AO1862" i="15"/>
  <c r="R1863" i="15"/>
  <c r="S1863" i="15"/>
  <c r="T1863" i="15"/>
  <c r="U1863" i="15"/>
  <c r="V1863" i="15"/>
  <c r="W1863" i="15"/>
  <c r="X1863" i="15"/>
  <c r="Y1863" i="15"/>
  <c r="Z1863" i="15"/>
  <c r="AA1863" i="15"/>
  <c r="AB1863" i="15"/>
  <c r="AC1863" i="15"/>
  <c r="AD1863" i="15"/>
  <c r="AE1863" i="15"/>
  <c r="AF1863" i="15"/>
  <c r="AG1863" i="15"/>
  <c r="AH1863" i="15"/>
  <c r="AI1863" i="15"/>
  <c r="AJ1863" i="15"/>
  <c r="AK1863" i="15"/>
  <c r="AL1863" i="15"/>
  <c r="AM1863" i="15"/>
  <c r="AN1863" i="15"/>
  <c r="AO1863" i="15"/>
  <c r="R1864" i="15"/>
  <c r="S1864" i="15"/>
  <c r="T1864" i="15"/>
  <c r="U1864" i="15"/>
  <c r="V1864" i="15"/>
  <c r="W1864" i="15"/>
  <c r="X1864" i="15"/>
  <c r="Y1864" i="15"/>
  <c r="Z1864" i="15"/>
  <c r="AA1864" i="15"/>
  <c r="AB1864" i="15"/>
  <c r="AC1864" i="15"/>
  <c r="AD1864" i="15"/>
  <c r="AE1864" i="15"/>
  <c r="AF1864" i="15"/>
  <c r="AG1864" i="15"/>
  <c r="AH1864" i="15"/>
  <c r="AI1864" i="15"/>
  <c r="AJ1864" i="15"/>
  <c r="AK1864" i="15"/>
  <c r="AL1864" i="15"/>
  <c r="AM1864" i="15"/>
  <c r="AN1864" i="15"/>
  <c r="AO1864" i="15"/>
  <c r="R1865" i="15"/>
  <c r="S1865" i="15"/>
  <c r="T1865" i="15"/>
  <c r="U1865" i="15"/>
  <c r="V1865" i="15"/>
  <c r="W1865" i="15"/>
  <c r="X1865" i="15"/>
  <c r="Y1865" i="15"/>
  <c r="Z1865" i="15"/>
  <c r="AA1865" i="15"/>
  <c r="AB1865" i="15"/>
  <c r="AC1865" i="15"/>
  <c r="AD1865" i="15"/>
  <c r="AE1865" i="15"/>
  <c r="AF1865" i="15"/>
  <c r="AG1865" i="15"/>
  <c r="AH1865" i="15"/>
  <c r="AI1865" i="15"/>
  <c r="AJ1865" i="15"/>
  <c r="AK1865" i="15"/>
  <c r="AL1865" i="15"/>
  <c r="AM1865" i="15"/>
  <c r="AN1865" i="15"/>
  <c r="AO1865" i="15"/>
  <c r="R1866" i="15"/>
  <c r="S1866" i="15"/>
  <c r="T1866" i="15"/>
  <c r="U1866" i="15"/>
  <c r="V1866" i="15"/>
  <c r="W1866" i="15"/>
  <c r="X1866" i="15"/>
  <c r="Y1866" i="15"/>
  <c r="Z1866" i="15"/>
  <c r="AA1866" i="15"/>
  <c r="AB1866" i="15"/>
  <c r="AC1866" i="15"/>
  <c r="AD1866" i="15"/>
  <c r="AE1866" i="15"/>
  <c r="AF1866" i="15"/>
  <c r="AG1866" i="15"/>
  <c r="AH1866" i="15"/>
  <c r="AI1866" i="15"/>
  <c r="AJ1866" i="15"/>
  <c r="AK1866" i="15"/>
  <c r="AL1866" i="15"/>
  <c r="AM1866" i="15"/>
  <c r="AN1866" i="15"/>
  <c r="AO1866" i="15"/>
  <c r="R1867" i="15"/>
  <c r="S1867" i="15"/>
  <c r="T1867" i="15"/>
  <c r="U1867" i="15"/>
  <c r="V1867" i="15"/>
  <c r="W1867" i="15"/>
  <c r="X1867" i="15"/>
  <c r="Y1867" i="15"/>
  <c r="Z1867" i="15"/>
  <c r="AA1867" i="15"/>
  <c r="AB1867" i="15"/>
  <c r="AC1867" i="15"/>
  <c r="AD1867" i="15"/>
  <c r="AE1867" i="15"/>
  <c r="AF1867" i="15"/>
  <c r="AG1867" i="15"/>
  <c r="AH1867" i="15"/>
  <c r="AI1867" i="15"/>
  <c r="AJ1867" i="15"/>
  <c r="AK1867" i="15"/>
  <c r="AL1867" i="15"/>
  <c r="AM1867" i="15"/>
  <c r="AN1867" i="15"/>
  <c r="AO1867" i="15"/>
  <c r="R1868" i="15"/>
  <c r="S1868" i="15"/>
  <c r="T1868" i="15"/>
  <c r="U1868" i="15"/>
  <c r="V1868" i="15"/>
  <c r="W1868" i="15"/>
  <c r="X1868" i="15"/>
  <c r="Y1868" i="15"/>
  <c r="Z1868" i="15"/>
  <c r="AA1868" i="15"/>
  <c r="AB1868" i="15"/>
  <c r="AC1868" i="15"/>
  <c r="AD1868" i="15"/>
  <c r="AE1868" i="15"/>
  <c r="AF1868" i="15"/>
  <c r="AG1868" i="15"/>
  <c r="AH1868" i="15"/>
  <c r="AI1868" i="15"/>
  <c r="AJ1868" i="15"/>
  <c r="AK1868" i="15"/>
  <c r="AL1868" i="15"/>
  <c r="AM1868" i="15"/>
  <c r="AN1868" i="15"/>
  <c r="AO1868" i="15"/>
  <c r="R1869" i="15"/>
  <c r="S1869" i="15"/>
  <c r="T1869" i="15"/>
  <c r="U1869" i="15"/>
  <c r="V1869" i="15"/>
  <c r="W1869" i="15"/>
  <c r="X1869" i="15"/>
  <c r="Y1869" i="15"/>
  <c r="Z1869" i="15"/>
  <c r="AA1869" i="15"/>
  <c r="AB1869" i="15"/>
  <c r="AC1869" i="15"/>
  <c r="AD1869" i="15"/>
  <c r="AE1869" i="15"/>
  <c r="AF1869" i="15"/>
  <c r="AG1869" i="15"/>
  <c r="AH1869" i="15"/>
  <c r="AI1869" i="15"/>
  <c r="AJ1869" i="15"/>
  <c r="AK1869" i="15"/>
  <c r="AL1869" i="15"/>
  <c r="AM1869" i="15"/>
  <c r="AN1869" i="15"/>
  <c r="AO1869" i="15"/>
  <c r="R1870" i="15"/>
  <c r="S1870" i="15"/>
  <c r="T1870" i="15"/>
  <c r="U1870" i="15"/>
  <c r="V1870" i="15"/>
  <c r="W1870" i="15"/>
  <c r="X1870" i="15"/>
  <c r="Y1870" i="15"/>
  <c r="Z1870" i="15"/>
  <c r="AA1870" i="15"/>
  <c r="AB1870" i="15"/>
  <c r="AC1870" i="15"/>
  <c r="AD1870" i="15"/>
  <c r="AE1870" i="15"/>
  <c r="AF1870" i="15"/>
  <c r="AG1870" i="15"/>
  <c r="AH1870" i="15"/>
  <c r="AI1870" i="15"/>
  <c r="AJ1870" i="15"/>
  <c r="AK1870" i="15"/>
  <c r="AL1870" i="15"/>
  <c r="AM1870" i="15"/>
  <c r="AN1870" i="15"/>
  <c r="AO1870" i="15"/>
  <c r="R1871" i="15"/>
  <c r="S1871" i="15"/>
  <c r="T1871" i="15"/>
  <c r="U1871" i="15"/>
  <c r="V1871" i="15"/>
  <c r="W1871" i="15"/>
  <c r="X1871" i="15"/>
  <c r="Y1871" i="15"/>
  <c r="Z1871" i="15"/>
  <c r="AA1871" i="15"/>
  <c r="AB1871" i="15"/>
  <c r="AC1871" i="15"/>
  <c r="AD1871" i="15"/>
  <c r="AE1871" i="15"/>
  <c r="AF1871" i="15"/>
  <c r="AG1871" i="15"/>
  <c r="AH1871" i="15"/>
  <c r="AI1871" i="15"/>
  <c r="AJ1871" i="15"/>
  <c r="AK1871" i="15"/>
  <c r="AL1871" i="15"/>
  <c r="AM1871" i="15"/>
  <c r="AN1871" i="15"/>
  <c r="AO1871" i="15"/>
  <c r="R1872" i="15"/>
  <c r="S1872" i="15"/>
  <c r="T1872" i="15"/>
  <c r="U1872" i="15"/>
  <c r="V1872" i="15"/>
  <c r="W1872" i="15"/>
  <c r="X1872" i="15"/>
  <c r="Y1872" i="15"/>
  <c r="Z1872" i="15"/>
  <c r="AA1872" i="15"/>
  <c r="AB1872" i="15"/>
  <c r="AC1872" i="15"/>
  <c r="AD1872" i="15"/>
  <c r="AE1872" i="15"/>
  <c r="AF1872" i="15"/>
  <c r="AG1872" i="15"/>
  <c r="AH1872" i="15"/>
  <c r="AI1872" i="15"/>
  <c r="AJ1872" i="15"/>
  <c r="AK1872" i="15"/>
  <c r="AL1872" i="15"/>
  <c r="AM1872" i="15"/>
  <c r="AN1872" i="15"/>
  <c r="AO1872" i="15"/>
  <c r="R1873" i="15"/>
  <c r="S1873" i="15"/>
  <c r="T1873" i="15"/>
  <c r="U1873" i="15"/>
  <c r="V1873" i="15"/>
  <c r="W1873" i="15"/>
  <c r="X1873" i="15"/>
  <c r="Y1873" i="15"/>
  <c r="Z1873" i="15"/>
  <c r="AA1873" i="15"/>
  <c r="AB1873" i="15"/>
  <c r="AC1873" i="15"/>
  <c r="AD1873" i="15"/>
  <c r="AE1873" i="15"/>
  <c r="AF1873" i="15"/>
  <c r="AG1873" i="15"/>
  <c r="AH1873" i="15"/>
  <c r="AI1873" i="15"/>
  <c r="AJ1873" i="15"/>
  <c r="AK1873" i="15"/>
  <c r="AL1873" i="15"/>
  <c r="AM1873" i="15"/>
  <c r="AN1873" i="15"/>
  <c r="AO1873" i="15"/>
  <c r="R1874" i="15"/>
  <c r="S1874" i="15"/>
  <c r="T1874" i="15"/>
  <c r="U1874" i="15"/>
  <c r="V1874" i="15"/>
  <c r="W1874" i="15"/>
  <c r="X1874" i="15"/>
  <c r="Y1874" i="15"/>
  <c r="Z1874" i="15"/>
  <c r="AA1874" i="15"/>
  <c r="AB1874" i="15"/>
  <c r="AC1874" i="15"/>
  <c r="AD1874" i="15"/>
  <c r="AE1874" i="15"/>
  <c r="AF1874" i="15"/>
  <c r="AG1874" i="15"/>
  <c r="AH1874" i="15"/>
  <c r="AI1874" i="15"/>
  <c r="AJ1874" i="15"/>
  <c r="AK1874" i="15"/>
  <c r="AL1874" i="15"/>
  <c r="AM1874" i="15"/>
  <c r="AN1874" i="15"/>
  <c r="AO1874" i="15"/>
  <c r="R1875" i="15"/>
  <c r="S1875" i="15"/>
  <c r="T1875" i="15"/>
  <c r="U1875" i="15"/>
  <c r="V1875" i="15"/>
  <c r="W1875" i="15"/>
  <c r="X1875" i="15"/>
  <c r="Y1875" i="15"/>
  <c r="Z1875" i="15"/>
  <c r="AA1875" i="15"/>
  <c r="AB1875" i="15"/>
  <c r="AC1875" i="15"/>
  <c r="AD1875" i="15"/>
  <c r="AE1875" i="15"/>
  <c r="AF1875" i="15"/>
  <c r="AG1875" i="15"/>
  <c r="AH1875" i="15"/>
  <c r="AI1875" i="15"/>
  <c r="AJ1875" i="15"/>
  <c r="AK1875" i="15"/>
  <c r="AL1875" i="15"/>
  <c r="AM1875" i="15"/>
  <c r="AN1875" i="15"/>
  <c r="AO1875" i="15"/>
  <c r="R1876" i="15"/>
  <c r="S1876" i="15"/>
  <c r="T1876" i="15"/>
  <c r="U1876" i="15"/>
  <c r="V1876" i="15"/>
  <c r="W1876" i="15"/>
  <c r="X1876" i="15"/>
  <c r="Y1876" i="15"/>
  <c r="Z1876" i="15"/>
  <c r="AA1876" i="15"/>
  <c r="AB1876" i="15"/>
  <c r="AC1876" i="15"/>
  <c r="AD1876" i="15"/>
  <c r="AE1876" i="15"/>
  <c r="AF1876" i="15"/>
  <c r="AG1876" i="15"/>
  <c r="AH1876" i="15"/>
  <c r="AI1876" i="15"/>
  <c r="AJ1876" i="15"/>
  <c r="AK1876" i="15"/>
  <c r="AL1876" i="15"/>
  <c r="AM1876" i="15"/>
  <c r="AN1876" i="15"/>
  <c r="AO1876" i="15"/>
  <c r="R1877" i="15"/>
  <c r="S1877" i="15"/>
  <c r="T1877" i="15"/>
  <c r="U1877" i="15"/>
  <c r="V1877" i="15"/>
  <c r="W1877" i="15"/>
  <c r="X1877" i="15"/>
  <c r="Y1877" i="15"/>
  <c r="Z1877" i="15"/>
  <c r="AA1877" i="15"/>
  <c r="AB1877" i="15"/>
  <c r="AC1877" i="15"/>
  <c r="AD1877" i="15"/>
  <c r="AE1877" i="15"/>
  <c r="AF1877" i="15"/>
  <c r="AG1877" i="15"/>
  <c r="AH1877" i="15"/>
  <c r="AI1877" i="15"/>
  <c r="AJ1877" i="15"/>
  <c r="AK1877" i="15"/>
  <c r="AL1877" i="15"/>
  <c r="AM1877" i="15"/>
  <c r="AN1877" i="15"/>
  <c r="AO1877" i="15"/>
  <c r="R1878" i="15"/>
  <c r="S1878" i="15"/>
  <c r="T1878" i="15"/>
  <c r="U1878" i="15"/>
  <c r="V1878" i="15"/>
  <c r="W1878" i="15"/>
  <c r="X1878" i="15"/>
  <c r="Y1878" i="15"/>
  <c r="Z1878" i="15"/>
  <c r="AA1878" i="15"/>
  <c r="AB1878" i="15"/>
  <c r="AC1878" i="15"/>
  <c r="AD1878" i="15"/>
  <c r="AE1878" i="15"/>
  <c r="AF1878" i="15"/>
  <c r="AG1878" i="15"/>
  <c r="AH1878" i="15"/>
  <c r="AI1878" i="15"/>
  <c r="AJ1878" i="15"/>
  <c r="AK1878" i="15"/>
  <c r="AL1878" i="15"/>
  <c r="AM1878" i="15"/>
  <c r="AN1878" i="15"/>
  <c r="AO1878" i="15"/>
  <c r="R1879" i="15"/>
  <c r="S1879" i="15"/>
  <c r="T1879" i="15"/>
  <c r="U1879" i="15"/>
  <c r="V1879" i="15"/>
  <c r="W1879" i="15"/>
  <c r="X1879" i="15"/>
  <c r="Y1879" i="15"/>
  <c r="Z1879" i="15"/>
  <c r="AA1879" i="15"/>
  <c r="AB1879" i="15"/>
  <c r="AC1879" i="15"/>
  <c r="AD1879" i="15"/>
  <c r="AE1879" i="15"/>
  <c r="AF1879" i="15"/>
  <c r="AG1879" i="15"/>
  <c r="AH1879" i="15"/>
  <c r="AI1879" i="15"/>
  <c r="AJ1879" i="15"/>
  <c r="AK1879" i="15"/>
  <c r="AL1879" i="15"/>
  <c r="AM1879" i="15"/>
  <c r="AN1879" i="15"/>
  <c r="AO1879" i="15"/>
  <c r="R1880" i="15"/>
  <c r="S1880" i="15"/>
  <c r="T1880" i="15"/>
  <c r="U1880" i="15"/>
  <c r="V1880" i="15"/>
  <c r="W1880" i="15"/>
  <c r="X1880" i="15"/>
  <c r="Y1880" i="15"/>
  <c r="Z1880" i="15"/>
  <c r="AA1880" i="15"/>
  <c r="AB1880" i="15"/>
  <c r="AC1880" i="15"/>
  <c r="AD1880" i="15"/>
  <c r="AE1880" i="15"/>
  <c r="AF1880" i="15"/>
  <c r="AG1880" i="15"/>
  <c r="AH1880" i="15"/>
  <c r="AI1880" i="15"/>
  <c r="AJ1880" i="15"/>
  <c r="AK1880" i="15"/>
  <c r="AL1880" i="15"/>
  <c r="AM1880" i="15"/>
  <c r="AN1880" i="15"/>
  <c r="AO1880" i="15"/>
  <c r="R1881" i="15"/>
  <c r="S1881" i="15"/>
  <c r="T1881" i="15"/>
  <c r="U1881" i="15"/>
  <c r="V1881" i="15"/>
  <c r="W1881" i="15"/>
  <c r="X1881" i="15"/>
  <c r="Y1881" i="15"/>
  <c r="Z1881" i="15"/>
  <c r="AA1881" i="15"/>
  <c r="AB1881" i="15"/>
  <c r="AC1881" i="15"/>
  <c r="AD1881" i="15"/>
  <c r="AE1881" i="15"/>
  <c r="AF1881" i="15"/>
  <c r="AG1881" i="15"/>
  <c r="AH1881" i="15"/>
  <c r="AI1881" i="15"/>
  <c r="AJ1881" i="15"/>
  <c r="AK1881" i="15"/>
  <c r="AL1881" i="15"/>
  <c r="AM1881" i="15"/>
  <c r="AN1881" i="15"/>
  <c r="AO1881" i="15"/>
  <c r="R1882" i="15"/>
  <c r="S1882" i="15"/>
  <c r="T1882" i="15"/>
  <c r="U1882" i="15"/>
  <c r="V1882" i="15"/>
  <c r="W1882" i="15"/>
  <c r="X1882" i="15"/>
  <c r="Y1882" i="15"/>
  <c r="Z1882" i="15"/>
  <c r="AA1882" i="15"/>
  <c r="AB1882" i="15"/>
  <c r="AC1882" i="15"/>
  <c r="AD1882" i="15"/>
  <c r="AE1882" i="15"/>
  <c r="AF1882" i="15"/>
  <c r="AG1882" i="15"/>
  <c r="AH1882" i="15"/>
  <c r="AI1882" i="15"/>
  <c r="AJ1882" i="15"/>
  <c r="AK1882" i="15"/>
  <c r="AL1882" i="15"/>
  <c r="AM1882" i="15"/>
  <c r="AN1882" i="15"/>
  <c r="AO1882" i="15"/>
  <c r="R1883" i="15"/>
  <c r="S1883" i="15"/>
  <c r="T1883" i="15"/>
  <c r="U1883" i="15"/>
  <c r="V1883" i="15"/>
  <c r="W1883" i="15"/>
  <c r="X1883" i="15"/>
  <c r="Y1883" i="15"/>
  <c r="Z1883" i="15"/>
  <c r="AA1883" i="15"/>
  <c r="AB1883" i="15"/>
  <c r="AC1883" i="15"/>
  <c r="AD1883" i="15"/>
  <c r="AE1883" i="15"/>
  <c r="AF1883" i="15"/>
  <c r="AG1883" i="15"/>
  <c r="AH1883" i="15"/>
  <c r="AI1883" i="15"/>
  <c r="AJ1883" i="15"/>
  <c r="AK1883" i="15"/>
  <c r="AL1883" i="15"/>
  <c r="AM1883" i="15"/>
  <c r="AN1883" i="15"/>
  <c r="AO1883" i="15"/>
  <c r="R1884" i="15"/>
  <c r="S1884" i="15"/>
  <c r="T1884" i="15"/>
  <c r="U1884" i="15"/>
  <c r="V1884" i="15"/>
  <c r="W1884" i="15"/>
  <c r="X1884" i="15"/>
  <c r="Y1884" i="15"/>
  <c r="Z1884" i="15"/>
  <c r="AA1884" i="15"/>
  <c r="AB1884" i="15"/>
  <c r="AC1884" i="15"/>
  <c r="AD1884" i="15"/>
  <c r="AE1884" i="15"/>
  <c r="AF1884" i="15"/>
  <c r="AG1884" i="15"/>
  <c r="AH1884" i="15"/>
  <c r="AI1884" i="15"/>
  <c r="AJ1884" i="15"/>
  <c r="AK1884" i="15"/>
  <c r="AL1884" i="15"/>
  <c r="AM1884" i="15"/>
  <c r="AN1884" i="15"/>
  <c r="AO1884" i="15"/>
  <c r="R1885" i="15"/>
  <c r="S1885" i="15"/>
  <c r="T1885" i="15"/>
  <c r="U1885" i="15"/>
  <c r="V1885" i="15"/>
  <c r="W1885" i="15"/>
  <c r="X1885" i="15"/>
  <c r="Y1885" i="15"/>
  <c r="Z1885" i="15"/>
  <c r="AA1885" i="15"/>
  <c r="AB1885" i="15"/>
  <c r="AC1885" i="15"/>
  <c r="AD1885" i="15"/>
  <c r="AE1885" i="15"/>
  <c r="AF1885" i="15"/>
  <c r="AG1885" i="15"/>
  <c r="AH1885" i="15"/>
  <c r="AI1885" i="15"/>
  <c r="AJ1885" i="15"/>
  <c r="AK1885" i="15"/>
  <c r="AL1885" i="15"/>
  <c r="AM1885" i="15"/>
  <c r="AN1885" i="15"/>
  <c r="AO1885" i="15"/>
  <c r="R1886" i="15"/>
  <c r="S1886" i="15"/>
  <c r="T1886" i="15"/>
  <c r="U1886" i="15"/>
  <c r="V1886" i="15"/>
  <c r="W1886" i="15"/>
  <c r="X1886" i="15"/>
  <c r="Y1886" i="15"/>
  <c r="Z1886" i="15"/>
  <c r="AA1886" i="15"/>
  <c r="AB1886" i="15"/>
  <c r="AC1886" i="15"/>
  <c r="AD1886" i="15"/>
  <c r="AE1886" i="15"/>
  <c r="AF1886" i="15"/>
  <c r="AG1886" i="15"/>
  <c r="AH1886" i="15"/>
  <c r="AI1886" i="15"/>
  <c r="AJ1886" i="15"/>
  <c r="AK1886" i="15"/>
  <c r="AL1886" i="15"/>
  <c r="AM1886" i="15"/>
  <c r="AN1886" i="15"/>
  <c r="AO1886" i="15"/>
  <c r="R1887" i="15"/>
  <c r="S1887" i="15"/>
  <c r="T1887" i="15"/>
  <c r="U1887" i="15"/>
  <c r="V1887" i="15"/>
  <c r="W1887" i="15"/>
  <c r="X1887" i="15"/>
  <c r="Y1887" i="15"/>
  <c r="Z1887" i="15"/>
  <c r="AA1887" i="15"/>
  <c r="AB1887" i="15"/>
  <c r="AC1887" i="15"/>
  <c r="AD1887" i="15"/>
  <c r="AE1887" i="15"/>
  <c r="AF1887" i="15"/>
  <c r="AG1887" i="15"/>
  <c r="AH1887" i="15"/>
  <c r="AI1887" i="15"/>
  <c r="AJ1887" i="15"/>
  <c r="AK1887" i="15"/>
  <c r="AL1887" i="15"/>
  <c r="AM1887" i="15"/>
  <c r="AN1887" i="15"/>
  <c r="AO1887" i="15"/>
  <c r="R1888" i="15"/>
  <c r="S1888" i="15"/>
  <c r="T1888" i="15"/>
  <c r="U1888" i="15"/>
  <c r="V1888" i="15"/>
  <c r="W1888" i="15"/>
  <c r="X1888" i="15"/>
  <c r="Y1888" i="15"/>
  <c r="Z1888" i="15"/>
  <c r="AA1888" i="15"/>
  <c r="AB1888" i="15"/>
  <c r="AC1888" i="15"/>
  <c r="AD1888" i="15"/>
  <c r="AE1888" i="15"/>
  <c r="AF1888" i="15"/>
  <c r="AG1888" i="15"/>
  <c r="AH1888" i="15"/>
  <c r="AI1888" i="15"/>
  <c r="AJ1888" i="15"/>
  <c r="AK1888" i="15"/>
  <c r="AL1888" i="15"/>
  <c r="AM1888" i="15"/>
  <c r="AN1888" i="15"/>
  <c r="AO1888" i="15"/>
  <c r="R1889" i="15"/>
  <c r="S1889" i="15"/>
  <c r="T1889" i="15"/>
  <c r="U1889" i="15"/>
  <c r="V1889" i="15"/>
  <c r="W1889" i="15"/>
  <c r="X1889" i="15"/>
  <c r="Y1889" i="15"/>
  <c r="Z1889" i="15"/>
  <c r="AA1889" i="15"/>
  <c r="AB1889" i="15"/>
  <c r="AC1889" i="15"/>
  <c r="AD1889" i="15"/>
  <c r="AE1889" i="15"/>
  <c r="AF1889" i="15"/>
  <c r="AG1889" i="15"/>
  <c r="AH1889" i="15"/>
  <c r="AI1889" i="15"/>
  <c r="AJ1889" i="15"/>
  <c r="AK1889" i="15"/>
  <c r="AL1889" i="15"/>
  <c r="AM1889" i="15"/>
  <c r="AN1889" i="15"/>
  <c r="AO1889" i="15"/>
  <c r="R1890" i="15"/>
  <c r="S1890" i="15"/>
  <c r="T1890" i="15"/>
  <c r="U1890" i="15"/>
  <c r="V1890" i="15"/>
  <c r="W1890" i="15"/>
  <c r="X1890" i="15"/>
  <c r="Y1890" i="15"/>
  <c r="Z1890" i="15"/>
  <c r="AA1890" i="15"/>
  <c r="AB1890" i="15"/>
  <c r="AC1890" i="15"/>
  <c r="AD1890" i="15"/>
  <c r="AE1890" i="15"/>
  <c r="AF1890" i="15"/>
  <c r="AG1890" i="15"/>
  <c r="AH1890" i="15"/>
  <c r="AI1890" i="15"/>
  <c r="AJ1890" i="15"/>
  <c r="AK1890" i="15"/>
  <c r="AL1890" i="15"/>
  <c r="AM1890" i="15"/>
  <c r="AN1890" i="15"/>
  <c r="AO1890" i="15"/>
  <c r="R1891" i="15"/>
  <c r="S1891" i="15"/>
  <c r="T1891" i="15"/>
  <c r="U1891" i="15"/>
  <c r="V1891" i="15"/>
  <c r="W1891" i="15"/>
  <c r="X1891" i="15"/>
  <c r="Y1891" i="15"/>
  <c r="Z1891" i="15"/>
  <c r="AA1891" i="15"/>
  <c r="AB1891" i="15"/>
  <c r="AC1891" i="15"/>
  <c r="AD1891" i="15"/>
  <c r="AE1891" i="15"/>
  <c r="AF1891" i="15"/>
  <c r="AG1891" i="15"/>
  <c r="AH1891" i="15"/>
  <c r="AI1891" i="15"/>
  <c r="AJ1891" i="15"/>
  <c r="AK1891" i="15"/>
  <c r="AL1891" i="15"/>
  <c r="AM1891" i="15"/>
  <c r="AN1891" i="15"/>
  <c r="AO1891" i="15"/>
  <c r="R1892" i="15"/>
  <c r="S1892" i="15"/>
  <c r="T1892" i="15"/>
  <c r="U1892" i="15"/>
  <c r="V1892" i="15"/>
  <c r="W1892" i="15"/>
  <c r="X1892" i="15"/>
  <c r="Y1892" i="15"/>
  <c r="Z1892" i="15"/>
  <c r="AA1892" i="15"/>
  <c r="AB1892" i="15"/>
  <c r="AC1892" i="15"/>
  <c r="AD1892" i="15"/>
  <c r="AE1892" i="15"/>
  <c r="AF1892" i="15"/>
  <c r="AG1892" i="15"/>
  <c r="AH1892" i="15"/>
  <c r="AI1892" i="15"/>
  <c r="AJ1892" i="15"/>
  <c r="AK1892" i="15"/>
  <c r="AL1892" i="15"/>
  <c r="AM1892" i="15"/>
  <c r="AN1892" i="15"/>
  <c r="AO1892" i="15"/>
  <c r="R1893" i="15"/>
  <c r="S1893" i="15"/>
  <c r="T1893" i="15"/>
  <c r="U1893" i="15"/>
  <c r="V1893" i="15"/>
  <c r="W1893" i="15"/>
  <c r="X1893" i="15"/>
  <c r="Y1893" i="15"/>
  <c r="Z1893" i="15"/>
  <c r="AA1893" i="15"/>
  <c r="AB1893" i="15"/>
  <c r="AC1893" i="15"/>
  <c r="AD1893" i="15"/>
  <c r="AE1893" i="15"/>
  <c r="AF1893" i="15"/>
  <c r="AG1893" i="15"/>
  <c r="AH1893" i="15"/>
  <c r="AI1893" i="15"/>
  <c r="AJ1893" i="15"/>
  <c r="AK1893" i="15"/>
  <c r="AL1893" i="15"/>
  <c r="AM1893" i="15"/>
  <c r="AN1893" i="15"/>
  <c r="AO1893" i="15"/>
  <c r="R1894" i="15"/>
  <c r="S1894" i="15"/>
  <c r="T1894" i="15"/>
  <c r="U1894" i="15"/>
  <c r="V1894" i="15"/>
  <c r="W1894" i="15"/>
  <c r="X1894" i="15"/>
  <c r="Y1894" i="15"/>
  <c r="Z1894" i="15"/>
  <c r="AA1894" i="15"/>
  <c r="AB1894" i="15"/>
  <c r="AC1894" i="15"/>
  <c r="AD1894" i="15"/>
  <c r="AE1894" i="15"/>
  <c r="AF1894" i="15"/>
  <c r="AG1894" i="15"/>
  <c r="AH1894" i="15"/>
  <c r="AI1894" i="15"/>
  <c r="AJ1894" i="15"/>
  <c r="AK1894" i="15"/>
  <c r="AL1894" i="15"/>
  <c r="AM1894" i="15"/>
  <c r="AN1894" i="15"/>
  <c r="AO1894" i="15"/>
  <c r="R1895" i="15"/>
  <c r="S1895" i="15"/>
  <c r="T1895" i="15"/>
  <c r="U1895" i="15"/>
  <c r="V1895" i="15"/>
  <c r="W1895" i="15"/>
  <c r="X1895" i="15"/>
  <c r="Y1895" i="15"/>
  <c r="Z1895" i="15"/>
  <c r="AA1895" i="15"/>
  <c r="AB1895" i="15"/>
  <c r="AC1895" i="15"/>
  <c r="AD1895" i="15"/>
  <c r="AE1895" i="15"/>
  <c r="AF1895" i="15"/>
  <c r="AG1895" i="15"/>
  <c r="AH1895" i="15"/>
  <c r="AI1895" i="15"/>
  <c r="AJ1895" i="15"/>
  <c r="AK1895" i="15"/>
  <c r="AL1895" i="15"/>
  <c r="AM1895" i="15"/>
  <c r="AN1895" i="15"/>
  <c r="AO1895" i="15"/>
  <c r="R1896" i="15"/>
  <c r="S1896" i="15"/>
  <c r="T1896" i="15"/>
  <c r="U1896" i="15"/>
  <c r="V1896" i="15"/>
  <c r="W1896" i="15"/>
  <c r="X1896" i="15"/>
  <c r="Y1896" i="15"/>
  <c r="Z1896" i="15"/>
  <c r="AA1896" i="15"/>
  <c r="AB1896" i="15"/>
  <c r="AC1896" i="15"/>
  <c r="AD1896" i="15"/>
  <c r="AE1896" i="15"/>
  <c r="AF1896" i="15"/>
  <c r="AG1896" i="15"/>
  <c r="AH1896" i="15"/>
  <c r="AI1896" i="15"/>
  <c r="AJ1896" i="15"/>
  <c r="AK1896" i="15"/>
  <c r="AL1896" i="15"/>
  <c r="AM1896" i="15"/>
  <c r="AN1896" i="15"/>
  <c r="AO1896" i="15"/>
  <c r="R1897" i="15"/>
  <c r="S1897" i="15"/>
  <c r="T1897" i="15"/>
  <c r="U1897" i="15"/>
  <c r="V1897" i="15"/>
  <c r="W1897" i="15"/>
  <c r="X1897" i="15"/>
  <c r="Y1897" i="15"/>
  <c r="Z1897" i="15"/>
  <c r="AA1897" i="15"/>
  <c r="AB1897" i="15"/>
  <c r="AC1897" i="15"/>
  <c r="AD1897" i="15"/>
  <c r="AE1897" i="15"/>
  <c r="AF1897" i="15"/>
  <c r="AG1897" i="15"/>
  <c r="AH1897" i="15"/>
  <c r="AI1897" i="15"/>
  <c r="AJ1897" i="15"/>
  <c r="AK1897" i="15"/>
  <c r="AL1897" i="15"/>
  <c r="AM1897" i="15"/>
  <c r="AN1897" i="15"/>
  <c r="AO1897" i="15"/>
  <c r="R1898" i="15"/>
  <c r="S1898" i="15"/>
  <c r="T1898" i="15"/>
  <c r="U1898" i="15"/>
  <c r="V1898" i="15"/>
  <c r="W1898" i="15"/>
  <c r="X1898" i="15"/>
  <c r="Y1898" i="15"/>
  <c r="Z1898" i="15"/>
  <c r="AA1898" i="15"/>
  <c r="AB1898" i="15"/>
  <c r="AC1898" i="15"/>
  <c r="AD1898" i="15"/>
  <c r="AE1898" i="15"/>
  <c r="AF1898" i="15"/>
  <c r="AG1898" i="15"/>
  <c r="AH1898" i="15"/>
  <c r="AI1898" i="15"/>
  <c r="AJ1898" i="15"/>
  <c r="AK1898" i="15"/>
  <c r="AL1898" i="15"/>
  <c r="AM1898" i="15"/>
  <c r="AN1898" i="15"/>
  <c r="AO1898" i="15"/>
  <c r="R1899" i="15"/>
  <c r="S1899" i="15"/>
  <c r="T1899" i="15"/>
  <c r="U1899" i="15"/>
  <c r="V1899" i="15"/>
  <c r="W1899" i="15"/>
  <c r="X1899" i="15"/>
  <c r="Y1899" i="15"/>
  <c r="Z1899" i="15"/>
  <c r="AA1899" i="15"/>
  <c r="AB1899" i="15"/>
  <c r="AC1899" i="15"/>
  <c r="AD1899" i="15"/>
  <c r="AE1899" i="15"/>
  <c r="AF1899" i="15"/>
  <c r="AG1899" i="15"/>
  <c r="AH1899" i="15"/>
  <c r="AI1899" i="15"/>
  <c r="AJ1899" i="15"/>
  <c r="AK1899" i="15"/>
  <c r="AL1899" i="15"/>
  <c r="AM1899" i="15"/>
  <c r="AN1899" i="15"/>
  <c r="AO1899" i="15"/>
  <c r="R1900" i="15"/>
  <c r="S1900" i="15"/>
  <c r="T1900" i="15"/>
  <c r="U1900" i="15"/>
  <c r="V1900" i="15"/>
  <c r="W1900" i="15"/>
  <c r="X1900" i="15"/>
  <c r="Y1900" i="15"/>
  <c r="Z1900" i="15"/>
  <c r="AA1900" i="15"/>
  <c r="AB1900" i="15"/>
  <c r="AC1900" i="15"/>
  <c r="AD1900" i="15"/>
  <c r="AE1900" i="15"/>
  <c r="AF1900" i="15"/>
  <c r="AG1900" i="15"/>
  <c r="AH1900" i="15"/>
  <c r="AI1900" i="15"/>
  <c r="AJ1900" i="15"/>
  <c r="AK1900" i="15"/>
  <c r="AL1900" i="15"/>
  <c r="AM1900" i="15"/>
  <c r="AN1900" i="15"/>
  <c r="AO1900" i="15"/>
  <c r="R1901" i="15"/>
  <c r="S1901" i="15"/>
  <c r="T1901" i="15"/>
  <c r="U1901" i="15"/>
  <c r="V1901" i="15"/>
  <c r="W1901" i="15"/>
  <c r="X1901" i="15"/>
  <c r="Y1901" i="15"/>
  <c r="Z1901" i="15"/>
  <c r="AA1901" i="15"/>
  <c r="AB1901" i="15"/>
  <c r="AC1901" i="15"/>
  <c r="AD1901" i="15"/>
  <c r="AE1901" i="15"/>
  <c r="AF1901" i="15"/>
  <c r="AG1901" i="15"/>
  <c r="AH1901" i="15"/>
  <c r="AI1901" i="15"/>
  <c r="AJ1901" i="15"/>
  <c r="AK1901" i="15"/>
  <c r="AL1901" i="15"/>
  <c r="AM1901" i="15"/>
  <c r="AN1901" i="15"/>
  <c r="AO1901" i="15"/>
  <c r="R1902" i="15"/>
  <c r="S1902" i="15"/>
  <c r="T1902" i="15"/>
  <c r="U1902" i="15"/>
  <c r="V1902" i="15"/>
  <c r="W1902" i="15"/>
  <c r="X1902" i="15"/>
  <c r="Y1902" i="15"/>
  <c r="Z1902" i="15"/>
  <c r="AA1902" i="15"/>
  <c r="AB1902" i="15"/>
  <c r="AC1902" i="15"/>
  <c r="AD1902" i="15"/>
  <c r="AE1902" i="15"/>
  <c r="AF1902" i="15"/>
  <c r="AG1902" i="15"/>
  <c r="AH1902" i="15"/>
  <c r="AI1902" i="15"/>
  <c r="AJ1902" i="15"/>
  <c r="AK1902" i="15"/>
  <c r="AL1902" i="15"/>
  <c r="AM1902" i="15"/>
  <c r="AN1902" i="15"/>
  <c r="AO1902" i="15"/>
  <c r="R1903" i="15"/>
  <c r="S1903" i="15"/>
  <c r="T1903" i="15"/>
  <c r="U1903" i="15"/>
  <c r="V1903" i="15"/>
  <c r="W1903" i="15"/>
  <c r="X1903" i="15"/>
  <c r="Y1903" i="15"/>
  <c r="Z1903" i="15"/>
  <c r="AA1903" i="15"/>
  <c r="AB1903" i="15"/>
  <c r="AC1903" i="15"/>
  <c r="AD1903" i="15"/>
  <c r="AE1903" i="15"/>
  <c r="AF1903" i="15"/>
  <c r="AG1903" i="15"/>
  <c r="AH1903" i="15"/>
  <c r="AI1903" i="15"/>
  <c r="AJ1903" i="15"/>
  <c r="AK1903" i="15"/>
  <c r="AL1903" i="15"/>
  <c r="AM1903" i="15"/>
  <c r="AN1903" i="15"/>
  <c r="AO1903" i="15"/>
  <c r="R1904" i="15"/>
  <c r="S1904" i="15"/>
  <c r="T1904" i="15"/>
  <c r="U1904" i="15"/>
  <c r="V1904" i="15"/>
  <c r="W1904" i="15"/>
  <c r="X1904" i="15"/>
  <c r="Y1904" i="15"/>
  <c r="Z1904" i="15"/>
  <c r="AA1904" i="15"/>
  <c r="AB1904" i="15"/>
  <c r="AC1904" i="15"/>
  <c r="AD1904" i="15"/>
  <c r="AE1904" i="15"/>
  <c r="AF1904" i="15"/>
  <c r="AG1904" i="15"/>
  <c r="AH1904" i="15"/>
  <c r="AI1904" i="15"/>
  <c r="AJ1904" i="15"/>
  <c r="AK1904" i="15"/>
  <c r="AL1904" i="15"/>
  <c r="AM1904" i="15"/>
  <c r="AN1904" i="15"/>
  <c r="AO1904" i="15"/>
  <c r="R1905" i="15"/>
  <c r="S1905" i="15"/>
  <c r="T1905" i="15"/>
  <c r="U1905" i="15"/>
  <c r="V1905" i="15"/>
  <c r="W1905" i="15"/>
  <c r="X1905" i="15"/>
  <c r="Y1905" i="15"/>
  <c r="Z1905" i="15"/>
  <c r="AA1905" i="15"/>
  <c r="AB1905" i="15"/>
  <c r="AC1905" i="15"/>
  <c r="AD1905" i="15"/>
  <c r="AE1905" i="15"/>
  <c r="AF1905" i="15"/>
  <c r="AG1905" i="15"/>
  <c r="AH1905" i="15"/>
  <c r="AI1905" i="15"/>
  <c r="AJ1905" i="15"/>
  <c r="AK1905" i="15"/>
  <c r="AL1905" i="15"/>
  <c r="AM1905" i="15"/>
  <c r="AN1905" i="15"/>
  <c r="AO1905" i="15"/>
  <c r="R1906" i="15"/>
  <c r="S1906" i="15"/>
  <c r="T1906" i="15"/>
  <c r="U1906" i="15"/>
  <c r="V1906" i="15"/>
  <c r="W1906" i="15"/>
  <c r="X1906" i="15"/>
  <c r="Y1906" i="15"/>
  <c r="Z1906" i="15"/>
  <c r="AA1906" i="15"/>
  <c r="AB1906" i="15"/>
  <c r="AC1906" i="15"/>
  <c r="AD1906" i="15"/>
  <c r="AE1906" i="15"/>
  <c r="AF1906" i="15"/>
  <c r="AG1906" i="15"/>
  <c r="AH1906" i="15"/>
  <c r="AI1906" i="15"/>
  <c r="AJ1906" i="15"/>
  <c r="AK1906" i="15"/>
  <c r="AL1906" i="15"/>
  <c r="AM1906" i="15"/>
  <c r="AN1906" i="15"/>
  <c r="AO1906" i="15"/>
  <c r="R1907" i="15"/>
  <c r="S1907" i="15"/>
  <c r="T1907" i="15"/>
  <c r="U1907" i="15"/>
  <c r="V1907" i="15"/>
  <c r="W1907" i="15"/>
  <c r="X1907" i="15"/>
  <c r="Y1907" i="15"/>
  <c r="Z1907" i="15"/>
  <c r="AA1907" i="15"/>
  <c r="AB1907" i="15"/>
  <c r="AC1907" i="15"/>
  <c r="AD1907" i="15"/>
  <c r="AE1907" i="15"/>
  <c r="AF1907" i="15"/>
  <c r="AG1907" i="15"/>
  <c r="AH1907" i="15"/>
  <c r="AI1907" i="15"/>
  <c r="AJ1907" i="15"/>
  <c r="AK1907" i="15"/>
  <c r="AL1907" i="15"/>
  <c r="AM1907" i="15"/>
  <c r="AN1907" i="15"/>
  <c r="AO1907" i="15"/>
  <c r="R1908" i="15"/>
  <c r="S1908" i="15"/>
  <c r="T1908" i="15"/>
  <c r="U1908" i="15"/>
  <c r="V1908" i="15"/>
  <c r="W1908" i="15"/>
  <c r="X1908" i="15"/>
  <c r="Y1908" i="15"/>
  <c r="Z1908" i="15"/>
  <c r="AA1908" i="15"/>
  <c r="AB1908" i="15"/>
  <c r="AC1908" i="15"/>
  <c r="AD1908" i="15"/>
  <c r="AE1908" i="15"/>
  <c r="AF1908" i="15"/>
  <c r="AG1908" i="15"/>
  <c r="AH1908" i="15"/>
  <c r="AI1908" i="15"/>
  <c r="AJ1908" i="15"/>
  <c r="AK1908" i="15"/>
  <c r="AL1908" i="15"/>
  <c r="AM1908" i="15"/>
  <c r="AN1908" i="15"/>
  <c r="AO1908" i="15"/>
  <c r="R1909" i="15"/>
  <c r="S1909" i="15"/>
  <c r="T1909" i="15"/>
  <c r="U1909" i="15"/>
  <c r="V1909" i="15"/>
  <c r="W1909" i="15"/>
  <c r="X1909" i="15"/>
  <c r="Y1909" i="15"/>
  <c r="Z1909" i="15"/>
  <c r="AA1909" i="15"/>
  <c r="AB1909" i="15"/>
  <c r="AC1909" i="15"/>
  <c r="AD1909" i="15"/>
  <c r="AE1909" i="15"/>
  <c r="AF1909" i="15"/>
  <c r="AG1909" i="15"/>
  <c r="AH1909" i="15"/>
  <c r="AI1909" i="15"/>
  <c r="AJ1909" i="15"/>
  <c r="AK1909" i="15"/>
  <c r="AL1909" i="15"/>
  <c r="AM1909" i="15"/>
  <c r="AN1909" i="15"/>
  <c r="AO1909" i="15"/>
  <c r="R1910" i="15"/>
  <c r="S1910" i="15"/>
  <c r="T1910" i="15"/>
  <c r="U1910" i="15"/>
  <c r="V1910" i="15"/>
  <c r="W1910" i="15"/>
  <c r="X1910" i="15"/>
  <c r="Y1910" i="15"/>
  <c r="Z1910" i="15"/>
  <c r="AA1910" i="15"/>
  <c r="AB1910" i="15"/>
  <c r="AC1910" i="15"/>
  <c r="AD1910" i="15"/>
  <c r="AE1910" i="15"/>
  <c r="AF1910" i="15"/>
  <c r="AG1910" i="15"/>
  <c r="AH1910" i="15"/>
  <c r="AI1910" i="15"/>
  <c r="AJ1910" i="15"/>
  <c r="AK1910" i="15"/>
  <c r="AL1910" i="15"/>
  <c r="AM1910" i="15"/>
  <c r="AN1910" i="15"/>
  <c r="AO1910" i="15"/>
  <c r="R1911" i="15"/>
  <c r="S1911" i="15"/>
  <c r="T1911" i="15"/>
  <c r="U1911" i="15"/>
  <c r="V1911" i="15"/>
  <c r="W1911" i="15"/>
  <c r="X1911" i="15"/>
  <c r="Y1911" i="15"/>
  <c r="Z1911" i="15"/>
  <c r="AA1911" i="15"/>
  <c r="AB1911" i="15"/>
  <c r="AC1911" i="15"/>
  <c r="AD1911" i="15"/>
  <c r="AE1911" i="15"/>
  <c r="AF1911" i="15"/>
  <c r="AG1911" i="15"/>
  <c r="AH1911" i="15"/>
  <c r="AI1911" i="15"/>
  <c r="AJ1911" i="15"/>
  <c r="AK1911" i="15"/>
  <c r="AL1911" i="15"/>
  <c r="AM1911" i="15"/>
  <c r="AN1911" i="15"/>
  <c r="AO1911" i="15"/>
  <c r="R1912" i="15"/>
  <c r="S1912" i="15"/>
  <c r="T1912" i="15"/>
  <c r="U1912" i="15"/>
  <c r="V1912" i="15"/>
  <c r="W1912" i="15"/>
  <c r="X1912" i="15"/>
  <c r="Y1912" i="15"/>
  <c r="Z1912" i="15"/>
  <c r="AA1912" i="15"/>
  <c r="AB1912" i="15"/>
  <c r="AC1912" i="15"/>
  <c r="AD1912" i="15"/>
  <c r="AE1912" i="15"/>
  <c r="AF1912" i="15"/>
  <c r="AG1912" i="15"/>
  <c r="AH1912" i="15"/>
  <c r="AI1912" i="15"/>
  <c r="AJ1912" i="15"/>
  <c r="AK1912" i="15"/>
  <c r="AL1912" i="15"/>
  <c r="AM1912" i="15"/>
  <c r="AN1912" i="15"/>
  <c r="AO1912" i="15"/>
  <c r="R1913" i="15"/>
  <c r="S1913" i="15"/>
  <c r="T1913" i="15"/>
  <c r="U1913" i="15"/>
  <c r="V1913" i="15"/>
  <c r="W1913" i="15"/>
  <c r="X1913" i="15"/>
  <c r="Y1913" i="15"/>
  <c r="Z1913" i="15"/>
  <c r="AA1913" i="15"/>
  <c r="AB1913" i="15"/>
  <c r="AC1913" i="15"/>
  <c r="AD1913" i="15"/>
  <c r="AE1913" i="15"/>
  <c r="AF1913" i="15"/>
  <c r="AG1913" i="15"/>
  <c r="AH1913" i="15"/>
  <c r="AI1913" i="15"/>
  <c r="AJ1913" i="15"/>
  <c r="AK1913" i="15"/>
  <c r="AL1913" i="15"/>
  <c r="AM1913" i="15"/>
  <c r="AN1913" i="15"/>
  <c r="AO1913" i="15"/>
  <c r="R1914" i="15"/>
  <c r="S1914" i="15"/>
  <c r="T1914" i="15"/>
  <c r="U1914" i="15"/>
  <c r="V1914" i="15"/>
  <c r="W1914" i="15"/>
  <c r="X1914" i="15"/>
  <c r="Y1914" i="15"/>
  <c r="Z1914" i="15"/>
  <c r="AA1914" i="15"/>
  <c r="AB1914" i="15"/>
  <c r="AC1914" i="15"/>
  <c r="AD1914" i="15"/>
  <c r="AE1914" i="15"/>
  <c r="AF1914" i="15"/>
  <c r="AG1914" i="15"/>
  <c r="AH1914" i="15"/>
  <c r="AI1914" i="15"/>
  <c r="AJ1914" i="15"/>
  <c r="AK1914" i="15"/>
  <c r="AL1914" i="15"/>
  <c r="AM1914" i="15"/>
  <c r="AN1914" i="15"/>
  <c r="AO1914" i="15"/>
  <c r="R1915" i="15"/>
  <c r="S1915" i="15"/>
  <c r="T1915" i="15"/>
  <c r="U1915" i="15"/>
  <c r="V1915" i="15"/>
  <c r="W1915" i="15"/>
  <c r="X1915" i="15"/>
  <c r="Y1915" i="15"/>
  <c r="Z1915" i="15"/>
  <c r="AA1915" i="15"/>
  <c r="AB1915" i="15"/>
  <c r="AC1915" i="15"/>
  <c r="AD1915" i="15"/>
  <c r="AE1915" i="15"/>
  <c r="AF1915" i="15"/>
  <c r="AG1915" i="15"/>
  <c r="AH1915" i="15"/>
  <c r="AI1915" i="15"/>
  <c r="AJ1915" i="15"/>
  <c r="AK1915" i="15"/>
  <c r="AL1915" i="15"/>
  <c r="AM1915" i="15"/>
  <c r="AN1915" i="15"/>
  <c r="AO1915" i="15"/>
  <c r="R1916" i="15"/>
  <c r="S1916" i="15"/>
  <c r="T1916" i="15"/>
  <c r="U1916" i="15"/>
  <c r="V1916" i="15"/>
  <c r="W1916" i="15"/>
  <c r="X1916" i="15"/>
  <c r="Y1916" i="15"/>
  <c r="Z1916" i="15"/>
  <c r="AA1916" i="15"/>
  <c r="AB1916" i="15"/>
  <c r="AC1916" i="15"/>
  <c r="AD1916" i="15"/>
  <c r="AE1916" i="15"/>
  <c r="AF1916" i="15"/>
  <c r="AG1916" i="15"/>
  <c r="AH1916" i="15"/>
  <c r="AI1916" i="15"/>
  <c r="AJ1916" i="15"/>
  <c r="AK1916" i="15"/>
  <c r="AL1916" i="15"/>
  <c r="AM1916" i="15"/>
  <c r="AN1916" i="15"/>
  <c r="AO1916" i="15"/>
  <c r="R1917" i="15"/>
  <c r="S1917" i="15"/>
  <c r="T1917" i="15"/>
  <c r="U1917" i="15"/>
  <c r="V1917" i="15"/>
  <c r="W1917" i="15"/>
  <c r="X1917" i="15"/>
  <c r="Y1917" i="15"/>
  <c r="Z1917" i="15"/>
  <c r="AA1917" i="15"/>
  <c r="AB1917" i="15"/>
  <c r="AC1917" i="15"/>
  <c r="AD1917" i="15"/>
  <c r="AE1917" i="15"/>
  <c r="AF1917" i="15"/>
  <c r="AG1917" i="15"/>
  <c r="AH1917" i="15"/>
  <c r="AI1917" i="15"/>
  <c r="AJ1917" i="15"/>
  <c r="AK1917" i="15"/>
  <c r="AL1917" i="15"/>
  <c r="AM1917" i="15"/>
  <c r="AN1917" i="15"/>
  <c r="AO1917" i="15"/>
  <c r="R1918" i="15"/>
  <c r="S1918" i="15"/>
  <c r="T1918" i="15"/>
  <c r="U1918" i="15"/>
  <c r="V1918" i="15"/>
  <c r="W1918" i="15"/>
  <c r="X1918" i="15"/>
  <c r="Y1918" i="15"/>
  <c r="Z1918" i="15"/>
  <c r="AA1918" i="15"/>
  <c r="AB1918" i="15"/>
  <c r="AC1918" i="15"/>
  <c r="AD1918" i="15"/>
  <c r="AE1918" i="15"/>
  <c r="AF1918" i="15"/>
  <c r="AG1918" i="15"/>
  <c r="AH1918" i="15"/>
  <c r="AI1918" i="15"/>
  <c r="AJ1918" i="15"/>
  <c r="AK1918" i="15"/>
  <c r="AL1918" i="15"/>
  <c r="AM1918" i="15"/>
  <c r="AN1918" i="15"/>
  <c r="AO1918" i="15"/>
  <c r="R1919" i="15"/>
  <c r="S1919" i="15"/>
  <c r="T1919" i="15"/>
  <c r="U1919" i="15"/>
  <c r="V1919" i="15"/>
  <c r="W1919" i="15"/>
  <c r="X1919" i="15"/>
  <c r="Y1919" i="15"/>
  <c r="Z1919" i="15"/>
  <c r="AA1919" i="15"/>
  <c r="AB1919" i="15"/>
  <c r="AC1919" i="15"/>
  <c r="AD1919" i="15"/>
  <c r="AE1919" i="15"/>
  <c r="AF1919" i="15"/>
  <c r="AG1919" i="15"/>
  <c r="AH1919" i="15"/>
  <c r="AI1919" i="15"/>
  <c r="AJ1919" i="15"/>
  <c r="AK1919" i="15"/>
  <c r="AL1919" i="15"/>
  <c r="AM1919" i="15"/>
  <c r="AN1919" i="15"/>
  <c r="AO1919" i="15"/>
  <c r="R1920" i="15"/>
  <c r="S1920" i="15"/>
  <c r="T1920" i="15"/>
  <c r="U1920" i="15"/>
  <c r="V1920" i="15"/>
  <c r="W1920" i="15"/>
  <c r="X1920" i="15"/>
  <c r="Y1920" i="15"/>
  <c r="Z1920" i="15"/>
  <c r="AA1920" i="15"/>
  <c r="AB1920" i="15"/>
  <c r="AC1920" i="15"/>
  <c r="AD1920" i="15"/>
  <c r="AE1920" i="15"/>
  <c r="AF1920" i="15"/>
  <c r="AG1920" i="15"/>
  <c r="AH1920" i="15"/>
  <c r="AI1920" i="15"/>
  <c r="AJ1920" i="15"/>
  <c r="AK1920" i="15"/>
  <c r="AL1920" i="15"/>
  <c r="AM1920" i="15"/>
  <c r="AN1920" i="15"/>
  <c r="AO1920" i="15"/>
  <c r="R1921" i="15"/>
  <c r="S1921" i="15"/>
  <c r="T1921" i="15"/>
  <c r="U1921" i="15"/>
  <c r="V1921" i="15"/>
  <c r="W1921" i="15"/>
  <c r="X1921" i="15"/>
  <c r="Y1921" i="15"/>
  <c r="Z1921" i="15"/>
  <c r="AA1921" i="15"/>
  <c r="AB1921" i="15"/>
  <c r="AC1921" i="15"/>
  <c r="AD1921" i="15"/>
  <c r="AE1921" i="15"/>
  <c r="AF1921" i="15"/>
  <c r="AG1921" i="15"/>
  <c r="AH1921" i="15"/>
  <c r="AI1921" i="15"/>
  <c r="AJ1921" i="15"/>
  <c r="AK1921" i="15"/>
  <c r="AL1921" i="15"/>
  <c r="AM1921" i="15"/>
  <c r="AN1921" i="15"/>
  <c r="AO1921" i="15"/>
  <c r="R1922" i="15"/>
  <c r="S1922" i="15"/>
  <c r="T1922" i="15"/>
  <c r="U1922" i="15"/>
  <c r="V1922" i="15"/>
  <c r="W1922" i="15"/>
  <c r="X1922" i="15"/>
  <c r="Y1922" i="15"/>
  <c r="Z1922" i="15"/>
  <c r="AA1922" i="15"/>
  <c r="AB1922" i="15"/>
  <c r="AC1922" i="15"/>
  <c r="AD1922" i="15"/>
  <c r="AE1922" i="15"/>
  <c r="AF1922" i="15"/>
  <c r="AG1922" i="15"/>
  <c r="AH1922" i="15"/>
  <c r="AI1922" i="15"/>
  <c r="AJ1922" i="15"/>
  <c r="AK1922" i="15"/>
  <c r="AL1922" i="15"/>
  <c r="AM1922" i="15"/>
  <c r="AN1922" i="15"/>
  <c r="AO1922" i="15"/>
  <c r="R1923" i="15"/>
  <c r="S1923" i="15"/>
  <c r="T1923" i="15"/>
  <c r="U1923" i="15"/>
  <c r="V1923" i="15"/>
  <c r="W1923" i="15"/>
  <c r="X1923" i="15"/>
  <c r="Y1923" i="15"/>
  <c r="Z1923" i="15"/>
  <c r="AA1923" i="15"/>
  <c r="AB1923" i="15"/>
  <c r="AC1923" i="15"/>
  <c r="AD1923" i="15"/>
  <c r="AE1923" i="15"/>
  <c r="AF1923" i="15"/>
  <c r="AG1923" i="15"/>
  <c r="AH1923" i="15"/>
  <c r="AI1923" i="15"/>
  <c r="AJ1923" i="15"/>
  <c r="AK1923" i="15"/>
  <c r="AL1923" i="15"/>
  <c r="AM1923" i="15"/>
  <c r="AN1923" i="15"/>
  <c r="AO1923" i="15"/>
  <c r="R1924" i="15"/>
  <c r="S1924" i="15"/>
  <c r="T1924" i="15"/>
  <c r="U1924" i="15"/>
  <c r="V1924" i="15"/>
  <c r="W1924" i="15"/>
  <c r="X1924" i="15"/>
  <c r="Y1924" i="15"/>
  <c r="Z1924" i="15"/>
  <c r="AA1924" i="15"/>
  <c r="AB1924" i="15"/>
  <c r="AC1924" i="15"/>
  <c r="AD1924" i="15"/>
  <c r="AE1924" i="15"/>
  <c r="AF1924" i="15"/>
  <c r="AG1924" i="15"/>
  <c r="AH1924" i="15"/>
  <c r="AI1924" i="15"/>
  <c r="AJ1924" i="15"/>
  <c r="AK1924" i="15"/>
  <c r="AL1924" i="15"/>
  <c r="AM1924" i="15"/>
  <c r="AN1924" i="15"/>
  <c r="AO1924" i="15"/>
  <c r="R1925" i="15"/>
  <c r="S1925" i="15"/>
  <c r="T1925" i="15"/>
  <c r="U1925" i="15"/>
  <c r="V1925" i="15"/>
  <c r="W1925" i="15"/>
  <c r="X1925" i="15"/>
  <c r="Y1925" i="15"/>
  <c r="Z1925" i="15"/>
  <c r="AA1925" i="15"/>
  <c r="AB1925" i="15"/>
  <c r="AC1925" i="15"/>
  <c r="AD1925" i="15"/>
  <c r="AE1925" i="15"/>
  <c r="AF1925" i="15"/>
  <c r="AG1925" i="15"/>
  <c r="AH1925" i="15"/>
  <c r="AI1925" i="15"/>
  <c r="AJ1925" i="15"/>
  <c r="AK1925" i="15"/>
  <c r="AL1925" i="15"/>
  <c r="AM1925" i="15"/>
  <c r="AN1925" i="15"/>
  <c r="AO1925" i="15"/>
  <c r="R1926" i="15"/>
  <c r="S1926" i="15"/>
  <c r="T1926" i="15"/>
  <c r="U1926" i="15"/>
  <c r="V1926" i="15"/>
  <c r="W1926" i="15"/>
  <c r="X1926" i="15"/>
  <c r="Y1926" i="15"/>
  <c r="Z1926" i="15"/>
  <c r="AA1926" i="15"/>
  <c r="AB1926" i="15"/>
  <c r="AC1926" i="15"/>
  <c r="AD1926" i="15"/>
  <c r="AE1926" i="15"/>
  <c r="AF1926" i="15"/>
  <c r="AG1926" i="15"/>
  <c r="AH1926" i="15"/>
  <c r="AI1926" i="15"/>
  <c r="AJ1926" i="15"/>
  <c r="AK1926" i="15"/>
  <c r="AL1926" i="15"/>
  <c r="AM1926" i="15"/>
  <c r="AN1926" i="15"/>
  <c r="AO1926" i="15"/>
  <c r="R1927" i="15"/>
  <c r="S1927" i="15"/>
  <c r="T1927" i="15"/>
  <c r="U1927" i="15"/>
  <c r="V1927" i="15"/>
  <c r="W1927" i="15"/>
  <c r="X1927" i="15"/>
  <c r="Y1927" i="15"/>
  <c r="Z1927" i="15"/>
  <c r="AA1927" i="15"/>
  <c r="AB1927" i="15"/>
  <c r="AC1927" i="15"/>
  <c r="AD1927" i="15"/>
  <c r="AE1927" i="15"/>
  <c r="AF1927" i="15"/>
  <c r="AG1927" i="15"/>
  <c r="AH1927" i="15"/>
  <c r="AI1927" i="15"/>
  <c r="AJ1927" i="15"/>
  <c r="AK1927" i="15"/>
  <c r="AL1927" i="15"/>
  <c r="AM1927" i="15"/>
  <c r="AN1927" i="15"/>
  <c r="AO1927" i="15"/>
  <c r="R1928" i="15"/>
  <c r="S1928" i="15"/>
  <c r="T1928" i="15"/>
  <c r="U1928" i="15"/>
  <c r="V1928" i="15"/>
  <c r="W1928" i="15"/>
  <c r="X1928" i="15"/>
  <c r="Y1928" i="15"/>
  <c r="Z1928" i="15"/>
  <c r="AA1928" i="15"/>
  <c r="AB1928" i="15"/>
  <c r="AC1928" i="15"/>
  <c r="AD1928" i="15"/>
  <c r="AE1928" i="15"/>
  <c r="AF1928" i="15"/>
  <c r="AG1928" i="15"/>
  <c r="AH1928" i="15"/>
  <c r="AI1928" i="15"/>
  <c r="AJ1928" i="15"/>
  <c r="AK1928" i="15"/>
  <c r="AL1928" i="15"/>
  <c r="AM1928" i="15"/>
  <c r="AN1928" i="15"/>
  <c r="AO1928" i="15"/>
  <c r="R1929" i="15"/>
  <c r="S1929" i="15"/>
  <c r="T1929" i="15"/>
  <c r="U1929" i="15"/>
  <c r="V1929" i="15"/>
  <c r="W1929" i="15"/>
  <c r="X1929" i="15"/>
  <c r="Y1929" i="15"/>
  <c r="Z1929" i="15"/>
  <c r="AA1929" i="15"/>
  <c r="AB1929" i="15"/>
  <c r="AC1929" i="15"/>
  <c r="AD1929" i="15"/>
  <c r="AE1929" i="15"/>
  <c r="AF1929" i="15"/>
  <c r="AG1929" i="15"/>
  <c r="AH1929" i="15"/>
  <c r="AI1929" i="15"/>
  <c r="AJ1929" i="15"/>
  <c r="AK1929" i="15"/>
  <c r="AL1929" i="15"/>
  <c r="AM1929" i="15"/>
  <c r="AN1929" i="15"/>
  <c r="AO1929" i="15"/>
  <c r="R1930" i="15"/>
  <c r="S1930" i="15"/>
  <c r="T1930" i="15"/>
  <c r="U1930" i="15"/>
  <c r="V1930" i="15"/>
  <c r="W1930" i="15"/>
  <c r="X1930" i="15"/>
  <c r="Y1930" i="15"/>
  <c r="Z1930" i="15"/>
  <c r="AA1930" i="15"/>
  <c r="AB1930" i="15"/>
  <c r="AC1930" i="15"/>
  <c r="AD1930" i="15"/>
  <c r="AE1930" i="15"/>
  <c r="AF1930" i="15"/>
  <c r="AG1930" i="15"/>
  <c r="AH1930" i="15"/>
  <c r="AI1930" i="15"/>
  <c r="AJ1930" i="15"/>
  <c r="AK1930" i="15"/>
  <c r="AL1930" i="15"/>
  <c r="AM1930" i="15"/>
  <c r="AN1930" i="15"/>
  <c r="AO1930" i="15"/>
  <c r="R1931" i="15"/>
  <c r="S1931" i="15"/>
  <c r="T1931" i="15"/>
  <c r="U1931" i="15"/>
  <c r="V1931" i="15"/>
  <c r="W1931" i="15"/>
  <c r="X1931" i="15"/>
  <c r="Y1931" i="15"/>
  <c r="Z1931" i="15"/>
  <c r="AA1931" i="15"/>
  <c r="AB1931" i="15"/>
  <c r="AC1931" i="15"/>
  <c r="AD1931" i="15"/>
  <c r="AE1931" i="15"/>
  <c r="AF1931" i="15"/>
  <c r="AG1931" i="15"/>
  <c r="AH1931" i="15"/>
  <c r="AI1931" i="15"/>
  <c r="AJ1931" i="15"/>
  <c r="AK1931" i="15"/>
  <c r="AL1931" i="15"/>
  <c r="AM1931" i="15"/>
  <c r="AN1931" i="15"/>
  <c r="AO1931" i="15"/>
  <c r="R1932" i="15"/>
  <c r="S1932" i="15"/>
  <c r="T1932" i="15"/>
  <c r="U1932" i="15"/>
  <c r="V1932" i="15"/>
  <c r="W1932" i="15"/>
  <c r="X1932" i="15"/>
  <c r="Y1932" i="15"/>
  <c r="Z1932" i="15"/>
  <c r="AA1932" i="15"/>
  <c r="AB1932" i="15"/>
  <c r="AC1932" i="15"/>
  <c r="AD1932" i="15"/>
  <c r="AE1932" i="15"/>
  <c r="AF1932" i="15"/>
  <c r="AG1932" i="15"/>
  <c r="AH1932" i="15"/>
  <c r="AI1932" i="15"/>
  <c r="AJ1932" i="15"/>
  <c r="AK1932" i="15"/>
  <c r="AL1932" i="15"/>
  <c r="AM1932" i="15"/>
  <c r="AN1932" i="15"/>
  <c r="AO1932" i="15"/>
  <c r="R1933" i="15"/>
  <c r="S1933" i="15"/>
  <c r="T1933" i="15"/>
  <c r="U1933" i="15"/>
  <c r="V1933" i="15"/>
  <c r="W1933" i="15"/>
  <c r="X1933" i="15"/>
  <c r="Y1933" i="15"/>
  <c r="Z1933" i="15"/>
  <c r="AA1933" i="15"/>
  <c r="AB1933" i="15"/>
  <c r="AC1933" i="15"/>
  <c r="AD1933" i="15"/>
  <c r="AE1933" i="15"/>
  <c r="AF1933" i="15"/>
  <c r="AG1933" i="15"/>
  <c r="AH1933" i="15"/>
  <c r="AI1933" i="15"/>
  <c r="AJ1933" i="15"/>
  <c r="AK1933" i="15"/>
  <c r="AL1933" i="15"/>
  <c r="AM1933" i="15"/>
  <c r="AN1933" i="15"/>
  <c r="AO1933" i="15"/>
  <c r="R1934" i="15"/>
  <c r="S1934" i="15"/>
  <c r="T1934" i="15"/>
  <c r="U1934" i="15"/>
  <c r="V1934" i="15"/>
  <c r="W1934" i="15"/>
  <c r="X1934" i="15"/>
  <c r="Y1934" i="15"/>
  <c r="Z1934" i="15"/>
  <c r="AA1934" i="15"/>
  <c r="AB1934" i="15"/>
  <c r="AC1934" i="15"/>
  <c r="AD1934" i="15"/>
  <c r="AE1934" i="15"/>
  <c r="AF1934" i="15"/>
  <c r="AG1934" i="15"/>
  <c r="AH1934" i="15"/>
  <c r="AI1934" i="15"/>
  <c r="AJ1934" i="15"/>
  <c r="AK1934" i="15"/>
  <c r="AL1934" i="15"/>
  <c r="AM1934" i="15"/>
  <c r="AN1934" i="15"/>
  <c r="AO1934" i="15"/>
  <c r="R1935" i="15"/>
  <c r="S1935" i="15"/>
  <c r="T1935" i="15"/>
  <c r="U1935" i="15"/>
  <c r="V1935" i="15"/>
  <c r="W1935" i="15"/>
  <c r="X1935" i="15"/>
  <c r="Y1935" i="15"/>
  <c r="Z1935" i="15"/>
  <c r="AA1935" i="15"/>
  <c r="AB1935" i="15"/>
  <c r="AC1935" i="15"/>
  <c r="AD1935" i="15"/>
  <c r="AE1935" i="15"/>
  <c r="AF1935" i="15"/>
  <c r="AG1935" i="15"/>
  <c r="AH1935" i="15"/>
  <c r="AI1935" i="15"/>
  <c r="AJ1935" i="15"/>
  <c r="AK1935" i="15"/>
  <c r="AL1935" i="15"/>
  <c r="AM1935" i="15"/>
  <c r="AN1935" i="15"/>
  <c r="AO1935" i="15"/>
  <c r="R1936" i="15"/>
  <c r="S1936" i="15"/>
  <c r="T1936" i="15"/>
  <c r="U1936" i="15"/>
  <c r="V1936" i="15"/>
  <c r="W1936" i="15"/>
  <c r="X1936" i="15"/>
  <c r="Y1936" i="15"/>
  <c r="Z1936" i="15"/>
  <c r="AA1936" i="15"/>
  <c r="AB1936" i="15"/>
  <c r="AC1936" i="15"/>
  <c r="AD1936" i="15"/>
  <c r="AE1936" i="15"/>
  <c r="AF1936" i="15"/>
  <c r="AG1936" i="15"/>
  <c r="AH1936" i="15"/>
  <c r="AI1936" i="15"/>
  <c r="AJ1936" i="15"/>
  <c r="AK1936" i="15"/>
  <c r="AL1936" i="15"/>
  <c r="AM1936" i="15"/>
  <c r="AN1936" i="15"/>
  <c r="AO1936" i="15"/>
  <c r="R1937" i="15"/>
  <c r="S1937" i="15"/>
  <c r="T1937" i="15"/>
  <c r="U1937" i="15"/>
  <c r="V1937" i="15"/>
  <c r="W1937" i="15"/>
  <c r="X1937" i="15"/>
  <c r="Y1937" i="15"/>
  <c r="Z1937" i="15"/>
  <c r="AA1937" i="15"/>
  <c r="AB1937" i="15"/>
  <c r="AC1937" i="15"/>
  <c r="AD1937" i="15"/>
  <c r="AE1937" i="15"/>
  <c r="AF1937" i="15"/>
  <c r="AG1937" i="15"/>
  <c r="AH1937" i="15"/>
  <c r="AI1937" i="15"/>
  <c r="AJ1937" i="15"/>
  <c r="AK1937" i="15"/>
  <c r="AL1937" i="15"/>
  <c r="AM1937" i="15"/>
  <c r="AN1937" i="15"/>
  <c r="AO1937" i="15"/>
  <c r="R1938" i="15"/>
  <c r="S1938" i="15"/>
  <c r="T1938" i="15"/>
  <c r="U1938" i="15"/>
  <c r="V1938" i="15"/>
  <c r="W1938" i="15"/>
  <c r="X1938" i="15"/>
  <c r="Y1938" i="15"/>
  <c r="Z1938" i="15"/>
  <c r="AA1938" i="15"/>
  <c r="AB1938" i="15"/>
  <c r="AC1938" i="15"/>
  <c r="AD1938" i="15"/>
  <c r="AE1938" i="15"/>
  <c r="AF1938" i="15"/>
  <c r="AG1938" i="15"/>
  <c r="AH1938" i="15"/>
  <c r="AI1938" i="15"/>
  <c r="AJ1938" i="15"/>
  <c r="AK1938" i="15"/>
  <c r="AL1938" i="15"/>
  <c r="AM1938" i="15"/>
  <c r="AN1938" i="15"/>
  <c r="AO1938" i="15"/>
  <c r="R1939" i="15"/>
  <c r="S1939" i="15"/>
  <c r="T1939" i="15"/>
  <c r="U1939" i="15"/>
  <c r="V1939" i="15"/>
  <c r="W1939" i="15"/>
  <c r="X1939" i="15"/>
  <c r="Y1939" i="15"/>
  <c r="Z1939" i="15"/>
  <c r="AA1939" i="15"/>
  <c r="AB1939" i="15"/>
  <c r="AC1939" i="15"/>
  <c r="AD1939" i="15"/>
  <c r="AE1939" i="15"/>
  <c r="AF1939" i="15"/>
  <c r="AG1939" i="15"/>
  <c r="AH1939" i="15"/>
  <c r="AI1939" i="15"/>
  <c r="AJ1939" i="15"/>
  <c r="AK1939" i="15"/>
  <c r="AL1939" i="15"/>
  <c r="AM1939" i="15"/>
  <c r="AN1939" i="15"/>
  <c r="AO1939" i="15"/>
  <c r="R1940" i="15"/>
  <c r="S1940" i="15"/>
  <c r="T1940" i="15"/>
  <c r="U1940" i="15"/>
  <c r="V1940" i="15"/>
  <c r="W1940" i="15"/>
  <c r="X1940" i="15"/>
  <c r="Y1940" i="15"/>
  <c r="Z1940" i="15"/>
  <c r="AA1940" i="15"/>
  <c r="AB1940" i="15"/>
  <c r="AC1940" i="15"/>
  <c r="AD1940" i="15"/>
  <c r="AE1940" i="15"/>
  <c r="AF1940" i="15"/>
  <c r="AG1940" i="15"/>
  <c r="AH1940" i="15"/>
  <c r="AI1940" i="15"/>
  <c r="AJ1940" i="15"/>
  <c r="AK1940" i="15"/>
  <c r="AL1940" i="15"/>
  <c r="AM1940" i="15"/>
  <c r="AN1940" i="15"/>
  <c r="AO1940" i="15"/>
  <c r="R1941" i="15"/>
  <c r="S1941" i="15"/>
  <c r="T1941" i="15"/>
  <c r="U1941" i="15"/>
  <c r="V1941" i="15"/>
  <c r="W1941" i="15"/>
  <c r="X1941" i="15"/>
  <c r="Y1941" i="15"/>
  <c r="Z1941" i="15"/>
  <c r="AA1941" i="15"/>
  <c r="AB1941" i="15"/>
  <c r="AC1941" i="15"/>
  <c r="AD1941" i="15"/>
  <c r="AE1941" i="15"/>
  <c r="AF1941" i="15"/>
  <c r="AG1941" i="15"/>
  <c r="AH1941" i="15"/>
  <c r="AI1941" i="15"/>
  <c r="AJ1941" i="15"/>
  <c r="AK1941" i="15"/>
  <c r="AL1941" i="15"/>
  <c r="AM1941" i="15"/>
  <c r="AN1941" i="15"/>
  <c r="AO1941" i="15"/>
  <c r="R1942" i="15"/>
  <c r="S1942" i="15"/>
  <c r="T1942" i="15"/>
  <c r="U1942" i="15"/>
  <c r="V1942" i="15"/>
  <c r="W1942" i="15"/>
  <c r="X1942" i="15"/>
  <c r="Y1942" i="15"/>
  <c r="Z1942" i="15"/>
  <c r="AA1942" i="15"/>
  <c r="AB1942" i="15"/>
  <c r="AC1942" i="15"/>
  <c r="AD1942" i="15"/>
  <c r="AE1942" i="15"/>
  <c r="AF1942" i="15"/>
  <c r="AG1942" i="15"/>
  <c r="AH1942" i="15"/>
  <c r="AI1942" i="15"/>
  <c r="AJ1942" i="15"/>
  <c r="AK1942" i="15"/>
  <c r="AL1942" i="15"/>
  <c r="AM1942" i="15"/>
  <c r="AN1942" i="15"/>
  <c r="AO1942" i="15"/>
  <c r="R1943" i="15"/>
  <c r="S1943" i="15"/>
  <c r="T1943" i="15"/>
  <c r="U1943" i="15"/>
  <c r="V1943" i="15"/>
  <c r="W1943" i="15"/>
  <c r="X1943" i="15"/>
  <c r="Y1943" i="15"/>
  <c r="Z1943" i="15"/>
  <c r="AA1943" i="15"/>
  <c r="AB1943" i="15"/>
  <c r="AC1943" i="15"/>
  <c r="AD1943" i="15"/>
  <c r="AE1943" i="15"/>
  <c r="AF1943" i="15"/>
  <c r="AG1943" i="15"/>
  <c r="AH1943" i="15"/>
  <c r="AI1943" i="15"/>
  <c r="AJ1943" i="15"/>
  <c r="AK1943" i="15"/>
  <c r="AL1943" i="15"/>
  <c r="AM1943" i="15"/>
  <c r="AN1943" i="15"/>
  <c r="AO1943" i="15"/>
  <c r="R1944" i="15"/>
  <c r="S1944" i="15"/>
  <c r="T1944" i="15"/>
  <c r="U1944" i="15"/>
  <c r="V1944" i="15"/>
  <c r="W1944" i="15"/>
  <c r="X1944" i="15"/>
  <c r="Y1944" i="15"/>
  <c r="Z1944" i="15"/>
  <c r="AA1944" i="15"/>
  <c r="AB1944" i="15"/>
  <c r="AC1944" i="15"/>
  <c r="AD1944" i="15"/>
  <c r="AE1944" i="15"/>
  <c r="AF1944" i="15"/>
  <c r="AG1944" i="15"/>
  <c r="AH1944" i="15"/>
  <c r="AI1944" i="15"/>
  <c r="AJ1944" i="15"/>
  <c r="AK1944" i="15"/>
  <c r="AL1944" i="15"/>
  <c r="AM1944" i="15"/>
  <c r="AN1944" i="15"/>
  <c r="AO1944" i="15"/>
  <c r="R1945" i="15"/>
  <c r="S1945" i="15"/>
  <c r="T1945" i="15"/>
  <c r="U1945" i="15"/>
  <c r="V1945" i="15"/>
  <c r="W1945" i="15"/>
  <c r="X1945" i="15"/>
  <c r="Y1945" i="15"/>
  <c r="Z1945" i="15"/>
  <c r="AA1945" i="15"/>
  <c r="AB1945" i="15"/>
  <c r="AC1945" i="15"/>
  <c r="AD1945" i="15"/>
  <c r="AE1945" i="15"/>
  <c r="AF1945" i="15"/>
  <c r="AG1945" i="15"/>
  <c r="AH1945" i="15"/>
  <c r="AI1945" i="15"/>
  <c r="AJ1945" i="15"/>
  <c r="AK1945" i="15"/>
  <c r="AL1945" i="15"/>
  <c r="AM1945" i="15"/>
  <c r="AN1945" i="15"/>
  <c r="AO1945" i="15"/>
  <c r="R1946" i="15"/>
  <c r="S1946" i="15"/>
  <c r="T1946" i="15"/>
  <c r="U1946" i="15"/>
  <c r="V1946" i="15"/>
  <c r="W1946" i="15"/>
  <c r="X1946" i="15"/>
  <c r="Y1946" i="15"/>
  <c r="Z1946" i="15"/>
  <c r="AA1946" i="15"/>
  <c r="AB1946" i="15"/>
  <c r="AC1946" i="15"/>
  <c r="AD1946" i="15"/>
  <c r="AE1946" i="15"/>
  <c r="AF1946" i="15"/>
  <c r="AG1946" i="15"/>
  <c r="AH1946" i="15"/>
  <c r="AI1946" i="15"/>
  <c r="AJ1946" i="15"/>
  <c r="AK1946" i="15"/>
  <c r="AL1946" i="15"/>
  <c r="AM1946" i="15"/>
  <c r="AN1946" i="15"/>
  <c r="AO1946" i="15"/>
  <c r="R1947" i="15"/>
  <c r="S1947" i="15"/>
  <c r="T1947" i="15"/>
  <c r="U1947" i="15"/>
  <c r="V1947" i="15"/>
  <c r="W1947" i="15"/>
  <c r="X1947" i="15"/>
  <c r="Y1947" i="15"/>
  <c r="Z1947" i="15"/>
  <c r="AA1947" i="15"/>
  <c r="AB1947" i="15"/>
  <c r="AC1947" i="15"/>
  <c r="AD1947" i="15"/>
  <c r="AE1947" i="15"/>
  <c r="AF1947" i="15"/>
  <c r="AG1947" i="15"/>
  <c r="AH1947" i="15"/>
  <c r="AI1947" i="15"/>
  <c r="AJ1947" i="15"/>
  <c r="AK1947" i="15"/>
  <c r="AL1947" i="15"/>
  <c r="AM1947" i="15"/>
  <c r="AN1947" i="15"/>
  <c r="AO1947" i="15"/>
  <c r="R1948" i="15"/>
  <c r="S1948" i="15"/>
  <c r="T1948" i="15"/>
  <c r="U1948" i="15"/>
  <c r="V1948" i="15"/>
  <c r="W1948" i="15"/>
  <c r="X1948" i="15"/>
  <c r="Y1948" i="15"/>
  <c r="Z1948" i="15"/>
  <c r="AA1948" i="15"/>
  <c r="AB1948" i="15"/>
  <c r="AC1948" i="15"/>
  <c r="AD1948" i="15"/>
  <c r="AE1948" i="15"/>
  <c r="AF1948" i="15"/>
  <c r="AG1948" i="15"/>
  <c r="AH1948" i="15"/>
  <c r="AI1948" i="15"/>
  <c r="AJ1948" i="15"/>
  <c r="AK1948" i="15"/>
  <c r="AL1948" i="15"/>
  <c r="AM1948" i="15"/>
  <c r="AN1948" i="15"/>
  <c r="AO1948" i="15"/>
  <c r="R1949" i="15"/>
  <c r="S1949" i="15"/>
  <c r="T1949" i="15"/>
  <c r="U1949" i="15"/>
  <c r="V1949" i="15"/>
  <c r="W1949" i="15"/>
  <c r="X1949" i="15"/>
  <c r="Y1949" i="15"/>
  <c r="Z1949" i="15"/>
  <c r="AA1949" i="15"/>
  <c r="AB1949" i="15"/>
  <c r="AC1949" i="15"/>
  <c r="AD1949" i="15"/>
  <c r="AE1949" i="15"/>
  <c r="AF1949" i="15"/>
  <c r="AG1949" i="15"/>
  <c r="AH1949" i="15"/>
  <c r="AI1949" i="15"/>
  <c r="AJ1949" i="15"/>
  <c r="AK1949" i="15"/>
  <c r="AL1949" i="15"/>
  <c r="AM1949" i="15"/>
  <c r="AN1949" i="15"/>
  <c r="AO1949" i="15"/>
  <c r="R1950" i="15"/>
  <c r="S1950" i="15"/>
  <c r="T1950" i="15"/>
  <c r="U1950" i="15"/>
  <c r="V1950" i="15"/>
  <c r="W1950" i="15"/>
  <c r="X1950" i="15"/>
  <c r="Y1950" i="15"/>
  <c r="Z1950" i="15"/>
  <c r="AA1950" i="15"/>
  <c r="AB1950" i="15"/>
  <c r="AC1950" i="15"/>
  <c r="AD1950" i="15"/>
  <c r="AE1950" i="15"/>
  <c r="AF1950" i="15"/>
  <c r="AG1950" i="15"/>
  <c r="AH1950" i="15"/>
  <c r="AI1950" i="15"/>
  <c r="AJ1950" i="15"/>
  <c r="AK1950" i="15"/>
  <c r="AL1950" i="15"/>
  <c r="AM1950" i="15"/>
  <c r="AN1950" i="15"/>
  <c r="AO1950" i="15"/>
  <c r="R1951" i="15"/>
  <c r="S1951" i="15"/>
  <c r="T1951" i="15"/>
  <c r="U1951" i="15"/>
  <c r="V1951" i="15"/>
  <c r="W1951" i="15"/>
  <c r="X1951" i="15"/>
  <c r="Y1951" i="15"/>
  <c r="Z1951" i="15"/>
  <c r="AA1951" i="15"/>
  <c r="AB1951" i="15"/>
  <c r="AC1951" i="15"/>
  <c r="AD1951" i="15"/>
  <c r="AE1951" i="15"/>
  <c r="AF1951" i="15"/>
  <c r="AG1951" i="15"/>
  <c r="AH1951" i="15"/>
  <c r="AI1951" i="15"/>
  <c r="AJ1951" i="15"/>
  <c r="AK1951" i="15"/>
  <c r="AL1951" i="15"/>
  <c r="AM1951" i="15"/>
  <c r="AN1951" i="15"/>
  <c r="AO1951" i="15"/>
  <c r="R1952" i="15"/>
  <c r="S1952" i="15"/>
  <c r="T1952" i="15"/>
  <c r="U1952" i="15"/>
  <c r="V1952" i="15"/>
  <c r="W1952" i="15"/>
  <c r="X1952" i="15"/>
  <c r="Y1952" i="15"/>
  <c r="Z1952" i="15"/>
  <c r="AA1952" i="15"/>
  <c r="AB1952" i="15"/>
  <c r="AC1952" i="15"/>
  <c r="AD1952" i="15"/>
  <c r="AE1952" i="15"/>
  <c r="AF1952" i="15"/>
  <c r="AG1952" i="15"/>
  <c r="AH1952" i="15"/>
  <c r="AI1952" i="15"/>
  <c r="AJ1952" i="15"/>
  <c r="AK1952" i="15"/>
  <c r="AL1952" i="15"/>
  <c r="AM1952" i="15"/>
  <c r="AN1952" i="15"/>
  <c r="AO1952" i="15"/>
  <c r="R1953" i="15"/>
  <c r="S1953" i="15"/>
  <c r="T1953" i="15"/>
  <c r="U1953" i="15"/>
  <c r="V1953" i="15"/>
  <c r="W1953" i="15"/>
  <c r="X1953" i="15"/>
  <c r="Y1953" i="15"/>
  <c r="Z1953" i="15"/>
  <c r="AA1953" i="15"/>
  <c r="AB1953" i="15"/>
  <c r="AC1953" i="15"/>
  <c r="AD1953" i="15"/>
  <c r="AE1953" i="15"/>
  <c r="AF1953" i="15"/>
  <c r="AG1953" i="15"/>
  <c r="AH1953" i="15"/>
  <c r="AI1953" i="15"/>
  <c r="AJ1953" i="15"/>
  <c r="AK1953" i="15"/>
  <c r="AL1953" i="15"/>
  <c r="AM1953" i="15"/>
  <c r="AN1953" i="15"/>
  <c r="AO1953" i="15"/>
  <c r="R1954" i="15"/>
  <c r="S1954" i="15"/>
  <c r="T1954" i="15"/>
  <c r="U1954" i="15"/>
  <c r="V1954" i="15"/>
  <c r="W1954" i="15"/>
  <c r="X1954" i="15"/>
  <c r="Y1954" i="15"/>
  <c r="Z1954" i="15"/>
  <c r="AA1954" i="15"/>
  <c r="AB1954" i="15"/>
  <c r="AC1954" i="15"/>
  <c r="AD1954" i="15"/>
  <c r="AE1954" i="15"/>
  <c r="AF1954" i="15"/>
  <c r="AG1954" i="15"/>
  <c r="AH1954" i="15"/>
  <c r="AI1954" i="15"/>
  <c r="AJ1954" i="15"/>
  <c r="AK1954" i="15"/>
  <c r="AL1954" i="15"/>
  <c r="AM1954" i="15"/>
  <c r="AN1954" i="15"/>
  <c r="AO1954" i="15"/>
  <c r="R1955" i="15"/>
  <c r="S1955" i="15"/>
  <c r="T1955" i="15"/>
  <c r="U1955" i="15"/>
  <c r="V1955" i="15"/>
  <c r="W1955" i="15"/>
  <c r="X1955" i="15"/>
  <c r="Y1955" i="15"/>
  <c r="Z1955" i="15"/>
  <c r="AA1955" i="15"/>
  <c r="AB1955" i="15"/>
  <c r="AC1955" i="15"/>
  <c r="AD1955" i="15"/>
  <c r="AE1955" i="15"/>
  <c r="AF1955" i="15"/>
  <c r="AG1955" i="15"/>
  <c r="AH1955" i="15"/>
  <c r="AI1955" i="15"/>
  <c r="AJ1955" i="15"/>
  <c r="AK1955" i="15"/>
  <c r="AL1955" i="15"/>
  <c r="AM1955" i="15"/>
  <c r="AN1955" i="15"/>
  <c r="AO1955" i="15"/>
  <c r="R1956" i="15"/>
  <c r="S1956" i="15"/>
  <c r="T1956" i="15"/>
  <c r="U1956" i="15"/>
  <c r="V1956" i="15"/>
  <c r="W1956" i="15"/>
  <c r="X1956" i="15"/>
  <c r="Y1956" i="15"/>
  <c r="Z1956" i="15"/>
  <c r="AA1956" i="15"/>
  <c r="AB1956" i="15"/>
  <c r="AC1956" i="15"/>
  <c r="AD1956" i="15"/>
  <c r="AE1956" i="15"/>
  <c r="AF1956" i="15"/>
  <c r="AG1956" i="15"/>
  <c r="AH1956" i="15"/>
  <c r="AI1956" i="15"/>
  <c r="AJ1956" i="15"/>
  <c r="AK1956" i="15"/>
  <c r="AL1956" i="15"/>
  <c r="AM1956" i="15"/>
  <c r="AN1956" i="15"/>
  <c r="AO1956" i="15"/>
  <c r="R1957" i="15"/>
  <c r="S1957" i="15"/>
  <c r="T1957" i="15"/>
  <c r="U1957" i="15"/>
  <c r="V1957" i="15"/>
  <c r="W1957" i="15"/>
  <c r="X1957" i="15"/>
  <c r="Y1957" i="15"/>
  <c r="Z1957" i="15"/>
  <c r="AA1957" i="15"/>
  <c r="AB1957" i="15"/>
  <c r="AC1957" i="15"/>
  <c r="AD1957" i="15"/>
  <c r="AE1957" i="15"/>
  <c r="AF1957" i="15"/>
  <c r="AG1957" i="15"/>
  <c r="AH1957" i="15"/>
  <c r="AI1957" i="15"/>
  <c r="AJ1957" i="15"/>
  <c r="AK1957" i="15"/>
  <c r="AL1957" i="15"/>
  <c r="AM1957" i="15"/>
  <c r="AN1957" i="15"/>
  <c r="AO1957" i="15"/>
  <c r="R1958" i="15"/>
  <c r="S1958" i="15"/>
  <c r="T1958" i="15"/>
  <c r="U1958" i="15"/>
  <c r="V1958" i="15"/>
  <c r="W1958" i="15"/>
  <c r="X1958" i="15"/>
  <c r="Y1958" i="15"/>
  <c r="Z1958" i="15"/>
  <c r="AA1958" i="15"/>
  <c r="AB1958" i="15"/>
  <c r="AC1958" i="15"/>
  <c r="AD1958" i="15"/>
  <c r="AE1958" i="15"/>
  <c r="AF1958" i="15"/>
  <c r="AG1958" i="15"/>
  <c r="AH1958" i="15"/>
  <c r="AI1958" i="15"/>
  <c r="AJ1958" i="15"/>
  <c r="AK1958" i="15"/>
  <c r="AL1958" i="15"/>
  <c r="AM1958" i="15"/>
  <c r="AN1958" i="15"/>
  <c r="AO1958" i="15"/>
  <c r="R1959" i="15"/>
  <c r="S1959" i="15"/>
  <c r="T1959" i="15"/>
  <c r="U1959" i="15"/>
  <c r="V1959" i="15"/>
  <c r="W1959" i="15"/>
  <c r="X1959" i="15"/>
  <c r="Y1959" i="15"/>
  <c r="Z1959" i="15"/>
  <c r="AA1959" i="15"/>
  <c r="AB1959" i="15"/>
  <c r="AC1959" i="15"/>
  <c r="AD1959" i="15"/>
  <c r="AE1959" i="15"/>
  <c r="AF1959" i="15"/>
  <c r="AG1959" i="15"/>
  <c r="AH1959" i="15"/>
  <c r="AI1959" i="15"/>
  <c r="AJ1959" i="15"/>
  <c r="AK1959" i="15"/>
  <c r="AL1959" i="15"/>
  <c r="AM1959" i="15"/>
  <c r="AN1959" i="15"/>
  <c r="AO1959" i="15"/>
  <c r="R1960" i="15"/>
  <c r="S1960" i="15"/>
  <c r="T1960" i="15"/>
  <c r="U1960" i="15"/>
  <c r="V1960" i="15"/>
  <c r="W1960" i="15"/>
  <c r="X1960" i="15"/>
  <c r="Y1960" i="15"/>
  <c r="Z1960" i="15"/>
  <c r="AA1960" i="15"/>
  <c r="AB1960" i="15"/>
  <c r="AC1960" i="15"/>
  <c r="AD1960" i="15"/>
  <c r="AE1960" i="15"/>
  <c r="AF1960" i="15"/>
  <c r="AG1960" i="15"/>
  <c r="AH1960" i="15"/>
  <c r="AI1960" i="15"/>
  <c r="AJ1960" i="15"/>
  <c r="AK1960" i="15"/>
  <c r="AL1960" i="15"/>
  <c r="AM1960" i="15"/>
  <c r="AN1960" i="15"/>
  <c r="AO1960" i="15"/>
  <c r="R1961" i="15"/>
  <c r="S1961" i="15"/>
  <c r="T1961" i="15"/>
  <c r="U1961" i="15"/>
  <c r="V1961" i="15"/>
  <c r="W1961" i="15"/>
  <c r="X1961" i="15"/>
  <c r="Y1961" i="15"/>
  <c r="Z1961" i="15"/>
  <c r="AA1961" i="15"/>
  <c r="AB1961" i="15"/>
  <c r="AC1961" i="15"/>
  <c r="AD1961" i="15"/>
  <c r="AE1961" i="15"/>
  <c r="AF1961" i="15"/>
  <c r="AG1961" i="15"/>
  <c r="AH1961" i="15"/>
  <c r="AI1961" i="15"/>
  <c r="AJ1961" i="15"/>
  <c r="AK1961" i="15"/>
  <c r="AL1961" i="15"/>
  <c r="AM1961" i="15"/>
  <c r="AN1961" i="15"/>
  <c r="AO1961" i="15"/>
  <c r="R1962" i="15"/>
  <c r="S1962" i="15"/>
  <c r="T1962" i="15"/>
  <c r="U1962" i="15"/>
  <c r="V1962" i="15"/>
  <c r="W1962" i="15"/>
  <c r="X1962" i="15"/>
  <c r="Y1962" i="15"/>
  <c r="Z1962" i="15"/>
  <c r="AA1962" i="15"/>
  <c r="AB1962" i="15"/>
  <c r="AC1962" i="15"/>
  <c r="AD1962" i="15"/>
  <c r="AE1962" i="15"/>
  <c r="AF1962" i="15"/>
  <c r="AG1962" i="15"/>
  <c r="AH1962" i="15"/>
  <c r="AI1962" i="15"/>
  <c r="AJ1962" i="15"/>
  <c r="AK1962" i="15"/>
  <c r="AL1962" i="15"/>
  <c r="AM1962" i="15"/>
  <c r="AN1962" i="15"/>
  <c r="AO1962" i="15"/>
  <c r="R1963" i="15"/>
  <c r="S1963" i="15"/>
  <c r="T1963" i="15"/>
  <c r="U1963" i="15"/>
  <c r="V1963" i="15"/>
  <c r="W1963" i="15"/>
  <c r="X1963" i="15"/>
  <c r="Y1963" i="15"/>
  <c r="Z1963" i="15"/>
  <c r="AA1963" i="15"/>
  <c r="AB1963" i="15"/>
  <c r="AC1963" i="15"/>
  <c r="AD1963" i="15"/>
  <c r="AE1963" i="15"/>
  <c r="AF1963" i="15"/>
  <c r="AG1963" i="15"/>
  <c r="AH1963" i="15"/>
  <c r="AI1963" i="15"/>
  <c r="AJ1963" i="15"/>
  <c r="AK1963" i="15"/>
  <c r="AL1963" i="15"/>
  <c r="AM1963" i="15"/>
  <c r="AN1963" i="15"/>
  <c r="AO1963" i="15"/>
  <c r="R1964" i="15"/>
  <c r="S1964" i="15"/>
  <c r="T1964" i="15"/>
  <c r="U1964" i="15"/>
  <c r="V1964" i="15"/>
  <c r="W1964" i="15"/>
  <c r="X1964" i="15"/>
  <c r="Y1964" i="15"/>
  <c r="Z1964" i="15"/>
  <c r="AA1964" i="15"/>
  <c r="AB1964" i="15"/>
  <c r="AC1964" i="15"/>
  <c r="AD1964" i="15"/>
  <c r="AE1964" i="15"/>
  <c r="AF1964" i="15"/>
  <c r="AG1964" i="15"/>
  <c r="AH1964" i="15"/>
  <c r="AI1964" i="15"/>
  <c r="AJ1964" i="15"/>
  <c r="AK1964" i="15"/>
  <c r="AL1964" i="15"/>
  <c r="AM1964" i="15"/>
  <c r="AN1964" i="15"/>
  <c r="AO1964" i="15"/>
  <c r="R1965" i="15"/>
  <c r="S1965" i="15"/>
  <c r="T1965" i="15"/>
  <c r="U1965" i="15"/>
  <c r="V1965" i="15"/>
  <c r="W1965" i="15"/>
  <c r="X1965" i="15"/>
  <c r="Y1965" i="15"/>
  <c r="Z1965" i="15"/>
  <c r="AA1965" i="15"/>
  <c r="AB1965" i="15"/>
  <c r="AC1965" i="15"/>
  <c r="AD1965" i="15"/>
  <c r="AE1965" i="15"/>
  <c r="AF1965" i="15"/>
  <c r="AG1965" i="15"/>
  <c r="AH1965" i="15"/>
  <c r="AI1965" i="15"/>
  <c r="AJ1965" i="15"/>
  <c r="AK1965" i="15"/>
  <c r="AL1965" i="15"/>
  <c r="AM1965" i="15"/>
  <c r="AN1965" i="15"/>
  <c r="AO1965" i="15"/>
  <c r="R1966" i="15"/>
  <c r="S1966" i="15"/>
  <c r="T1966" i="15"/>
  <c r="U1966" i="15"/>
  <c r="V1966" i="15"/>
  <c r="W1966" i="15"/>
  <c r="X1966" i="15"/>
  <c r="Y1966" i="15"/>
  <c r="Z1966" i="15"/>
  <c r="AA1966" i="15"/>
  <c r="AB1966" i="15"/>
  <c r="AC1966" i="15"/>
  <c r="AD1966" i="15"/>
  <c r="AE1966" i="15"/>
  <c r="AF1966" i="15"/>
  <c r="AG1966" i="15"/>
  <c r="AH1966" i="15"/>
  <c r="AI1966" i="15"/>
  <c r="AJ1966" i="15"/>
  <c r="AK1966" i="15"/>
  <c r="AL1966" i="15"/>
  <c r="AM1966" i="15"/>
  <c r="AN1966" i="15"/>
  <c r="AO1966" i="15"/>
  <c r="R1967" i="15"/>
  <c r="S1967" i="15"/>
  <c r="T1967" i="15"/>
  <c r="U1967" i="15"/>
  <c r="V1967" i="15"/>
  <c r="W1967" i="15"/>
  <c r="X1967" i="15"/>
  <c r="Y1967" i="15"/>
  <c r="Z1967" i="15"/>
  <c r="AA1967" i="15"/>
  <c r="AB1967" i="15"/>
  <c r="AC1967" i="15"/>
  <c r="AD1967" i="15"/>
  <c r="AE1967" i="15"/>
  <c r="AF1967" i="15"/>
  <c r="AG1967" i="15"/>
  <c r="AH1967" i="15"/>
  <c r="AI1967" i="15"/>
  <c r="AJ1967" i="15"/>
  <c r="AK1967" i="15"/>
  <c r="AL1967" i="15"/>
  <c r="AM1967" i="15"/>
  <c r="AN1967" i="15"/>
  <c r="AO1967" i="15"/>
  <c r="R1968" i="15"/>
  <c r="S1968" i="15"/>
  <c r="T1968" i="15"/>
  <c r="U1968" i="15"/>
  <c r="V1968" i="15"/>
  <c r="W1968" i="15"/>
  <c r="X1968" i="15"/>
  <c r="Y1968" i="15"/>
  <c r="Z1968" i="15"/>
  <c r="AA1968" i="15"/>
  <c r="AB1968" i="15"/>
  <c r="AC1968" i="15"/>
  <c r="AD1968" i="15"/>
  <c r="AE1968" i="15"/>
  <c r="AF1968" i="15"/>
  <c r="AG1968" i="15"/>
  <c r="AH1968" i="15"/>
  <c r="AI1968" i="15"/>
  <c r="AJ1968" i="15"/>
  <c r="AK1968" i="15"/>
  <c r="AL1968" i="15"/>
  <c r="AM1968" i="15"/>
  <c r="AN1968" i="15"/>
  <c r="AO1968" i="15"/>
  <c r="R1969" i="15"/>
  <c r="S1969" i="15"/>
  <c r="T1969" i="15"/>
  <c r="U1969" i="15"/>
  <c r="V1969" i="15"/>
  <c r="W1969" i="15"/>
  <c r="X1969" i="15"/>
  <c r="Y1969" i="15"/>
  <c r="Z1969" i="15"/>
  <c r="AA1969" i="15"/>
  <c r="AB1969" i="15"/>
  <c r="AC1969" i="15"/>
  <c r="AD1969" i="15"/>
  <c r="AE1969" i="15"/>
  <c r="AF1969" i="15"/>
  <c r="AG1969" i="15"/>
  <c r="AH1969" i="15"/>
  <c r="AI1969" i="15"/>
  <c r="AJ1969" i="15"/>
  <c r="AK1969" i="15"/>
  <c r="AL1969" i="15"/>
  <c r="AM1969" i="15"/>
  <c r="AN1969" i="15"/>
  <c r="AO1969" i="15"/>
  <c r="R1970" i="15"/>
  <c r="S1970" i="15"/>
  <c r="T1970" i="15"/>
  <c r="U1970" i="15"/>
  <c r="V1970" i="15"/>
  <c r="W1970" i="15"/>
  <c r="X1970" i="15"/>
  <c r="Y1970" i="15"/>
  <c r="Z1970" i="15"/>
  <c r="AA1970" i="15"/>
  <c r="AB1970" i="15"/>
  <c r="AC1970" i="15"/>
  <c r="AD1970" i="15"/>
  <c r="AE1970" i="15"/>
  <c r="AF1970" i="15"/>
  <c r="AG1970" i="15"/>
  <c r="AH1970" i="15"/>
  <c r="AI1970" i="15"/>
  <c r="AJ1970" i="15"/>
  <c r="AK1970" i="15"/>
  <c r="AL1970" i="15"/>
  <c r="AM1970" i="15"/>
  <c r="AN1970" i="15"/>
  <c r="AO1970" i="15"/>
  <c r="R1971" i="15"/>
  <c r="S1971" i="15"/>
  <c r="T1971" i="15"/>
  <c r="U1971" i="15"/>
  <c r="V1971" i="15"/>
  <c r="W1971" i="15"/>
  <c r="X1971" i="15"/>
  <c r="Y1971" i="15"/>
  <c r="Z1971" i="15"/>
  <c r="AA1971" i="15"/>
  <c r="AB1971" i="15"/>
  <c r="AC1971" i="15"/>
  <c r="AD1971" i="15"/>
  <c r="AE1971" i="15"/>
  <c r="AF1971" i="15"/>
  <c r="AG1971" i="15"/>
  <c r="AH1971" i="15"/>
  <c r="AI1971" i="15"/>
  <c r="AJ1971" i="15"/>
  <c r="AK1971" i="15"/>
  <c r="AL1971" i="15"/>
  <c r="AM1971" i="15"/>
  <c r="AN1971" i="15"/>
  <c r="AO1971" i="15"/>
  <c r="R1972" i="15"/>
  <c r="S1972" i="15"/>
  <c r="T1972" i="15"/>
  <c r="U1972" i="15"/>
  <c r="V1972" i="15"/>
  <c r="W1972" i="15"/>
  <c r="X1972" i="15"/>
  <c r="Y1972" i="15"/>
  <c r="Z1972" i="15"/>
  <c r="AA1972" i="15"/>
  <c r="AB1972" i="15"/>
  <c r="AC1972" i="15"/>
  <c r="AD1972" i="15"/>
  <c r="AE1972" i="15"/>
  <c r="AF1972" i="15"/>
  <c r="AG1972" i="15"/>
  <c r="AH1972" i="15"/>
  <c r="AI1972" i="15"/>
  <c r="AJ1972" i="15"/>
  <c r="AK1972" i="15"/>
  <c r="AL1972" i="15"/>
  <c r="AM1972" i="15"/>
  <c r="AN1972" i="15"/>
  <c r="AO1972" i="15"/>
  <c r="R1973" i="15"/>
  <c r="S1973" i="15"/>
  <c r="T1973" i="15"/>
  <c r="U1973" i="15"/>
  <c r="V1973" i="15"/>
  <c r="W1973" i="15"/>
  <c r="X1973" i="15"/>
  <c r="Y1973" i="15"/>
  <c r="Z1973" i="15"/>
  <c r="AA1973" i="15"/>
  <c r="AB1973" i="15"/>
  <c r="AC1973" i="15"/>
  <c r="AD1973" i="15"/>
  <c r="AE1973" i="15"/>
  <c r="AF1973" i="15"/>
  <c r="AG1973" i="15"/>
  <c r="AH1973" i="15"/>
  <c r="AI1973" i="15"/>
  <c r="AJ1973" i="15"/>
  <c r="AK1973" i="15"/>
  <c r="AL1973" i="15"/>
  <c r="AM1973" i="15"/>
  <c r="AN1973" i="15"/>
  <c r="AO1973" i="15"/>
  <c r="R1974" i="15"/>
  <c r="S1974" i="15"/>
  <c r="T1974" i="15"/>
  <c r="U1974" i="15"/>
  <c r="V1974" i="15"/>
  <c r="W1974" i="15"/>
  <c r="X1974" i="15"/>
  <c r="Y1974" i="15"/>
  <c r="Z1974" i="15"/>
  <c r="AA1974" i="15"/>
  <c r="AB1974" i="15"/>
  <c r="AC1974" i="15"/>
  <c r="AD1974" i="15"/>
  <c r="AE1974" i="15"/>
  <c r="AF1974" i="15"/>
  <c r="AG1974" i="15"/>
  <c r="AH1974" i="15"/>
  <c r="AI1974" i="15"/>
  <c r="AJ1974" i="15"/>
  <c r="AK1974" i="15"/>
  <c r="AL1974" i="15"/>
  <c r="AM1974" i="15"/>
  <c r="AN1974" i="15"/>
  <c r="AO1974" i="15"/>
  <c r="R1975" i="15"/>
  <c r="S1975" i="15"/>
  <c r="T1975" i="15"/>
  <c r="U1975" i="15"/>
  <c r="V1975" i="15"/>
  <c r="W1975" i="15"/>
  <c r="X1975" i="15"/>
  <c r="Y1975" i="15"/>
  <c r="Z1975" i="15"/>
  <c r="AA1975" i="15"/>
  <c r="AB1975" i="15"/>
  <c r="AC1975" i="15"/>
  <c r="AD1975" i="15"/>
  <c r="AE1975" i="15"/>
  <c r="AF1975" i="15"/>
  <c r="AG1975" i="15"/>
  <c r="AH1975" i="15"/>
  <c r="AI1975" i="15"/>
  <c r="AJ1975" i="15"/>
  <c r="AK1975" i="15"/>
  <c r="AL1975" i="15"/>
  <c r="AM1975" i="15"/>
  <c r="AN1975" i="15"/>
  <c r="AO1975" i="15"/>
  <c r="R1976" i="15"/>
  <c r="S1976" i="15"/>
  <c r="T1976" i="15"/>
  <c r="U1976" i="15"/>
  <c r="V1976" i="15"/>
  <c r="W1976" i="15"/>
  <c r="X1976" i="15"/>
  <c r="Y1976" i="15"/>
  <c r="Z1976" i="15"/>
  <c r="AA1976" i="15"/>
  <c r="AB1976" i="15"/>
  <c r="AC1976" i="15"/>
  <c r="AD1976" i="15"/>
  <c r="AE1976" i="15"/>
  <c r="AF1976" i="15"/>
  <c r="AG1976" i="15"/>
  <c r="AH1976" i="15"/>
  <c r="AI1976" i="15"/>
  <c r="AJ1976" i="15"/>
  <c r="AK1976" i="15"/>
  <c r="AL1976" i="15"/>
  <c r="AM1976" i="15"/>
  <c r="AN1976" i="15"/>
  <c r="AO1976" i="15"/>
  <c r="R1977" i="15"/>
  <c r="S1977" i="15"/>
  <c r="T1977" i="15"/>
  <c r="U1977" i="15"/>
  <c r="V1977" i="15"/>
  <c r="W1977" i="15"/>
  <c r="X1977" i="15"/>
  <c r="Y1977" i="15"/>
  <c r="Z1977" i="15"/>
  <c r="AA1977" i="15"/>
  <c r="AB1977" i="15"/>
  <c r="AC1977" i="15"/>
  <c r="AD1977" i="15"/>
  <c r="AE1977" i="15"/>
  <c r="AF1977" i="15"/>
  <c r="AG1977" i="15"/>
  <c r="AH1977" i="15"/>
  <c r="AI1977" i="15"/>
  <c r="AJ1977" i="15"/>
  <c r="AK1977" i="15"/>
  <c r="AL1977" i="15"/>
  <c r="AM1977" i="15"/>
  <c r="AN1977" i="15"/>
  <c r="AO1977" i="15"/>
  <c r="R1978" i="15"/>
  <c r="S1978" i="15"/>
  <c r="T1978" i="15"/>
  <c r="U1978" i="15"/>
  <c r="V1978" i="15"/>
  <c r="W1978" i="15"/>
  <c r="X1978" i="15"/>
  <c r="Y1978" i="15"/>
  <c r="Z1978" i="15"/>
  <c r="AA1978" i="15"/>
  <c r="AB1978" i="15"/>
  <c r="AC1978" i="15"/>
  <c r="AD1978" i="15"/>
  <c r="AE1978" i="15"/>
  <c r="AF1978" i="15"/>
  <c r="AG1978" i="15"/>
  <c r="AH1978" i="15"/>
  <c r="AI1978" i="15"/>
  <c r="AJ1978" i="15"/>
  <c r="AK1978" i="15"/>
  <c r="AL1978" i="15"/>
  <c r="AM1978" i="15"/>
  <c r="AN1978" i="15"/>
  <c r="AO1978" i="15"/>
  <c r="R1979" i="15"/>
  <c r="S1979" i="15"/>
  <c r="T1979" i="15"/>
  <c r="U1979" i="15"/>
  <c r="V1979" i="15"/>
  <c r="W1979" i="15"/>
  <c r="X1979" i="15"/>
  <c r="Y1979" i="15"/>
  <c r="Z1979" i="15"/>
  <c r="AA1979" i="15"/>
  <c r="AB1979" i="15"/>
  <c r="AC1979" i="15"/>
  <c r="AD1979" i="15"/>
  <c r="AE1979" i="15"/>
  <c r="AF1979" i="15"/>
  <c r="AG1979" i="15"/>
  <c r="AH1979" i="15"/>
  <c r="AI1979" i="15"/>
  <c r="AJ1979" i="15"/>
  <c r="AK1979" i="15"/>
  <c r="AL1979" i="15"/>
  <c r="AM1979" i="15"/>
  <c r="AN1979" i="15"/>
  <c r="AO1979" i="15"/>
  <c r="R1980" i="15"/>
  <c r="S1980" i="15"/>
  <c r="T1980" i="15"/>
  <c r="U1980" i="15"/>
  <c r="V1980" i="15"/>
  <c r="W1980" i="15"/>
  <c r="X1980" i="15"/>
  <c r="Y1980" i="15"/>
  <c r="Z1980" i="15"/>
  <c r="AA1980" i="15"/>
  <c r="AB1980" i="15"/>
  <c r="AC1980" i="15"/>
  <c r="AD1980" i="15"/>
  <c r="AE1980" i="15"/>
  <c r="AF1980" i="15"/>
  <c r="AG1980" i="15"/>
  <c r="AH1980" i="15"/>
  <c r="AI1980" i="15"/>
  <c r="AJ1980" i="15"/>
  <c r="AK1980" i="15"/>
  <c r="AL1980" i="15"/>
  <c r="AM1980" i="15"/>
  <c r="AN1980" i="15"/>
  <c r="AO1980" i="15"/>
  <c r="R1981" i="15"/>
  <c r="S1981" i="15"/>
  <c r="T1981" i="15"/>
  <c r="U1981" i="15"/>
  <c r="V1981" i="15"/>
  <c r="W1981" i="15"/>
  <c r="X1981" i="15"/>
  <c r="Y1981" i="15"/>
  <c r="Z1981" i="15"/>
  <c r="AA1981" i="15"/>
  <c r="AB1981" i="15"/>
  <c r="AC1981" i="15"/>
  <c r="AD1981" i="15"/>
  <c r="AE1981" i="15"/>
  <c r="AF1981" i="15"/>
  <c r="AG1981" i="15"/>
  <c r="AH1981" i="15"/>
  <c r="AI1981" i="15"/>
  <c r="AJ1981" i="15"/>
  <c r="AK1981" i="15"/>
  <c r="AL1981" i="15"/>
  <c r="AM1981" i="15"/>
  <c r="AN1981" i="15"/>
  <c r="AO1981" i="15"/>
  <c r="R1982" i="15"/>
  <c r="S1982" i="15"/>
  <c r="T1982" i="15"/>
  <c r="U1982" i="15"/>
  <c r="V1982" i="15"/>
  <c r="W1982" i="15"/>
  <c r="X1982" i="15"/>
  <c r="Y1982" i="15"/>
  <c r="Z1982" i="15"/>
  <c r="AA1982" i="15"/>
  <c r="AB1982" i="15"/>
  <c r="AC1982" i="15"/>
  <c r="AD1982" i="15"/>
  <c r="AE1982" i="15"/>
  <c r="AF1982" i="15"/>
  <c r="AG1982" i="15"/>
  <c r="AH1982" i="15"/>
  <c r="AI1982" i="15"/>
  <c r="AJ1982" i="15"/>
  <c r="AK1982" i="15"/>
  <c r="AL1982" i="15"/>
  <c r="AM1982" i="15"/>
  <c r="AN1982" i="15"/>
  <c r="AO1982" i="15"/>
  <c r="R1983" i="15"/>
  <c r="S1983" i="15"/>
  <c r="T1983" i="15"/>
  <c r="U1983" i="15"/>
  <c r="V1983" i="15"/>
  <c r="W1983" i="15"/>
  <c r="X1983" i="15"/>
  <c r="Y1983" i="15"/>
  <c r="Z1983" i="15"/>
  <c r="AA1983" i="15"/>
  <c r="AB1983" i="15"/>
  <c r="AC1983" i="15"/>
  <c r="AD1983" i="15"/>
  <c r="AE1983" i="15"/>
  <c r="AF1983" i="15"/>
  <c r="AG1983" i="15"/>
  <c r="AH1983" i="15"/>
  <c r="AI1983" i="15"/>
  <c r="AJ1983" i="15"/>
  <c r="AK1983" i="15"/>
  <c r="AL1983" i="15"/>
  <c r="AM1983" i="15"/>
  <c r="AN1983" i="15"/>
  <c r="AO1983" i="15"/>
  <c r="R1984" i="15"/>
  <c r="S1984" i="15"/>
  <c r="T1984" i="15"/>
  <c r="U1984" i="15"/>
  <c r="V1984" i="15"/>
  <c r="W1984" i="15"/>
  <c r="X1984" i="15"/>
  <c r="Y1984" i="15"/>
  <c r="Z1984" i="15"/>
  <c r="AA1984" i="15"/>
  <c r="AB1984" i="15"/>
  <c r="AC1984" i="15"/>
  <c r="AD1984" i="15"/>
  <c r="AE1984" i="15"/>
  <c r="AF1984" i="15"/>
  <c r="AG1984" i="15"/>
  <c r="AH1984" i="15"/>
  <c r="AI1984" i="15"/>
  <c r="AJ1984" i="15"/>
  <c r="AK1984" i="15"/>
  <c r="AL1984" i="15"/>
  <c r="AM1984" i="15"/>
  <c r="AN1984" i="15"/>
  <c r="AO1984" i="15"/>
  <c r="R1985" i="15"/>
  <c r="S1985" i="15"/>
  <c r="T1985" i="15"/>
  <c r="U1985" i="15"/>
  <c r="V1985" i="15"/>
  <c r="W1985" i="15"/>
  <c r="X1985" i="15"/>
  <c r="Y1985" i="15"/>
  <c r="Z1985" i="15"/>
  <c r="AA1985" i="15"/>
  <c r="AB1985" i="15"/>
  <c r="AC1985" i="15"/>
  <c r="AD1985" i="15"/>
  <c r="AE1985" i="15"/>
  <c r="AF1985" i="15"/>
  <c r="AG1985" i="15"/>
  <c r="AH1985" i="15"/>
  <c r="AI1985" i="15"/>
  <c r="AJ1985" i="15"/>
  <c r="AK1985" i="15"/>
  <c r="AL1985" i="15"/>
  <c r="AM1985" i="15"/>
  <c r="AN1985" i="15"/>
  <c r="AO1985" i="15"/>
  <c r="R1986" i="15"/>
  <c r="S1986" i="15"/>
  <c r="T1986" i="15"/>
  <c r="U1986" i="15"/>
  <c r="V1986" i="15"/>
  <c r="W1986" i="15"/>
  <c r="X1986" i="15"/>
  <c r="Y1986" i="15"/>
  <c r="Z1986" i="15"/>
  <c r="AA1986" i="15"/>
  <c r="AB1986" i="15"/>
  <c r="AC1986" i="15"/>
  <c r="AD1986" i="15"/>
  <c r="AE1986" i="15"/>
  <c r="AF1986" i="15"/>
  <c r="AG1986" i="15"/>
  <c r="AH1986" i="15"/>
  <c r="AI1986" i="15"/>
  <c r="AJ1986" i="15"/>
  <c r="AK1986" i="15"/>
  <c r="AL1986" i="15"/>
  <c r="AM1986" i="15"/>
  <c r="AN1986" i="15"/>
  <c r="AO1986" i="15"/>
  <c r="R1987" i="15"/>
  <c r="S1987" i="15"/>
  <c r="T1987" i="15"/>
  <c r="U1987" i="15"/>
  <c r="V1987" i="15"/>
  <c r="W1987" i="15"/>
  <c r="X1987" i="15"/>
  <c r="Y1987" i="15"/>
  <c r="Z1987" i="15"/>
  <c r="AA1987" i="15"/>
  <c r="AB1987" i="15"/>
  <c r="AC1987" i="15"/>
  <c r="AD1987" i="15"/>
  <c r="AE1987" i="15"/>
  <c r="AF1987" i="15"/>
  <c r="AG1987" i="15"/>
  <c r="AH1987" i="15"/>
  <c r="AI1987" i="15"/>
  <c r="AJ1987" i="15"/>
  <c r="AK1987" i="15"/>
  <c r="AL1987" i="15"/>
  <c r="AM1987" i="15"/>
  <c r="AN1987" i="15"/>
  <c r="AO1987" i="15"/>
  <c r="R1988" i="15"/>
  <c r="S1988" i="15"/>
  <c r="T1988" i="15"/>
  <c r="U1988" i="15"/>
  <c r="V1988" i="15"/>
  <c r="W1988" i="15"/>
  <c r="X1988" i="15"/>
  <c r="Y1988" i="15"/>
  <c r="Z1988" i="15"/>
  <c r="AA1988" i="15"/>
  <c r="AB1988" i="15"/>
  <c r="AC1988" i="15"/>
  <c r="AD1988" i="15"/>
  <c r="AE1988" i="15"/>
  <c r="AF1988" i="15"/>
  <c r="AG1988" i="15"/>
  <c r="AH1988" i="15"/>
  <c r="AI1988" i="15"/>
  <c r="AJ1988" i="15"/>
  <c r="AK1988" i="15"/>
  <c r="AL1988" i="15"/>
  <c r="AM1988" i="15"/>
  <c r="AN1988" i="15"/>
  <c r="AO1988" i="15"/>
  <c r="R1989" i="15"/>
  <c r="S1989" i="15"/>
  <c r="T1989" i="15"/>
  <c r="U1989" i="15"/>
  <c r="V1989" i="15"/>
  <c r="W1989" i="15"/>
  <c r="X1989" i="15"/>
  <c r="Y1989" i="15"/>
  <c r="Z1989" i="15"/>
  <c r="AA1989" i="15"/>
  <c r="AB1989" i="15"/>
  <c r="AC1989" i="15"/>
  <c r="AD1989" i="15"/>
  <c r="AE1989" i="15"/>
  <c r="AF1989" i="15"/>
  <c r="AG1989" i="15"/>
  <c r="AH1989" i="15"/>
  <c r="AI1989" i="15"/>
  <c r="AJ1989" i="15"/>
  <c r="AK1989" i="15"/>
  <c r="AL1989" i="15"/>
  <c r="AM1989" i="15"/>
  <c r="AN1989" i="15"/>
  <c r="AO1989" i="15"/>
  <c r="R1990" i="15"/>
  <c r="S1990" i="15"/>
  <c r="T1990" i="15"/>
  <c r="U1990" i="15"/>
  <c r="V1990" i="15"/>
  <c r="W1990" i="15"/>
  <c r="X1990" i="15"/>
  <c r="Y1990" i="15"/>
  <c r="Z1990" i="15"/>
  <c r="AA1990" i="15"/>
  <c r="AB1990" i="15"/>
  <c r="AC1990" i="15"/>
  <c r="AD1990" i="15"/>
  <c r="AE1990" i="15"/>
  <c r="AF1990" i="15"/>
  <c r="AG1990" i="15"/>
  <c r="AH1990" i="15"/>
  <c r="AI1990" i="15"/>
  <c r="AJ1990" i="15"/>
  <c r="AK1990" i="15"/>
  <c r="AL1990" i="15"/>
  <c r="AM1990" i="15"/>
  <c r="AN1990" i="15"/>
  <c r="AO1990" i="15"/>
  <c r="R1991" i="15"/>
  <c r="S1991" i="15"/>
  <c r="T1991" i="15"/>
  <c r="U1991" i="15"/>
  <c r="V1991" i="15"/>
  <c r="W1991" i="15"/>
  <c r="X1991" i="15"/>
  <c r="Y1991" i="15"/>
  <c r="Z1991" i="15"/>
  <c r="AA1991" i="15"/>
  <c r="AB1991" i="15"/>
  <c r="AC1991" i="15"/>
  <c r="AD1991" i="15"/>
  <c r="AE1991" i="15"/>
  <c r="AF1991" i="15"/>
  <c r="AG1991" i="15"/>
  <c r="AH1991" i="15"/>
  <c r="AI1991" i="15"/>
  <c r="AJ1991" i="15"/>
  <c r="AK1991" i="15"/>
  <c r="AL1991" i="15"/>
  <c r="AM1991" i="15"/>
  <c r="AN1991" i="15"/>
  <c r="AO1991" i="15"/>
  <c r="R1992" i="15"/>
  <c r="S1992" i="15"/>
  <c r="T1992" i="15"/>
  <c r="U1992" i="15"/>
  <c r="V1992" i="15"/>
  <c r="W1992" i="15"/>
  <c r="X1992" i="15"/>
  <c r="Y1992" i="15"/>
  <c r="Z1992" i="15"/>
  <c r="AA1992" i="15"/>
  <c r="AB1992" i="15"/>
  <c r="AC1992" i="15"/>
  <c r="AD1992" i="15"/>
  <c r="AE1992" i="15"/>
  <c r="AF1992" i="15"/>
  <c r="AG1992" i="15"/>
  <c r="AH1992" i="15"/>
  <c r="AI1992" i="15"/>
  <c r="AJ1992" i="15"/>
  <c r="AK1992" i="15"/>
  <c r="AL1992" i="15"/>
  <c r="AM1992" i="15"/>
  <c r="AN1992" i="15"/>
  <c r="AO1992" i="15"/>
  <c r="R1993" i="15"/>
  <c r="S1993" i="15"/>
  <c r="T1993" i="15"/>
  <c r="U1993" i="15"/>
  <c r="V1993" i="15"/>
  <c r="W1993" i="15"/>
  <c r="X1993" i="15"/>
  <c r="Y1993" i="15"/>
  <c r="Z1993" i="15"/>
  <c r="AA1993" i="15"/>
  <c r="AB1993" i="15"/>
  <c r="AC1993" i="15"/>
  <c r="AD1993" i="15"/>
  <c r="AE1993" i="15"/>
  <c r="AF1993" i="15"/>
  <c r="AG1993" i="15"/>
  <c r="AH1993" i="15"/>
  <c r="AI1993" i="15"/>
  <c r="AJ1993" i="15"/>
  <c r="AK1993" i="15"/>
  <c r="AL1993" i="15"/>
  <c r="AM1993" i="15"/>
  <c r="AN1993" i="15"/>
  <c r="AO1993" i="15"/>
  <c r="R1994" i="15"/>
  <c r="S1994" i="15"/>
  <c r="T1994" i="15"/>
  <c r="U1994" i="15"/>
  <c r="V1994" i="15"/>
  <c r="W1994" i="15"/>
  <c r="X1994" i="15"/>
  <c r="Y1994" i="15"/>
  <c r="Z1994" i="15"/>
  <c r="AA1994" i="15"/>
  <c r="AB1994" i="15"/>
  <c r="AC1994" i="15"/>
  <c r="AD1994" i="15"/>
  <c r="AE1994" i="15"/>
  <c r="AF1994" i="15"/>
  <c r="AG1994" i="15"/>
  <c r="AH1994" i="15"/>
  <c r="AI1994" i="15"/>
  <c r="AJ1994" i="15"/>
  <c r="AK1994" i="15"/>
  <c r="AL1994" i="15"/>
  <c r="AM1994" i="15"/>
  <c r="AN1994" i="15"/>
  <c r="AO1994" i="15"/>
  <c r="R1995" i="15"/>
  <c r="S1995" i="15"/>
  <c r="T1995" i="15"/>
  <c r="U1995" i="15"/>
  <c r="V1995" i="15"/>
  <c r="W1995" i="15"/>
  <c r="X1995" i="15"/>
  <c r="Y1995" i="15"/>
  <c r="Z1995" i="15"/>
  <c r="AA1995" i="15"/>
  <c r="AB1995" i="15"/>
  <c r="AC1995" i="15"/>
  <c r="AD1995" i="15"/>
  <c r="AE1995" i="15"/>
  <c r="AF1995" i="15"/>
  <c r="AG1995" i="15"/>
  <c r="AH1995" i="15"/>
  <c r="AI1995" i="15"/>
  <c r="AJ1995" i="15"/>
  <c r="AK1995" i="15"/>
  <c r="AL1995" i="15"/>
  <c r="AM1995" i="15"/>
  <c r="AN1995" i="15"/>
  <c r="AO1995" i="15"/>
  <c r="R1996" i="15"/>
  <c r="S1996" i="15"/>
  <c r="T1996" i="15"/>
  <c r="U1996" i="15"/>
  <c r="V1996" i="15"/>
  <c r="W1996" i="15"/>
  <c r="X1996" i="15"/>
  <c r="Y1996" i="15"/>
  <c r="Z1996" i="15"/>
  <c r="AA1996" i="15"/>
  <c r="AB1996" i="15"/>
  <c r="AC1996" i="15"/>
  <c r="AD1996" i="15"/>
  <c r="AE1996" i="15"/>
  <c r="AF1996" i="15"/>
  <c r="AG1996" i="15"/>
  <c r="AH1996" i="15"/>
  <c r="AI1996" i="15"/>
  <c r="AJ1996" i="15"/>
  <c r="AK1996" i="15"/>
  <c r="AL1996" i="15"/>
  <c r="AM1996" i="15"/>
  <c r="AN1996" i="15"/>
  <c r="AO1996" i="15"/>
  <c r="R1997" i="15"/>
  <c r="S1997" i="15"/>
  <c r="T1997" i="15"/>
  <c r="U1997" i="15"/>
  <c r="V1997" i="15"/>
  <c r="W1997" i="15"/>
  <c r="X1997" i="15"/>
  <c r="Y1997" i="15"/>
  <c r="Z1997" i="15"/>
  <c r="AA1997" i="15"/>
  <c r="AB1997" i="15"/>
  <c r="AC1997" i="15"/>
  <c r="AD1997" i="15"/>
  <c r="AE1997" i="15"/>
  <c r="AF1997" i="15"/>
  <c r="AG1997" i="15"/>
  <c r="AH1997" i="15"/>
  <c r="AI1997" i="15"/>
  <c r="AJ1997" i="15"/>
  <c r="AK1997" i="15"/>
  <c r="AL1997" i="15"/>
  <c r="AM1997" i="15"/>
  <c r="AN1997" i="15"/>
  <c r="AO1997" i="15"/>
  <c r="R1998" i="15"/>
  <c r="S1998" i="15"/>
  <c r="T1998" i="15"/>
  <c r="U1998" i="15"/>
  <c r="V1998" i="15"/>
  <c r="W1998" i="15"/>
  <c r="X1998" i="15"/>
  <c r="Y1998" i="15"/>
  <c r="Z1998" i="15"/>
  <c r="AA1998" i="15"/>
  <c r="AB1998" i="15"/>
  <c r="AC1998" i="15"/>
  <c r="AD1998" i="15"/>
  <c r="AE1998" i="15"/>
  <c r="AF1998" i="15"/>
  <c r="AG1998" i="15"/>
  <c r="AH1998" i="15"/>
  <c r="AI1998" i="15"/>
  <c r="AJ1998" i="15"/>
  <c r="AK1998" i="15"/>
  <c r="AL1998" i="15"/>
  <c r="AM1998" i="15"/>
  <c r="AN1998" i="15"/>
  <c r="AO1998" i="15"/>
  <c r="R1999" i="15"/>
  <c r="S1999" i="15"/>
  <c r="T1999" i="15"/>
  <c r="U1999" i="15"/>
  <c r="V1999" i="15"/>
  <c r="W1999" i="15"/>
  <c r="X1999" i="15"/>
  <c r="Y1999" i="15"/>
  <c r="Z1999" i="15"/>
  <c r="AA1999" i="15"/>
  <c r="AB1999" i="15"/>
  <c r="AC1999" i="15"/>
  <c r="AD1999" i="15"/>
  <c r="AE1999" i="15"/>
  <c r="AF1999" i="15"/>
  <c r="AG1999" i="15"/>
  <c r="AH1999" i="15"/>
  <c r="AI1999" i="15"/>
  <c r="AJ1999" i="15"/>
  <c r="AK1999" i="15"/>
  <c r="AL1999" i="15"/>
  <c r="AM1999" i="15"/>
  <c r="AN1999" i="15"/>
  <c r="AO1999" i="15"/>
  <c r="R2000" i="15"/>
  <c r="S2000" i="15"/>
  <c r="T2000" i="15"/>
  <c r="U2000" i="15"/>
  <c r="V2000" i="15"/>
  <c r="W2000" i="15"/>
  <c r="X2000" i="15"/>
  <c r="Y2000" i="15"/>
  <c r="Z2000" i="15"/>
  <c r="AA2000" i="15"/>
  <c r="AB2000" i="15"/>
  <c r="AC2000" i="15"/>
  <c r="AD2000" i="15"/>
  <c r="AE2000" i="15"/>
  <c r="AF2000" i="15"/>
  <c r="AG2000" i="15"/>
  <c r="AH2000" i="15"/>
  <c r="AI2000" i="15"/>
  <c r="AJ2000" i="15"/>
  <c r="AK2000" i="15"/>
  <c r="AL2000" i="15"/>
  <c r="AM2000" i="15"/>
  <c r="AN2000" i="15"/>
  <c r="AO2000" i="15"/>
  <c r="R2001" i="15"/>
  <c r="S2001" i="15"/>
  <c r="T2001" i="15"/>
  <c r="U2001" i="15"/>
  <c r="V2001" i="15"/>
  <c r="W2001" i="15"/>
  <c r="X2001" i="15"/>
  <c r="Y2001" i="15"/>
  <c r="Z2001" i="15"/>
  <c r="AA2001" i="15"/>
  <c r="AB2001" i="15"/>
  <c r="AC2001" i="15"/>
  <c r="AD2001" i="15"/>
  <c r="AE2001" i="15"/>
  <c r="AF2001" i="15"/>
  <c r="AG2001" i="15"/>
  <c r="AH2001" i="15"/>
  <c r="AI2001" i="15"/>
  <c r="AJ2001" i="15"/>
  <c r="AK2001" i="15"/>
  <c r="AL2001" i="15"/>
  <c r="AM2001" i="15"/>
  <c r="AN2001" i="15"/>
  <c r="AO2001" i="15"/>
  <c r="R2002" i="15"/>
  <c r="S2002" i="15"/>
  <c r="T2002" i="15"/>
  <c r="U2002" i="15"/>
  <c r="V2002" i="15"/>
  <c r="W2002" i="15"/>
  <c r="X2002" i="15"/>
  <c r="Y2002" i="15"/>
  <c r="Z2002" i="15"/>
  <c r="AA2002" i="15"/>
  <c r="AB2002" i="15"/>
  <c r="AC2002" i="15"/>
  <c r="AD2002" i="15"/>
  <c r="AE2002" i="15"/>
  <c r="AF2002" i="15"/>
  <c r="AG2002" i="15"/>
  <c r="AH2002" i="15"/>
  <c r="AI2002" i="15"/>
  <c r="AJ2002" i="15"/>
  <c r="AK2002" i="15"/>
  <c r="AL2002" i="15"/>
  <c r="AM2002" i="15"/>
  <c r="AN2002" i="15"/>
  <c r="AO2002" i="15"/>
  <c r="R2003" i="15"/>
  <c r="S2003" i="15"/>
  <c r="T2003" i="15"/>
  <c r="U2003" i="15"/>
  <c r="V2003" i="15"/>
  <c r="W2003" i="15"/>
  <c r="X2003" i="15"/>
  <c r="Y2003" i="15"/>
  <c r="Z2003" i="15"/>
  <c r="AA2003" i="15"/>
  <c r="AB2003" i="15"/>
  <c r="AC2003" i="15"/>
  <c r="AD2003" i="15"/>
  <c r="AE2003" i="15"/>
  <c r="AF2003" i="15"/>
  <c r="AG2003" i="15"/>
  <c r="AH2003" i="15"/>
  <c r="AI2003" i="15"/>
  <c r="AJ2003" i="15"/>
  <c r="AK2003" i="15"/>
  <c r="AL2003" i="15"/>
  <c r="AM2003" i="15"/>
  <c r="AN2003" i="15"/>
  <c r="AO2003" i="15"/>
  <c r="G762" i="15"/>
  <c r="H762" i="15" s="1"/>
  <c r="K762" i="15" s="1"/>
  <c r="I762" i="15"/>
  <c r="J762" i="15"/>
  <c r="M762" i="15"/>
  <c r="G763" i="15"/>
  <c r="H763" i="15" s="1"/>
  <c r="I763" i="15"/>
  <c r="J763" i="15"/>
  <c r="L763" i="15" s="1"/>
  <c r="M763" i="15"/>
  <c r="G764" i="15"/>
  <c r="H764" i="15"/>
  <c r="K764" i="15" s="1"/>
  <c r="I764" i="15"/>
  <c r="J764" i="15" s="1"/>
  <c r="L764" i="15" s="1"/>
  <c r="M764" i="15"/>
  <c r="G765" i="15"/>
  <c r="H765" i="15"/>
  <c r="K765" i="15" s="1"/>
  <c r="I765" i="15"/>
  <c r="M765" i="15"/>
  <c r="G766" i="15"/>
  <c r="H766" i="15" s="1"/>
  <c r="K766" i="15" s="1"/>
  <c r="I766" i="15"/>
  <c r="J766" i="15" s="1"/>
  <c r="M766" i="15"/>
  <c r="G767" i="15"/>
  <c r="H767" i="15" s="1"/>
  <c r="I767" i="15"/>
  <c r="J767" i="15" s="1"/>
  <c r="L767" i="15" s="1"/>
  <c r="K767" i="15"/>
  <c r="M767" i="15"/>
  <c r="G768" i="15"/>
  <c r="H768" i="15" s="1"/>
  <c r="I768" i="15"/>
  <c r="J768" i="15" s="1"/>
  <c r="L768" i="15" s="1"/>
  <c r="K768" i="15"/>
  <c r="M768" i="15"/>
  <c r="G769" i="15"/>
  <c r="H769" i="15"/>
  <c r="K769" i="15" s="1"/>
  <c r="I769" i="15"/>
  <c r="M769" i="15"/>
  <c r="G770" i="15"/>
  <c r="H770" i="15" s="1"/>
  <c r="K770" i="15" s="1"/>
  <c r="I770" i="15"/>
  <c r="J770" i="15" s="1"/>
  <c r="M770" i="15"/>
  <c r="G771" i="15"/>
  <c r="H771" i="15" s="1"/>
  <c r="I771" i="15"/>
  <c r="J771" i="15" s="1"/>
  <c r="L771" i="15" s="1"/>
  <c r="M771" i="15"/>
  <c r="G772" i="15"/>
  <c r="H772" i="15"/>
  <c r="I772" i="15"/>
  <c r="J772" i="15" s="1"/>
  <c r="L772" i="15" s="1"/>
  <c r="M772" i="15"/>
  <c r="G773" i="15"/>
  <c r="H773" i="15"/>
  <c r="K773" i="15" s="1"/>
  <c r="I773" i="15"/>
  <c r="J773" i="15" s="1"/>
  <c r="L773" i="15"/>
  <c r="M773" i="15"/>
  <c r="G774" i="15"/>
  <c r="H774" i="15" s="1"/>
  <c r="K774" i="15" s="1"/>
  <c r="I774" i="15"/>
  <c r="J774" i="15"/>
  <c r="M774" i="15"/>
  <c r="G775" i="15"/>
  <c r="H775" i="15" s="1"/>
  <c r="I775" i="15"/>
  <c r="J775" i="15"/>
  <c r="L775" i="15" s="1"/>
  <c r="M775" i="15"/>
  <c r="G776" i="15"/>
  <c r="H776" i="15" s="1"/>
  <c r="K776" i="15" s="1"/>
  <c r="I776" i="15"/>
  <c r="J776" i="15" s="1"/>
  <c r="L776" i="15" s="1"/>
  <c r="M776" i="15"/>
  <c r="G777" i="15"/>
  <c r="H777" i="15" s="1"/>
  <c r="K777" i="15" s="1"/>
  <c r="I777" i="15"/>
  <c r="M777" i="15"/>
  <c r="G778" i="15"/>
  <c r="H778" i="15" s="1"/>
  <c r="K778" i="15" s="1"/>
  <c r="I778" i="15"/>
  <c r="J778" i="15" s="1"/>
  <c r="M778" i="15"/>
  <c r="G779" i="15"/>
  <c r="H779" i="15" s="1"/>
  <c r="I779" i="15"/>
  <c r="J779" i="15" s="1"/>
  <c r="L779" i="15" s="1"/>
  <c r="K779" i="15"/>
  <c r="M779" i="15"/>
  <c r="G780" i="15"/>
  <c r="H780" i="15" s="1"/>
  <c r="K780" i="15" s="1"/>
  <c r="I780" i="15"/>
  <c r="J780" i="15" s="1"/>
  <c r="L780" i="15" s="1"/>
  <c r="M780" i="15"/>
  <c r="G781" i="15"/>
  <c r="H781" i="15" s="1"/>
  <c r="K781" i="15" s="1"/>
  <c r="I781" i="15"/>
  <c r="M781" i="15"/>
  <c r="G782" i="15"/>
  <c r="H782" i="15" s="1"/>
  <c r="K782" i="15" s="1"/>
  <c r="I782" i="15"/>
  <c r="J782" i="15" s="1"/>
  <c r="M782" i="15"/>
  <c r="G783" i="15"/>
  <c r="I783" i="15"/>
  <c r="J783" i="15" s="1"/>
  <c r="L783" i="15" s="1"/>
  <c r="M783" i="15"/>
  <c r="G784" i="15"/>
  <c r="H784" i="15"/>
  <c r="K784" i="15" s="1"/>
  <c r="I784" i="15"/>
  <c r="J784" i="15" s="1"/>
  <c r="L784" i="15" s="1"/>
  <c r="M784" i="15"/>
  <c r="G785" i="15"/>
  <c r="H785" i="15" s="1"/>
  <c r="K785" i="15" s="1"/>
  <c r="I785" i="15"/>
  <c r="M785" i="15"/>
  <c r="G786" i="15"/>
  <c r="H786" i="15" s="1"/>
  <c r="K786" i="15" s="1"/>
  <c r="I786" i="15"/>
  <c r="J786" i="15" s="1"/>
  <c r="M786" i="15"/>
  <c r="G787" i="15"/>
  <c r="H787" i="15" s="1"/>
  <c r="I787" i="15"/>
  <c r="J787" i="15" s="1"/>
  <c r="L787" i="15" s="1"/>
  <c r="M787" i="15"/>
  <c r="G788" i="15"/>
  <c r="H788" i="15"/>
  <c r="K788" i="15" s="1"/>
  <c r="I788" i="15"/>
  <c r="J788" i="15" s="1"/>
  <c r="L788" i="15" s="1"/>
  <c r="M788" i="15"/>
  <c r="G789" i="15"/>
  <c r="H789" i="15" s="1"/>
  <c r="K789" i="15" s="1"/>
  <c r="I789" i="15"/>
  <c r="M789" i="15"/>
  <c r="G790" i="15"/>
  <c r="H790" i="15" s="1"/>
  <c r="K790" i="15" s="1"/>
  <c r="I790" i="15"/>
  <c r="J790" i="15" s="1"/>
  <c r="M790" i="15"/>
  <c r="G791" i="15"/>
  <c r="H791" i="15" s="1"/>
  <c r="I791" i="15"/>
  <c r="J791" i="15" s="1"/>
  <c r="L791" i="15" s="1"/>
  <c r="M791" i="15"/>
  <c r="G792" i="15"/>
  <c r="H792" i="15"/>
  <c r="K792" i="15" s="1"/>
  <c r="I792" i="15"/>
  <c r="J792" i="15" s="1"/>
  <c r="L792" i="15" s="1"/>
  <c r="M792" i="15"/>
  <c r="G793" i="15"/>
  <c r="H793" i="15"/>
  <c r="K793" i="15" s="1"/>
  <c r="I793" i="15"/>
  <c r="J793" i="15" s="1"/>
  <c r="L793" i="15"/>
  <c r="M793" i="15"/>
  <c r="G794" i="15"/>
  <c r="H794" i="15" s="1"/>
  <c r="K794" i="15" s="1"/>
  <c r="I794" i="15"/>
  <c r="J794" i="15"/>
  <c r="M794" i="15"/>
  <c r="G795" i="15"/>
  <c r="I795" i="15"/>
  <c r="J795" i="15"/>
  <c r="L795" i="15" s="1"/>
  <c r="M795" i="15"/>
  <c r="G796" i="15"/>
  <c r="H796" i="15"/>
  <c r="K796" i="15" s="1"/>
  <c r="I796" i="15"/>
  <c r="J796" i="15" s="1"/>
  <c r="L796" i="15" s="1"/>
  <c r="M796" i="15"/>
  <c r="G797" i="15"/>
  <c r="H797" i="15"/>
  <c r="K797" i="15" s="1"/>
  <c r="I797" i="15"/>
  <c r="J797" i="15" s="1"/>
  <c r="L797" i="15"/>
  <c r="M797" i="15"/>
  <c r="G798" i="15"/>
  <c r="H798" i="15" s="1"/>
  <c r="K798" i="15" s="1"/>
  <c r="I798" i="15"/>
  <c r="J798" i="15"/>
  <c r="M798" i="15"/>
  <c r="G799" i="15"/>
  <c r="I799" i="15"/>
  <c r="J799" i="15"/>
  <c r="L799" i="15" s="1"/>
  <c r="M799" i="15"/>
  <c r="G800" i="15"/>
  <c r="H800" i="15" s="1"/>
  <c r="I800" i="15"/>
  <c r="J800" i="15" s="1"/>
  <c r="L800" i="15" s="1"/>
  <c r="M800" i="15"/>
  <c r="G801" i="15"/>
  <c r="H801" i="15" s="1"/>
  <c r="K801" i="15" s="1"/>
  <c r="I801" i="15"/>
  <c r="J801" i="15" s="1"/>
  <c r="L801" i="15"/>
  <c r="M801" i="15"/>
  <c r="G802" i="15"/>
  <c r="H802" i="15" s="1"/>
  <c r="K802" i="15" s="1"/>
  <c r="I802" i="15"/>
  <c r="J802" i="15"/>
  <c r="M802" i="15"/>
  <c r="G803" i="15"/>
  <c r="H803" i="15" s="1"/>
  <c r="I803" i="15"/>
  <c r="J803" i="15"/>
  <c r="L803" i="15" s="1"/>
  <c r="M803" i="15"/>
  <c r="G804" i="15"/>
  <c r="H804" i="15" s="1"/>
  <c r="I804" i="15"/>
  <c r="J804" i="15" s="1"/>
  <c r="L804" i="15" s="1"/>
  <c r="K804" i="15"/>
  <c r="M804" i="15"/>
  <c r="G805" i="15"/>
  <c r="H805" i="15"/>
  <c r="K805" i="15" s="1"/>
  <c r="I805" i="15"/>
  <c r="M805" i="15"/>
  <c r="G806" i="15"/>
  <c r="H806" i="15" s="1"/>
  <c r="K806" i="15" s="1"/>
  <c r="I806" i="15"/>
  <c r="J806" i="15" s="1"/>
  <c r="M806" i="15"/>
  <c r="G807" i="15"/>
  <c r="H807" i="15" s="1"/>
  <c r="I807" i="15"/>
  <c r="J807" i="15" s="1"/>
  <c r="L807" i="15" s="1"/>
  <c r="M807" i="15"/>
  <c r="G808" i="15"/>
  <c r="H808" i="15"/>
  <c r="K808" i="15" s="1"/>
  <c r="I808" i="15"/>
  <c r="J808" i="15" s="1"/>
  <c r="L808" i="15" s="1"/>
  <c r="M808" i="15"/>
  <c r="G809" i="15"/>
  <c r="H809" i="15"/>
  <c r="K809" i="15" s="1"/>
  <c r="I809" i="15"/>
  <c r="M809" i="15"/>
  <c r="G810" i="15"/>
  <c r="H810" i="15" s="1"/>
  <c r="K810" i="15" s="1"/>
  <c r="I810" i="15"/>
  <c r="J810" i="15" s="1"/>
  <c r="M810" i="15"/>
  <c r="G811" i="15"/>
  <c r="H811" i="15" s="1"/>
  <c r="I811" i="15"/>
  <c r="J811" i="15" s="1"/>
  <c r="L811" i="15" s="1"/>
  <c r="K811" i="15"/>
  <c r="M811" i="15"/>
  <c r="G812" i="15"/>
  <c r="H812" i="15" s="1"/>
  <c r="K812" i="15" s="1"/>
  <c r="I812" i="15"/>
  <c r="J812" i="15" s="1"/>
  <c r="L812" i="15" s="1"/>
  <c r="M812" i="15"/>
  <c r="G813" i="15"/>
  <c r="H813" i="15" s="1"/>
  <c r="K813" i="15" s="1"/>
  <c r="I813" i="15"/>
  <c r="J813" i="15" s="1"/>
  <c r="L813" i="15"/>
  <c r="M813" i="15"/>
  <c r="G814" i="15"/>
  <c r="H814" i="15" s="1"/>
  <c r="K814" i="15" s="1"/>
  <c r="I814" i="15"/>
  <c r="J814" i="15"/>
  <c r="M814" i="15"/>
  <c r="G815" i="15"/>
  <c r="I815" i="15"/>
  <c r="J815" i="15"/>
  <c r="L815" i="15" s="1"/>
  <c r="M815" i="15"/>
  <c r="G816" i="15"/>
  <c r="H816" i="15"/>
  <c r="I816" i="15"/>
  <c r="J816" i="15" s="1"/>
  <c r="L816" i="15" s="1"/>
  <c r="K816" i="15"/>
  <c r="M816" i="15"/>
  <c r="G817" i="15"/>
  <c r="H817" i="15"/>
  <c r="K817" i="15" s="1"/>
  <c r="I817" i="15"/>
  <c r="M817" i="15"/>
  <c r="G818" i="15"/>
  <c r="H818" i="15" s="1"/>
  <c r="K818" i="15" s="1"/>
  <c r="I818" i="15"/>
  <c r="J818" i="15" s="1"/>
  <c r="M818" i="15"/>
  <c r="G819" i="15"/>
  <c r="H819" i="15" s="1"/>
  <c r="I819" i="15"/>
  <c r="J819" i="15" s="1"/>
  <c r="L819" i="15" s="1"/>
  <c r="M819" i="15"/>
  <c r="G820" i="15"/>
  <c r="I820" i="15"/>
  <c r="J820" i="15" s="1"/>
  <c r="L820" i="15" s="1"/>
  <c r="M820" i="15"/>
  <c r="G821" i="15"/>
  <c r="H821" i="15" s="1"/>
  <c r="K821" i="15" s="1"/>
  <c r="I821" i="15"/>
  <c r="J821" i="15" s="1"/>
  <c r="L821" i="15"/>
  <c r="M821" i="15"/>
  <c r="G822" i="15"/>
  <c r="H822" i="15" s="1"/>
  <c r="K822" i="15" s="1"/>
  <c r="I822" i="15"/>
  <c r="J822" i="15"/>
  <c r="M822" i="15"/>
  <c r="G823" i="15"/>
  <c r="H823" i="15" s="1"/>
  <c r="I823" i="15"/>
  <c r="J823" i="15"/>
  <c r="L823" i="15" s="1"/>
  <c r="M823" i="15"/>
  <c r="G824" i="15"/>
  <c r="H824" i="15"/>
  <c r="K824" i="15" s="1"/>
  <c r="I824" i="15"/>
  <c r="J824" i="15" s="1"/>
  <c r="L824" i="15" s="1"/>
  <c r="M824" i="15"/>
  <c r="G825" i="15"/>
  <c r="H825" i="15"/>
  <c r="K825" i="15" s="1"/>
  <c r="I825" i="15"/>
  <c r="J825" i="15" s="1"/>
  <c r="L825" i="15"/>
  <c r="M825" i="15"/>
  <c r="G826" i="15"/>
  <c r="H826" i="15" s="1"/>
  <c r="K826" i="15" s="1"/>
  <c r="I826" i="15"/>
  <c r="J826" i="15"/>
  <c r="M826" i="15"/>
  <c r="G827" i="15"/>
  <c r="I827" i="15"/>
  <c r="J827" i="15"/>
  <c r="L827" i="15" s="1"/>
  <c r="M827" i="15"/>
  <c r="G828" i="15"/>
  <c r="H828" i="15"/>
  <c r="K828" i="15" s="1"/>
  <c r="I828" i="15"/>
  <c r="J828" i="15" s="1"/>
  <c r="L828" i="15" s="1"/>
  <c r="M828" i="15"/>
  <c r="G829" i="15"/>
  <c r="H829" i="15"/>
  <c r="K829" i="15" s="1"/>
  <c r="I829" i="15"/>
  <c r="J829" i="15" s="1"/>
  <c r="L829" i="15"/>
  <c r="M829" i="15"/>
  <c r="G830" i="15"/>
  <c r="H830" i="15" s="1"/>
  <c r="K830" i="15" s="1"/>
  <c r="I830" i="15"/>
  <c r="J830" i="15"/>
  <c r="M830" i="15"/>
  <c r="G831" i="15"/>
  <c r="I831" i="15"/>
  <c r="J831" i="15"/>
  <c r="L831" i="15" s="1"/>
  <c r="M831" i="15"/>
  <c r="G832" i="15"/>
  <c r="I832" i="15"/>
  <c r="J832" i="15" s="1"/>
  <c r="L832" i="15" s="1"/>
  <c r="M832" i="15"/>
  <c r="G833" i="15"/>
  <c r="H833" i="15"/>
  <c r="K833" i="15" s="1"/>
  <c r="I833" i="15"/>
  <c r="J833" i="15" s="1"/>
  <c r="M833" i="15"/>
  <c r="G834" i="15"/>
  <c r="H834" i="15" s="1"/>
  <c r="K834" i="15" s="1"/>
  <c r="I834" i="15"/>
  <c r="J834" i="15" s="1"/>
  <c r="M834" i="15"/>
  <c r="G835" i="15"/>
  <c r="H835" i="15" s="1"/>
  <c r="I835" i="15"/>
  <c r="J835" i="15" s="1"/>
  <c r="L835" i="15" s="1"/>
  <c r="M835" i="15"/>
  <c r="G836" i="15"/>
  <c r="I836" i="15"/>
  <c r="J836" i="15" s="1"/>
  <c r="L836" i="15" s="1"/>
  <c r="M836" i="15"/>
  <c r="G837" i="15"/>
  <c r="H837" i="15" s="1"/>
  <c r="K837" i="15" s="1"/>
  <c r="I837" i="15"/>
  <c r="J837" i="15" s="1"/>
  <c r="L837" i="15"/>
  <c r="M837" i="15"/>
  <c r="G838" i="15"/>
  <c r="H838" i="15" s="1"/>
  <c r="K838" i="15" s="1"/>
  <c r="I838" i="15"/>
  <c r="J838" i="15"/>
  <c r="M838" i="15"/>
  <c r="G839" i="15"/>
  <c r="H839" i="15" s="1"/>
  <c r="I839" i="15"/>
  <c r="J839" i="15"/>
  <c r="L839" i="15" s="1"/>
  <c r="M839" i="15"/>
  <c r="G840" i="15"/>
  <c r="H840" i="15" s="1"/>
  <c r="K840" i="15" s="1"/>
  <c r="I840" i="15"/>
  <c r="J840" i="15" s="1"/>
  <c r="L840" i="15" s="1"/>
  <c r="M840" i="15"/>
  <c r="G841" i="15"/>
  <c r="H841" i="15" s="1"/>
  <c r="K841" i="15" s="1"/>
  <c r="I841" i="15"/>
  <c r="J841" i="15" s="1"/>
  <c r="M841" i="15"/>
  <c r="G842" i="15"/>
  <c r="H842" i="15" s="1"/>
  <c r="K842" i="15" s="1"/>
  <c r="I842" i="15"/>
  <c r="J842" i="15" s="1"/>
  <c r="M842" i="15"/>
  <c r="G843" i="15"/>
  <c r="H843" i="15" s="1"/>
  <c r="I843" i="15"/>
  <c r="J843" i="15" s="1"/>
  <c r="L843" i="15" s="1"/>
  <c r="K843" i="15"/>
  <c r="M843" i="15"/>
  <c r="G844" i="15"/>
  <c r="H844" i="15" s="1"/>
  <c r="K844" i="15" s="1"/>
  <c r="I844" i="15"/>
  <c r="M844" i="15"/>
  <c r="G845" i="15"/>
  <c r="H845" i="15" s="1"/>
  <c r="K845" i="15" s="1"/>
  <c r="I845" i="15"/>
  <c r="J845" i="15" s="1"/>
  <c r="L845" i="15"/>
  <c r="M845" i="15"/>
  <c r="G846" i="15"/>
  <c r="H846" i="15" s="1"/>
  <c r="I846" i="15"/>
  <c r="J846" i="15"/>
  <c r="K846" i="15"/>
  <c r="M846" i="15"/>
  <c r="G847" i="15"/>
  <c r="H847" i="15"/>
  <c r="K847" i="15" s="1"/>
  <c r="I847" i="15"/>
  <c r="J847" i="15" s="1"/>
  <c r="M847" i="15"/>
  <c r="G848" i="15"/>
  <c r="H848" i="15" s="1"/>
  <c r="I848" i="15"/>
  <c r="J848" i="15" s="1"/>
  <c r="K848" i="15"/>
  <c r="M848" i="15"/>
  <c r="G849" i="15"/>
  <c r="H849" i="15" s="1"/>
  <c r="K849" i="15" s="1"/>
  <c r="I849" i="15"/>
  <c r="J849" i="15"/>
  <c r="L849" i="15" s="1"/>
  <c r="M849" i="15"/>
  <c r="G850" i="15"/>
  <c r="I850" i="15"/>
  <c r="J850" i="15" s="1"/>
  <c r="M850" i="15"/>
  <c r="G851" i="15"/>
  <c r="H851" i="15"/>
  <c r="K851" i="15" s="1"/>
  <c r="I851" i="15"/>
  <c r="J851" i="15"/>
  <c r="L851" i="15" s="1"/>
  <c r="M851" i="15"/>
  <c r="G852" i="15"/>
  <c r="H852" i="15"/>
  <c r="I852" i="15"/>
  <c r="J852" i="15" s="1"/>
  <c r="M852" i="15"/>
  <c r="G853" i="15"/>
  <c r="H853" i="15" s="1"/>
  <c r="K853" i="15" s="1"/>
  <c r="I853" i="15"/>
  <c r="J853" i="15" s="1"/>
  <c r="L853" i="15"/>
  <c r="M853" i="15"/>
  <c r="G854" i="15"/>
  <c r="H854" i="15" s="1"/>
  <c r="I854" i="15"/>
  <c r="J854" i="15"/>
  <c r="K854" i="15"/>
  <c r="M854" i="15"/>
  <c r="G855" i="15"/>
  <c r="H855" i="15"/>
  <c r="K855" i="15" s="1"/>
  <c r="I855" i="15"/>
  <c r="J855" i="15" s="1"/>
  <c r="M855" i="15"/>
  <c r="G856" i="15"/>
  <c r="H856" i="15" s="1"/>
  <c r="I856" i="15"/>
  <c r="K856" i="15"/>
  <c r="M856" i="15"/>
  <c r="G857" i="15"/>
  <c r="H857" i="15" s="1"/>
  <c r="K857" i="15" s="1"/>
  <c r="I857" i="15"/>
  <c r="J857" i="15" s="1"/>
  <c r="L857" i="15"/>
  <c r="M857" i="15"/>
  <c r="G858" i="15"/>
  <c r="H858" i="15" s="1"/>
  <c r="I858" i="15"/>
  <c r="J858" i="15"/>
  <c r="K858" i="15"/>
  <c r="M858" i="15"/>
  <c r="G859" i="15"/>
  <c r="H859" i="15"/>
  <c r="K859" i="15" s="1"/>
  <c r="I859" i="15"/>
  <c r="M859" i="15"/>
  <c r="G860" i="15"/>
  <c r="I860" i="15"/>
  <c r="M860" i="15"/>
  <c r="G861" i="15"/>
  <c r="H861" i="15" s="1"/>
  <c r="K861" i="15" s="1"/>
  <c r="I861" i="15"/>
  <c r="M861" i="15"/>
  <c r="G862" i="15"/>
  <c r="I862" i="15"/>
  <c r="J862" i="15" s="1"/>
  <c r="M862" i="15"/>
  <c r="G863" i="15"/>
  <c r="H863" i="15" s="1"/>
  <c r="K863" i="15" s="1"/>
  <c r="I863" i="15"/>
  <c r="J863" i="15"/>
  <c r="L863" i="15" s="1"/>
  <c r="M863" i="15"/>
  <c r="G864" i="15"/>
  <c r="H864" i="15"/>
  <c r="K864" i="15" s="1"/>
  <c r="I864" i="15"/>
  <c r="M864" i="15"/>
  <c r="G865" i="15"/>
  <c r="H865" i="15"/>
  <c r="K865" i="15" s="1"/>
  <c r="I865" i="15"/>
  <c r="J865" i="15" s="1"/>
  <c r="L865" i="15" s="1"/>
  <c r="M865" i="15"/>
  <c r="G866" i="15"/>
  <c r="I866" i="15"/>
  <c r="J866" i="15" s="1"/>
  <c r="M866" i="15"/>
  <c r="G867" i="15"/>
  <c r="H867" i="15" s="1"/>
  <c r="K867" i="15" s="1"/>
  <c r="I867" i="15"/>
  <c r="J867" i="15"/>
  <c r="L867" i="15" s="1"/>
  <c r="M867" i="15"/>
  <c r="G868" i="15"/>
  <c r="H868" i="15"/>
  <c r="K868" i="15" s="1"/>
  <c r="I868" i="15"/>
  <c r="M868" i="15"/>
  <c r="G869" i="15"/>
  <c r="H869" i="15"/>
  <c r="K869" i="15" s="1"/>
  <c r="I869" i="15"/>
  <c r="M869" i="15"/>
  <c r="G870" i="15"/>
  <c r="I870" i="15"/>
  <c r="J870" i="15"/>
  <c r="M870" i="15"/>
  <c r="G871" i="15"/>
  <c r="H871" i="15"/>
  <c r="K871" i="15" s="1"/>
  <c r="I871" i="15"/>
  <c r="J871" i="15"/>
  <c r="M871" i="15"/>
  <c r="G872" i="15"/>
  <c r="I872" i="15"/>
  <c r="M872" i="15"/>
  <c r="G873" i="15"/>
  <c r="H873" i="15" s="1"/>
  <c r="K873" i="15" s="1"/>
  <c r="I873" i="15"/>
  <c r="J873" i="15" s="1"/>
  <c r="L873" i="15"/>
  <c r="M873" i="15"/>
  <c r="G874" i="15"/>
  <c r="H874" i="15" s="1"/>
  <c r="I874" i="15"/>
  <c r="J874" i="15"/>
  <c r="K874" i="15"/>
  <c r="M874" i="15"/>
  <c r="G875" i="15"/>
  <c r="H875" i="15"/>
  <c r="K875" i="15" s="1"/>
  <c r="I875" i="15"/>
  <c r="M875" i="15"/>
  <c r="G876" i="15"/>
  <c r="I876" i="15"/>
  <c r="M876" i="15"/>
  <c r="G877" i="15"/>
  <c r="H877" i="15"/>
  <c r="K877" i="15" s="1"/>
  <c r="I877" i="15"/>
  <c r="J877" i="15" s="1"/>
  <c r="L877" i="15"/>
  <c r="M877" i="15"/>
  <c r="G878" i="15"/>
  <c r="I878" i="15"/>
  <c r="J878" i="15"/>
  <c r="M878" i="15"/>
  <c r="G879" i="15"/>
  <c r="H879" i="15"/>
  <c r="K879" i="15" s="1"/>
  <c r="I879" i="15"/>
  <c r="J879" i="15"/>
  <c r="M879" i="15"/>
  <c r="G880" i="15"/>
  <c r="I880" i="15"/>
  <c r="M880" i="15"/>
  <c r="G881" i="15"/>
  <c r="H881" i="15" s="1"/>
  <c r="K881" i="15" s="1"/>
  <c r="I881" i="15"/>
  <c r="J881" i="15" s="1"/>
  <c r="L881" i="15"/>
  <c r="M881" i="15"/>
  <c r="G882" i="15"/>
  <c r="H882" i="15" s="1"/>
  <c r="I882" i="15"/>
  <c r="J882" i="15"/>
  <c r="K882" i="15"/>
  <c r="M882" i="15"/>
  <c r="G883" i="15"/>
  <c r="H883" i="15"/>
  <c r="K883" i="15" s="1"/>
  <c r="I883" i="15"/>
  <c r="M883" i="15"/>
  <c r="G884" i="15"/>
  <c r="I884" i="15"/>
  <c r="M884" i="15"/>
  <c r="G885" i="15"/>
  <c r="H885" i="15" s="1"/>
  <c r="K885" i="15" s="1"/>
  <c r="I885" i="15"/>
  <c r="J885" i="15" s="1"/>
  <c r="M885" i="15"/>
  <c r="G886" i="15"/>
  <c r="I886" i="15"/>
  <c r="J886" i="15" s="1"/>
  <c r="M886" i="15"/>
  <c r="G887" i="15"/>
  <c r="H887" i="15" s="1"/>
  <c r="K887" i="15" s="1"/>
  <c r="I887" i="15"/>
  <c r="J887" i="15"/>
  <c r="M887" i="15"/>
  <c r="G888" i="15"/>
  <c r="I888" i="15"/>
  <c r="M888" i="15"/>
  <c r="G889" i="15"/>
  <c r="H889" i="15" s="1"/>
  <c r="K889" i="15" s="1"/>
  <c r="I889" i="15"/>
  <c r="J889" i="15"/>
  <c r="L889" i="15"/>
  <c r="M889" i="15"/>
  <c r="G890" i="15"/>
  <c r="H890" i="15" s="1"/>
  <c r="I890" i="15"/>
  <c r="J890" i="15"/>
  <c r="K890" i="15"/>
  <c r="M890" i="15"/>
  <c r="G891" i="15"/>
  <c r="H891" i="15"/>
  <c r="K891" i="15" s="1"/>
  <c r="I891" i="15"/>
  <c r="J891" i="15" s="1"/>
  <c r="L891" i="15" s="1"/>
  <c r="M891" i="15"/>
  <c r="G892" i="15"/>
  <c r="H892" i="15" s="1"/>
  <c r="K892" i="15" s="1"/>
  <c r="I892" i="15"/>
  <c r="M892" i="15"/>
  <c r="G893" i="15"/>
  <c r="H893" i="15" s="1"/>
  <c r="K893" i="15" s="1"/>
  <c r="I893" i="15"/>
  <c r="J893" i="15" s="1"/>
  <c r="L893" i="15" s="1"/>
  <c r="M893" i="15"/>
  <c r="G894" i="15"/>
  <c r="H894" i="15" s="1"/>
  <c r="I894" i="15"/>
  <c r="J894" i="15" s="1"/>
  <c r="K894" i="15"/>
  <c r="M894" i="15"/>
  <c r="G895" i="15"/>
  <c r="H895" i="15" s="1"/>
  <c r="K895" i="15" s="1"/>
  <c r="I895" i="15"/>
  <c r="J895" i="15"/>
  <c r="M895" i="15"/>
  <c r="G896" i="15"/>
  <c r="H896" i="15" s="1"/>
  <c r="K896" i="15" s="1"/>
  <c r="I896" i="15"/>
  <c r="M896" i="15"/>
  <c r="G897" i="15"/>
  <c r="H897" i="15"/>
  <c r="K897" i="15" s="1"/>
  <c r="I897" i="15"/>
  <c r="M897" i="15"/>
  <c r="G898" i="15"/>
  <c r="I898" i="15"/>
  <c r="J898" i="15" s="1"/>
  <c r="M898" i="15"/>
  <c r="G899" i="15"/>
  <c r="H899" i="15" s="1"/>
  <c r="K899" i="15" s="1"/>
  <c r="I899" i="15"/>
  <c r="J899" i="15"/>
  <c r="M899" i="15"/>
  <c r="G900" i="15"/>
  <c r="H900" i="15" s="1"/>
  <c r="K900" i="15" s="1"/>
  <c r="I900" i="15"/>
  <c r="M900" i="15"/>
  <c r="G901" i="15"/>
  <c r="H901" i="15"/>
  <c r="K901" i="15" s="1"/>
  <c r="I901" i="15"/>
  <c r="M901" i="15"/>
  <c r="G902" i="15"/>
  <c r="I902" i="15"/>
  <c r="J902" i="15" s="1"/>
  <c r="M902" i="15"/>
  <c r="G903" i="15"/>
  <c r="H903" i="15" s="1"/>
  <c r="K903" i="15" s="1"/>
  <c r="I903" i="15"/>
  <c r="M903" i="15"/>
  <c r="G904" i="15"/>
  <c r="I904" i="15"/>
  <c r="M904" i="15"/>
  <c r="G905" i="15"/>
  <c r="H905" i="15"/>
  <c r="K905" i="15" s="1"/>
  <c r="I905" i="15"/>
  <c r="J905" i="15" s="1"/>
  <c r="M905" i="15"/>
  <c r="G906" i="15"/>
  <c r="H906" i="15" s="1"/>
  <c r="I906" i="15"/>
  <c r="J906" i="15" s="1"/>
  <c r="K906" i="15"/>
  <c r="M906" i="15"/>
  <c r="G907" i="15"/>
  <c r="H907" i="15" s="1"/>
  <c r="K907" i="15" s="1"/>
  <c r="I907" i="15"/>
  <c r="M907" i="15"/>
  <c r="G908" i="15"/>
  <c r="I908" i="15"/>
  <c r="M908" i="15"/>
  <c r="G909" i="15"/>
  <c r="H909" i="15"/>
  <c r="K909" i="15" s="1"/>
  <c r="I909" i="15"/>
  <c r="J909" i="15" s="1"/>
  <c r="M909" i="15"/>
  <c r="G910" i="15"/>
  <c r="H910" i="15" s="1"/>
  <c r="I910" i="15"/>
  <c r="J910" i="15" s="1"/>
  <c r="K910" i="15"/>
  <c r="M910" i="15"/>
  <c r="G911" i="15"/>
  <c r="H911" i="15" s="1"/>
  <c r="K911" i="15" s="1"/>
  <c r="I911" i="15"/>
  <c r="J911" i="15"/>
  <c r="M911" i="15"/>
  <c r="G912" i="15"/>
  <c r="I912" i="15"/>
  <c r="M912" i="15"/>
  <c r="G913" i="15"/>
  <c r="H913" i="15" s="1"/>
  <c r="K913" i="15" s="1"/>
  <c r="I913" i="15"/>
  <c r="J913" i="15" s="1"/>
  <c r="M913" i="15"/>
  <c r="G914" i="15"/>
  <c r="I914" i="15"/>
  <c r="J914" i="15" s="1"/>
  <c r="M914" i="15"/>
  <c r="G915" i="15"/>
  <c r="H915" i="15" s="1"/>
  <c r="K915" i="15" s="1"/>
  <c r="I915" i="15"/>
  <c r="J915" i="15"/>
  <c r="M915" i="15"/>
  <c r="G916" i="15"/>
  <c r="I916" i="15"/>
  <c r="M916" i="15"/>
  <c r="G917" i="15"/>
  <c r="H917" i="15"/>
  <c r="K917" i="15" s="1"/>
  <c r="I917" i="15"/>
  <c r="J917" i="15" s="1"/>
  <c r="M917" i="15"/>
  <c r="G918" i="15"/>
  <c r="I918" i="15"/>
  <c r="J918" i="15" s="1"/>
  <c r="M918" i="15"/>
  <c r="G919" i="15"/>
  <c r="H919" i="15" s="1"/>
  <c r="K919" i="15" s="1"/>
  <c r="I919" i="15"/>
  <c r="M919" i="15"/>
  <c r="G920" i="15"/>
  <c r="I920" i="15"/>
  <c r="M920" i="15"/>
  <c r="G921" i="15"/>
  <c r="H921" i="15"/>
  <c r="K921" i="15" s="1"/>
  <c r="I921" i="15"/>
  <c r="J921" i="15" s="1"/>
  <c r="M921" i="15"/>
  <c r="G922" i="15"/>
  <c r="H922" i="15" s="1"/>
  <c r="I922" i="15"/>
  <c r="J922" i="15" s="1"/>
  <c r="K922" i="15"/>
  <c r="M922" i="15"/>
  <c r="G923" i="15"/>
  <c r="H923" i="15" s="1"/>
  <c r="K923" i="15" s="1"/>
  <c r="I923" i="15"/>
  <c r="M923" i="15"/>
  <c r="G924" i="15"/>
  <c r="I924" i="15"/>
  <c r="M924" i="15"/>
  <c r="G925" i="15"/>
  <c r="H925" i="15"/>
  <c r="K925" i="15" s="1"/>
  <c r="I925" i="15"/>
  <c r="J925" i="15" s="1"/>
  <c r="M925" i="15"/>
  <c r="G926" i="15"/>
  <c r="H926" i="15" s="1"/>
  <c r="I926" i="15"/>
  <c r="J926" i="15" s="1"/>
  <c r="K926" i="15"/>
  <c r="M926" i="15"/>
  <c r="G927" i="15"/>
  <c r="H927" i="15" s="1"/>
  <c r="K927" i="15" s="1"/>
  <c r="I927" i="15"/>
  <c r="J927" i="15"/>
  <c r="M927" i="15"/>
  <c r="G928" i="15"/>
  <c r="I928" i="15"/>
  <c r="M928" i="15"/>
  <c r="G929" i="15"/>
  <c r="H929" i="15" s="1"/>
  <c r="K929" i="15" s="1"/>
  <c r="I929" i="15"/>
  <c r="J929" i="15" s="1"/>
  <c r="M929" i="15"/>
  <c r="G930" i="15"/>
  <c r="I930" i="15"/>
  <c r="J930" i="15" s="1"/>
  <c r="M930" i="15"/>
  <c r="G931" i="15"/>
  <c r="H931" i="15" s="1"/>
  <c r="K931" i="15" s="1"/>
  <c r="I931" i="15"/>
  <c r="J931" i="15"/>
  <c r="M931" i="15"/>
  <c r="G932" i="15"/>
  <c r="I932" i="15"/>
  <c r="M932" i="15"/>
  <c r="G933" i="15"/>
  <c r="H933" i="15" s="1"/>
  <c r="K933" i="15" s="1"/>
  <c r="I933" i="15"/>
  <c r="J933" i="15" s="1"/>
  <c r="M933" i="15"/>
  <c r="G934" i="15"/>
  <c r="I934" i="15"/>
  <c r="J934" i="15" s="1"/>
  <c r="M934" i="15"/>
  <c r="G935" i="15"/>
  <c r="H935" i="15" s="1"/>
  <c r="K935" i="15" s="1"/>
  <c r="I935" i="15"/>
  <c r="M935" i="15"/>
  <c r="G936" i="15"/>
  <c r="I936" i="15"/>
  <c r="M936" i="15"/>
  <c r="G937" i="15"/>
  <c r="H937" i="15"/>
  <c r="K937" i="15" s="1"/>
  <c r="I937" i="15"/>
  <c r="J937" i="15" s="1"/>
  <c r="M937" i="15"/>
  <c r="G938" i="15"/>
  <c r="H938" i="15" s="1"/>
  <c r="I938" i="15"/>
  <c r="J938" i="15" s="1"/>
  <c r="K938" i="15"/>
  <c r="M938" i="15"/>
  <c r="G939" i="15"/>
  <c r="H939" i="15" s="1"/>
  <c r="K939" i="15" s="1"/>
  <c r="I939" i="15"/>
  <c r="M939" i="15"/>
  <c r="G940" i="15"/>
  <c r="I940" i="15"/>
  <c r="M940" i="15"/>
  <c r="G941" i="15"/>
  <c r="H941" i="15"/>
  <c r="K941" i="15" s="1"/>
  <c r="I941" i="15"/>
  <c r="J941" i="15" s="1"/>
  <c r="M941" i="15"/>
  <c r="G942" i="15"/>
  <c r="H942" i="15" s="1"/>
  <c r="I942" i="15"/>
  <c r="J942" i="15" s="1"/>
  <c r="K942" i="15"/>
  <c r="M942" i="15"/>
  <c r="G943" i="15"/>
  <c r="H943" i="15" s="1"/>
  <c r="K943" i="15" s="1"/>
  <c r="I943" i="15"/>
  <c r="J943" i="15"/>
  <c r="M943" i="15"/>
  <c r="G944" i="15"/>
  <c r="I944" i="15"/>
  <c r="M944" i="15"/>
  <c r="G945" i="15"/>
  <c r="H945" i="15" s="1"/>
  <c r="K945" i="15" s="1"/>
  <c r="I945" i="15"/>
  <c r="J945" i="15" s="1"/>
  <c r="M945" i="15"/>
  <c r="G946" i="15"/>
  <c r="I946" i="15"/>
  <c r="J946" i="15" s="1"/>
  <c r="M946" i="15"/>
  <c r="G947" i="15"/>
  <c r="H947" i="15" s="1"/>
  <c r="K947" i="15" s="1"/>
  <c r="I947" i="15"/>
  <c r="J947" i="15"/>
  <c r="M947" i="15"/>
  <c r="G948" i="15"/>
  <c r="I948" i="15"/>
  <c r="M948" i="15"/>
  <c r="G949" i="15"/>
  <c r="H949" i="15"/>
  <c r="K949" i="15" s="1"/>
  <c r="I949" i="15"/>
  <c r="J949" i="15" s="1"/>
  <c r="M949" i="15"/>
  <c r="G950" i="15"/>
  <c r="I950" i="15"/>
  <c r="J950" i="15" s="1"/>
  <c r="M950" i="15"/>
  <c r="G951" i="15"/>
  <c r="H951" i="15" s="1"/>
  <c r="K951" i="15" s="1"/>
  <c r="I951" i="15"/>
  <c r="M951" i="15"/>
  <c r="G952" i="15"/>
  <c r="I952" i="15"/>
  <c r="M952" i="15"/>
  <c r="G953" i="15"/>
  <c r="H953" i="15"/>
  <c r="K953" i="15" s="1"/>
  <c r="I953" i="15"/>
  <c r="J953" i="15" s="1"/>
  <c r="M953" i="15"/>
  <c r="G954" i="15"/>
  <c r="H954" i="15" s="1"/>
  <c r="I954" i="15"/>
  <c r="J954" i="15" s="1"/>
  <c r="K954" i="15"/>
  <c r="M954" i="15"/>
  <c r="G955" i="15"/>
  <c r="H955" i="15" s="1"/>
  <c r="K955" i="15" s="1"/>
  <c r="I955" i="15"/>
  <c r="M955" i="15"/>
  <c r="G956" i="15"/>
  <c r="I956" i="15"/>
  <c r="M956" i="15"/>
  <c r="G957" i="15"/>
  <c r="H957" i="15"/>
  <c r="K957" i="15" s="1"/>
  <c r="I957" i="15"/>
  <c r="J957" i="15" s="1"/>
  <c r="M957" i="15"/>
  <c r="G958" i="15"/>
  <c r="H958" i="15" s="1"/>
  <c r="I958" i="15"/>
  <c r="J958" i="15" s="1"/>
  <c r="K958" i="15"/>
  <c r="M958" i="15"/>
  <c r="G959" i="15"/>
  <c r="H959" i="15" s="1"/>
  <c r="K959" i="15" s="1"/>
  <c r="I959" i="15"/>
  <c r="J959" i="15"/>
  <c r="M959" i="15"/>
  <c r="G960" i="15"/>
  <c r="I960" i="15"/>
  <c r="M960" i="15"/>
  <c r="G961" i="15"/>
  <c r="H961" i="15" s="1"/>
  <c r="K961" i="15" s="1"/>
  <c r="I961" i="15"/>
  <c r="M961" i="15"/>
  <c r="G962" i="15"/>
  <c r="I962" i="15"/>
  <c r="J962" i="15" s="1"/>
  <c r="M962" i="15"/>
  <c r="G963" i="15"/>
  <c r="H963" i="15" s="1"/>
  <c r="K963" i="15" s="1"/>
  <c r="I963" i="15"/>
  <c r="J963" i="15"/>
  <c r="L963" i="15"/>
  <c r="M963" i="15"/>
  <c r="G964" i="15"/>
  <c r="H964" i="15" s="1"/>
  <c r="I964" i="15"/>
  <c r="K964" i="15"/>
  <c r="M964" i="15"/>
  <c r="G965" i="15"/>
  <c r="H965" i="15"/>
  <c r="K965" i="15" s="1"/>
  <c r="I965" i="15"/>
  <c r="M965" i="15"/>
  <c r="G966" i="15"/>
  <c r="H966" i="15" s="1"/>
  <c r="I966" i="15"/>
  <c r="J966" i="15" s="1"/>
  <c r="K966" i="15"/>
  <c r="M966" i="15"/>
  <c r="G967" i="15"/>
  <c r="H967" i="15" s="1"/>
  <c r="K967" i="15" s="1"/>
  <c r="I967" i="15"/>
  <c r="J967" i="15"/>
  <c r="L967" i="15"/>
  <c r="M967" i="15"/>
  <c r="G968" i="15"/>
  <c r="H968" i="15" s="1"/>
  <c r="I968" i="15"/>
  <c r="K968" i="15"/>
  <c r="M968" i="15"/>
  <c r="G969" i="15"/>
  <c r="H969" i="15"/>
  <c r="K969" i="15" s="1"/>
  <c r="I969" i="15"/>
  <c r="M969" i="15"/>
  <c r="G970" i="15"/>
  <c r="H970" i="15" s="1"/>
  <c r="I970" i="15"/>
  <c r="J970" i="15" s="1"/>
  <c r="K970" i="15"/>
  <c r="M970" i="15"/>
  <c r="G971" i="15"/>
  <c r="H971" i="15" s="1"/>
  <c r="K971" i="15" s="1"/>
  <c r="I971" i="15"/>
  <c r="J971" i="15"/>
  <c r="M971" i="15"/>
  <c r="G972" i="15"/>
  <c r="I972" i="15"/>
  <c r="M972" i="15"/>
  <c r="G973" i="15"/>
  <c r="H973" i="15" s="1"/>
  <c r="K973" i="15" s="1"/>
  <c r="I973" i="15"/>
  <c r="M973" i="15"/>
  <c r="G974" i="15"/>
  <c r="I974" i="15"/>
  <c r="J974" i="15" s="1"/>
  <c r="L974" i="15" s="1"/>
  <c r="M974" i="15"/>
  <c r="G975" i="15"/>
  <c r="H975" i="15" s="1"/>
  <c r="I975" i="15"/>
  <c r="M975" i="15"/>
  <c r="G976" i="15"/>
  <c r="H976" i="15"/>
  <c r="K976" i="15" s="1"/>
  <c r="I976" i="15"/>
  <c r="J976" i="15" s="1"/>
  <c r="L976" i="15"/>
  <c r="M976" i="15"/>
  <c r="G977" i="15"/>
  <c r="H977" i="15" s="1"/>
  <c r="K977" i="15" s="1"/>
  <c r="I977" i="15"/>
  <c r="J977" i="15"/>
  <c r="M977" i="15"/>
  <c r="G978" i="15"/>
  <c r="I978" i="15"/>
  <c r="J978" i="15"/>
  <c r="L978" i="15" s="1"/>
  <c r="M978" i="15"/>
  <c r="G979" i="15"/>
  <c r="H979" i="15" s="1"/>
  <c r="I979" i="15"/>
  <c r="J979" i="15" s="1"/>
  <c r="L979" i="15"/>
  <c r="M979" i="15"/>
  <c r="G980" i="15"/>
  <c r="H980" i="15" s="1"/>
  <c r="K980" i="15" s="1"/>
  <c r="I980" i="15"/>
  <c r="M980" i="15"/>
  <c r="G981" i="15"/>
  <c r="H981" i="15" s="1"/>
  <c r="K981" i="15" s="1"/>
  <c r="I981" i="15"/>
  <c r="M981" i="15"/>
  <c r="G982" i="15"/>
  <c r="I982" i="15"/>
  <c r="J982" i="15" s="1"/>
  <c r="L982" i="15" s="1"/>
  <c r="M982" i="15"/>
  <c r="G983" i="15"/>
  <c r="I983" i="15"/>
  <c r="J983" i="15" s="1"/>
  <c r="L983" i="15"/>
  <c r="M983" i="15"/>
  <c r="G984" i="15"/>
  <c r="H984" i="15" s="1"/>
  <c r="K984" i="15" s="1"/>
  <c r="I984" i="15"/>
  <c r="M984" i="15"/>
  <c r="G985" i="15"/>
  <c r="H985" i="15" s="1"/>
  <c r="K985" i="15" s="1"/>
  <c r="I985" i="15"/>
  <c r="M985" i="15"/>
  <c r="G986" i="15"/>
  <c r="H986" i="15" s="1"/>
  <c r="I986" i="15"/>
  <c r="J986" i="15" s="1"/>
  <c r="L986" i="15" s="1"/>
  <c r="K986" i="15"/>
  <c r="M986" i="15"/>
  <c r="G987" i="15"/>
  <c r="I987" i="15"/>
  <c r="J987" i="15" s="1"/>
  <c r="L987" i="15"/>
  <c r="M987" i="15"/>
  <c r="G988" i="15"/>
  <c r="H988" i="15" s="1"/>
  <c r="K988" i="15" s="1"/>
  <c r="I988" i="15"/>
  <c r="J988" i="15" s="1"/>
  <c r="M988" i="15"/>
  <c r="G989" i="15"/>
  <c r="H989" i="15" s="1"/>
  <c r="K989" i="15" s="1"/>
  <c r="I989" i="15"/>
  <c r="M989" i="15"/>
  <c r="G990" i="15"/>
  <c r="I990" i="15"/>
  <c r="J990" i="15" s="1"/>
  <c r="L990" i="15" s="1"/>
  <c r="M990" i="15"/>
  <c r="G991" i="15"/>
  <c r="I991" i="15"/>
  <c r="J991" i="15" s="1"/>
  <c r="L991" i="15"/>
  <c r="M991" i="15"/>
  <c r="G992" i="15"/>
  <c r="H992" i="15" s="1"/>
  <c r="K992" i="15" s="1"/>
  <c r="I992" i="15"/>
  <c r="M992" i="15"/>
  <c r="G993" i="15"/>
  <c r="H993" i="15" s="1"/>
  <c r="K993" i="15" s="1"/>
  <c r="I993" i="15"/>
  <c r="J993" i="15" s="1"/>
  <c r="M993" i="15"/>
  <c r="G994" i="15"/>
  <c r="H994" i="15" s="1"/>
  <c r="I994" i="15"/>
  <c r="J994" i="15" s="1"/>
  <c r="L994" i="15" s="1"/>
  <c r="K994" i="15"/>
  <c r="M994" i="15"/>
  <c r="G995" i="15"/>
  <c r="H995" i="15" s="1"/>
  <c r="I995" i="15"/>
  <c r="M995" i="15"/>
  <c r="G996" i="15"/>
  <c r="H996" i="15" s="1"/>
  <c r="K996" i="15" s="1"/>
  <c r="I996" i="15"/>
  <c r="M996" i="15"/>
  <c r="G997" i="15"/>
  <c r="H997" i="15" s="1"/>
  <c r="K997" i="15" s="1"/>
  <c r="I997" i="15"/>
  <c r="M997" i="15"/>
  <c r="G998" i="15"/>
  <c r="I998" i="15"/>
  <c r="J998" i="15" s="1"/>
  <c r="L998" i="15" s="1"/>
  <c r="M998" i="15"/>
  <c r="G999" i="15"/>
  <c r="I999" i="15"/>
  <c r="M999" i="15"/>
  <c r="G1000" i="15"/>
  <c r="H1000" i="15" s="1"/>
  <c r="K1000" i="15" s="1"/>
  <c r="I1000" i="15"/>
  <c r="M1000" i="15"/>
  <c r="G1001" i="15"/>
  <c r="H1001" i="15" s="1"/>
  <c r="K1001" i="15" s="1"/>
  <c r="I1001" i="15"/>
  <c r="J1001" i="15" s="1"/>
  <c r="M1001" i="15"/>
  <c r="G1002" i="15"/>
  <c r="H1002" i="15" s="1"/>
  <c r="I1002" i="15"/>
  <c r="J1002" i="15"/>
  <c r="K1002" i="15"/>
  <c r="M1002" i="15"/>
  <c r="G1003" i="15"/>
  <c r="H1003" i="15" s="1"/>
  <c r="K1003" i="15" s="1"/>
  <c r="I1003" i="15"/>
  <c r="M1003" i="15"/>
  <c r="G1004" i="15"/>
  <c r="H1004" i="15"/>
  <c r="K1004" i="15" s="1"/>
  <c r="I1004" i="15"/>
  <c r="M1004" i="15"/>
  <c r="G1005" i="15"/>
  <c r="H1005" i="15"/>
  <c r="K1005" i="15" s="1"/>
  <c r="I1005" i="15"/>
  <c r="M1005" i="15"/>
  <c r="G1006" i="15"/>
  <c r="I1006" i="15"/>
  <c r="M1006" i="15"/>
  <c r="G1007" i="15"/>
  <c r="I1007" i="15"/>
  <c r="J1007" i="15"/>
  <c r="L1007" i="15"/>
  <c r="M1007" i="15"/>
  <c r="G1008" i="15"/>
  <c r="H1008" i="15"/>
  <c r="K1008" i="15" s="1"/>
  <c r="I1008" i="15"/>
  <c r="M1008" i="15"/>
  <c r="G1009" i="15"/>
  <c r="H1009" i="15"/>
  <c r="K1009" i="15" s="1"/>
  <c r="I1009" i="15"/>
  <c r="J1009" i="15" s="1"/>
  <c r="M1009" i="15"/>
  <c r="G1010" i="15"/>
  <c r="I1010" i="15"/>
  <c r="J1010" i="15"/>
  <c r="M1010" i="15"/>
  <c r="G1011" i="15"/>
  <c r="H1011" i="15" s="1"/>
  <c r="K1011" i="15" s="1"/>
  <c r="I1011" i="15"/>
  <c r="J1011" i="15"/>
  <c r="M1011" i="15"/>
  <c r="G1012" i="15"/>
  <c r="H1012" i="15"/>
  <c r="K1012" i="15" s="1"/>
  <c r="I1012" i="15"/>
  <c r="J1012" i="15" s="1"/>
  <c r="L1012" i="15"/>
  <c r="M1012" i="15"/>
  <c r="G1013" i="15"/>
  <c r="H1013" i="15" s="1"/>
  <c r="K1013" i="15" s="1"/>
  <c r="I1013" i="15"/>
  <c r="M1013" i="15"/>
  <c r="G1014" i="15"/>
  <c r="H1014" i="15" s="1"/>
  <c r="I1014" i="15"/>
  <c r="J1014" i="15"/>
  <c r="K1014" i="15"/>
  <c r="M1014" i="15"/>
  <c r="G1015" i="15"/>
  <c r="I1015" i="15"/>
  <c r="J1015" i="15"/>
  <c r="M1015" i="15"/>
  <c r="G1016" i="15"/>
  <c r="H1016" i="15" s="1"/>
  <c r="K1016" i="15" s="1"/>
  <c r="I1016" i="15"/>
  <c r="M1016" i="15"/>
  <c r="G1017" i="15"/>
  <c r="H1017" i="15" s="1"/>
  <c r="K1017" i="15" s="1"/>
  <c r="I1017" i="15"/>
  <c r="M1017" i="15"/>
  <c r="G1018" i="15"/>
  <c r="H1018" i="15" s="1"/>
  <c r="K1018" i="15" s="1"/>
  <c r="I1018" i="15"/>
  <c r="J1018" i="15" s="1"/>
  <c r="M1018" i="15"/>
  <c r="G1019" i="15"/>
  <c r="H1019" i="15" s="1"/>
  <c r="I1019" i="15"/>
  <c r="J1019" i="15" s="1"/>
  <c r="L1019" i="15" s="1"/>
  <c r="M1019" i="15"/>
  <c r="G1020" i="15"/>
  <c r="H1020" i="15"/>
  <c r="K1020" i="15" s="1"/>
  <c r="I1020" i="15"/>
  <c r="J1020" i="15" s="1"/>
  <c r="L1020" i="15" s="1"/>
  <c r="M1020" i="15"/>
  <c r="G1021" i="15"/>
  <c r="H1021" i="15"/>
  <c r="K1021" i="15" s="1"/>
  <c r="I1021" i="15"/>
  <c r="J1021" i="15" s="1"/>
  <c r="L1021" i="15"/>
  <c r="M1021" i="15"/>
  <c r="G1022" i="15"/>
  <c r="H1022" i="15" s="1"/>
  <c r="K1022" i="15" s="1"/>
  <c r="I1022" i="15"/>
  <c r="J1022" i="15"/>
  <c r="M1022" i="15"/>
  <c r="G1023" i="15"/>
  <c r="H1023" i="15" s="1"/>
  <c r="I1023" i="15"/>
  <c r="J1023" i="15"/>
  <c r="L1023" i="15" s="1"/>
  <c r="M1023" i="15"/>
  <c r="G1024" i="15"/>
  <c r="H1024" i="15"/>
  <c r="K1024" i="15" s="1"/>
  <c r="I1024" i="15"/>
  <c r="J1024" i="15" s="1"/>
  <c r="L1024" i="15" s="1"/>
  <c r="M1024" i="15"/>
  <c r="G1025" i="15"/>
  <c r="H1025" i="15"/>
  <c r="K1025" i="15" s="1"/>
  <c r="I1025" i="15"/>
  <c r="J1025" i="15" s="1"/>
  <c r="L1025" i="15"/>
  <c r="M1025" i="15"/>
  <c r="G1026" i="15"/>
  <c r="H1026" i="15" s="1"/>
  <c r="K1026" i="15" s="1"/>
  <c r="I1026" i="15"/>
  <c r="J1026" i="15"/>
  <c r="M1026" i="15"/>
  <c r="G1027" i="15"/>
  <c r="H1027" i="15" s="1"/>
  <c r="I1027" i="15"/>
  <c r="J1027" i="15"/>
  <c r="L1027" i="15" s="1"/>
  <c r="M1027" i="15"/>
  <c r="G1028" i="15"/>
  <c r="I1028" i="15"/>
  <c r="J1028" i="15" s="1"/>
  <c r="L1028" i="15" s="1"/>
  <c r="M1028" i="15"/>
  <c r="G1029" i="15"/>
  <c r="H1029" i="15" s="1"/>
  <c r="K1029" i="15" s="1"/>
  <c r="I1029" i="15"/>
  <c r="M1029" i="15"/>
  <c r="G1030" i="15"/>
  <c r="H1030" i="15" s="1"/>
  <c r="K1030" i="15" s="1"/>
  <c r="I1030" i="15"/>
  <c r="J1030" i="15" s="1"/>
  <c r="M1030" i="15"/>
  <c r="G1031" i="15"/>
  <c r="I1031" i="15"/>
  <c r="J1031" i="15" s="1"/>
  <c r="L1031" i="15" s="1"/>
  <c r="M1031" i="15"/>
  <c r="G1032" i="15"/>
  <c r="H1032" i="15" s="1"/>
  <c r="I1032" i="15"/>
  <c r="J1032" i="15" s="1"/>
  <c r="L1032" i="15" s="1"/>
  <c r="K1032" i="15"/>
  <c r="M1032" i="15"/>
  <c r="G1033" i="15"/>
  <c r="H1033" i="15"/>
  <c r="K1033" i="15" s="1"/>
  <c r="I1033" i="15"/>
  <c r="J1033" i="15" s="1"/>
  <c r="L1033" i="15"/>
  <c r="M1033" i="15"/>
  <c r="G1034" i="15"/>
  <c r="H1034" i="15" s="1"/>
  <c r="K1034" i="15" s="1"/>
  <c r="I1034" i="15"/>
  <c r="J1034" i="15"/>
  <c r="M1034" i="15"/>
  <c r="G1035" i="15"/>
  <c r="H1035" i="15" s="1"/>
  <c r="I1035" i="15"/>
  <c r="J1035" i="15"/>
  <c r="L1035" i="15" s="1"/>
  <c r="M1035" i="15"/>
  <c r="G1036" i="15"/>
  <c r="H1036" i="15" s="1"/>
  <c r="K1036" i="15" s="1"/>
  <c r="I1036" i="15"/>
  <c r="J1036" i="15" s="1"/>
  <c r="L1036" i="15" s="1"/>
  <c r="M1036" i="15"/>
  <c r="G1037" i="15"/>
  <c r="H1037" i="15" s="1"/>
  <c r="K1037" i="15" s="1"/>
  <c r="I1037" i="15"/>
  <c r="M1037" i="15"/>
  <c r="G1038" i="15"/>
  <c r="H1038" i="15" s="1"/>
  <c r="K1038" i="15" s="1"/>
  <c r="I1038" i="15"/>
  <c r="J1038" i="15" s="1"/>
  <c r="M1038" i="15"/>
  <c r="G1039" i="15"/>
  <c r="H1039" i="15" s="1"/>
  <c r="I1039" i="15"/>
  <c r="J1039" i="15" s="1"/>
  <c r="L1039" i="15" s="1"/>
  <c r="K1039" i="15"/>
  <c r="M1039" i="15"/>
  <c r="G1040" i="15"/>
  <c r="H1040" i="15" s="1"/>
  <c r="K1040" i="15" s="1"/>
  <c r="I1040" i="15"/>
  <c r="J1040" i="15" s="1"/>
  <c r="L1040" i="15" s="1"/>
  <c r="M1040" i="15"/>
  <c r="G1041" i="15"/>
  <c r="H1041" i="15" s="1"/>
  <c r="K1041" i="15" s="1"/>
  <c r="I1041" i="15"/>
  <c r="J1041" i="15" s="1"/>
  <c r="L1041" i="15"/>
  <c r="M1041" i="15"/>
  <c r="G1042" i="15"/>
  <c r="H1042" i="15" s="1"/>
  <c r="K1042" i="15" s="1"/>
  <c r="I1042" i="15"/>
  <c r="J1042" i="15"/>
  <c r="M1042" i="15"/>
  <c r="G1043" i="15"/>
  <c r="H1043" i="15" s="1"/>
  <c r="I1043" i="15"/>
  <c r="J1043" i="15"/>
  <c r="L1043" i="15" s="1"/>
  <c r="M1043" i="15"/>
  <c r="G1044" i="15"/>
  <c r="K1044" i="15" s="1"/>
  <c r="H1044" i="15"/>
  <c r="I1044" i="15"/>
  <c r="J1044" i="15" s="1"/>
  <c r="L1044" i="15" s="1"/>
  <c r="M1044" i="15"/>
  <c r="G1045" i="15"/>
  <c r="H1045" i="15"/>
  <c r="K1045" i="15" s="1"/>
  <c r="I1045" i="15"/>
  <c r="M1045" i="15"/>
  <c r="G1046" i="15"/>
  <c r="H1046" i="15" s="1"/>
  <c r="K1046" i="15" s="1"/>
  <c r="I1046" i="15"/>
  <c r="J1046" i="15" s="1"/>
  <c r="M1046" i="15"/>
  <c r="G1047" i="15"/>
  <c r="I1047" i="15"/>
  <c r="J1047" i="15" s="1"/>
  <c r="L1047" i="15" s="1"/>
  <c r="M1047" i="15"/>
  <c r="G1048" i="15"/>
  <c r="H1048" i="15"/>
  <c r="I1048" i="15"/>
  <c r="J1048" i="15" s="1"/>
  <c r="L1048" i="15" s="1"/>
  <c r="K1048" i="15"/>
  <c r="M1048" i="15"/>
  <c r="G1049" i="15"/>
  <c r="H1049" i="15" s="1"/>
  <c r="K1049" i="15" s="1"/>
  <c r="I1049" i="15"/>
  <c r="J1049" i="15" s="1"/>
  <c r="L1049" i="15"/>
  <c r="M1049" i="15"/>
  <c r="G1050" i="15"/>
  <c r="H1050" i="15" s="1"/>
  <c r="K1050" i="15" s="1"/>
  <c r="I1050" i="15"/>
  <c r="J1050" i="15"/>
  <c r="M1050" i="15"/>
  <c r="G1051" i="15"/>
  <c r="H1051" i="15" s="1"/>
  <c r="I1051" i="15"/>
  <c r="J1051" i="15"/>
  <c r="L1051" i="15" s="1"/>
  <c r="M1051" i="15"/>
  <c r="G1052" i="15"/>
  <c r="H1052" i="15"/>
  <c r="K1052" i="15" s="1"/>
  <c r="I1052" i="15"/>
  <c r="J1052" i="15" s="1"/>
  <c r="L1052" i="15" s="1"/>
  <c r="M1052" i="15"/>
  <c r="G1053" i="15"/>
  <c r="H1053" i="15"/>
  <c r="K1053" i="15" s="1"/>
  <c r="I1053" i="15"/>
  <c r="M1053" i="15"/>
  <c r="G1054" i="15"/>
  <c r="H1054" i="15" s="1"/>
  <c r="K1054" i="15" s="1"/>
  <c r="I1054" i="15"/>
  <c r="J1054" i="15" s="1"/>
  <c r="M1054" i="15"/>
  <c r="G1055" i="15"/>
  <c r="I1055" i="15"/>
  <c r="J1055" i="15" s="1"/>
  <c r="L1055" i="15" s="1"/>
  <c r="M1055" i="15"/>
  <c r="G1056" i="15"/>
  <c r="H1056" i="15" s="1"/>
  <c r="K1056" i="15" s="1"/>
  <c r="I1056" i="15"/>
  <c r="J1056" i="15" s="1"/>
  <c r="L1056" i="15" s="1"/>
  <c r="M1056" i="15"/>
  <c r="G1057" i="15"/>
  <c r="H1057" i="15" s="1"/>
  <c r="K1057" i="15" s="1"/>
  <c r="I1057" i="15"/>
  <c r="J1057" i="15" s="1"/>
  <c r="L1057" i="15"/>
  <c r="M1057" i="15"/>
  <c r="G1058" i="15"/>
  <c r="H1058" i="15" s="1"/>
  <c r="K1058" i="15" s="1"/>
  <c r="I1058" i="15"/>
  <c r="J1058" i="15"/>
  <c r="M1058" i="15"/>
  <c r="G1059" i="15"/>
  <c r="H1059" i="15" s="1"/>
  <c r="I1059" i="15"/>
  <c r="J1059" i="15"/>
  <c r="L1059" i="15" s="1"/>
  <c r="M1059" i="15"/>
  <c r="G1060" i="15"/>
  <c r="H1060" i="15" s="1"/>
  <c r="I1060" i="15"/>
  <c r="J1060" i="15" s="1"/>
  <c r="L1060" i="15" s="1"/>
  <c r="K1060" i="15"/>
  <c r="M1060" i="15"/>
  <c r="G1061" i="15"/>
  <c r="H1061" i="15" s="1"/>
  <c r="K1061" i="15" s="1"/>
  <c r="I1061" i="15"/>
  <c r="M1061" i="15"/>
  <c r="G1062" i="15"/>
  <c r="H1062" i="15" s="1"/>
  <c r="K1062" i="15" s="1"/>
  <c r="I1062" i="15"/>
  <c r="J1062" i="15" s="1"/>
  <c r="M1062" i="15"/>
  <c r="G1063" i="15"/>
  <c r="I1063" i="15"/>
  <c r="J1063" i="15" s="1"/>
  <c r="L1063" i="15" s="1"/>
  <c r="M1063" i="15"/>
  <c r="G1064" i="15"/>
  <c r="H1064" i="15"/>
  <c r="I1064" i="15"/>
  <c r="J1064" i="15" s="1"/>
  <c r="L1064" i="15" s="1"/>
  <c r="M1064" i="15"/>
  <c r="G1065" i="15"/>
  <c r="H1065" i="15" s="1"/>
  <c r="K1065" i="15" s="1"/>
  <c r="I1065" i="15"/>
  <c r="M1065" i="15"/>
  <c r="G1066" i="15"/>
  <c r="H1066" i="15" s="1"/>
  <c r="K1066" i="15" s="1"/>
  <c r="I1066" i="15"/>
  <c r="J1066" i="15" s="1"/>
  <c r="M1066" i="15"/>
  <c r="G1067" i="15"/>
  <c r="H1067" i="15" s="1"/>
  <c r="I1067" i="15"/>
  <c r="J1067" i="15" s="1"/>
  <c r="L1067" i="15" s="1"/>
  <c r="M1067" i="15"/>
  <c r="G1068" i="15"/>
  <c r="H1068" i="15"/>
  <c r="K1068" i="15" s="1"/>
  <c r="I1068" i="15"/>
  <c r="J1068" i="15" s="1"/>
  <c r="L1068" i="15" s="1"/>
  <c r="M1068" i="15"/>
  <c r="G1069" i="15"/>
  <c r="H1069" i="15"/>
  <c r="K1069" i="15" s="1"/>
  <c r="I1069" i="15"/>
  <c r="J1069" i="15" s="1"/>
  <c r="L1069" i="15"/>
  <c r="M1069" i="15"/>
  <c r="G1070" i="15"/>
  <c r="H1070" i="15" s="1"/>
  <c r="K1070" i="15" s="1"/>
  <c r="I1070" i="15"/>
  <c r="J1070" i="15"/>
  <c r="M1070" i="15"/>
  <c r="G1071" i="15"/>
  <c r="I1071" i="15"/>
  <c r="J1071" i="15"/>
  <c r="L1071" i="15" s="1"/>
  <c r="M1071" i="15"/>
  <c r="G1072" i="15"/>
  <c r="H1072" i="15" s="1"/>
  <c r="K1072" i="15" s="1"/>
  <c r="I1072" i="15"/>
  <c r="J1072" i="15" s="1"/>
  <c r="L1072" i="15" s="1"/>
  <c r="M1072" i="15"/>
  <c r="G1073" i="15"/>
  <c r="H1073" i="15" s="1"/>
  <c r="K1073" i="15" s="1"/>
  <c r="I1073" i="15"/>
  <c r="M1073" i="15"/>
  <c r="G1074" i="15"/>
  <c r="H1074" i="15" s="1"/>
  <c r="K1074" i="15" s="1"/>
  <c r="I1074" i="15"/>
  <c r="J1074" i="15" s="1"/>
  <c r="M1074" i="15"/>
  <c r="G1075" i="15"/>
  <c r="H1075" i="15" s="1"/>
  <c r="I1075" i="15"/>
  <c r="J1075" i="15" s="1"/>
  <c r="L1075" i="15" s="1"/>
  <c r="M1075" i="15"/>
  <c r="G1076" i="15"/>
  <c r="H1076" i="15" s="1"/>
  <c r="I1076" i="15"/>
  <c r="J1076" i="15" s="1"/>
  <c r="L1076" i="15" s="1"/>
  <c r="K1076" i="15"/>
  <c r="M1076" i="15"/>
  <c r="G1077" i="15"/>
  <c r="H1077" i="15"/>
  <c r="K1077" i="15" s="1"/>
  <c r="I1077" i="15"/>
  <c r="J1077" i="15" s="1"/>
  <c r="L1077" i="15"/>
  <c r="M1077" i="15"/>
  <c r="G1078" i="15"/>
  <c r="H1078" i="15" s="1"/>
  <c r="K1078" i="15" s="1"/>
  <c r="I1078" i="15"/>
  <c r="J1078" i="15"/>
  <c r="M1078" i="15"/>
  <c r="G1079" i="15"/>
  <c r="I1079" i="15"/>
  <c r="J1079" i="15"/>
  <c r="L1079" i="15" s="1"/>
  <c r="M1079" i="15"/>
  <c r="G1080" i="15"/>
  <c r="I1080" i="15"/>
  <c r="J1080" i="15" s="1"/>
  <c r="L1080" i="15" s="1"/>
  <c r="M1080" i="15"/>
  <c r="G1081" i="15"/>
  <c r="H1081" i="15" s="1"/>
  <c r="K1081" i="15" s="1"/>
  <c r="I1081" i="15"/>
  <c r="J1081" i="15" s="1"/>
  <c r="L1081" i="15" s="1"/>
  <c r="M1081" i="15"/>
  <c r="G1082" i="15"/>
  <c r="I1082" i="15"/>
  <c r="M1082" i="15"/>
  <c r="G1083" i="15"/>
  <c r="H1083" i="15" s="1"/>
  <c r="I1083" i="15"/>
  <c r="J1083" i="15"/>
  <c r="L1083" i="15" s="1"/>
  <c r="M1083" i="15"/>
  <c r="G1084" i="15"/>
  <c r="H1084" i="15"/>
  <c r="K1084" i="15" s="1"/>
  <c r="I1084" i="15"/>
  <c r="M1084" i="15"/>
  <c r="G1085" i="15"/>
  <c r="H1085" i="15"/>
  <c r="K1085" i="15" s="1"/>
  <c r="I1085" i="15"/>
  <c r="J1085" i="15"/>
  <c r="M1085" i="15"/>
  <c r="G1086" i="15"/>
  <c r="I1086" i="15"/>
  <c r="J1086" i="15" s="1"/>
  <c r="M1086" i="15"/>
  <c r="G1087" i="15"/>
  <c r="H1087" i="15" s="1"/>
  <c r="K1087" i="15" s="1"/>
  <c r="I1087" i="15"/>
  <c r="J1087" i="15"/>
  <c r="M1087" i="15"/>
  <c r="G1088" i="15"/>
  <c r="H1088" i="15" s="1"/>
  <c r="K1088" i="15" s="1"/>
  <c r="I1088" i="15"/>
  <c r="M1088" i="15"/>
  <c r="G1089" i="15"/>
  <c r="H1089" i="15" s="1"/>
  <c r="K1089" i="15" s="1"/>
  <c r="I1089" i="15"/>
  <c r="M1089" i="15"/>
  <c r="G1090" i="15"/>
  <c r="H1090" i="15" s="1"/>
  <c r="I1090" i="15"/>
  <c r="J1090" i="15"/>
  <c r="M1090" i="15"/>
  <c r="G1091" i="15"/>
  <c r="H1091" i="15"/>
  <c r="K1091" i="15" s="1"/>
  <c r="I1091" i="15"/>
  <c r="J1091" i="15" s="1"/>
  <c r="M1091" i="15"/>
  <c r="G1092" i="15"/>
  <c r="H1092" i="15"/>
  <c r="I1092" i="15"/>
  <c r="K1092" i="15"/>
  <c r="M1092" i="15"/>
  <c r="G1093" i="15"/>
  <c r="H1093" i="15" s="1"/>
  <c r="K1093" i="15" s="1"/>
  <c r="I1093" i="15"/>
  <c r="J1093" i="15"/>
  <c r="M1093" i="15"/>
  <c r="G1094" i="15"/>
  <c r="I1094" i="15"/>
  <c r="J1094" i="15" s="1"/>
  <c r="M1094" i="15"/>
  <c r="G1095" i="15"/>
  <c r="H1095" i="15"/>
  <c r="K1095" i="15" s="1"/>
  <c r="I1095" i="15"/>
  <c r="J1095" i="15"/>
  <c r="L1095" i="15" s="1"/>
  <c r="M1095" i="15"/>
  <c r="G1096" i="15"/>
  <c r="H1096" i="15"/>
  <c r="K1096" i="15" s="1"/>
  <c r="I1096" i="15"/>
  <c r="M1096" i="15"/>
  <c r="G1097" i="15"/>
  <c r="H1097" i="15" s="1"/>
  <c r="K1097" i="15" s="1"/>
  <c r="I1097" i="15"/>
  <c r="J1097" i="15" s="1"/>
  <c r="L1097" i="15" s="1"/>
  <c r="M1097" i="15"/>
  <c r="G1098" i="15"/>
  <c r="I1098" i="15"/>
  <c r="M1098" i="15"/>
  <c r="G1099" i="15"/>
  <c r="I1099" i="15"/>
  <c r="M1099" i="15"/>
  <c r="G1100" i="15"/>
  <c r="H1100" i="15" s="1"/>
  <c r="K1100" i="15" s="1"/>
  <c r="I1100" i="15"/>
  <c r="M1100" i="15"/>
  <c r="G1101" i="15"/>
  <c r="H1101" i="15" s="1"/>
  <c r="K1101" i="15" s="1"/>
  <c r="I1101" i="15"/>
  <c r="M1101" i="15"/>
  <c r="G1102" i="15"/>
  <c r="I1102" i="15"/>
  <c r="J1102" i="15" s="1"/>
  <c r="M1102" i="15"/>
  <c r="G1103" i="15"/>
  <c r="H1103" i="15" s="1"/>
  <c r="K1103" i="15" s="1"/>
  <c r="I1103" i="15"/>
  <c r="M1103" i="15"/>
  <c r="G1104" i="15"/>
  <c r="H1104" i="15" s="1"/>
  <c r="K1104" i="15" s="1"/>
  <c r="I1104" i="15"/>
  <c r="M1104" i="15"/>
  <c r="G1105" i="15"/>
  <c r="H1105" i="15" s="1"/>
  <c r="K1105" i="15" s="1"/>
  <c r="I1105" i="15"/>
  <c r="J1105" i="15" s="1"/>
  <c r="L1105" i="15"/>
  <c r="M1105" i="15"/>
  <c r="G1106" i="15"/>
  <c r="H1106" i="15" s="1"/>
  <c r="I1106" i="15"/>
  <c r="J1106" i="15"/>
  <c r="K1106" i="15"/>
  <c r="M1106" i="15"/>
  <c r="G1107" i="15"/>
  <c r="H1107" i="15"/>
  <c r="K1107" i="15" s="1"/>
  <c r="I1107" i="15"/>
  <c r="M1107" i="15"/>
  <c r="G1108" i="15"/>
  <c r="H1108" i="15"/>
  <c r="K1108" i="15" s="1"/>
  <c r="I1108" i="15"/>
  <c r="M1108" i="15"/>
  <c r="G1109" i="15"/>
  <c r="H1109" i="15" s="1"/>
  <c r="K1109" i="15" s="1"/>
  <c r="I1109" i="15"/>
  <c r="J1109" i="15"/>
  <c r="L1109" i="15" s="1"/>
  <c r="M1109" i="15"/>
  <c r="G1110" i="15"/>
  <c r="I1110" i="15"/>
  <c r="J1110" i="15" s="1"/>
  <c r="M1110" i="15"/>
  <c r="G1111" i="15"/>
  <c r="H1111" i="15"/>
  <c r="K1111" i="15" s="1"/>
  <c r="I1111" i="15"/>
  <c r="J1111" i="15"/>
  <c r="L1111" i="15" s="1"/>
  <c r="M1111" i="15"/>
  <c r="G1112" i="15"/>
  <c r="H1112" i="15"/>
  <c r="K1112" i="15" s="1"/>
  <c r="I1112" i="15"/>
  <c r="M1112" i="15"/>
  <c r="G1113" i="15"/>
  <c r="H1113" i="15" s="1"/>
  <c r="K1113" i="15" s="1"/>
  <c r="I1113" i="15"/>
  <c r="J1113" i="15" s="1"/>
  <c r="L1113" i="15" s="1"/>
  <c r="M1113" i="15"/>
  <c r="G1114" i="15"/>
  <c r="I1114" i="15"/>
  <c r="M1114" i="15"/>
  <c r="G1115" i="15"/>
  <c r="H1115" i="15" s="1"/>
  <c r="I1115" i="15"/>
  <c r="M1115" i="15"/>
  <c r="G1116" i="15"/>
  <c r="H1116" i="15" s="1"/>
  <c r="K1116" i="15" s="1"/>
  <c r="I1116" i="15"/>
  <c r="M1116" i="15"/>
  <c r="G1117" i="15"/>
  <c r="H1117" i="15" s="1"/>
  <c r="K1117" i="15" s="1"/>
  <c r="I1117" i="15"/>
  <c r="M1117" i="15"/>
  <c r="G1118" i="15"/>
  <c r="I1118" i="15"/>
  <c r="J1118" i="15" s="1"/>
  <c r="M1118" i="15"/>
  <c r="G1119" i="15"/>
  <c r="H1119" i="15" s="1"/>
  <c r="K1119" i="15" s="1"/>
  <c r="I1119" i="15"/>
  <c r="J1119" i="15"/>
  <c r="L1119" i="15"/>
  <c r="M1119" i="15"/>
  <c r="G1120" i="15"/>
  <c r="H1120" i="15"/>
  <c r="K1120" i="15" s="1"/>
  <c r="I1120" i="15"/>
  <c r="M1120" i="15"/>
  <c r="G1121" i="15"/>
  <c r="H1121" i="15"/>
  <c r="K1121" i="15" s="1"/>
  <c r="I1121" i="15"/>
  <c r="J1121" i="15" s="1"/>
  <c r="M1121" i="15"/>
  <c r="G1122" i="15"/>
  <c r="H1122" i="15" s="1"/>
  <c r="I1122" i="15"/>
  <c r="J1122" i="15" s="1"/>
  <c r="K1122" i="15"/>
  <c r="M1122" i="15"/>
  <c r="G1123" i="15"/>
  <c r="H1123" i="15" s="1"/>
  <c r="K1123" i="15" s="1"/>
  <c r="I1123" i="15"/>
  <c r="J1123" i="15" s="1"/>
  <c r="M1123" i="15"/>
  <c r="G1124" i="15"/>
  <c r="H1124" i="15" s="1"/>
  <c r="I1124" i="15"/>
  <c r="M1124" i="15"/>
  <c r="G1125" i="15"/>
  <c r="H1125" i="15" s="1"/>
  <c r="K1125" i="15" s="1"/>
  <c r="I1125" i="15"/>
  <c r="J1125" i="15"/>
  <c r="L1125" i="15" s="1"/>
  <c r="M1125" i="15"/>
  <c r="G1126" i="15"/>
  <c r="H1126" i="15" s="1"/>
  <c r="I1126" i="15"/>
  <c r="J1126" i="15" s="1"/>
  <c r="K1126" i="15"/>
  <c r="M1126" i="15"/>
  <c r="G1127" i="15"/>
  <c r="H1127" i="15" s="1"/>
  <c r="K1127" i="15" s="1"/>
  <c r="I1127" i="15"/>
  <c r="M1127" i="15"/>
  <c r="G1128" i="15"/>
  <c r="I1128" i="15"/>
  <c r="M1128" i="15"/>
  <c r="G1129" i="15"/>
  <c r="H1129" i="15"/>
  <c r="K1129" i="15" s="1"/>
  <c r="I1129" i="15"/>
  <c r="J1129" i="15"/>
  <c r="L1129" i="15" s="1"/>
  <c r="M1129" i="15"/>
  <c r="G1130" i="15"/>
  <c r="I1130" i="15"/>
  <c r="M1130" i="15"/>
  <c r="G1131" i="15"/>
  <c r="H1131" i="15" s="1"/>
  <c r="I1131" i="15"/>
  <c r="J1131" i="15" s="1"/>
  <c r="M1131" i="15"/>
  <c r="G1132" i="15"/>
  <c r="H1132" i="15" s="1"/>
  <c r="K1132" i="15" s="1"/>
  <c r="I1132" i="15"/>
  <c r="M1132" i="15"/>
  <c r="G1133" i="15"/>
  <c r="H1133" i="15" s="1"/>
  <c r="K1133" i="15" s="1"/>
  <c r="I1133" i="15"/>
  <c r="J1133" i="15" s="1"/>
  <c r="L1133" i="15" s="1"/>
  <c r="M1133" i="15"/>
  <c r="G1134" i="15"/>
  <c r="H1134" i="15" s="1"/>
  <c r="I1134" i="15"/>
  <c r="K1134" i="15"/>
  <c r="M1134" i="15"/>
  <c r="G1135" i="15"/>
  <c r="H1135" i="15" s="1"/>
  <c r="K1135" i="15" s="1"/>
  <c r="I1135" i="15"/>
  <c r="J1135" i="15" s="1"/>
  <c r="L1135" i="15" s="1"/>
  <c r="M1135" i="15"/>
  <c r="G1136" i="15"/>
  <c r="H1136" i="15"/>
  <c r="K1136" i="15" s="1"/>
  <c r="I1136" i="15"/>
  <c r="M1136" i="15"/>
  <c r="G1137" i="15"/>
  <c r="H1137" i="15"/>
  <c r="K1137" i="15" s="1"/>
  <c r="I1137" i="15"/>
  <c r="M1137" i="15"/>
  <c r="G1138" i="15"/>
  <c r="I1138" i="15"/>
  <c r="J1138" i="15" s="1"/>
  <c r="M1138" i="15"/>
  <c r="G1139" i="15"/>
  <c r="H1139" i="15" s="1"/>
  <c r="K1139" i="15" s="1"/>
  <c r="I1139" i="15"/>
  <c r="M1139" i="15"/>
  <c r="G1140" i="15"/>
  <c r="I1140" i="15"/>
  <c r="M1140" i="15"/>
  <c r="G1141" i="15"/>
  <c r="H1141" i="15" s="1"/>
  <c r="K1141" i="15" s="1"/>
  <c r="I1141" i="15"/>
  <c r="J1141" i="15" s="1"/>
  <c r="L1141" i="15" s="1"/>
  <c r="M1141" i="15"/>
  <c r="G1142" i="15"/>
  <c r="I1142" i="15"/>
  <c r="J1142" i="15" s="1"/>
  <c r="M1142" i="15"/>
  <c r="G1143" i="15"/>
  <c r="H1143" i="15" s="1"/>
  <c r="K1143" i="15" s="1"/>
  <c r="I1143" i="15"/>
  <c r="M1143" i="15"/>
  <c r="G1144" i="15"/>
  <c r="H1144" i="15" s="1"/>
  <c r="I1144" i="15"/>
  <c r="M1144" i="15"/>
  <c r="G1145" i="15"/>
  <c r="H1145" i="15"/>
  <c r="K1145" i="15" s="1"/>
  <c r="I1145" i="15"/>
  <c r="J1145" i="15" s="1"/>
  <c r="L1145" i="15" s="1"/>
  <c r="M1145" i="15"/>
  <c r="G1146" i="15"/>
  <c r="I1146" i="15"/>
  <c r="M1146" i="15"/>
  <c r="G1147" i="15"/>
  <c r="H1147" i="15" s="1"/>
  <c r="I1147" i="15"/>
  <c r="J1147" i="15" s="1"/>
  <c r="M1147" i="15"/>
  <c r="G1148" i="15"/>
  <c r="H1148" i="15"/>
  <c r="K1148" i="15" s="1"/>
  <c r="I1148" i="15"/>
  <c r="M1148" i="15"/>
  <c r="G1149" i="15"/>
  <c r="H1149" i="15"/>
  <c r="K1149" i="15" s="1"/>
  <c r="I1149" i="15"/>
  <c r="J1149" i="15"/>
  <c r="L1149" i="15" s="1"/>
  <c r="M1149" i="15"/>
  <c r="G1150" i="15"/>
  <c r="I1150" i="15"/>
  <c r="J1150" i="15" s="1"/>
  <c r="M1150" i="15"/>
  <c r="G1151" i="15"/>
  <c r="H1151" i="15" s="1"/>
  <c r="K1151" i="15" s="1"/>
  <c r="I1151" i="15"/>
  <c r="M1151" i="15"/>
  <c r="G1152" i="15"/>
  <c r="H1152" i="15" s="1"/>
  <c r="K1152" i="15" s="1"/>
  <c r="I1152" i="15"/>
  <c r="M1152" i="15"/>
  <c r="G1153" i="15"/>
  <c r="H1153" i="15" s="1"/>
  <c r="K1153" i="15" s="1"/>
  <c r="I1153" i="15"/>
  <c r="J1153" i="15"/>
  <c r="L1153" i="15" s="1"/>
  <c r="M1153" i="15"/>
  <c r="G1154" i="15"/>
  <c r="I1154" i="15"/>
  <c r="J1154" i="15" s="1"/>
  <c r="M1154" i="15"/>
  <c r="G1155" i="15"/>
  <c r="H1155" i="15"/>
  <c r="K1155" i="15" s="1"/>
  <c r="I1155" i="15"/>
  <c r="J1155" i="15"/>
  <c r="L1155" i="15" s="1"/>
  <c r="M1155" i="15"/>
  <c r="G1156" i="15"/>
  <c r="H1156" i="15" s="1"/>
  <c r="K1156" i="15" s="1"/>
  <c r="I1156" i="15"/>
  <c r="M1156" i="15"/>
  <c r="G1157" i="15"/>
  <c r="H1157" i="15" s="1"/>
  <c r="K1157" i="15" s="1"/>
  <c r="I1157" i="15"/>
  <c r="J1157" i="15" s="1"/>
  <c r="M1157" i="15"/>
  <c r="G1158" i="15"/>
  <c r="H1158" i="15" s="1"/>
  <c r="I1158" i="15"/>
  <c r="J1158" i="15" s="1"/>
  <c r="K1158" i="15"/>
  <c r="M1158" i="15"/>
  <c r="G1159" i="15"/>
  <c r="H1159" i="15" s="1"/>
  <c r="K1159" i="15" s="1"/>
  <c r="I1159" i="15"/>
  <c r="M1159" i="15"/>
  <c r="G1160" i="15"/>
  <c r="H1160" i="15" s="1"/>
  <c r="K1160" i="15" s="1"/>
  <c r="I1160" i="15"/>
  <c r="M1160" i="15"/>
  <c r="G1161" i="15"/>
  <c r="H1161" i="15" s="1"/>
  <c r="K1161" i="15" s="1"/>
  <c r="I1161" i="15"/>
  <c r="J1161" i="15" s="1"/>
  <c r="L1161" i="15" s="1"/>
  <c r="M1161" i="15"/>
  <c r="G1162" i="15"/>
  <c r="H1162" i="15" s="1"/>
  <c r="I1162" i="15"/>
  <c r="K1162" i="15"/>
  <c r="M1162" i="15"/>
  <c r="G1163" i="15"/>
  <c r="H1163" i="15" s="1"/>
  <c r="I1163" i="15"/>
  <c r="J1163" i="15" s="1"/>
  <c r="K1163" i="15"/>
  <c r="M1163" i="15"/>
  <c r="G1164" i="15"/>
  <c r="H1164" i="15" s="1"/>
  <c r="K1164" i="15" s="1"/>
  <c r="I1164" i="15"/>
  <c r="M1164" i="15"/>
  <c r="G1165" i="15"/>
  <c r="H1165" i="15" s="1"/>
  <c r="K1165" i="15" s="1"/>
  <c r="I1165" i="15"/>
  <c r="J1165" i="15" s="1"/>
  <c r="L1165" i="15" s="1"/>
  <c r="M1165" i="15"/>
  <c r="G1166" i="15"/>
  <c r="I1166" i="15"/>
  <c r="J1166" i="15" s="1"/>
  <c r="M1166" i="15"/>
  <c r="G1167" i="15"/>
  <c r="H1167" i="15" s="1"/>
  <c r="K1167" i="15" s="1"/>
  <c r="I1167" i="15"/>
  <c r="J1167" i="15" s="1"/>
  <c r="M1167" i="15"/>
  <c r="G1168" i="15"/>
  <c r="H1168" i="15" s="1"/>
  <c r="K1168" i="15" s="1"/>
  <c r="I1168" i="15"/>
  <c r="M1168" i="15"/>
  <c r="G1169" i="15"/>
  <c r="H1169" i="15" s="1"/>
  <c r="K1169" i="15" s="1"/>
  <c r="I1169" i="15"/>
  <c r="J1169" i="15"/>
  <c r="L1169" i="15" s="1"/>
  <c r="M1169" i="15"/>
  <c r="G1170" i="15"/>
  <c r="I1170" i="15"/>
  <c r="J1170" i="15" s="1"/>
  <c r="M1170" i="15"/>
  <c r="G1171" i="15"/>
  <c r="H1171" i="15" s="1"/>
  <c r="K1171" i="15" s="1"/>
  <c r="I1171" i="15"/>
  <c r="J1171" i="15"/>
  <c r="L1171" i="15" s="1"/>
  <c r="M1171" i="15"/>
  <c r="G1172" i="15"/>
  <c r="H1172" i="15"/>
  <c r="I1172" i="15"/>
  <c r="K1172" i="15"/>
  <c r="M1172" i="15"/>
  <c r="G1173" i="15"/>
  <c r="H1173" i="15" s="1"/>
  <c r="K1173" i="15" s="1"/>
  <c r="I1173" i="15"/>
  <c r="M1173" i="15"/>
  <c r="G1174" i="15"/>
  <c r="H1174" i="15" s="1"/>
  <c r="I1174" i="15"/>
  <c r="J1174" i="15"/>
  <c r="K1174" i="15"/>
  <c r="M1174" i="15"/>
  <c r="G1175" i="15"/>
  <c r="H1175" i="15"/>
  <c r="K1175" i="15" s="1"/>
  <c r="I1175" i="15"/>
  <c r="M1175" i="15"/>
  <c r="G1176" i="15"/>
  <c r="I1176" i="15"/>
  <c r="M1176" i="15"/>
  <c r="G1177" i="15"/>
  <c r="H1177" i="15" s="1"/>
  <c r="K1177" i="15" s="1"/>
  <c r="I1177" i="15"/>
  <c r="J1177" i="15"/>
  <c r="L1177" i="15" s="1"/>
  <c r="M1177" i="15"/>
  <c r="G1178" i="15"/>
  <c r="H1178" i="15" s="1"/>
  <c r="I1178" i="15"/>
  <c r="K1178" i="15"/>
  <c r="M1178" i="15"/>
  <c r="G1179" i="15"/>
  <c r="H1179" i="15" s="1"/>
  <c r="I1179" i="15"/>
  <c r="J1179" i="15"/>
  <c r="L1179" i="15"/>
  <c r="M1179" i="15"/>
  <c r="G1180" i="15"/>
  <c r="H1180" i="15"/>
  <c r="K1180" i="15" s="1"/>
  <c r="I1180" i="15"/>
  <c r="M1180" i="15"/>
  <c r="G1181" i="15"/>
  <c r="H1181" i="15"/>
  <c r="K1181" i="15" s="1"/>
  <c r="I1181" i="15"/>
  <c r="M1181" i="15"/>
  <c r="G1182" i="15"/>
  <c r="I1182" i="15"/>
  <c r="J1182" i="15"/>
  <c r="M1182" i="15"/>
  <c r="G1183" i="15"/>
  <c r="H1183" i="15"/>
  <c r="K1183" i="15" s="1"/>
  <c r="I1183" i="15"/>
  <c r="J1183" i="15" s="1"/>
  <c r="M1183" i="15"/>
  <c r="G1184" i="15"/>
  <c r="H1184" i="15" s="1"/>
  <c r="K1184" i="15" s="1"/>
  <c r="I1184" i="15"/>
  <c r="M1184" i="15"/>
  <c r="G1185" i="15"/>
  <c r="H1185" i="15" s="1"/>
  <c r="K1185" i="15" s="1"/>
  <c r="I1185" i="15"/>
  <c r="J1185" i="15"/>
  <c r="L1185" i="15" s="1"/>
  <c r="M1185" i="15"/>
  <c r="G1186" i="15"/>
  <c r="I1186" i="15"/>
  <c r="J1186" i="15" s="1"/>
  <c r="M1186" i="15"/>
  <c r="G1187" i="15"/>
  <c r="H1187" i="15" s="1"/>
  <c r="K1187" i="15" s="1"/>
  <c r="I1187" i="15"/>
  <c r="J1187" i="15" s="1"/>
  <c r="L1187" i="15"/>
  <c r="M1187" i="15"/>
  <c r="G1188" i="15"/>
  <c r="I1188" i="15"/>
  <c r="M1188" i="15"/>
  <c r="G1189" i="15"/>
  <c r="H1189" i="15" s="1"/>
  <c r="K1189" i="15" s="1"/>
  <c r="I1189" i="15"/>
  <c r="M1189" i="15"/>
  <c r="G1190" i="15"/>
  <c r="I1190" i="15"/>
  <c r="J1190" i="15" s="1"/>
  <c r="M1190" i="15"/>
  <c r="G1191" i="15"/>
  <c r="H1191" i="15" s="1"/>
  <c r="K1191" i="15" s="1"/>
  <c r="I1191" i="15"/>
  <c r="M1191" i="15"/>
  <c r="G1192" i="15"/>
  <c r="I1192" i="15"/>
  <c r="M1192" i="15"/>
  <c r="G1193" i="15"/>
  <c r="H1193" i="15" s="1"/>
  <c r="K1193" i="15" s="1"/>
  <c r="I1193" i="15"/>
  <c r="J1193" i="15"/>
  <c r="L1193" i="15" s="1"/>
  <c r="M1193" i="15"/>
  <c r="G1194" i="15"/>
  <c r="I1194" i="15"/>
  <c r="M1194" i="15"/>
  <c r="G1195" i="15"/>
  <c r="H1195" i="15" s="1"/>
  <c r="I1195" i="15"/>
  <c r="J1195" i="15" s="1"/>
  <c r="L1195" i="15"/>
  <c r="M1195" i="15"/>
  <c r="G1196" i="15"/>
  <c r="H1196" i="15" s="1"/>
  <c r="K1196" i="15" s="1"/>
  <c r="I1196" i="15"/>
  <c r="M1196" i="15"/>
  <c r="G1197" i="15"/>
  <c r="H1197" i="15" s="1"/>
  <c r="K1197" i="15" s="1"/>
  <c r="I1197" i="15"/>
  <c r="J1197" i="15"/>
  <c r="L1197" i="15" s="1"/>
  <c r="M1197" i="15"/>
  <c r="G1198" i="15"/>
  <c r="H1198" i="15" s="1"/>
  <c r="I1198" i="15"/>
  <c r="K1198" i="15"/>
  <c r="M1198" i="15"/>
  <c r="G1199" i="15"/>
  <c r="H1199" i="15" s="1"/>
  <c r="K1199" i="15" s="1"/>
  <c r="I1199" i="15"/>
  <c r="J1199" i="15"/>
  <c r="M1199" i="15"/>
  <c r="G1200" i="15"/>
  <c r="H1200" i="15"/>
  <c r="K1200" i="15" s="1"/>
  <c r="I1200" i="15"/>
  <c r="M1200" i="15"/>
  <c r="G1201" i="15"/>
  <c r="H1201" i="15"/>
  <c r="K1201" i="15" s="1"/>
  <c r="I1201" i="15"/>
  <c r="J1201" i="15"/>
  <c r="L1201" i="15" s="1"/>
  <c r="M1201" i="15"/>
  <c r="G1202" i="15"/>
  <c r="H1202" i="15" s="1"/>
  <c r="I1202" i="15"/>
  <c r="J1202" i="15" s="1"/>
  <c r="K1202" i="15"/>
  <c r="M1202" i="15"/>
  <c r="G1203" i="15"/>
  <c r="H1203" i="15" s="1"/>
  <c r="K1203" i="15" s="1"/>
  <c r="I1203" i="15"/>
  <c r="M1203" i="15"/>
  <c r="G1204" i="15"/>
  <c r="H1204" i="15" s="1"/>
  <c r="I1204" i="15"/>
  <c r="K1204" i="15"/>
  <c r="M1204" i="15"/>
  <c r="G1205" i="15"/>
  <c r="H1205" i="15"/>
  <c r="K1205" i="15" s="1"/>
  <c r="I1205" i="15"/>
  <c r="J1205" i="15" s="1"/>
  <c r="M1205" i="15"/>
  <c r="G1206" i="15"/>
  <c r="I1206" i="15"/>
  <c r="J1206" i="15" s="1"/>
  <c r="M1206" i="15"/>
  <c r="G1207" i="15"/>
  <c r="H1207" i="15" s="1"/>
  <c r="K1207" i="15" s="1"/>
  <c r="I1207" i="15"/>
  <c r="J1207" i="15" s="1"/>
  <c r="M1207" i="15"/>
  <c r="G1208" i="15"/>
  <c r="I1208" i="15"/>
  <c r="M1208" i="15"/>
  <c r="G1209" i="15"/>
  <c r="H1209" i="15" s="1"/>
  <c r="K1209" i="15" s="1"/>
  <c r="I1209" i="15"/>
  <c r="J1209" i="15"/>
  <c r="L1209" i="15" s="1"/>
  <c r="M1209" i="15"/>
  <c r="G1210" i="15"/>
  <c r="H1210" i="15" s="1"/>
  <c r="I1210" i="15"/>
  <c r="M1210" i="15"/>
  <c r="G1211" i="15"/>
  <c r="H1211" i="15" s="1"/>
  <c r="I1211" i="15"/>
  <c r="J1211" i="15"/>
  <c r="L1211" i="15"/>
  <c r="M1211" i="15"/>
  <c r="G1212" i="15"/>
  <c r="H1212" i="15"/>
  <c r="K1212" i="15" s="1"/>
  <c r="I1212" i="15"/>
  <c r="M1212" i="15"/>
  <c r="G1213" i="15"/>
  <c r="H1213" i="15"/>
  <c r="K1213" i="15" s="1"/>
  <c r="I1213" i="15"/>
  <c r="M1213" i="15"/>
  <c r="G1214" i="15"/>
  <c r="H1214" i="15" s="1"/>
  <c r="I1214" i="15"/>
  <c r="J1214" i="15" s="1"/>
  <c r="K1214" i="15"/>
  <c r="M1214" i="15"/>
  <c r="G1215" i="15"/>
  <c r="H1215" i="15" s="1"/>
  <c r="K1215" i="15" s="1"/>
  <c r="I1215" i="15"/>
  <c r="M1215" i="15"/>
  <c r="G1216" i="15"/>
  <c r="H1216" i="15"/>
  <c r="K1216" i="15" s="1"/>
  <c r="I1216" i="15"/>
  <c r="M1216" i="15"/>
  <c r="G1217" i="15"/>
  <c r="H1217" i="15"/>
  <c r="K1217" i="15" s="1"/>
  <c r="I1217" i="15"/>
  <c r="J1217" i="15" s="1"/>
  <c r="L1217" i="15"/>
  <c r="M1217" i="15"/>
  <c r="G1218" i="15"/>
  <c r="I1218" i="15"/>
  <c r="J1218" i="15"/>
  <c r="M1218" i="15"/>
  <c r="G1219" i="15"/>
  <c r="H1219" i="15"/>
  <c r="K1219" i="15" s="1"/>
  <c r="I1219" i="15"/>
  <c r="J1219" i="15" s="1"/>
  <c r="M1219" i="15"/>
  <c r="G1220" i="15"/>
  <c r="H1220" i="15"/>
  <c r="I1220" i="15"/>
  <c r="M1220" i="15"/>
  <c r="G1221" i="15"/>
  <c r="H1221" i="15" s="1"/>
  <c r="K1221" i="15" s="1"/>
  <c r="I1221" i="15"/>
  <c r="M1221" i="15"/>
  <c r="G1222" i="15"/>
  <c r="I1222" i="15"/>
  <c r="J1222" i="15" s="1"/>
  <c r="M1222" i="15"/>
  <c r="G1223" i="15"/>
  <c r="H1223" i="15" s="1"/>
  <c r="K1223" i="15" s="1"/>
  <c r="I1223" i="15"/>
  <c r="J1223" i="15" s="1"/>
  <c r="L1223" i="15" s="1"/>
  <c r="M1223" i="15"/>
  <c r="G1224" i="15"/>
  <c r="H1224" i="15"/>
  <c r="K1224" i="15" s="1"/>
  <c r="I1224" i="15"/>
  <c r="M1224" i="15"/>
  <c r="G1225" i="15"/>
  <c r="H1225" i="15"/>
  <c r="K1225" i="15" s="1"/>
  <c r="I1225" i="15"/>
  <c r="J1225" i="15" s="1"/>
  <c r="L1225" i="15" s="1"/>
  <c r="M1225" i="15"/>
  <c r="G1226" i="15"/>
  <c r="I1226" i="15"/>
  <c r="M1226" i="15"/>
  <c r="G1227" i="15"/>
  <c r="H1227" i="15" s="1"/>
  <c r="I1227" i="15"/>
  <c r="K1227" i="15"/>
  <c r="M1227" i="15"/>
  <c r="G1228" i="15"/>
  <c r="H1228" i="15"/>
  <c r="K1228" i="15" s="1"/>
  <c r="I1228" i="15"/>
  <c r="M1228" i="15"/>
  <c r="G1229" i="15"/>
  <c r="H1229" i="15"/>
  <c r="K1229" i="15" s="1"/>
  <c r="I1229" i="15"/>
  <c r="J1229" i="15" s="1"/>
  <c r="M1229" i="15"/>
  <c r="G1230" i="15"/>
  <c r="I1230" i="15"/>
  <c r="J1230" i="15" s="1"/>
  <c r="M1230" i="15"/>
  <c r="G1231" i="15"/>
  <c r="H1231" i="15" s="1"/>
  <c r="K1231" i="15" s="1"/>
  <c r="I1231" i="15"/>
  <c r="J1231" i="15" s="1"/>
  <c r="L1231" i="15" s="1"/>
  <c r="M1231" i="15"/>
  <c r="G1232" i="15"/>
  <c r="H1232" i="15"/>
  <c r="K1232" i="15" s="1"/>
  <c r="I1232" i="15"/>
  <c r="M1232" i="15"/>
  <c r="G1233" i="15"/>
  <c r="H1233" i="15"/>
  <c r="K1233" i="15" s="1"/>
  <c r="I1233" i="15"/>
  <c r="J1233" i="15" s="1"/>
  <c r="L1233" i="15"/>
  <c r="M1233" i="15"/>
  <c r="G1234" i="15"/>
  <c r="I1234" i="15"/>
  <c r="J1234" i="15"/>
  <c r="M1234" i="15"/>
  <c r="G1235" i="15"/>
  <c r="H1235" i="15" s="1"/>
  <c r="K1235" i="15" s="1"/>
  <c r="I1235" i="15"/>
  <c r="J1235" i="15"/>
  <c r="M1235" i="15"/>
  <c r="G1236" i="15"/>
  <c r="H1236" i="15" s="1"/>
  <c r="I1236" i="15"/>
  <c r="K1236" i="15"/>
  <c r="M1236" i="15"/>
  <c r="G1237" i="15"/>
  <c r="H1237" i="15" s="1"/>
  <c r="K1237" i="15" s="1"/>
  <c r="I1237" i="15"/>
  <c r="J1237" i="15"/>
  <c r="L1237" i="15"/>
  <c r="M1237" i="15"/>
  <c r="G1238" i="15"/>
  <c r="I1238" i="15"/>
  <c r="J1238" i="15"/>
  <c r="M1238" i="15"/>
  <c r="G1239" i="15"/>
  <c r="H1239" i="15"/>
  <c r="K1239" i="15" s="1"/>
  <c r="I1239" i="15"/>
  <c r="J1239" i="15" s="1"/>
  <c r="L1239" i="15"/>
  <c r="M1239" i="15"/>
  <c r="G1240" i="15"/>
  <c r="H1240" i="15" s="1"/>
  <c r="I1240" i="15"/>
  <c r="K1240" i="15"/>
  <c r="M1240" i="15"/>
  <c r="G1241" i="15"/>
  <c r="H1241" i="15"/>
  <c r="K1241" i="15" s="1"/>
  <c r="I1241" i="15"/>
  <c r="J1241" i="15" s="1"/>
  <c r="L1241" i="15" s="1"/>
  <c r="M1241" i="15"/>
  <c r="G1242" i="15"/>
  <c r="I1242" i="15"/>
  <c r="M1242" i="15"/>
  <c r="G1243" i="15"/>
  <c r="H1243" i="15" s="1"/>
  <c r="I1243" i="15"/>
  <c r="J1243" i="15" s="1"/>
  <c r="L1243" i="15"/>
  <c r="M1243" i="15"/>
  <c r="G1244" i="15"/>
  <c r="H1244" i="15" s="1"/>
  <c r="K1244" i="15" s="1"/>
  <c r="I1244" i="15"/>
  <c r="M1244" i="15"/>
  <c r="G1245" i="15"/>
  <c r="H1245" i="15" s="1"/>
  <c r="K1245" i="15" s="1"/>
  <c r="I1245" i="15"/>
  <c r="M1245" i="15"/>
  <c r="G1246" i="15"/>
  <c r="I1246" i="15"/>
  <c r="J1246" i="15" s="1"/>
  <c r="M1246" i="15"/>
  <c r="G1247" i="15"/>
  <c r="H1247" i="15" s="1"/>
  <c r="K1247" i="15" s="1"/>
  <c r="I1247" i="15"/>
  <c r="M1247" i="15"/>
  <c r="G1248" i="15"/>
  <c r="H1248" i="15"/>
  <c r="K1248" i="15" s="1"/>
  <c r="I1248" i="15"/>
  <c r="M1248" i="15"/>
  <c r="G1249" i="15"/>
  <c r="H1249" i="15"/>
  <c r="K1249" i="15" s="1"/>
  <c r="I1249" i="15"/>
  <c r="M1249" i="15"/>
  <c r="G1250" i="15"/>
  <c r="I1250" i="15"/>
  <c r="J1250" i="15" s="1"/>
  <c r="M1250" i="15"/>
  <c r="G1251" i="15"/>
  <c r="H1251" i="15" s="1"/>
  <c r="K1251" i="15" s="1"/>
  <c r="I1251" i="15"/>
  <c r="M1251" i="15"/>
  <c r="G1252" i="15"/>
  <c r="I1252" i="15"/>
  <c r="M1252" i="15"/>
  <c r="G1253" i="15"/>
  <c r="H1253" i="15" s="1"/>
  <c r="K1253" i="15" s="1"/>
  <c r="I1253" i="15"/>
  <c r="J1253" i="15"/>
  <c r="L1253" i="15"/>
  <c r="M1253" i="15"/>
  <c r="G1254" i="15"/>
  <c r="I1254" i="15"/>
  <c r="J1254" i="15"/>
  <c r="M1254" i="15"/>
  <c r="G1255" i="15"/>
  <c r="H1255" i="15"/>
  <c r="K1255" i="15" s="1"/>
  <c r="I1255" i="15"/>
  <c r="M1255" i="15"/>
  <c r="G1256" i="15"/>
  <c r="I1256" i="15"/>
  <c r="M1256" i="15"/>
  <c r="G1257" i="15"/>
  <c r="H1257" i="15" s="1"/>
  <c r="K1257" i="15" s="1"/>
  <c r="I1257" i="15"/>
  <c r="J1257" i="15" s="1"/>
  <c r="L1257" i="15" s="1"/>
  <c r="M1257" i="15"/>
  <c r="G1258" i="15"/>
  <c r="I1258" i="15"/>
  <c r="M1258" i="15"/>
  <c r="G1259" i="15"/>
  <c r="H1259" i="15" s="1"/>
  <c r="I1259" i="15"/>
  <c r="M1259" i="15"/>
  <c r="G1260" i="15"/>
  <c r="H1260" i="15"/>
  <c r="I1260" i="15"/>
  <c r="M1260" i="15"/>
  <c r="G1261" i="15"/>
  <c r="H1261" i="15" s="1"/>
  <c r="K1261" i="15" s="1"/>
  <c r="I1261" i="15"/>
  <c r="L1261" i="15" s="1"/>
  <c r="J1261" i="15"/>
  <c r="M1261" i="15"/>
  <c r="G1262" i="15"/>
  <c r="I1262" i="15"/>
  <c r="J1262" i="15" s="1"/>
  <c r="M1262" i="15"/>
  <c r="G1263" i="15"/>
  <c r="H1263" i="15"/>
  <c r="K1263" i="15" s="1"/>
  <c r="I1263" i="15"/>
  <c r="J1263" i="15" s="1"/>
  <c r="L1263" i="15" s="1"/>
  <c r="M1263" i="15"/>
  <c r="G1264" i="15"/>
  <c r="H1264" i="15"/>
  <c r="K1264" i="15" s="1"/>
  <c r="I1264" i="15"/>
  <c r="M1264" i="15"/>
  <c r="G1265" i="15"/>
  <c r="H1265" i="15"/>
  <c r="K1265" i="15" s="1"/>
  <c r="I1265" i="15"/>
  <c r="J1265" i="15"/>
  <c r="M1265" i="15"/>
  <c r="G1266" i="15"/>
  <c r="I1266" i="15"/>
  <c r="J1266" i="15" s="1"/>
  <c r="M1266" i="15"/>
  <c r="G1267" i="15"/>
  <c r="H1267" i="15" s="1"/>
  <c r="K1267" i="15" s="1"/>
  <c r="I1267" i="15"/>
  <c r="M1267" i="15"/>
  <c r="G1268" i="15"/>
  <c r="H1268" i="15" s="1"/>
  <c r="K1268" i="15" s="1"/>
  <c r="I1268" i="15"/>
  <c r="M1268" i="15"/>
  <c r="G1269" i="15"/>
  <c r="H1269" i="15" s="1"/>
  <c r="K1269" i="15" s="1"/>
  <c r="I1269" i="15"/>
  <c r="J1269" i="15" s="1"/>
  <c r="L1269" i="15"/>
  <c r="M1269" i="15"/>
  <c r="G1270" i="15"/>
  <c r="H1270" i="15" s="1"/>
  <c r="I1270" i="15"/>
  <c r="J1270" i="15"/>
  <c r="M1270" i="15"/>
  <c r="G1271" i="15"/>
  <c r="H1271" i="15"/>
  <c r="K1271" i="15" s="1"/>
  <c r="I1271" i="15"/>
  <c r="J1271" i="15" s="1"/>
  <c r="M1271" i="15"/>
  <c r="G1272" i="15"/>
  <c r="H1272" i="15" s="1"/>
  <c r="I1272" i="15"/>
  <c r="M1272" i="15"/>
  <c r="G1273" i="15"/>
  <c r="H1273" i="15" s="1"/>
  <c r="K1273" i="15" s="1"/>
  <c r="I1273" i="15"/>
  <c r="J1273" i="15" s="1"/>
  <c r="L1273" i="15" s="1"/>
  <c r="M1273" i="15"/>
  <c r="G1274" i="15"/>
  <c r="H1274" i="15" s="1"/>
  <c r="I1274" i="15"/>
  <c r="M1274" i="15"/>
  <c r="G1275" i="15"/>
  <c r="H1275" i="15" s="1"/>
  <c r="I1275" i="15"/>
  <c r="J1275" i="15" s="1"/>
  <c r="L1275" i="15" s="1"/>
  <c r="M1275" i="15"/>
  <c r="G1276" i="15"/>
  <c r="H1276" i="15"/>
  <c r="I1276" i="15"/>
  <c r="M1276" i="15"/>
  <c r="G1277" i="15"/>
  <c r="H1277" i="15"/>
  <c r="K1277" i="15" s="1"/>
  <c r="I1277" i="15"/>
  <c r="J1277" i="15" s="1"/>
  <c r="L1277" i="15" s="1"/>
  <c r="M1277" i="15"/>
  <c r="G1278" i="15"/>
  <c r="I1278" i="15"/>
  <c r="M1278" i="15"/>
  <c r="G1279" i="15"/>
  <c r="H1279" i="15" s="1"/>
  <c r="K1279" i="15" s="1"/>
  <c r="I1279" i="15"/>
  <c r="J1279" i="15"/>
  <c r="M1279" i="15"/>
  <c r="G1280" i="15"/>
  <c r="H1280" i="15"/>
  <c r="K1280" i="15" s="1"/>
  <c r="I1280" i="15"/>
  <c r="M1280" i="15"/>
  <c r="G1281" i="15"/>
  <c r="H1281" i="15"/>
  <c r="K1281" i="15" s="1"/>
  <c r="I1281" i="15"/>
  <c r="J1281" i="15"/>
  <c r="M1281" i="15"/>
  <c r="G1282" i="15"/>
  <c r="H1282" i="15" s="1"/>
  <c r="I1282" i="15"/>
  <c r="J1282" i="15" s="1"/>
  <c r="M1282" i="15"/>
  <c r="G1283" i="15"/>
  <c r="H1283" i="15" s="1"/>
  <c r="K1283" i="15" s="1"/>
  <c r="I1283" i="15"/>
  <c r="J1283" i="15"/>
  <c r="L1283" i="15"/>
  <c r="M1283" i="15"/>
  <c r="G1284" i="15"/>
  <c r="H1284" i="15"/>
  <c r="I1284" i="15"/>
  <c r="M1284" i="15"/>
  <c r="G1285" i="15"/>
  <c r="H1285" i="15"/>
  <c r="K1285" i="15" s="1"/>
  <c r="I1285" i="15"/>
  <c r="J1285" i="15"/>
  <c r="M1285" i="15"/>
  <c r="G1286" i="15"/>
  <c r="H1286" i="15" s="1"/>
  <c r="I1286" i="15"/>
  <c r="J1286" i="15" s="1"/>
  <c r="K1286" i="15"/>
  <c r="M1286" i="15"/>
  <c r="G1287" i="15"/>
  <c r="H1287" i="15" s="1"/>
  <c r="K1287" i="15" s="1"/>
  <c r="I1287" i="15"/>
  <c r="J1287" i="15" s="1"/>
  <c r="L1287" i="15"/>
  <c r="M1287" i="15"/>
  <c r="G1288" i="15"/>
  <c r="H1288" i="15" s="1"/>
  <c r="I1288" i="15"/>
  <c r="K1288" i="15"/>
  <c r="M1288" i="15"/>
  <c r="G1289" i="15"/>
  <c r="H1289" i="15"/>
  <c r="K1289" i="15" s="1"/>
  <c r="I1289" i="15"/>
  <c r="J1289" i="15" s="1"/>
  <c r="L1289" i="15" s="1"/>
  <c r="M1289" i="15"/>
  <c r="G1290" i="15"/>
  <c r="I1290" i="15"/>
  <c r="M1290" i="15"/>
  <c r="G1291" i="15"/>
  <c r="I1291" i="15"/>
  <c r="J1291" i="15" s="1"/>
  <c r="L1291" i="15"/>
  <c r="M1291" i="15"/>
  <c r="G1292" i="15"/>
  <c r="H1292" i="15" s="1"/>
  <c r="K1292" i="15" s="1"/>
  <c r="I1292" i="15"/>
  <c r="M1292" i="15"/>
  <c r="G1293" i="15"/>
  <c r="H1293" i="15" s="1"/>
  <c r="K1293" i="15" s="1"/>
  <c r="I1293" i="15"/>
  <c r="J1293" i="15" s="1"/>
  <c r="M1293" i="15"/>
  <c r="G1294" i="15"/>
  <c r="I1294" i="15"/>
  <c r="J1294" i="15" s="1"/>
  <c r="M1294" i="15"/>
  <c r="G1295" i="15"/>
  <c r="H1295" i="15" s="1"/>
  <c r="K1295" i="15" s="1"/>
  <c r="I1295" i="15"/>
  <c r="J1295" i="15"/>
  <c r="L1295" i="15" s="1"/>
  <c r="M1295" i="15"/>
  <c r="G1296" i="15"/>
  <c r="H1296" i="15"/>
  <c r="K1296" i="15" s="1"/>
  <c r="I1296" i="15"/>
  <c r="M1296" i="15"/>
  <c r="G1297" i="15"/>
  <c r="H1297" i="15"/>
  <c r="K1297" i="15" s="1"/>
  <c r="I1297" i="15"/>
  <c r="M1297" i="15"/>
  <c r="G1298" i="15"/>
  <c r="H1298" i="15" s="1"/>
  <c r="I1298" i="15"/>
  <c r="J1298" i="15" s="1"/>
  <c r="M1298" i="15"/>
  <c r="G1299" i="15"/>
  <c r="H1299" i="15"/>
  <c r="K1299" i="15" s="1"/>
  <c r="I1299" i="15"/>
  <c r="J1299" i="15"/>
  <c r="M1299" i="15"/>
  <c r="G1300" i="15"/>
  <c r="I1300" i="15"/>
  <c r="M1300" i="15"/>
  <c r="G1301" i="15"/>
  <c r="H1301" i="15" s="1"/>
  <c r="K1301" i="15" s="1"/>
  <c r="I1301" i="15"/>
  <c r="M1301" i="15"/>
  <c r="G1302" i="15"/>
  <c r="H1302" i="15" s="1"/>
  <c r="I1302" i="15"/>
  <c r="J1302" i="15"/>
  <c r="M1302" i="15"/>
  <c r="G1303" i="15"/>
  <c r="H1303" i="15" s="1"/>
  <c r="K1303" i="15" s="1"/>
  <c r="I1303" i="15"/>
  <c r="J1303" i="15" s="1"/>
  <c r="L1303" i="15"/>
  <c r="M1303" i="15"/>
  <c r="G1304" i="15"/>
  <c r="H1304" i="15" s="1"/>
  <c r="I1304" i="15"/>
  <c r="K1304" i="15"/>
  <c r="M1304" i="15"/>
  <c r="G1305" i="15"/>
  <c r="H1305" i="15"/>
  <c r="K1305" i="15" s="1"/>
  <c r="I1305" i="15"/>
  <c r="J1305" i="15" s="1"/>
  <c r="L1305" i="15" s="1"/>
  <c r="M1305" i="15"/>
  <c r="G1306" i="15"/>
  <c r="I1306" i="15"/>
  <c r="M1306" i="15"/>
  <c r="G1307" i="15"/>
  <c r="H1307" i="15" s="1"/>
  <c r="I1307" i="15"/>
  <c r="M1307" i="15"/>
  <c r="G1308" i="15"/>
  <c r="H1308" i="15" s="1"/>
  <c r="K1308" i="15" s="1"/>
  <c r="I1308" i="15"/>
  <c r="M1308" i="15"/>
  <c r="G1309" i="15"/>
  <c r="H1309" i="15" s="1"/>
  <c r="K1309" i="15" s="1"/>
  <c r="I1309" i="15"/>
  <c r="J1309" i="15"/>
  <c r="M1309" i="15"/>
  <c r="G1310" i="15"/>
  <c r="H1310" i="15" s="1"/>
  <c r="I1310" i="15"/>
  <c r="J1310" i="15" s="1"/>
  <c r="M1310" i="15"/>
  <c r="G1311" i="15"/>
  <c r="H1311" i="15"/>
  <c r="K1311" i="15" s="1"/>
  <c r="I1311" i="15"/>
  <c r="J1311" i="15"/>
  <c r="L1311" i="15" s="1"/>
  <c r="M1311" i="15"/>
  <c r="G1312" i="15"/>
  <c r="H1312" i="15"/>
  <c r="K1312" i="15" s="1"/>
  <c r="I1312" i="15"/>
  <c r="M1312" i="15"/>
  <c r="G1313" i="15"/>
  <c r="H1313" i="15"/>
  <c r="K1313" i="15" s="1"/>
  <c r="I1313" i="15"/>
  <c r="J1313" i="15"/>
  <c r="L1313" i="15" s="1"/>
  <c r="M1313" i="15"/>
  <c r="G1314" i="15"/>
  <c r="I1314" i="15"/>
  <c r="M1314" i="15"/>
  <c r="G1315" i="15"/>
  <c r="H1315" i="15" s="1"/>
  <c r="K1315" i="15" s="1"/>
  <c r="I1315" i="15"/>
  <c r="J1315" i="15"/>
  <c r="M1315" i="15"/>
  <c r="G1316" i="15"/>
  <c r="H1316" i="15" s="1"/>
  <c r="K1316" i="15" s="1"/>
  <c r="I1316" i="15"/>
  <c r="M1316" i="15"/>
  <c r="G1317" i="15"/>
  <c r="H1317" i="15" s="1"/>
  <c r="K1317" i="15" s="1"/>
  <c r="I1317" i="15"/>
  <c r="J1317" i="15" s="1"/>
  <c r="L1317" i="15"/>
  <c r="M1317" i="15"/>
  <c r="G1318" i="15"/>
  <c r="H1318" i="15" s="1"/>
  <c r="I1318" i="15"/>
  <c r="J1318" i="15"/>
  <c r="K1318" i="15"/>
  <c r="M1318" i="15"/>
  <c r="G1319" i="15"/>
  <c r="H1319" i="15"/>
  <c r="K1319" i="15" s="1"/>
  <c r="I1319" i="15"/>
  <c r="M1319" i="15"/>
  <c r="G1320" i="15"/>
  <c r="I1320" i="15"/>
  <c r="M1320" i="15"/>
  <c r="G1321" i="15"/>
  <c r="H1321" i="15" s="1"/>
  <c r="K1321" i="15" s="1"/>
  <c r="I1321" i="15"/>
  <c r="J1321" i="15"/>
  <c r="L1321" i="15" s="1"/>
  <c r="M1321" i="15"/>
  <c r="G1322" i="15"/>
  <c r="H1322" i="15" s="1"/>
  <c r="I1322" i="15"/>
  <c r="K1322" i="15"/>
  <c r="M1322" i="15"/>
  <c r="G1323" i="15"/>
  <c r="H1323" i="15" s="1"/>
  <c r="I1323" i="15"/>
  <c r="J1323" i="15"/>
  <c r="M1323" i="15"/>
  <c r="G1324" i="15"/>
  <c r="H1324" i="15"/>
  <c r="I1324" i="15"/>
  <c r="M1324" i="15"/>
  <c r="G1325" i="15"/>
  <c r="H1325" i="15" s="1"/>
  <c r="K1325" i="15" s="1"/>
  <c r="I1325" i="15"/>
  <c r="J1325" i="15"/>
  <c r="L1325" i="15"/>
  <c r="M1325" i="15"/>
  <c r="G1326" i="15"/>
  <c r="H1326" i="15" s="1"/>
  <c r="I1326" i="15"/>
  <c r="J1326" i="15"/>
  <c r="M1326" i="15"/>
  <c r="G1327" i="15"/>
  <c r="H1327" i="15"/>
  <c r="K1327" i="15" s="1"/>
  <c r="I1327" i="15"/>
  <c r="M1327" i="15"/>
  <c r="G1328" i="15"/>
  <c r="H1328" i="15" s="1"/>
  <c r="K1328" i="15" s="1"/>
  <c r="I1328" i="15"/>
  <c r="M1328" i="15"/>
  <c r="G1329" i="15"/>
  <c r="H1329" i="15" s="1"/>
  <c r="K1329" i="15" s="1"/>
  <c r="I1329" i="15"/>
  <c r="J1329" i="15"/>
  <c r="M1329" i="15"/>
  <c r="G1330" i="15"/>
  <c r="I1330" i="15"/>
  <c r="J1330" i="15" s="1"/>
  <c r="M1330" i="15"/>
  <c r="G1331" i="15"/>
  <c r="I1331" i="15"/>
  <c r="J1331" i="15"/>
  <c r="L1331" i="15"/>
  <c r="M1331" i="15"/>
  <c r="G1332" i="15"/>
  <c r="H1332" i="15"/>
  <c r="K1332" i="15" s="1"/>
  <c r="I1332" i="15"/>
  <c r="M1332" i="15"/>
  <c r="G1333" i="15"/>
  <c r="H1333" i="15"/>
  <c r="K1333" i="15" s="1"/>
  <c r="I1333" i="15"/>
  <c r="M1333" i="15"/>
  <c r="G1334" i="15"/>
  <c r="H1334" i="15" s="1"/>
  <c r="I1334" i="15"/>
  <c r="J1334" i="15"/>
  <c r="K1334" i="15"/>
  <c r="M1334" i="15"/>
  <c r="G1335" i="15"/>
  <c r="H1335" i="15"/>
  <c r="K1335" i="15" s="1"/>
  <c r="I1335" i="15"/>
  <c r="M1335" i="15"/>
  <c r="G1336" i="15"/>
  <c r="H1336" i="15"/>
  <c r="I1336" i="15"/>
  <c r="M1336" i="15"/>
  <c r="G1337" i="15"/>
  <c r="H1337" i="15" s="1"/>
  <c r="K1337" i="15" s="1"/>
  <c r="I1337" i="15"/>
  <c r="J1337" i="15" s="1"/>
  <c r="L1337" i="15" s="1"/>
  <c r="M1337" i="15"/>
  <c r="G1338" i="15"/>
  <c r="H1338" i="15" s="1"/>
  <c r="I1338" i="15"/>
  <c r="J1338" i="15" s="1"/>
  <c r="M1338" i="15"/>
  <c r="G1339" i="15"/>
  <c r="H1339" i="15" s="1"/>
  <c r="K1339" i="15" s="1"/>
  <c r="I1339" i="15"/>
  <c r="J1339" i="15" s="1"/>
  <c r="L1339" i="15"/>
  <c r="M1339" i="15"/>
  <c r="G1340" i="15"/>
  <c r="H1340" i="15" s="1"/>
  <c r="I1340" i="15"/>
  <c r="J1340" i="15"/>
  <c r="K1340" i="15"/>
  <c r="M1340" i="15"/>
  <c r="G1341" i="15"/>
  <c r="H1341" i="15"/>
  <c r="K1341" i="15" s="1"/>
  <c r="I1341" i="15"/>
  <c r="M1341" i="15"/>
  <c r="G1342" i="15"/>
  <c r="H1342" i="15" s="1"/>
  <c r="I1342" i="15"/>
  <c r="M1342" i="15"/>
  <c r="G1343" i="15"/>
  <c r="H1343" i="15" s="1"/>
  <c r="K1343" i="15" s="1"/>
  <c r="I1343" i="15"/>
  <c r="M1343" i="15"/>
  <c r="G1344" i="15"/>
  <c r="H1344" i="15" s="1"/>
  <c r="I1344" i="15"/>
  <c r="J1344" i="15" s="1"/>
  <c r="M1344" i="15"/>
  <c r="G1345" i="15"/>
  <c r="H1345" i="15"/>
  <c r="K1345" i="15" s="1"/>
  <c r="I1345" i="15"/>
  <c r="J1345" i="15" s="1"/>
  <c r="M1345" i="15"/>
  <c r="G1346" i="15"/>
  <c r="I1346" i="15"/>
  <c r="M1346" i="15"/>
  <c r="G1347" i="15"/>
  <c r="H1347" i="15" s="1"/>
  <c r="K1347" i="15" s="1"/>
  <c r="I1347" i="15"/>
  <c r="J1347" i="15" s="1"/>
  <c r="M1347" i="15"/>
  <c r="G1348" i="15"/>
  <c r="H1348" i="15" s="1"/>
  <c r="I1348" i="15"/>
  <c r="J1348" i="15"/>
  <c r="M1348" i="15"/>
  <c r="G1349" i="15"/>
  <c r="H1349" i="15" s="1"/>
  <c r="K1349" i="15" s="1"/>
  <c r="I1349" i="15"/>
  <c r="J1349" i="15"/>
  <c r="L1349" i="15" s="1"/>
  <c r="M1349" i="15"/>
  <c r="G1350" i="15"/>
  <c r="H1350" i="15" s="1"/>
  <c r="I1350" i="15"/>
  <c r="J1350" i="15" s="1"/>
  <c r="K1350" i="15"/>
  <c r="M1350" i="15"/>
  <c r="G1351" i="15"/>
  <c r="H1351" i="15"/>
  <c r="K1351" i="15" s="1"/>
  <c r="I1351" i="15"/>
  <c r="M1351" i="15"/>
  <c r="G1352" i="15"/>
  <c r="H1352" i="15" s="1"/>
  <c r="I1352" i="15"/>
  <c r="J1352" i="15" s="1"/>
  <c r="M1352" i="15"/>
  <c r="G1353" i="15"/>
  <c r="H1353" i="15" s="1"/>
  <c r="K1353" i="15" s="1"/>
  <c r="I1353" i="15"/>
  <c r="J1353" i="15"/>
  <c r="L1353" i="15" s="1"/>
  <c r="M1353" i="15"/>
  <c r="G1354" i="15"/>
  <c r="H1354" i="15" s="1"/>
  <c r="I1354" i="15"/>
  <c r="J1354" i="15" s="1"/>
  <c r="M1354" i="15"/>
  <c r="G1355" i="15"/>
  <c r="H1355" i="15" s="1"/>
  <c r="K1355" i="15" s="1"/>
  <c r="I1355" i="15"/>
  <c r="M1355" i="15"/>
  <c r="G1356" i="15"/>
  <c r="H1356" i="15" s="1"/>
  <c r="I1356" i="15"/>
  <c r="J1356" i="15" s="1"/>
  <c r="M1356" i="15"/>
  <c r="G1357" i="15"/>
  <c r="H1357" i="15"/>
  <c r="K1357" i="15" s="1"/>
  <c r="I1357" i="15"/>
  <c r="J1357" i="15"/>
  <c r="M1357" i="15"/>
  <c r="G1358" i="15"/>
  <c r="H1358" i="15" s="1"/>
  <c r="I1358" i="15"/>
  <c r="M1358" i="15"/>
  <c r="G1359" i="15"/>
  <c r="H1359" i="15" s="1"/>
  <c r="K1359" i="15" s="1"/>
  <c r="I1359" i="15"/>
  <c r="M1359" i="15"/>
  <c r="G1360" i="15"/>
  <c r="H1360" i="15" s="1"/>
  <c r="I1360" i="15"/>
  <c r="J1360" i="15" s="1"/>
  <c r="M1360" i="15"/>
  <c r="G1361" i="15"/>
  <c r="H1361" i="15" s="1"/>
  <c r="K1361" i="15" s="1"/>
  <c r="I1361" i="15"/>
  <c r="M1361" i="15"/>
  <c r="G1362" i="15"/>
  <c r="I1362" i="15"/>
  <c r="M1362" i="15"/>
  <c r="G1363" i="15"/>
  <c r="H1363" i="15" s="1"/>
  <c r="K1363" i="15" s="1"/>
  <c r="I1363" i="15"/>
  <c r="J1363" i="15" s="1"/>
  <c r="M1363" i="15"/>
  <c r="G1364" i="15"/>
  <c r="H1364" i="15" s="1"/>
  <c r="I1364" i="15"/>
  <c r="J1364" i="15" s="1"/>
  <c r="M1364" i="15"/>
  <c r="G1365" i="15"/>
  <c r="H1365" i="15"/>
  <c r="K1365" i="15" s="1"/>
  <c r="I1365" i="15"/>
  <c r="J1365" i="15"/>
  <c r="M1365" i="15"/>
  <c r="G1366" i="15"/>
  <c r="I1366" i="15"/>
  <c r="J1366" i="15" s="1"/>
  <c r="M1366" i="15"/>
  <c r="G1367" i="15"/>
  <c r="H1367" i="15"/>
  <c r="K1367" i="15" s="1"/>
  <c r="I1367" i="15"/>
  <c r="J1367" i="15" s="1"/>
  <c r="L1367" i="15"/>
  <c r="M1367" i="15"/>
  <c r="G1368" i="15"/>
  <c r="H1368" i="15" s="1"/>
  <c r="I1368" i="15"/>
  <c r="J1368" i="15"/>
  <c r="M1368" i="15"/>
  <c r="G1369" i="15"/>
  <c r="H1369" i="15" s="1"/>
  <c r="K1369" i="15" s="1"/>
  <c r="I1369" i="15"/>
  <c r="J1369" i="15" s="1"/>
  <c r="L1369" i="15" s="1"/>
  <c r="M1369" i="15"/>
  <c r="G1370" i="15"/>
  <c r="H1370" i="15" s="1"/>
  <c r="I1370" i="15"/>
  <c r="J1370" i="15" s="1"/>
  <c r="M1370" i="15"/>
  <c r="G1371" i="15"/>
  <c r="H1371" i="15"/>
  <c r="K1371" i="15" s="1"/>
  <c r="I1371" i="15"/>
  <c r="M1371" i="15"/>
  <c r="G1372" i="15"/>
  <c r="I1372" i="15"/>
  <c r="J1372" i="15" s="1"/>
  <c r="M1372" i="15"/>
  <c r="G1373" i="15"/>
  <c r="H1373" i="15" s="1"/>
  <c r="K1373" i="15" s="1"/>
  <c r="I1373" i="15"/>
  <c r="J1373" i="15"/>
  <c r="L1373" i="15" s="1"/>
  <c r="M1373" i="15"/>
  <c r="G1374" i="15"/>
  <c r="H1374" i="15" s="1"/>
  <c r="I1374" i="15"/>
  <c r="M1374" i="15"/>
  <c r="G1375" i="15"/>
  <c r="H1375" i="15"/>
  <c r="K1375" i="15" s="1"/>
  <c r="I1375" i="15"/>
  <c r="M1375" i="15"/>
  <c r="G1376" i="15"/>
  <c r="H1376" i="15" s="1"/>
  <c r="I1376" i="15"/>
  <c r="J1376" i="15" s="1"/>
  <c r="M1376" i="15"/>
  <c r="G1377" i="15"/>
  <c r="H1377" i="15" s="1"/>
  <c r="K1377" i="15" s="1"/>
  <c r="I1377" i="15"/>
  <c r="M1377" i="15"/>
  <c r="G1378" i="15"/>
  <c r="I1378" i="15"/>
  <c r="M1378" i="15"/>
  <c r="G1379" i="15"/>
  <c r="H1379" i="15" s="1"/>
  <c r="K1379" i="15" s="1"/>
  <c r="I1379" i="15"/>
  <c r="J1379" i="15" s="1"/>
  <c r="M1379" i="15"/>
  <c r="G1380" i="15"/>
  <c r="H1380" i="15" s="1"/>
  <c r="I1380" i="15"/>
  <c r="J1380" i="15" s="1"/>
  <c r="M1380" i="15"/>
  <c r="G1381" i="15"/>
  <c r="H1381" i="15"/>
  <c r="K1381" i="15" s="1"/>
  <c r="I1381" i="15"/>
  <c r="M1381" i="15"/>
  <c r="G1382" i="15"/>
  <c r="I1382" i="15"/>
  <c r="J1382" i="15" s="1"/>
  <c r="M1382" i="15"/>
  <c r="G1383" i="15"/>
  <c r="H1383" i="15" s="1"/>
  <c r="K1383" i="15" s="1"/>
  <c r="I1383" i="15"/>
  <c r="J1383" i="15" s="1"/>
  <c r="L1383" i="15"/>
  <c r="M1383" i="15"/>
  <c r="G1384" i="15"/>
  <c r="H1384" i="15" s="1"/>
  <c r="I1384" i="15"/>
  <c r="J1384" i="15"/>
  <c r="M1384" i="15"/>
  <c r="G1385" i="15"/>
  <c r="H1385" i="15"/>
  <c r="K1385" i="15" s="1"/>
  <c r="I1385" i="15"/>
  <c r="J1385" i="15" s="1"/>
  <c r="L1385" i="15" s="1"/>
  <c r="M1385" i="15"/>
  <c r="G1386" i="15"/>
  <c r="H1386" i="15" s="1"/>
  <c r="I1386" i="15"/>
  <c r="J1386" i="15" s="1"/>
  <c r="M1386" i="15"/>
  <c r="G1387" i="15"/>
  <c r="H1387" i="15"/>
  <c r="K1387" i="15" s="1"/>
  <c r="I1387" i="15"/>
  <c r="M1387" i="15"/>
  <c r="G1388" i="15"/>
  <c r="I1388" i="15"/>
  <c r="J1388" i="15" s="1"/>
  <c r="M1388" i="15"/>
  <c r="G1389" i="15"/>
  <c r="H1389" i="15" s="1"/>
  <c r="K1389" i="15" s="1"/>
  <c r="I1389" i="15"/>
  <c r="J1389" i="15"/>
  <c r="L1389" i="15" s="1"/>
  <c r="M1389" i="15"/>
  <c r="G1390" i="15"/>
  <c r="H1390" i="15" s="1"/>
  <c r="I1390" i="15"/>
  <c r="M1390" i="15"/>
  <c r="G1391" i="15"/>
  <c r="H1391" i="15" s="1"/>
  <c r="K1391" i="15" s="1"/>
  <c r="I1391" i="15"/>
  <c r="J1391" i="15" s="1"/>
  <c r="L1391" i="15"/>
  <c r="M1391" i="15"/>
  <c r="G1392" i="15"/>
  <c r="H1392" i="15" s="1"/>
  <c r="I1392" i="15"/>
  <c r="J1392" i="15"/>
  <c r="M1392" i="15"/>
  <c r="G1393" i="15"/>
  <c r="H1393" i="15" s="1"/>
  <c r="K1393" i="15" s="1"/>
  <c r="I1393" i="15"/>
  <c r="J1393" i="15" s="1"/>
  <c r="L1393" i="15"/>
  <c r="M1393" i="15"/>
  <c r="G1394" i="15"/>
  <c r="H1394" i="15" s="1"/>
  <c r="I1394" i="15"/>
  <c r="J1394" i="15" s="1"/>
  <c r="K1394" i="15"/>
  <c r="L1394" i="15"/>
  <c r="M1394" i="15"/>
  <c r="G1395" i="15"/>
  <c r="H1395" i="15"/>
  <c r="K1395" i="15" s="1"/>
  <c r="I1395" i="15"/>
  <c r="J1395" i="15" s="1"/>
  <c r="M1395" i="15"/>
  <c r="G1396" i="15"/>
  <c r="H1396" i="15" s="1"/>
  <c r="I1396" i="15"/>
  <c r="J1396" i="15" s="1"/>
  <c r="M1396" i="15"/>
  <c r="G1397" i="15"/>
  <c r="H1397" i="15"/>
  <c r="I1397" i="15"/>
  <c r="J1397" i="15" s="1"/>
  <c r="M1397" i="15"/>
  <c r="G1398" i="15"/>
  <c r="H1398" i="15"/>
  <c r="K1398" i="15" s="1"/>
  <c r="I1398" i="15"/>
  <c r="M1398" i="15"/>
  <c r="G1399" i="15"/>
  <c r="I1399" i="15"/>
  <c r="J1399" i="15" s="1"/>
  <c r="M1399" i="15"/>
  <c r="G1400" i="15"/>
  <c r="H1400" i="15" s="1"/>
  <c r="K1400" i="15" s="1"/>
  <c r="I1400" i="15"/>
  <c r="M1400" i="15"/>
  <c r="G1401" i="15"/>
  <c r="H1401" i="15" s="1"/>
  <c r="I1401" i="15"/>
  <c r="J1401" i="15" s="1"/>
  <c r="M1401" i="15"/>
  <c r="G1402" i="15"/>
  <c r="H1402" i="15" s="1"/>
  <c r="K1402" i="15" s="1"/>
  <c r="I1402" i="15"/>
  <c r="J1402" i="15"/>
  <c r="M1402" i="15"/>
  <c r="G1403" i="15"/>
  <c r="I1403" i="15"/>
  <c r="J1403" i="15" s="1"/>
  <c r="M1403" i="15"/>
  <c r="G1404" i="15"/>
  <c r="H1404" i="15" s="1"/>
  <c r="K1404" i="15" s="1"/>
  <c r="I1404" i="15"/>
  <c r="M1404" i="15"/>
  <c r="G1405" i="15"/>
  <c r="H1405" i="15" s="1"/>
  <c r="I1405" i="15"/>
  <c r="J1405" i="15" s="1"/>
  <c r="M1405" i="15"/>
  <c r="G1406" i="15"/>
  <c r="H1406" i="15" s="1"/>
  <c r="K1406" i="15" s="1"/>
  <c r="I1406" i="15"/>
  <c r="J1406" i="15"/>
  <c r="L1406" i="15" s="1"/>
  <c r="M1406" i="15"/>
  <c r="G1407" i="15"/>
  <c r="H1407" i="15" s="1"/>
  <c r="I1407" i="15"/>
  <c r="J1407" i="15" s="1"/>
  <c r="K1407" i="15"/>
  <c r="M1407" i="15"/>
  <c r="G1408" i="15"/>
  <c r="H1408" i="15" s="1"/>
  <c r="K1408" i="15" s="1"/>
  <c r="I1408" i="15"/>
  <c r="J1408" i="15" s="1"/>
  <c r="L1408" i="15"/>
  <c r="M1408" i="15"/>
  <c r="G1409" i="15"/>
  <c r="H1409" i="15" s="1"/>
  <c r="I1409" i="15"/>
  <c r="J1409" i="15" s="1"/>
  <c r="K1409" i="15"/>
  <c r="M1409" i="15"/>
  <c r="G1410" i="15"/>
  <c r="H1410" i="15"/>
  <c r="K1410" i="15" s="1"/>
  <c r="I1410" i="15"/>
  <c r="J1410" i="15" s="1"/>
  <c r="M1410" i="15"/>
  <c r="G1411" i="15"/>
  <c r="H1411" i="15" s="1"/>
  <c r="I1411" i="15"/>
  <c r="J1411" i="15" s="1"/>
  <c r="K1411" i="15"/>
  <c r="M1411" i="15"/>
  <c r="G1412" i="15"/>
  <c r="H1412" i="15" s="1"/>
  <c r="K1412" i="15" s="1"/>
  <c r="I1412" i="15"/>
  <c r="J1412" i="15" s="1"/>
  <c r="M1412" i="15"/>
  <c r="G1413" i="15"/>
  <c r="H1413" i="15"/>
  <c r="I1413" i="15"/>
  <c r="J1413" i="15" s="1"/>
  <c r="M1413" i="15"/>
  <c r="G1414" i="15"/>
  <c r="H1414" i="15"/>
  <c r="K1414" i="15" s="1"/>
  <c r="I1414" i="15"/>
  <c r="M1414" i="15"/>
  <c r="G1415" i="15"/>
  <c r="H1415" i="15" s="1"/>
  <c r="I1415" i="15"/>
  <c r="J1415" i="15"/>
  <c r="M1415" i="15"/>
  <c r="G1416" i="15"/>
  <c r="H1416" i="15"/>
  <c r="K1416" i="15" s="1"/>
  <c r="I1416" i="15"/>
  <c r="M1416" i="15"/>
  <c r="G1417" i="15"/>
  <c r="I1417" i="15"/>
  <c r="J1417" i="15" s="1"/>
  <c r="M1417" i="15"/>
  <c r="G1418" i="15"/>
  <c r="H1418" i="15" s="1"/>
  <c r="K1418" i="15" s="1"/>
  <c r="I1418" i="15"/>
  <c r="J1418" i="15"/>
  <c r="M1418" i="15"/>
  <c r="G1419" i="15"/>
  <c r="I1419" i="15"/>
  <c r="J1419" i="15" s="1"/>
  <c r="M1419" i="15"/>
  <c r="G1420" i="15"/>
  <c r="H1420" i="15" s="1"/>
  <c r="K1420" i="15" s="1"/>
  <c r="I1420" i="15"/>
  <c r="J1420" i="15"/>
  <c r="L1420" i="15"/>
  <c r="M1420" i="15"/>
  <c r="G1421" i="15"/>
  <c r="H1421" i="15"/>
  <c r="I1421" i="15"/>
  <c r="J1421" i="15" s="1"/>
  <c r="M1421" i="15"/>
  <c r="G1422" i="15"/>
  <c r="H1422" i="15"/>
  <c r="K1422" i="15" s="1"/>
  <c r="I1422" i="15"/>
  <c r="J1422" i="15"/>
  <c r="L1422" i="15" s="1"/>
  <c r="M1422" i="15"/>
  <c r="G1423" i="15"/>
  <c r="H1423" i="15" s="1"/>
  <c r="I1423" i="15"/>
  <c r="J1423" i="15" s="1"/>
  <c r="K1423" i="15"/>
  <c r="M1423" i="15"/>
  <c r="G1424" i="15"/>
  <c r="H1424" i="15" s="1"/>
  <c r="K1424" i="15" s="1"/>
  <c r="I1424" i="15"/>
  <c r="J1424" i="15" s="1"/>
  <c r="L1424" i="15"/>
  <c r="M1424" i="15"/>
  <c r="G1425" i="15"/>
  <c r="H1425" i="15" s="1"/>
  <c r="I1425" i="15"/>
  <c r="J1425" i="15" s="1"/>
  <c r="K1425" i="15"/>
  <c r="M1425" i="15"/>
  <c r="G1426" i="15"/>
  <c r="H1426" i="15"/>
  <c r="K1426" i="15" s="1"/>
  <c r="I1426" i="15"/>
  <c r="J1426" i="15" s="1"/>
  <c r="M1426" i="15"/>
  <c r="G1427" i="15"/>
  <c r="I1427" i="15"/>
  <c r="J1427" i="15" s="1"/>
  <c r="M1427" i="15"/>
  <c r="G1428" i="15"/>
  <c r="H1428" i="15" s="1"/>
  <c r="K1428" i="15" s="1"/>
  <c r="I1428" i="15"/>
  <c r="J1428" i="15" s="1"/>
  <c r="M1428" i="15"/>
  <c r="G1429" i="15"/>
  <c r="H1429" i="15" s="1"/>
  <c r="I1429" i="15"/>
  <c r="J1429" i="15" s="1"/>
  <c r="M1429" i="15"/>
  <c r="G1430" i="15"/>
  <c r="H1430" i="15" s="1"/>
  <c r="K1430" i="15" s="1"/>
  <c r="I1430" i="15"/>
  <c r="J1430" i="15"/>
  <c r="L1430" i="15"/>
  <c r="M1430" i="15"/>
  <c r="G1431" i="15"/>
  <c r="H1431" i="15" s="1"/>
  <c r="I1431" i="15"/>
  <c r="J1431" i="15"/>
  <c r="K1431" i="15"/>
  <c r="M1431" i="15"/>
  <c r="G1432" i="15"/>
  <c r="H1432" i="15"/>
  <c r="K1432" i="15" s="1"/>
  <c r="I1432" i="15"/>
  <c r="M1432" i="15"/>
  <c r="G1433" i="15"/>
  <c r="I1433" i="15"/>
  <c r="J1433" i="15" s="1"/>
  <c r="M1433" i="15"/>
  <c r="G1434" i="15"/>
  <c r="H1434" i="15"/>
  <c r="K1434" i="15" s="1"/>
  <c r="I1434" i="15"/>
  <c r="J1434" i="15" s="1"/>
  <c r="M1434" i="15"/>
  <c r="G1435" i="15"/>
  <c r="I1435" i="15"/>
  <c r="J1435" i="15" s="1"/>
  <c r="M1435" i="15"/>
  <c r="G1436" i="15"/>
  <c r="H1436" i="15" s="1"/>
  <c r="K1436" i="15" s="1"/>
  <c r="I1436" i="15"/>
  <c r="J1436" i="15"/>
  <c r="L1436" i="15" s="1"/>
  <c r="M1436" i="15"/>
  <c r="G1437" i="15"/>
  <c r="H1437" i="15"/>
  <c r="I1437" i="15"/>
  <c r="J1437" i="15" s="1"/>
  <c r="M1437" i="15"/>
  <c r="G1438" i="15"/>
  <c r="H1438" i="15"/>
  <c r="K1438" i="15" s="1"/>
  <c r="I1438" i="15"/>
  <c r="J1438" i="15" s="1"/>
  <c r="L1438" i="15" s="1"/>
  <c r="M1438" i="15"/>
  <c r="G1439" i="15"/>
  <c r="I1439" i="15"/>
  <c r="J1439" i="15" s="1"/>
  <c r="M1439" i="15"/>
  <c r="G1440" i="15"/>
  <c r="H1440" i="15" s="1"/>
  <c r="K1440" i="15" s="1"/>
  <c r="I1440" i="15"/>
  <c r="M1440" i="15"/>
  <c r="G1441" i="15"/>
  <c r="I1441" i="15"/>
  <c r="J1441" i="15" s="1"/>
  <c r="M1441" i="15"/>
  <c r="G1442" i="15"/>
  <c r="H1442" i="15" s="1"/>
  <c r="K1442" i="15" s="1"/>
  <c r="I1442" i="15"/>
  <c r="M1442" i="15"/>
  <c r="G1443" i="15"/>
  <c r="I1443" i="15"/>
  <c r="J1443" i="15" s="1"/>
  <c r="M1443" i="15"/>
  <c r="G1444" i="15"/>
  <c r="H1444" i="15" s="1"/>
  <c r="K1444" i="15" s="1"/>
  <c r="I1444" i="15"/>
  <c r="M1444" i="15"/>
  <c r="G1445" i="15"/>
  <c r="H1445" i="15"/>
  <c r="I1445" i="15"/>
  <c r="J1445" i="15" s="1"/>
  <c r="M1445" i="15"/>
  <c r="G1446" i="15"/>
  <c r="H1446" i="15"/>
  <c r="K1446" i="15" s="1"/>
  <c r="I1446" i="15"/>
  <c r="M1446" i="15"/>
  <c r="G1447" i="15"/>
  <c r="H1447" i="15" s="1"/>
  <c r="I1447" i="15"/>
  <c r="J1447" i="15"/>
  <c r="M1447" i="15"/>
  <c r="G1448" i="15"/>
  <c r="H1448" i="15"/>
  <c r="K1448" i="15" s="1"/>
  <c r="I1448" i="15"/>
  <c r="M1448" i="15"/>
  <c r="G1449" i="15"/>
  <c r="I1449" i="15"/>
  <c r="J1449" i="15" s="1"/>
  <c r="M1449" i="15"/>
  <c r="G1450" i="15"/>
  <c r="H1450" i="15" s="1"/>
  <c r="K1450" i="15" s="1"/>
  <c r="I1450" i="15"/>
  <c r="J1450" i="15"/>
  <c r="M1450" i="15"/>
  <c r="G1451" i="15"/>
  <c r="I1451" i="15"/>
  <c r="J1451" i="15" s="1"/>
  <c r="M1451" i="15"/>
  <c r="G1452" i="15"/>
  <c r="H1452" i="15" s="1"/>
  <c r="K1452" i="15" s="1"/>
  <c r="I1452" i="15"/>
  <c r="J1452" i="15"/>
  <c r="L1452" i="15"/>
  <c r="M1452" i="15"/>
  <c r="G1453" i="15"/>
  <c r="H1453" i="15"/>
  <c r="I1453" i="15"/>
  <c r="J1453" i="15" s="1"/>
  <c r="M1453" i="15"/>
  <c r="G1454" i="15"/>
  <c r="H1454" i="15"/>
  <c r="K1454" i="15" s="1"/>
  <c r="I1454" i="15"/>
  <c r="J1454" i="15" s="1"/>
  <c r="L1454" i="15" s="1"/>
  <c r="M1454" i="15"/>
  <c r="G1455" i="15"/>
  <c r="H1455" i="15" s="1"/>
  <c r="I1455" i="15"/>
  <c r="J1455" i="15" s="1"/>
  <c r="K1455" i="15"/>
  <c r="M1455" i="15"/>
  <c r="G1456" i="15"/>
  <c r="H1456" i="15" s="1"/>
  <c r="K1456" i="15" s="1"/>
  <c r="I1456" i="15"/>
  <c r="J1456" i="15" s="1"/>
  <c r="M1456" i="15"/>
  <c r="G1457" i="15"/>
  <c r="H1457" i="15" s="1"/>
  <c r="I1457" i="15"/>
  <c r="J1457" i="15" s="1"/>
  <c r="K1457" i="15"/>
  <c r="M1457" i="15"/>
  <c r="G1458" i="15"/>
  <c r="H1458" i="15"/>
  <c r="K1458" i="15" s="1"/>
  <c r="I1458" i="15"/>
  <c r="J1458" i="15" s="1"/>
  <c r="M1458" i="15"/>
  <c r="G1459" i="15"/>
  <c r="H1459" i="15" s="1"/>
  <c r="I1459" i="15"/>
  <c r="J1459" i="15" s="1"/>
  <c r="K1459" i="15"/>
  <c r="M1459" i="15"/>
  <c r="G1460" i="15"/>
  <c r="H1460" i="15" s="1"/>
  <c r="K1460" i="15" s="1"/>
  <c r="I1460" i="15"/>
  <c r="J1460" i="15" s="1"/>
  <c r="M1460" i="15"/>
  <c r="G1461" i="15"/>
  <c r="I1461" i="15"/>
  <c r="J1461" i="15" s="1"/>
  <c r="M1461" i="15"/>
  <c r="G1462" i="15"/>
  <c r="H1462" i="15" s="1"/>
  <c r="K1462" i="15" s="1"/>
  <c r="I1462" i="15"/>
  <c r="J1462" i="15"/>
  <c r="L1462" i="15"/>
  <c r="M1462" i="15"/>
  <c r="G1463" i="15"/>
  <c r="H1463" i="15" s="1"/>
  <c r="I1463" i="15"/>
  <c r="J1463" i="15"/>
  <c r="K1463" i="15"/>
  <c r="M1463" i="15"/>
  <c r="G1464" i="15"/>
  <c r="H1464" i="15"/>
  <c r="K1464" i="15" s="1"/>
  <c r="I1464" i="15"/>
  <c r="M1464" i="15"/>
  <c r="G1465" i="15"/>
  <c r="I1465" i="15"/>
  <c r="J1465" i="15" s="1"/>
  <c r="M1465" i="15"/>
  <c r="G1466" i="15"/>
  <c r="H1466" i="15"/>
  <c r="K1466" i="15" s="1"/>
  <c r="I1466" i="15"/>
  <c r="J1466" i="15" s="1"/>
  <c r="M1466" i="15"/>
  <c r="G1467" i="15"/>
  <c r="I1467" i="15"/>
  <c r="J1467" i="15" s="1"/>
  <c r="M1467" i="15"/>
  <c r="G1468" i="15"/>
  <c r="H1468" i="15" s="1"/>
  <c r="K1468" i="15" s="1"/>
  <c r="I1468" i="15"/>
  <c r="J1468" i="15"/>
  <c r="L1468" i="15" s="1"/>
  <c r="M1468" i="15"/>
  <c r="G1469" i="15"/>
  <c r="H1469" i="15"/>
  <c r="I1469" i="15"/>
  <c r="J1469" i="15" s="1"/>
  <c r="M1469" i="15"/>
  <c r="G1470" i="15"/>
  <c r="H1470" i="15"/>
  <c r="K1470" i="15" s="1"/>
  <c r="I1470" i="15"/>
  <c r="J1470" i="15" s="1"/>
  <c r="L1470" i="15" s="1"/>
  <c r="M1470" i="15"/>
  <c r="G1471" i="15"/>
  <c r="I1471" i="15"/>
  <c r="J1471" i="15" s="1"/>
  <c r="M1471" i="15"/>
  <c r="G1472" i="15"/>
  <c r="H1472" i="15" s="1"/>
  <c r="K1472" i="15" s="1"/>
  <c r="I1472" i="15"/>
  <c r="M1472" i="15"/>
  <c r="G1473" i="15"/>
  <c r="I1473" i="15"/>
  <c r="J1473" i="15" s="1"/>
  <c r="M1473" i="15"/>
  <c r="G1474" i="15"/>
  <c r="H1474" i="15" s="1"/>
  <c r="K1474" i="15" s="1"/>
  <c r="I1474" i="15"/>
  <c r="J1474" i="15"/>
  <c r="M1474" i="15"/>
  <c r="G1475" i="15"/>
  <c r="I1475" i="15"/>
  <c r="J1475" i="15" s="1"/>
  <c r="M1475" i="15"/>
  <c r="G1476" i="15"/>
  <c r="H1476" i="15" s="1"/>
  <c r="K1476" i="15" s="1"/>
  <c r="I1476" i="15"/>
  <c r="J1476" i="15"/>
  <c r="M1476" i="15"/>
  <c r="G1477" i="15"/>
  <c r="H1477" i="15" s="1"/>
  <c r="I1477" i="15"/>
  <c r="J1477" i="15" s="1"/>
  <c r="M1477" i="15"/>
  <c r="G1478" i="15"/>
  <c r="H1478" i="15" s="1"/>
  <c r="K1478" i="15" s="1"/>
  <c r="I1478" i="15"/>
  <c r="J1478" i="15"/>
  <c r="L1478" i="15"/>
  <c r="M1478" i="15"/>
  <c r="G1479" i="15"/>
  <c r="H1479" i="15" s="1"/>
  <c r="I1479" i="15"/>
  <c r="J1479" i="15"/>
  <c r="M1479" i="15"/>
  <c r="G1480" i="15"/>
  <c r="H1480" i="15" s="1"/>
  <c r="K1480" i="15" s="1"/>
  <c r="I1480" i="15"/>
  <c r="M1480" i="15"/>
  <c r="G1481" i="15"/>
  <c r="I1481" i="15"/>
  <c r="J1481" i="15" s="1"/>
  <c r="M1481" i="15"/>
  <c r="G1482" i="15"/>
  <c r="H1482" i="15"/>
  <c r="K1482" i="15" s="1"/>
  <c r="I1482" i="15"/>
  <c r="J1482" i="15" s="1"/>
  <c r="M1482" i="15"/>
  <c r="G1483" i="15"/>
  <c r="I1483" i="15"/>
  <c r="J1483" i="15" s="1"/>
  <c r="M1483" i="15"/>
  <c r="G1484" i="15"/>
  <c r="H1484" i="15" s="1"/>
  <c r="K1484" i="15" s="1"/>
  <c r="I1484" i="15"/>
  <c r="J1484" i="15"/>
  <c r="M1484" i="15"/>
  <c r="G1485" i="15"/>
  <c r="H1485" i="15" s="1"/>
  <c r="I1485" i="15"/>
  <c r="J1485" i="15" s="1"/>
  <c r="M1485" i="15"/>
  <c r="G1486" i="15"/>
  <c r="H1486" i="15" s="1"/>
  <c r="K1486" i="15" s="1"/>
  <c r="I1486" i="15"/>
  <c r="J1486" i="15"/>
  <c r="L1486" i="15" s="1"/>
  <c r="M1486" i="15"/>
  <c r="G1487" i="15"/>
  <c r="I1487" i="15"/>
  <c r="J1487" i="15" s="1"/>
  <c r="M1487" i="15"/>
  <c r="G1488" i="15"/>
  <c r="H1488" i="15" s="1"/>
  <c r="K1488" i="15" s="1"/>
  <c r="I1488" i="15"/>
  <c r="J1488" i="15" s="1"/>
  <c r="L1488" i="15"/>
  <c r="M1488" i="15"/>
  <c r="G1489" i="15"/>
  <c r="I1489" i="15"/>
  <c r="J1489" i="15" s="1"/>
  <c r="M1489" i="15"/>
  <c r="G1490" i="15"/>
  <c r="H1490" i="15" s="1"/>
  <c r="K1490" i="15" s="1"/>
  <c r="I1490" i="15"/>
  <c r="J1490" i="15"/>
  <c r="M1490" i="15"/>
  <c r="G1491" i="15"/>
  <c r="H1491" i="15" s="1"/>
  <c r="I1491" i="15"/>
  <c r="J1491" i="15" s="1"/>
  <c r="K1491" i="15"/>
  <c r="M1491" i="15"/>
  <c r="G1492" i="15"/>
  <c r="H1492" i="15" s="1"/>
  <c r="K1492" i="15" s="1"/>
  <c r="I1492" i="15"/>
  <c r="J1492" i="15"/>
  <c r="M1492" i="15"/>
  <c r="G1493" i="15"/>
  <c r="H1493" i="15"/>
  <c r="I1493" i="15"/>
  <c r="J1493" i="15" s="1"/>
  <c r="M1493" i="15"/>
  <c r="G1494" i="15"/>
  <c r="H1494" i="15"/>
  <c r="K1494" i="15" s="1"/>
  <c r="I1494" i="15"/>
  <c r="J1494" i="15"/>
  <c r="M1494" i="15"/>
  <c r="G1495" i="15"/>
  <c r="I1495" i="15"/>
  <c r="J1495" i="15" s="1"/>
  <c r="M1495" i="15"/>
  <c r="G1496" i="15"/>
  <c r="H1496" i="15" s="1"/>
  <c r="K1496" i="15" s="1"/>
  <c r="I1496" i="15"/>
  <c r="M1496" i="15"/>
  <c r="G1497" i="15"/>
  <c r="I1497" i="15"/>
  <c r="J1497" i="15" s="1"/>
  <c r="M1497" i="15"/>
  <c r="G1498" i="15"/>
  <c r="H1498" i="15"/>
  <c r="K1498" i="15" s="1"/>
  <c r="I1498" i="15"/>
  <c r="J1498" i="15"/>
  <c r="M1498" i="15"/>
  <c r="G1499" i="15"/>
  <c r="I1499" i="15"/>
  <c r="J1499" i="15" s="1"/>
  <c r="M1499" i="15"/>
  <c r="G1500" i="15"/>
  <c r="H1500" i="15" s="1"/>
  <c r="K1500" i="15" s="1"/>
  <c r="I1500" i="15"/>
  <c r="M1500" i="15"/>
  <c r="G1501" i="15"/>
  <c r="H1501" i="15" s="1"/>
  <c r="I1501" i="15"/>
  <c r="J1501" i="15" s="1"/>
  <c r="M1501" i="15"/>
  <c r="G1502" i="15"/>
  <c r="H1502" i="15" s="1"/>
  <c r="K1502" i="15" s="1"/>
  <c r="I1502" i="15"/>
  <c r="J1502" i="15"/>
  <c r="L1502" i="15" s="1"/>
  <c r="M1502" i="15"/>
  <c r="G1503" i="15"/>
  <c r="H1503" i="15" s="1"/>
  <c r="I1503" i="15"/>
  <c r="J1503" i="15" s="1"/>
  <c r="K1503" i="15"/>
  <c r="M1503" i="15"/>
  <c r="G1504" i="15"/>
  <c r="H1504" i="15" s="1"/>
  <c r="K1504" i="15" s="1"/>
  <c r="I1504" i="15"/>
  <c r="J1504" i="15" s="1"/>
  <c r="L1504" i="15"/>
  <c r="M1504" i="15"/>
  <c r="G1505" i="15"/>
  <c r="H1505" i="15" s="1"/>
  <c r="I1505" i="15"/>
  <c r="J1505" i="15" s="1"/>
  <c r="K1505" i="15"/>
  <c r="M1505" i="15"/>
  <c r="G1506" i="15"/>
  <c r="H1506" i="15"/>
  <c r="K1506" i="15" s="1"/>
  <c r="I1506" i="15"/>
  <c r="M1506" i="15"/>
  <c r="G1507" i="15"/>
  <c r="H1507" i="15" s="1"/>
  <c r="I1507" i="15"/>
  <c r="J1507" i="15" s="1"/>
  <c r="K1507" i="15"/>
  <c r="M1507" i="15"/>
  <c r="G1508" i="15"/>
  <c r="H1508" i="15" s="1"/>
  <c r="K1508" i="15" s="1"/>
  <c r="I1508" i="15"/>
  <c r="M1508" i="15"/>
  <c r="G1509" i="15"/>
  <c r="H1509" i="15" s="1"/>
  <c r="I1509" i="15"/>
  <c r="J1509" i="15" s="1"/>
  <c r="M1509" i="15"/>
  <c r="G1510" i="15"/>
  <c r="H1510" i="15" s="1"/>
  <c r="K1510" i="15" s="1"/>
  <c r="I1510" i="15"/>
  <c r="J1510" i="15"/>
  <c r="L1510" i="15"/>
  <c r="M1510" i="15"/>
  <c r="G1511" i="15"/>
  <c r="H1511" i="15" s="1"/>
  <c r="I1511" i="15"/>
  <c r="J1511" i="15"/>
  <c r="M1511" i="15"/>
  <c r="G1512" i="15"/>
  <c r="H1512" i="15" s="1"/>
  <c r="K1512" i="15" s="1"/>
  <c r="I1512" i="15"/>
  <c r="M1512" i="15"/>
  <c r="G1513" i="15"/>
  <c r="I1513" i="15"/>
  <c r="J1513" i="15" s="1"/>
  <c r="M1513" i="15"/>
  <c r="G1514" i="15"/>
  <c r="H1514" i="15"/>
  <c r="K1514" i="15" s="1"/>
  <c r="I1514" i="15"/>
  <c r="J1514" i="15" s="1"/>
  <c r="M1514" i="15"/>
  <c r="G1515" i="15"/>
  <c r="I1515" i="15"/>
  <c r="J1515" i="15" s="1"/>
  <c r="M1515" i="15"/>
  <c r="G1516" i="15"/>
  <c r="H1516" i="15" s="1"/>
  <c r="K1516" i="15" s="1"/>
  <c r="I1516" i="15"/>
  <c r="J1516" i="15"/>
  <c r="M1516" i="15"/>
  <c r="G1517" i="15"/>
  <c r="H1517" i="15" s="1"/>
  <c r="I1517" i="15"/>
  <c r="J1517" i="15" s="1"/>
  <c r="M1517" i="15"/>
  <c r="G1518" i="15"/>
  <c r="H1518" i="15" s="1"/>
  <c r="K1518" i="15" s="1"/>
  <c r="I1518" i="15"/>
  <c r="J1518" i="15"/>
  <c r="L1518" i="15" s="1"/>
  <c r="M1518" i="15"/>
  <c r="G1519" i="15"/>
  <c r="I1519" i="15"/>
  <c r="J1519" i="15" s="1"/>
  <c r="M1519" i="15"/>
  <c r="G1520" i="15"/>
  <c r="H1520" i="15" s="1"/>
  <c r="K1520" i="15" s="1"/>
  <c r="I1520" i="15"/>
  <c r="J1520" i="15" s="1"/>
  <c r="L1520" i="15"/>
  <c r="M1520" i="15"/>
  <c r="G1521" i="15"/>
  <c r="I1521" i="15"/>
  <c r="J1521" i="15" s="1"/>
  <c r="M1521" i="15"/>
  <c r="G1522" i="15"/>
  <c r="H1522" i="15" s="1"/>
  <c r="K1522" i="15" s="1"/>
  <c r="I1522" i="15"/>
  <c r="J1522" i="15" s="1"/>
  <c r="M1522" i="15"/>
  <c r="G1523" i="15"/>
  <c r="I1523" i="15"/>
  <c r="J1523" i="15" s="1"/>
  <c r="M1523" i="15"/>
  <c r="G1524" i="15"/>
  <c r="H1524" i="15" s="1"/>
  <c r="K1524" i="15" s="1"/>
  <c r="I1524" i="15"/>
  <c r="J1524" i="15" s="1"/>
  <c r="M1524" i="15"/>
  <c r="G1525" i="15"/>
  <c r="I1525" i="15"/>
  <c r="J1525" i="15" s="1"/>
  <c r="M1525" i="15"/>
  <c r="G1526" i="15"/>
  <c r="H1526" i="15" s="1"/>
  <c r="K1526" i="15" s="1"/>
  <c r="I1526" i="15"/>
  <c r="M1526" i="15"/>
  <c r="G1527" i="15"/>
  <c r="I1527" i="15"/>
  <c r="J1527" i="15" s="1"/>
  <c r="M1527" i="15"/>
  <c r="G1528" i="15"/>
  <c r="H1528" i="15" s="1"/>
  <c r="K1528" i="15" s="1"/>
  <c r="I1528" i="15"/>
  <c r="M1528" i="15"/>
  <c r="G1529" i="15"/>
  <c r="I1529" i="15"/>
  <c r="J1529" i="15" s="1"/>
  <c r="M1529" i="15"/>
  <c r="G1530" i="15"/>
  <c r="H1530" i="15" s="1"/>
  <c r="K1530" i="15" s="1"/>
  <c r="I1530" i="15"/>
  <c r="J1530" i="15"/>
  <c r="M1530" i="15"/>
  <c r="G1531" i="15"/>
  <c r="I1531" i="15"/>
  <c r="J1531" i="15" s="1"/>
  <c r="M1531" i="15"/>
  <c r="G1532" i="15"/>
  <c r="H1532" i="15" s="1"/>
  <c r="K1532" i="15" s="1"/>
  <c r="I1532" i="15"/>
  <c r="M1532" i="15"/>
  <c r="G1533" i="15"/>
  <c r="H1533" i="15" s="1"/>
  <c r="I1533" i="15"/>
  <c r="J1533" i="15" s="1"/>
  <c r="M1533" i="15"/>
  <c r="G1534" i="15"/>
  <c r="H1534" i="15" s="1"/>
  <c r="K1534" i="15" s="1"/>
  <c r="I1534" i="15"/>
  <c r="J1534" i="15"/>
  <c r="L1534" i="15" s="1"/>
  <c r="M1534" i="15"/>
  <c r="G1535" i="15"/>
  <c r="H1535" i="15" s="1"/>
  <c r="I1535" i="15"/>
  <c r="J1535" i="15" s="1"/>
  <c r="K1535" i="15"/>
  <c r="M1535" i="15"/>
  <c r="G1536" i="15"/>
  <c r="H1536" i="15" s="1"/>
  <c r="K1536" i="15" s="1"/>
  <c r="I1536" i="15"/>
  <c r="J1536" i="15" s="1"/>
  <c r="L1536" i="15"/>
  <c r="M1536" i="15"/>
  <c r="G1537" i="15"/>
  <c r="H1537" i="15" s="1"/>
  <c r="I1537" i="15"/>
  <c r="J1537" i="15" s="1"/>
  <c r="K1537" i="15"/>
  <c r="M1537" i="15"/>
  <c r="G1538" i="15"/>
  <c r="H1538" i="15"/>
  <c r="K1538" i="15" s="1"/>
  <c r="I1538" i="15"/>
  <c r="J1538" i="15" s="1"/>
  <c r="M1538" i="15"/>
  <c r="G1539" i="15"/>
  <c r="H1539" i="15" s="1"/>
  <c r="I1539" i="15"/>
  <c r="J1539" i="15" s="1"/>
  <c r="K1539" i="15"/>
  <c r="M1539" i="15"/>
  <c r="G1540" i="15"/>
  <c r="H1540" i="15" s="1"/>
  <c r="K1540" i="15" s="1"/>
  <c r="I1540" i="15"/>
  <c r="J1540" i="15" s="1"/>
  <c r="M1540" i="15"/>
  <c r="G1541" i="15"/>
  <c r="H1541" i="15" s="1"/>
  <c r="I1541" i="15"/>
  <c r="J1541" i="15" s="1"/>
  <c r="M1541" i="15"/>
  <c r="G1542" i="15"/>
  <c r="H1542" i="15" s="1"/>
  <c r="K1542" i="15" s="1"/>
  <c r="I1542" i="15"/>
  <c r="J1542" i="15"/>
  <c r="L1542" i="15" s="1"/>
  <c r="M1542" i="15"/>
  <c r="G1543" i="15"/>
  <c r="H1543" i="15" s="1"/>
  <c r="I1543" i="15"/>
  <c r="J1543" i="15" s="1"/>
  <c r="K1543" i="15"/>
  <c r="M1543" i="15"/>
  <c r="G1544" i="15"/>
  <c r="H1544" i="15" s="1"/>
  <c r="K1544" i="15" s="1"/>
  <c r="I1544" i="15"/>
  <c r="M1544" i="15"/>
  <c r="G1545" i="15"/>
  <c r="I1545" i="15"/>
  <c r="J1545" i="15" s="1"/>
  <c r="M1545" i="15"/>
  <c r="G1546" i="15"/>
  <c r="H1546" i="15" s="1"/>
  <c r="K1546" i="15" s="1"/>
  <c r="I1546" i="15"/>
  <c r="J1546" i="15"/>
  <c r="M1546" i="15"/>
  <c r="G1547" i="15"/>
  <c r="I1547" i="15"/>
  <c r="J1547" i="15" s="1"/>
  <c r="M1547" i="15"/>
  <c r="G1548" i="15"/>
  <c r="H1548" i="15" s="1"/>
  <c r="K1548" i="15" s="1"/>
  <c r="I1548" i="15"/>
  <c r="M1548" i="15"/>
  <c r="G1549" i="15"/>
  <c r="H1549" i="15" s="1"/>
  <c r="I1549" i="15"/>
  <c r="J1549" i="15" s="1"/>
  <c r="M1549" i="15"/>
  <c r="G1550" i="15"/>
  <c r="H1550" i="15" s="1"/>
  <c r="K1550" i="15" s="1"/>
  <c r="I1550" i="15"/>
  <c r="J1550" i="15"/>
  <c r="L1550" i="15" s="1"/>
  <c r="M1550" i="15"/>
  <c r="G1551" i="15"/>
  <c r="H1551" i="15" s="1"/>
  <c r="I1551" i="15"/>
  <c r="J1551" i="15" s="1"/>
  <c r="K1551" i="15"/>
  <c r="M1551" i="15"/>
  <c r="G1552" i="15"/>
  <c r="H1552" i="15" s="1"/>
  <c r="K1552" i="15" s="1"/>
  <c r="I1552" i="15"/>
  <c r="J1552" i="15" s="1"/>
  <c r="L1552" i="15"/>
  <c r="M1552" i="15"/>
  <c r="G1553" i="15"/>
  <c r="H1553" i="15" s="1"/>
  <c r="I1553" i="15"/>
  <c r="J1553" i="15" s="1"/>
  <c r="K1553" i="15"/>
  <c r="M1553" i="15"/>
  <c r="G1554" i="15"/>
  <c r="H1554" i="15"/>
  <c r="K1554" i="15" s="1"/>
  <c r="I1554" i="15"/>
  <c r="M1554" i="15"/>
  <c r="G1555" i="15"/>
  <c r="H1555" i="15" s="1"/>
  <c r="I1555" i="15"/>
  <c r="J1555" i="15" s="1"/>
  <c r="M1555" i="15"/>
  <c r="G1556" i="15"/>
  <c r="H1556" i="15" s="1"/>
  <c r="K1556" i="15" s="1"/>
  <c r="I1556" i="15"/>
  <c r="M1556" i="15"/>
  <c r="G1557" i="15"/>
  <c r="H1557" i="15" s="1"/>
  <c r="I1557" i="15"/>
  <c r="J1557" i="15" s="1"/>
  <c r="M1557" i="15"/>
  <c r="G1558" i="15"/>
  <c r="H1558" i="15" s="1"/>
  <c r="K1558" i="15" s="1"/>
  <c r="I1558" i="15"/>
  <c r="J1558" i="15"/>
  <c r="L1558" i="15"/>
  <c r="M1558" i="15"/>
  <c r="G1559" i="15"/>
  <c r="H1559" i="15" s="1"/>
  <c r="I1559" i="15"/>
  <c r="J1559" i="15"/>
  <c r="K1559" i="15"/>
  <c r="M1559" i="15"/>
  <c r="G1560" i="15"/>
  <c r="H1560" i="15"/>
  <c r="K1560" i="15" s="1"/>
  <c r="I1560" i="15"/>
  <c r="M1560" i="15"/>
  <c r="G1561" i="15"/>
  <c r="I1561" i="15"/>
  <c r="J1561" i="15" s="1"/>
  <c r="M1561" i="15"/>
  <c r="G1562" i="15"/>
  <c r="H1562" i="15"/>
  <c r="K1562" i="15" s="1"/>
  <c r="I1562" i="15"/>
  <c r="J1562" i="15" s="1"/>
  <c r="M1562" i="15"/>
  <c r="G1563" i="15"/>
  <c r="H1563" i="15" s="1"/>
  <c r="I1563" i="15"/>
  <c r="J1563" i="15" s="1"/>
  <c r="K1563" i="15"/>
  <c r="M1563" i="15"/>
  <c r="G1564" i="15"/>
  <c r="H1564" i="15" s="1"/>
  <c r="K1564" i="15" s="1"/>
  <c r="I1564" i="15"/>
  <c r="J1564" i="15" s="1"/>
  <c r="L1564" i="15" s="1"/>
  <c r="M1564" i="15"/>
  <c r="G1565" i="15"/>
  <c r="H1565" i="15"/>
  <c r="I1565" i="15"/>
  <c r="J1565" i="15" s="1"/>
  <c r="M1565" i="15"/>
  <c r="G1566" i="15"/>
  <c r="H1566" i="15"/>
  <c r="K1566" i="15" s="1"/>
  <c r="I1566" i="15"/>
  <c r="J1566" i="15" s="1"/>
  <c r="L1566" i="15" s="1"/>
  <c r="M1566" i="15"/>
  <c r="G1567" i="15"/>
  <c r="H1567" i="15"/>
  <c r="K1567" i="15" s="1"/>
  <c r="I1567" i="15"/>
  <c r="J1567" i="15" s="1"/>
  <c r="M1567" i="15"/>
  <c r="G1568" i="15"/>
  <c r="H1568" i="15"/>
  <c r="K1568" i="15" s="1"/>
  <c r="I1568" i="15"/>
  <c r="J1568" i="15"/>
  <c r="M1568" i="15"/>
  <c r="G1569" i="15"/>
  <c r="H1569" i="15" s="1"/>
  <c r="I1569" i="15"/>
  <c r="J1569" i="15"/>
  <c r="M1569" i="15"/>
  <c r="G1570" i="15"/>
  <c r="H1570" i="15" s="1"/>
  <c r="K1570" i="15" s="1"/>
  <c r="I1570" i="15"/>
  <c r="J1570" i="15" s="1"/>
  <c r="L1570" i="15"/>
  <c r="M1570" i="15"/>
  <c r="G1571" i="15"/>
  <c r="H1571" i="15" s="1"/>
  <c r="K1571" i="15" s="1"/>
  <c r="I1571" i="15"/>
  <c r="J1571" i="15" s="1"/>
  <c r="M1571" i="15"/>
  <c r="G1572" i="15"/>
  <c r="H1572" i="15" s="1"/>
  <c r="K1572" i="15" s="1"/>
  <c r="I1572" i="15"/>
  <c r="J1572" i="15" s="1"/>
  <c r="M1572" i="15"/>
  <c r="G1573" i="15"/>
  <c r="H1573" i="15" s="1"/>
  <c r="K1573" i="15" s="1"/>
  <c r="I1573" i="15"/>
  <c r="J1573" i="15" s="1"/>
  <c r="M1573" i="15"/>
  <c r="G1574" i="15"/>
  <c r="H1574" i="15"/>
  <c r="K1574" i="15" s="1"/>
  <c r="I1574" i="15"/>
  <c r="J1574" i="15"/>
  <c r="M1574" i="15"/>
  <c r="G1575" i="15"/>
  <c r="H1575" i="15" s="1"/>
  <c r="K1575" i="15" s="1"/>
  <c r="I1575" i="15"/>
  <c r="J1575" i="15" s="1"/>
  <c r="M1575" i="15"/>
  <c r="G1576" i="15"/>
  <c r="H1576" i="15" s="1"/>
  <c r="K1576" i="15" s="1"/>
  <c r="I1576" i="15"/>
  <c r="J1576" i="15"/>
  <c r="M1576" i="15"/>
  <c r="G1577" i="15"/>
  <c r="H1577" i="15" s="1"/>
  <c r="K1577" i="15" s="1"/>
  <c r="I1577" i="15"/>
  <c r="J1577" i="15"/>
  <c r="M1577" i="15"/>
  <c r="G1578" i="15"/>
  <c r="H1578" i="15" s="1"/>
  <c r="K1578" i="15" s="1"/>
  <c r="I1578" i="15"/>
  <c r="J1578" i="15"/>
  <c r="M1578" i="15"/>
  <c r="G1579" i="15"/>
  <c r="H1579" i="15"/>
  <c r="K1579" i="15" s="1"/>
  <c r="I1579" i="15"/>
  <c r="J1579" i="15" s="1"/>
  <c r="M1579" i="15"/>
  <c r="G1580" i="15"/>
  <c r="H1580" i="15"/>
  <c r="K1580" i="15" s="1"/>
  <c r="I1580" i="15"/>
  <c r="M1580" i="15"/>
  <c r="G1581" i="15"/>
  <c r="H1581" i="15" s="1"/>
  <c r="K1581" i="15" s="1"/>
  <c r="I1581" i="15"/>
  <c r="M1581" i="15"/>
  <c r="G1582" i="15"/>
  <c r="H1582" i="15" s="1"/>
  <c r="I1582" i="15"/>
  <c r="J1582" i="15"/>
  <c r="L1582" i="15" s="1"/>
  <c r="M1582" i="15"/>
  <c r="G1583" i="15"/>
  <c r="H1583" i="15"/>
  <c r="K1583" i="15" s="1"/>
  <c r="I1583" i="15"/>
  <c r="J1583" i="15" s="1"/>
  <c r="M1583" i="15"/>
  <c r="G1584" i="15"/>
  <c r="H1584" i="15"/>
  <c r="K1584" i="15" s="1"/>
  <c r="I1584" i="15"/>
  <c r="J1584" i="15" s="1"/>
  <c r="M1584" i="15"/>
  <c r="G1585" i="15"/>
  <c r="H1585" i="15" s="1"/>
  <c r="K1585" i="15" s="1"/>
  <c r="I1585" i="15"/>
  <c r="J1585" i="15" s="1"/>
  <c r="M1585" i="15"/>
  <c r="G1586" i="15"/>
  <c r="H1586" i="15" s="1"/>
  <c r="K1586" i="15" s="1"/>
  <c r="I1586" i="15"/>
  <c r="J1586" i="15" s="1"/>
  <c r="L1586" i="15"/>
  <c r="M1586" i="15"/>
  <c r="G1587" i="15"/>
  <c r="H1587" i="15" s="1"/>
  <c r="K1587" i="15" s="1"/>
  <c r="I1587" i="15"/>
  <c r="J1587" i="15" s="1"/>
  <c r="M1587" i="15"/>
  <c r="G1588" i="15"/>
  <c r="H1588" i="15" s="1"/>
  <c r="K1588" i="15" s="1"/>
  <c r="I1588" i="15"/>
  <c r="J1588" i="15" s="1"/>
  <c r="M1588" i="15"/>
  <c r="G1589" i="15"/>
  <c r="H1589" i="15" s="1"/>
  <c r="K1589" i="15" s="1"/>
  <c r="I1589" i="15"/>
  <c r="J1589" i="15" s="1"/>
  <c r="M1589" i="15"/>
  <c r="G1590" i="15"/>
  <c r="H1590" i="15" s="1"/>
  <c r="K1590" i="15" s="1"/>
  <c r="I1590" i="15"/>
  <c r="J1590" i="15"/>
  <c r="M1590" i="15"/>
  <c r="G1591" i="15"/>
  <c r="H1591" i="15" s="1"/>
  <c r="K1591" i="15" s="1"/>
  <c r="I1591" i="15"/>
  <c r="J1591" i="15" s="1"/>
  <c r="M1591" i="15"/>
  <c r="G1592" i="15"/>
  <c r="H1592" i="15" s="1"/>
  <c r="K1592" i="15" s="1"/>
  <c r="I1592" i="15"/>
  <c r="J1592" i="15"/>
  <c r="M1592" i="15"/>
  <c r="G1593" i="15"/>
  <c r="H1593" i="15" s="1"/>
  <c r="K1593" i="15" s="1"/>
  <c r="I1593" i="15"/>
  <c r="J1593" i="15"/>
  <c r="M1593" i="15"/>
  <c r="G1594" i="15"/>
  <c r="H1594" i="15" s="1"/>
  <c r="K1594" i="15" s="1"/>
  <c r="I1594" i="15"/>
  <c r="J1594" i="15" s="1"/>
  <c r="L1594" i="15"/>
  <c r="M1594" i="15"/>
  <c r="G1595" i="15"/>
  <c r="H1595" i="15" s="1"/>
  <c r="K1595" i="15" s="1"/>
  <c r="I1595" i="15"/>
  <c r="J1595" i="15" s="1"/>
  <c r="M1595" i="15"/>
  <c r="G1596" i="15"/>
  <c r="H1596" i="15" s="1"/>
  <c r="K1596" i="15" s="1"/>
  <c r="I1596" i="15"/>
  <c r="M1596" i="15"/>
  <c r="G1597" i="15"/>
  <c r="H1597" i="15" s="1"/>
  <c r="K1597" i="15" s="1"/>
  <c r="I1597" i="15"/>
  <c r="M1597" i="15"/>
  <c r="G1598" i="15"/>
  <c r="H1598" i="15"/>
  <c r="I1598" i="15"/>
  <c r="J1598" i="15" s="1"/>
  <c r="L1598" i="15" s="1"/>
  <c r="M1598" i="15"/>
  <c r="G1599" i="15"/>
  <c r="H1599" i="15"/>
  <c r="K1599" i="15" s="1"/>
  <c r="I1599" i="15"/>
  <c r="J1599" i="15" s="1"/>
  <c r="M1599" i="15"/>
  <c r="G1600" i="15"/>
  <c r="H1600" i="15"/>
  <c r="K1600" i="15" s="1"/>
  <c r="I1600" i="15"/>
  <c r="J1600" i="15"/>
  <c r="M1600" i="15"/>
  <c r="G1601" i="15"/>
  <c r="H1601" i="15" s="1"/>
  <c r="K1601" i="15" s="1"/>
  <c r="I1601" i="15"/>
  <c r="J1601" i="15"/>
  <c r="M1601" i="15"/>
  <c r="G1602" i="15"/>
  <c r="H1602" i="15" s="1"/>
  <c r="K1602" i="15" s="1"/>
  <c r="I1602" i="15"/>
  <c r="M1602" i="15"/>
  <c r="G1603" i="15"/>
  <c r="H1603" i="15" s="1"/>
  <c r="K1603" i="15" s="1"/>
  <c r="I1603" i="15"/>
  <c r="J1603" i="15" s="1"/>
  <c r="M1603" i="15"/>
  <c r="G1604" i="15"/>
  <c r="H1604" i="15" s="1"/>
  <c r="K1604" i="15" s="1"/>
  <c r="I1604" i="15"/>
  <c r="J1604" i="15" s="1"/>
  <c r="M1604" i="15"/>
  <c r="G1605" i="15"/>
  <c r="H1605" i="15" s="1"/>
  <c r="I1605" i="15"/>
  <c r="J1605" i="15" s="1"/>
  <c r="M1605" i="15"/>
  <c r="G1606" i="15"/>
  <c r="H1606" i="15" s="1"/>
  <c r="K1606" i="15" s="1"/>
  <c r="I1606" i="15"/>
  <c r="M1606" i="15"/>
  <c r="G1607" i="15"/>
  <c r="H1607" i="15" s="1"/>
  <c r="K1607" i="15" s="1"/>
  <c r="I1607" i="15"/>
  <c r="J1607" i="15" s="1"/>
  <c r="M1607" i="15"/>
  <c r="G1608" i="15"/>
  <c r="H1608" i="15" s="1"/>
  <c r="K1608" i="15" s="1"/>
  <c r="I1608" i="15"/>
  <c r="J1608" i="15"/>
  <c r="M1608" i="15"/>
  <c r="G1609" i="15"/>
  <c r="H1609" i="15" s="1"/>
  <c r="K1609" i="15" s="1"/>
  <c r="I1609" i="15"/>
  <c r="J1609" i="15"/>
  <c r="M1609" i="15"/>
  <c r="G1610" i="15"/>
  <c r="H1610" i="15" s="1"/>
  <c r="K1610" i="15" s="1"/>
  <c r="I1610" i="15"/>
  <c r="J1610" i="15"/>
  <c r="L1610" i="15" s="1"/>
  <c r="M1610" i="15"/>
  <c r="G1611" i="15"/>
  <c r="H1611" i="15"/>
  <c r="K1611" i="15" s="1"/>
  <c r="I1611" i="15"/>
  <c r="J1611" i="15" s="1"/>
  <c r="M1611" i="15"/>
  <c r="G1612" i="15"/>
  <c r="H1612" i="15"/>
  <c r="K1612" i="15" s="1"/>
  <c r="I1612" i="15"/>
  <c r="M1612" i="15"/>
  <c r="G1613" i="15"/>
  <c r="H1613" i="15" s="1"/>
  <c r="K1613" i="15" s="1"/>
  <c r="I1613" i="15"/>
  <c r="M1613" i="15"/>
  <c r="G1614" i="15"/>
  <c r="H1614" i="15" s="1"/>
  <c r="K1614" i="15" s="1"/>
  <c r="I1614" i="15"/>
  <c r="J1614" i="15"/>
  <c r="L1614" i="15" s="1"/>
  <c r="M1614" i="15"/>
  <c r="G1615" i="15"/>
  <c r="H1615" i="15" s="1"/>
  <c r="K1615" i="15" s="1"/>
  <c r="I1615" i="15"/>
  <c r="J1615" i="15" s="1"/>
  <c r="M1615" i="15"/>
  <c r="G1616" i="15"/>
  <c r="H1616" i="15" s="1"/>
  <c r="K1616" i="15" s="1"/>
  <c r="I1616" i="15"/>
  <c r="M1616" i="15"/>
  <c r="G1617" i="15"/>
  <c r="H1617" i="15" s="1"/>
  <c r="K1617" i="15" s="1"/>
  <c r="I1617" i="15"/>
  <c r="M1617" i="15"/>
  <c r="G1618" i="15"/>
  <c r="H1618" i="15" s="1"/>
  <c r="K1618" i="15" s="1"/>
  <c r="I1618" i="15"/>
  <c r="M1618" i="15"/>
  <c r="G1619" i="15"/>
  <c r="H1619" i="15" s="1"/>
  <c r="K1619" i="15" s="1"/>
  <c r="I1619" i="15"/>
  <c r="J1619" i="15" s="1"/>
  <c r="M1619" i="15"/>
  <c r="G1620" i="15"/>
  <c r="H1620" i="15" s="1"/>
  <c r="K1620" i="15" s="1"/>
  <c r="I1620" i="15"/>
  <c r="M1620" i="15"/>
  <c r="G1621" i="15"/>
  <c r="H1621" i="15" s="1"/>
  <c r="K1621" i="15" s="1"/>
  <c r="I1621" i="15"/>
  <c r="M1621" i="15"/>
  <c r="G1622" i="15"/>
  <c r="H1622" i="15" s="1"/>
  <c r="K1622" i="15" s="1"/>
  <c r="I1622" i="15"/>
  <c r="J1622" i="15"/>
  <c r="M1622" i="15"/>
  <c r="G1623" i="15"/>
  <c r="H1623" i="15" s="1"/>
  <c r="K1623" i="15" s="1"/>
  <c r="I1623" i="15"/>
  <c r="J1623" i="15" s="1"/>
  <c r="M1623" i="15"/>
  <c r="G1624" i="15"/>
  <c r="H1624" i="15" s="1"/>
  <c r="K1624" i="15" s="1"/>
  <c r="I1624" i="15"/>
  <c r="J1624" i="15"/>
  <c r="M1624" i="15"/>
  <c r="G1625" i="15"/>
  <c r="H1625" i="15" s="1"/>
  <c r="K1625" i="15" s="1"/>
  <c r="I1625" i="15"/>
  <c r="J1625" i="15"/>
  <c r="M1625" i="15"/>
  <c r="G1626" i="15"/>
  <c r="H1626" i="15" s="1"/>
  <c r="K1626" i="15" s="1"/>
  <c r="I1626" i="15"/>
  <c r="J1626" i="15"/>
  <c r="L1626" i="15" s="1"/>
  <c r="M1626" i="15"/>
  <c r="G1627" i="15"/>
  <c r="H1627" i="15" s="1"/>
  <c r="K1627" i="15" s="1"/>
  <c r="I1627" i="15"/>
  <c r="J1627" i="15" s="1"/>
  <c r="M1627" i="15"/>
  <c r="G1628" i="15"/>
  <c r="H1628" i="15" s="1"/>
  <c r="K1628" i="15" s="1"/>
  <c r="I1628" i="15"/>
  <c r="M1628" i="15"/>
  <c r="G1629" i="15"/>
  <c r="H1629" i="15" s="1"/>
  <c r="I1629" i="15"/>
  <c r="M1629" i="15"/>
  <c r="G1630" i="15"/>
  <c r="H1630" i="15" s="1"/>
  <c r="I1630" i="15"/>
  <c r="J1630" i="15"/>
  <c r="L1630" i="15" s="1"/>
  <c r="M1630" i="15"/>
  <c r="G1631" i="15"/>
  <c r="H1631" i="15" s="1"/>
  <c r="K1631" i="15" s="1"/>
  <c r="I1631" i="15"/>
  <c r="J1631" i="15" s="1"/>
  <c r="M1631" i="15"/>
  <c r="G1632" i="15"/>
  <c r="H1632" i="15" s="1"/>
  <c r="K1632" i="15" s="1"/>
  <c r="I1632" i="15"/>
  <c r="J1632" i="15"/>
  <c r="M1632" i="15"/>
  <c r="G1633" i="15"/>
  <c r="H1633" i="15" s="1"/>
  <c r="K1633" i="15" s="1"/>
  <c r="I1633" i="15"/>
  <c r="J1633" i="15"/>
  <c r="M1633" i="15"/>
  <c r="G1634" i="15"/>
  <c r="H1634" i="15" s="1"/>
  <c r="K1634" i="15" s="1"/>
  <c r="I1634" i="15"/>
  <c r="J1634" i="15" s="1"/>
  <c r="L1634" i="15"/>
  <c r="M1634" i="15"/>
  <c r="G1635" i="15"/>
  <c r="H1635" i="15" s="1"/>
  <c r="K1635" i="15" s="1"/>
  <c r="I1635" i="15"/>
  <c r="J1635" i="15" s="1"/>
  <c r="M1635" i="15"/>
  <c r="G1636" i="15"/>
  <c r="H1636" i="15" s="1"/>
  <c r="K1636" i="15" s="1"/>
  <c r="I1636" i="15"/>
  <c r="J1636" i="15"/>
  <c r="M1636" i="15"/>
  <c r="G1637" i="15"/>
  <c r="H1637" i="15" s="1"/>
  <c r="K1637" i="15" s="1"/>
  <c r="I1637" i="15"/>
  <c r="J1637" i="15"/>
  <c r="M1637" i="15"/>
  <c r="G1638" i="15"/>
  <c r="H1638" i="15" s="1"/>
  <c r="I1638" i="15"/>
  <c r="J1638" i="15"/>
  <c r="M1638" i="15"/>
  <c r="G1639" i="15"/>
  <c r="H1639" i="15"/>
  <c r="K1639" i="15" s="1"/>
  <c r="I1639" i="15"/>
  <c r="J1639" i="15" s="1"/>
  <c r="M1639" i="15"/>
  <c r="G1640" i="15"/>
  <c r="H1640" i="15"/>
  <c r="K1640" i="15" s="1"/>
  <c r="I1640" i="15"/>
  <c r="J1640" i="15"/>
  <c r="M1640" i="15"/>
  <c r="G1641" i="15"/>
  <c r="H1641" i="15" s="1"/>
  <c r="I1641" i="15"/>
  <c r="J1641" i="15"/>
  <c r="M1641" i="15"/>
  <c r="G1642" i="15"/>
  <c r="H1642" i="15" s="1"/>
  <c r="K1642" i="15" s="1"/>
  <c r="I1642" i="15"/>
  <c r="M1642" i="15"/>
  <c r="G1643" i="15"/>
  <c r="H1643" i="15"/>
  <c r="K1643" i="15" s="1"/>
  <c r="I1643" i="15"/>
  <c r="J1643" i="15" s="1"/>
  <c r="M1643" i="15"/>
  <c r="G1644" i="15"/>
  <c r="H1644" i="15"/>
  <c r="K1644" i="15" s="1"/>
  <c r="I1644" i="15"/>
  <c r="M1644" i="15"/>
  <c r="G1645" i="15"/>
  <c r="H1645" i="15" s="1"/>
  <c r="K1645" i="15" s="1"/>
  <c r="I1645" i="15"/>
  <c r="M1645" i="15"/>
  <c r="G1646" i="15"/>
  <c r="H1646" i="15" s="1"/>
  <c r="K1646" i="15" s="1"/>
  <c r="I1646" i="15"/>
  <c r="J1646" i="15"/>
  <c r="L1646" i="15"/>
  <c r="M1646" i="15"/>
  <c r="G1647" i="15"/>
  <c r="H1647" i="15"/>
  <c r="K1647" i="15" s="1"/>
  <c r="I1647" i="15"/>
  <c r="J1647" i="15" s="1"/>
  <c r="M1647" i="15"/>
  <c r="G1648" i="15"/>
  <c r="H1648" i="15"/>
  <c r="K1648" i="15" s="1"/>
  <c r="I1648" i="15"/>
  <c r="J1648" i="15" s="1"/>
  <c r="M1648" i="15"/>
  <c r="G1649" i="15"/>
  <c r="H1649" i="15" s="1"/>
  <c r="I1649" i="15"/>
  <c r="J1649" i="15" s="1"/>
  <c r="M1649" i="15"/>
  <c r="G1650" i="15"/>
  <c r="H1650" i="15" s="1"/>
  <c r="K1650" i="15" s="1"/>
  <c r="I1650" i="15"/>
  <c r="J1650" i="15" s="1"/>
  <c r="L1650" i="15"/>
  <c r="M1650" i="15"/>
  <c r="G1651" i="15"/>
  <c r="H1651" i="15" s="1"/>
  <c r="K1651" i="15" s="1"/>
  <c r="I1651" i="15"/>
  <c r="J1651" i="15" s="1"/>
  <c r="M1651" i="15"/>
  <c r="G1652" i="15"/>
  <c r="H1652" i="15" s="1"/>
  <c r="K1652" i="15" s="1"/>
  <c r="I1652" i="15"/>
  <c r="J1652" i="15" s="1"/>
  <c r="M1652" i="15"/>
  <c r="G1653" i="15"/>
  <c r="H1653" i="15" s="1"/>
  <c r="I1653" i="15"/>
  <c r="J1653" i="15" s="1"/>
  <c r="M1653" i="15"/>
  <c r="G1654" i="15"/>
  <c r="H1654" i="15"/>
  <c r="K1654" i="15" s="1"/>
  <c r="I1654" i="15"/>
  <c r="J1654" i="15" s="1"/>
  <c r="M1654" i="15"/>
  <c r="G1655" i="15"/>
  <c r="H1655" i="15" s="1"/>
  <c r="K1655" i="15" s="1"/>
  <c r="I1655" i="15"/>
  <c r="J1655" i="15" s="1"/>
  <c r="M1655" i="15"/>
  <c r="G1656" i="15"/>
  <c r="H1656" i="15" s="1"/>
  <c r="K1656" i="15" s="1"/>
  <c r="I1656" i="15"/>
  <c r="J1656" i="15"/>
  <c r="M1656" i="15"/>
  <c r="G1657" i="15"/>
  <c r="H1657" i="15" s="1"/>
  <c r="K1657" i="15" s="1"/>
  <c r="I1657" i="15"/>
  <c r="J1657" i="15"/>
  <c r="M1657" i="15"/>
  <c r="G1658" i="15"/>
  <c r="H1658" i="15" s="1"/>
  <c r="K1658" i="15" s="1"/>
  <c r="I1658" i="15"/>
  <c r="M1658" i="15"/>
  <c r="G1659" i="15"/>
  <c r="H1659" i="15" s="1"/>
  <c r="K1659" i="15" s="1"/>
  <c r="I1659" i="15"/>
  <c r="J1659" i="15" s="1"/>
  <c r="M1659" i="15"/>
  <c r="G1660" i="15"/>
  <c r="H1660" i="15" s="1"/>
  <c r="K1660" i="15" s="1"/>
  <c r="I1660" i="15"/>
  <c r="M1660" i="15"/>
  <c r="G1661" i="15"/>
  <c r="H1661" i="15" s="1"/>
  <c r="I1661" i="15"/>
  <c r="M1661" i="15"/>
  <c r="G1662" i="15"/>
  <c r="H1662" i="15" s="1"/>
  <c r="K1662" i="15" s="1"/>
  <c r="I1662" i="15"/>
  <c r="J1662" i="15"/>
  <c r="M1662" i="15"/>
  <c r="G1663" i="15"/>
  <c r="H1663" i="15" s="1"/>
  <c r="K1663" i="15" s="1"/>
  <c r="I1663" i="15"/>
  <c r="J1663" i="15" s="1"/>
  <c r="M1663" i="15"/>
  <c r="G1664" i="15"/>
  <c r="H1664" i="15" s="1"/>
  <c r="K1664" i="15" s="1"/>
  <c r="I1664" i="15"/>
  <c r="M1664" i="15"/>
  <c r="G1665" i="15"/>
  <c r="H1665" i="15" s="1"/>
  <c r="K1665" i="15" s="1"/>
  <c r="I1665" i="15"/>
  <c r="M1665" i="15"/>
  <c r="G1666" i="15"/>
  <c r="H1666" i="15"/>
  <c r="K1666" i="15" s="1"/>
  <c r="I1666" i="15"/>
  <c r="M1666" i="15"/>
  <c r="G1667" i="15"/>
  <c r="H1667" i="15" s="1"/>
  <c r="K1667" i="15" s="1"/>
  <c r="I1667" i="15"/>
  <c r="J1667" i="15" s="1"/>
  <c r="M1667" i="15"/>
  <c r="G1668" i="15"/>
  <c r="H1668" i="15" s="1"/>
  <c r="K1668" i="15" s="1"/>
  <c r="I1668" i="15"/>
  <c r="J1668" i="15"/>
  <c r="M1668" i="15"/>
  <c r="G1669" i="15"/>
  <c r="H1669" i="15" s="1"/>
  <c r="K1669" i="15" s="1"/>
  <c r="I1669" i="15"/>
  <c r="J1669" i="15"/>
  <c r="M1669" i="15"/>
  <c r="G1670" i="15"/>
  <c r="H1670" i="15"/>
  <c r="K1670" i="15" s="1"/>
  <c r="I1670" i="15"/>
  <c r="M1670" i="15"/>
  <c r="G1671" i="15"/>
  <c r="H1671" i="15" s="1"/>
  <c r="K1671" i="15" s="1"/>
  <c r="I1671" i="15"/>
  <c r="J1671" i="15" s="1"/>
  <c r="M1671" i="15"/>
  <c r="G1672" i="15"/>
  <c r="H1672" i="15" s="1"/>
  <c r="K1672" i="15" s="1"/>
  <c r="I1672" i="15"/>
  <c r="J1672" i="15"/>
  <c r="M1672" i="15"/>
  <c r="G1673" i="15"/>
  <c r="H1673" i="15" s="1"/>
  <c r="I1673" i="15"/>
  <c r="J1673" i="15"/>
  <c r="M1673" i="15"/>
  <c r="G1674" i="15"/>
  <c r="H1674" i="15" s="1"/>
  <c r="K1674" i="15" s="1"/>
  <c r="I1674" i="15"/>
  <c r="J1674" i="15"/>
  <c r="L1674" i="15"/>
  <c r="M1674" i="15"/>
  <c r="G1675" i="15"/>
  <c r="H1675" i="15"/>
  <c r="K1675" i="15" s="1"/>
  <c r="I1675" i="15"/>
  <c r="J1675" i="15" s="1"/>
  <c r="M1675" i="15"/>
  <c r="G1676" i="15"/>
  <c r="H1676" i="15"/>
  <c r="K1676" i="15" s="1"/>
  <c r="I1676" i="15"/>
  <c r="M1676" i="15"/>
  <c r="G1677" i="15"/>
  <c r="H1677" i="15" s="1"/>
  <c r="I1677" i="15"/>
  <c r="M1677" i="15"/>
  <c r="G1678" i="15"/>
  <c r="H1678" i="15" s="1"/>
  <c r="K1678" i="15" s="1"/>
  <c r="I1678" i="15"/>
  <c r="J1678" i="15"/>
  <c r="L1678" i="15"/>
  <c r="M1678" i="15"/>
  <c r="G1679" i="15"/>
  <c r="H1679" i="15"/>
  <c r="K1679" i="15" s="1"/>
  <c r="I1679" i="15"/>
  <c r="J1679" i="15" s="1"/>
  <c r="M1679" i="15"/>
  <c r="G1680" i="15"/>
  <c r="H1680" i="15"/>
  <c r="K1680" i="15" s="1"/>
  <c r="I1680" i="15"/>
  <c r="M1680" i="15"/>
  <c r="G1681" i="15"/>
  <c r="H1681" i="15" s="1"/>
  <c r="K1681" i="15" s="1"/>
  <c r="I1681" i="15"/>
  <c r="M1681" i="15"/>
  <c r="G1682" i="15"/>
  <c r="H1682" i="15" s="1"/>
  <c r="K1682" i="15" s="1"/>
  <c r="I1682" i="15"/>
  <c r="J1682" i="15" s="1"/>
  <c r="L1682" i="15"/>
  <c r="M1682" i="15"/>
  <c r="G1683" i="15"/>
  <c r="H1683" i="15" s="1"/>
  <c r="K1683" i="15" s="1"/>
  <c r="I1683" i="15"/>
  <c r="J1683" i="15" s="1"/>
  <c r="M1683" i="15"/>
  <c r="G1684" i="15"/>
  <c r="H1684" i="15" s="1"/>
  <c r="K1684" i="15" s="1"/>
  <c r="I1684" i="15"/>
  <c r="M1684" i="15"/>
  <c r="G1685" i="15"/>
  <c r="H1685" i="15" s="1"/>
  <c r="I1685" i="15"/>
  <c r="M1685" i="15"/>
  <c r="G1686" i="15"/>
  <c r="H1686" i="15"/>
  <c r="K1686" i="15" s="1"/>
  <c r="I1686" i="15"/>
  <c r="J1686" i="15" s="1"/>
  <c r="M1686" i="15"/>
  <c r="G1687" i="15"/>
  <c r="H1687" i="15" s="1"/>
  <c r="K1687" i="15" s="1"/>
  <c r="I1687" i="15"/>
  <c r="J1687" i="15" s="1"/>
  <c r="M1687" i="15"/>
  <c r="G1688" i="15"/>
  <c r="H1688" i="15" s="1"/>
  <c r="K1688" i="15" s="1"/>
  <c r="I1688" i="15"/>
  <c r="J1688" i="15" s="1"/>
  <c r="M1688" i="15"/>
  <c r="G1689" i="15"/>
  <c r="H1689" i="15" s="1"/>
  <c r="K1689" i="15" s="1"/>
  <c r="I1689" i="15"/>
  <c r="J1689" i="15" s="1"/>
  <c r="M1689" i="15"/>
  <c r="G1690" i="15"/>
  <c r="H1690" i="15" s="1"/>
  <c r="K1690" i="15" s="1"/>
  <c r="I1690" i="15"/>
  <c r="J1690" i="15" s="1"/>
  <c r="L1690" i="15" s="1"/>
  <c r="M1690" i="15"/>
  <c r="G1691" i="15"/>
  <c r="H1691" i="15" s="1"/>
  <c r="K1691" i="15" s="1"/>
  <c r="I1691" i="15"/>
  <c r="J1691" i="15" s="1"/>
  <c r="M1691" i="15"/>
  <c r="G1692" i="15"/>
  <c r="H1692" i="15" s="1"/>
  <c r="K1692" i="15" s="1"/>
  <c r="I1692" i="15"/>
  <c r="M1692" i="15"/>
  <c r="G1693" i="15"/>
  <c r="H1693" i="15" s="1"/>
  <c r="K1693" i="15" s="1"/>
  <c r="I1693" i="15"/>
  <c r="M1693" i="15"/>
  <c r="G1694" i="15"/>
  <c r="H1694" i="15"/>
  <c r="K1694" i="15" s="1"/>
  <c r="I1694" i="15"/>
  <c r="J1694" i="15" s="1"/>
  <c r="L1694" i="15" s="1"/>
  <c r="M1694" i="15"/>
  <c r="G1695" i="15"/>
  <c r="H1695" i="15"/>
  <c r="K1695" i="15" s="1"/>
  <c r="I1695" i="15"/>
  <c r="J1695" i="15" s="1"/>
  <c r="M1695" i="15"/>
  <c r="G1696" i="15"/>
  <c r="H1696" i="15"/>
  <c r="K1696" i="15" s="1"/>
  <c r="I1696" i="15"/>
  <c r="J1696" i="15"/>
  <c r="M1696" i="15"/>
  <c r="G1697" i="15"/>
  <c r="H1697" i="15" s="1"/>
  <c r="K1697" i="15" s="1"/>
  <c r="I1697" i="15"/>
  <c r="J1697" i="15"/>
  <c r="M1697" i="15"/>
  <c r="G1698" i="15"/>
  <c r="H1698" i="15" s="1"/>
  <c r="K1698" i="15" s="1"/>
  <c r="I1698" i="15"/>
  <c r="M1698" i="15"/>
  <c r="G1699" i="15"/>
  <c r="H1699" i="15" s="1"/>
  <c r="K1699" i="15" s="1"/>
  <c r="I1699" i="15"/>
  <c r="J1699" i="15" s="1"/>
  <c r="M1699" i="15"/>
  <c r="G1700" i="15"/>
  <c r="H1700" i="15" s="1"/>
  <c r="K1700" i="15" s="1"/>
  <c r="I1700" i="15"/>
  <c r="J1700" i="15"/>
  <c r="M1700" i="15"/>
  <c r="G1701" i="15"/>
  <c r="H1701" i="15" s="1"/>
  <c r="K1701" i="15" s="1"/>
  <c r="I1701" i="15"/>
  <c r="J1701" i="15"/>
  <c r="M1701" i="15"/>
  <c r="G1702" i="15"/>
  <c r="H1702" i="15"/>
  <c r="K1702" i="15" s="1"/>
  <c r="I1702" i="15"/>
  <c r="M1702" i="15"/>
  <c r="G1703" i="15"/>
  <c r="H1703" i="15"/>
  <c r="K1703" i="15" s="1"/>
  <c r="I1703" i="15"/>
  <c r="J1703" i="15" s="1"/>
  <c r="M1703" i="15"/>
  <c r="G1704" i="15"/>
  <c r="H1704" i="15"/>
  <c r="K1704" i="15" s="1"/>
  <c r="I1704" i="15"/>
  <c r="J1704" i="15" s="1"/>
  <c r="M1704" i="15"/>
  <c r="G1705" i="15"/>
  <c r="H1705" i="15" s="1"/>
  <c r="K1705" i="15" s="1"/>
  <c r="I1705" i="15"/>
  <c r="J1705" i="15" s="1"/>
  <c r="M1705" i="15"/>
  <c r="G1706" i="15"/>
  <c r="H1706" i="15" s="1"/>
  <c r="K1706" i="15" s="1"/>
  <c r="I1706" i="15"/>
  <c r="J1706" i="15" s="1"/>
  <c r="M1706" i="15"/>
  <c r="G1707" i="15"/>
  <c r="H1707" i="15" s="1"/>
  <c r="K1707" i="15" s="1"/>
  <c r="I1707" i="15"/>
  <c r="J1707" i="15" s="1"/>
  <c r="M1707" i="15"/>
  <c r="G1708" i="15"/>
  <c r="H1708" i="15" s="1"/>
  <c r="K1708" i="15" s="1"/>
  <c r="I1708" i="15"/>
  <c r="M1708" i="15"/>
  <c r="G1709" i="15"/>
  <c r="H1709" i="15" s="1"/>
  <c r="K1709" i="15" s="1"/>
  <c r="I1709" i="15"/>
  <c r="M1709" i="15"/>
  <c r="G1710" i="15"/>
  <c r="H1710" i="15" s="1"/>
  <c r="K1710" i="15" s="1"/>
  <c r="I1710" i="15"/>
  <c r="J1710" i="15"/>
  <c r="L1710" i="15"/>
  <c r="M1710" i="15"/>
  <c r="G1711" i="15"/>
  <c r="H1711" i="15"/>
  <c r="K1711" i="15" s="1"/>
  <c r="I1711" i="15"/>
  <c r="J1711" i="15" s="1"/>
  <c r="M1711" i="15"/>
  <c r="G1712" i="15"/>
  <c r="H1712" i="15"/>
  <c r="K1712" i="15" s="1"/>
  <c r="I1712" i="15"/>
  <c r="J1712" i="15" s="1"/>
  <c r="M1712" i="15"/>
  <c r="G1713" i="15"/>
  <c r="H1713" i="15" s="1"/>
  <c r="K1713" i="15" s="1"/>
  <c r="I1713" i="15"/>
  <c r="J1713" i="15" s="1"/>
  <c r="M1713" i="15"/>
  <c r="G1714" i="15"/>
  <c r="H1714" i="15"/>
  <c r="K1714" i="15" s="1"/>
  <c r="I1714" i="15"/>
  <c r="M1714" i="15"/>
  <c r="G1715" i="15"/>
  <c r="H1715" i="15" s="1"/>
  <c r="K1715" i="15" s="1"/>
  <c r="I1715" i="15"/>
  <c r="J1715" i="15" s="1"/>
  <c r="M1715" i="15"/>
  <c r="G1716" i="15"/>
  <c r="H1716" i="15" s="1"/>
  <c r="K1716" i="15" s="1"/>
  <c r="I1716" i="15"/>
  <c r="J1716" i="15"/>
  <c r="M1716" i="15"/>
  <c r="G1717" i="15"/>
  <c r="H1717" i="15" s="1"/>
  <c r="K1717" i="15" s="1"/>
  <c r="I1717" i="15"/>
  <c r="J1717" i="15"/>
  <c r="M1717" i="15"/>
  <c r="G1718" i="15"/>
  <c r="H1718" i="15"/>
  <c r="K1718" i="15" s="1"/>
  <c r="I1718" i="15"/>
  <c r="M1718" i="15"/>
  <c r="G1719" i="15"/>
  <c r="H1719" i="15"/>
  <c r="K1719" i="15" s="1"/>
  <c r="I1719" i="15"/>
  <c r="J1719" i="15" s="1"/>
  <c r="M1719" i="15"/>
  <c r="G1720" i="15"/>
  <c r="H1720" i="15"/>
  <c r="K1720" i="15" s="1"/>
  <c r="I1720" i="15"/>
  <c r="J1720" i="15" s="1"/>
  <c r="M1720" i="15"/>
  <c r="G1721" i="15"/>
  <c r="H1721" i="15" s="1"/>
  <c r="K1721" i="15" s="1"/>
  <c r="I1721" i="15"/>
  <c r="J1721" i="15" s="1"/>
  <c r="M1721" i="15"/>
  <c r="G1722" i="15"/>
  <c r="H1722" i="15" s="1"/>
  <c r="K1722" i="15" s="1"/>
  <c r="I1722" i="15"/>
  <c r="M1722" i="15"/>
  <c r="G1723" i="15"/>
  <c r="H1723" i="15" s="1"/>
  <c r="K1723" i="15" s="1"/>
  <c r="I1723" i="15"/>
  <c r="J1723" i="15" s="1"/>
  <c r="M1723" i="15"/>
  <c r="G1724" i="15"/>
  <c r="H1724" i="15" s="1"/>
  <c r="K1724" i="15" s="1"/>
  <c r="I1724" i="15"/>
  <c r="M1724" i="15"/>
  <c r="G1725" i="15"/>
  <c r="H1725" i="15" s="1"/>
  <c r="I1725" i="15"/>
  <c r="M1725" i="15"/>
  <c r="G1726" i="15"/>
  <c r="H1726" i="15" s="1"/>
  <c r="I1726" i="15"/>
  <c r="J1726" i="15"/>
  <c r="L1726" i="15" s="1"/>
  <c r="M1726" i="15"/>
  <c r="G1727" i="15"/>
  <c r="H1727" i="15"/>
  <c r="K1727" i="15" s="1"/>
  <c r="I1727" i="15"/>
  <c r="J1727" i="15" s="1"/>
  <c r="M1727" i="15"/>
  <c r="G1728" i="15"/>
  <c r="H1728" i="15"/>
  <c r="K1728" i="15" s="1"/>
  <c r="I1728" i="15"/>
  <c r="J1728" i="15"/>
  <c r="M1728" i="15"/>
  <c r="G1729" i="15"/>
  <c r="H1729" i="15" s="1"/>
  <c r="K1729" i="15" s="1"/>
  <c r="I1729" i="15"/>
  <c r="J1729" i="15"/>
  <c r="M1729" i="15"/>
  <c r="G1730" i="15"/>
  <c r="H1730" i="15" s="1"/>
  <c r="K1730" i="15" s="1"/>
  <c r="I1730" i="15"/>
  <c r="M1730" i="15"/>
  <c r="G1731" i="15"/>
  <c r="H1731" i="15" s="1"/>
  <c r="K1731" i="15" s="1"/>
  <c r="I1731" i="15"/>
  <c r="J1731" i="15" s="1"/>
  <c r="M1731" i="15"/>
  <c r="G1732" i="15"/>
  <c r="H1732" i="15" s="1"/>
  <c r="K1732" i="15" s="1"/>
  <c r="I1732" i="15"/>
  <c r="M1732" i="15"/>
  <c r="G1733" i="15"/>
  <c r="H1733" i="15" s="1"/>
  <c r="K1733" i="15" s="1"/>
  <c r="I1733" i="15"/>
  <c r="M1733" i="15"/>
  <c r="G1734" i="15"/>
  <c r="H1734" i="15"/>
  <c r="K1734" i="15" s="1"/>
  <c r="I1734" i="15"/>
  <c r="M1734" i="15"/>
  <c r="G1735" i="15"/>
  <c r="H1735" i="15"/>
  <c r="K1735" i="15" s="1"/>
  <c r="I1735" i="15"/>
  <c r="J1735" i="15" s="1"/>
  <c r="M1735" i="15"/>
  <c r="G1736" i="15"/>
  <c r="H1736" i="15"/>
  <c r="K1736" i="15" s="1"/>
  <c r="I1736" i="15"/>
  <c r="J1736" i="15" s="1"/>
  <c r="M1736" i="15"/>
  <c r="G1737" i="15"/>
  <c r="H1737" i="15" s="1"/>
  <c r="I1737" i="15"/>
  <c r="J1737" i="15" s="1"/>
  <c r="M1737" i="15"/>
  <c r="G1738" i="15"/>
  <c r="H1738" i="15" s="1"/>
  <c r="K1738" i="15" s="1"/>
  <c r="I1738" i="15"/>
  <c r="J1738" i="15" s="1"/>
  <c r="L1738" i="15" s="1"/>
  <c r="M1738" i="15"/>
  <c r="G1739" i="15"/>
  <c r="H1739" i="15" s="1"/>
  <c r="K1739" i="15" s="1"/>
  <c r="I1739" i="15"/>
  <c r="J1739" i="15" s="1"/>
  <c r="M1739" i="15"/>
  <c r="G1740" i="15"/>
  <c r="H1740" i="15" s="1"/>
  <c r="K1740" i="15" s="1"/>
  <c r="I1740" i="15"/>
  <c r="M1740" i="15"/>
  <c r="G1741" i="15"/>
  <c r="H1741" i="15" s="1"/>
  <c r="I1741" i="15"/>
  <c r="M1741" i="15"/>
  <c r="G1742" i="15"/>
  <c r="H1742" i="15" s="1"/>
  <c r="K1742" i="15" s="1"/>
  <c r="I1742" i="15"/>
  <c r="J1742" i="15" s="1"/>
  <c r="L1742" i="15" s="1"/>
  <c r="M1742" i="15"/>
  <c r="G1743" i="15"/>
  <c r="H1743" i="15"/>
  <c r="K1743" i="15" s="1"/>
  <c r="I1743" i="15"/>
  <c r="J1743" i="15" s="1"/>
  <c r="M1743" i="15"/>
  <c r="G1744" i="15"/>
  <c r="H1744" i="15"/>
  <c r="K1744" i="15" s="1"/>
  <c r="I1744" i="15"/>
  <c r="M1744" i="15"/>
  <c r="G1745" i="15"/>
  <c r="H1745" i="15" s="1"/>
  <c r="K1745" i="15" s="1"/>
  <c r="I1745" i="15"/>
  <c r="M1745" i="15"/>
  <c r="G1746" i="15"/>
  <c r="H1746" i="15" s="1"/>
  <c r="K1746" i="15" s="1"/>
  <c r="I1746" i="15"/>
  <c r="J1746" i="15" s="1"/>
  <c r="L1746" i="15"/>
  <c r="M1746" i="15"/>
  <c r="G1747" i="15"/>
  <c r="H1747" i="15" s="1"/>
  <c r="K1747" i="15" s="1"/>
  <c r="I1747" i="15"/>
  <c r="J1747" i="15" s="1"/>
  <c r="M1747" i="15"/>
  <c r="G1748" i="15"/>
  <c r="H1748" i="15" s="1"/>
  <c r="K1748" i="15" s="1"/>
  <c r="I1748" i="15"/>
  <c r="M1748" i="15"/>
  <c r="G1749" i="15"/>
  <c r="H1749" i="15" s="1"/>
  <c r="K1749" i="15" s="1"/>
  <c r="I1749" i="15"/>
  <c r="M1749" i="15"/>
  <c r="G1750" i="15"/>
  <c r="H1750" i="15"/>
  <c r="K1750" i="15" s="1"/>
  <c r="I1750" i="15"/>
  <c r="J1750" i="15" s="1"/>
  <c r="M1750" i="15"/>
  <c r="G1751" i="15"/>
  <c r="H1751" i="15" s="1"/>
  <c r="K1751" i="15" s="1"/>
  <c r="I1751" i="15"/>
  <c r="J1751" i="15" s="1"/>
  <c r="M1751" i="15"/>
  <c r="G1752" i="15"/>
  <c r="H1752" i="15" s="1"/>
  <c r="K1752" i="15" s="1"/>
  <c r="I1752" i="15"/>
  <c r="J1752" i="15"/>
  <c r="M1752" i="15"/>
  <c r="G1753" i="15"/>
  <c r="H1753" i="15" s="1"/>
  <c r="K1753" i="15" s="1"/>
  <c r="I1753" i="15"/>
  <c r="J1753" i="15"/>
  <c r="M1753" i="15"/>
  <c r="G1754" i="15"/>
  <c r="H1754" i="15" s="1"/>
  <c r="K1754" i="15" s="1"/>
  <c r="I1754" i="15"/>
  <c r="J1754" i="15"/>
  <c r="M1754" i="15"/>
  <c r="G1755" i="15"/>
  <c r="H1755" i="15"/>
  <c r="K1755" i="15" s="1"/>
  <c r="I1755" i="15"/>
  <c r="J1755" i="15" s="1"/>
  <c r="M1755" i="15"/>
  <c r="G1756" i="15"/>
  <c r="H1756" i="15"/>
  <c r="K1756" i="15" s="1"/>
  <c r="I1756" i="15"/>
  <c r="M1756" i="15"/>
  <c r="G1757" i="15"/>
  <c r="H1757" i="15" s="1"/>
  <c r="K1757" i="15" s="1"/>
  <c r="I1757" i="15"/>
  <c r="M1757" i="15"/>
  <c r="G1758" i="15"/>
  <c r="H1758" i="15"/>
  <c r="K1758" i="15" s="1"/>
  <c r="I1758" i="15"/>
  <c r="J1758" i="15"/>
  <c r="L1758" i="15" s="1"/>
  <c r="M1758" i="15"/>
  <c r="G1759" i="15"/>
  <c r="H1759" i="15"/>
  <c r="K1759" i="15" s="1"/>
  <c r="I1759" i="15"/>
  <c r="J1759" i="15" s="1"/>
  <c r="M1759" i="15"/>
  <c r="G1760" i="15"/>
  <c r="H1760" i="15"/>
  <c r="K1760" i="15" s="1"/>
  <c r="I1760" i="15"/>
  <c r="J1760" i="15" s="1"/>
  <c r="M1760" i="15"/>
  <c r="G1761" i="15"/>
  <c r="H1761" i="15" s="1"/>
  <c r="K1761" i="15" s="1"/>
  <c r="I1761" i="15"/>
  <c r="J1761" i="15" s="1"/>
  <c r="M1761" i="15"/>
  <c r="G1762" i="15"/>
  <c r="H1762" i="15" s="1"/>
  <c r="K1762" i="15" s="1"/>
  <c r="I1762" i="15"/>
  <c r="J1762" i="15" s="1"/>
  <c r="M1762" i="15"/>
  <c r="G1763" i="15"/>
  <c r="H1763" i="15" s="1"/>
  <c r="K1763" i="15" s="1"/>
  <c r="I1763" i="15"/>
  <c r="J1763" i="15" s="1"/>
  <c r="M1763" i="15"/>
  <c r="G1764" i="15"/>
  <c r="H1764" i="15" s="1"/>
  <c r="K1764" i="15" s="1"/>
  <c r="I1764" i="15"/>
  <c r="J1764" i="15"/>
  <c r="M1764" i="15"/>
  <c r="G1765" i="15"/>
  <c r="H1765" i="15" s="1"/>
  <c r="I1765" i="15"/>
  <c r="J1765" i="15"/>
  <c r="M1765" i="15"/>
  <c r="G1766" i="15"/>
  <c r="H1766" i="15"/>
  <c r="K1766" i="15" s="1"/>
  <c r="I1766" i="15"/>
  <c r="J1766" i="15" s="1"/>
  <c r="M1766" i="15"/>
  <c r="G1767" i="15"/>
  <c r="H1767" i="15"/>
  <c r="K1767" i="15" s="1"/>
  <c r="I1767" i="15"/>
  <c r="J1767" i="15" s="1"/>
  <c r="M1767" i="15"/>
  <c r="G1768" i="15"/>
  <c r="H1768" i="15"/>
  <c r="K1768" i="15" s="1"/>
  <c r="I1768" i="15"/>
  <c r="J1768" i="15" s="1"/>
  <c r="M1768" i="15"/>
  <c r="G1769" i="15"/>
  <c r="H1769" i="15" s="1"/>
  <c r="K1769" i="15" s="1"/>
  <c r="I1769" i="15"/>
  <c r="J1769" i="15" s="1"/>
  <c r="M1769" i="15"/>
  <c r="G1770" i="15"/>
  <c r="H1770" i="15" s="1"/>
  <c r="K1770" i="15" s="1"/>
  <c r="I1770" i="15"/>
  <c r="J1770" i="15" s="1"/>
  <c r="M1770" i="15"/>
  <c r="G1771" i="15"/>
  <c r="H1771" i="15"/>
  <c r="K1771" i="15" s="1"/>
  <c r="I1771" i="15"/>
  <c r="J1771" i="15" s="1"/>
  <c r="M1771" i="15"/>
  <c r="G1772" i="15"/>
  <c r="H1772" i="15"/>
  <c r="K1772" i="15" s="1"/>
  <c r="I1772" i="15"/>
  <c r="M1772" i="15"/>
  <c r="G1773" i="15"/>
  <c r="H1773" i="15" s="1"/>
  <c r="K1773" i="15" s="1"/>
  <c r="I1773" i="15"/>
  <c r="M1773" i="15"/>
  <c r="G1774" i="15"/>
  <c r="H1774" i="15" s="1"/>
  <c r="K1774" i="15" s="1"/>
  <c r="I1774" i="15"/>
  <c r="J1774" i="15"/>
  <c r="L1774" i="15" s="1"/>
  <c r="M1774" i="15"/>
  <c r="G1775" i="15"/>
  <c r="H1775" i="15"/>
  <c r="K1775" i="15" s="1"/>
  <c r="I1775" i="15"/>
  <c r="J1775" i="15" s="1"/>
  <c r="M1775" i="15"/>
  <c r="G1776" i="15"/>
  <c r="H1776" i="15"/>
  <c r="K1776" i="15" s="1"/>
  <c r="I1776" i="15"/>
  <c r="J1776" i="15" s="1"/>
  <c r="M1776" i="15"/>
  <c r="G1777" i="15"/>
  <c r="H1777" i="15" s="1"/>
  <c r="K1777" i="15" s="1"/>
  <c r="I1777" i="15"/>
  <c r="J1777" i="15" s="1"/>
  <c r="M1777" i="15"/>
  <c r="G1778" i="15"/>
  <c r="H1778" i="15"/>
  <c r="K1778" i="15" s="1"/>
  <c r="I1778" i="15"/>
  <c r="J1778" i="15" s="1"/>
  <c r="M1778" i="15"/>
  <c r="G1779" i="15"/>
  <c r="H1779" i="15" s="1"/>
  <c r="K1779" i="15" s="1"/>
  <c r="I1779" i="15"/>
  <c r="J1779" i="15" s="1"/>
  <c r="M1779" i="15"/>
  <c r="G1780" i="15"/>
  <c r="H1780" i="15" s="1"/>
  <c r="K1780" i="15" s="1"/>
  <c r="I1780" i="15"/>
  <c r="J1780" i="15" s="1"/>
  <c r="M1780" i="15"/>
  <c r="G1781" i="15"/>
  <c r="H1781" i="15" s="1"/>
  <c r="K1781" i="15" s="1"/>
  <c r="I1781" i="15"/>
  <c r="J1781" i="15" s="1"/>
  <c r="M1781" i="15"/>
  <c r="G1782" i="15"/>
  <c r="H1782" i="15" s="1"/>
  <c r="K1782" i="15" s="1"/>
  <c r="I1782" i="15"/>
  <c r="J1782" i="15"/>
  <c r="M1782" i="15"/>
  <c r="G1783" i="15"/>
  <c r="H1783" i="15" s="1"/>
  <c r="K1783" i="15" s="1"/>
  <c r="I1783" i="15"/>
  <c r="J1783" i="15" s="1"/>
  <c r="M1783" i="15"/>
  <c r="G1784" i="15"/>
  <c r="H1784" i="15" s="1"/>
  <c r="K1784" i="15" s="1"/>
  <c r="I1784" i="15"/>
  <c r="J1784" i="15" s="1"/>
  <c r="M1784" i="15"/>
  <c r="G1785" i="15"/>
  <c r="H1785" i="15" s="1"/>
  <c r="K1785" i="15" s="1"/>
  <c r="I1785" i="15"/>
  <c r="J1785" i="15" s="1"/>
  <c r="M1785" i="15"/>
  <c r="G1786" i="15"/>
  <c r="H1786" i="15" s="1"/>
  <c r="K1786" i="15" s="1"/>
  <c r="I1786" i="15"/>
  <c r="M1786" i="15"/>
  <c r="G1787" i="15"/>
  <c r="H1787" i="15" s="1"/>
  <c r="K1787" i="15" s="1"/>
  <c r="I1787" i="15"/>
  <c r="J1787" i="15" s="1"/>
  <c r="M1787" i="15"/>
  <c r="G1788" i="15"/>
  <c r="H1788" i="15" s="1"/>
  <c r="K1788" i="15" s="1"/>
  <c r="I1788" i="15"/>
  <c r="J1788" i="15" s="1"/>
  <c r="M1788" i="15"/>
  <c r="G1789" i="15"/>
  <c r="H1789" i="15" s="1"/>
  <c r="K1789" i="15" s="1"/>
  <c r="I1789" i="15"/>
  <c r="J1789" i="15" s="1"/>
  <c r="M1789" i="15"/>
  <c r="G1790" i="15"/>
  <c r="H1790" i="15"/>
  <c r="K1790" i="15" s="1"/>
  <c r="I1790" i="15"/>
  <c r="J1790" i="15"/>
  <c r="M1790" i="15"/>
  <c r="G1791" i="15"/>
  <c r="H1791" i="15" s="1"/>
  <c r="K1791" i="15" s="1"/>
  <c r="I1791" i="15"/>
  <c r="J1791" i="15" s="1"/>
  <c r="M1791" i="15"/>
  <c r="G1792" i="15"/>
  <c r="H1792" i="15" s="1"/>
  <c r="K1792" i="15" s="1"/>
  <c r="I1792" i="15"/>
  <c r="J1792" i="15"/>
  <c r="M1792" i="15"/>
  <c r="G1793" i="15"/>
  <c r="H1793" i="15" s="1"/>
  <c r="K1793" i="15" s="1"/>
  <c r="I1793" i="15"/>
  <c r="J1793" i="15"/>
  <c r="M1793" i="15"/>
  <c r="G1794" i="15"/>
  <c r="H1794" i="15" s="1"/>
  <c r="K1794" i="15" s="1"/>
  <c r="I1794" i="15"/>
  <c r="J1794" i="15" s="1"/>
  <c r="L1794" i="15" s="1"/>
  <c r="M1794" i="15"/>
  <c r="G1795" i="15"/>
  <c r="H1795" i="15" s="1"/>
  <c r="K1795" i="15" s="1"/>
  <c r="I1795" i="15"/>
  <c r="J1795" i="15" s="1"/>
  <c r="M1795" i="15"/>
  <c r="G1796" i="15"/>
  <c r="H1796" i="15" s="1"/>
  <c r="K1796" i="15" s="1"/>
  <c r="I1796" i="15"/>
  <c r="M1796" i="15"/>
  <c r="G1797" i="15"/>
  <c r="H1797" i="15" s="1"/>
  <c r="I1797" i="15"/>
  <c r="M1797" i="15"/>
  <c r="G1798" i="15"/>
  <c r="H1798" i="15"/>
  <c r="K1798" i="15" s="1"/>
  <c r="I1798" i="15"/>
  <c r="J1798" i="15" s="1"/>
  <c r="L1798" i="15" s="1"/>
  <c r="M1798" i="15"/>
  <c r="G1799" i="15"/>
  <c r="H1799" i="15"/>
  <c r="K1799" i="15" s="1"/>
  <c r="I1799" i="15"/>
  <c r="J1799" i="15" s="1"/>
  <c r="M1799" i="15"/>
  <c r="G1800" i="15"/>
  <c r="H1800" i="15"/>
  <c r="K1800" i="15" s="1"/>
  <c r="I1800" i="15"/>
  <c r="J1800" i="15" s="1"/>
  <c r="M1800" i="15"/>
  <c r="G1801" i="15"/>
  <c r="H1801" i="15" s="1"/>
  <c r="K1801" i="15" s="1"/>
  <c r="I1801" i="15"/>
  <c r="J1801" i="15" s="1"/>
  <c r="M1801" i="15"/>
  <c r="G1802" i="15"/>
  <c r="H1802" i="15" s="1"/>
  <c r="K1802" i="15" s="1"/>
  <c r="I1802" i="15"/>
  <c r="M1802" i="15"/>
  <c r="G1803" i="15"/>
  <c r="H1803" i="15" s="1"/>
  <c r="K1803" i="15" s="1"/>
  <c r="I1803" i="15"/>
  <c r="J1803" i="15" s="1"/>
  <c r="M1803" i="15"/>
  <c r="G1804" i="15"/>
  <c r="H1804" i="15" s="1"/>
  <c r="K1804" i="15" s="1"/>
  <c r="I1804" i="15"/>
  <c r="J1804" i="15" s="1"/>
  <c r="M1804" i="15"/>
  <c r="G1805" i="15"/>
  <c r="H1805" i="15" s="1"/>
  <c r="K1805" i="15" s="1"/>
  <c r="I1805" i="15"/>
  <c r="J1805" i="15" s="1"/>
  <c r="M1805" i="15"/>
  <c r="G1806" i="15"/>
  <c r="H1806" i="15"/>
  <c r="K1806" i="15" s="1"/>
  <c r="I1806" i="15"/>
  <c r="J1806" i="15"/>
  <c r="M1806" i="15"/>
  <c r="G1807" i="15"/>
  <c r="H1807" i="15" s="1"/>
  <c r="K1807" i="15" s="1"/>
  <c r="I1807" i="15"/>
  <c r="J1807" i="15" s="1"/>
  <c r="M1807" i="15"/>
  <c r="G1808" i="15"/>
  <c r="H1808" i="15" s="1"/>
  <c r="K1808" i="15" s="1"/>
  <c r="I1808" i="15"/>
  <c r="J1808" i="15" s="1"/>
  <c r="M1808" i="15"/>
  <c r="G1809" i="15"/>
  <c r="H1809" i="15" s="1"/>
  <c r="I1809" i="15"/>
  <c r="J1809" i="15" s="1"/>
  <c r="M1809" i="15"/>
  <c r="G1810" i="15"/>
  <c r="H1810" i="15" s="1"/>
  <c r="K1810" i="15" s="1"/>
  <c r="I1810" i="15"/>
  <c r="J1810" i="15" s="1"/>
  <c r="M1810" i="15"/>
  <c r="G1811" i="15"/>
  <c r="H1811" i="15" s="1"/>
  <c r="K1811" i="15" s="1"/>
  <c r="I1811" i="15"/>
  <c r="J1811" i="15" s="1"/>
  <c r="M1811" i="15"/>
  <c r="G1812" i="15"/>
  <c r="H1812" i="15" s="1"/>
  <c r="K1812" i="15" s="1"/>
  <c r="I1812" i="15"/>
  <c r="M1812" i="15"/>
  <c r="G1813" i="15"/>
  <c r="H1813" i="15" s="1"/>
  <c r="K1813" i="15" s="1"/>
  <c r="I1813" i="15"/>
  <c r="M1813" i="15"/>
  <c r="G1814" i="15"/>
  <c r="H1814" i="15" s="1"/>
  <c r="K1814" i="15" s="1"/>
  <c r="I1814" i="15"/>
  <c r="J1814" i="15" s="1"/>
  <c r="L1814" i="15" s="1"/>
  <c r="M1814" i="15"/>
  <c r="G1815" i="15"/>
  <c r="H1815" i="15" s="1"/>
  <c r="K1815" i="15" s="1"/>
  <c r="I1815" i="15"/>
  <c r="J1815" i="15" s="1"/>
  <c r="M1815" i="15"/>
  <c r="G1816" i="15"/>
  <c r="H1816" i="15" s="1"/>
  <c r="K1816" i="15" s="1"/>
  <c r="I1816" i="15"/>
  <c r="J1816" i="15"/>
  <c r="M1816" i="15"/>
  <c r="G1817" i="15"/>
  <c r="H1817" i="15" s="1"/>
  <c r="K1817" i="15" s="1"/>
  <c r="I1817" i="15"/>
  <c r="J1817" i="15"/>
  <c r="M1817" i="15"/>
  <c r="G1818" i="15"/>
  <c r="H1818" i="15" s="1"/>
  <c r="K1818" i="15" s="1"/>
  <c r="I1818" i="15"/>
  <c r="J1818" i="15" s="1"/>
  <c r="M1818" i="15"/>
  <c r="G1819" i="15"/>
  <c r="H1819" i="15" s="1"/>
  <c r="K1819" i="15" s="1"/>
  <c r="I1819" i="15"/>
  <c r="J1819" i="15" s="1"/>
  <c r="M1819" i="15"/>
  <c r="G1820" i="15"/>
  <c r="H1820" i="15" s="1"/>
  <c r="K1820" i="15" s="1"/>
  <c r="I1820" i="15"/>
  <c r="M1820" i="15"/>
  <c r="G1821" i="15"/>
  <c r="H1821" i="15" s="1"/>
  <c r="I1821" i="15"/>
  <c r="M1821" i="15"/>
  <c r="G1822" i="15"/>
  <c r="H1822" i="15" s="1"/>
  <c r="K1822" i="15" s="1"/>
  <c r="I1822" i="15"/>
  <c r="J1822" i="15" s="1"/>
  <c r="M1822" i="15"/>
  <c r="G1823" i="15"/>
  <c r="H1823" i="15"/>
  <c r="K1823" i="15" s="1"/>
  <c r="I1823" i="15"/>
  <c r="J1823" i="15" s="1"/>
  <c r="M1823" i="15"/>
  <c r="G1824" i="15"/>
  <c r="H1824" i="15"/>
  <c r="K1824" i="15" s="1"/>
  <c r="I1824" i="15"/>
  <c r="J1824" i="15"/>
  <c r="M1824" i="15"/>
  <c r="G1825" i="15"/>
  <c r="H1825" i="15" s="1"/>
  <c r="K1825" i="15" s="1"/>
  <c r="I1825" i="15"/>
  <c r="J1825" i="15"/>
  <c r="M1825" i="15"/>
  <c r="G1826" i="15"/>
  <c r="H1826" i="15" s="1"/>
  <c r="K1826" i="15" s="1"/>
  <c r="I1826" i="15"/>
  <c r="J1826" i="15" s="1"/>
  <c r="L1826" i="15"/>
  <c r="M1826" i="15"/>
  <c r="G1827" i="15"/>
  <c r="H1827" i="15" s="1"/>
  <c r="K1827" i="15" s="1"/>
  <c r="I1827" i="15"/>
  <c r="J1827" i="15" s="1"/>
  <c r="M1827" i="15"/>
  <c r="G1828" i="15"/>
  <c r="H1828" i="15" s="1"/>
  <c r="K1828" i="15" s="1"/>
  <c r="I1828" i="15"/>
  <c r="M1828" i="15"/>
  <c r="G1829" i="15"/>
  <c r="H1829" i="15" s="1"/>
  <c r="K1829" i="15" s="1"/>
  <c r="I1829" i="15"/>
  <c r="M1829" i="15"/>
  <c r="G1830" i="15"/>
  <c r="H1830" i="15"/>
  <c r="K1830" i="15" s="1"/>
  <c r="I1830" i="15"/>
  <c r="J1830" i="15"/>
  <c r="L1830" i="15" s="1"/>
  <c r="M1830" i="15"/>
  <c r="G1831" i="15"/>
  <c r="H1831" i="15" s="1"/>
  <c r="K1831" i="15" s="1"/>
  <c r="I1831" i="15"/>
  <c r="J1831" i="15" s="1"/>
  <c r="M1831" i="15"/>
  <c r="G1832" i="15"/>
  <c r="H1832" i="15" s="1"/>
  <c r="K1832" i="15" s="1"/>
  <c r="I1832" i="15"/>
  <c r="J1832" i="15" s="1"/>
  <c r="M1832" i="15"/>
  <c r="G1833" i="15"/>
  <c r="H1833" i="15" s="1"/>
  <c r="K1833" i="15" s="1"/>
  <c r="I1833" i="15"/>
  <c r="J1833" i="15" s="1"/>
  <c r="M1833" i="15"/>
  <c r="G1834" i="15"/>
  <c r="H1834" i="15" s="1"/>
  <c r="K1834" i="15" s="1"/>
  <c r="I1834" i="15"/>
  <c r="J1834" i="15" s="1"/>
  <c r="M1834" i="15"/>
  <c r="G1835" i="15"/>
  <c r="H1835" i="15" s="1"/>
  <c r="K1835" i="15" s="1"/>
  <c r="I1835" i="15"/>
  <c r="J1835" i="15" s="1"/>
  <c r="M1835" i="15"/>
  <c r="G1836" i="15"/>
  <c r="H1836" i="15" s="1"/>
  <c r="K1836" i="15" s="1"/>
  <c r="I1836" i="15"/>
  <c r="M1836" i="15"/>
  <c r="G1837" i="15"/>
  <c r="H1837" i="15" s="1"/>
  <c r="K1837" i="15" s="1"/>
  <c r="I1837" i="15"/>
  <c r="M1837" i="15"/>
  <c r="G1838" i="15"/>
  <c r="H1838" i="15"/>
  <c r="K1838" i="15" s="1"/>
  <c r="I1838" i="15"/>
  <c r="J1838" i="15" s="1"/>
  <c r="M1838" i="15"/>
  <c r="G1839" i="15"/>
  <c r="H1839" i="15" s="1"/>
  <c r="K1839" i="15" s="1"/>
  <c r="I1839" i="15"/>
  <c r="J1839" i="15" s="1"/>
  <c r="M1839" i="15"/>
  <c r="G1840" i="15"/>
  <c r="H1840" i="15" s="1"/>
  <c r="K1840" i="15" s="1"/>
  <c r="I1840" i="15"/>
  <c r="J1840" i="15" s="1"/>
  <c r="M1840" i="15"/>
  <c r="G1841" i="15"/>
  <c r="H1841" i="15" s="1"/>
  <c r="K1841" i="15" s="1"/>
  <c r="I1841" i="15"/>
  <c r="J1841" i="15" s="1"/>
  <c r="M1841" i="15"/>
  <c r="G1842" i="15"/>
  <c r="H1842" i="15" s="1"/>
  <c r="K1842" i="15" s="1"/>
  <c r="I1842" i="15"/>
  <c r="M1842" i="15"/>
  <c r="G1843" i="15"/>
  <c r="H1843" i="15" s="1"/>
  <c r="K1843" i="15" s="1"/>
  <c r="I1843" i="15"/>
  <c r="J1843" i="15" s="1"/>
  <c r="M1843" i="15"/>
  <c r="G1844" i="15"/>
  <c r="H1844" i="15" s="1"/>
  <c r="K1844" i="15" s="1"/>
  <c r="I1844" i="15"/>
  <c r="M1844" i="15"/>
  <c r="G1845" i="15"/>
  <c r="H1845" i="15" s="1"/>
  <c r="K1845" i="15" s="1"/>
  <c r="I1845" i="15"/>
  <c r="M1845" i="15"/>
  <c r="G1846" i="15"/>
  <c r="H1846" i="15" s="1"/>
  <c r="K1846" i="15" s="1"/>
  <c r="I1846" i="15"/>
  <c r="J1846" i="15" s="1"/>
  <c r="L1846" i="15" s="1"/>
  <c r="M1846" i="15"/>
  <c r="G1847" i="15"/>
  <c r="H1847" i="15"/>
  <c r="K1847" i="15" s="1"/>
  <c r="I1847" i="15"/>
  <c r="J1847" i="15" s="1"/>
  <c r="M1847" i="15"/>
  <c r="G1848" i="15"/>
  <c r="H1848" i="15"/>
  <c r="K1848" i="15" s="1"/>
  <c r="I1848" i="15"/>
  <c r="J1848" i="15" s="1"/>
  <c r="M1848" i="15"/>
  <c r="G1849" i="15"/>
  <c r="H1849" i="15" s="1"/>
  <c r="K1849" i="15" s="1"/>
  <c r="I1849" i="15"/>
  <c r="J1849" i="15" s="1"/>
  <c r="M1849" i="15"/>
  <c r="G1850" i="15"/>
  <c r="H1850" i="15" s="1"/>
  <c r="K1850" i="15" s="1"/>
  <c r="I1850" i="15"/>
  <c r="J1850" i="15" s="1"/>
  <c r="M1850" i="15"/>
  <c r="G1851" i="15"/>
  <c r="H1851" i="15" s="1"/>
  <c r="K1851" i="15" s="1"/>
  <c r="I1851" i="15"/>
  <c r="J1851" i="15" s="1"/>
  <c r="M1851" i="15"/>
  <c r="G1852" i="15"/>
  <c r="H1852" i="15" s="1"/>
  <c r="K1852" i="15" s="1"/>
  <c r="I1852" i="15"/>
  <c r="M1852" i="15"/>
  <c r="G1853" i="15"/>
  <c r="H1853" i="15" s="1"/>
  <c r="K1853" i="15" s="1"/>
  <c r="I1853" i="15"/>
  <c r="M1853" i="15"/>
  <c r="G1854" i="15"/>
  <c r="H1854" i="15" s="1"/>
  <c r="I1854" i="15"/>
  <c r="M1854" i="15"/>
  <c r="G1855" i="15"/>
  <c r="H1855" i="15" s="1"/>
  <c r="K1855" i="15" s="1"/>
  <c r="I1855" i="15"/>
  <c r="J1855" i="15" s="1"/>
  <c r="M1855" i="15"/>
  <c r="G1856" i="15"/>
  <c r="H1856" i="15" s="1"/>
  <c r="K1856" i="15" s="1"/>
  <c r="I1856" i="15"/>
  <c r="J1856" i="15"/>
  <c r="M1856" i="15"/>
  <c r="G1857" i="15"/>
  <c r="H1857" i="15" s="1"/>
  <c r="K1857" i="15" s="1"/>
  <c r="I1857" i="15"/>
  <c r="J1857" i="15"/>
  <c r="M1857" i="15"/>
  <c r="G1858" i="15"/>
  <c r="H1858" i="15" s="1"/>
  <c r="K1858" i="15" s="1"/>
  <c r="I1858" i="15"/>
  <c r="J1858" i="15" s="1"/>
  <c r="L1858" i="15"/>
  <c r="M1858" i="15"/>
  <c r="G1859" i="15"/>
  <c r="H1859" i="15" s="1"/>
  <c r="K1859" i="15" s="1"/>
  <c r="I1859" i="15"/>
  <c r="J1859" i="15" s="1"/>
  <c r="M1859" i="15"/>
  <c r="G1860" i="15"/>
  <c r="H1860" i="15" s="1"/>
  <c r="K1860" i="15" s="1"/>
  <c r="I1860" i="15"/>
  <c r="M1860" i="15"/>
  <c r="G1861" i="15"/>
  <c r="H1861" i="15" s="1"/>
  <c r="I1861" i="15"/>
  <c r="M1861" i="15"/>
  <c r="G1862" i="15"/>
  <c r="H1862" i="15"/>
  <c r="K1862" i="15" s="1"/>
  <c r="I1862" i="15"/>
  <c r="J1862" i="15" s="1"/>
  <c r="L1862" i="15" s="1"/>
  <c r="M1862" i="15"/>
  <c r="G1863" i="15"/>
  <c r="H1863" i="15"/>
  <c r="K1863" i="15" s="1"/>
  <c r="I1863" i="15"/>
  <c r="J1863" i="15" s="1"/>
  <c r="M1863" i="15"/>
  <c r="G1864" i="15"/>
  <c r="H1864" i="15"/>
  <c r="K1864" i="15" s="1"/>
  <c r="I1864" i="15"/>
  <c r="J1864" i="15" s="1"/>
  <c r="M1864" i="15"/>
  <c r="G1865" i="15"/>
  <c r="H1865" i="15" s="1"/>
  <c r="K1865" i="15" s="1"/>
  <c r="I1865" i="15"/>
  <c r="J1865" i="15" s="1"/>
  <c r="M1865" i="15"/>
  <c r="G1866" i="15"/>
  <c r="H1866" i="15" s="1"/>
  <c r="K1866" i="15" s="1"/>
  <c r="I1866" i="15"/>
  <c r="J1866" i="15" s="1"/>
  <c r="M1866" i="15"/>
  <c r="G1867" i="15"/>
  <c r="H1867" i="15" s="1"/>
  <c r="K1867" i="15" s="1"/>
  <c r="I1867" i="15"/>
  <c r="J1867" i="15" s="1"/>
  <c r="M1867" i="15"/>
  <c r="G1868" i="15"/>
  <c r="H1868" i="15" s="1"/>
  <c r="K1868" i="15" s="1"/>
  <c r="I1868" i="15"/>
  <c r="M1868" i="15"/>
  <c r="G1869" i="15"/>
  <c r="H1869" i="15" s="1"/>
  <c r="I1869" i="15"/>
  <c r="M1869" i="15"/>
  <c r="G1870" i="15"/>
  <c r="H1870" i="15" s="1"/>
  <c r="K1870" i="15" s="1"/>
  <c r="I1870" i="15"/>
  <c r="J1870" i="15"/>
  <c r="M1870" i="15"/>
  <c r="G1871" i="15"/>
  <c r="H1871" i="15" s="1"/>
  <c r="K1871" i="15" s="1"/>
  <c r="I1871" i="15"/>
  <c r="J1871" i="15" s="1"/>
  <c r="M1871" i="15"/>
  <c r="G1872" i="15"/>
  <c r="H1872" i="15" s="1"/>
  <c r="K1872" i="15" s="1"/>
  <c r="I1872" i="15"/>
  <c r="J1872" i="15"/>
  <c r="M1872" i="15"/>
  <c r="G1873" i="15"/>
  <c r="H1873" i="15" s="1"/>
  <c r="K1873" i="15" s="1"/>
  <c r="I1873" i="15"/>
  <c r="J1873" i="15"/>
  <c r="M1873" i="15"/>
  <c r="G1874" i="15"/>
  <c r="H1874" i="15" s="1"/>
  <c r="K1874" i="15" s="1"/>
  <c r="I1874" i="15"/>
  <c r="J1874" i="15" s="1"/>
  <c r="L1874" i="15"/>
  <c r="M1874" i="15"/>
  <c r="G1875" i="15"/>
  <c r="H1875" i="15" s="1"/>
  <c r="K1875" i="15" s="1"/>
  <c r="I1875" i="15"/>
  <c r="J1875" i="15" s="1"/>
  <c r="M1875" i="15"/>
  <c r="G1876" i="15"/>
  <c r="H1876" i="15" s="1"/>
  <c r="K1876" i="15" s="1"/>
  <c r="I1876" i="15"/>
  <c r="M1876" i="15"/>
  <c r="G1877" i="15"/>
  <c r="H1877" i="15" s="1"/>
  <c r="K1877" i="15" s="1"/>
  <c r="I1877" i="15"/>
  <c r="M1877" i="15"/>
  <c r="G1878" i="15"/>
  <c r="H1878" i="15"/>
  <c r="K1878" i="15" s="1"/>
  <c r="I1878" i="15"/>
  <c r="J1878" i="15" s="1"/>
  <c r="L1878" i="15" s="1"/>
  <c r="M1878" i="15"/>
  <c r="G1879" i="15"/>
  <c r="H1879" i="15"/>
  <c r="K1879" i="15" s="1"/>
  <c r="I1879" i="15"/>
  <c r="J1879" i="15" s="1"/>
  <c r="M1879" i="15"/>
  <c r="G1880" i="15"/>
  <c r="H1880" i="15"/>
  <c r="K1880" i="15" s="1"/>
  <c r="I1880" i="15"/>
  <c r="J1880" i="15"/>
  <c r="M1880" i="15"/>
  <c r="G1881" i="15"/>
  <c r="H1881" i="15" s="1"/>
  <c r="K1881" i="15" s="1"/>
  <c r="I1881" i="15"/>
  <c r="J1881" i="15"/>
  <c r="M1881" i="15"/>
  <c r="G1882" i="15"/>
  <c r="H1882" i="15" s="1"/>
  <c r="K1882" i="15" s="1"/>
  <c r="I1882" i="15"/>
  <c r="J1882" i="15" s="1"/>
  <c r="M1882" i="15"/>
  <c r="G1883" i="15"/>
  <c r="H1883" i="15" s="1"/>
  <c r="K1883" i="15" s="1"/>
  <c r="I1883" i="15"/>
  <c r="J1883" i="15" s="1"/>
  <c r="M1883" i="15"/>
  <c r="G1884" i="15"/>
  <c r="H1884" i="15" s="1"/>
  <c r="K1884" i="15" s="1"/>
  <c r="I1884" i="15"/>
  <c r="M1884" i="15"/>
  <c r="G1885" i="15"/>
  <c r="H1885" i="15" s="1"/>
  <c r="K1885" i="15" s="1"/>
  <c r="I1885" i="15"/>
  <c r="M1885" i="15"/>
  <c r="G1886" i="15"/>
  <c r="H1886" i="15" s="1"/>
  <c r="K1886" i="15" s="1"/>
  <c r="I1886" i="15"/>
  <c r="J1886" i="15" s="1"/>
  <c r="M1886" i="15"/>
  <c r="G1887" i="15"/>
  <c r="H1887" i="15"/>
  <c r="K1887" i="15" s="1"/>
  <c r="I1887" i="15"/>
  <c r="J1887" i="15" s="1"/>
  <c r="M1887" i="15"/>
  <c r="G1888" i="15"/>
  <c r="H1888" i="15"/>
  <c r="K1888" i="15" s="1"/>
  <c r="I1888" i="15"/>
  <c r="J1888" i="15" s="1"/>
  <c r="M1888" i="15"/>
  <c r="G1889" i="15"/>
  <c r="H1889" i="15" s="1"/>
  <c r="K1889" i="15" s="1"/>
  <c r="I1889" i="15"/>
  <c r="J1889" i="15" s="1"/>
  <c r="M1889" i="15"/>
  <c r="G1890" i="15"/>
  <c r="H1890" i="15" s="1"/>
  <c r="K1890" i="15" s="1"/>
  <c r="I1890" i="15"/>
  <c r="J1890" i="15" s="1"/>
  <c r="M1890" i="15"/>
  <c r="G1891" i="15"/>
  <c r="H1891" i="15" s="1"/>
  <c r="K1891" i="15" s="1"/>
  <c r="I1891" i="15"/>
  <c r="J1891" i="15" s="1"/>
  <c r="M1891" i="15"/>
  <c r="G1892" i="15"/>
  <c r="H1892" i="15" s="1"/>
  <c r="K1892" i="15" s="1"/>
  <c r="I1892" i="15"/>
  <c r="M1892" i="15"/>
  <c r="G1893" i="15"/>
  <c r="H1893" i="15" s="1"/>
  <c r="K1893" i="15" s="1"/>
  <c r="I1893" i="15"/>
  <c r="M1893" i="15"/>
  <c r="G1894" i="15"/>
  <c r="H1894" i="15" s="1"/>
  <c r="K1894" i="15" s="1"/>
  <c r="I1894" i="15"/>
  <c r="J1894" i="15"/>
  <c r="L1894" i="15" s="1"/>
  <c r="M1894" i="15"/>
  <c r="G1895" i="15"/>
  <c r="H1895" i="15" s="1"/>
  <c r="K1895" i="15" s="1"/>
  <c r="I1895" i="15"/>
  <c r="J1895" i="15" s="1"/>
  <c r="M1895" i="15"/>
  <c r="G1896" i="15"/>
  <c r="H1896" i="15" s="1"/>
  <c r="K1896" i="15" s="1"/>
  <c r="I1896" i="15"/>
  <c r="J1896" i="15" s="1"/>
  <c r="M1896" i="15"/>
  <c r="G1897" i="15"/>
  <c r="H1897" i="15" s="1"/>
  <c r="K1897" i="15" s="1"/>
  <c r="I1897" i="15"/>
  <c r="J1897" i="15" s="1"/>
  <c r="M1897" i="15"/>
  <c r="G1898" i="15"/>
  <c r="H1898" i="15" s="1"/>
  <c r="K1898" i="15" s="1"/>
  <c r="I1898" i="15"/>
  <c r="J1898" i="15" s="1"/>
  <c r="M1898" i="15"/>
  <c r="G1899" i="15"/>
  <c r="H1899" i="15" s="1"/>
  <c r="K1899" i="15" s="1"/>
  <c r="I1899" i="15"/>
  <c r="J1899" i="15" s="1"/>
  <c r="M1899" i="15"/>
  <c r="G1900" i="15"/>
  <c r="H1900" i="15" s="1"/>
  <c r="K1900" i="15" s="1"/>
  <c r="I1900" i="15"/>
  <c r="M1900" i="15"/>
  <c r="G1901" i="15"/>
  <c r="H1901" i="15" s="1"/>
  <c r="K1901" i="15" s="1"/>
  <c r="I1901" i="15"/>
  <c r="M1901" i="15"/>
  <c r="G1902" i="15"/>
  <c r="H1902" i="15"/>
  <c r="K1902" i="15" s="1"/>
  <c r="I1902" i="15"/>
  <c r="J1902" i="15" s="1"/>
  <c r="M1902" i="15"/>
  <c r="G1903" i="15"/>
  <c r="H1903" i="15" s="1"/>
  <c r="K1903" i="15" s="1"/>
  <c r="I1903" i="15"/>
  <c r="J1903" i="15" s="1"/>
  <c r="M1903" i="15"/>
  <c r="G1904" i="15"/>
  <c r="H1904" i="15" s="1"/>
  <c r="K1904" i="15" s="1"/>
  <c r="I1904" i="15"/>
  <c r="J1904" i="15" s="1"/>
  <c r="M1904" i="15"/>
  <c r="G1905" i="15"/>
  <c r="H1905" i="15" s="1"/>
  <c r="K1905" i="15" s="1"/>
  <c r="I1905" i="15"/>
  <c r="J1905" i="15" s="1"/>
  <c r="M1905" i="15"/>
  <c r="G1906" i="15"/>
  <c r="H1906" i="15" s="1"/>
  <c r="K1906" i="15" s="1"/>
  <c r="I1906" i="15"/>
  <c r="J1906" i="15" s="1"/>
  <c r="M1906" i="15"/>
  <c r="G1907" i="15"/>
  <c r="H1907" i="15" s="1"/>
  <c r="K1907" i="15" s="1"/>
  <c r="I1907" i="15"/>
  <c r="J1907" i="15" s="1"/>
  <c r="M1907" i="15"/>
  <c r="G1908" i="15"/>
  <c r="H1908" i="15" s="1"/>
  <c r="K1908" i="15" s="1"/>
  <c r="I1908" i="15"/>
  <c r="M1908" i="15"/>
  <c r="G1909" i="15"/>
  <c r="H1909" i="15" s="1"/>
  <c r="I1909" i="15"/>
  <c r="M1909" i="15"/>
  <c r="G1910" i="15"/>
  <c r="H1910" i="15" s="1"/>
  <c r="K1910" i="15" s="1"/>
  <c r="I1910" i="15"/>
  <c r="J1910" i="15" s="1"/>
  <c r="L1910" i="15" s="1"/>
  <c r="M1910" i="15"/>
  <c r="G1911" i="15"/>
  <c r="H1911" i="15"/>
  <c r="K1911" i="15" s="1"/>
  <c r="I1911" i="15"/>
  <c r="J1911" i="15" s="1"/>
  <c r="M1911" i="15"/>
  <c r="G1912" i="15"/>
  <c r="H1912" i="15"/>
  <c r="K1912" i="15" s="1"/>
  <c r="I1912" i="15"/>
  <c r="J1912" i="15" s="1"/>
  <c r="M1912" i="15"/>
  <c r="G1913" i="15"/>
  <c r="H1913" i="15" s="1"/>
  <c r="K1913" i="15" s="1"/>
  <c r="I1913" i="15"/>
  <c r="J1913" i="15" s="1"/>
  <c r="M1913" i="15"/>
  <c r="G1914" i="15"/>
  <c r="H1914" i="15" s="1"/>
  <c r="K1914" i="15" s="1"/>
  <c r="I1914" i="15"/>
  <c r="J1914" i="15" s="1"/>
  <c r="M1914" i="15"/>
  <c r="G1915" i="15"/>
  <c r="H1915" i="15" s="1"/>
  <c r="K1915" i="15" s="1"/>
  <c r="I1915" i="15"/>
  <c r="J1915" i="15" s="1"/>
  <c r="M1915" i="15"/>
  <c r="G1916" i="15"/>
  <c r="H1916" i="15" s="1"/>
  <c r="K1916" i="15" s="1"/>
  <c r="I1916" i="15"/>
  <c r="M1916" i="15"/>
  <c r="G1917" i="15"/>
  <c r="H1917" i="15" s="1"/>
  <c r="K1917" i="15" s="1"/>
  <c r="I1917" i="15"/>
  <c r="M1917" i="15"/>
  <c r="G1918" i="15"/>
  <c r="H1918" i="15" s="1"/>
  <c r="K1918" i="15" s="1"/>
  <c r="I1918" i="15"/>
  <c r="J1918" i="15" s="1"/>
  <c r="M1918" i="15"/>
  <c r="G1919" i="15"/>
  <c r="H1919" i="15" s="1"/>
  <c r="K1919" i="15" s="1"/>
  <c r="I1919" i="15"/>
  <c r="J1919" i="15" s="1"/>
  <c r="M1919" i="15"/>
  <c r="G1920" i="15"/>
  <c r="H1920" i="15" s="1"/>
  <c r="K1920" i="15" s="1"/>
  <c r="I1920" i="15"/>
  <c r="J1920" i="15"/>
  <c r="M1920" i="15"/>
  <c r="G1921" i="15"/>
  <c r="H1921" i="15" s="1"/>
  <c r="K1921" i="15" s="1"/>
  <c r="I1921" i="15"/>
  <c r="J1921" i="15"/>
  <c r="M1921" i="15"/>
  <c r="G1922" i="15"/>
  <c r="H1922" i="15" s="1"/>
  <c r="K1922" i="15" s="1"/>
  <c r="I1922" i="15"/>
  <c r="J1922" i="15" s="1"/>
  <c r="L1922" i="15"/>
  <c r="M1922" i="15"/>
  <c r="G1923" i="15"/>
  <c r="H1923" i="15" s="1"/>
  <c r="K1923" i="15" s="1"/>
  <c r="I1923" i="15"/>
  <c r="J1923" i="15" s="1"/>
  <c r="M1923" i="15"/>
  <c r="G1924" i="15"/>
  <c r="H1924" i="15" s="1"/>
  <c r="K1924" i="15" s="1"/>
  <c r="I1924" i="15"/>
  <c r="M1924" i="15"/>
  <c r="G1925" i="15"/>
  <c r="H1925" i="15" s="1"/>
  <c r="K1925" i="15" s="1"/>
  <c r="I1925" i="15"/>
  <c r="M1925" i="15"/>
  <c r="G1926" i="15"/>
  <c r="H1926" i="15"/>
  <c r="K1926" i="15" s="1"/>
  <c r="I1926" i="15"/>
  <c r="J1926" i="15" s="1"/>
  <c r="L1926" i="15" s="1"/>
  <c r="M1926" i="15"/>
  <c r="G1927" i="15"/>
  <c r="H1927" i="15" s="1"/>
  <c r="K1927" i="15" s="1"/>
  <c r="I1927" i="15"/>
  <c r="J1927" i="15" s="1"/>
  <c r="M1927" i="15"/>
  <c r="G1928" i="15"/>
  <c r="H1928" i="15" s="1"/>
  <c r="K1928" i="15" s="1"/>
  <c r="I1928" i="15"/>
  <c r="J1928" i="15" s="1"/>
  <c r="M1928" i="15"/>
  <c r="G1929" i="15"/>
  <c r="H1929" i="15" s="1"/>
  <c r="K1929" i="15" s="1"/>
  <c r="I1929" i="15"/>
  <c r="J1929" i="15" s="1"/>
  <c r="M1929" i="15"/>
  <c r="G1930" i="15"/>
  <c r="H1930" i="15" s="1"/>
  <c r="K1930" i="15" s="1"/>
  <c r="I1930" i="15"/>
  <c r="J1930" i="15" s="1"/>
  <c r="M1930" i="15"/>
  <c r="G1931" i="15"/>
  <c r="H1931" i="15" s="1"/>
  <c r="K1931" i="15" s="1"/>
  <c r="I1931" i="15"/>
  <c r="J1931" i="15" s="1"/>
  <c r="M1931" i="15"/>
  <c r="G1932" i="15"/>
  <c r="H1932" i="15" s="1"/>
  <c r="K1932" i="15" s="1"/>
  <c r="I1932" i="15"/>
  <c r="M1932" i="15"/>
  <c r="G1933" i="15"/>
  <c r="H1933" i="15" s="1"/>
  <c r="I1933" i="15"/>
  <c r="M1933" i="15"/>
  <c r="G1934" i="15"/>
  <c r="H1934" i="15" s="1"/>
  <c r="K1934" i="15" s="1"/>
  <c r="I1934" i="15"/>
  <c r="J1934" i="15"/>
  <c r="M1934" i="15"/>
  <c r="G1935" i="15"/>
  <c r="H1935" i="15" s="1"/>
  <c r="K1935" i="15" s="1"/>
  <c r="I1935" i="15"/>
  <c r="J1935" i="15" s="1"/>
  <c r="M1935" i="15"/>
  <c r="G1936" i="15"/>
  <c r="H1936" i="15" s="1"/>
  <c r="K1936" i="15" s="1"/>
  <c r="I1936" i="15"/>
  <c r="J1936" i="15" s="1"/>
  <c r="M1936" i="15"/>
  <c r="G1937" i="15"/>
  <c r="H1937" i="15" s="1"/>
  <c r="K1937" i="15" s="1"/>
  <c r="I1937" i="15"/>
  <c r="J1937" i="15" s="1"/>
  <c r="M1937" i="15"/>
  <c r="G1938" i="15"/>
  <c r="H1938" i="15" s="1"/>
  <c r="K1938" i="15" s="1"/>
  <c r="I1938" i="15"/>
  <c r="J1938" i="15" s="1"/>
  <c r="M1938" i="15"/>
  <c r="G1939" i="15"/>
  <c r="H1939" i="15" s="1"/>
  <c r="K1939" i="15" s="1"/>
  <c r="I1939" i="15"/>
  <c r="J1939" i="15" s="1"/>
  <c r="M1939" i="15"/>
  <c r="G1940" i="15"/>
  <c r="H1940" i="15" s="1"/>
  <c r="K1940" i="15" s="1"/>
  <c r="I1940" i="15"/>
  <c r="M1940" i="15"/>
  <c r="G1941" i="15"/>
  <c r="H1941" i="15" s="1"/>
  <c r="K1941" i="15" s="1"/>
  <c r="I1941" i="15"/>
  <c r="M1941" i="15"/>
  <c r="G1942" i="15"/>
  <c r="H1942" i="15" s="1"/>
  <c r="K1942" i="15" s="1"/>
  <c r="I1942" i="15"/>
  <c r="J1942" i="15" s="1"/>
  <c r="L1942" i="15" s="1"/>
  <c r="M1942" i="15"/>
  <c r="G1943" i="15"/>
  <c r="H1943" i="15" s="1"/>
  <c r="K1943" i="15" s="1"/>
  <c r="I1943" i="15"/>
  <c r="J1943" i="15" s="1"/>
  <c r="M1943" i="15"/>
  <c r="G1944" i="15"/>
  <c r="H1944" i="15" s="1"/>
  <c r="K1944" i="15" s="1"/>
  <c r="I1944" i="15"/>
  <c r="J1944" i="15"/>
  <c r="M1944" i="15"/>
  <c r="G1945" i="15"/>
  <c r="H1945" i="15" s="1"/>
  <c r="K1945" i="15" s="1"/>
  <c r="I1945" i="15"/>
  <c r="J1945" i="15"/>
  <c r="M1945" i="15"/>
  <c r="G1946" i="15"/>
  <c r="I1946" i="15"/>
  <c r="J1946" i="15" s="1"/>
  <c r="M1946" i="15"/>
  <c r="G1947" i="15"/>
  <c r="H1947" i="15" s="1"/>
  <c r="K1947" i="15" s="1"/>
  <c r="I1947" i="15"/>
  <c r="J1947" i="15" s="1"/>
  <c r="M1947" i="15"/>
  <c r="G1948" i="15"/>
  <c r="H1948" i="15" s="1"/>
  <c r="K1948" i="15" s="1"/>
  <c r="I1948" i="15"/>
  <c r="M1948" i="15"/>
  <c r="G1949" i="15"/>
  <c r="H1949" i="15" s="1"/>
  <c r="K1949" i="15" s="1"/>
  <c r="I1949" i="15"/>
  <c r="M1949" i="15"/>
  <c r="G1950" i="15"/>
  <c r="H1950" i="15" s="1"/>
  <c r="K1950" i="15" s="1"/>
  <c r="I1950" i="15"/>
  <c r="M1950" i="15"/>
  <c r="G1951" i="15"/>
  <c r="H1951" i="15"/>
  <c r="K1951" i="15" s="1"/>
  <c r="I1951" i="15"/>
  <c r="J1951" i="15" s="1"/>
  <c r="M1951" i="15"/>
  <c r="G1952" i="15"/>
  <c r="H1952" i="15"/>
  <c r="K1952" i="15" s="1"/>
  <c r="I1952" i="15"/>
  <c r="J1952" i="15" s="1"/>
  <c r="M1952" i="15"/>
  <c r="G1953" i="15"/>
  <c r="H1953" i="15" s="1"/>
  <c r="K1953" i="15" s="1"/>
  <c r="I1953" i="15"/>
  <c r="J1953" i="15" s="1"/>
  <c r="M1953" i="15"/>
  <c r="G1954" i="15"/>
  <c r="H1954" i="15" s="1"/>
  <c r="K1954" i="15" s="1"/>
  <c r="I1954" i="15"/>
  <c r="J1954" i="15" s="1"/>
  <c r="M1954" i="15"/>
  <c r="G1955" i="15"/>
  <c r="H1955" i="15" s="1"/>
  <c r="K1955" i="15" s="1"/>
  <c r="I1955" i="15"/>
  <c r="M1955" i="15"/>
  <c r="G1956" i="15"/>
  <c r="H1956" i="15" s="1"/>
  <c r="K1956" i="15" s="1"/>
  <c r="I1956" i="15"/>
  <c r="J1956" i="15" s="1"/>
  <c r="M1956" i="15"/>
  <c r="G1957" i="15"/>
  <c r="H1957" i="15" s="1"/>
  <c r="I1957" i="15"/>
  <c r="K1957" i="15"/>
  <c r="M1957" i="15"/>
  <c r="G1958" i="15"/>
  <c r="H1958" i="15" s="1"/>
  <c r="K1958" i="15" s="1"/>
  <c r="I1958" i="15"/>
  <c r="J1958" i="15" s="1"/>
  <c r="L1958" i="15"/>
  <c r="M1958" i="15"/>
  <c r="G1959" i="15"/>
  <c r="H1959" i="15" s="1"/>
  <c r="K1959" i="15" s="1"/>
  <c r="I1959" i="15"/>
  <c r="M1959" i="15"/>
  <c r="G1960" i="15"/>
  <c r="H1960" i="15" s="1"/>
  <c r="K1960" i="15" s="1"/>
  <c r="I1960" i="15"/>
  <c r="J1960" i="15" s="1"/>
  <c r="M1960" i="15"/>
  <c r="G1961" i="15"/>
  <c r="H1961" i="15" s="1"/>
  <c r="I1961" i="15"/>
  <c r="M1961" i="15"/>
  <c r="G1962" i="15"/>
  <c r="H1962" i="15" s="1"/>
  <c r="K1962" i="15" s="1"/>
  <c r="I1962" i="15"/>
  <c r="J1962" i="15" s="1"/>
  <c r="M1962" i="15"/>
  <c r="G1963" i="15"/>
  <c r="H1963" i="15" s="1"/>
  <c r="K1963" i="15" s="1"/>
  <c r="I1963" i="15"/>
  <c r="M1963" i="15"/>
  <c r="G1964" i="15"/>
  <c r="H1964" i="15" s="1"/>
  <c r="K1964" i="15" s="1"/>
  <c r="I1964" i="15"/>
  <c r="J1964" i="15" s="1"/>
  <c r="M1964" i="15"/>
  <c r="G1965" i="15"/>
  <c r="H1965" i="15" s="1"/>
  <c r="I1965" i="15"/>
  <c r="K1965" i="15"/>
  <c r="M1965" i="15"/>
  <c r="G1966" i="15"/>
  <c r="H1966" i="15" s="1"/>
  <c r="K1966" i="15" s="1"/>
  <c r="I1966" i="15"/>
  <c r="J1966" i="15" s="1"/>
  <c r="L1966" i="15"/>
  <c r="M1966" i="15"/>
  <c r="G1967" i="15"/>
  <c r="H1967" i="15" s="1"/>
  <c r="K1967" i="15" s="1"/>
  <c r="I1967" i="15"/>
  <c r="M1967" i="15"/>
  <c r="G1968" i="15"/>
  <c r="H1968" i="15" s="1"/>
  <c r="K1968" i="15" s="1"/>
  <c r="I1968" i="15"/>
  <c r="J1968" i="15" s="1"/>
  <c r="M1968" i="15"/>
  <c r="G1969" i="15"/>
  <c r="H1969" i="15" s="1"/>
  <c r="I1969" i="15"/>
  <c r="M1969" i="15"/>
  <c r="G1970" i="15"/>
  <c r="H1970" i="15" s="1"/>
  <c r="K1970" i="15" s="1"/>
  <c r="I1970" i="15"/>
  <c r="J1970" i="15" s="1"/>
  <c r="M1970" i="15"/>
  <c r="G1971" i="15"/>
  <c r="H1971" i="15" s="1"/>
  <c r="K1971" i="15" s="1"/>
  <c r="I1971" i="15"/>
  <c r="M1971" i="15"/>
  <c r="G1972" i="15"/>
  <c r="H1972" i="15" s="1"/>
  <c r="K1972" i="15" s="1"/>
  <c r="I1972" i="15"/>
  <c r="J1972" i="15" s="1"/>
  <c r="M1972" i="15"/>
  <c r="G1973" i="15"/>
  <c r="H1973" i="15" s="1"/>
  <c r="I1973" i="15"/>
  <c r="K1973" i="15"/>
  <c r="M1973" i="15"/>
  <c r="G1974" i="15"/>
  <c r="H1974" i="15" s="1"/>
  <c r="K1974" i="15" s="1"/>
  <c r="I1974" i="15"/>
  <c r="J1974" i="15" s="1"/>
  <c r="L1974" i="15"/>
  <c r="M1974" i="15"/>
  <c r="G1975" i="15"/>
  <c r="H1975" i="15" s="1"/>
  <c r="K1975" i="15" s="1"/>
  <c r="I1975" i="15"/>
  <c r="M1975" i="15"/>
  <c r="G1976" i="15"/>
  <c r="H1976" i="15" s="1"/>
  <c r="K1976" i="15" s="1"/>
  <c r="I1976" i="15"/>
  <c r="J1976" i="15" s="1"/>
  <c r="M1976" i="15"/>
  <c r="G1977" i="15"/>
  <c r="H1977" i="15" s="1"/>
  <c r="I1977" i="15"/>
  <c r="M1977" i="15"/>
  <c r="G1978" i="15"/>
  <c r="H1978" i="15" s="1"/>
  <c r="K1978" i="15" s="1"/>
  <c r="I1978" i="15"/>
  <c r="J1978" i="15" s="1"/>
  <c r="M1978" i="15"/>
  <c r="G1979" i="15"/>
  <c r="H1979" i="15" s="1"/>
  <c r="K1979" i="15" s="1"/>
  <c r="I1979" i="15"/>
  <c r="M1979" i="15"/>
  <c r="G1980" i="15"/>
  <c r="H1980" i="15" s="1"/>
  <c r="K1980" i="15" s="1"/>
  <c r="I1980" i="15"/>
  <c r="J1980" i="15" s="1"/>
  <c r="M1980" i="15"/>
  <c r="G1981" i="15"/>
  <c r="H1981" i="15" s="1"/>
  <c r="I1981" i="15"/>
  <c r="K1981" i="15"/>
  <c r="M1981" i="15"/>
  <c r="G1982" i="15"/>
  <c r="H1982" i="15" s="1"/>
  <c r="K1982" i="15" s="1"/>
  <c r="I1982" i="15"/>
  <c r="J1982" i="15" s="1"/>
  <c r="L1982" i="15"/>
  <c r="M1982" i="15"/>
  <c r="G1983" i="15"/>
  <c r="H1983" i="15" s="1"/>
  <c r="K1983" i="15" s="1"/>
  <c r="I1983" i="15"/>
  <c r="M1983" i="15"/>
  <c r="G1984" i="15"/>
  <c r="H1984" i="15" s="1"/>
  <c r="K1984" i="15" s="1"/>
  <c r="I1984" i="15"/>
  <c r="J1984" i="15" s="1"/>
  <c r="M1984" i="15"/>
  <c r="G1985" i="15"/>
  <c r="H1985" i="15" s="1"/>
  <c r="I1985" i="15"/>
  <c r="M1985" i="15"/>
  <c r="G1986" i="15"/>
  <c r="H1986" i="15" s="1"/>
  <c r="K1986" i="15" s="1"/>
  <c r="I1986" i="15"/>
  <c r="J1986" i="15" s="1"/>
  <c r="L1986" i="15" s="1"/>
  <c r="M1986" i="15"/>
  <c r="G1987" i="15"/>
  <c r="H1987" i="15" s="1"/>
  <c r="K1987" i="15" s="1"/>
  <c r="I1987" i="15"/>
  <c r="M1987" i="15"/>
  <c r="G1988" i="15"/>
  <c r="H1988" i="15" s="1"/>
  <c r="K1988" i="15" s="1"/>
  <c r="I1988" i="15"/>
  <c r="J1988" i="15" s="1"/>
  <c r="M1988" i="15"/>
  <c r="G1989" i="15"/>
  <c r="H1989" i="15" s="1"/>
  <c r="I1989" i="15"/>
  <c r="K1989" i="15"/>
  <c r="M1989" i="15"/>
  <c r="G1990" i="15"/>
  <c r="H1990" i="15" s="1"/>
  <c r="K1990" i="15" s="1"/>
  <c r="I1990" i="15"/>
  <c r="J1990" i="15"/>
  <c r="M1990" i="15"/>
  <c r="G1991" i="15"/>
  <c r="H1991" i="15" s="1"/>
  <c r="K1991" i="15" s="1"/>
  <c r="I1991" i="15"/>
  <c r="M1991" i="15"/>
  <c r="G1992" i="15"/>
  <c r="H1992" i="15" s="1"/>
  <c r="K1992" i="15" s="1"/>
  <c r="I1992" i="15"/>
  <c r="J1992" i="15" s="1"/>
  <c r="M1992" i="15"/>
  <c r="G1993" i="15"/>
  <c r="H1993" i="15" s="1"/>
  <c r="I1993" i="15"/>
  <c r="M1993" i="15"/>
  <c r="G1994" i="15"/>
  <c r="H1994" i="15" s="1"/>
  <c r="K1994" i="15" s="1"/>
  <c r="I1994" i="15"/>
  <c r="J1994" i="15" s="1"/>
  <c r="M1994" i="15"/>
  <c r="G1995" i="15"/>
  <c r="H1995" i="15" s="1"/>
  <c r="K1995" i="15" s="1"/>
  <c r="I1995" i="15"/>
  <c r="M1995" i="15"/>
  <c r="G1996" i="15"/>
  <c r="H1996" i="15" s="1"/>
  <c r="K1996" i="15" s="1"/>
  <c r="I1996" i="15"/>
  <c r="J1996" i="15" s="1"/>
  <c r="M1996" i="15"/>
  <c r="G1997" i="15"/>
  <c r="H1997" i="15" s="1"/>
  <c r="I1997" i="15"/>
  <c r="M1997" i="15"/>
  <c r="G1998" i="15"/>
  <c r="H1998" i="15" s="1"/>
  <c r="K1998" i="15" s="1"/>
  <c r="I1998" i="15"/>
  <c r="J1998" i="15" s="1"/>
  <c r="L1998" i="15" s="1"/>
  <c r="M1998" i="15"/>
  <c r="G1999" i="15"/>
  <c r="H1999" i="15" s="1"/>
  <c r="K1999" i="15" s="1"/>
  <c r="I1999" i="15"/>
  <c r="M1999" i="15"/>
  <c r="G2000" i="15"/>
  <c r="H2000" i="15" s="1"/>
  <c r="K2000" i="15" s="1"/>
  <c r="I2000" i="15"/>
  <c r="J2000" i="15" s="1"/>
  <c r="M2000" i="15"/>
  <c r="G2001" i="15"/>
  <c r="H2001" i="15" s="1"/>
  <c r="I2001" i="15"/>
  <c r="M2001" i="15"/>
  <c r="G2002" i="15"/>
  <c r="H2002" i="15" s="1"/>
  <c r="K2002" i="15" s="1"/>
  <c r="I2002" i="15"/>
  <c r="J2002" i="15" s="1"/>
  <c r="L2002" i="15" s="1"/>
  <c r="M2002" i="15"/>
  <c r="G2003" i="15"/>
  <c r="H2003" i="15" s="1"/>
  <c r="K2003" i="15" s="1"/>
  <c r="I2003" i="15"/>
  <c r="M2003" i="15"/>
  <c r="O1648" i="15"/>
  <c r="O1649" i="15"/>
  <c r="O1650" i="15"/>
  <c r="O1651" i="15"/>
  <c r="O1652" i="15"/>
  <c r="O1653" i="15"/>
  <c r="O1654" i="15"/>
  <c r="O1655" i="15"/>
  <c r="O1656" i="15"/>
  <c r="O1657" i="15"/>
  <c r="O1658" i="15"/>
  <c r="O1659" i="15"/>
  <c r="O1660" i="15"/>
  <c r="O1661" i="15"/>
  <c r="O1662" i="15"/>
  <c r="O1663" i="15"/>
  <c r="O1664" i="15"/>
  <c r="O1665" i="15"/>
  <c r="O1666" i="15"/>
  <c r="O1667" i="15"/>
  <c r="O1668" i="15"/>
  <c r="O1669" i="15"/>
  <c r="O1670" i="15"/>
  <c r="O1671" i="15"/>
  <c r="O1672" i="15"/>
  <c r="O1673" i="15"/>
  <c r="O1674" i="15"/>
  <c r="O1675" i="15"/>
  <c r="O1676" i="15"/>
  <c r="O1677" i="15"/>
  <c r="O1678" i="15"/>
  <c r="O1679" i="15"/>
  <c r="O1680" i="15"/>
  <c r="O1681" i="15"/>
  <c r="O1682" i="15"/>
  <c r="O1683" i="15"/>
  <c r="O1684" i="15"/>
  <c r="O1685" i="15"/>
  <c r="O1686" i="15"/>
  <c r="O1687" i="15"/>
  <c r="O1688" i="15"/>
  <c r="O1689" i="15"/>
  <c r="O1690" i="15"/>
  <c r="O1691" i="15"/>
  <c r="O1692" i="15"/>
  <c r="O1693" i="15"/>
  <c r="O1694" i="15"/>
  <c r="O1695" i="15"/>
  <c r="O1696" i="15"/>
  <c r="O1697" i="15"/>
  <c r="O1698" i="15"/>
  <c r="O1699" i="15"/>
  <c r="O1700" i="15"/>
  <c r="O1701" i="15"/>
  <c r="O1702" i="15"/>
  <c r="O1703" i="15"/>
  <c r="O1704" i="15"/>
  <c r="O1705" i="15"/>
  <c r="O1706" i="15"/>
  <c r="O1707" i="15"/>
  <c r="O1708" i="15"/>
  <c r="O1709" i="15"/>
  <c r="O1710" i="15"/>
  <c r="O1711" i="15"/>
  <c r="O1712" i="15"/>
  <c r="O1713" i="15"/>
  <c r="O1714" i="15"/>
  <c r="O1715" i="15"/>
  <c r="O1716" i="15"/>
  <c r="O1717" i="15"/>
  <c r="O1718" i="15"/>
  <c r="O1719" i="15"/>
  <c r="O1720" i="15"/>
  <c r="O1721" i="15"/>
  <c r="O1722" i="15"/>
  <c r="O1723" i="15"/>
  <c r="O1724" i="15"/>
  <c r="O1725" i="15"/>
  <c r="O1726" i="15"/>
  <c r="O1727" i="15"/>
  <c r="O1728" i="15"/>
  <c r="O1729" i="15"/>
  <c r="O1730" i="15"/>
  <c r="O1731" i="15"/>
  <c r="O1732" i="15"/>
  <c r="O1733" i="15"/>
  <c r="O1734" i="15"/>
  <c r="O1735" i="15"/>
  <c r="O1736" i="15"/>
  <c r="O1737" i="15"/>
  <c r="O1738" i="15"/>
  <c r="O1739" i="15"/>
  <c r="O1740" i="15"/>
  <c r="O1741" i="15"/>
  <c r="O1742" i="15"/>
  <c r="O1743" i="15"/>
  <c r="O1744" i="15"/>
  <c r="O1745" i="15"/>
  <c r="O1746" i="15"/>
  <c r="O1747" i="15"/>
  <c r="O1748" i="15"/>
  <c r="O1749" i="15"/>
  <c r="O1750" i="15"/>
  <c r="O1751" i="15"/>
  <c r="O1752" i="15"/>
  <c r="O1753" i="15"/>
  <c r="O1754" i="15"/>
  <c r="O1755" i="15"/>
  <c r="O1756" i="15"/>
  <c r="O1757" i="15"/>
  <c r="O1758" i="15"/>
  <c r="O1759" i="15"/>
  <c r="O1760" i="15"/>
  <c r="O1761" i="15"/>
  <c r="O1762" i="15"/>
  <c r="O1763" i="15"/>
  <c r="O1764" i="15"/>
  <c r="O1765" i="15"/>
  <c r="O1766" i="15"/>
  <c r="O1767" i="15"/>
  <c r="O1768" i="15"/>
  <c r="O1769" i="15"/>
  <c r="O1770" i="15"/>
  <c r="O1771" i="15"/>
  <c r="O1772" i="15"/>
  <c r="O1773" i="15"/>
  <c r="O1774" i="15"/>
  <c r="O1775" i="15"/>
  <c r="O1776" i="15"/>
  <c r="O1777" i="15"/>
  <c r="O1778" i="15"/>
  <c r="O1779" i="15"/>
  <c r="O1780" i="15"/>
  <c r="O1781" i="15"/>
  <c r="O1782" i="15"/>
  <c r="O1783" i="15"/>
  <c r="O1784" i="15"/>
  <c r="O1785" i="15"/>
  <c r="O1786" i="15"/>
  <c r="O1787" i="15"/>
  <c r="O1788" i="15"/>
  <c r="O1789" i="15"/>
  <c r="O1790" i="15"/>
  <c r="O1791" i="15"/>
  <c r="O1792" i="15"/>
  <c r="O1793" i="15"/>
  <c r="O1794" i="15"/>
  <c r="O1795" i="15"/>
  <c r="O1796" i="15"/>
  <c r="O1797" i="15"/>
  <c r="O1798" i="15"/>
  <c r="O1799" i="15"/>
  <c r="O1800" i="15"/>
  <c r="O1801" i="15"/>
  <c r="O1802" i="15"/>
  <c r="O1803" i="15"/>
  <c r="O1804" i="15"/>
  <c r="O1805" i="15"/>
  <c r="O1806" i="15"/>
  <c r="O1807" i="15"/>
  <c r="O1808" i="15"/>
  <c r="O1809" i="15"/>
  <c r="O1810" i="15"/>
  <c r="O1811" i="15"/>
  <c r="O1812" i="15"/>
  <c r="O1813" i="15"/>
  <c r="O1814" i="15"/>
  <c r="O1815" i="15"/>
  <c r="O1816" i="15"/>
  <c r="O1817" i="15"/>
  <c r="O1818" i="15"/>
  <c r="O1819" i="15"/>
  <c r="O1820" i="15"/>
  <c r="O1821" i="15"/>
  <c r="O1822" i="15"/>
  <c r="O1823" i="15"/>
  <c r="O1824" i="15"/>
  <c r="O1825" i="15"/>
  <c r="O1826" i="15"/>
  <c r="O1827" i="15"/>
  <c r="O1828" i="15"/>
  <c r="O1829" i="15"/>
  <c r="O1830" i="15"/>
  <c r="O1831" i="15"/>
  <c r="O1832" i="15"/>
  <c r="O1833" i="15"/>
  <c r="O1834" i="15"/>
  <c r="O1835" i="15"/>
  <c r="O1836" i="15"/>
  <c r="O1837" i="15"/>
  <c r="O1838" i="15"/>
  <c r="O1839" i="15"/>
  <c r="O1840" i="15"/>
  <c r="O1841" i="15"/>
  <c r="O1842" i="15"/>
  <c r="O1843" i="15"/>
  <c r="O1844" i="15"/>
  <c r="O1845" i="15"/>
  <c r="O1846" i="15"/>
  <c r="O1847" i="15"/>
  <c r="O1848" i="15"/>
  <c r="O1849" i="15"/>
  <c r="O1850" i="15"/>
  <c r="O1851" i="15"/>
  <c r="O1852" i="15"/>
  <c r="O1853" i="15"/>
  <c r="O1854" i="15"/>
  <c r="O1855" i="15"/>
  <c r="O1856" i="15"/>
  <c r="O1857" i="15"/>
  <c r="O1858" i="15"/>
  <c r="O1859" i="15"/>
  <c r="O1860" i="15"/>
  <c r="O1861" i="15"/>
  <c r="O1862" i="15"/>
  <c r="O1863" i="15"/>
  <c r="O1864" i="15"/>
  <c r="O1865" i="15"/>
  <c r="O1866" i="15"/>
  <c r="O1867" i="15"/>
  <c r="O1868" i="15"/>
  <c r="O1869" i="15"/>
  <c r="O1870" i="15"/>
  <c r="O1871" i="15"/>
  <c r="O1872" i="15"/>
  <c r="O1873" i="15"/>
  <c r="O1874" i="15"/>
  <c r="O1875" i="15"/>
  <c r="O1876" i="15"/>
  <c r="O1877" i="15"/>
  <c r="O1878" i="15"/>
  <c r="O1879" i="15"/>
  <c r="O1880" i="15"/>
  <c r="O1881" i="15"/>
  <c r="O1882" i="15"/>
  <c r="O1883" i="15"/>
  <c r="O1884" i="15"/>
  <c r="O1885" i="15"/>
  <c r="O1886" i="15"/>
  <c r="O1887" i="15"/>
  <c r="O1888" i="15"/>
  <c r="O1889" i="15"/>
  <c r="O1890" i="15"/>
  <c r="O1891" i="15"/>
  <c r="O1892" i="15"/>
  <c r="O1893" i="15"/>
  <c r="O1894" i="15"/>
  <c r="O1895" i="15"/>
  <c r="O1896" i="15"/>
  <c r="O1897" i="15"/>
  <c r="O1898" i="15"/>
  <c r="O1899" i="15"/>
  <c r="O1900" i="15"/>
  <c r="O1901" i="15"/>
  <c r="O1902" i="15"/>
  <c r="O1903" i="15"/>
  <c r="O1904" i="15"/>
  <c r="O1905" i="15"/>
  <c r="O1906" i="15"/>
  <c r="O1907" i="15"/>
  <c r="O1908" i="15"/>
  <c r="O1909" i="15"/>
  <c r="O1910" i="15"/>
  <c r="O1911" i="15"/>
  <c r="O1912" i="15"/>
  <c r="O1913" i="15"/>
  <c r="O1914" i="15"/>
  <c r="O1915" i="15"/>
  <c r="O1916" i="15"/>
  <c r="O1917" i="15"/>
  <c r="O1918" i="15"/>
  <c r="O1919" i="15"/>
  <c r="O1920" i="15"/>
  <c r="O1921" i="15"/>
  <c r="O1922" i="15"/>
  <c r="O1923" i="15"/>
  <c r="O1924" i="15"/>
  <c r="O1925" i="15"/>
  <c r="O1926" i="15"/>
  <c r="O1927" i="15"/>
  <c r="O1928" i="15"/>
  <c r="O1929" i="15"/>
  <c r="O1930" i="15"/>
  <c r="O1931" i="15"/>
  <c r="O1932" i="15"/>
  <c r="O1933" i="15"/>
  <c r="O1934" i="15"/>
  <c r="O1935" i="15"/>
  <c r="O1936" i="15"/>
  <c r="O1937" i="15"/>
  <c r="O1938" i="15"/>
  <c r="O1939" i="15"/>
  <c r="O1940" i="15"/>
  <c r="O1941" i="15"/>
  <c r="O1942" i="15"/>
  <c r="O1943" i="15"/>
  <c r="O1944" i="15"/>
  <c r="O1945" i="15"/>
  <c r="O1946" i="15"/>
  <c r="O1947" i="15"/>
  <c r="O1948" i="15"/>
  <c r="O1949" i="15"/>
  <c r="O1950" i="15"/>
  <c r="O1951" i="15"/>
  <c r="O1952" i="15"/>
  <c r="O1953" i="15"/>
  <c r="O1954" i="15"/>
  <c r="O1955" i="15"/>
  <c r="O1956" i="15"/>
  <c r="O1957" i="15"/>
  <c r="O1958" i="15"/>
  <c r="O1959" i="15"/>
  <c r="O1960" i="15"/>
  <c r="O1961" i="15"/>
  <c r="O1962" i="15"/>
  <c r="O1963" i="15"/>
  <c r="O1964" i="15"/>
  <c r="O1965" i="15"/>
  <c r="O1966" i="15"/>
  <c r="O1967" i="15"/>
  <c r="O1968" i="15"/>
  <c r="O1969" i="15"/>
  <c r="O1970" i="15"/>
  <c r="O1971" i="15"/>
  <c r="O1972" i="15"/>
  <c r="O1973" i="15"/>
  <c r="O1974" i="15"/>
  <c r="O1975" i="15"/>
  <c r="O1976" i="15"/>
  <c r="O1977" i="15"/>
  <c r="O1978" i="15"/>
  <c r="O1979" i="15"/>
  <c r="O1980" i="15"/>
  <c r="O1981" i="15"/>
  <c r="O1982" i="15"/>
  <c r="O1983" i="15"/>
  <c r="O1984" i="15"/>
  <c r="O1985" i="15"/>
  <c r="O1986" i="15"/>
  <c r="O1987" i="15"/>
  <c r="O1988" i="15"/>
  <c r="O1989" i="15"/>
  <c r="O1990" i="15"/>
  <c r="O1991" i="15"/>
  <c r="O1992" i="15"/>
  <c r="O1993" i="15"/>
  <c r="O1994" i="15"/>
  <c r="O1995" i="15"/>
  <c r="O1996" i="15"/>
  <c r="O1997" i="15"/>
  <c r="O1998" i="15"/>
  <c r="O1999" i="15"/>
  <c r="O2000" i="15"/>
  <c r="O2001" i="15"/>
  <c r="O2002" i="15"/>
  <c r="O2003" i="15"/>
  <c r="O762" i="15"/>
  <c r="O763" i="15"/>
  <c r="O764" i="15"/>
  <c r="O765" i="15"/>
  <c r="O766" i="15"/>
  <c r="O767" i="15"/>
  <c r="O768" i="15"/>
  <c r="O769" i="15"/>
  <c r="O770" i="15"/>
  <c r="O771" i="15"/>
  <c r="O772" i="15"/>
  <c r="O773" i="15"/>
  <c r="O774" i="15"/>
  <c r="O775" i="15"/>
  <c r="O776" i="15"/>
  <c r="O777" i="15"/>
  <c r="O778" i="15"/>
  <c r="O779" i="15"/>
  <c r="O780" i="15"/>
  <c r="O781" i="15"/>
  <c r="O782" i="15"/>
  <c r="O783" i="15"/>
  <c r="O784" i="15"/>
  <c r="O785" i="15"/>
  <c r="O786" i="15"/>
  <c r="O787" i="15"/>
  <c r="O788" i="15"/>
  <c r="O789" i="15"/>
  <c r="O790" i="15"/>
  <c r="O791" i="15"/>
  <c r="O792" i="15"/>
  <c r="O793" i="15"/>
  <c r="O794" i="15"/>
  <c r="O795" i="15"/>
  <c r="O796" i="15"/>
  <c r="O797" i="15"/>
  <c r="O798" i="15"/>
  <c r="O799" i="15"/>
  <c r="O800" i="15"/>
  <c r="O801" i="15"/>
  <c r="O802" i="15"/>
  <c r="O803" i="15"/>
  <c r="O804" i="15"/>
  <c r="O805" i="15"/>
  <c r="O806" i="15"/>
  <c r="O807" i="15"/>
  <c r="O808" i="15"/>
  <c r="O809" i="15"/>
  <c r="O810" i="15"/>
  <c r="O811" i="15"/>
  <c r="O812" i="15"/>
  <c r="O813" i="15"/>
  <c r="O814" i="15"/>
  <c r="O815" i="15"/>
  <c r="O816" i="15"/>
  <c r="O817" i="15"/>
  <c r="O818" i="15"/>
  <c r="O819" i="15"/>
  <c r="O820" i="15"/>
  <c r="O821" i="15"/>
  <c r="O822" i="15"/>
  <c r="O823" i="15"/>
  <c r="O824" i="15"/>
  <c r="O825" i="15"/>
  <c r="O826" i="15"/>
  <c r="O827" i="15"/>
  <c r="O828" i="15"/>
  <c r="O829" i="15"/>
  <c r="O830" i="15"/>
  <c r="O831" i="15"/>
  <c r="O832" i="15"/>
  <c r="O833" i="15"/>
  <c r="O834" i="15"/>
  <c r="O835" i="15"/>
  <c r="O836" i="15"/>
  <c r="O837" i="15"/>
  <c r="O838" i="15"/>
  <c r="O839" i="15"/>
  <c r="O840" i="15"/>
  <c r="O841" i="15"/>
  <c r="O842" i="15"/>
  <c r="O843" i="15"/>
  <c r="O844" i="15"/>
  <c r="O845" i="15"/>
  <c r="O846" i="15"/>
  <c r="O847" i="15"/>
  <c r="O848" i="15"/>
  <c r="O849" i="15"/>
  <c r="O850" i="15"/>
  <c r="O851" i="15"/>
  <c r="O852" i="15"/>
  <c r="O853" i="15"/>
  <c r="O854" i="15"/>
  <c r="O855" i="15"/>
  <c r="O856" i="15"/>
  <c r="O857" i="15"/>
  <c r="O858" i="15"/>
  <c r="O859" i="15"/>
  <c r="O860" i="15"/>
  <c r="O861" i="15"/>
  <c r="O862" i="15"/>
  <c r="O863" i="15"/>
  <c r="O864" i="15"/>
  <c r="O865" i="15"/>
  <c r="O866" i="15"/>
  <c r="O867" i="15"/>
  <c r="O868" i="15"/>
  <c r="O869" i="15"/>
  <c r="O870" i="15"/>
  <c r="O871" i="15"/>
  <c r="O872" i="15"/>
  <c r="O873" i="15"/>
  <c r="O874" i="15"/>
  <c r="O875" i="15"/>
  <c r="O876" i="15"/>
  <c r="O877" i="15"/>
  <c r="O878" i="15"/>
  <c r="O879" i="15"/>
  <c r="O880" i="15"/>
  <c r="O881" i="15"/>
  <c r="O882" i="15"/>
  <c r="O883" i="15"/>
  <c r="O884" i="15"/>
  <c r="O885" i="15"/>
  <c r="O886" i="15"/>
  <c r="O887" i="15"/>
  <c r="O888" i="15"/>
  <c r="O889" i="15"/>
  <c r="O890" i="15"/>
  <c r="O891" i="15"/>
  <c r="O892" i="15"/>
  <c r="O893" i="15"/>
  <c r="O894" i="15"/>
  <c r="O895" i="15"/>
  <c r="O896" i="15"/>
  <c r="O897" i="15"/>
  <c r="O898" i="15"/>
  <c r="O899" i="15"/>
  <c r="O900" i="15"/>
  <c r="O901" i="15"/>
  <c r="O902" i="15"/>
  <c r="O903" i="15"/>
  <c r="O904" i="15"/>
  <c r="O905" i="15"/>
  <c r="O906" i="15"/>
  <c r="O907" i="15"/>
  <c r="O908" i="15"/>
  <c r="O909" i="15"/>
  <c r="O910" i="15"/>
  <c r="O911" i="15"/>
  <c r="O912" i="15"/>
  <c r="O913" i="15"/>
  <c r="O914" i="15"/>
  <c r="O915" i="15"/>
  <c r="O916" i="15"/>
  <c r="O917" i="15"/>
  <c r="O918" i="15"/>
  <c r="O919" i="15"/>
  <c r="O920" i="15"/>
  <c r="O921" i="15"/>
  <c r="O922" i="15"/>
  <c r="O923" i="15"/>
  <c r="O924" i="15"/>
  <c r="O925" i="15"/>
  <c r="O926" i="15"/>
  <c r="O927" i="15"/>
  <c r="O928" i="15"/>
  <c r="O929" i="15"/>
  <c r="O930" i="15"/>
  <c r="O931" i="15"/>
  <c r="O932" i="15"/>
  <c r="O933" i="15"/>
  <c r="O934" i="15"/>
  <c r="O935" i="15"/>
  <c r="O936" i="15"/>
  <c r="O937" i="15"/>
  <c r="O938" i="15"/>
  <c r="O939" i="15"/>
  <c r="O940" i="15"/>
  <c r="O941" i="15"/>
  <c r="O942" i="15"/>
  <c r="O943" i="15"/>
  <c r="O944" i="15"/>
  <c r="O945" i="15"/>
  <c r="O946" i="15"/>
  <c r="O947" i="15"/>
  <c r="O948" i="15"/>
  <c r="O949" i="15"/>
  <c r="O950" i="15"/>
  <c r="O951" i="15"/>
  <c r="O952" i="15"/>
  <c r="O953" i="15"/>
  <c r="O954" i="15"/>
  <c r="O955" i="15"/>
  <c r="O956" i="15"/>
  <c r="O957" i="15"/>
  <c r="O958" i="15"/>
  <c r="O959" i="15"/>
  <c r="O960" i="15"/>
  <c r="O961" i="15"/>
  <c r="O962" i="15"/>
  <c r="O963" i="15"/>
  <c r="O964" i="15"/>
  <c r="O965" i="15"/>
  <c r="O966" i="15"/>
  <c r="O967" i="15"/>
  <c r="O968" i="15"/>
  <c r="O969" i="15"/>
  <c r="O970" i="15"/>
  <c r="O971" i="15"/>
  <c r="O972" i="15"/>
  <c r="O973" i="15"/>
  <c r="O974" i="15"/>
  <c r="O975" i="15"/>
  <c r="O976" i="15"/>
  <c r="O977" i="15"/>
  <c r="O978" i="15"/>
  <c r="O979" i="15"/>
  <c r="O980" i="15"/>
  <c r="O981" i="15"/>
  <c r="O982" i="15"/>
  <c r="O983" i="15"/>
  <c r="O984" i="15"/>
  <c r="O985" i="15"/>
  <c r="O986" i="15"/>
  <c r="O987" i="15"/>
  <c r="O988" i="15"/>
  <c r="O989" i="15"/>
  <c r="O990" i="15"/>
  <c r="O991" i="15"/>
  <c r="O992" i="15"/>
  <c r="O993" i="15"/>
  <c r="O994" i="15"/>
  <c r="O995" i="15"/>
  <c r="O996" i="15"/>
  <c r="O997" i="15"/>
  <c r="O998" i="15"/>
  <c r="O999" i="15"/>
  <c r="O1000" i="15"/>
  <c r="O1001" i="15"/>
  <c r="O1002" i="15"/>
  <c r="O1003" i="15"/>
  <c r="O1004" i="15"/>
  <c r="O1005" i="15"/>
  <c r="O1006" i="15"/>
  <c r="O1007" i="15"/>
  <c r="O1008" i="15"/>
  <c r="O1009" i="15"/>
  <c r="O1010" i="15"/>
  <c r="O1011" i="15"/>
  <c r="O1012" i="15"/>
  <c r="O1013" i="15"/>
  <c r="O1014" i="15"/>
  <c r="O1015" i="15"/>
  <c r="O1016" i="15"/>
  <c r="O1017" i="15"/>
  <c r="O1018" i="15"/>
  <c r="O1019" i="15"/>
  <c r="O1020" i="15"/>
  <c r="O1021" i="15"/>
  <c r="O1022" i="15"/>
  <c r="O1023" i="15"/>
  <c r="O1024" i="15"/>
  <c r="O1025" i="15"/>
  <c r="O1026" i="15"/>
  <c r="O1027" i="15"/>
  <c r="O1028" i="15"/>
  <c r="O1029" i="15"/>
  <c r="O1030" i="15"/>
  <c r="O1031" i="15"/>
  <c r="O1032" i="15"/>
  <c r="O1033" i="15"/>
  <c r="O1034" i="15"/>
  <c r="O1035" i="15"/>
  <c r="O1036" i="15"/>
  <c r="O1037" i="15"/>
  <c r="O1038" i="15"/>
  <c r="O1039" i="15"/>
  <c r="O1040" i="15"/>
  <c r="O1041" i="15"/>
  <c r="O1042" i="15"/>
  <c r="O1043" i="15"/>
  <c r="O1044" i="15"/>
  <c r="O1045" i="15"/>
  <c r="O1046" i="15"/>
  <c r="O1047" i="15"/>
  <c r="O1048" i="15"/>
  <c r="O1049" i="15"/>
  <c r="O1050" i="15"/>
  <c r="O1051" i="15"/>
  <c r="O1052" i="15"/>
  <c r="O1053" i="15"/>
  <c r="O1054" i="15"/>
  <c r="O1055" i="15"/>
  <c r="O1056" i="15"/>
  <c r="O1057" i="15"/>
  <c r="O1058" i="15"/>
  <c r="O1059" i="15"/>
  <c r="O1060" i="15"/>
  <c r="O1061" i="15"/>
  <c r="O1062" i="15"/>
  <c r="O1063" i="15"/>
  <c r="O1064" i="15"/>
  <c r="O1065" i="15"/>
  <c r="O1066" i="15"/>
  <c r="O1067" i="15"/>
  <c r="O1068" i="15"/>
  <c r="O1069" i="15"/>
  <c r="O1070" i="15"/>
  <c r="O1071" i="15"/>
  <c r="O1072" i="15"/>
  <c r="O1073" i="15"/>
  <c r="O1074" i="15"/>
  <c r="O1075" i="15"/>
  <c r="O1076" i="15"/>
  <c r="O1077" i="15"/>
  <c r="O1078" i="15"/>
  <c r="O1079" i="15"/>
  <c r="O1080" i="15"/>
  <c r="O1081" i="15"/>
  <c r="O1082" i="15"/>
  <c r="O1083" i="15"/>
  <c r="O1084" i="15"/>
  <c r="O1085" i="15"/>
  <c r="O1086" i="15"/>
  <c r="O1087" i="15"/>
  <c r="O1088" i="15"/>
  <c r="O1089" i="15"/>
  <c r="O1090" i="15"/>
  <c r="O1091" i="15"/>
  <c r="O1092" i="15"/>
  <c r="O1093" i="15"/>
  <c r="O1094" i="15"/>
  <c r="O1095" i="15"/>
  <c r="O1096" i="15"/>
  <c r="O1097" i="15"/>
  <c r="O1098" i="15"/>
  <c r="O1099" i="15"/>
  <c r="O1100" i="15"/>
  <c r="O1101" i="15"/>
  <c r="O1102" i="15"/>
  <c r="O1103" i="15"/>
  <c r="O1104" i="15"/>
  <c r="O1105" i="15"/>
  <c r="O1106" i="15"/>
  <c r="O1107" i="15"/>
  <c r="O1108" i="15"/>
  <c r="O1109" i="15"/>
  <c r="O1110" i="15"/>
  <c r="O1111" i="15"/>
  <c r="O1112" i="15"/>
  <c r="O1113" i="15"/>
  <c r="O1114" i="15"/>
  <c r="O1115" i="15"/>
  <c r="O1116" i="15"/>
  <c r="O1117" i="15"/>
  <c r="O1118" i="15"/>
  <c r="O1119" i="15"/>
  <c r="O1120" i="15"/>
  <c r="O1121" i="15"/>
  <c r="O1122" i="15"/>
  <c r="O1123" i="15"/>
  <c r="O1124" i="15"/>
  <c r="O1125" i="15"/>
  <c r="O1126" i="15"/>
  <c r="O1127" i="15"/>
  <c r="O1128" i="15"/>
  <c r="O1129" i="15"/>
  <c r="O1130" i="15"/>
  <c r="O1131" i="15"/>
  <c r="O1132" i="15"/>
  <c r="O1133" i="15"/>
  <c r="O1134" i="15"/>
  <c r="O1135" i="15"/>
  <c r="O1136" i="15"/>
  <c r="O1137" i="15"/>
  <c r="O1138" i="15"/>
  <c r="O1139" i="15"/>
  <c r="O1140" i="15"/>
  <c r="O1141" i="15"/>
  <c r="O1142" i="15"/>
  <c r="O1143" i="15"/>
  <c r="O1144" i="15"/>
  <c r="O1145" i="15"/>
  <c r="O1146" i="15"/>
  <c r="O1147" i="15"/>
  <c r="O1148" i="15"/>
  <c r="O1149" i="15"/>
  <c r="O1150" i="15"/>
  <c r="O1151" i="15"/>
  <c r="O1152" i="15"/>
  <c r="O1153" i="15"/>
  <c r="O1154" i="15"/>
  <c r="O1155" i="15"/>
  <c r="O1156" i="15"/>
  <c r="O1157" i="15"/>
  <c r="O1158" i="15"/>
  <c r="O1159" i="15"/>
  <c r="O1160" i="15"/>
  <c r="O1161" i="15"/>
  <c r="O1162" i="15"/>
  <c r="O1163" i="15"/>
  <c r="O1164" i="15"/>
  <c r="O1165" i="15"/>
  <c r="O1166" i="15"/>
  <c r="O1167" i="15"/>
  <c r="O1168" i="15"/>
  <c r="O1169" i="15"/>
  <c r="O1170" i="15"/>
  <c r="O1171" i="15"/>
  <c r="O1172" i="15"/>
  <c r="O1173" i="15"/>
  <c r="O1174" i="15"/>
  <c r="O1175" i="15"/>
  <c r="O1176" i="15"/>
  <c r="O1177" i="15"/>
  <c r="O1178" i="15"/>
  <c r="O1179" i="15"/>
  <c r="O1180" i="15"/>
  <c r="O1181" i="15"/>
  <c r="O1182" i="15"/>
  <c r="O1183" i="15"/>
  <c r="O1184" i="15"/>
  <c r="O1185" i="15"/>
  <c r="O1186" i="15"/>
  <c r="O1187" i="15"/>
  <c r="O1188" i="15"/>
  <c r="O1189" i="15"/>
  <c r="O1190" i="15"/>
  <c r="O1191" i="15"/>
  <c r="O1192" i="15"/>
  <c r="O1193" i="15"/>
  <c r="O1194" i="15"/>
  <c r="O1195" i="15"/>
  <c r="O1196" i="15"/>
  <c r="O1197" i="15"/>
  <c r="O1198" i="15"/>
  <c r="O1199" i="15"/>
  <c r="O1200" i="15"/>
  <c r="O1201" i="15"/>
  <c r="O1202" i="15"/>
  <c r="O1203" i="15"/>
  <c r="O1204" i="15"/>
  <c r="O1205" i="15"/>
  <c r="O1206" i="15"/>
  <c r="O1207" i="15"/>
  <c r="O1208" i="15"/>
  <c r="O1209" i="15"/>
  <c r="O1210" i="15"/>
  <c r="O1211" i="15"/>
  <c r="O1212" i="15"/>
  <c r="O1213" i="15"/>
  <c r="O1214" i="15"/>
  <c r="O1215" i="15"/>
  <c r="O1216" i="15"/>
  <c r="O1217" i="15"/>
  <c r="O1218" i="15"/>
  <c r="O1219" i="15"/>
  <c r="O1220" i="15"/>
  <c r="O1221" i="15"/>
  <c r="O1222" i="15"/>
  <c r="O1223" i="15"/>
  <c r="O1224" i="15"/>
  <c r="O1225" i="15"/>
  <c r="O1226" i="15"/>
  <c r="O1227" i="15"/>
  <c r="O1228" i="15"/>
  <c r="O1229" i="15"/>
  <c r="O1230" i="15"/>
  <c r="O1231" i="15"/>
  <c r="O1232" i="15"/>
  <c r="O1233" i="15"/>
  <c r="O1234" i="15"/>
  <c r="O1235" i="15"/>
  <c r="O1236" i="15"/>
  <c r="O1237" i="15"/>
  <c r="O1238" i="15"/>
  <c r="O1239" i="15"/>
  <c r="O1240" i="15"/>
  <c r="O1241" i="15"/>
  <c r="O1242" i="15"/>
  <c r="O1243" i="15"/>
  <c r="O1244" i="15"/>
  <c r="O1245" i="15"/>
  <c r="O1246" i="15"/>
  <c r="O1247" i="15"/>
  <c r="O1248" i="15"/>
  <c r="O1249" i="15"/>
  <c r="O1250" i="15"/>
  <c r="O1251" i="15"/>
  <c r="O1252" i="15"/>
  <c r="O1253" i="15"/>
  <c r="O1254" i="15"/>
  <c r="O1255" i="15"/>
  <c r="O1256" i="15"/>
  <c r="O1257" i="15"/>
  <c r="O1258" i="15"/>
  <c r="O1259" i="15"/>
  <c r="O1260" i="15"/>
  <c r="O1261" i="15"/>
  <c r="O1262" i="15"/>
  <c r="O1263" i="15"/>
  <c r="O1264" i="15"/>
  <c r="O1265" i="15"/>
  <c r="O1266" i="15"/>
  <c r="O1267" i="15"/>
  <c r="O1268" i="15"/>
  <c r="O1269" i="15"/>
  <c r="O1270" i="15"/>
  <c r="O1271" i="15"/>
  <c r="O1272" i="15"/>
  <c r="O1273" i="15"/>
  <c r="O1274" i="15"/>
  <c r="O1275" i="15"/>
  <c r="O1276" i="15"/>
  <c r="O1277" i="15"/>
  <c r="O1278" i="15"/>
  <c r="O1279" i="15"/>
  <c r="O1280" i="15"/>
  <c r="O1281" i="15"/>
  <c r="O1282" i="15"/>
  <c r="O1283" i="15"/>
  <c r="O1284" i="15"/>
  <c r="O1285" i="15"/>
  <c r="O1286" i="15"/>
  <c r="O1287" i="15"/>
  <c r="O1288" i="15"/>
  <c r="O1289" i="15"/>
  <c r="O1290" i="15"/>
  <c r="O1291" i="15"/>
  <c r="O1292" i="15"/>
  <c r="O1293" i="15"/>
  <c r="O1294" i="15"/>
  <c r="O1295" i="15"/>
  <c r="O1296" i="15"/>
  <c r="O1297" i="15"/>
  <c r="O1298" i="15"/>
  <c r="O1299" i="15"/>
  <c r="O1300" i="15"/>
  <c r="O1301" i="15"/>
  <c r="O1302" i="15"/>
  <c r="O1303" i="15"/>
  <c r="O1304" i="15"/>
  <c r="O1305" i="15"/>
  <c r="O1306" i="15"/>
  <c r="O1307" i="15"/>
  <c r="O1308" i="15"/>
  <c r="O1309" i="15"/>
  <c r="O1310" i="15"/>
  <c r="O1311" i="15"/>
  <c r="O1312" i="15"/>
  <c r="O1313" i="15"/>
  <c r="O1314" i="15"/>
  <c r="O1315" i="15"/>
  <c r="O1316" i="15"/>
  <c r="O1317" i="15"/>
  <c r="O1318" i="15"/>
  <c r="O1319" i="15"/>
  <c r="O1320" i="15"/>
  <c r="O1321" i="15"/>
  <c r="O1322" i="15"/>
  <c r="O1323" i="15"/>
  <c r="O1324" i="15"/>
  <c r="O1325" i="15"/>
  <c r="O1326" i="15"/>
  <c r="O1327" i="15"/>
  <c r="O1328" i="15"/>
  <c r="O1329" i="15"/>
  <c r="O1330" i="15"/>
  <c r="O1331" i="15"/>
  <c r="O1332" i="15"/>
  <c r="O1333" i="15"/>
  <c r="O1334" i="15"/>
  <c r="O1335" i="15"/>
  <c r="O1336" i="15"/>
  <c r="O1337" i="15"/>
  <c r="O1338" i="15"/>
  <c r="O1339" i="15"/>
  <c r="O1340" i="15"/>
  <c r="O1341" i="15"/>
  <c r="O1342" i="15"/>
  <c r="O1343" i="15"/>
  <c r="O1344" i="15"/>
  <c r="O1345" i="15"/>
  <c r="O1346" i="15"/>
  <c r="O1347" i="15"/>
  <c r="O1348" i="15"/>
  <c r="O1349" i="15"/>
  <c r="O1350" i="15"/>
  <c r="O1351" i="15"/>
  <c r="O1352" i="15"/>
  <c r="O1353" i="15"/>
  <c r="O1354" i="15"/>
  <c r="O1355" i="15"/>
  <c r="O1356" i="15"/>
  <c r="O1357" i="15"/>
  <c r="O1358" i="15"/>
  <c r="O1359" i="15"/>
  <c r="O1360" i="15"/>
  <c r="O1361" i="15"/>
  <c r="O1362" i="15"/>
  <c r="O1363" i="15"/>
  <c r="O1364" i="15"/>
  <c r="O1365" i="15"/>
  <c r="O1366" i="15"/>
  <c r="O1367" i="15"/>
  <c r="O1368" i="15"/>
  <c r="O1369" i="15"/>
  <c r="O1370" i="15"/>
  <c r="O1371" i="15"/>
  <c r="O1372" i="15"/>
  <c r="O1373" i="15"/>
  <c r="O1374" i="15"/>
  <c r="O1375" i="15"/>
  <c r="O1376" i="15"/>
  <c r="O1377" i="15"/>
  <c r="O1378" i="15"/>
  <c r="O1379" i="15"/>
  <c r="O1380" i="15"/>
  <c r="O1381" i="15"/>
  <c r="O1382" i="15"/>
  <c r="O1383" i="15"/>
  <c r="O1384" i="15"/>
  <c r="O1385" i="15"/>
  <c r="O1386" i="15"/>
  <c r="O1387" i="15"/>
  <c r="O1388" i="15"/>
  <c r="O1389" i="15"/>
  <c r="O1390" i="15"/>
  <c r="O1391" i="15"/>
  <c r="O1392" i="15"/>
  <c r="O1393" i="15"/>
  <c r="O1394" i="15"/>
  <c r="O1395" i="15"/>
  <c r="O1396" i="15"/>
  <c r="O1397" i="15"/>
  <c r="O1398" i="15"/>
  <c r="O1399" i="15"/>
  <c r="O1400" i="15"/>
  <c r="O1401" i="15"/>
  <c r="O1402" i="15"/>
  <c r="O1403" i="15"/>
  <c r="O1404" i="15"/>
  <c r="O1405" i="15"/>
  <c r="O1406" i="15"/>
  <c r="O1407" i="15"/>
  <c r="O1408" i="15"/>
  <c r="O1409" i="15"/>
  <c r="O1410" i="15"/>
  <c r="O1411" i="15"/>
  <c r="O1412" i="15"/>
  <c r="O1413" i="15"/>
  <c r="O1414" i="15"/>
  <c r="O1415" i="15"/>
  <c r="O1416" i="15"/>
  <c r="O1417" i="15"/>
  <c r="O1418" i="15"/>
  <c r="O1419" i="15"/>
  <c r="O1420" i="15"/>
  <c r="O1421" i="15"/>
  <c r="O1422" i="15"/>
  <c r="O1423" i="15"/>
  <c r="O1424" i="15"/>
  <c r="O1425" i="15"/>
  <c r="O1426" i="15"/>
  <c r="O1427" i="15"/>
  <c r="O1428" i="15"/>
  <c r="O1429" i="15"/>
  <c r="O1430" i="15"/>
  <c r="O1431" i="15"/>
  <c r="O1432" i="15"/>
  <c r="O1433" i="15"/>
  <c r="O1434" i="15"/>
  <c r="O1435" i="15"/>
  <c r="O1436" i="15"/>
  <c r="O1437" i="15"/>
  <c r="O1438" i="15"/>
  <c r="O1439" i="15"/>
  <c r="O1440" i="15"/>
  <c r="O1441" i="15"/>
  <c r="O1442" i="15"/>
  <c r="O1443" i="15"/>
  <c r="O1444" i="15"/>
  <c r="O1445" i="15"/>
  <c r="O1446" i="15"/>
  <c r="O1447" i="15"/>
  <c r="O1448" i="15"/>
  <c r="O1449" i="15"/>
  <c r="O1450" i="15"/>
  <c r="O1451" i="15"/>
  <c r="O1452" i="15"/>
  <c r="O1453" i="15"/>
  <c r="O1454" i="15"/>
  <c r="O1455" i="15"/>
  <c r="O1456" i="15"/>
  <c r="O1457" i="15"/>
  <c r="O1458" i="15"/>
  <c r="O1459" i="15"/>
  <c r="O1460" i="15"/>
  <c r="O1461" i="15"/>
  <c r="O1462" i="15"/>
  <c r="O1463" i="15"/>
  <c r="O1464" i="15"/>
  <c r="O1465" i="15"/>
  <c r="O1466" i="15"/>
  <c r="O1467" i="15"/>
  <c r="O1468" i="15"/>
  <c r="O1469" i="15"/>
  <c r="O1470" i="15"/>
  <c r="O1471" i="15"/>
  <c r="O1472" i="15"/>
  <c r="O1473" i="15"/>
  <c r="O1474" i="15"/>
  <c r="O1475" i="15"/>
  <c r="O1476" i="15"/>
  <c r="O1477" i="15"/>
  <c r="O1478" i="15"/>
  <c r="O1479" i="15"/>
  <c r="O1480" i="15"/>
  <c r="O1481" i="15"/>
  <c r="O1482" i="15"/>
  <c r="O1483" i="15"/>
  <c r="O1484" i="15"/>
  <c r="O1485" i="15"/>
  <c r="O1486" i="15"/>
  <c r="O1487" i="15"/>
  <c r="O1488" i="15"/>
  <c r="O1489" i="15"/>
  <c r="O1490" i="15"/>
  <c r="O1491" i="15"/>
  <c r="O1492" i="15"/>
  <c r="O1493" i="15"/>
  <c r="O1494" i="15"/>
  <c r="O1495" i="15"/>
  <c r="O1496" i="15"/>
  <c r="O1497" i="15"/>
  <c r="O1498" i="15"/>
  <c r="O1499" i="15"/>
  <c r="O1500" i="15"/>
  <c r="O1501" i="15"/>
  <c r="O1502" i="15"/>
  <c r="O1503" i="15"/>
  <c r="O1504" i="15"/>
  <c r="O1505" i="15"/>
  <c r="O1506" i="15"/>
  <c r="O1507" i="15"/>
  <c r="O1508" i="15"/>
  <c r="O1509" i="15"/>
  <c r="O1510" i="15"/>
  <c r="O1511" i="15"/>
  <c r="O1512" i="15"/>
  <c r="O1513" i="15"/>
  <c r="O1514" i="15"/>
  <c r="O1515" i="15"/>
  <c r="O1516" i="15"/>
  <c r="O1517" i="15"/>
  <c r="O1518" i="15"/>
  <c r="O1519" i="15"/>
  <c r="O1520" i="15"/>
  <c r="O1521" i="15"/>
  <c r="O1522" i="15"/>
  <c r="O1523" i="15"/>
  <c r="O1524" i="15"/>
  <c r="O1525" i="15"/>
  <c r="O1526" i="15"/>
  <c r="O1527" i="15"/>
  <c r="O1528" i="15"/>
  <c r="O1529" i="15"/>
  <c r="O1530" i="15"/>
  <c r="O1531" i="15"/>
  <c r="O1532" i="15"/>
  <c r="O1533" i="15"/>
  <c r="O1534" i="15"/>
  <c r="O1535" i="15"/>
  <c r="O1536" i="15"/>
  <c r="O1537" i="15"/>
  <c r="O1538" i="15"/>
  <c r="O1539" i="15"/>
  <c r="O1540" i="15"/>
  <c r="O1541" i="15"/>
  <c r="O1542" i="15"/>
  <c r="O1543" i="15"/>
  <c r="O1544" i="15"/>
  <c r="O1545" i="15"/>
  <c r="O1546" i="15"/>
  <c r="O1547" i="15"/>
  <c r="O1548" i="15"/>
  <c r="O1549" i="15"/>
  <c r="O1550" i="15"/>
  <c r="O1551" i="15"/>
  <c r="O1552" i="15"/>
  <c r="O1553" i="15"/>
  <c r="O1554" i="15"/>
  <c r="O1555" i="15"/>
  <c r="O1556" i="15"/>
  <c r="O1557" i="15"/>
  <c r="O1558" i="15"/>
  <c r="O1559" i="15"/>
  <c r="O1560" i="15"/>
  <c r="O1561" i="15"/>
  <c r="O1562" i="15"/>
  <c r="O1563" i="15"/>
  <c r="O1564" i="15"/>
  <c r="O1565" i="15"/>
  <c r="O1566" i="15"/>
  <c r="O1567" i="15"/>
  <c r="O1568" i="15"/>
  <c r="O1569" i="15"/>
  <c r="O1570" i="15"/>
  <c r="O1571" i="15"/>
  <c r="O1572" i="15"/>
  <c r="O1573" i="15"/>
  <c r="O1574" i="15"/>
  <c r="O1575" i="15"/>
  <c r="O1576" i="15"/>
  <c r="O1577" i="15"/>
  <c r="O1578" i="15"/>
  <c r="O1579" i="15"/>
  <c r="O1580" i="15"/>
  <c r="O1581" i="15"/>
  <c r="O1582" i="15"/>
  <c r="O1583" i="15"/>
  <c r="O1584" i="15"/>
  <c r="O1585" i="15"/>
  <c r="O1586" i="15"/>
  <c r="O1587" i="15"/>
  <c r="O1588" i="15"/>
  <c r="O1589" i="15"/>
  <c r="O1590" i="15"/>
  <c r="O1591" i="15"/>
  <c r="O1592" i="15"/>
  <c r="O1593" i="15"/>
  <c r="O1594" i="15"/>
  <c r="O1595" i="15"/>
  <c r="O1596" i="15"/>
  <c r="O1597" i="15"/>
  <c r="O1598" i="15"/>
  <c r="O1599" i="15"/>
  <c r="O1600" i="15"/>
  <c r="O1601" i="15"/>
  <c r="O1602" i="15"/>
  <c r="O1603" i="15"/>
  <c r="O1604" i="15"/>
  <c r="O1605" i="15"/>
  <c r="O1606" i="15"/>
  <c r="O1607" i="15"/>
  <c r="O1608" i="15"/>
  <c r="O1609" i="15"/>
  <c r="O1610" i="15"/>
  <c r="O1611" i="15"/>
  <c r="O1612" i="15"/>
  <c r="O1613" i="15"/>
  <c r="O1614" i="15"/>
  <c r="O1615" i="15"/>
  <c r="O1616" i="15"/>
  <c r="O1617" i="15"/>
  <c r="O1618" i="15"/>
  <c r="O1619" i="15"/>
  <c r="O1620" i="15"/>
  <c r="O1621" i="15"/>
  <c r="O1622" i="15"/>
  <c r="O1623" i="15"/>
  <c r="O1624" i="15"/>
  <c r="O1625" i="15"/>
  <c r="O1626" i="15"/>
  <c r="O1627" i="15"/>
  <c r="O1628" i="15"/>
  <c r="O1629" i="15"/>
  <c r="O1630" i="15"/>
  <c r="O1631" i="15"/>
  <c r="O1632" i="15"/>
  <c r="O1633" i="15"/>
  <c r="O1634" i="15"/>
  <c r="O1635" i="15"/>
  <c r="O1636" i="15"/>
  <c r="O1637" i="15"/>
  <c r="O1638" i="15"/>
  <c r="O1639" i="15"/>
  <c r="O1640" i="15"/>
  <c r="O1641" i="15"/>
  <c r="O1642" i="15"/>
  <c r="O1643" i="15"/>
  <c r="O1644" i="15"/>
  <c r="O1645" i="15"/>
  <c r="O1646" i="15"/>
  <c r="O1647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O628" i="15"/>
  <c r="O629" i="15"/>
  <c r="O630" i="15"/>
  <c r="O631" i="15"/>
  <c r="O632" i="15"/>
  <c r="O633" i="15"/>
  <c r="O634" i="15"/>
  <c r="O635" i="15"/>
  <c r="O636" i="15"/>
  <c r="O637" i="15"/>
  <c r="O638" i="15"/>
  <c r="O639" i="15"/>
  <c r="O640" i="15"/>
  <c r="O641" i="15"/>
  <c r="O642" i="15"/>
  <c r="O643" i="15"/>
  <c r="O644" i="15"/>
  <c r="O645" i="15"/>
  <c r="O646" i="15"/>
  <c r="O647" i="15"/>
  <c r="O648" i="15"/>
  <c r="O649" i="15"/>
  <c r="O650" i="15"/>
  <c r="O651" i="15"/>
  <c r="O652" i="15"/>
  <c r="O653" i="15"/>
  <c r="O654" i="15"/>
  <c r="O655" i="15"/>
  <c r="O656" i="15"/>
  <c r="O657" i="15"/>
  <c r="O658" i="15"/>
  <c r="O659" i="15"/>
  <c r="O660" i="15"/>
  <c r="O661" i="15"/>
  <c r="O662" i="15"/>
  <c r="O663" i="15"/>
  <c r="O664" i="15"/>
  <c r="O665" i="15"/>
  <c r="O666" i="15"/>
  <c r="O667" i="15"/>
  <c r="O668" i="15"/>
  <c r="O669" i="15"/>
  <c r="O670" i="15"/>
  <c r="O671" i="15"/>
  <c r="O672" i="15"/>
  <c r="O673" i="15"/>
  <c r="O674" i="15"/>
  <c r="O675" i="15"/>
  <c r="O676" i="15"/>
  <c r="O677" i="15"/>
  <c r="O678" i="15"/>
  <c r="O679" i="15"/>
  <c r="O680" i="15"/>
  <c r="O681" i="15"/>
  <c r="O682" i="15"/>
  <c r="O683" i="15"/>
  <c r="O684" i="15"/>
  <c r="O685" i="15"/>
  <c r="O686" i="15"/>
  <c r="O687" i="15"/>
  <c r="O688" i="15"/>
  <c r="O689" i="15"/>
  <c r="O690" i="15"/>
  <c r="O691" i="15"/>
  <c r="O692" i="15"/>
  <c r="O693" i="15"/>
  <c r="O694" i="15"/>
  <c r="O695" i="15"/>
  <c r="O696" i="15"/>
  <c r="O697" i="15"/>
  <c r="O698" i="15"/>
  <c r="O699" i="15"/>
  <c r="O700" i="15"/>
  <c r="O701" i="15"/>
  <c r="O702" i="15"/>
  <c r="O703" i="15"/>
  <c r="O704" i="15"/>
  <c r="O705" i="15"/>
  <c r="O706" i="15"/>
  <c r="O707" i="15"/>
  <c r="O708" i="15"/>
  <c r="O709" i="15"/>
  <c r="O710" i="15"/>
  <c r="O711" i="15"/>
  <c r="O712" i="15"/>
  <c r="O713" i="15"/>
  <c r="O714" i="15"/>
  <c r="O715" i="15"/>
  <c r="O716" i="15"/>
  <c r="O717" i="15"/>
  <c r="O718" i="15"/>
  <c r="O719" i="15"/>
  <c r="O720" i="15"/>
  <c r="O721" i="15"/>
  <c r="O722" i="15"/>
  <c r="O723" i="15"/>
  <c r="O724" i="15"/>
  <c r="O725" i="15"/>
  <c r="O726" i="15"/>
  <c r="O727" i="15"/>
  <c r="O728" i="15"/>
  <c r="O729" i="15"/>
  <c r="O730" i="15"/>
  <c r="O731" i="15"/>
  <c r="O732" i="15"/>
  <c r="O733" i="15"/>
  <c r="O734" i="15"/>
  <c r="O735" i="15"/>
  <c r="O736" i="15"/>
  <c r="O737" i="15"/>
  <c r="O738" i="15"/>
  <c r="O739" i="15"/>
  <c r="O740" i="15"/>
  <c r="O741" i="15"/>
  <c r="O742" i="15"/>
  <c r="O743" i="15"/>
  <c r="O744" i="15"/>
  <c r="O745" i="15"/>
  <c r="O746" i="15"/>
  <c r="O747" i="15"/>
  <c r="O748" i="15"/>
  <c r="O749" i="15"/>
  <c r="O750" i="15"/>
  <c r="O751" i="15"/>
  <c r="O752" i="15"/>
  <c r="O753" i="15"/>
  <c r="O754" i="15"/>
  <c r="O755" i="15"/>
  <c r="O756" i="15"/>
  <c r="O757" i="15"/>
  <c r="O758" i="15"/>
  <c r="O759" i="15"/>
  <c r="O760" i="15"/>
  <c r="O761" i="15"/>
  <c r="O3" i="15"/>
  <c r="R350" i="15"/>
  <c r="R351" i="15"/>
  <c r="R352" i="15"/>
  <c r="R353" i="15"/>
  <c r="R354" i="15"/>
  <c r="R355" i="15"/>
  <c r="R356" i="15"/>
  <c r="R357" i="15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467" i="15"/>
  <c r="R468" i="15"/>
  <c r="R469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526" i="15"/>
  <c r="R527" i="15"/>
  <c r="R528" i="15"/>
  <c r="R529" i="15"/>
  <c r="R530" i="15"/>
  <c r="R531" i="15"/>
  <c r="R532" i="15"/>
  <c r="R5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5" i="15"/>
  <c r="R576" i="15"/>
  <c r="R577" i="15"/>
  <c r="R578" i="15"/>
  <c r="R579" i="15"/>
  <c r="R580" i="15"/>
  <c r="R581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742" i="15"/>
  <c r="R743" i="15"/>
  <c r="R744" i="15"/>
  <c r="R745" i="15"/>
  <c r="R746" i="15"/>
  <c r="R747" i="15"/>
  <c r="R748" i="15"/>
  <c r="R749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S350" i="15"/>
  <c r="T350" i="15"/>
  <c r="U350" i="15"/>
  <c r="V350" i="15"/>
  <c r="W350" i="15"/>
  <c r="X350" i="15"/>
  <c r="Y350" i="15"/>
  <c r="Z350" i="15"/>
  <c r="AA350" i="15"/>
  <c r="AB350" i="15"/>
  <c r="AC350" i="15"/>
  <c r="AD350" i="15"/>
  <c r="AE350" i="15"/>
  <c r="AF350" i="15"/>
  <c r="AG350" i="15"/>
  <c r="AH350" i="15"/>
  <c r="AI350" i="15"/>
  <c r="AJ350" i="15"/>
  <c r="AK350" i="15"/>
  <c r="AL350" i="15"/>
  <c r="AM350" i="15"/>
  <c r="AN350" i="15"/>
  <c r="AO350" i="15"/>
  <c r="S351" i="15"/>
  <c r="T351" i="15"/>
  <c r="U351" i="15"/>
  <c r="V351" i="15"/>
  <c r="W351" i="15"/>
  <c r="X351" i="15"/>
  <c r="Y351" i="15"/>
  <c r="Z351" i="15"/>
  <c r="AA351" i="15"/>
  <c r="AB351" i="15"/>
  <c r="AC351" i="15"/>
  <c r="AD351" i="15"/>
  <c r="AE351" i="15"/>
  <c r="AF351" i="15"/>
  <c r="AG351" i="15"/>
  <c r="AH351" i="15"/>
  <c r="AI351" i="15"/>
  <c r="AJ351" i="15"/>
  <c r="AK351" i="15"/>
  <c r="AL351" i="15"/>
  <c r="AM351" i="15"/>
  <c r="AN351" i="15"/>
  <c r="AO351" i="15"/>
  <c r="S352" i="15"/>
  <c r="T352" i="15"/>
  <c r="U352" i="15"/>
  <c r="V352" i="15"/>
  <c r="W352" i="15"/>
  <c r="X352" i="15"/>
  <c r="Y352" i="15"/>
  <c r="Z352" i="15"/>
  <c r="AA352" i="15"/>
  <c r="AB352" i="15"/>
  <c r="AC352" i="15"/>
  <c r="AD352" i="15"/>
  <c r="AE352" i="15"/>
  <c r="AF352" i="15"/>
  <c r="AG352" i="15"/>
  <c r="AH352" i="15"/>
  <c r="AI352" i="15"/>
  <c r="AJ352" i="15"/>
  <c r="AK352" i="15"/>
  <c r="AL352" i="15"/>
  <c r="AM352" i="15"/>
  <c r="AN352" i="15"/>
  <c r="AO352" i="15"/>
  <c r="S353" i="15"/>
  <c r="T353" i="15"/>
  <c r="U353" i="15"/>
  <c r="V353" i="15"/>
  <c r="W353" i="15"/>
  <c r="X353" i="15"/>
  <c r="Y353" i="15"/>
  <c r="Z353" i="15"/>
  <c r="AA353" i="15"/>
  <c r="AB353" i="15"/>
  <c r="AC353" i="15"/>
  <c r="AD353" i="15"/>
  <c r="AE353" i="15"/>
  <c r="AF353" i="15"/>
  <c r="AG353" i="15"/>
  <c r="AH353" i="15"/>
  <c r="AI353" i="15"/>
  <c r="AJ353" i="15"/>
  <c r="AK353" i="15"/>
  <c r="AL353" i="15"/>
  <c r="AM353" i="15"/>
  <c r="AN353" i="15"/>
  <c r="AO353" i="15"/>
  <c r="S354" i="15"/>
  <c r="T354" i="15"/>
  <c r="U354" i="15"/>
  <c r="V354" i="15"/>
  <c r="W354" i="15"/>
  <c r="X354" i="15"/>
  <c r="Y354" i="15"/>
  <c r="Z354" i="15"/>
  <c r="AA354" i="15"/>
  <c r="AB354" i="15"/>
  <c r="AC354" i="15"/>
  <c r="AD354" i="15"/>
  <c r="AE354" i="15"/>
  <c r="AF354" i="15"/>
  <c r="AG354" i="15"/>
  <c r="AH354" i="15"/>
  <c r="AI354" i="15"/>
  <c r="AJ354" i="15"/>
  <c r="AK354" i="15"/>
  <c r="AL354" i="15"/>
  <c r="AM354" i="15"/>
  <c r="AN354" i="15"/>
  <c r="AO354" i="15"/>
  <c r="S355" i="15"/>
  <c r="T355" i="15"/>
  <c r="U355" i="15"/>
  <c r="V355" i="15"/>
  <c r="W355" i="15"/>
  <c r="X355" i="15"/>
  <c r="Y355" i="15"/>
  <c r="Z355" i="15"/>
  <c r="AA355" i="15"/>
  <c r="AB355" i="15"/>
  <c r="AC355" i="15"/>
  <c r="AD355" i="15"/>
  <c r="AE355" i="15"/>
  <c r="AF355" i="15"/>
  <c r="AG355" i="15"/>
  <c r="AH355" i="15"/>
  <c r="AI355" i="15"/>
  <c r="AJ355" i="15"/>
  <c r="AK355" i="15"/>
  <c r="AL355" i="15"/>
  <c r="AM355" i="15"/>
  <c r="AN355" i="15"/>
  <c r="AO355" i="15"/>
  <c r="S356" i="15"/>
  <c r="T356" i="15"/>
  <c r="U356" i="15"/>
  <c r="V356" i="15"/>
  <c r="W356" i="15"/>
  <c r="X356" i="15"/>
  <c r="Y356" i="15"/>
  <c r="Z356" i="15"/>
  <c r="AA356" i="15"/>
  <c r="AB356" i="15"/>
  <c r="AC356" i="15"/>
  <c r="AD356" i="15"/>
  <c r="AE356" i="15"/>
  <c r="AF356" i="15"/>
  <c r="AG356" i="15"/>
  <c r="AH356" i="15"/>
  <c r="AI356" i="15"/>
  <c r="AJ356" i="15"/>
  <c r="AK356" i="15"/>
  <c r="AL356" i="15"/>
  <c r="AM356" i="15"/>
  <c r="AN356" i="15"/>
  <c r="AO356" i="15"/>
  <c r="S357" i="15"/>
  <c r="T357" i="15"/>
  <c r="U357" i="15"/>
  <c r="V357" i="15"/>
  <c r="W357" i="15"/>
  <c r="X357" i="15"/>
  <c r="Y357" i="15"/>
  <c r="Z357" i="15"/>
  <c r="AA357" i="15"/>
  <c r="AB357" i="15"/>
  <c r="AC357" i="15"/>
  <c r="AD357" i="15"/>
  <c r="AE357" i="15"/>
  <c r="AF357" i="15"/>
  <c r="AG357" i="15"/>
  <c r="AH357" i="15"/>
  <c r="AI357" i="15"/>
  <c r="AJ357" i="15"/>
  <c r="AK357" i="15"/>
  <c r="AL357" i="15"/>
  <c r="AM357" i="15"/>
  <c r="AN357" i="15"/>
  <c r="AO357" i="15"/>
  <c r="S358" i="15"/>
  <c r="T358" i="15"/>
  <c r="U358" i="15"/>
  <c r="V358" i="15"/>
  <c r="W358" i="15"/>
  <c r="X358" i="15"/>
  <c r="Y358" i="15"/>
  <c r="Z358" i="15"/>
  <c r="AA358" i="15"/>
  <c r="AB358" i="15"/>
  <c r="AC358" i="15"/>
  <c r="AD358" i="15"/>
  <c r="AE358" i="15"/>
  <c r="AF358" i="15"/>
  <c r="AG358" i="15"/>
  <c r="AH358" i="15"/>
  <c r="AI358" i="15"/>
  <c r="AJ358" i="15"/>
  <c r="AK358" i="15"/>
  <c r="AL358" i="15"/>
  <c r="AM358" i="15"/>
  <c r="AN358" i="15"/>
  <c r="AO358" i="15"/>
  <c r="S359" i="15"/>
  <c r="T359" i="15"/>
  <c r="U359" i="15"/>
  <c r="V359" i="15"/>
  <c r="W359" i="15"/>
  <c r="X359" i="15"/>
  <c r="Y359" i="15"/>
  <c r="Z359" i="15"/>
  <c r="AA359" i="15"/>
  <c r="AB359" i="15"/>
  <c r="AC359" i="15"/>
  <c r="AD359" i="15"/>
  <c r="AE359" i="15"/>
  <c r="AF359" i="15"/>
  <c r="AG359" i="15"/>
  <c r="AH359" i="15"/>
  <c r="AI359" i="15"/>
  <c r="AJ359" i="15"/>
  <c r="AK359" i="15"/>
  <c r="AL359" i="15"/>
  <c r="AM359" i="15"/>
  <c r="AN359" i="15"/>
  <c r="AO359" i="15"/>
  <c r="S360" i="15"/>
  <c r="T360" i="15"/>
  <c r="U360" i="15"/>
  <c r="V360" i="15"/>
  <c r="W360" i="15"/>
  <c r="X360" i="15"/>
  <c r="Y360" i="15"/>
  <c r="Z360" i="15"/>
  <c r="AA360" i="15"/>
  <c r="AB360" i="15"/>
  <c r="AC360" i="15"/>
  <c r="AD360" i="15"/>
  <c r="AE360" i="15"/>
  <c r="AF360" i="15"/>
  <c r="AG360" i="15"/>
  <c r="AH360" i="15"/>
  <c r="AI360" i="15"/>
  <c r="AJ360" i="15"/>
  <c r="AK360" i="15"/>
  <c r="AL360" i="15"/>
  <c r="AM360" i="15"/>
  <c r="AN360" i="15"/>
  <c r="AO360" i="15"/>
  <c r="S361" i="15"/>
  <c r="T361" i="15"/>
  <c r="U361" i="15"/>
  <c r="V361" i="15"/>
  <c r="W361" i="15"/>
  <c r="X361" i="15"/>
  <c r="Y361" i="15"/>
  <c r="Z361" i="15"/>
  <c r="AA361" i="15"/>
  <c r="AB361" i="15"/>
  <c r="AC361" i="15"/>
  <c r="AD361" i="15"/>
  <c r="AE361" i="15"/>
  <c r="AF361" i="15"/>
  <c r="AG361" i="15"/>
  <c r="AH361" i="15"/>
  <c r="AI361" i="15"/>
  <c r="AJ361" i="15"/>
  <c r="AK361" i="15"/>
  <c r="AL361" i="15"/>
  <c r="AM361" i="15"/>
  <c r="AN361" i="15"/>
  <c r="AO361" i="15"/>
  <c r="S362" i="15"/>
  <c r="T362" i="15"/>
  <c r="U362" i="15"/>
  <c r="V362" i="15"/>
  <c r="W362" i="15"/>
  <c r="X362" i="15"/>
  <c r="Y362" i="15"/>
  <c r="Z362" i="15"/>
  <c r="AA362" i="15"/>
  <c r="AB362" i="15"/>
  <c r="AC362" i="15"/>
  <c r="AD362" i="15"/>
  <c r="AE362" i="15"/>
  <c r="AF362" i="15"/>
  <c r="AG362" i="15"/>
  <c r="AH362" i="15"/>
  <c r="AI362" i="15"/>
  <c r="AJ362" i="15"/>
  <c r="AK362" i="15"/>
  <c r="AL362" i="15"/>
  <c r="AM362" i="15"/>
  <c r="AN362" i="15"/>
  <c r="AO362" i="15"/>
  <c r="S363" i="15"/>
  <c r="T363" i="15"/>
  <c r="U363" i="15"/>
  <c r="V363" i="15"/>
  <c r="W363" i="15"/>
  <c r="X363" i="15"/>
  <c r="Y363" i="15"/>
  <c r="Z363" i="15"/>
  <c r="AA363" i="15"/>
  <c r="AB363" i="15"/>
  <c r="AC363" i="15"/>
  <c r="AD363" i="15"/>
  <c r="AE363" i="15"/>
  <c r="AF363" i="15"/>
  <c r="AG363" i="15"/>
  <c r="AH363" i="15"/>
  <c r="AI363" i="15"/>
  <c r="AJ363" i="15"/>
  <c r="AK363" i="15"/>
  <c r="AL363" i="15"/>
  <c r="AM363" i="15"/>
  <c r="AN363" i="15"/>
  <c r="AO363" i="15"/>
  <c r="S364" i="15"/>
  <c r="T364" i="15"/>
  <c r="U364" i="15"/>
  <c r="V364" i="15"/>
  <c r="W364" i="15"/>
  <c r="X364" i="15"/>
  <c r="Y364" i="15"/>
  <c r="Z364" i="15"/>
  <c r="AA364" i="15"/>
  <c r="AB364" i="15"/>
  <c r="AC364" i="15"/>
  <c r="AD364" i="15"/>
  <c r="AE364" i="15"/>
  <c r="AF364" i="15"/>
  <c r="AG364" i="15"/>
  <c r="AH364" i="15"/>
  <c r="AI364" i="15"/>
  <c r="AJ364" i="15"/>
  <c r="AK364" i="15"/>
  <c r="AL364" i="15"/>
  <c r="AM364" i="15"/>
  <c r="AN364" i="15"/>
  <c r="AO364" i="15"/>
  <c r="S365" i="15"/>
  <c r="T365" i="15"/>
  <c r="U365" i="15"/>
  <c r="V365" i="15"/>
  <c r="W365" i="15"/>
  <c r="X365" i="15"/>
  <c r="Y365" i="15"/>
  <c r="Z365" i="15"/>
  <c r="AA365" i="15"/>
  <c r="AB365" i="15"/>
  <c r="AC365" i="15"/>
  <c r="AD365" i="15"/>
  <c r="AE365" i="15"/>
  <c r="AF365" i="15"/>
  <c r="AG365" i="15"/>
  <c r="AH365" i="15"/>
  <c r="AI365" i="15"/>
  <c r="AJ365" i="15"/>
  <c r="AK365" i="15"/>
  <c r="AL365" i="15"/>
  <c r="AM365" i="15"/>
  <c r="AN365" i="15"/>
  <c r="AO365" i="15"/>
  <c r="S366" i="15"/>
  <c r="T366" i="15"/>
  <c r="U366" i="15"/>
  <c r="V366" i="15"/>
  <c r="W366" i="15"/>
  <c r="X366" i="15"/>
  <c r="Y366" i="15"/>
  <c r="Z366" i="15"/>
  <c r="AA366" i="15"/>
  <c r="AB366" i="15"/>
  <c r="AC366" i="15"/>
  <c r="AD366" i="15"/>
  <c r="AE366" i="15"/>
  <c r="AF366" i="15"/>
  <c r="AG366" i="15"/>
  <c r="AH366" i="15"/>
  <c r="AI366" i="15"/>
  <c r="AJ366" i="15"/>
  <c r="AK366" i="15"/>
  <c r="AL366" i="15"/>
  <c r="AM366" i="15"/>
  <c r="AN366" i="15"/>
  <c r="AO366" i="15"/>
  <c r="S367" i="15"/>
  <c r="T367" i="15"/>
  <c r="U367" i="15"/>
  <c r="V367" i="15"/>
  <c r="W367" i="15"/>
  <c r="X367" i="15"/>
  <c r="Y367" i="15"/>
  <c r="Z367" i="15"/>
  <c r="AA367" i="15"/>
  <c r="AB367" i="15"/>
  <c r="AC367" i="15"/>
  <c r="AD367" i="15"/>
  <c r="AE367" i="15"/>
  <c r="AF367" i="15"/>
  <c r="AG367" i="15"/>
  <c r="AH367" i="15"/>
  <c r="AI367" i="15"/>
  <c r="AJ367" i="15"/>
  <c r="AK367" i="15"/>
  <c r="AL367" i="15"/>
  <c r="AM367" i="15"/>
  <c r="AN367" i="15"/>
  <c r="AO367" i="15"/>
  <c r="S368" i="15"/>
  <c r="T368" i="15"/>
  <c r="U368" i="15"/>
  <c r="V368" i="15"/>
  <c r="W368" i="15"/>
  <c r="X368" i="15"/>
  <c r="Y368" i="15"/>
  <c r="Z368" i="15"/>
  <c r="AA368" i="15"/>
  <c r="AB368" i="15"/>
  <c r="AC368" i="15"/>
  <c r="AD368" i="15"/>
  <c r="AE368" i="15"/>
  <c r="AF368" i="15"/>
  <c r="AG368" i="15"/>
  <c r="AH368" i="15"/>
  <c r="AI368" i="15"/>
  <c r="AJ368" i="15"/>
  <c r="AK368" i="15"/>
  <c r="AL368" i="15"/>
  <c r="AM368" i="15"/>
  <c r="AN368" i="15"/>
  <c r="AO368" i="15"/>
  <c r="S369" i="15"/>
  <c r="T369" i="15"/>
  <c r="U369" i="15"/>
  <c r="V369" i="15"/>
  <c r="W369" i="15"/>
  <c r="X369" i="15"/>
  <c r="Y369" i="15"/>
  <c r="Z369" i="15"/>
  <c r="AA369" i="15"/>
  <c r="AB369" i="15"/>
  <c r="AC369" i="15"/>
  <c r="AD369" i="15"/>
  <c r="AE369" i="15"/>
  <c r="AF369" i="15"/>
  <c r="AG369" i="15"/>
  <c r="AH369" i="15"/>
  <c r="AI369" i="15"/>
  <c r="AJ369" i="15"/>
  <c r="AK369" i="15"/>
  <c r="AL369" i="15"/>
  <c r="AM369" i="15"/>
  <c r="AN369" i="15"/>
  <c r="AO369" i="15"/>
  <c r="S370" i="15"/>
  <c r="T370" i="15"/>
  <c r="U370" i="15"/>
  <c r="V370" i="15"/>
  <c r="W370" i="15"/>
  <c r="X370" i="15"/>
  <c r="Y370" i="15"/>
  <c r="Z370" i="15"/>
  <c r="AA370" i="15"/>
  <c r="AB370" i="15"/>
  <c r="AC370" i="15"/>
  <c r="AD370" i="15"/>
  <c r="AE370" i="15"/>
  <c r="AF370" i="15"/>
  <c r="AG370" i="15"/>
  <c r="AH370" i="15"/>
  <c r="AI370" i="15"/>
  <c r="AJ370" i="15"/>
  <c r="AK370" i="15"/>
  <c r="AL370" i="15"/>
  <c r="AM370" i="15"/>
  <c r="AN370" i="15"/>
  <c r="AO370" i="15"/>
  <c r="S371" i="15"/>
  <c r="T371" i="15"/>
  <c r="U371" i="15"/>
  <c r="V371" i="15"/>
  <c r="W371" i="15"/>
  <c r="X371" i="15"/>
  <c r="Y371" i="15"/>
  <c r="Z371" i="15"/>
  <c r="AA371" i="15"/>
  <c r="AB371" i="15"/>
  <c r="AC371" i="15"/>
  <c r="AD371" i="15"/>
  <c r="AE371" i="15"/>
  <c r="AF371" i="15"/>
  <c r="AG371" i="15"/>
  <c r="AH371" i="15"/>
  <c r="AI371" i="15"/>
  <c r="AJ371" i="15"/>
  <c r="AK371" i="15"/>
  <c r="AL371" i="15"/>
  <c r="AM371" i="15"/>
  <c r="AN371" i="15"/>
  <c r="AO371" i="15"/>
  <c r="S372" i="15"/>
  <c r="T372" i="15"/>
  <c r="U372" i="15"/>
  <c r="V372" i="15"/>
  <c r="W372" i="15"/>
  <c r="X372" i="15"/>
  <c r="Y372" i="15"/>
  <c r="Z372" i="15"/>
  <c r="AA372" i="15"/>
  <c r="AB372" i="15"/>
  <c r="AC372" i="15"/>
  <c r="AD372" i="15"/>
  <c r="AE372" i="15"/>
  <c r="AF372" i="15"/>
  <c r="AG372" i="15"/>
  <c r="AH372" i="15"/>
  <c r="AI372" i="15"/>
  <c r="AJ372" i="15"/>
  <c r="AK372" i="15"/>
  <c r="AL372" i="15"/>
  <c r="AM372" i="15"/>
  <c r="AN372" i="15"/>
  <c r="AO372" i="15"/>
  <c r="S373" i="15"/>
  <c r="T373" i="15"/>
  <c r="U373" i="15"/>
  <c r="V373" i="15"/>
  <c r="W373" i="15"/>
  <c r="X373" i="15"/>
  <c r="Y373" i="15"/>
  <c r="Z373" i="15"/>
  <c r="AA373" i="15"/>
  <c r="AB373" i="15"/>
  <c r="AC373" i="15"/>
  <c r="AD373" i="15"/>
  <c r="AE373" i="15"/>
  <c r="AF373" i="15"/>
  <c r="AG373" i="15"/>
  <c r="AH373" i="15"/>
  <c r="AI373" i="15"/>
  <c r="AJ373" i="15"/>
  <c r="AK373" i="15"/>
  <c r="AL373" i="15"/>
  <c r="AM373" i="15"/>
  <c r="AN373" i="15"/>
  <c r="AO373" i="15"/>
  <c r="S374" i="15"/>
  <c r="T374" i="15"/>
  <c r="U374" i="15"/>
  <c r="V374" i="15"/>
  <c r="W374" i="15"/>
  <c r="X374" i="15"/>
  <c r="Y374" i="15"/>
  <c r="Z374" i="15"/>
  <c r="AA374" i="15"/>
  <c r="AB374" i="15"/>
  <c r="AC374" i="15"/>
  <c r="AD374" i="15"/>
  <c r="AE374" i="15"/>
  <c r="AF374" i="15"/>
  <c r="AG374" i="15"/>
  <c r="AH374" i="15"/>
  <c r="AI374" i="15"/>
  <c r="AJ374" i="15"/>
  <c r="AK374" i="15"/>
  <c r="AL374" i="15"/>
  <c r="AM374" i="15"/>
  <c r="AN374" i="15"/>
  <c r="AO374" i="15"/>
  <c r="S375" i="15"/>
  <c r="T375" i="15"/>
  <c r="U375" i="15"/>
  <c r="V375" i="15"/>
  <c r="W375" i="15"/>
  <c r="X375" i="15"/>
  <c r="Y375" i="15"/>
  <c r="Z375" i="15"/>
  <c r="AA375" i="15"/>
  <c r="AB375" i="15"/>
  <c r="AC375" i="15"/>
  <c r="AD375" i="15"/>
  <c r="AE375" i="15"/>
  <c r="AF375" i="15"/>
  <c r="AG375" i="15"/>
  <c r="AH375" i="15"/>
  <c r="AI375" i="15"/>
  <c r="AJ375" i="15"/>
  <c r="AK375" i="15"/>
  <c r="AL375" i="15"/>
  <c r="AM375" i="15"/>
  <c r="AN375" i="15"/>
  <c r="AO375" i="15"/>
  <c r="S376" i="15"/>
  <c r="T376" i="15"/>
  <c r="U376" i="15"/>
  <c r="V376" i="15"/>
  <c r="W376" i="15"/>
  <c r="X376" i="15"/>
  <c r="Y376" i="15"/>
  <c r="Z376" i="15"/>
  <c r="AA376" i="15"/>
  <c r="AB376" i="15"/>
  <c r="AC376" i="15"/>
  <c r="AD376" i="15"/>
  <c r="AE376" i="15"/>
  <c r="AF376" i="15"/>
  <c r="AG376" i="15"/>
  <c r="AH376" i="15"/>
  <c r="AI376" i="15"/>
  <c r="AJ376" i="15"/>
  <c r="AK376" i="15"/>
  <c r="AL376" i="15"/>
  <c r="AM376" i="15"/>
  <c r="AN376" i="15"/>
  <c r="AO376" i="15"/>
  <c r="S377" i="15"/>
  <c r="T377" i="15"/>
  <c r="U377" i="15"/>
  <c r="V377" i="15"/>
  <c r="W377" i="15"/>
  <c r="X377" i="15"/>
  <c r="Y377" i="15"/>
  <c r="Z377" i="15"/>
  <c r="AA377" i="15"/>
  <c r="AB377" i="15"/>
  <c r="AC377" i="15"/>
  <c r="AD377" i="15"/>
  <c r="AE377" i="15"/>
  <c r="AF377" i="15"/>
  <c r="AG377" i="15"/>
  <c r="AH377" i="15"/>
  <c r="AI377" i="15"/>
  <c r="AJ377" i="15"/>
  <c r="AK377" i="15"/>
  <c r="AL377" i="15"/>
  <c r="AM377" i="15"/>
  <c r="AN377" i="15"/>
  <c r="AO377" i="15"/>
  <c r="S378" i="15"/>
  <c r="T378" i="15"/>
  <c r="U378" i="15"/>
  <c r="V378" i="15"/>
  <c r="W378" i="15"/>
  <c r="X378" i="15"/>
  <c r="Y378" i="15"/>
  <c r="Z378" i="15"/>
  <c r="AA378" i="15"/>
  <c r="AB378" i="15"/>
  <c r="AC378" i="15"/>
  <c r="AD378" i="15"/>
  <c r="AE378" i="15"/>
  <c r="AF378" i="15"/>
  <c r="AG378" i="15"/>
  <c r="AH378" i="15"/>
  <c r="AI378" i="15"/>
  <c r="AJ378" i="15"/>
  <c r="AK378" i="15"/>
  <c r="AL378" i="15"/>
  <c r="AM378" i="15"/>
  <c r="AN378" i="15"/>
  <c r="AO378" i="15"/>
  <c r="S379" i="15"/>
  <c r="T379" i="15"/>
  <c r="U379" i="15"/>
  <c r="V379" i="15"/>
  <c r="W379" i="15"/>
  <c r="X379" i="15"/>
  <c r="Y379" i="15"/>
  <c r="Z379" i="15"/>
  <c r="AA379" i="15"/>
  <c r="AB379" i="15"/>
  <c r="AC379" i="15"/>
  <c r="AD379" i="15"/>
  <c r="AE379" i="15"/>
  <c r="AF379" i="15"/>
  <c r="AG379" i="15"/>
  <c r="AH379" i="15"/>
  <c r="AI379" i="15"/>
  <c r="AJ379" i="15"/>
  <c r="AK379" i="15"/>
  <c r="AL379" i="15"/>
  <c r="AM379" i="15"/>
  <c r="AN379" i="15"/>
  <c r="AO379" i="15"/>
  <c r="S380" i="15"/>
  <c r="T380" i="15"/>
  <c r="U380" i="15"/>
  <c r="V380" i="15"/>
  <c r="W380" i="15"/>
  <c r="X380" i="15"/>
  <c r="Y380" i="15"/>
  <c r="Z380" i="15"/>
  <c r="AA380" i="15"/>
  <c r="AB380" i="15"/>
  <c r="AC380" i="15"/>
  <c r="AD380" i="15"/>
  <c r="AE380" i="15"/>
  <c r="AF380" i="15"/>
  <c r="AG380" i="15"/>
  <c r="AH380" i="15"/>
  <c r="AI380" i="15"/>
  <c r="AJ380" i="15"/>
  <c r="AK380" i="15"/>
  <c r="AL380" i="15"/>
  <c r="AM380" i="15"/>
  <c r="AN380" i="15"/>
  <c r="AO380" i="15"/>
  <c r="S381" i="15"/>
  <c r="T381" i="15"/>
  <c r="U381" i="15"/>
  <c r="V381" i="15"/>
  <c r="W381" i="15"/>
  <c r="X381" i="15"/>
  <c r="Y381" i="15"/>
  <c r="Z381" i="15"/>
  <c r="AA381" i="15"/>
  <c r="AB381" i="15"/>
  <c r="AC381" i="15"/>
  <c r="AD381" i="15"/>
  <c r="AE381" i="15"/>
  <c r="AF381" i="15"/>
  <c r="AG381" i="15"/>
  <c r="AH381" i="15"/>
  <c r="AI381" i="15"/>
  <c r="AJ381" i="15"/>
  <c r="AK381" i="15"/>
  <c r="AL381" i="15"/>
  <c r="AM381" i="15"/>
  <c r="AN381" i="15"/>
  <c r="AO381" i="15"/>
  <c r="S382" i="15"/>
  <c r="T382" i="15"/>
  <c r="U382" i="15"/>
  <c r="V382" i="15"/>
  <c r="W382" i="15"/>
  <c r="X382" i="15"/>
  <c r="Y382" i="15"/>
  <c r="Z382" i="15"/>
  <c r="AA382" i="15"/>
  <c r="AB382" i="15"/>
  <c r="AC382" i="15"/>
  <c r="AD382" i="15"/>
  <c r="AE382" i="15"/>
  <c r="AF382" i="15"/>
  <c r="AG382" i="15"/>
  <c r="AH382" i="15"/>
  <c r="AI382" i="15"/>
  <c r="AJ382" i="15"/>
  <c r="AK382" i="15"/>
  <c r="AL382" i="15"/>
  <c r="AM382" i="15"/>
  <c r="AN382" i="15"/>
  <c r="AO382" i="15"/>
  <c r="S383" i="15"/>
  <c r="T383" i="15"/>
  <c r="U383" i="15"/>
  <c r="V383" i="15"/>
  <c r="W383" i="15"/>
  <c r="X383" i="15"/>
  <c r="Y383" i="15"/>
  <c r="Z383" i="15"/>
  <c r="AA383" i="15"/>
  <c r="AB383" i="15"/>
  <c r="AC383" i="15"/>
  <c r="AD383" i="15"/>
  <c r="AE383" i="15"/>
  <c r="AF383" i="15"/>
  <c r="AG383" i="15"/>
  <c r="AH383" i="15"/>
  <c r="AI383" i="15"/>
  <c r="AJ383" i="15"/>
  <c r="AK383" i="15"/>
  <c r="AL383" i="15"/>
  <c r="AM383" i="15"/>
  <c r="AN383" i="15"/>
  <c r="AO383" i="15"/>
  <c r="S384" i="15"/>
  <c r="T384" i="15"/>
  <c r="U384" i="15"/>
  <c r="V384" i="15"/>
  <c r="W384" i="15"/>
  <c r="X384" i="15"/>
  <c r="Y384" i="15"/>
  <c r="Z384" i="15"/>
  <c r="AA384" i="15"/>
  <c r="AB384" i="15"/>
  <c r="AC384" i="15"/>
  <c r="AD384" i="15"/>
  <c r="AE384" i="15"/>
  <c r="AF384" i="15"/>
  <c r="AG384" i="15"/>
  <c r="AH384" i="15"/>
  <c r="AI384" i="15"/>
  <c r="AJ384" i="15"/>
  <c r="AK384" i="15"/>
  <c r="AL384" i="15"/>
  <c r="AM384" i="15"/>
  <c r="AN384" i="15"/>
  <c r="AO384" i="15"/>
  <c r="S385" i="15"/>
  <c r="T385" i="15"/>
  <c r="U385" i="15"/>
  <c r="V385" i="15"/>
  <c r="W385" i="15"/>
  <c r="X385" i="15"/>
  <c r="Y385" i="15"/>
  <c r="Z385" i="15"/>
  <c r="AA385" i="15"/>
  <c r="AB385" i="15"/>
  <c r="AC385" i="15"/>
  <c r="AD385" i="15"/>
  <c r="AE385" i="15"/>
  <c r="AF385" i="15"/>
  <c r="AG385" i="15"/>
  <c r="AH385" i="15"/>
  <c r="AI385" i="15"/>
  <c r="AJ385" i="15"/>
  <c r="AK385" i="15"/>
  <c r="AL385" i="15"/>
  <c r="AM385" i="15"/>
  <c r="AN385" i="15"/>
  <c r="AO385" i="15"/>
  <c r="S386" i="15"/>
  <c r="T386" i="15"/>
  <c r="U386" i="15"/>
  <c r="V386" i="15"/>
  <c r="W386" i="15"/>
  <c r="X386" i="15"/>
  <c r="Y386" i="15"/>
  <c r="Z386" i="15"/>
  <c r="AA386" i="15"/>
  <c r="AB386" i="15"/>
  <c r="AC386" i="15"/>
  <c r="AD386" i="15"/>
  <c r="AE386" i="15"/>
  <c r="AF386" i="15"/>
  <c r="AG386" i="15"/>
  <c r="AH386" i="15"/>
  <c r="AI386" i="15"/>
  <c r="AJ386" i="15"/>
  <c r="AK386" i="15"/>
  <c r="AL386" i="15"/>
  <c r="AM386" i="15"/>
  <c r="AN386" i="15"/>
  <c r="AO386" i="15"/>
  <c r="S387" i="15"/>
  <c r="T387" i="15"/>
  <c r="U387" i="15"/>
  <c r="V387" i="15"/>
  <c r="W387" i="15"/>
  <c r="X387" i="15"/>
  <c r="Y387" i="15"/>
  <c r="Z387" i="15"/>
  <c r="AA387" i="15"/>
  <c r="AB387" i="15"/>
  <c r="AC387" i="15"/>
  <c r="AD387" i="15"/>
  <c r="AE387" i="15"/>
  <c r="AF387" i="15"/>
  <c r="AG387" i="15"/>
  <c r="AH387" i="15"/>
  <c r="AI387" i="15"/>
  <c r="AJ387" i="15"/>
  <c r="AK387" i="15"/>
  <c r="AL387" i="15"/>
  <c r="AM387" i="15"/>
  <c r="AN387" i="15"/>
  <c r="AO387" i="15"/>
  <c r="S388" i="15"/>
  <c r="T388" i="15"/>
  <c r="U388" i="15"/>
  <c r="V388" i="15"/>
  <c r="W388" i="15"/>
  <c r="X388" i="15"/>
  <c r="Y388" i="15"/>
  <c r="Z388" i="15"/>
  <c r="AA388" i="15"/>
  <c r="AB388" i="15"/>
  <c r="AC388" i="15"/>
  <c r="AD388" i="15"/>
  <c r="AE388" i="15"/>
  <c r="AF388" i="15"/>
  <c r="AG388" i="15"/>
  <c r="AH388" i="15"/>
  <c r="AI388" i="15"/>
  <c r="AJ388" i="15"/>
  <c r="AK388" i="15"/>
  <c r="AL388" i="15"/>
  <c r="AM388" i="15"/>
  <c r="AN388" i="15"/>
  <c r="AO388" i="15"/>
  <c r="S389" i="15"/>
  <c r="T389" i="15"/>
  <c r="U389" i="15"/>
  <c r="V389" i="15"/>
  <c r="W389" i="15"/>
  <c r="X389" i="15"/>
  <c r="Y389" i="15"/>
  <c r="Z389" i="15"/>
  <c r="AA389" i="15"/>
  <c r="AB389" i="15"/>
  <c r="AC389" i="15"/>
  <c r="AD389" i="15"/>
  <c r="AE389" i="15"/>
  <c r="AF389" i="15"/>
  <c r="AG389" i="15"/>
  <c r="AH389" i="15"/>
  <c r="AI389" i="15"/>
  <c r="AJ389" i="15"/>
  <c r="AK389" i="15"/>
  <c r="AL389" i="15"/>
  <c r="AM389" i="15"/>
  <c r="AN389" i="15"/>
  <c r="AO389" i="15"/>
  <c r="S390" i="15"/>
  <c r="T390" i="15"/>
  <c r="U390" i="15"/>
  <c r="V390" i="15"/>
  <c r="W390" i="15"/>
  <c r="X390" i="15"/>
  <c r="Y390" i="15"/>
  <c r="Z390" i="15"/>
  <c r="AA390" i="15"/>
  <c r="AB390" i="15"/>
  <c r="AC390" i="15"/>
  <c r="AD390" i="15"/>
  <c r="AE390" i="15"/>
  <c r="AF390" i="15"/>
  <c r="AG390" i="15"/>
  <c r="AH390" i="15"/>
  <c r="AI390" i="15"/>
  <c r="AJ390" i="15"/>
  <c r="AK390" i="15"/>
  <c r="AL390" i="15"/>
  <c r="AM390" i="15"/>
  <c r="AN390" i="15"/>
  <c r="AO390" i="15"/>
  <c r="S391" i="15"/>
  <c r="T391" i="15"/>
  <c r="U391" i="15"/>
  <c r="V391" i="15"/>
  <c r="W391" i="15"/>
  <c r="X391" i="15"/>
  <c r="Y391" i="15"/>
  <c r="Z391" i="15"/>
  <c r="AA391" i="15"/>
  <c r="AB391" i="15"/>
  <c r="AC391" i="15"/>
  <c r="AD391" i="15"/>
  <c r="AE391" i="15"/>
  <c r="AF391" i="15"/>
  <c r="AG391" i="15"/>
  <c r="AH391" i="15"/>
  <c r="AI391" i="15"/>
  <c r="AJ391" i="15"/>
  <c r="AK391" i="15"/>
  <c r="AL391" i="15"/>
  <c r="AM391" i="15"/>
  <c r="AN391" i="15"/>
  <c r="AO391" i="15"/>
  <c r="S392" i="15"/>
  <c r="T392" i="15"/>
  <c r="U392" i="15"/>
  <c r="V392" i="15"/>
  <c r="W392" i="15"/>
  <c r="X392" i="15"/>
  <c r="Y392" i="15"/>
  <c r="Z392" i="15"/>
  <c r="AA392" i="15"/>
  <c r="AB392" i="15"/>
  <c r="AC392" i="15"/>
  <c r="AD392" i="15"/>
  <c r="AE392" i="15"/>
  <c r="AF392" i="15"/>
  <c r="AG392" i="15"/>
  <c r="AH392" i="15"/>
  <c r="AI392" i="15"/>
  <c r="AJ392" i="15"/>
  <c r="AK392" i="15"/>
  <c r="AL392" i="15"/>
  <c r="AM392" i="15"/>
  <c r="AN392" i="15"/>
  <c r="AO392" i="15"/>
  <c r="S393" i="15"/>
  <c r="T393" i="15"/>
  <c r="U393" i="15"/>
  <c r="V393" i="15"/>
  <c r="W393" i="15"/>
  <c r="X393" i="15"/>
  <c r="Y393" i="15"/>
  <c r="Z393" i="15"/>
  <c r="AA393" i="15"/>
  <c r="AB393" i="15"/>
  <c r="AC393" i="15"/>
  <c r="AD393" i="15"/>
  <c r="AE393" i="15"/>
  <c r="AF393" i="15"/>
  <c r="AG393" i="15"/>
  <c r="AH393" i="15"/>
  <c r="AI393" i="15"/>
  <c r="AJ393" i="15"/>
  <c r="AK393" i="15"/>
  <c r="AL393" i="15"/>
  <c r="AM393" i="15"/>
  <c r="AN393" i="15"/>
  <c r="AO393" i="15"/>
  <c r="S394" i="15"/>
  <c r="T394" i="15"/>
  <c r="U394" i="15"/>
  <c r="V394" i="15"/>
  <c r="W394" i="15"/>
  <c r="X394" i="15"/>
  <c r="Y394" i="15"/>
  <c r="Z394" i="15"/>
  <c r="AA394" i="15"/>
  <c r="AB394" i="15"/>
  <c r="AC394" i="15"/>
  <c r="AD394" i="15"/>
  <c r="AE394" i="15"/>
  <c r="AF394" i="15"/>
  <c r="AG394" i="15"/>
  <c r="AH394" i="15"/>
  <c r="AI394" i="15"/>
  <c r="AJ394" i="15"/>
  <c r="AK394" i="15"/>
  <c r="AL394" i="15"/>
  <c r="AM394" i="15"/>
  <c r="AN394" i="15"/>
  <c r="AO394" i="15"/>
  <c r="S395" i="15"/>
  <c r="T395" i="15"/>
  <c r="U395" i="15"/>
  <c r="V395" i="15"/>
  <c r="W395" i="15"/>
  <c r="X395" i="15"/>
  <c r="Y395" i="15"/>
  <c r="Z395" i="15"/>
  <c r="AA395" i="15"/>
  <c r="AB395" i="15"/>
  <c r="AC395" i="15"/>
  <c r="AD395" i="15"/>
  <c r="AE395" i="15"/>
  <c r="AF395" i="15"/>
  <c r="AG395" i="15"/>
  <c r="AH395" i="15"/>
  <c r="AI395" i="15"/>
  <c r="AJ395" i="15"/>
  <c r="AK395" i="15"/>
  <c r="AL395" i="15"/>
  <c r="AM395" i="15"/>
  <c r="AN395" i="15"/>
  <c r="AO395" i="15"/>
  <c r="S396" i="15"/>
  <c r="T396" i="15"/>
  <c r="U396" i="15"/>
  <c r="V396" i="15"/>
  <c r="W396" i="15"/>
  <c r="X396" i="15"/>
  <c r="Y396" i="15"/>
  <c r="Z396" i="15"/>
  <c r="AA396" i="15"/>
  <c r="AB396" i="15"/>
  <c r="AC396" i="15"/>
  <c r="AD396" i="15"/>
  <c r="AE396" i="15"/>
  <c r="AF396" i="15"/>
  <c r="AG396" i="15"/>
  <c r="AH396" i="15"/>
  <c r="AI396" i="15"/>
  <c r="AJ396" i="15"/>
  <c r="AK396" i="15"/>
  <c r="AL396" i="15"/>
  <c r="AM396" i="15"/>
  <c r="AN396" i="15"/>
  <c r="AO396" i="15"/>
  <c r="S397" i="15"/>
  <c r="T397" i="15"/>
  <c r="U397" i="15"/>
  <c r="V397" i="15"/>
  <c r="W397" i="15"/>
  <c r="X397" i="15"/>
  <c r="Y397" i="15"/>
  <c r="Z397" i="15"/>
  <c r="AA397" i="15"/>
  <c r="AB397" i="15"/>
  <c r="AC397" i="15"/>
  <c r="AD397" i="15"/>
  <c r="AE397" i="15"/>
  <c r="AF397" i="15"/>
  <c r="AG397" i="15"/>
  <c r="AH397" i="15"/>
  <c r="AI397" i="15"/>
  <c r="AJ397" i="15"/>
  <c r="AK397" i="15"/>
  <c r="AL397" i="15"/>
  <c r="AM397" i="15"/>
  <c r="AN397" i="15"/>
  <c r="AO397" i="15"/>
  <c r="S398" i="15"/>
  <c r="T398" i="15"/>
  <c r="U398" i="15"/>
  <c r="V398" i="15"/>
  <c r="W398" i="15"/>
  <c r="X398" i="15"/>
  <c r="Y398" i="15"/>
  <c r="Z398" i="15"/>
  <c r="AA398" i="15"/>
  <c r="AB398" i="15"/>
  <c r="AC398" i="15"/>
  <c r="AD398" i="15"/>
  <c r="AE398" i="15"/>
  <c r="AF398" i="15"/>
  <c r="AG398" i="15"/>
  <c r="AH398" i="15"/>
  <c r="AI398" i="15"/>
  <c r="AJ398" i="15"/>
  <c r="AK398" i="15"/>
  <c r="AL398" i="15"/>
  <c r="AM398" i="15"/>
  <c r="AN398" i="15"/>
  <c r="AO398" i="15"/>
  <c r="S399" i="15"/>
  <c r="T399" i="15"/>
  <c r="U399" i="15"/>
  <c r="V399" i="15"/>
  <c r="W399" i="15"/>
  <c r="X399" i="15"/>
  <c r="Y399" i="15"/>
  <c r="Z399" i="15"/>
  <c r="AA399" i="15"/>
  <c r="AB399" i="15"/>
  <c r="AC399" i="15"/>
  <c r="AD399" i="15"/>
  <c r="AE399" i="15"/>
  <c r="AF399" i="15"/>
  <c r="AG399" i="15"/>
  <c r="AH399" i="15"/>
  <c r="AI399" i="15"/>
  <c r="AJ399" i="15"/>
  <c r="AK399" i="15"/>
  <c r="AL399" i="15"/>
  <c r="AM399" i="15"/>
  <c r="AN399" i="15"/>
  <c r="AO399" i="15"/>
  <c r="S400" i="15"/>
  <c r="T400" i="15"/>
  <c r="U400" i="15"/>
  <c r="V400" i="15"/>
  <c r="W400" i="15"/>
  <c r="X400" i="15"/>
  <c r="Y400" i="15"/>
  <c r="Z400" i="15"/>
  <c r="AA400" i="15"/>
  <c r="AB400" i="15"/>
  <c r="AC400" i="15"/>
  <c r="AD400" i="15"/>
  <c r="AE400" i="15"/>
  <c r="AF400" i="15"/>
  <c r="AG400" i="15"/>
  <c r="AH400" i="15"/>
  <c r="AI400" i="15"/>
  <c r="AJ400" i="15"/>
  <c r="AK400" i="15"/>
  <c r="AL400" i="15"/>
  <c r="AM400" i="15"/>
  <c r="AN400" i="15"/>
  <c r="AO400" i="15"/>
  <c r="S401" i="15"/>
  <c r="T401" i="15"/>
  <c r="U401" i="15"/>
  <c r="V401" i="15"/>
  <c r="W401" i="15"/>
  <c r="X401" i="15"/>
  <c r="Y401" i="15"/>
  <c r="Z401" i="15"/>
  <c r="AA401" i="15"/>
  <c r="AB401" i="15"/>
  <c r="AC401" i="15"/>
  <c r="AD401" i="15"/>
  <c r="AE401" i="15"/>
  <c r="AF401" i="15"/>
  <c r="AG401" i="15"/>
  <c r="AH401" i="15"/>
  <c r="AI401" i="15"/>
  <c r="AJ401" i="15"/>
  <c r="AK401" i="15"/>
  <c r="AL401" i="15"/>
  <c r="AM401" i="15"/>
  <c r="AN401" i="15"/>
  <c r="AO401" i="15"/>
  <c r="S402" i="15"/>
  <c r="T402" i="15"/>
  <c r="U402" i="15"/>
  <c r="V402" i="15"/>
  <c r="W402" i="15"/>
  <c r="X402" i="15"/>
  <c r="Y402" i="15"/>
  <c r="Z402" i="15"/>
  <c r="AA402" i="15"/>
  <c r="AB402" i="15"/>
  <c r="AC402" i="15"/>
  <c r="AD402" i="15"/>
  <c r="AE402" i="15"/>
  <c r="AF402" i="15"/>
  <c r="AG402" i="15"/>
  <c r="AH402" i="15"/>
  <c r="AI402" i="15"/>
  <c r="AJ402" i="15"/>
  <c r="AK402" i="15"/>
  <c r="AL402" i="15"/>
  <c r="AM402" i="15"/>
  <c r="AN402" i="15"/>
  <c r="AO402" i="15"/>
  <c r="S403" i="15"/>
  <c r="T403" i="15"/>
  <c r="U403" i="15"/>
  <c r="V403" i="15"/>
  <c r="W403" i="15"/>
  <c r="X403" i="15"/>
  <c r="Y403" i="15"/>
  <c r="Z403" i="15"/>
  <c r="AA403" i="15"/>
  <c r="AB403" i="15"/>
  <c r="AC403" i="15"/>
  <c r="AD403" i="15"/>
  <c r="AE403" i="15"/>
  <c r="AF403" i="15"/>
  <c r="AG403" i="15"/>
  <c r="AH403" i="15"/>
  <c r="AI403" i="15"/>
  <c r="AJ403" i="15"/>
  <c r="AK403" i="15"/>
  <c r="AL403" i="15"/>
  <c r="AM403" i="15"/>
  <c r="AN403" i="15"/>
  <c r="AO403" i="15"/>
  <c r="S404" i="15"/>
  <c r="T404" i="15"/>
  <c r="U404" i="15"/>
  <c r="V404" i="15"/>
  <c r="W404" i="15"/>
  <c r="X404" i="15"/>
  <c r="Y404" i="15"/>
  <c r="Z404" i="15"/>
  <c r="AA404" i="15"/>
  <c r="AB404" i="15"/>
  <c r="AC404" i="15"/>
  <c r="AD404" i="15"/>
  <c r="AE404" i="15"/>
  <c r="AF404" i="15"/>
  <c r="AG404" i="15"/>
  <c r="AH404" i="15"/>
  <c r="AI404" i="15"/>
  <c r="AJ404" i="15"/>
  <c r="AK404" i="15"/>
  <c r="AL404" i="15"/>
  <c r="AM404" i="15"/>
  <c r="AN404" i="15"/>
  <c r="AO404" i="15"/>
  <c r="S405" i="15"/>
  <c r="T405" i="15"/>
  <c r="U405" i="15"/>
  <c r="V405" i="15"/>
  <c r="W405" i="15"/>
  <c r="X405" i="15"/>
  <c r="Y405" i="15"/>
  <c r="Z405" i="15"/>
  <c r="AA405" i="15"/>
  <c r="AB405" i="15"/>
  <c r="AC405" i="15"/>
  <c r="AD405" i="15"/>
  <c r="AE405" i="15"/>
  <c r="AF405" i="15"/>
  <c r="AG405" i="15"/>
  <c r="AH405" i="15"/>
  <c r="AI405" i="15"/>
  <c r="AJ405" i="15"/>
  <c r="AK405" i="15"/>
  <c r="AL405" i="15"/>
  <c r="AM405" i="15"/>
  <c r="AN405" i="15"/>
  <c r="AO405" i="15"/>
  <c r="S406" i="15"/>
  <c r="T406" i="15"/>
  <c r="U406" i="15"/>
  <c r="V406" i="15"/>
  <c r="W406" i="15"/>
  <c r="X406" i="15"/>
  <c r="Y406" i="15"/>
  <c r="Z406" i="15"/>
  <c r="AA406" i="15"/>
  <c r="AB406" i="15"/>
  <c r="AC406" i="15"/>
  <c r="AD406" i="15"/>
  <c r="AE406" i="15"/>
  <c r="AF406" i="15"/>
  <c r="AG406" i="15"/>
  <c r="AH406" i="15"/>
  <c r="AI406" i="15"/>
  <c r="AJ406" i="15"/>
  <c r="AK406" i="15"/>
  <c r="AL406" i="15"/>
  <c r="AM406" i="15"/>
  <c r="AN406" i="15"/>
  <c r="AO406" i="15"/>
  <c r="S407" i="15"/>
  <c r="T407" i="15"/>
  <c r="U407" i="15"/>
  <c r="V407" i="15"/>
  <c r="W407" i="15"/>
  <c r="X407" i="15"/>
  <c r="Y407" i="15"/>
  <c r="Z407" i="15"/>
  <c r="AA407" i="15"/>
  <c r="AB407" i="15"/>
  <c r="AC407" i="15"/>
  <c r="AD407" i="15"/>
  <c r="AE407" i="15"/>
  <c r="AF407" i="15"/>
  <c r="AG407" i="15"/>
  <c r="AH407" i="15"/>
  <c r="AI407" i="15"/>
  <c r="AJ407" i="15"/>
  <c r="AK407" i="15"/>
  <c r="AL407" i="15"/>
  <c r="AM407" i="15"/>
  <c r="AN407" i="15"/>
  <c r="AO407" i="15"/>
  <c r="S408" i="15"/>
  <c r="T408" i="15"/>
  <c r="U408" i="15"/>
  <c r="V408" i="15"/>
  <c r="W408" i="15"/>
  <c r="X408" i="15"/>
  <c r="Y408" i="15"/>
  <c r="Z408" i="15"/>
  <c r="AA408" i="15"/>
  <c r="AB408" i="15"/>
  <c r="AC408" i="15"/>
  <c r="AD408" i="15"/>
  <c r="AE408" i="15"/>
  <c r="AF408" i="15"/>
  <c r="AG408" i="15"/>
  <c r="AH408" i="15"/>
  <c r="AI408" i="15"/>
  <c r="AJ408" i="15"/>
  <c r="AK408" i="15"/>
  <c r="AL408" i="15"/>
  <c r="AM408" i="15"/>
  <c r="AN408" i="15"/>
  <c r="AO408" i="15"/>
  <c r="S409" i="15"/>
  <c r="T409" i="15"/>
  <c r="U409" i="15"/>
  <c r="V409" i="15"/>
  <c r="W409" i="15"/>
  <c r="X409" i="15"/>
  <c r="Y409" i="15"/>
  <c r="Z409" i="15"/>
  <c r="AA409" i="15"/>
  <c r="AB409" i="15"/>
  <c r="AC409" i="15"/>
  <c r="AD409" i="15"/>
  <c r="AE409" i="15"/>
  <c r="AF409" i="15"/>
  <c r="AG409" i="15"/>
  <c r="AH409" i="15"/>
  <c r="AI409" i="15"/>
  <c r="AJ409" i="15"/>
  <c r="AK409" i="15"/>
  <c r="AL409" i="15"/>
  <c r="AM409" i="15"/>
  <c r="AN409" i="15"/>
  <c r="AO409" i="15"/>
  <c r="S410" i="15"/>
  <c r="T410" i="15"/>
  <c r="U410" i="15"/>
  <c r="V410" i="15"/>
  <c r="W410" i="15"/>
  <c r="X410" i="15"/>
  <c r="Y410" i="15"/>
  <c r="Z410" i="15"/>
  <c r="AA410" i="15"/>
  <c r="AB410" i="15"/>
  <c r="AC410" i="15"/>
  <c r="AD410" i="15"/>
  <c r="AE410" i="15"/>
  <c r="AF410" i="15"/>
  <c r="AG410" i="15"/>
  <c r="AH410" i="15"/>
  <c r="AI410" i="15"/>
  <c r="AJ410" i="15"/>
  <c r="AK410" i="15"/>
  <c r="AL410" i="15"/>
  <c r="AM410" i="15"/>
  <c r="AN410" i="15"/>
  <c r="AO410" i="15"/>
  <c r="S411" i="15"/>
  <c r="T411" i="15"/>
  <c r="U411" i="15"/>
  <c r="V411" i="15"/>
  <c r="W411" i="15"/>
  <c r="X411" i="15"/>
  <c r="Y411" i="15"/>
  <c r="Z411" i="15"/>
  <c r="AA411" i="15"/>
  <c r="AB411" i="15"/>
  <c r="AC411" i="15"/>
  <c r="AD411" i="15"/>
  <c r="AE411" i="15"/>
  <c r="AF411" i="15"/>
  <c r="AG411" i="15"/>
  <c r="AH411" i="15"/>
  <c r="AI411" i="15"/>
  <c r="AJ411" i="15"/>
  <c r="AK411" i="15"/>
  <c r="AL411" i="15"/>
  <c r="AM411" i="15"/>
  <c r="AN411" i="15"/>
  <c r="AO411" i="15"/>
  <c r="S412" i="15"/>
  <c r="T412" i="15"/>
  <c r="U412" i="15"/>
  <c r="V412" i="15"/>
  <c r="W412" i="15"/>
  <c r="X412" i="15"/>
  <c r="Y412" i="15"/>
  <c r="Z412" i="15"/>
  <c r="AA412" i="15"/>
  <c r="AB412" i="15"/>
  <c r="AC412" i="15"/>
  <c r="AD412" i="15"/>
  <c r="AE412" i="15"/>
  <c r="AF412" i="15"/>
  <c r="AG412" i="15"/>
  <c r="AH412" i="15"/>
  <c r="AI412" i="15"/>
  <c r="AJ412" i="15"/>
  <c r="AK412" i="15"/>
  <c r="AL412" i="15"/>
  <c r="AM412" i="15"/>
  <c r="AN412" i="15"/>
  <c r="AO412" i="15"/>
  <c r="S413" i="15"/>
  <c r="T413" i="15"/>
  <c r="U413" i="15"/>
  <c r="V413" i="15"/>
  <c r="W413" i="15"/>
  <c r="X413" i="15"/>
  <c r="Y413" i="15"/>
  <c r="Z413" i="15"/>
  <c r="AA413" i="15"/>
  <c r="AB413" i="15"/>
  <c r="AC413" i="15"/>
  <c r="AD413" i="15"/>
  <c r="AE413" i="15"/>
  <c r="AF413" i="15"/>
  <c r="AG413" i="15"/>
  <c r="AH413" i="15"/>
  <c r="AI413" i="15"/>
  <c r="AJ413" i="15"/>
  <c r="AK413" i="15"/>
  <c r="AL413" i="15"/>
  <c r="AM413" i="15"/>
  <c r="AN413" i="15"/>
  <c r="AO413" i="15"/>
  <c r="S414" i="15"/>
  <c r="T414" i="15"/>
  <c r="U414" i="15"/>
  <c r="V414" i="15"/>
  <c r="W414" i="15"/>
  <c r="X414" i="15"/>
  <c r="Y414" i="15"/>
  <c r="Z414" i="15"/>
  <c r="AA414" i="15"/>
  <c r="AB414" i="15"/>
  <c r="AC414" i="15"/>
  <c r="AD414" i="15"/>
  <c r="AE414" i="15"/>
  <c r="AF414" i="15"/>
  <c r="AG414" i="15"/>
  <c r="AH414" i="15"/>
  <c r="AI414" i="15"/>
  <c r="AJ414" i="15"/>
  <c r="AK414" i="15"/>
  <c r="AL414" i="15"/>
  <c r="AM414" i="15"/>
  <c r="AN414" i="15"/>
  <c r="AO414" i="15"/>
  <c r="S415" i="15"/>
  <c r="T415" i="15"/>
  <c r="U415" i="15"/>
  <c r="V415" i="15"/>
  <c r="W415" i="15"/>
  <c r="X415" i="15"/>
  <c r="Y415" i="15"/>
  <c r="Z415" i="15"/>
  <c r="AA415" i="15"/>
  <c r="AB415" i="15"/>
  <c r="AC415" i="15"/>
  <c r="AD415" i="15"/>
  <c r="AE415" i="15"/>
  <c r="AF415" i="15"/>
  <c r="AG415" i="15"/>
  <c r="AH415" i="15"/>
  <c r="AI415" i="15"/>
  <c r="AJ415" i="15"/>
  <c r="AK415" i="15"/>
  <c r="AL415" i="15"/>
  <c r="AM415" i="15"/>
  <c r="AN415" i="15"/>
  <c r="AO415" i="15"/>
  <c r="S416" i="15"/>
  <c r="T416" i="15"/>
  <c r="U416" i="15"/>
  <c r="V416" i="15"/>
  <c r="W416" i="15"/>
  <c r="X416" i="15"/>
  <c r="Y416" i="15"/>
  <c r="Z416" i="15"/>
  <c r="AA416" i="15"/>
  <c r="AB416" i="15"/>
  <c r="AC416" i="15"/>
  <c r="AD416" i="15"/>
  <c r="AE416" i="15"/>
  <c r="AF416" i="15"/>
  <c r="AG416" i="15"/>
  <c r="AH416" i="15"/>
  <c r="AI416" i="15"/>
  <c r="AJ416" i="15"/>
  <c r="AK416" i="15"/>
  <c r="AL416" i="15"/>
  <c r="AM416" i="15"/>
  <c r="AN416" i="15"/>
  <c r="AO416" i="15"/>
  <c r="S417" i="15"/>
  <c r="T417" i="15"/>
  <c r="U417" i="15"/>
  <c r="V417" i="15"/>
  <c r="W417" i="15"/>
  <c r="X417" i="15"/>
  <c r="Y417" i="15"/>
  <c r="Z417" i="15"/>
  <c r="AA417" i="15"/>
  <c r="AB417" i="15"/>
  <c r="AC417" i="15"/>
  <c r="AD417" i="15"/>
  <c r="AE417" i="15"/>
  <c r="AF417" i="15"/>
  <c r="AG417" i="15"/>
  <c r="AH417" i="15"/>
  <c r="AI417" i="15"/>
  <c r="AJ417" i="15"/>
  <c r="AK417" i="15"/>
  <c r="AL417" i="15"/>
  <c r="AM417" i="15"/>
  <c r="AN417" i="15"/>
  <c r="AO417" i="15"/>
  <c r="S418" i="15"/>
  <c r="T418" i="15"/>
  <c r="U418" i="15"/>
  <c r="V418" i="15"/>
  <c r="W418" i="15"/>
  <c r="X418" i="15"/>
  <c r="Y418" i="15"/>
  <c r="Z418" i="15"/>
  <c r="AA418" i="15"/>
  <c r="AB418" i="15"/>
  <c r="AC418" i="15"/>
  <c r="AD418" i="15"/>
  <c r="AE418" i="15"/>
  <c r="AF418" i="15"/>
  <c r="AG418" i="15"/>
  <c r="AH418" i="15"/>
  <c r="AI418" i="15"/>
  <c r="AJ418" i="15"/>
  <c r="AK418" i="15"/>
  <c r="AL418" i="15"/>
  <c r="AM418" i="15"/>
  <c r="AN418" i="15"/>
  <c r="AO418" i="15"/>
  <c r="S419" i="15"/>
  <c r="T419" i="15"/>
  <c r="U419" i="15"/>
  <c r="V419" i="15"/>
  <c r="W419" i="15"/>
  <c r="X419" i="15"/>
  <c r="Y419" i="15"/>
  <c r="Z419" i="15"/>
  <c r="AA419" i="15"/>
  <c r="AB419" i="15"/>
  <c r="AC419" i="15"/>
  <c r="AD419" i="15"/>
  <c r="AE419" i="15"/>
  <c r="AF419" i="15"/>
  <c r="AG419" i="15"/>
  <c r="AH419" i="15"/>
  <c r="AI419" i="15"/>
  <c r="AJ419" i="15"/>
  <c r="AK419" i="15"/>
  <c r="AL419" i="15"/>
  <c r="AM419" i="15"/>
  <c r="AN419" i="15"/>
  <c r="AO419" i="15"/>
  <c r="S420" i="15"/>
  <c r="T420" i="15"/>
  <c r="U420" i="15"/>
  <c r="V420" i="15"/>
  <c r="W420" i="15"/>
  <c r="X420" i="15"/>
  <c r="Y420" i="15"/>
  <c r="Z420" i="15"/>
  <c r="AA420" i="15"/>
  <c r="AB420" i="15"/>
  <c r="AC420" i="15"/>
  <c r="AD420" i="15"/>
  <c r="AE420" i="15"/>
  <c r="AF420" i="15"/>
  <c r="AG420" i="15"/>
  <c r="AH420" i="15"/>
  <c r="AI420" i="15"/>
  <c r="AJ420" i="15"/>
  <c r="AK420" i="15"/>
  <c r="AL420" i="15"/>
  <c r="AM420" i="15"/>
  <c r="AN420" i="15"/>
  <c r="AO420" i="15"/>
  <c r="S421" i="15"/>
  <c r="T421" i="15"/>
  <c r="U421" i="15"/>
  <c r="V421" i="15"/>
  <c r="W421" i="15"/>
  <c r="X421" i="15"/>
  <c r="Y421" i="15"/>
  <c r="Z421" i="15"/>
  <c r="AA421" i="15"/>
  <c r="AB421" i="15"/>
  <c r="AC421" i="15"/>
  <c r="AD421" i="15"/>
  <c r="AE421" i="15"/>
  <c r="AF421" i="15"/>
  <c r="AG421" i="15"/>
  <c r="AH421" i="15"/>
  <c r="AI421" i="15"/>
  <c r="AJ421" i="15"/>
  <c r="AK421" i="15"/>
  <c r="AL421" i="15"/>
  <c r="AM421" i="15"/>
  <c r="AN421" i="15"/>
  <c r="AO421" i="15"/>
  <c r="S422" i="15"/>
  <c r="T422" i="15"/>
  <c r="U422" i="15"/>
  <c r="V422" i="15"/>
  <c r="W422" i="15"/>
  <c r="X422" i="15"/>
  <c r="Y422" i="15"/>
  <c r="Z422" i="15"/>
  <c r="AA422" i="15"/>
  <c r="AB422" i="15"/>
  <c r="AC422" i="15"/>
  <c r="AD422" i="15"/>
  <c r="AE422" i="15"/>
  <c r="AF422" i="15"/>
  <c r="AG422" i="15"/>
  <c r="AH422" i="15"/>
  <c r="AI422" i="15"/>
  <c r="AJ422" i="15"/>
  <c r="AK422" i="15"/>
  <c r="AL422" i="15"/>
  <c r="AM422" i="15"/>
  <c r="AN422" i="15"/>
  <c r="AO422" i="15"/>
  <c r="S423" i="15"/>
  <c r="T423" i="15"/>
  <c r="U423" i="15"/>
  <c r="V423" i="15"/>
  <c r="W423" i="15"/>
  <c r="X423" i="15"/>
  <c r="Y423" i="15"/>
  <c r="Z423" i="15"/>
  <c r="AA423" i="15"/>
  <c r="AB423" i="15"/>
  <c r="AC423" i="15"/>
  <c r="AD423" i="15"/>
  <c r="AE423" i="15"/>
  <c r="AF423" i="15"/>
  <c r="AG423" i="15"/>
  <c r="AH423" i="15"/>
  <c r="AI423" i="15"/>
  <c r="AJ423" i="15"/>
  <c r="AK423" i="15"/>
  <c r="AL423" i="15"/>
  <c r="AM423" i="15"/>
  <c r="AN423" i="15"/>
  <c r="AO423" i="15"/>
  <c r="S424" i="15"/>
  <c r="T424" i="15"/>
  <c r="U424" i="15"/>
  <c r="V424" i="15"/>
  <c r="W424" i="15"/>
  <c r="X424" i="15"/>
  <c r="Y424" i="15"/>
  <c r="Z424" i="15"/>
  <c r="AA424" i="15"/>
  <c r="AB424" i="15"/>
  <c r="AC424" i="15"/>
  <c r="AD424" i="15"/>
  <c r="AE424" i="15"/>
  <c r="AF424" i="15"/>
  <c r="AG424" i="15"/>
  <c r="AH424" i="15"/>
  <c r="AI424" i="15"/>
  <c r="AJ424" i="15"/>
  <c r="AK424" i="15"/>
  <c r="AL424" i="15"/>
  <c r="AM424" i="15"/>
  <c r="AN424" i="15"/>
  <c r="AO424" i="15"/>
  <c r="S425" i="15"/>
  <c r="T425" i="15"/>
  <c r="U425" i="15"/>
  <c r="V425" i="15"/>
  <c r="W425" i="15"/>
  <c r="X425" i="15"/>
  <c r="Y425" i="15"/>
  <c r="Z425" i="15"/>
  <c r="AA425" i="15"/>
  <c r="AB425" i="15"/>
  <c r="AC425" i="15"/>
  <c r="AD425" i="15"/>
  <c r="AE425" i="15"/>
  <c r="AF425" i="15"/>
  <c r="AG425" i="15"/>
  <c r="AH425" i="15"/>
  <c r="AI425" i="15"/>
  <c r="AJ425" i="15"/>
  <c r="AK425" i="15"/>
  <c r="AL425" i="15"/>
  <c r="AM425" i="15"/>
  <c r="AN425" i="15"/>
  <c r="AO425" i="15"/>
  <c r="S426" i="15"/>
  <c r="T426" i="15"/>
  <c r="U426" i="15"/>
  <c r="V426" i="15"/>
  <c r="W426" i="15"/>
  <c r="X426" i="15"/>
  <c r="Y426" i="15"/>
  <c r="Z426" i="15"/>
  <c r="AA426" i="15"/>
  <c r="AB426" i="15"/>
  <c r="AC426" i="15"/>
  <c r="AD426" i="15"/>
  <c r="AE426" i="15"/>
  <c r="AF426" i="15"/>
  <c r="AG426" i="15"/>
  <c r="AH426" i="15"/>
  <c r="AI426" i="15"/>
  <c r="AJ426" i="15"/>
  <c r="AK426" i="15"/>
  <c r="AL426" i="15"/>
  <c r="AM426" i="15"/>
  <c r="AN426" i="15"/>
  <c r="AO426" i="15"/>
  <c r="S427" i="15"/>
  <c r="T427" i="15"/>
  <c r="U427" i="15"/>
  <c r="V427" i="15"/>
  <c r="W427" i="15"/>
  <c r="X427" i="15"/>
  <c r="Y427" i="15"/>
  <c r="Z427" i="15"/>
  <c r="AA427" i="15"/>
  <c r="AB427" i="15"/>
  <c r="AC427" i="15"/>
  <c r="AD427" i="15"/>
  <c r="AE427" i="15"/>
  <c r="AF427" i="15"/>
  <c r="AG427" i="15"/>
  <c r="AH427" i="15"/>
  <c r="AI427" i="15"/>
  <c r="AJ427" i="15"/>
  <c r="AK427" i="15"/>
  <c r="AL427" i="15"/>
  <c r="AM427" i="15"/>
  <c r="AN427" i="15"/>
  <c r="AO427" i="15"/>
  <c r="S428" i="15"/>
  <c r="T428" i="15"/>
  <c r="U428" i="15"/>
  <c r="V428" i="15"/>
  <c r="W428" i="15"/>
  <c r="X428" i="15"/>
  <c r="Y428" i="15"/>
  <c r="Z428" i="15"/>
  <c r="AA428" i="15"/>
  <c r="AB428" i="15"/>
  <c r="AC428" i="15"/>
  <c r="AD428" i="15"/>
  <c r="AE428" i="15"/>
  <c r="AF428" i="15"/>
  <c r="AG428" i="15"/>
  <c r="AH428" i="15"/>
  <c r="AI428" i="15"/>
  <c r="AJ428" i="15"/>
  <c r="AK428" i="15"/>
  <c r="AL428" i="15"/>
  <c r="AM428" i="15"/>
  <c r="AN428" i="15"/>
  <c r="AO428" i="15"/>
  <c r="S429" i="15"/>
  <c r="T429" i="15"/>
  <c r="U429" i="15"/>
  <c r="V429" i="15"/>
  <c r="W429" i="15"/>
  <c r="X429" i="15"/>
  <c r="Y429" i="15"/>
  <c r="Z429" i="15"/>
  <c r="AA429" i="15"/>
  <c r="AB429" i="15"/>
  <c r="AC429" i="15"/>
  <c r="AD429" i="15"/>
  <c r="AE429" i="15"/>
  <c r="AF429" i="15"/>
  <c r="AG429" i="15"/>
  <c r="AH429" i="15"/>
  <c r="AI429" i="15"/>
  <c r="AJ429" i="15"/>
  <c r="AK429" i="15"/>
  <c r="AL429" i="15"/>
  <c r="AM429" i="15"/>
  <c r="AN429" i="15"/>
  <c r="AO429" i="15"/>
  <c r="S430" i="15"/>
  <c r="T430" i="15"/>
  <c r="U430" i="15"/>
  <c r="V430" i="15"/>
  <c r="W430" i="15"/>
  <c r="X430" i="15"/>
  <c r="Y430" i="15"/>
  <c r="Z430" i="15"/>
  <c r="AA430" i="15"/>
  <c r="AB430" i="15"/>
  <c r="AC430" i="15"/>
  <c r="AD430" i="15"/>
  <c r="AE430" i="15"/>
  <c r="AF430" i="15"/>
  <c r="AG430" i="15"/>
  <c r="AH430" i="15"/>
  <c r="AI430" i="15"/>
  <c r="AJ430" i="15"/>
  <c r="AK430" i="15"/>
  <c r="AL430" i="15"/>
  <c r="AM430" i="15"/>
  <c r="AN430" i="15"/>
  <c r="AO430" i="15"/>
  <c r="S431" i="15"/>
  <c r="T431" i="15"/>
  <c r="U431" i="15"/>
  <c r="V431" i="15"/>
  <c r="W431" i="15"/>
  <c r="X431" i="15"/>
  <c r="Y431" i="15"/>
  <c r="Z431" i="15"/>
  <c r="AA431" i="15"/>
  <c r="AB431" i="15"/>
  <c r="AC431" i="15"/>
  <c r="AD431" i="15"/>
  <c r="AE431" i="15"/>
  <c r="AF431" i="15"/>
  <c r="AG431" i="15"/>
  <c r="AH431" i="15"/>
  <c r="AI431" i="15"/>
  <c r="AJ431" i="15"/>
  <c r="AK431" i="15"/>
  <c r="AL431" i="15"/>
  <c r="AM431" i="15"/>
  <c r="AN431" i="15"/>
  <c r="AO431" i="15"/>
  <c r="S432" i="15"/>
  <c r="T432" i="15"/>
  <c r="U432" i="15"/>
  <c r="V432" i="15"/>
  <c r="W432" i="15"/>
  <c r="X432" i="15"/>
  <c r="Y432" i="15"/>
  <c r="Z432" i="15"/>
  <c r="AA432" i="15"/>
  <c r="AB432" i="15"/>
  <c r="AC432" i="15"/>
  <c r="AD432" i="15"/>
  <c r="AE432" i="15"/>
  <c r="AF432" i="15"/>
  <c r="AG432" i="15"/>
  <c r="AH432" i="15"/>
  <c r="AI432" i="15"/>
  <c r="AJ432" i="15"/>
  <c r="AK432" i="15"/>
  <c r="AL432" i="15"/>
  <c r="AM432" i="15"/>
  <c r="AN432" i="15"/>
  <c r="AO432" i="15"/>
  <c r="S433" i="15"/>
  <c r="T433" i="15"/>
  <c r="U433" i="15"/>
  <c r="V433" i="15"/>
  <c r="W433" i="15"/>
  <c r="X433" i="15"/>
  <c r="Y433" i="15"/>
  <c r="Z433" i="15"/>
  <c r="AA433" i="15"/>
  <c r="AB433" i="15"/>
  <c r="AC433" i="15"/>
  <c r="AD433" i="15"/>
  <c r="AE433" i="15"/>
  <c r="AF433" i="15"/>
  <c r="AG433" i="15"/>
  <c r="AH433" i="15"/>
  <c r="AI433" i="15"/>
  <c r="AJ433" i="15"/>
  <c r="AK433" i="15"/>
  <c r="AL433" i="15"/>
  <c r="AM433" i="15"/>
  <c r="AN433" i="15"/>
  <c r="AO433" i="15"/>
  <c r="S434" i="15"/>
  <c r="T434" i="15"/>
  <c r="U434" i="15"/>
  <c r="V434" i="15"/>
  <c r="W434" i="15"/>
  <c r="X434" i="15"/>
  <c r="Y434" i="15"/>
  <c r="Z434" i="15"/>
  <c r="AA434" i="15"/>
  <c r="AB434" i="15"/>
  <c r="AC434" i="15"/>
  <c r="AD434" i="15"/>
  <c r="AE434" i="15"/>
  <c r="AF434" i="15"/>
  <c r="AG434" i="15"/>
  <c r="AH434" i="15"/>
  <c r="AI434" i="15"/>
  <c r="AJ434" i="15"/>
  <c r="AK434" i="15"/>
  <c r="AL434" i="15"/>
  <c r="AM434" i="15"/>
  <c r="AN434" i="15"/>
  <c r="AO434" i="15"/>
  <c r="S435" i="15"/>
  <c r="T435" i="15"/>
  <c r="U435" i="15"/>
  <c r="V435" i="15"/>
  <c r="W435" i="15"/>
  <c r="X435" i="15"/>
  <c r="Y435" i="15"/>
  <c r="Z435" i="15"/>
  <c r="AA435" i="15"/>
  <c r="AB435" i="15"/>
  <c r="AC435" i="15"/>
  <c r="AD435" i="15"/>
  <c r="AE435" i="15"/>
  <c r="AF435" i="15"/>
  <c r="AG435" i="15"/>
  <c r="AH435" i="15"/>
  <c r="AI435" i="15"/>
  <c r="AJ435" i="15"/>
  <c r="AK435" i="15"/>
  <c r="AL435" i="15"/>
  <c r="AM435" i="15"/>
  <c r="AN435" i="15"/>
  <c r="AO435" i="15"/>
  <c r="S436" i="15"/>
  <c r="T436" i="15"/>
  <c r="U436" i="15"/>
  <c r="V436" i="15"/>
  <c r="W436" i="15"/>
  <c r="X436" i="15"/>
  <c r="Y436" i="15"/>
  <c r="Z436" i="15"/>
  <c r="AA436" i="15"/>
  <c r="AB436" i="15"/>
  <c r="AC436" i="15"/>
  <c r="AD436" i="15"/>
  <c r="AE436" i="15"/>
  <c r="AF436" i="15"/>
  <c r="AG436" i="15"/>
  <c r="AH436" i="15"/>
  <c r="AI436" i="15"/>
  <c r="AJ436" i="15"/>
  <c r="AK436" i="15"/>
  <c r="AL436" i="15"/>
  <c r="AM436" i="15"/>
  <c r="AN436" i="15"/>
  <c r="AO436" i="15"/>
  <c r="S437" i="15"/>
  <c r="T437" i="15"/>
  <c r="U437" i="15"/>
  <c r="V437" i="15"/>
  <c r="W437" i="15"/>
  <c r="X437" i="15"/>
  <c r="Y437" i="15"/>
  <c r="Z437" i="15"/>
  <c r="AA437" i="15"/>
  <c r="AB437" i="15"/>
  <c r="AC437" i="15"/>
  <c r="AD437" i="15"/>
  <c r="AE437" i="15"/>
  <c r="AF437" i="15"/>
  <c r="AG437" i="15"/>
  <c r="AH437" i="15"/>
  <c r="AI437" i="15"/>
  <c r="AJ437" i="15"/>
  <c r="AK437" i="15"/>
  <c r="AL437" i="15"/>
  <c r="AM437" i="15"/>
  <c r="AN437" i="15"/>
  <c r="AO437" i="15"/>
  <c r="S438" i="15"/>
  <c r="T438" i="15"/>
  <c r="U438" i="15"/>
  <c r="V438" i="15"/>
  <c r="W438" i="15"/>
  <c r="X438" i="15"/>
  <c r="Y438" i="15"/>
  <c r="Z438" i="15"/>
  <c r="AA438" i="15"/>
  <c r="AB438" i="15"/>
  <c r="AC438" i="15"/>
  <c r="AD438" i="15"/>
  <c r="AE438" i="15"/>
  <c r="AF438" i="15"/>
  <c r="AG438" i="15"/>
  <c r="AH438" i="15"/>
  <c r="AI438" i="15"/>
  <c r="AJ438" i="15"/>
  <c r="AK438" i="15"/>
  <c r="AL438" i="15"/>
  <c r="AM438" i="15"/>
  <c r="AN438" i="15"/>
  <c r="AO438" i="15"/>
  <c r="S439" i="15"/>
  <c r="T439" i="15"/>
  <c r="U439" i="15"/>
  <c r="V439" i="15"/>
  <c r="W439" i="15"/>
  <c r="X439" i="15"/>
  <c r="Y439" i="15"/>
  <c r="Z439" i="15"/>
  <c r="AA439" i="15"/>
  <c r="AB439" i="15"/>
  <c r="AC439" i="15"/>
  <c r="AD439" i="15"/>
  <c r="AE439" i="15"/>
  <c r="AF439" i="15"/>
  <c r="AG439" i="15"/>
  <c r="AH439" i="15"/>
  <c r="AI439" i="15"/>
  <c r="AJ439" i="15"/>
  <c r="AK439" i="15"/>
  <c r="AL439" i="15"/>
  <c r="AM439" i="15"/>
  <c r="AN439" i="15"/>
  <c r="AO439" i="15"/>
  <c r="S440" i="15"/>
  <c r="T440" i="15"/>
  <c r="U440" i="15"/>
  <c r="V440" i="15"/>
  <c r="W440" i="15"/>
  <c r="X440" i="15"/>
  <c r="Y440" i="15"/>
  <c r="Z440" i="15"/>
  <c r="AA440" i="15"/>
  <c r="AB440" i="15"/>
  <c r="AC440" i="15"/>
  <c r="AD440" i="15"/>
  <c r="AE440" i="15"/>
  <c r="AF440" i="15"/>
  <c r="AG440" i="15"/>
  <c r="AH440" i="15"/>
  <c r="AI440" i="15"/>
  <c r="AJ440" i="15"/>
  <c r="AK440" i="15"/>
  <c r="AL440" i="15"/>
  <c r="AM440" i="15"/>
  <c r="AN440" i="15"/>
  <c r="AO440" i="15"/>
  <c r="S441" i="15"/>
  <c r="T441" i="15"/>
  <c r="U441" i="15"/>
  <c r="V441" i="15"/>
  <c r="W441" i="15"/>
  <c r="X441" i="15"/>
  <c r="Y441" i="15"/>
  <c r="Z441" i="15"/>
  <c r="AA441" i="15"/>
  <c r="AB441" i="15"/>
  <c r="AC441" i="15"/>
  <c r="AD441" i="15"/>
  <c r="AE441" i="15"/>
  <c r="AF441" i="15"/>
  <c r="AG441" i="15"/>
  <c r="AH441" i="15"/>
  <c r="AI441" i="15"/>
  <c r="AJ441" i="15"/>
  <c r="AK441" i="15"/>
  <c r="AL441" i="15"/>
  <c r="AM441" i="15"/>
  <c r="AN441" i="15"/>
  <c r="AO441" i="15"/>
  <c r="S442" i="15"/>
  <c r="T442" i="15"/>
  <c r="U442" i="15"/>
  <c r="V442" i="15"/>
  <c r="W442" i="15"/>
  <c r="X442" i="15"/>
  <c r="Y442" i="15"/>
  <c r="Z442" i="15"/>
  <c r="AA442" i="15"/>
  <c r="AB442" i="15"/>
  <c r="AC442" i="15"/>
  <c r="AD442" i="15"/>
  <c r="AE442" i="15"/>
  <c r="AF442" i="15"/>
  <c r="AG442" i="15"/>
  <c r="AH442" i="15"/>
  <c r="AI442" i="15"/>
  <c r="AJ442" i="15"/>
  <c r="AK442" i="15"/>
  <c r="AL442" i="15"/>
  <c r="AM442" i="15"/>
  <c r="AN442" i="15"/>
  <c r="AO442" i="15"/>
  <c r="S443" i="15"/>
  <c r="T443" i="15"/>
  <c r="U443" i="15"/>
  <c r="V443" i="15"/>
  <c r="W443" i="15"/>
  <c r="X443" i="15"/>
  <c r="Y443" i="15"/>
  <c r="Z443" i="15"/>
  <c r="AA443" i="15"/>
  <c r="AB443" i="15"/>
  <c r="AC443" i="15"/>
  <c r="AD443" i="15"/>
  <c r="AE443" i="15"/>
  <c r="AF443" i="15"/>
  <c r="AG443" i="15"/>
  <c r="AH443" i="15"/>
  <c r="AI443" i="15"/>
  <c r="AJ443" i="15"/>
  <c r="AK443" i="15"/>
  <c r="AL443" i="15"/>
  <c r="AM443" i="15"/>
  <c r="AN443" i="15"/>
  <c r="AO443" i="15"/>
  <c r="S444" i="15"/>
  <c r="T444" i="15"/>
  <c r="U444" i="15"/>
  <c r="V444" i="15"/>
  <c r="W444" i="15"/>
  <c r="X444" i="15"/>
  <c r="Y444" i="15"/>
  <c r="Z444" i="15"/>
  <c r="AA444" i="15"/>
  <c r="AB444" i="15"/>
  <c r="AC444" i="15"/>
  <c r="AD444" i="15"/>
  <c r="AE444" i="15"/>
  <c r="AF444" i="15"/>
  <c r="AG444" i="15"/>
  <c r="AH444" i="15"/>
  <c r="AI444" i="15"/>
  <c r="AJ444" i="15"/>
  <c r="AK444" i="15"/>
  <c r="AL444" i="15"/>
  <c r="AM444" i="15"/>
  <c r="AN444" i="15"/>
  <c r="AO444" i="15"/>
  <c r="S445" i="15"/>
  <c r="T445" i="15"/>
  <c r="U445" i="15"/>
  <c r="V445" i="15"/>
  <c r="W445" i="15"/>
  <c r="X445" i="15"/>
  <c r="Y445" i="15"/>
  <c r="Z445" i="15"/>
  <c r="AA445" i="15"/>
  <c r="AB445" i="15"/>
  <c r="AC445" i="15"/>
  <c r="AD445" i="15"/>
  <c r="AE445" i="15"/>
  <c r="AF445" i="15"/>
  <c r="AG445" i="15"/>
  <c r="AH445" i="15"/>
  <c r="AI445" i="15"/>
  <c r="AJ445" i="15"/>
  <c r="AK445" i="15"/>
  <c r="AL445" i="15"/>
  <c r="AM445" i="15"/>
  <c r="AN445" i="15"/>
  <c r="AO445" i="15"/>
  <c r="S446" i="15"/>
  <c r="T446" i="15"/>
  <c r="U446" i="15"/>
  <c r="V446" i="15"/>
  <c r="W446" i="15"/>
  <c r="X446" i="15"/>
  <c r="Y446" i="15"/>
  <c r="Z446" i="15"/>
  <c r="AA446" i="15"/>
  <c r="AB446" i="15"/>
  <c r="AC446" i="15"/>
  <c r="AD446" i="15"/>
  <c r="AE446" i="15"/>
  <c r="AF446" i="15"/>
  <c r="AG446" i="15"/>
  <c r="AH446" i="15"/>
  <c r="AI446" i="15"/>
  <c r="AJ446" i="15"/>
  <c r="AK446" i="15"/>
  <c r="AL446" i="15"/>
  <c r="AM446" i="15"/>
  <c r="AN446" i="15"/>
  <c r="AO446" i="15"/>
  <c r="S447" i="15"/>
  <c r="T447" i="15"/>
  <c r="U447" i="15"/>
  <c r="V447" i="15"/>
  <c r="W447" i="15"/>
  <c r="X447" i="15"/>
  <c r="Y447" i="15"/>
  <c r="Z447" i="15"/>
  <c r="AA447" i="15"/>
  <c r="AB447" i="15"/>
  <c r="AC447" i="15"/>
  <c r="AD447" i="15"/>
  <c r="AE447" i="15"/>
  <c r="AF447" i="15"/>
  <c r="AG447" i="15"/>
  <c r="AH447" i="15"/>
  <c r="AI447" i="15"/>
  <c r="AJ447" i="15"/>
  <c r="AK447" i="15"/>
  <c r="AL447" i="15"/>
  <c r="AM447" i="15"/>
  <c r="AN447" i="15"/>
  <c r="AO447" i="15"/>
  <c r="S448" i="15"/>
  <c r="T448" i="15"/>
  <c r="U448" i="15"/>
  <c r="V448" i="15"/>
  <c r="W448" i="15"/>
  <c r="X448" i="15"/>
  <c r="Y448" i="15"/>
  <c r="Z448" i="15"/>
  <c r="AA448" i="15"/>
  <c r="AB448" i="15"/>
  <c r="AC448" i="15"/>
  <c r="AD448" i="15"/>
  <c r="AE448" i="15"/>
  <c r="AF448" i="15"/>
  <c r="AG448" i="15"/>
  <c r="AH448" i="15"/>
  <c r="AI448" i="15"/>
  <c r="AJ448" i="15"/>
  <c r="AK448" i="15"/>
  <c r="AL448" i="15"/>
  <c r="AM448" i="15"/>
  <c r="AN448" i="15"/>
  <c r="AO448" i="15"/>
  <c r="S449" i="15"/>
  <c r="T449" i="15"/>
  <c r="U449" i="15"/>
  <c r="V449" i="15"/>
  <c r="W449" i="15"/>
  <c r="X449" i="15"/>
  <c r="Y449" i="15"/>
  <c r="Z449" i="15"/>
  <c r="AA449" i="15"/>
  <c r="AB449" i="15"/>
  <c r="AC449" i="15"/>
  <c r="AD449" i="15"/>
  <c r="AE449" i="15"/>
  <c r="AF449" i="15"/>
  <c r="AG449" i="15"/>
  <c r="AH449" i="15"/>
  <c r="AI449" i="15"/>
  <c r="AJ449" i="15"/>
  <c r="AK449" i="15"/>
  <c r="AL449" i="15"/>
  <c r="AM449" i="15"/>
  <c r="AN449" i="15"/>
  <c r="AO449" i="15"/>
  <c r="S450" i="15"/>
  <c r="T450" i="15"/>
  <c r="U450" i="15"/>
  <c r="V450" i="15"/>
  <c r="W450" i="15"/>
  <c r="X450" i="15"/>
  <c r="Y450" i="15"/>
  <c r="Z450" i="15"/>
  <c r="AA450" i="15"/>
  <c r="AB450" i="15"/>
  <c r="AC450" i="15"/>
  <c r="AD450" i="15"/>
  <c r="AE450" i="15"/>
  <c r="AF450" i="15"/>
  <c r="AG450" i="15"/>
  <c r="AH450" i="15"/>
  <c r="AI450" i="15"/>
  <c r="AJ450" i="15"/>
  <c r="AK450" i="15"/>
  <c r="AL450" i="15"/>
  <c r="AM450" i="15"/>
  <c r="AN450" i="15"/>
  <c r="AO450" i="15"/>
  <c r="S451" i="15"/>
  <c r="T451" i="15"/>
  <c r="U451" i="15"/>
  <c r="V451" i="15"/>
  <c r="W451" i="15"/>
  <c r="X451" i="15"/>
  <c r="Y451" i="15"/>
  <c r="Z451" i="15"/>
  <c r="AA451" i="15"/>
  <c r="AB451" i="15"/>
  <c r="AC451" i="15"/>
  <c r="AD451" i="15"/>
  <c r="AE451" i="15"/>
  <c r="AF451" i="15"/>
  <c r="AG451" i="15"/>
  <c r="AH451" i="15"/>
  <c r="AI451" i="15"/>
  <c r="AJ451" i="15"/>
  <c r="AK451" i="15"/>
  <c r="AL451" i="15"/>
  <c r="AM451" i="15"/>
  <c r="AN451" i="15"/>
  <c r="AO451" i="15"/>
  <c r="S452" i="15"/>
  <c r="T452" i="15"/>
  <c r="U452" i="15"/>
  <c r="V452" i="15"/>
  <c r="W452" i="15"/>
  <c r="X452" i="15"/>
  <c r="Y452" i="15"/>
  <c r="Z452" i="15"/>
  <c r="AA452" i="15"/>
  <c r="AB452" i="15"/>
  <c r="AC452" i="15"/>
  <c r="AD452" i="15"/>
  <c r="AE452" i="15"/>
  <c r="AF452" i="15"/>
  <c r="AG452" i="15"/>
  <c r="AH452" i="15"/>
  <c r="AI452" i="15"/>
  <c r="AJ452" i="15"/>
  <c r="AK452" i="15"/>
  <c r="AL452" i="15"/>
  <c r="AM452" i="15"/>
  <c r="AN452" i="15"/>
  <c r="AO452" i="15"/>
  <c r="S453" i="15"/>
  <c r="T453" i="15"/>
  <c r="U453" i="15"/>
  <c r="V453" i="15"/>
  <c r="W453" i="15"/>
  <c r="X453" i="15"/>
  <c r="Y453" i="15"/>
  <c r="Z453" i="15"/>
  <c r="AA453" i="15"/>
  <c r="AB453" i="15"/>
  <c r="AC453" i="15"/>
  <c r="AD453" i="15"/>
  <c r="AE453" i="15"/>
  <c r="AF453" i="15"/>
  <c r="AG453" i="15"/>
  <c r="AH453" i="15"/>
  <c r="AI453" i="15"/>
  <c r="AJ453" i="15"/>
  <c r="AK453" i="15"/>
  <c r="AL453" i="15"/>
  <c r="AM453" i="15"/>
  <c r="AN453" i="15"/>
  <c r="AO453" i="15"/>
  <c r="S454" i="15"/>
  <c r="T454" i="15"/>
  <c r="U454" i="15"/>
  <c r="V454" i="15"/>
  <c r="W454" i="15"/>
  <c r="X454" i="15"/>
  <c r="Y454" i="15"/>
  <c r="Z454" i="15"/>
  <c r="AA454" i="15"/>
  <c r="AB454" i="15"/>
  <c r="AC454" i="15"/>
  <c r="AD454" i="15"/>
  <c r="AE454" i="15"/>
  <c r="AF454" i="15"/>
  <c r="AG454" i="15"/>
  <c r="AH454" i="15"/>
  <c r="AI454" i="15"/>
  <c r="AJ454" i="15"/>
  <c r="AK454" i="15"/>
  <c r="AL454" i="15"/>
  <c r="AM454" i="15"/>
  <c r="AN454" i="15"/>
  <c r="AO454" i="15"/>
  <c r="S455" i="15"/>
  <c r="T455" i="15"/>
  <c r="U455" i="15"/>
  <c r="V455" i="15"/>
  <c r="W455" i="15"/>
  <c r="X455" i="15"/>
  <c r="Y455" i="15"/>
  <c r="Z455" i="15"/>
  <c r="AA455" i="15"/>
  <c r="AB455" i="15"/>
  <c r="AC455" i="15"/>
  <c r="AD455" i="15"/>
  <c r="AE455" i="15"/>
  <c r="AF455" i="15"/>
  <c r="AG455" i="15"/>
  <c r="AH455" i="15"/>
  <c r="AI455" i="15"/>
  <c r="AJ455" i="15"/>
  <c r="AK455" i="15"/>
  <c r="AL455" i="15"/>
  <c r="AM455" i="15"/>
  <c r="AN455" i="15"/>
  <c r="AO455" i="15"/>
  <c r="S456" i="15"/>
  <c r="T456" i="15"/>
  <c r="U456" i="15"/>
  <c r="V456" i="15"/>
  <c r="W456" i="15"/>
  <c r="X456" i="15"/>
  <c r="Y456" i="15"/>
  <c r="Z456" i="15"/>
  <c r="AA456" i="15"/>
  <c r="AB456" i="15"/>
  <c r="AC456" i="15"/>
  <c r="AD456" i="15"/>
  <c r="AE456" i="15"/>
  <c r="AF456" i="15"/>
  <c r="AG456" i="15"/>
  <c r="AH456" i="15"/>
  <c r="AI456" i="15"/>
  <c r="AJ456" i="15"/>
  <c r="AK456" i="15"/>
  <c r="AL456" i="15"/>
  <c r="AM456" i="15"/>
  <c r="AN456" i="15"/>
  <c r="AO456" i="15"/>
  <c r="S457" i="15"/>
  <c r="T457" i="15"/>
  <c r="U457" i="15"/>
  <c r="V457" i="15"/>
  <c r="W457" i="15"/>
  <c r="X457" i="15"/>
  <c r="Y457" i="15"/>
  <c r="Z457" i="15"/>
  <c r="AA457" i="15"/>
  <c r="AB457" i="15"/>
  <c r="AC457" i="15"/>
  <c r="AD457" i="15"/>
  <c r="AE457" i="15"/>
  <c r="AF457" i="15"/>
  <c r="AG457" i="15"/>
  <c r="AH457" i="15"/>
  <c r="AI457" i="15"/>
  <c r="AJ457" i="15"/>
  <c r="AK457" i="15"/>
  <c r="AL457" i="15"/>
  <c r="AM457" i="15"/>
  <c r="AN457" i="15"/>
  <c r="AO457" i="15"/>
  <c r="S458" i="15"/>
  <c r="T458" i="15"/>
  <c r="U458" i="15"/>
  <c r="V458" i="15"/>
  <c r="W458" i="15"/>
  <c r="X458" i="15"/>
  <c r="Y458" i="15"/>
  <c r="Z458" i="15"/>
  <c r="AA458" i="15"/>
  <c r="AB458" i="15"/>
  <c r="AC458" i="15"/>
  <c r="AD458" i="15"/>
  <c r="AE458" i="15"/>
  <c r="AF458" i="15"/>
  <c r="AG458" i="15"/>
  <c r="AH458" i="15"/>
  <c r="AI458" i="15"/>
  <c r="AJ458" i="15"/>
  <c r="AK458" i="15"/>
  <c r="AL458" i="15"/>
  <c r="AM458" i="15"/>
  <c r="AN458" i="15"/>
  <c r="AO458" i="15"/>
  <c r="S459" i="15"/>
  <c r="T459" i="15"/>
  <c r="U459" i="15"/>
  <c r="V459" i="15"/>
  <c r="W459" i="15"/>
  <c r="X459" i="15"/>
  <c r="Y459" i="15"/>
  <c r="Z459" i="15"/>
  <c r="AA459" i="15"/>
  <c r="AB459" i="15"/>
  <c r="AC459" i="15"/>
  <c r="AD459" i="15"/>
  <c r="AE459" i="15"/>
  <c r="AF459" i="15"/>
  <c r="AG459" i="15"/>
  <c r="AH459" i="15"/>
  <c r="AI459" i="15"/>
  <c r="AJ459" i="15"/>
  <c r="AK459" i="15"/>
  <c r="AL459" i="15"/>
  <c r="AM459" i="15"/>
  <c r="AN459" i="15"/>
  <c r="AO459" i="15"/>
  <c r="S460" i="15"/>
  <c r="T460" i="15"/>
  <c r="U460" i="15"/>
  <c r="V460" i="15"/>
  <c r="W460" i="15"/>
  <c r="X460" i="15"/>
  <c r="Y460" i="15"/>
  <c r="Z460" i="15"/>
  <c r="AA460" i="15"/>
  <c r="AB460" i="15"/>
  <c r="AC460" i="15"/>
  <c r="AD460" i="15"/>
  <c r="AE460" i="15"/>
  <c r="AF460" i="15"/>
  <c r="AG460" i="15"/>
  <c r="AH460" i="15"/>
  <c r="AI460" i="15"/>
  <c r="AJ460" i="15"/>
  <c r="AK460" i="15"/>
  <c r="AL460" i="15"/>
  <c r="AM460" i="15"/>
  <c r="AN460" i="15"/>
  <c r="AO460" i="15"/>
  <c r="S461" i="15"/>
  <c r="T461" i="15"/>
  <c r="U461" i="15"/>
  <c r="V461" i="15"/>
  <c r="W461" i="15"/>
  <c r="X461" i="15"/>
  <c r="Y461" i="15"/>
  <c r="Z461" i="15"/>
  <c r="AA461" i="15"/>
  <c r="AB461" i="15"/>
  <c r="AC461" i="15"/>
  <c r="AD461" i="15"/>
  <c r="AE461" i="15"/>
  <c r="AF461" i="15"/>
  <c r="AG461" i="15"/>
  <c r="AH461" i="15"/>
  <c r="AI461" i="15"/>
  <c r="AJ461" i="15"/>
  <c r="AK461" i="15"/>
  <c r="AL461" i="15"/>
  <c r="AM461" i="15"/>
  <c r="AN461" i="15"/>
  <c r="AO461" i="15"/>
  <c r="S462" i="15"/>
  <c r="T462" i="15"/>
  <c r="U462" i="15"/>
  <c r="V462" i="15"/>
  <c r="W462" i="15"/>
  <c r="X462" i="15"/>
  <c r="Y462" i="15"/>
  <c r="Z462" i="15"/>
  <c r="AA462" i="15"/>
  <c r="AB462" i="15"/>
  <c r="AC462" i="15"/>
  <c r="AD462" i="15"/>
  <c r="AE462" i="15"/>
  <c r="AF462" i="15"/>
  <c r="AG462" i="15"/>
  <c r="AH462" i="15"/>
  <c r="AI462" i="15"/>
  <c r="AJ462" i="15"/>
  <c r="AK462" i="15"/>
  <c r="AL462" i="15"/>
  <c r="AM462" i="15"/>
  <c r="AN462" i="15"/>
  <c r="AO462" i="15"/>
  <c r="S463" i="15"/>
  <c r="T463" i="15"/>
  <c r="U463" i="15"/>
  <c r="V463" i="15"/>
  <c r="W463" i="15"/>
  <c r="X463" i="15"/>
  <c r="Y463" i="15"/>
  <c r="Z463" i="15"/>
  <c r="AA463" i="15"/>
  <c r="AB463" i="15"/>
  <c r="AC463" i="15"/>
  <c r="AD463" i="15"/>
  <c r="AE463" i="15"/>
  <c r="AF463" i="15"/>
  <c r="AG463" i="15"/>
  <c r="AH463" i="15"/>
  <c r="AI463" i="15"/>
  <c r="AJ463" i="15"/>
  <c r="AK463" i="15"/>
  <c r="AL463" i="15"/>
  <c r="AM463" i="15"/>
  <c r="AN463" i="15"/>
  <c r="AO463" i="15"/>
  <c r="S464" i="15"/>
  <c r="T464" i="15"/>
  <c r="U464" i="15"/>
  <c r="V464" i="15"/>
  <c r="W464" i="15"/>
  <c r="X464" i="15"/>
  <c r="Y464" i="15"/>
  <c r="Z464" i="15"/>
  <c r="AA464" i="15"/>
  <c r="AB464" i="15"/>
  <c r="AC464" i="15"/>
  <c r="AD464" i="15"/>
  <c r="AE464" i="15"/>
  <c r="AF464" i="15"/>
  <c r="AG464" i="15"/>
  <c r="AH464" i="15"/>
  <c r="AI464" i="15"/>
  <c r="AJ464" i="15"/>
  <c r="AK464" i="15"/>
  <c r="AL464" i="15"/>
  <c r="AM464" i="15"/>
  <c r="AN464" i="15"/>
  <c r="AO464" i="15"/>
  <c r="S465" i="15"/>
  <c r="T465" i="15"/>
  <c r="U465" i="15"/>
  <c r="V465" i="15"/>
  <c r="W465" i="15"/>
  <c r="X465" i="15"/>
  <c r="Y465" i="15"/>
  <c r="Z465" i="15"/>
  <c r="AA465" i="15"/>
  <c r="AB465" i="15"/>
  <c r="AC465" i="15"/>
  <c r="AD465" i="15"/>
  <c r="AE465" i="15"/>
  <c r="AF465" i="15"/>
  <c r="AG465" i="15"/>
  <c r="AH465" i="15"/>
  <c r="AI465" i="15"/>
  <c r="AJ465" i="15"/>
  <c r="AK465" i="15"/>
  <c r="AL465" i="15"/>
  <c r="AM465" i="15"/>
  <c r="AN465" i="15"/>
  <c r="AO465" i="15"/>
  <c r="S466" i="15"/>
  <c r="T466" i="15"/>
  <c r="U466" i="15"/>
  <c r="V466" i="15"/>
  <c r="W466" i="15"/>
  <c r="X466" i="15"/>
  <c r="Y466" i="15"/>
  <c r="Z466" i="15"/>
  <c r="AA466" i="15"/>
  <c r="AB466" i="15"/>
  <c r="AC466" i="15"/>
  <c r="AD466" i="15"/>
  <c r="AE466" i="15"/>
  <c r="AF466" i="15"/>
  <c r="AG466" i="15"/>
  <c r="AH466" i="15"/>
  <c r="AI466" i="15"/>
  <c r="AJ466" i="15"/>
  <c r="AK466" i="15"/>
  <c r="AL466" i="15"/>
  <c r="AM466" i="15"/>
  <c r="AN466" i="15"/>
  <c r="AO466" i="15"/>
  <c r="S467" i="15"/>
  <c r="T467" i="15"/>
  <c r="U467" i="15"/>
  <c r="V467" i="15"/>
  <c r="W467" i="15"/>
  <c r="X467" i="15"/>
  <c r="Y467" i="15"/>
  <c r="Z467" i="15"/>
  <c r="AA467" i="15"/>
  <c r="AB467" i="15"/>
  <c r="AC467" i="15"/>
  <c r="AD467" i="15"/>
  <c r="AE467" i="15"/>
  <c r="AF467" i="15"/>
  <c r="AG467" i="15"/>
  <c r="AH467" i="15"/>
  <c r="AI467" i="15"/>
  <c r="AJ467" i="15"/>
  <c r="AK467" i="15"/>
  <c r="AL467" i="15"/>
  <c r="AM467" i="15"/>
  <c r="AN467" i="15"/>
  <c r="AO467" i="15"/>
  <c r="S468" i="15"/>
  <c r="T468" i="15"/>
  <c r="U468" i="15"/>
  <c r="V468" i="15"/>
  <c r="W468" i="15"/>
  <c r="X468" i="15"/>
  <c r="Y468" i="15"/>
  <c r="Z468" i="15"/>
  <c r="AA468" i="15"/>
  <c r="AB468" i="15"/>
  <c r="AC468" i="15"/>
  <c r="AD468" i="15"/>
  <c r="AE468" i="15"/>
  <c r="AF468" i="15"/>
  <c r="AG468" i="15"/>
  <c r="AH468" i="15"/>
  <c r="AI468" i="15"/>
  <c r="AJ468" i="15"/>
  <c r="AK468" i="15"/>
  <c r="AL468" i="15"/>
  <c r="AM468" i="15"/>
  <c r="AN468" i="15"/>
  <c r="AO468" i="15"/>
  <c r="S469" i="15"/>
  <c r="T469" i="15"/>
  <c r="U469" i="15"/>
  <c r="V469" i="15"/>
  <c r="W469" i="15"/>
  <c r="X469" i="15"/>
  <c r="Y469" i="15"/>
  <c r="Z469" i="15"/>
  <c r="AA469" i="15"/>
  <c r="AB469" i="15"/>
  <c r="AC469" i="15"/>
  <c r="AD469" i="15"/>
  <c r="AE469" i="15"/>
  <c r="AF469" i="15"/>
  <c r="AG469" i="15"/>
  <c r="AH469" i="15"/>
  <c r="AI469" i="15"/>
  <c r="AJ469" i="15"/>
  <c r="AK469" i="15"/>
  <c r="AL469" i="15"/>
  <c r="AM469" i="15"/>
  <c r="AN469" i="15"/>
  <c r="AO469" i="15"/>
  <c r="S470" i="15"/>
  <c r="T470" i="15"/>
  <c r="U470" i="15"/>
  <c r="V470" i="15"/>
  <c r="W470" i="15"/>
  <c r="X470" i="15"/>
  <c r="Y470" i="15"/>
  <c r="Z470" i="15"/>
  <c r="AA470" i="15"/>
  <c r="AB470" i="15"/>
  <c r="AC470" i="15"/>
  <c r="AD470" i="15"/>
  <c r="AE470" i="15"/>
  <c r="AF470" i="15"/>
  <c r="AG470" i="15"/>
  <c r="AH470" i="15"/>
  <c r="AI470" i="15"/>
  <c r="AJ470" i="15"/>
  <c r="AK470" i="15"/>
  <c r="AL470" i="15"/>
  <c r="AM470" i="15"/>
  <c r="AN470" i="15"/>
  <c r="AO470" i="15"/>
  <c r="S471" i="15"/>
  <c r="T471" i="15"/>
  <c r="U471" i="15"/>
  <c r="V471" i="15"/>
  <c r="W471" i="15"/>
  <c r="X471" i="15"/>
  <c r="Y471" i="15"/>
  <c r="Z471" i="15"/>
  <c r="AA471" i="15"/>
  <c r="AB471" i="15"/>
  <c r="AC471" i="15"/>
  <c r="AD471" i="15"/>
  <c r="AE471" i="15"/>
  <c r="AF471" i="15"/>
  <c r="AG471" i="15"/>
  <c r="AH471" i="15"/>
  <c r="AI471" i="15"/>
  <c r="AJ471" i="15"/>
  <c r="AK471" i="15"/>
  <c r="AL471" i="15"/>
  <c r="AM471" i="15"/>
  <c r="AN471" i="15"/>
  <c r="AO471" i="15"/>
  <c r="S472" i="15"/>
  <c r="T472" i="15"/>
  <c r="U472" i="15"/>
  <c r="V472" i="15"/>
  <c r="W472" i="15"/>
  <c r="X472" i="15"/>
  <c r="Y472" i="15"/>
  <c r="Z472" i="15"/>
  <c r="AA472" i="15"/>
  <c r="AB472" i="15"/>
  <c r="AC472" i="15"/>
  <c r="AD472" i="15"/>
  <c r="AE472" i="15"/>
  <c r="AF472" i="15"/>
  <c r="AG472" i="15"/>
  <c r="AH472" i="15"/>
  <c r="AI472" i="15"/>
  <c r="AJ472" i="15"/>
  <c r="AK472" i="15"/>
  <c r="AL472" i="15"/>
  <c r="AM472" i="15"/>
  <c r="AN472" i="15"/>
  <c r="AO472" i="15"/>
  <c r="S473" i="15"/>
  <c r="T473" i="15"/>
  <c r="U473" i="15"/>
  <c r="V473" i="15"/>
  <c r="W473" i="15"/>
  <c r="X473" i="15"/>
  <c r="Y473" i="15"/>
  <c r="Z473" i="15"/>
  <c r="AA473" i="15"/>
  <c r="AB473" i="15"/>
  <c r="AC473" i="15"/>
  <c r="AD473" i="15"/>
  <c r="AE473" i="15"/>
  <c r="AF473" i="15"/>
  <c r="AG473" i="15"/>
  <c r="AH473" i="15"/>
  <c r="AI473" i="15"/>
  <c r="AJ473" i="15"/>
  <c r="AK473" i="15"/>
  <c r="AL473" i="15"/>
  <c r="AM473" i="15"/>
  <c r="AN473" i="15"/>
  <c r="AO473" i="15"/>
  <c r="S474" i="15"/>
  <c r="T474" i="15"/>
  <c r="U474" i="15"/>
  <c r="V474" i="15"/>
  <c r="W474" i="15"/>
  <c r="X474" i="15"/>
  <c r="Y474" i="15"/>
  <c r="Z474" i="15"/>
  <c r="AA474" i="15"/>
  <c r="AB474" i="15"/>
  <c r="AC474" i="15"/>
  <c r="AD474" i="15"/>
  <c r="AE474" i="15"/>
  <c r="AF474" i="15"/>
  <c r="AG474" i="15"/>
  <c r="AH474" i="15"/>
  <c r="AI474" i="15"/>
  <c r="AJ474" i="15"/>
  <c r="AK474" i="15"/>
  <c r="AL474" i="15"/>
  <c r="AM474" i="15"/>
  <c r="AN474" i="15"/>
  <c r="AO474" i="15"/>
  <c r="S475" i="15"/>
  <c r="T475" i="15"/>
  <c r="U475" i="15"/>
  <c r="V475" i="15"/>
  <c r="W475" i="15"/>
  <c r="X475" i="15"/>
  <c r="Y475" i="15"/>
  <c r="Z475" i="15"/>
  <c r="AA475" i="15"/>
  <c r="AB475" i="15"/>
  <c r="AC475" i="15"/>
  <c r="AD475" i="15"/>
  <c r="AE475" i="15"/>
  <c r="AF475" i="15"/>
  <c r="AG475" i="15"/>
  <c r="AH475" i="15"/>
  <c r="AI475" i="15"/>
  <c r="AJ475" i="15"/>
  <c r="AK475" i="15"/>
  <c r="AL475" i="15"/>
  <c r="AM475" i="15"/>
  <c r="AN475" i="15"/>
  <c r="AO475" i="15"/>
  <c r="S476" i="15"/>
  <c r="T476" i="15"/>
  <c r="U476" i="15"/>
  <c r="V476" i="15"/>
  <c r="W476" i="15"/>
  <c r="X476" i="15"/>
  <c r="Y476" i="15"/>
  <c r="Z476" i="15"/>
  <c r="AA476" i="15"/>
  <c r="AB476" i="15"/>
  <c r="AC476" i="15"/>
  <c r="AD476" i="15"/>
  <c r="AE476" i="15"/>
  <c r="AF476" i="15"/>
  <c r="AG476" i="15"/>
  <c r="AH476" i="15"/>
  <c r="AI476" i="15"/>
  <c r="AJ476" i="15"/>
  <c r="AK476" i="15"/>
  <c r="AL476" i="15"/>
  <c r="AM476" i="15"/>
  <c r="AN476" i="15"/>
  <c r="AO476" i="15"/>
  <c r="S477" i="15"/>
  <c r="T477" i="15"/>
  <c r="U477" i="15"/>
  <c r="V477" i="15"/>
  <c r="W477" i="15"/>
  <c r="X477" i="15"/>
  <c r="Y477" i="15"/>
  <c r="Z477" i="15"/>
  <c r="AA477" i="15"/>
  <c r="AB477" i="15"/>
  <c r="AC477" i="15"/>
  <c r="AD477" i="15"/>
  <c r="AE477" i="15"/>
  <c r="AF477" i="15"/>
  <c r="AG477" i="15"/>
  <c r="AH477" i="15"/>
  <c r="AI477" i="15"/>
  <c r="AJ477" i="15"/>
  <c r="AK477" i="15"/>
  <c r="AL477" i="15"/>
  <c r="AM477" i="15"/>
  <c r="AN477" i="15"/>
  <c r="AO477" i="15"/>
  <c r="S478" i="15"/>
  <c r="T478" i="15"/>
  <c r="U478" i="15"/>
  <c r="V478" i="15"/>
  <c r="W478" i="15"/>
  <c r="X478" i="15"/>
  <c r="Y478" i="15"/>
  <c r="Z478" i="15"/>
  <c r="AA478" i="15"/>
  <c r="AB478" i="15"/>
  <c r="AC478" i="15"/>
  <c r="AD478" i="15"/>
  <c r="AE478" i="15"/>
  <c r="AF478" i="15"/>
  <c r="AG478" i="15"/>
  <c r="AH478" i="15"/>
  <c r="AI478" i="15"/>
  <c r="AJ478" i="15"/>
  <c r="AK478" i="15"/>
  <c r="AL478" i="15"/>
  <c r="AM478" i="15"/>
  <c r="AN478" i="15"/>
  <c r="AO478" i="15"/>
  <c r="S479" i="15"/>
  <c r="T479" i="15"/>
  <c r="U479" i="15"/>
  <c r="V479" i="15"/>
  <c r="W479" i="15"/>
  <c r="X479" i="15"/>
  <c r="Y479" i="15"/>
  <c r="Z479" i="15"/>
  <c r="AA479" i="15"/>
  <c r="AB479" i="15"/>
  <c r="AC479" i="15"/>
  <c r="AD479" i="15"/>
  <c r="AE479" i="15"/>
  <c r="AF479" i="15"/>
  <c r="AG479" i="15"/>
  <c r="AH479" i="15"/>
  <c r="AI479" i="15"/>
  <c r="AJ479" i="15"/>
  <c r="AK479" i="15"/>
  <c r="AL479" i="15"/>
  <c r="AM479" i="15"/>
  <c r="AN479" i="15"/>
  <c r="AO479" i="15"/>
  <c r="S480" i="15"/>
  <c r="T480" i="15"/>
  <c r="U480" i="15"/>
  <c r="V480" i="15"/>
  <c r="W480" i="15"/>
  <c r="X480" i="15"/>
  <c r="Y480" i="15"/>
  <c r="Z480" i="15"/>
  <c r="AA480" i="15"/>
  <c r="AB480" i="15"/>
  <c r="AC480" i="15"/>
  <c r="AD480" i="15"/>
  <c r="AE480" i="15"/>
  <c r="AF480" i="15"/>
  <c r="AG480" i="15"/>
  <c r="AH480" i="15"/>
  <c r="AI480" i="15"/>
  <c r="AJ480" i="15"/>
  <c r="AK480" i="15"/>
  <c r="AL480" i="15"/>
  <c r="AM480" i="15"/>
  <c r="AN480" i="15"/>
  <c r="AO480" i="15"/>
  <c r="S481" i="15"/>
  <c r="T481" i="15"/>
  <c r="U481" i="15"/>
  <c r="V481" i="15"/>
  <c r="W481" i="15"/>
  <c r="X481" i="15"/>
  <c r="Y481" i="15"/>
  <c r="Z481" i="15"/>
  <c r="AA481" i="15"/>
  <c r="AB481" i="15"/>
  <c r="AC481" i="15"/>
  <c r="AD481" i="15"/>
  <c r="AE481" i="15"/>
  <c r="AF481" i="15"/>
  <c r="AG481" i="15"/>
  <c r="AH481" i="15"/>
  <c r="AI481" i="15"/>
  <c r="AJ481" i="15"/>
  <c r="AK481" i="15"/>
  <c r="AL481" i="15"/>
  <c r="AM481" i="15"/>
  <c r="AN481" i="15"/>
  <c r="AO481" i="15"/>
  <c r="S482" i="15"/>
  <c r="T482" i="15"/>
  <c r="U482" i="15"/>
  <c r="V482" i="15"/>
  <c r="W482" i="15"/>
  <c r="X482" i="15"/>
  <c r="Y482" i="15"/>
  <c r="Z482" i="15"/>
  <c r="AA482" i="15"/>
  <c r="AB482" i="15"/>
  <c r="AC482" i="15"/>
  <c r="AD482" i="15"/>
  <c r="AE482" i="15"/>
  <c r="AF482" i="15"/>
  <c r="AG482" i="15"/>
  <c r="AH482" i="15"/>
  <c r="AI482" i="15"/>
  <c r="AJ482" i="15"/>
  <c r="AK482" i="15"/>
  <c r="AL482" i="15"/>
  <c r="AM482" i="15"/>
  <c r="AN482" i="15"/>
  <c r="AO482" i="15"/>
  <c r="S483" i="15"/>
  <c r="T483" i="15"/>
  <c r="U483" i="15"/>
  <c r="V483" i="15"/>
  <c r="W483" i="15"/>
  <c r="X483" i="15"/>
  <c r="Y483" i="15"/>
  <c r="Z483" i="15"/>
  <c r="AA483" i="15"/>
  <c r="AB483" i="15"/>
  <c r="AC483" i="15"/>
  <c r="AD483" i="15"/>
  <c r="AE483" i="15"/>
  <c r="AF483" i="15"/>
  <c r="AG483" i="15"/>
  <c r="AH483" i="15"/>
  <c r="AI483" i="15"/>
  <c r="AJ483" i="15"/>
  <c r="AK483" i="15"/>
  <c r="AL483" i="15"/>
  <c r="AM483" i="15"/>
  <c r="AN483" i="15"/>
  <c r="AO483" i="15"/>
  <c r="S484" i="15"/>
  <c r="T484" i="15"/>
  <c r="U484" i="15"/>
  <c r="V484" i="15"/>
  <c r="W484" i="15"/>
  <c r="X484" i="15"/>
  <c r="Y484" i="15"/>
  <c r="Z484" i="15"/>
  <c r="AA484" i="15"/>
  <c r="AB484" i="15"/>
  <c r="AC484" i="15"/>
  <c r="AD484" i="15"/>
  <c r="AE484" i="15"/>
  <c r="AF484" i="15"/>
  <c r="AG484" i="15"/>
  <c r="AH484" i="15"/>
  <c r="AI484" i="15"/>
  <c r="AJ484" i="15"/>
  <c r="AK484" i="15"/>
  <c r="AL484" i="15"/>
  <c r="AM484" i="15"/>
  <c r="AN484" i="15"/>
  <c r="AO484" i="15"/>
  <c r="S485" i="15"/>
  <c r="T485" i="15"/>
  <c r="U485" i="15"/>
  <c r="V485" i="15"/>
  <c r="W485" i="15"/>
  <c r="X485" i="15"/>
  <c r="Y485" i="15"/>
  <c r="Z485" i="15"/>
  <c r="AA485" i="15"/>
  <c r="AB485" i="15"/>
  <c r="AC485" i="15"/>
  <c r="AD485" i="15"/>
  <c r="AE485" i="15"/>
  <c r="AF485" i="15"/>
  <c r="AG485" i="15"/>
  <c r="AH485" i="15"/>
  <c r="AI485" i="15"/>
  <c r="AJ485" i="15"/>
  <c r="AK485" i="15"/>
  <c r="AL485" i="15"/>
  <c r="AM485" i="15"/>
  <c r="AN485" i="15"/>
  <c r="AO485" i="15"/>
  <c r="S486" i="15"/>
  <c r="T486" i="15"/>
  <c r="U486" i="15"/>
  <c r="V486" i="15"/>
  <c r="W486" i="15"/>
  <c r="X486" i="15"/>
  <c r="Y486" i="15"/>
  <c r="Z486" i="15"/>
  <c r="AA486" i="15"/>
  <c r="AB486" i="15"/>
  <c r="AC486" i="15"/>
  <c r="AD486" i="15"/>
  <c r="AE486" i="15"/>
  <c r="AF486" i="15"/>
  <c r="AG486" i="15"/>
  <c r="AH486" i="15"/>
  <c r="AI486" i="15"/>
  <c r="AJ486" i="15"/>
  <c r="AK486" i="15"/>
  <c r="AL486" i="15"/>
  <c r="AM486" i="15"/>
  <c r="AN486" i="15"/>
  <c r="AO486" i="15"/>
  <c r="S487" i="15"/>
  <c r="T487" i="15"/>
  <c r="U487" i="15"/>
  <c r="V487" i="15"/>
  <c r="W487" i="15"/>
  <c r="X487" i="15"/>
  <c r="Y487" i="15"/>
  <c r="Z487" i="15"/>
  <c r="AA487" i="15"/>
  <c r="AB487" i="15"/>
  <c r="AC487" i="15"/>
  <c r="AD487" i="15"/>
  <c r="AE487" i="15"/>
  <c r="AF487" i="15"/>
  <c r="AG487" i="15"/>
  <c r="AH487" i="15"/>
  <c r="AI487" i="15"/>
  <c r="AJ487" i="15"/>
  <c r="AK487" i="15"/>
  <c r="AL487" i="15"/>
  <c r="AM487" i="15"/>
  <c r="AN487" i="15"/>
  <c r="AO487" i="15"/>
  <c r="S488" i="15"/>
  <c r="T488" i="15"/>
  <c r="U488" i="15"/>
  <c r="V488" i="15"/>
  <c r="W488" i="15"/>
  <c r="X488" i="15"/>
  <c r="Y488" i="15"/>
  <c r="Z488" i="15"/>
  <c r="AA488" i="15"/>
  <c r="AB488" i="15"/>
  <c r="AC488" i="15"/>
  <c r="AD488" i="15"/>
  <c r="AE488" i="15"/>
  <c r="AF488" i="15"/>
  <c r="AG488" i="15"/>
  <c r="AH488" i="15"/>
  <c r="AI488" i="15"/>
  <c r="AJ488" i="15"/>
  <c r="AK488" i="15"/>
  <c r="AL488" i="15"/>
  <c r="AM488" i="15"/>
  <c r="AN488" i="15"/>
  <c r="AO488" i="15"/>
  <c r="S489" i="15"/>
  <c r="T489" i="15"/>
  <c r="U489" i="15"/>
  <c r="V489" i="15"/>
  <c r="W489" i="15"/>
  <c r="X489" i="15"/>
  <c r="Y489" i="15"/>
  <c r="Z489" i="15"/>
  <c r="AA489" i="15"/>
  <c r="AB489" i="15"/>
  <c r="AC489" i="15"/>
  <c r="AD489" i="15"/>
  <c r="AE489" i="15"/>
  <c r="AF489" i="15"/>
  <c r="AG489" i="15"/>
  <c r="AH489" i="15"/>
  <c r="AI489" i="15"/>
  <c r="AJ489" i="15"/>
  <c r="AK489" i="15"/>
  <c r="AL489" i="15"/>
  <c r="AM489" i="15"/>
  <c r="AN489" i="15"/>
  <c r="AO489" i="15"/>
  <c r="S490" i="15"/>
  <c r="T490" i="15"/>
  <c r="U490" i="15"/>
  <c r="V490" i="15"/>
  <c r="W490" i="15"/>
  <c r="X490" i="15"/>
  <c r="Y490" i="15"/>
  <c r="Z490" i="15"/>
  <c r="AA490" i="15"/>
  <c r="AB490" i="15"/>
  <c r="AC490" i="15"/>
  <c r="AD490" i="15"/>
  <c r="AE490" i="15"/>
  <c r="AF490" i="15"/>
  <c r="AG490" i="15"/>
  <c r="AH490" i="15"/>
  <c r="AI490" i="15"/>
  <c r="AJ490" i="15"/>
  <c r="AK490" i="15"/>
  <c r="AL490" i="15"/>
  <c r="AM490" i="15"/>
  <c r="AN490" i="15"/>
  <c r="AO490" i="15"/>
  <c r="S491" i="15"/>
  <c r="T491" i="15"/>
  <c r="U491" i="15"/>
  <c r="V491" i="15"/>
  <c r="W491" i="15"/>
  <c r="X491" i="15"/>
  <c r="Y491" i="15"/>
  <c r="Z491" i="15"/>
  <c r="AA491" i="15"/>
  <c r="AB491" i="15"/>
  <c r="AC491" i="15"/>
  <c r="AD491" i="15"/>
  <c r="AE491" i="15"/>
  <c r="AF491" i="15"/>
  <c r="AG491" i="15"/>
  <c r="AH491" i="15"/>
  <c r="AI491" i="15"/>
  <c r="AJ491" i="15"/>
  <c r="AK491" i="15"/>
  <c r="AL491" i="15"/>
  <c r="AM491" i="15"/>
  <c r="AN491" i="15"/>
  <c r="AO491" i="15"/>
  <c r="S492" i="15"/>
  <c r="T492" i="15"/>
  <c r="U492" i="15"/>
  <c r="V492" i="15"/>
  <c r="W492" i="15"/>
  <c r="X492" i="15"/>
  <c r="Y492" i="15"/>
  <c r="Z492" i="15"/>
  <c r="AA492" i="15"/>
  <c r="AB492" i="15"/>
  <c r="AC492" i="15"/>
  <c r="AD492" i="15"/>
  <c r="AE492" i="15"/>
  <c r="AF492" i="15"/>
  <c r="AG492" i="15"/>
  <c r="AH492" i="15"/>
  <c r="AI492" i="15"/>
  <c r="AJ492" i="15"/>
  <c r="AK492" i="15"/>
  <c r="AL492" i="15"/>
  <c r="AM492" i="15"/>
  <c r="AN492" i="15"/>
  <c r="AO492" i="15"/>
  <c r="S493" i="15"/>
  <c r="T493" i="15"/>
  <c r="U493" i="15"/>
  <c r="V493" i="15"/>
  <c r="W493" i="15"/>
  <c r="X493" i="15"/>
  <c r="Y493" i="15"/>
  <c r="Z493" i="15"/>
  <c r="AA493" i="15"/>
  <c r="AB493" i="15"/>
  <c r="AC493" i="15"/>
  <c r="AD493" i="15"/>
  <c r="AE493" i="15"/>
  <c r="AF493" i="15"/>
  <c r="AG493" i="15"/>
  <c r="AH493" i="15"/>
  <c r="AI493" i="15"/>
  <c r="AJ493" i="15"/>
  <c r="AK493" i="15"/>
  <c r="AL493" i="15"/>
  <c r="AM493" i="15"/>
  <c r="AN493" i="15"/>
  <c r="AO493" i="15"/>
  <c r="S494" i="15"/>
  <c r="T494" i="15"/>
  <c r="U494" i="15"/>
  <c r="V494" i="15"/>
  <c r="W494" i="15"/>
  <c r="X494" i="15"/>
  <c r="Y494" i="15"/>
  <c r="Z494" i="15"/>
  <c r="AA494" i="15"/>
  <c r="AB494" i="15"/>
  <c r="AC494" i="15"/>
  <c r="AD494" i="15"/>
  <c r="AE494" i="15"/>
  <c r="AF494" i="15"/>
  <c r="AG494" i="15"/>
  <c r="AH494" i="15"/>
  <c r="AI494" i="15"/>
  <c r="AJ494" i="15"/>
  <c r="AK494" i="15"/>
  <c r="AL494" i="15"/>
  <c r="AM494" i="15"/>
  <c r="AN494" i="15"/>
  <c r="AO494" i="15"/>
  <c r="S495" i="15"/>
  <c r="T495" i="15"/>
  <c r="U495" i="15"/>
  <c r="V495" i="15"/>
  <c r="W495" i="15"/>
  <c r="X495" i="15"/>
  <c r="Y495" i="15"/>
  <c r="Z495" i="15"/>
  <c r="AA495" i="15"/>
  <c r="AB495" i="15"/>
  <c r="AC495" i="15"/>
  <c r="AD495" i="15"/>
  <c r="AE495" i="15"/>
  <c r="AF495" i="15"/>
  <c r="AG495" i="15"/>
  <c r="AH495" i="15"/>
  <c r="AI495" i="15"/>
  <c r="AJ495" i="15"/>
  <c r="AK495" i="15"/>
  <c r="AL495" i="15"/>
  <c r="AM495" i="15"/>
  <c r="AN495" i="15"/>
  <c r="AO495" i="15"/>
  <c r="S496" i="15"/>
  <c r="T496" i="15"/>
  <c r="U496" i="15"/>
  <c r="V496" i="15"/>
  <c r="W496" i="15"/>
  <c r="X496" i="15"/>
  <c r="Y496" i="15"/>
  <c r="Z496" i="15"/>
  <c r="AA496" i="15"/>
  <c r="AB496" i="15"/>
  <c r="AC496" i="15"/>
  <c r="AD496" i="15"/>
  <c r="AE496" i="15"/>
  <c r="AF496" i="15"/>
  <c r="AG496" i="15"/>
  <c r="AH496" i="15"/>
  <c r="AI496" i="15"/>
  <c r="AJ496" i="15"/>
  <c r="AK496" i="15"/>
  <c r="AL496" i="15"/>
  <c r="AM496" i="15"/>
  <c r="AN496" i="15"/>
  <c r="AO496" i="15"/>
  <c r="S497" i="15"/>
  <c r="T497" i="15"/>
  <c r="U497" i="15"/>
  <c r="V497" i="15"/>
  <c r="W497" i="15"/>
  <c r="X497" i="15"/>
  <c r="Y497" i="15"/>
  <c r="Z497" i="15"/>
  <c r="AA497" i="15"/>
  <c r="AB497" i="15"/>
  <c r="AC497" i="15"/>
  <c r="AD497" i="15"/>
  <c r="AE497" i="15"/>
  <c r="AF497" i="15"/>
  <c r="AG497" i="15"/>
  <c r="AH497" i="15"/>
  <c r="AI497" i="15"/>
  <c r="AJ497" i="15"/>
  <c r="AK497" i="15"/>
  <c r="AL497" i="15"/>
  <c r="AM497" i="15"/>
  <c r="AN497" i="15"/>
  <c r="AO497" i="15"/>
  <c r="S498" i="15"/>
  <c r="T498" i="15"/>
  <c r="U498" i="15"/>
  <c r="V498" i="15"/>
  <c r="W498" i="15"/>
  <c r="X498" i="15"/>
  <c r="Y498" i="15"/>
  <c r="Z498" i="15"/>
  <c r="AA498" i="15"/>
  <c r="AB498" i="15"/>
  <c r="AC498" i="15"/>
  <c r="AD498" i="15"/>
  <c r="AE498" i="15"/>
  <c r="AF498" i="15"/>
  <c r="AG498" i="15"/>
  <c r="AH498" i="15"/>
  <c r="AI498" i="15"/>
  <c r="AJ498" i="15"/>
  <c r="AK498" i="15"/>
  <c r="AL498" i="15"/>
  <c r="AM498" i="15"/>
  <c r="AN498" i="15"/>
  <c r="AO498" i="15"/>
  <c r="S499" i="15"/>
  <c r="T499" i="15"/>
  <c r="U499" i="15"/>
  <c r="V499" i="15"/>
  <c r="W499" i="15"/>
  <c r="X499" i="15"/>
  <c r="Y499" i="15"/>
  <c r="Z499" i="15"/>
  <c r="AA499" i="15"/>
  <c r="AB499" i="15"/>
  <c r="AC499" i="15"/>
  <c r="AD499" i="15"/>
  <c r="AE499" i="15"/>
  <c r="AF499" i="15"/>
  <c r="AG499" i="15"/>
  <c r="AH499" i="15"/>
  <c r="AI499" i="15"/>
  <c r="AJ499" i="15"/>
  <c r="AK499" i="15"/>
  <c r="AL499" i="15"/>
  <c r="AM499" i="15"/>
  <c r="AN499" i="15"/>
  <c r="AO499" i="15"/>
  <c r="S500" i="15"/>
  <c r="T500" i="15"/>
  <c r="U500" i="15"/>
  <c r="V500" i="15"/>
  <c r="W500" i="15"/>
  <c r="X500" i="15"/>
  <c r="Y500" i="15"/>
  <c r="Z500" i="15"/>
  <c r="AA500" i="15"/>
  <c r="AB500" i="15"/>
  <c r="AC500" i="15"/>
  <c r="AD500" i="15"/>
  <c r="AE500" i="15"/>
  <c r="AF500" i="15"/>
  <c r="AG500" i="15"/>
  <c r="AH500" i="15"/>
  <c r="AI500" i="15"/>
  <c r="AJ500" i="15"/>
  <c r="AK500" i="15"/>
  <c r="AL500" i="15"/>
  <c r="AM500" i="15"/>
  <c r="AN500" i="15"/>
  <c r="AO500" i="15"/>
  <c r="S501" i="15"/>
  <c r="T501" i="15"/>
  <c r="U501" i="15"/>
  <c r="V501" i="15"/>
  <c r="W501" i="15"/>
  <c r="X501" i="15"/>
  <c r="Y501" i="15"/>
  <c r="Z501" i="15"/>
  <c r="AA501" i="15"/>
  <c r="AB501" i="15"/>
  <c r="AC501" i="15"/>
  <c r="AD501" i="15"/>
  <c r="AE501" i="15"/>
  <c r="AF501" i="15"/>
  <c r="AG501" i="15"/>
  <c r="AH501" i="15"/>
  <c r="AI501" i="15"/>
  <c r="AJ501" i="15"/>
  <c r="AK501" i="15"/>
  <c r="AL501" i="15"/>
  <c r="AM501" i="15"/>
  <c r="AN501" i="15"/>
  <c r="AO501" i="15"/>
  <c r="S502" i="15"/>
  <c r="T502" i="15"/>
  <c r="U502" i="15"/>
  <c r="V502" i="15"/>
  <c r="W502" i="15"/>
  <c r="X502" i="15"/>
  <c r="Y502" i="15"/>
  <c r="Z502" i="15"/>
  <c r="AA502" i="15"/>
  <c r="AB502" i="15"/>
  <c r="AC502" i="15"/>
  <c r="AD502" i="15"/>
  <c r="AE502" i="15"/>
  <c r="AF502" i="15"/>
  <c r="AG502" i="15"/>
  <c r="AH502" i="15"/>
  <c r="AI502" i="15"/>
  <c r="AJ502" i="15"/>
  <c r="AK502" i="15"/>
  <c r="AL502" i="15"/>
  <c r="AM502" i="15"/>
  <c r="AN502" i="15"/>
  <c r="AO502" i="15"/>
  <c r="S503" i="15"/>
  <c r="T503" i="15"/>
  <c r="U503" i="15"/>
  <c r="V503" i="15"/>
  <c r="W503" i="15"/>
  <c r="X503" i="15"/>
  <c r="Y503" i="15"/>
  <c r="Z503" i="15"/>
  <c r="AA503" i="15"/>
  <c r="AB503" i="15"/>
  <c r="AC503" i="15"/>
  <c r="AD503" i="15"/>
  <c r="AE503" i="15"/>
  <c r="AF503" i="15"/>
  <c r="AG503" i="15"/>
  <c r="AH503" i="15"/>
  <c r="AI503" i="15"/>
  <c r="AJ503" i="15"/>
  <c r="AK503" i="15"/>
  <c r="AL503" i="15"/>
  <c r="AM503" i="15"/>
  <c r="AN503" i="15"/>
  <c r="AO503" i="15"/>
  <c r="S504" i="15"/>
  <c r="T504" i="15"/>
  <c r="U504" i="15"/>
  <c r="V504" i="15"/>
  <c r="W504" i="15"/>
  <c r="X504" i="15"/>
  <c r="Y504" i="15"/>
  <c r="Z504" i="15"/>
  <c r="AA504" i="15"/>
  <c r="AB504" i="15"/>
  <c r="AC504" i="15"/>
  <c r="AD504" i="15"/>
  <c r="AE504" i="15"/>
  <c r="AF504" i="15"/>
  <c r="AG504" i="15"/>
  <c r="AH504" i="15"/>
  <c r="AI504" i="15"/>
  <c r="AJ504" i="15"/>
  <c r="AK504" i="15"/>
  <c r="AL504" i="15"/>
  <c r="AM504" i="15"/>
  <c r="AN504" i="15"/>
  <c r="AO504" i="15"/>
  <c r="S505" i="15"/>
  <c r="T505" i="15"/>
  <c r="U505" i="15"/>
  <c r="V505" i="15"/>
  <c r="W505" i="15"/>
  <c r="X505" i="15"/>
  <c r="Y505" i="15"/>
  <c r="Z505" i="15"/>
  <c r="AA505" i="15"/>
  <c r="AB505" i="15"/>
  <c r="AC505" i="15"/>
  <c r="AD505" i="15"/>
  <c r="AE505" i="15"/>
  <c r="AF505" i="15"/>
  <c r="AG505" i="15"/>
  <c r="AH505" i="15"/>
  <c r="AI505" i="15"/>
  <c r="AJ505" i="15"/>
  <c r="AK505" i="15"/>
  <c r="AL505" i="15"/>
  <c r="AM505" i="15"/>
  <c r="AN505" i="15"/>
  <c r="AO505" i="15"/>
  <c r="S506" i="15"/>
  <c r="T506" i="15"/>
  <c r="U506" i="15"/>
  <c r="V506" i="15"/>
  <c r="W506" i="15"/>
  <c r="X506" i="15"/>
  <c r="Y506" i="15"/>
  <c r="Z506" i="15"/>
  <c r="AA506" i="15"/>
  <c r="AB506" i="15"/>
  <c r="AC506" i="15"/>
  <c r="AD506" i="15"/>
  <c r="AE506" i="15"/>
  <c r="AF506" i="15"/>
  <c r="AG506" i="15"/>
  <c r="AH506" i="15"/>
  <c r="AI506" i="15"/>
  <c r="AJ506" i="15"/>
  <c r="AK506" i="15"/>
  <c r="AL506" i="15"/>
  <c r="AM506" i="15"/>
  <c r="AN506" i="15"/>
  <c r="AO506" i="15"/>
  <c r="S507" i="15"/>
  <c r="T507" i="15"/>
  <c r="U507" i="15"/>
  <c r="V507" i="15"/>
  <c r="W507" i="15"/>
  <c r="X507" i="15"/>
  <c r="Y507" i="15"/>
  <c r="Z507" i="15"/>
  <c r="AA507" i="15"/>
  <c r="AB507" i="15"/>
  <c r="AC507" i="15"/>
  <c r="AD507" i="15"/>
  <c r="AE507" i="15"/>
  <c r="AF507" i="15"/>
  <c r="AG507" i="15"/>
  <c r="AH507" i="15"/>
  <c r="AI507" i="15"/>
  <c r="AJ507" i="15"/>
  <c r="AK507" i="15"/>
  <c r="AL507" i="15"/>
  <c r="AM507" i="15"/>
  <c r="AN507" i="15"/>
  <c r="AO507" i="15"/>
  <c r="S508" i="15"/>
  <c r="T508" i="15"/>
  <c r="U508" i="15"/>
  <c r="V508" i="15"/>
  <c r="W508" i="15"/>
  <c r="X508" i="15"/>
  <c r="Y508" i="15"/>
  <c r="Z508" i="15"/>
  <c r="AA508" i="15"/>
  <c r="AB508" i="15"/>
  <c r="AC508" i="15"/>
  <c r="AD508" i="15"/>
  <c r="AE508" i="15"/>
  <c r="AF508" i="15"/>
  <c r="AG508" i="15"/>
  <c r="AH508" i="15"/>
  <c r="AI508" i="15"/>
  <c r="AJ508" i="15"/>
  <c r="AK508" i="15"/>
  <c r="AL508" i="15"/>
  <c r="AM508" i="15"/>
  <c r="AN508" i="15"/>
  <c r="AO508" i="15"/>
  <c r="S509" i="15"/>
  <c r="T509" i="15"/>
  <c r="U509" i="15"/>
  <c r="V509" i="15"/>
  <c r="W509" i="15"/>
  <c r="X509" i="15"/>
  <c r="Y509" i="15"/>
  <c r="Z509" i="15"/>
  <c r="AA509" i="15"/>
  <c r="AB509" i="15"/>
  <c r="AC509" i="15"/>
  <c r="AD509" i="15"/>
  <c r="AE509" i="15"/>
  <c r="AF509" i="15"/>
  <c r="AG509" i="15"/>
  <c r="AH509" i="15"/>
  <c r="AI509" i="15"/>
  <c r="AJ509" i="15"/>
  <c r="AK509" i="15"/>
  <c r="AL509" i="15"/>
  <c r="AM509" i="15"/>
  <c r="AN509" i="15"/>
  <c r="AO509" i="15"/>
  <c r="S510" i="15"/>
  <c r="T510" i="15"/>
  <c r="U510" i="15"/>
  <c r="V510" i="15"/>
  <c r="W510" i="15"/>
  <c r="X510" i="15"/>
  <c r="Y510" i="15"/>
  <c r="Z510" i="15"/>
  <c r="AA510" i="15"/>
  <c r="AB510" i="15"/>
  <c r="AC510" i="15"/>
  <c r="AD510" i="15"/>
  <c r="AE510" i="15"/>
  <c r="AF510" i="15"/>
  <c r="AG510" i="15"/>
  <c r="AH510" i="15"/>
  <c r="AI510" i="15"/>
  <c r="AJ510" i="15"/>
  <c r="AK510" i="15"/>
  <c r="AL510" i="15"/>
  <c r="AM510" i="15"/>
  <c r="AN510" i="15"/>
  <c r="AO510" i="15"/>
  <c r="S511" i="15"/>
  <c r="T511" i="15"/>
  <c r="U511" i="15"/>
  <c r="V511" i="15"/>
  <c r="W511" i="15"/>
  <c r="X511" i="15"/>
  <c r="Y511" i="15"/>
  <c r="Z511" i="15"/>
  <c r="AA511" i="15"/>
  <c r="AB511" i="15"/>
  <c r="AC511" i="15"/>
  <c r="AD511" i="15"/>
  <c r="AE511" i="15"/>
  <c r="AF511" i="15"/>
  <c r="AG511" i="15"/>
  <c r="AH511" i="15"/>
  <c r="AI511" i="15"/>
  <c r="AJ511" i="15"/>
  <c r="AK511" i="15"/>
  <c r="AL511" i="15"/>
  <c r="AM511" i="15"/>
  <c r="AN511" i="15"/>
  <c r="AO511" i="15"/>
  <c r="S512" i="15"/>
  <c r="T512" i="15"/>
  <c r="U512" i="15"/>
  <c r="V512" i="15"/>
  <c r="W512" i="15"/>
  <c r="X512" i="15"/>
  <c r="Y512" i="15"/>
  <c r="Z512" i="15"/>
  <c r="AA512" i="15"/>
  <c r="AB512" i="15"/>
  <c r="AC512" i="15"/>
  <c r="AD512" i="15"/>
  <c r="AE512" i="15"/>
  <c r="AF512" i="15"/>
  <c r="AG512" i="15"/>
  <c r="AH512" i="15"/>
  <c r="AI512" i="15"/>
  <c r="AJ512" i="15"/>
  <c r="AK512" i="15"/>
  <c r="AL512" i="15"/>
  <c r="AM512" i="15"/>
  <c r="AN512" i="15"/>
  <c r="AO512" i="15"/>
  <c r="S513" i="15"/>
  <c r="T513" i="15"/>
  <c r="U513" i="15"/>
  <c r="V513" i="15"/>
  <c r="W513" i="15"/>
  <c r="X513" i="15"/>
  <c r="Y513" i="15"/>
  <c r="Z513" i="15"/>
  <c r="AA513" i="15"/>
  <c r="AB513" i="15"/>
  <c r="AC513" i="15"/>
  <c r="AD513" i="15"/>
  <c r="AE513" i="15"/>
  <c r="AF513" i="15"/>
  <c r="AG513" i="15"/>
  <c r="AH513" i="15"/>
  <c r="AI513" i="15"/>
  <c r="AJ513" i="15"/>
  <c r="AK513" i="15"/>
  <c r="AL513" i="15"/>
  <c r="AM513" i="15"/>
  <c r="AN513" i="15"/>
  <c r="AO513" i="15"/>
  <c r="S514" i="15"/>
  <c r="T514" i="15"/>
  <c r="U514" i="15"/>
  <c r="V514" i="15"/>
  <c r="W514" i="15"/>
  <c r="X514" i="15"/>
  <c r="Y514" i="15"/>
  <c r="Z514" i="15"/>
  <c r="AA514" i="15"/>
  <c r="AB514" i="15"/>
  <c r="AC514" i="15"/>
  <c r="AD514" i="15"/>
  <c r="AE514" i="15"/>
  <c r="AF514" i="15"/>
  <c r="AG514" i="15"/>
  <c r="AH514" i="15"/>
  <c r="AI514" i="15"/>
  <c r="AJ514" i="15"/>
  <c r="AK514" i="15"/>
  <c r="AL514" i="15"/>
  <c r="AM514" i="15"/>
  <c r="AN514" i="15"/>
  <c r="AO514" i="15"/>
  <c r="S515" i="15"/>
  <c r="T515" i="15"/>
  <c r="U515" i="15"/>
  <c r="V515" i="15"/>
  <c r="W515" i="15"/>
  <c r="X515" i="15"/>
  <c r="Y515" i="15"/>
  <c r="Z515" i="15"/>
  <c r="AA515" i="15"/>
  <c r="AB515" i="15"/>
  <c r="AC515" i="15"/>
  <c r="AD515" i="15"/>
  <c r="AE515" i="15"/>
  <c r="AF515" i="15"/>
  <c r="AG515" i="15"/>
  <c r="AH515" i="15"/>
  <c r="AI515" i="15"/>
  <c r="AJ515" i="15"/>
  <c r="AK515" i="15"/>
  <c r="AL515" i="15"/>
  <c r="AM515" i="15"/>
  <c r="AN515" i="15"/>
  <c r="AO515" i="15"/>
  <c r="S516" i="15"/>
  <c r="T516" i="15"/>
  <c r="U516" i="15"/>
  <c r="V516" i="15"/>
  <c r="W516" i="15"/>
  <c r="X516" i="15"/>
  <c r="Y516" i="15"/>
  <c r="Z516" i="15"/>
  <c r="AA516" i="15"/>
  <c r="AB516" i="15"/>
  <c r="AC516" i="15"/>
  <c r="AD516" i="15"/>
  <c r="AE516" i="15"/>
  <c r="AF516" i="15"/>
  <c r="AG516" i="15"/>
  <c r="AH516" i="15"/>
  <c r="AI516" i="15"/>
  <c r="AJ516" i="15"/>
  <c r="AK516" i="15"/>
  <c r="AL516" i="15"/>
  <c r="AM516" i="15"/>
  <c r="AN516" i="15"/>
  <c r="AO516" i="15"/>
  <c r="S517" i="15"/>
  <c r="T517" i="15"/>
  <c r="U517" i="15"/>
  <c r="V517" i="15"/>
  <c r="W517" i="15"/>
  <c r="X517" i="15"/>
  <c r="Y517" i="15"/>
  <c r="Z517" i="15"/>
  <c r="AA517" i="15"/>
  <c r="AB517" i="15"/>
  <c r="AC517" i="15"/>
  <c r="AD517" i="15"/>
  <c r="AE517" i="15"/>
  <c r="AF517" i="15"/>
  <c r="AG517" i="15"/>
  <c r="AH517" i="15"/>
  <c r="AI517" i="15"/>
  <c r="AJ517" i="15"/>
  <c r="AK517" i="15"/>
  <c r="AL517" i="15"/>
  <c r="AM517" i="15"/>
  <c r="AN517" i="15"/>
  <c r="AO517" i="15"/>
  <c r="S518" i="15"/>
  <c r="T518" i="15"/>
  <c r="U518" i="15"/>
  <c r="V518" i="15"/>
  <c r="W518" i="15"/>
  <c r="X518" i="15"/>
  <c r="Y518" i="15"/>
  <c r="Z518" i="15"/>
  <c r="AA518" i="15"/>
  <c r="AB518" i="15"/>
  <c r="AC518" i="15"/>
  <c r="AD518" i="15"/>
  <c r="AE518" i="15"/>
  <c r="AF518" i="15"/>
  <c r="AG518" i="15"/>
  <c r="AH518" i="15"/>
  <c r="AI518" i="15"/>
  <c r="AJ518" i="15"/>
  <c r="AK518" i="15"/>
  <c r="AL518" i="15"/>
  <c r="AM518" i="15"/>
  <c r="AN518" i="15"/>
  <c r="AO518" i="15"/>
  <c r="S519" i="15"/>
  <c r="T519" i="15"/>
  <c r="U519" i="15"/>
  <c r="V519" i="15"/>
  <c r="W519" i="15"/>
  <c r="X519" i="15"/>
  <c r="Y519" i="15"/>
  <c r="Z519" i="15"/>
  <c r="AA519" i="15"/>
  <c r="AB519" i="15"/>
  <c r="AC519" i="15"/>
  <c r="AD519" i="15"/>
  <c r="AE519" i="15"/>
  <c r="AF519" i="15"/>
  <c r="AG519" i="15"/>
  <c r="AH519" i="15"/>
  <c r="AI519" i="15"/>
  <c r="AJ519" i="15"/>
  <c r="AK519" i="15"/>
  <c r="AL519" i="15"/>
  <c r="AM519" i="15"/>
  <c r="AN519" i="15"/>
  <c r="AO519" i="15"/>
  <c r="S520" i="15"/>
  <c r="T520" i="15"/>
  <c r="U520" i="15"/>
  <c r="V520" i="15"/>
  <c r="W520" i="15"/>
  <c r="X520" i="15"/>
  <c r="Y520" i="15"/>
  <c r="Z520" i="15"/>
  <c r="AA520" i="15"/>
  <c r="AB520" i="15"/>
  <c r="AC520" i="15"/>
  <c r="AD520" i="15"/>
  <c r="AE520" i="15"/>
  <c r="AF520" i="15"/>
  <c r="AG520" i="15"/>
  <c r="AH520" i="15"/>
  <c r="AI520" i="15"/>
  <c r="AJ520" i="15"/>
  <c r="AK520" i="15"/>
  <c r="AL520" i="15"/>
  <c r="AM520" i="15"/>
  <c r="AN520" i="15"/>
  <c r="AO520" i="15"/>
  <c r="S521" i="15"/>
  <c r="T521" i="15"/>
  <c r="U521" i="15"/>
  <c r="V521" i="15"/>
  <c r="W521" i="15"/>
  <c r="X521" i="15"/>
  <c r="Y521" i="15"/>
  <c r="Z521" i="15"/>
  <c r="AA521" i="15"/>
  <c r="AB521" i="15"/>
  <c r="AC521" i="15"/>
  <c r="AD521" i="15"/>
  <c r="AE521" i="15"/>
  <c r="AF521" i="15"/>
  <c r="AG521" i="15"/>
  <c r="AH521" i="15"/>
  <c r="AI521" i="15"/>
  <c r="AJ521" i="15"/>
  <c r="AK521" i="15"/>
  <c r="AL521" i="15"/>
  <c r="AM521" i="15"/>
  <c r="AN521" i="15"/>
  <c r="AO521" i="15"/>
  <c r="S522" i="15"/>
  <c r="T522" i="15"/>
  <c r="U522" i="15"/>
  <c r="V522" i="15"/>
  <c r="W522" i="15"/>
  <c r="X522" i="15"/>
  <c r="Y522" i="15"/>
  <c r="Z522" i="15"/>
  <c r="AA522" i="15"/>
  <c r="AB522" i="15"/>
  <c r="AC522" i="15"/>
  <c r="AD522" i="15"/>
  <c r="AE522" i="15"/>
  <c r="AF522" i="15"/>
  <c r="AG522" i="15"/>
  <c r="AH522" i="15"/>
  <c r="AI522" i="15"/>
  <c r="AJ522" i="15"/>
  <c r="AK522" i="15"/>
  <c r="AL522" i="15"/>
  <c r="AM522" i="15"/>
  <c r="AN522" i="15"/>
  <c r="AO522" i="15"/>
  <c r="S523" i="15"/>
  <c r="T523" i="15"/>
  <c r="U523" i="15"/>
  <c r="V523" i="15"/>
  <c r="W523" i="15"/>
  <c r="X523" i="15"/>
  <c r="Y523" i="15"/>
  <c r="Z523" i="15"/>
  <c r="AA523" i="15"/>
  <c r="AB523" i="15"/>
  <c r="AC523" i="15"/>
  <c r="AD523" i="15"/>
  <c r="AE523" i="15"/>
  <c r="AF523" i="15"/>
  <c r="AG523" i="15"/>
  <c r="AH523" i="15"/>
  <c r="AI523" i="15"/>
  <c r="AJ523" i="15"/>
  <c r="AK523" i="15"/>
  <c r="AL523" i="15"/>
  <c r="AM523" i="15"/>
  <c r="AN523" i="15"/>
  <c r="AO523" i="15"/>
  <c r="S524" i="15"/>
  <c r="T524" i="15"/>
  <c r="U524" i="15"/>
  <c r="V524" i="15"/>
  <c r="W524" i="15"/>
  <c r="X524" i="15"/>
  <c r="Y524" i="15"/>
  <c r="Z524" i="15"/>
  <c r="AA524" i="15"/>
  <c r="AB524" i="15"/>
  <c r="AC524" i="15"/>
  <c r="AD524" i="15"/>
  <c r="AE524" i="15"/>
  <c r="AF524" i="15"/>
  <c r="AG524" i="15"/>
  <c r="AH524" i="15"/>
  <c r="AI524" i="15"/>
  <c r="AJ524" i="15"/>
  <c r="AK524" i="15"/>
  <c r="AL524" i="15"/>
  <c r="AM524" i="15"/>
  <c r="AN524" i="15"/>
  <c r="AO524" i="15"/>
  <c r="S525" i="15"/>
  <c r="T525" i="15"/>
  <c r="U525" i="15"/>
  <c r="V525" i="15"/>
  <c r="W525" i="15"/>
  <c r="X525" i="15"/>
  <c r="Y525" i="15"/>
  <c r="Z525" i="15"/>
  <c r="AA525" i="15"/>
  <c r="AB525" i="15"/>
  <c r="AC525" i="15"/>
  <c r="AD525" i="15"/>
  <c r="AE525" i="15"/>
  <c r="AF525" i="15"/>
  <c r="AG525" i="15"/>
  <c r="AH525" i="15"/>
  <c r="AI525" i="15"/>
  <c r="AJ525" i="15"/>
  <c r="AK525" i="15"/>
  <c r="AL525" i="15"/>
  <c r="AM525" i="15"/>
  <c r="AN525" i="15"/>
  <c r="AO525" i="15"/>
  <c r="S526" i="15"/>
  <c r="T526" i="15"/>
  <c r="U526" i="15"/>
  <c r="V526" i="15"/>
  <c r="W526" i="15"/>
  <c r="X526" i="15"/>
  <c r="Y526" i="15"/>
  <c r="Z526" i="15"/>
  <c r="AA526" i="15"/>
  <c r="AB526" i="15"/>
  <c r="AC526" i="15"/>
  <c r="AD526" i="15"/>
  <c r="AE526" i="15"/>
  <c r="AF526" i="15"/>
  <c r="AG526" i="15"/>
  <c r="AH526" i="15"/>
  <c r="AI526" i="15"/>
  <c r="AJ526" i="15"/>
  <c r="AK526" i="15"/>
  <c r="AL526" i="15"/>
  <c r="AM526" i="15"/>
  <c r="AN526" i="15"/>
  <c r="AO526" i="15"/>
  <c r="S527" i="15"/>
  <c r="T527" i="15"/>
  <c r="U527" i="15"/>
  <c r="V527" i="15"/>
  <c r="W527" i="15"/>
  <c r="X527" i="15"/>
  <c r="Y527" i="15"/>
  <c r="Z527" i="15"/>
  <c r="AA527" i="15"/>
  <c r="AB527" i="15"/>
  <c r="AC527" i="15"/>
  <c r="AD527" i="15"/>
  <c r="AE527" i="15"/>
  <c r="AF527" i="15"/>
  <c r="AG527" i="15"/>
  <c r="AH527" i="15"/>
  <c r="AI527" i="15"/>
  <c r="AJ527" i="15"/>
  <c r="AK527" i="15"/>
  <c r="AL527" i="15"/>
  <c r="AM527" i="15"/>
  <c r="AN527" i="15"/>
  <c r="AO527" i="15"/>
  <c r="S528" i="15"/>
  <c r="T528" i="15"/>
  <c r="U528" i="15"/>
  <c r="V528" i="15"/>
  <c r="W528" i="15"/>
  <c r="X528" i="15"/>
  <c r="Y528" i="15"/>
  <c r="Z528" i="15"/>
  <c r="AA528" i="15"/>
  <c r="AB528" i="15"/>
  <c r="AC528" i="15"/>
  <c r="AD528" i="15"/>
  <c r="AE528" i="15"/>
  <c r="AF528" i="15"/>
  <c r="AG528" i="15"/>
  <c r="AH528" i="15"/>
  <c r="AI528" i="15"/>
  <c r="AJ528" i="15"/>
  <c r="AK528" i="15"/>
  <c r="AL528" i="15"/>
  <c r="AM528" i="15"/>
  <c r="AN528" i="15"/>
  <c r="AO528" i="15"/>
  <c r="S529" i="15"/>
  <c r="T529" i="15"/>
  <c r="U529" i="15"/>
  <c r="V529" i="15"/>
  <c r="W529" i="15"/>
  <c r="X529" i="15"/>
  <c r="Y529" i="15"/>
  <c r="Z529" i="15"/>
  <c r="AA529" i="15"/>
  <c r="AB529" i="15"/>
  <c r="AC529" i="15"/>
  <c r="AD529" i="15"/>
  <c r="AE529" i="15"/>
  <c r="AF529" i="15"/>
  <c r="AG529" i="15"/>
  <c r="AH529" i="15"/>
  <c r="AI529" i="15"/>
  <c r="AJ529" i="15"/>
  <c r="AK529" i="15"/>
  <c r="AL529" i="15"/>
  <c r="AM529" i="15"/>
  <c r="AN529" i="15"/>
  <c r="AO529" i="15"/>
  <c r="S530" i="15"/>
  <c r="T530" i="15"/>
  <c r="U530" i="15"/>
  <c r="V530" i="15"/>
  <c r="W530" i="15"/>
  <c r="X530" i="15"/>
  <c r="Y530" i="15"/>
  <c r="Z530" i="15"/>
  <c r="AA530" i="15"/>
  <c r="AB530" i="15"/>
  <c r="AC530" i="15"/>
  <c r="AD530" i="15"/>
  <c r="AE530" i="15"/>
  <c r="AF530" i="15"/>
  <c r="AG530" i="15"/>
  <c r="AH530" i="15"/>
  <c r="AI530" i="15"/>
  <c r="AJ530" i="15"/>
  <c r="AK530" i="15"/>
  <c r="AL530" i="15"/>
  <c r="AM530" i="15"/>
  <c r="AN530" i="15"/>
  <c r="AO530" i="15"/>
  <c r="S531" i="15"/>
  <c r="T531" i="15"/>
  <c r="U531" i="15"/>
  <c r="V531" i="15"/>
  <c r="W531" i="15"/>
  <c r="X531" i="15"/>
  <c r="Y531" i="15"/>
  <c r="Z531" i="15"/>
  <c r="AA531" i="15"/>
  <c r="AB531" i="15"/>
  <c r="AC531" i="15"/>
  <c r="AD531" i="15"/>
  <c r="AE531" i="15"/>
  <c r="AF531" i="15"/>
  <c r="AG531" i="15"/>
  <c r="AH531" i="15"/>
  <c r="AI531" i="15"/>
  <c r="AJ531" i="15"/>
  <c r="AK531" i="15"/>
  <c r="AL531" i="15"/>
  <c r="AM531" i="15"/>
  <c r="AN531" i="15"/>
  <c r="AO531" i="15"/>
  <c r="S532" i="15"/>
  <c r="T532" i="15"/>
  <c r="U532" i="15"/>
  <c r="V532" i="15"/>
  <c r="W532" i="15"/>
  <c r="X532" i="15"/>
  <c r="Y532" i="15"/>
  <c r="Z532" i="15"/>
  <c r="AA532" i="15"/>
  <c r="AB532" i="15"/>
  <c r="AC532" i="15"/>
  <c r="AD532" i="15"/>
  <c r="AE532" i="15"/>
  <c r="AF532" i="15"/>
  <c r="AG532" i="15"/>
  <c r="AH532" i="15"/>
  <c r="AI532" i="15"/>
  <c r="AJ532" i="15"/>
  <c r="AK532" i="15"/>
  <c r="AL532" i="15"/>
  <c r="AM532" i="15"/>
  <c r="AN532" i="15"/>
  <c r="AO532" i="15"/>
  <c r="S533" i="15"/>
  <c r="T533" i="15"/>
  <c r="U533" i="15"/>
  <c r="V533" i="15"/>
  <c r="W533" i="15"/>
  <c r="X533" i="15"/>
  <c r="Y533" i="15"/>
  <c r="Z533" i="15"/>
  <c r="AA533" i="15"/>
  <c r="AB533" i="15"/>
  <c r="AC533" i="15"/>
  <c r="AD533" i="15"/>
  <c r="AE533" i="15"/>
  <c r="AF533" i="15"/>
  <c r="AG533" i="15"/>
  <c r="AH533" i="15"/>
  <c r="AI533" i="15"/>
  <c r="AJ533" i="15"/>
  <c r="AK533" i="15"/>
  <c r="AL533" i="15"/>
  <c r="AM533" i="15"/>
  <c r="AN533" i="15"/>
  <c r="AO533" i="15"/>
  <c r="S534" i="15"/>
  <c r="T534" i="15"/>
  <c r="U534" i="15"/>
  <c r="V534" i="15"/>
  <c r="W534" i="15"/>
  <c r="X534" i="15"/>
  <c r="Y534" i="15"/>
  <c r="Z534" i="15"/>
  <c r="AA534" i="15"/>
  <c r="AB534" i="15"/>
  <c r="AC534" i="15"/>
  <c r="AD534" i="15"/>
  <c r="AE534" i="15"/>
  <c r="AF534" i="15"/>
  <c r="AG534" i="15"/>
  <c r="AH534" i="15"/>
  <c r="AI534" i="15"/>
  <c r="AJ534" i="15"/>
  <c r="AK534" i="15"/>
  <c r="AL534" i="15"/>
  <c r="AM534" i="15"/>
  <c r="AN534" i="15"/>
  <c r="AO534" i="15"/>
  <c r="S535" i="15"/>
  <c r="T535" i="15"/>
  <c r="U535" i="15"/>
  <c r="V535" i="15"/>
  <c r="W535" i="15"/>
  <c r="X535" i="15"/>
  <c r="Y535" i="15"/>
  <c r="Z535" i="15"/>
  <c r="AA535" i="15"/>
  <c r="AB535" i="15"/>
  <c r="AC535" i="15"/>
  <c r="AD535" i="15"/>
  <c r="AE535" i="15"/>
  <c r="AF535" i="15"/>
  <c r="AG535" i="15"/>
  <c r="AH535" i="15"/>
  <c r="AI535" i="15"/>
  <c r="AJ535" i="15"/>
  <c r="AK535" i="15"/>
  <c r="AL535" i="15"/>
  <c r="AM535" i="15"/>
  <c r="AN535" i="15"/>
  <c r="AO535" i="15"/>
  <c r="S536" i="15"/>
  <c r="T536" i="15"/>
  <c r="U536" i="15"/>
  <c r="V536" i="15"/>
  <c r="W536" i="15"/>
  <c r="X536" i="15"/>
  <c r="Y536" i="15"/>
  <c r="Z536" i="15"/>
  <c r="AA536" i="15"/>
  <c r="AB536" i="15"/>
  <c r="AC536" i="15"/>
  <c r="AD536" i="15"/>
  <c r="AE536" i="15"/>
  <c r="AF536" i="15"/>
  <c r="AG536" i="15"/>
  <c r="AH536" i="15"/>
  <c r="AI536" i="15"/>
  <c r="AJ536" i="15"/>
  <c r="AK536" i="15"/>
  <c r="AL536" i="15"/>
  <c r="AM536" i="15"/>
  <c r="AN536" i="15"/>
  <c r="AO536" i="15"/>
  <c r="S537" i="15"/>
  <c r="T537" i="15"/>
  <c r="U537" i="15"/>
  <c r="V537" i="15"/>
  <c r="W537" i="15"/>
  <c r="X537" i="15"/>
  <c r="Y537" i="15"/>
  <c r="Z537" i="15"/>
  <c r="AA537" i="15"/>
  <c r="AB537" i="15"/>
  <c r="AC537" i="15"/>
  <c r="AD537" i="15"/>
  <c r="AE537" i="15"/>
  <c r="AF537" i="15"/>
  <c r="AG537" i="15"/>
  <c r="AH537" i="15"/>
  <c r="AI537" i="15"/>
  <c r="AJ537" i="15"/>
  <c r="AK537" i="15"/>
  <c r="AL537" i="15"/>
  <c r="AM537" i="15"/>
  <c r="AN537" i="15"/>
  <c r="AO537" i="15"/>
  <c r="S538" i="15"/>
  <c r="T538" i="15"/>
  <c r="U538" i="15"/>
  <c r="V538" i="15"/>
  <c r="W538" i="15"/>
  <c r="X538" i="15"/>
  <c r="Y538" i="15"/>
  <c r="Z538" i="15"/>
  <c r="AA538" i="15"/>
  <c r="AB538" i="15"/>
  <c r="AC538" i="15"/>
  <c r="AD538" i="15"/>
  <c r="AE538" i="15"/>
  <c r="AF538" i="15"/>
  <c r="AG538" i="15"/>
  <c r="AH538" i="15"/>
  <c r="AI538" i="15"/>
  <c r="AJ538" i="15"/>
  <c r="AK538" i="15"/>
  <c r="AL538" i="15"/>
  <c r="AM538" i="15"/>
  <c r="AN538" i="15"/>
  <c r="AO538" i="15"/>
  <c r="S539" i="15"/>
  <c r="T539" i="15"/>
  <c r="U539" i="15"/>
  <c r="V539" i="15"/>
  <c r="W539" i="15"/>
  <c r="X539" i="15"/>
  <c r="Y539" i="15"/>
  <c r="Z539" i="15"/>
  <c r="AA539" i="15"/>
  <c r="AB539" i="15"/>
  <c r="AC539" i="15"/>
  <c r="AD539" i="15"/>
  <c r="AE539" i="15"/>
  <c r="AF539" i="15"/>
  <c r="AG539" i="15"/>
  <c r="AH539" i="15"/>
  <c r="AI539" i="15"/>
  <c r="AJ539" i="15"/>
  <c r="AK539" i="15"/>
  <c r="AL539" i="15"/>
  <c r="AM539" i="15"/>
  <c r="AN539" i="15"/>
  <c r="AO539" i="15"/>
  <c r="S540" i="15"/>
  <c r="T540" i="15"/>
  <c r="U540" i="15"/>
  <c r="V540" i="15"/>
  <c r="W540" i="15"/>
  <c r="X540" i="15"/>
  <c r="Y540" i="15"/>
  <c r="Z540" i="15"/>
  <c r="AA540" i="15"/>
  <c r="AB540" i="15"/>
  <c r="AC540" i="15"/>
  <c r="AD540" i="15"/>
  <c r="AE540" i="15"/>
  <c r="AF540" i="15"/>
  <c r="AG540" i="15"/>
  <c r="AH540" i="15"/>
  <c r="AI540" i="15"/>
  <c r="AJ540" i="15"/>
  <c r="AK540" i="15"/>
  <c r="AL540" i="15"/>
  <c r="AM540" i="15"/>
  <c r="AN540" i="15"/>
  <c r="AO540" i="15"/>
  <c r="S541" i="15"/>
  <c r="T541" i="15"/>
  <c r="U541" i="15"/>
  <c r="V541" i="15"/>
  <c r="W541" i="15"/>
  <c r="X541" i="15"/>
  <c r="Y541" i="15"/>
  <c r="Z541" i="15"/>
  <c r="AA541" i="15"/>
  <c r="AB541" i="15"/>
  <c r="AC541" i="15"/>
  <c r="AD541" i="15"/>
  <c r="AE541" i="15"/>
  <c r="AF541" i="15"/>
  <c r="AG541" i="15"/>
  <c r="AH541" i="15"/>
  <c r="AI541" i="15"/>
  <c r="AJ541" i="15"/>
  <c r="AK541" i="15"/>
  <c r="AL541" i="15"/>
  <c r="AM541" i="15"/>
  <c r="AN541" i="15"/>
  <c r="AO541" i="15"/>
  <c r="S542" i="15"/>
  <c r="T542" i="15"/>
  <c r="U542" i="15"/>
  <c r="V542" i="15"/>
  <c r="W542" i="15"/>
  <c r="X542" i="15"/>
  <c r="Y542" i="15"/>
  <c r="Z542" i="15"/>
  <c r="AA542" i="15"/>
  <c r="AB542" i="15"/>
  <c r="AC542" i="15"/>
  <c r="AD542" i="15"/>
  <c r="AE542" i="15"/>
  <c r="AF542" i="15"/>
  <c r="AG542" i="15"/>
  <c r="AH542" i="15"/>
  <c r="AI542" i="15"/>
  <c r="AJ542" i="15"/>
  <c r="AK542" i="15"/>
  <c r="AL542" i="15"/>
  <c r="AM542" i="15"/>
  <c r="AN542" i="15"/>
  <c r="AO542" i="15"/>
  <c r="S543" i="15"/>
  <c r="T543" i="15"/>
  <c r="U543" i="15"/>
  <c r="V543" i="15"/>
  <c r="W543" i="15"/>
  <c r="X543" i="15"/>
  <c r="Y543" i="15"/>
  <c r="Z543" i="15"/>
  <c r="AA543" i="15"/>
  <c r="AB543" i="15"/>
  <c r="AC543" i="15"/>
  <c r="AD543" i="15"/>
  <c r="AE543" i="15"/>
  <c r="AF543" i="15"/>
  <c r="AG543" i="15"/>
  <c r="AH543" i="15"/>
  <c r="AI543" i="15"/>
  <c r="AJ543" i="15"/>
  <c r="AK543" i="15"/>
  <c r="AL543" i="15"/>
  <c r="AM543" i="15"/>
  <c r="AN543" i="15"/>
  <c r="AO543" i="15"/>
  <c r="S544" i="15"/>
  <c r="T544" i="15"/>
  <c r="U544" i="15"/>
  <c r="V544" i="15"/>
  <c r="W544" i="15"/>
  <c r="X544" i="15"/>
  <c r="Y544" i="15"/>
  <c r="Z544" i="15"/>
  <c r="AA544" i="15"/>
  <c r="AB544" i="15"/>
  <c r="AC544" i="15"/>
  <c r="AD544" i="15"/>
  <c r="AE544" i="15"/>
  <c r="AF544" i="15"/>
  <c r="AG544" i="15"/>
  <c r="AH544" i="15"/>
  <c r="AI544" i="15"/>
  <c r="AJ544" i="15"/>
  <c r="AK544" i="15"/>
  <c r="AL544" i="15"/>
  <c r="AM544" i="15"/>
  <c r="AN544" i="15"/>
  <c r="AO544" i="15"/>
  <c r="S545" i="15"/>
  <c r="T545" i="15"/>
  <c r="U545" i="15"/>
  <c r="V545" i="15"/>
  <c r="W545" i="15"/>
  <c r="X545" i="15"/>
  <c r="Y545" i="15"/>
  <c r="Z545" i="15"/>
  <c r="AA545" i="15"/>
  <c r="AB545" i="15"/>
  <c r="AC545" i="15"/>
  <c r="AD545" i="15"/>
  <c r="AE545" i="15"/>
  <c r="AF545" i="15"/>
  <c r="AG545" i="15"/>
  <c r="AH545" i="15"/>
  <c r="AI545" i="15"/>
  <c r="AJ545" i="15"/>
  <c r="AK545" i="15"/>
  <c r="AL545" i="15"/>
  <c r="AM545" i="15"/>
  <c r="AN545" i="15"/>
  <c r="AO545" i="15"/>
  <c r="S546" i="15"/>
  <c r="T546" i="15"/>
  <c r="U546" i="15"/>
  <c r="V546" i="15"/>
  <c r="W546" i="15"/>
  <c r="X546" i="15"/>
  <c r="Y546" i="15"/>
  <c r="Z546" i="15"/>
  <c r="AA546" i="15"/>
  <c r="AB546" i="15"/>
  <c r="AC546" i="15"/>
  <c r="AD546" i="15"/>
  <c r="AE546" i="15"/>
  <c r="AF546" i="15"/>
  <c r="AG546" i="15"/>
  <c r="AH546" i="15"/>
  <c r="AI546" i="15"/>
  <c r="AJ546" i="15"/>
  <c r="AK546" i="15"/>
  <c r="AL546" i="15"/>
  <c r="AM546" i="15"/>
  <c r="AN546" i="15"/>
  <c r="AO546" i="15"/>
  <c r="S547" i="15"/>
  <c r="T547" i="15"/>
  <c r="U547" i="15"/>
  <c r="V547" i="15"/>
  <c r="W547" i="15"/>
  <c r="X547" i="15"/>
  <c r="Y547" i="15"/>
  <c r="Z547" i="15"/>
  <c r="AA547" i="15"/>
  <c r="AB547" i="15"/>
  <c r="AC547" i="15"/>
  <c r="AD547" i="15"/>
  <c r="AE547" i="15"/>
  <c r="AF547" i="15"/>
  <c r="AG547" i="15"/>
  <c r="AH547" i="15"/>
  <c r="AI547" i="15"/>
  <c r="AJ547" i="15"/>
  <c r="AK547" i="15"/>
  <c r="AL547" i="15"/>
  <c r="AM547" i="15"/>
  <c r="AN547" i="15"/>
  <c r="AO547" i="15"/>
  <c r="S548" i="15"/>
  <c r="T548" i="15"/>
  <c r="U548" i="15"/>
  <c r="V548" i="15"/>
  <c r="W548" i="15"/>
  <c r="X548" i="15"/>
  <c r="Y548" i="15"/>
  <c r="Z548" i="15"/>
  <c r="AA548" i="15"/>
  <c r="AB548" i="15"/>
  <c r="AC548" i="15"/>
  <c r="AD548" i="15"/>
  <c r="AE548" i="15"/>
  <c r="AF548" i="15"/>
  <c r="AG548" i="15"/>
  <c r="AH548" i="15"/>
  <c r="AI548" i="15"/>
  <c r="AJ548" i="15"/>
  <c r="AK548" i="15"/>
  <c r="AL548" i="15"/>
  <c r="AM548" i="15"/>
  <c r="AN548" i="15"/>
  <c r="AO548" i="15"/>
  <c r="S549" i="15"/>
  <c r="T549" i="15"/>
  <c r="U549" i="15"/>
  <c r="V549" i="15"/>
  <c r="W549" i="15"/>
  <c r="X549" i="15"/>
  <c r="Y549" i="15"/>
  <c r="Z549" i="15"/>
  <c r="AA549" i="15"/>
  <c r="AB549" i="15"/>
  <c r="AC549" i="15"/>
  <c r="AD549" i="15"/>
  <c r="AE549" i="15"/>
  <c r="AF549" i="15"/>
  <c r="AG549" i="15"/>
  <c r="AH549" i="15"/>
  <c r="AI549" i="15"/>
  <c r="AJ549" i="15"/>
  <c r="AK549" i="15"/>
  <c r="AL549" i="15"/>
  <c r="AM549" i="15"/>
  <c r="AN549" i="15"/>
  <c r="AO549" i="15"/>
  <c r="S550" i="15"/>
  <c r="T550" i="15"/>
  <c r="U550" i="15"/>
  <c r="V550" i="15"/>
  <c r="W550" i="15"/>
  <c r="X550" i="15"/>
  <c r="Y550" i="15"/>
  <c r="Z550" i="15"/>
  <c r="AA550" i="15"/>
  <c r="AB550" i="15"/>
  <c r="AC550" i="15"/>
  <c r="AD550" i="15"/>
  <c r="AE550" i="15"/>
  <c r="AF550" i="15"/>
  <c r="AG550" i="15"/>
  <c r="AH550" i="15"/>
  <c r="AI550" i="15"/>
  <c r="AJ550" i="15"/>
  <c r="AK550" i="15"/>
  <c r="AL550" i="15"/>
  <c r="AM550" i="15"/>
  <c r="AN550" i="15"/>
  <c r="AO550" i="15"/>
  <c r="S551" i="15"/>
  <c r="T551" i="15"/>
  <c r="U551" i="15"/>
  <c r="V551" i="15"/>
  <c r="W551" i="15"/>
  <c r="X551" i="15"/>
  <c r="Y551" i="15"/>
  <c r="Z551" i="15"/>
  <c r="AA551" i="15"/>
  <c r="AB551" i="15"/>
  <c r="AC551" i="15"/>
  <c r="AD551" i="15"/>
  <c r="AE551" i="15"/>
  <c r="AF551" i="15"/>
  <c r="AG551" i="15"/>
  <c r="AH551" i="15"/>
  <c r="AI551" i="15"/>
  <c r="AJ551" i="15"/>
  <c r="AK551" i="15"/>
  <c r="AL551" i="15"/>
  <c r="AM551" i="15"/>
  <c r="AN551" i="15"/>
  <c r="AO551" i="15"/>
  <c r="S552" i="15"/>
  <c r="T552" i="15"/>
  <c r="U552" i="15"/>
  <c r="V552" i="15"/>
  <c r="W552" i="15"/>
  <c r="X552" i="15"/>
  <c r="Y552" i="15"/>
  <c r="Z552" i="15"/>
  <c r="AA552" i="15"/>
  <c r="AB552" i="15"/>
  <c r="AC552" i="15"/>
  <c r="AD552" i="15"/>
  <c r="AE552" i="15"/>
  <c r="AF552" i="15"/>
  <c r="AG552" i="15"/>
  <c r="AH552" i="15"/>
  <c r="AI552" i="15"/>
  <c r="AJ552" i="15"/>
  <c r="AK552" i="15"/>
  <c r="AL552" i="15"/>
  <c r="AM552" i="15"/>
  <c r="AN552" i="15"/>
  <c r="AO552" i="15"/>
  <c r="S553" i="15"/>
  <c r="T553" i="15"/>
  <c r="U553" i="15"/>
  <c r="V553" i="15"/>
  <c r="W553" i="15"/>
  <c r="X553" i="15"/>
  <c r="Y553" i="15"/>
  <c r="Z553" i="15"/>
  <c r="AA553" i="15"/>
  <c r="AB553" i="15"/>
  <c r="AC553" i="15"/>
  <c r="AD553" i="15"/>
  <c r="AE553" i="15"/>
  <c r="AF553" i="15"/>
  <c r="AG553" i="15"/>
  <c r="AH553" i="15"/>
  <c r="AI553" i="15"/>
  <c r="AJ553" i="15"/>
  <c r="AK553" i="15"/>
  <c r="AL553" i="15"/>
  <c r="AM553" i="15"/>
  <c r="AN553" i="15"/>
  <c r="AO553" i="15"/>
  <c r="S554" i="15"/>
  <c r="T554" i="15"/>
  <c r="U554" i="15"/>
  <c r="V554" i="15"/>
  <c r="W554" i="15"/>
  <c r="X554" i="15"/>
  <c r="Y554" i="15"/>
  <c r="Z554" i="15"/>
  <c r="AA554" i="15"/>
  <c r="AB554" i="15"/>
  <c r="AC554" i="15"/>
  <c r="AD554" i="15"/>
  <c r="AE554" i="15"/>
  <c r="AF554" i="15"/>
  <c r="AG554" i="15"/>
  <c r="AH554" i="15"/>
  <c r="AI554" i="15"/>
  <c r="AJ554" i="15"/>
  <c r="AK554" i="15"/>
  <c r="AL554" i="15"/>
  <c r="AM554" i="15"/>
  <c r="AN554" i="15"/>
  <c r="AO554" i="15"/>
  <c r="S555" i="15"/>
  <c r="T555" i="15"/>
  <c r="U555" i="15"/>
  <c r="V555" i="15"/>
  <c r="W555" i="15"/>
  <c r="X555" i="15"/>
  <c r="Y555" i="15"/>
  <c r="Z555" i="15"/>
  <c r="AA555" i="15"/>
  <c r="AB555" i="15"/>
  <c r="AC555" i="15"/>
  <c r="AD555" i="15"/>
  <c r="AE555" i="15"/>
  <c r="AF555" i="15"/>
  <c r="AG555" i="15"/>
  <c r="AH555" i="15"/>
  <c r="AI555" i="15"/>
  <c r="AJ555" i="15"/>
  <c r="AK555" i="15"/>
  <c r="AL555" i="15"/>
  <c r="AM555" i="15"/>
  <c r="AN555" i="15"/>
  <c r="AO555" i="15"/>
  <c r="S556" i="15"/>
  <c r="T556" i="15"/>
  <c r="U556" i="15"/>
  <c r="V556" i="15"/>
  <c r="W556" i="15"/>
  <c r="X556" i="15"/>
  <c r="Y556" i="15"/>
  <c r="Z556" i="15"/>
  <c r="AA556" i="15"/>
  <c r="AB556" i="15"/>
  <c r="AC556" i="15"/>
  <c r="AD556" i="15"/>
  <c r="AE556" i="15"/>
  <c r="AF556" i="15"/>
  <c r="AG556" i="15"/>
  <c r="AH556" i="15"/>
  <c r="AI556" i="15"/>
  <c r="AJ556" i="15"/>
  <c r="AK556" i="15"/>
  <c r="AL556" i="15"/>
  <c r="AM556" i="15"/>
  <c r="AN556" i="15"/>
  <c r="AO556" i="15"/>
  <c r="S557" i="15"/>
  <c r="T557" i="15"/>
  <c r="U557" i="15"/>
  <c r="V557" i="15"/>
  <c r="W557" i="15"/>
  <c r="X557" i="15"/>
  <c r="Y557" i="15"/>
  <c r="Z557" i="15"/>
  <c r="AA557" i="15"/>
  <c r="AB557" i="15"/>
  <c r="AC557" i="15"/>
  <c r="AD557" i="15"/>
  <c r="AE557" i="15"/>
  <c r="AF557" i="15"/>
  <c r="AG557" i="15"/>
  <c r="AH557" i="15"/>
  <c r="AI557" i="15"/>
  <c r="AJ557" i="15"/>
  <c r="AK557" i="15"/>
  <c r="AL557" i="15"/>
  <c r="AM557" i="15"/>
  <c r="AN557" i="15"/>
  <c r="AO557" i="15"/>
  <c r="S558" i="15"/>
  <c r="T558" i="15"/>
  <c r="U558" i="15"/>
  <c r="V558" i="15"/>
  <c r="W558" i="15"/>
  <c r="X558" i="15"/>
  <c r="Y558" i="15"/>
  <c r="Z558" i="15"/>
  <c r="AA558" i="15"/>
  <c r="AB558" i="15"/>
  <c r="AC558" i="15"/>
  <c r="AD558" i="15"/>
  <c r="AE558" i="15"/>
  <c r="AF558" i="15"/>
  <c r="AG558" i="15"/>
  <c r="AH558" i="15"/>
  <c r="AI558" i="15"/>
  <c r="AJ558" i="15"/>
  <c r="AK558" i="15"/>
  <c r="AL558" i="15"/>
  <c r="AM558" i="15"/>
  <c r="AN558" i="15"/>
  <c r="AO558" i="15"/>
  <c r="S559" i="15"/>
  <c r="T559" i="15"/>
  <c r="U559" i="15"/>
  <c r="V559" i="15"/>
  <c r="W559" i="15"/>
  <c r="X559" i="15"/>
  <c r="Y559" i="15"/>
  <c r="Z559" i="15"/>
  <c r="AA559" i="15"/>
  <c r="AB559" i="15"/>
  <c r="AC559" i="15"/>
  <c r="AD559" i="15"/>
  <c r="AE559" i="15"/>
  <c r="AF559" i="15"/>
  <c r="AG559" i="15"/>
  <c r="AH559" i="15"/>
  <c r="AI559" i="15"/>
  <c r="AJ559" i="15"/>
  <c r="AK559" i="15"/>
  <c r="AL559" i="15"/>
  <c r="AM559" i="15"/>
  <c r="AN559" i="15"/>
  <c r="AO559" i="15"/>
  <c r="S560" i="15"/>
  <c r="T560" i="15"/>
  <c r="U560" i="15"/>
  <c r="V560" i="15"/>
  <c r="W560" i="15"/>
  <c r="X560" i="15"/>
  <c r="Y560" i="15"/>
  <c r="Z560" i="15"/>
  <c r="AA560" i="15"/>
  <c r="AB560" i="15"/>
  <c r="AC560" i="15"/>
  <c r="AD560" i="15"/>
  <c r="AE560" i="15"/>
  <c r="AF560" i="15"/>
  <c r="AG560" i="15"/>
  <c r="AH560" i="15"/>
  <c r="AI560" i="15"/>
  <c r="AJ560" i="15"/>
  <c r="AK560" i="15"/>
  <c r="AL560" i="15"/>
  <c r="AM560" i="15"/>
  <c r="AN560" i="15"/>
  <c r="AO560" i="15"/>
  <c r="S561" i="15"/>
  <c r="T561" i="15"/>
  <c r="U561" i="15"/>
  <c r="V561" i="15"/>
  <c r="W561" i="15"/>
  <c r="X561" i="15"/>
  <c r="Y561" i="15"/>
  <c r="Z561" i="15"/>
  <c r="AA561" i="15"/>
  <c r="AB561" i="15"/>
  <c r="AC561" i="15"/>
  <c r="AD561" i="15"/>
  <c r="AE561" i="15"/>
  <c r="AF561" i="15"/>
  <c r="AG561" i="15"/>
  <c r="AH561" i="15"/>
  <c r="AI561" i="15"/>
  <c r="AJ561" i="15"/>
  <c r="AK561" i="15"/>
  <c r="AL561" i="15"/>
  <c r="AM561" i="15"/>
  <c r="AN561" i="15"/>
  <c r="AO561" i="15"/>
  <c r="S562" i="15"/>
  <c r="T562" i="15"/>
  <c r="U562" i="15"/>
  <c r="V562" i="15"/>
  <c r="W562" i="15"/>
  <c r="X562" i="15"/>
  <c r="Y562" i="15"/>
  <c r="Z562" i="15"/>
  <c r="AA562" i="15"/>
  <c r="AB562" i="15"/>
  <c r="AC562" i="15"/>
  <c r="AD562" i="15"/>
  <c r="AE562" i="15"/>
  <c r="AF562" i="15"/>
  <c r="AG562" i="15"/>
  <c r="AH562" i="15"/>
  <c r="AI562" i="15"/>
  <c r="AJ562" i="15"/>
  <c r="AK562" i="15"/>
  <c r="AL562" i="15"/>
  <c r="AM562" i="15"/>
  <c r="AN562" i="15"/>
  <c r="AO562" i="15"/>
  <c r="S563" i="15"/>
  <c r="T563" i="15"/>
  <c r="U563" i="15"/>
  <c r="V563" i="15"/>
  <c r="W563" i="15"/>
  <c r="X563" i="15"/>
  <c r="Y563" i="15"/>
  <c r="Z563" i="15"/>
  <c r="AA563" i="15"/>
  <c r="AB563" i="15"/>
  <c r="AC563" i="15"/>
  <c r="AD563" i="15"/>
  <c r="AE563" i="15"/>
  <c r="AF563" i="15"/>
  <c r="AG563" i="15"/>
  <c r="AH563" i="15"/>
  <c r="AI563" i="15"/>
  <c r="AJ563" i="15"/>
  <c r="AK563" i="15"/>
  <c r="AL563" i="15"/>
  <c r="AM563" i="15"/>
  <c r="AN563" i="15"/>
  <c r="AO563" i="15"/>
  <c r="S564" i="15"/>
  <c r="T564" i="15"/>
  <c r="U564" i="15"/>
  <c r="V564" i="15"/>
  <c r="W564" i="15"/>
  <c r="X564" i="15"/>
  <c r="Y564" i="15"/>
  <c r="Z564" i="15"/>
  <c r="AA564" i="15"/>
  <c r="AB564" i="15"/>
  <c r="AC564" i="15"/>
  <c r="AD564" i="15"/>
  <c r="AE564" i="15"/>
  <c r="AF564" i="15"/>
  <c r="AG564" i="15"/>
  <c r="AH564" i="15"/>
  <c r="AI564" i="15"/>
  <c r="AJ564" i="15"/>
  <c r="AK564" i="15"/>
  <c r="AL564" i="15"/>
  <c r="AM564" i="15"/>
  <c r="AN564" i="15"/>
  <c r="AO564" i="15"/>
  <c r="S565" i="15"/>
  <c r="T565" i="15"/>
  <c r="U565" i="15"/>
  <c r="V565" i="15"/>
  <c r="W565" i="15"/>
  <c r="X565" i="15"/>
  <c r="Y565" i="15"/>
  <c r="Z565" i="15"/>
  <c r="AA565" i="15"/>
  <c r="AB565" i="15"/>
  <c r="AC565" i="15"/>
  <c r="AD565" i="15"/>
  <c r="AE565" i="15"/>
  <c r="AF565" i="15"/>
  <c r="AG565" i="15"/>
  <c r="AH565" i="15"/>
  <c r="AI565" i="15"/>
  <c r="AJ565" i="15"/>
  <c r="AK565" i="15"/>
  <c r="AL565" i="15"/>
  <c r="AM565" i="15"/>
  <c r="AN565" i="15"/>
  <c r="AO565" i="15"/>
  <c r="S566" i="15"/>
  <c r="T566" i="15"/>
  <c r="U566" i="15"/>
  <c r="V566" i="15"/>
  <c r="W566" i="15"/>
  <c r="X566" i="15"/>
  <c r="Y566" i="15"/>
  <c r="Z566" i="15"/>
  <c r="AA566" i="15"/>
  <c r="AB566" i="15"/>
  <c r="AC566" i="15"/>
  <c r="AD566" i="15"/>
  <c r="AE566" i="15"/>
  <c r="AF566" i="15"/>
  <c r="AG566" i="15"/>
  <c r="AH566" i="15"/>
  <c r="AI566" i="15"/>
  <c r="AJ566" i="15"/>
  <c r="AK566" i="15"/>
  <c r="AL566" i="15"/>
  <c r="AM566" i="15"/>
  <c r="AN566" i="15"/>
  <c r="AO566" i="15"/>
  <c r="S567" i="15"/>
  <c r="T567" i="15"/>
  <c r="U567" i="15"/>
  <c r="V567" i="15"/>
  <c r="W567" i="15"/>
  <c r="X567" i="15"/>
  <c r="Y567" i="15"/>
  <c r="Z567" i="15"/>
  <c r="AA567" i="15"/>
  <c r="AB567" i="15"/>
  <c r="AC567" i="15"/>
  <c r="AD567" i="15"/>
  <c r="AE567" i="15"/>
  <c r="AF567" i="15"/>
  <c r="AG567" i="15"/>
  <c r="AH567" i="15"/>
  <c r="AI567" i="15"/>
  <c r="AJ567" i="15"/>
  <c r="AK567" i="15"/>
  <c r="AL567" i="15"/>
  <c r="AM567" i="15"/>
  <c r="AN567" i="15"/>
  <c r="AO567" i="15"/>
  <c r="S568" i="15"/>
  <c r="T568" i="15"/>
  <c r="U568" i="15"/>
  <c r="V568" i="15"/>
  <c r="W568" i="15"/>
  <c r="X568" i="15"/>
  <c r="Y568" i="15"/>
  <c r="Z568" i="15"/>
  <c r="AA568" i="15"/>
  <c r="AB568" i="15"/>
  <c r="AC568" i="15"/>
  <c r="AD568" i="15"/>
  <c r="AE568" i="15"/>
  <c r="AF568" i="15"/>
  <c r="AG568" i="15"/>
  <c r="AH568" i="15"/>
  <c r="AI568" i="15"/>
  <c r="AJ568" i="15"/>
  <c r="AK568" i="15"/>
  <c r="AL568" i="15"/>
  <c r="AM568" i="15"/>
  <c r="AN568" i="15"/>
  <c r="AO568" i="15"/>
  <c r="S569" i="15"/>
  <c r="T569" i="15"/>
  <c r="U569" i="15"/>
  <c r="V569" i="15"/>
  <c r="W569" i="15"/>
  <c r="X569" i="15"/>
  <c r="Y569" i="15"/>
  <c r="Z569" i="15"/>
  <c r="AA569" i="15"/>
  <c r="AB569" i="15"/>
  <c r="AC569" i="15"/>
  <c r="AD569" i="15"/>
  <c r="AE569" i="15"/>
  <c r="AF569" i="15"/>
  <c r="AG569" i="15"/>
  <c r="AH569" i="15"/>
  <c r="AI569" i="15"/>
  <c r="AJ569" i="15"/>
  <c r="AK569" i="15"/>
  <c r="AL569" i="15"/>
  <c r="AM569" i="15"/>
  <c r="AN569" i="15"/>
  <c r="AO569" i="15"/>
  <c r="S570" i="15"/>
  <c r="T570" i="15"/>
  <c r="U570" i="15"/>
  <c r="V570" i="15"/>
  <c r="W570" i="15"/>
  <c r="X570" i="15"/>
  <c r="Y570" i="15"/>
  <c r="Z570" i="15"/>
  <c r="AA570" i="15"/>
  <c r="AB570" i="15"/>
  <c r="AC570" i="15"/>
  <c r="AD570" i="15"/>
  <c r="AE570" i="15"/>
  <c r="AF570" i="15"/>
  <c r="AG570" i="15"/>
  <c r="AH570" i="15"/>
  <c r="AI570" i="15"/>
  <c r="AJ570" i="15"/>
  <c r="AK570" i="15"/>
  <c r="AL570" i="15"/>
  <c r="AM570" i="15"/>
  <c r="AN570" i="15"/>
  <c r="AO570" i="15"/>
  <c r="S571" i="15"/>
  <c r="T571" i="15"/>
  <c r="U571" i="15"/>
  <c r="V571" i="15"/>
  <c r="W571" i="15"/>
  <c r="X571" i="15"/>
  <c r="Y571" i="15"/>
  <c r="Z571" i="15"/>
  <c r="AA571" i="15"/>
  <c r="AB571" i="15"/>
  <c r="AC571" i="15"/>
  <c r="AD571" i="15"/>
  <c r="AE571" i="15"/>
  <c r="AF571" i="15"/>
  <c r="AG571" i="15"/>
  <c r="AH571" i="15"/>
  <c r="AI571" i="15"/>
  <c r="AJ571" i="15"/>
  <c r="AK571" i="15"/>
  <c r="AL571" i="15"/>
  <c r="AM571" i="15"/>
  <c r="AN571" i="15"/>
  <c r="AO571" i="15"/>
  <c r="S572" i="15"/>
  <c r="T572" i="15"/>
  <c r="U572" i="15"/>
  <c r="V572" i="15"/>
  <c r="W572" i="15"/>
  <c r="X572" i="15"/>
  <c r="Y572" i="15"/>
  <c r="Z572" i="15"/>
  <c r="AA572" i="15"/>
  <c r="AB572" i="15"/>
  <c r="AC572" i="15"/>
  <c r="AD572" i="15"/>
  <c r="AE572" i="15"/>
  <c r="AF572" i="15"/>
  <c r="AG572" i="15"/>
  <c r="AH572" i="15"/>
  <c r="AI572" i="15"/>
  <c r="AJ572" i="15"/>
  <c r="AK572" i="15"/>
  <c r="AL572" i="15"/>
  <c r="AM572" i="15"/>
  <c r="AN572" i="15"/>
  <c r="AO572" i="15"/>
  <c r="S573" i="15"/>
  <c r="T573" i="15"/>
  <c r="U573" i="15"/>
  <c r="V573" i="15"/>
  <c r="W573" i="15"/>
  <c r="X573" i="15"/>
  <c r="Y573" i="15"/>
  <c r="Z573" i="15"/>
  <c r="AA573" i="15"/>
  <c r="AB573" i="15"/>
  <c r="AC573" i="15"/>
  <c r="AD573" i="15"/>
  <c r="AE573" i="15"/>
  <c r="AF573" i="15"/>
  <c r="AG573" i="15"/>
  <c r="AH573" i="15"/>
  <c r="AI573" i="15"/>
  <c r="AJ573" i="15"/>
  <c r="AK573" i="15"/>
  <c r="AL573" i="15"/>
  <c r="AM573" i="15"/>
  <c r="AN573" i="15"/>
  <c r="AO573" i="15"/>
  <c r="S574" i="15"/>
  <c r="T574" i="15"/>
  <c r="U574" i="15"/>
  <c r="V574" i="15"/>
  <c r="W574" i="15"/>
  <c r="X574" i="15"/>
  <c r="Y574" i="15"/>
  <c r="Z574" i="15"/>
  <c r="AA574" i="15"/>
  <c r="AB574" i="15"/>
  <c r="AC574" i="15"/>
  <c r="AD574" i="15"/>
  <c r="AE574" i="15"/>
  <c r="AF574" i="15"/>
  <c r="AG574" i="15"/>
  <c r="AH574" i="15"/>
  <c r="AI574" i="15"/>
  <c r="AJ574" i="15"/>
  <c r="AK574" i="15"/>
  <c r="AL574" i="15"/>
  <c r="AM574" i="15"/>
  <c r="AN574" i="15"/>
  <c r="AO574" i="15"/>
  <c r="S575" i="15"/>
  <c r="T575" i="15"/>
  <c r="U575" i="15"/>
  <c r="V575" i="15"/>
  <c r="W575" i="15"/>
  <c r="X575" i="15"/>
  <c r="Y575" i="15"/>
  <c r="Z575" i="15"/>
  <c r="AA575" i="15"/>
  <c r="AB575" i="15"/>
  <c r="AC575" i="15"/>
  <c r="AD575" i="15"/>
  <c r="AE575" i="15"/>
  <c r="AF575" i="15"/>
  <c r="AG575" i="15"/>
  <c r="AH575" i="15"/>
  <c r="AI575" i="15"/>
  <c r="AJ575" i="15"/>
  <c r="AK575" i="15"/>
  <c r="AL575" i="15"/>
  <c r="AM575" i="15"/>
  <c r="AN575" i="15"/>
  <c r="AO575" i="15"/>
  <c r="S576" i="15"/>
  <c r="T576" i="15"/>
  <c r="U576" i="15"/>
  <c r="V576" i="15"/>
  <c r="W576" i="15"/>
  <c r="X576" i="15"/>
  <c r="Y576" i="15"/>
  <c r="Z576" i="15"/>
  <c r="AA576" i="15"/>
  <c r="AB576" i="15"/>
  <c r="AC576" i="15"/>
  <c r="AD576" i="15"/>
  <c r="AE576" i="15"/>
  <c r="AF576" i="15"/>
  <c r="AG576" i="15"/>
  <c r="AH576" i="15"/>
  <c r="AI576" i="15"/>
  <c r="AJ576" i="15"/>
  <c r="AK576" i="15"/>
  <c r="AL576" i="15"/>
  <c r="AM576" i="15"/>
  <c r="AN576" i="15"/>
  <c r="AO576" i="15"/>
  <c r="S577" i="15"/>
  <c r="T577" i="15"/>
  <c r="U577" i="15"/>
  <c r="V577" i="15"/>
  <c r="W577" i="15"/>
  <c r="X577" i="15"/>
  <c r="Y577" i="15"/>
  <c r="Z577" i="15"/>
  <c r="AA577" i="15"/>
  <c r="AB577" i="15"/>
  <c r="AC577" i="15"/>
  <c r="AD577" i="15"/>
  <c r="AE577" i="15"/>
  <c r="AF577" i="15"/>
  <c r="AG577" i="15"/>
  <c r="AH577" i="15"/>
  <c r="AI577" i="15"/>
  <c r="AJ577" i="15"/>
  <c r="AK577" i="15"/>
  <c r="AL577" i="15"/>
  <c r="AM577" i="15"/>
  <c r="AN577" i="15"/>
  <c r="AO577" i="15"/>
  <c r="S578" i="15"/>
  <c r="T578" i="15"/>
  <c r="U578" i="15"/>
  <c r="V578" i="15"/>
  <c r="W578" i="15"/>
  <c r="X578" i="15"/>
  <c r="Y578" i="15"/>
  <c r="Z578" i="15"/>
  <c r="AA578" i="15"/>
  <c r="AB578" i="15"/>
  <c r="AC578" i="15"/>
  <c r="AD578" i="15"/>
  <c r="AE578" i="15"/>
  <c r="AF578" i="15"/>
  <c r="AG578" i="15"/>
  <c r="AH578" i="15"/>
  <c r="AI578" i="15"/>
  <c r="AJ578" i="15"/>
  <c r="AK578" i="15"/>
  <c r="AL578" i="15"/>
  <c r="AM578" i="15"/>
  <c r="AN578" i="15"/>
  <c r="AO578" i="15"/>
  <c r="S579" i="15"/>
  <c r="T579" i="15"/>
  <c r="U579" i="15"/>
  <c r="V579" i="15"/>
  <c r="W579" i="15"/>
  <c r="X579" i="15"/>
  <c r="Y579" i="15"/>
  <c r="Z579" i="15"/>
  <c r="AA579" i="15"/>
  <c r="AB579" i="15"/>
  <c r="AC579" i="15"/>
  <c r="AD579" i="15"/>
  <c r="AE579" i="15"/>
  <c r="AF579" i="15"/>
  <c r="AG579" i="15"/>
  <c r="AH579" i="15"/>
  <c r="AI579" i="15"/>
  <c r="AJ579" i="15"/>
  <c r="AK579" i="15"/>
  <c r="AL579" i="15"/>
  <c r="AM579" i="15"/>
  <c r="AN579" i="15"/>
  <c r="AO579" i="15"/>
  <c r="S580" i="15"/>
  <c r="T580" i="15"/>
  <c r="U580" i="15"/>
  <c r="V580" i="15"/>
  <c r="W580" i="15"/>
  <c r="X580" i="15"/>
  <c r="Y580" i="15"/>
  <c r="Z580" i="15"/>
  <c r="AA580" i="15"/>
  <c r="AB580" i="15"/>
  <c r="AC580" i="15"/>
  <c r="AD580" i="15"/>
  <c r="AE580" i="15"/>
  <c r="AF580" i="15"/>
  <c r="AG580" i="15"/>
  <c r="AH580" i="15"/>
  <c r="AI580" i="15"/>
  <c r="AJ580" i="15"/>
  <c r="AK580" i="15"/>
  <c r="AL580" i="15"/>
  <c r="AM580" i="15"/>
  <c r="AN580" i="15"/>
  <c r="AO580" i="15"/>
  <c r="S581" i="15"/>
  <c r="T581" i="15"/>
  <c r="U581" i="15"/>
  <c r="V581" i="15"/>
  <c r="W581" i="15"/>
  <c r="X581" i="15"/>
  <c r="Y581" i="15"/>
  <c r="Z581" i="15"/>
  <c r="AA581" i="15"/>
  <c r="AB581" i="15"/>
  <c r="AC581" i="15"/>
  <c r="AD581" i="15"/>
  <c r="AE581" i="15"/>
  <c r="AF581" i="15"/>
  <c r="AG581" i="15"/>
  <c r="AH581" i="15"/>
  <c r="AI581" i="15"/>
  <c r="AJ581" i="15"/>
  <c r="AK581" i="15"/>
  <c r="AL581" i="15"/>
  <c r="AM581" i="15"/>
  <c r="AN581" i="15"/>
  <c r="AO581" i="15"/>
  <c r="S582" i="15"/>
  <c r="T582" i="15"/>
  <c r="U582" i="15"/>
  <c r="V582" i="15"/>
  <c r="W582" i="15"/>
  <c r="X582" i="15"/>
  <c r="Y582" i="15"/>
  <c r="Z582" i="15"/>
  <c r="AA582" i="15"/>
  <c r="AB582" i="15"/>
  <c r="AC582" i="15"/>
  <c r="AD582" i="15"/>
  <c r="AE582" i="15"/>
  <c r="AF582" i="15"/>
  <c r="AG582" i="15"/>
  <c r="AH582" i="15"/>
  <c r="AI582" i="15"/>
  <c r="AJ582" i="15"/>
  <c r="AK582" i="15"/>
  <c r="AL582" i="15"/>
  <c r="AM582" i="15"/>
  <c r="AN582" i="15"/>
  <c r="AO582" i="15"/>
  <c r="S583" i="15"/>
  <c r="T583" i="15"/>
  <c r="U583" i="15"/>
  <c r="V583" i="15"/>
  <c r="W583" i="15"/>
  <c r="X583" i="15"/>
  <c r="Y583" i="15"/>
  <c r="Z583" i="15"/>
  <c r="AA583" i="15"/>
  <c r="AB583" i="15"/>
  <c r="AC583" i="15"/>
  <c r="AD583" i="15"/>
  <c r="AE583" i="15"/>
  <c r="AF583" i="15"/>
  <c r="AG583" i="15"/>
  <c r="AH583" i="15"/>
  <c r="AI583" i="15"/>
  <c r="AJ583" i="15"/>
  <c r="AK583" i="15"/>
  <c r="AL583" i="15"/>
  <c r="AM583" i="15"/>
  <c r="AN583" i="15"/>
  <c r="AO583" i="15"/>
  <c r="S584" i="15"/>
  <c r="T584" i="15"/>
  <c r="U584" i="15"/>
  <c r="V584" i="15"/>
  <c r="W584" i="15"/>
  <c r="X584" i="15"/>
  <c r="Y584" i="15"/>
  <c r="Z584" i="15"/>
  <c r="AA584" i="15"/>
  <c r="AB584" i="15"/>
  <c r="AC584" i="15"/>
  <c r="AD584" i="15"/>
  <c r="AE584" i="15"/>
  <c r="AF584" i="15"/>
  <c r="AG584" i="15"/>
  <c r="AH584" i="15"/>
  <c r="AI584" i="15"/>
  <c r="AJ584" i="15"/>
  <c r="AK584" i="15"/>
  <c r="AL584" i="15"/>
  <c r="AM584" i="15"/>
  <c r="AN584" i="15"/>
  <c r="AO584" i="15"/>
  <c r="S585" i="15"/>
  <c r="T585" i="15"/>
  <c r="U585" i="15"/>
  <c r="V585" i="15"/>
  <c r="W585" i="15"/>
  <c r="X585" i="15"/>
  <c r="Y585" i="15"/>
  <c r="Z585" i="15"/>
  <c r="AA585" i="15"/>
  <c r="AB585" i="15"/>
  <c r="AC585" i="15"/>
  <c r="AD585" i="15"/>
  <c r="AE585" i="15"/>
  <c r="AF585" i="15"/>
  <c r="AG585" i="15"/>
  <c r="AH585" i="15"/>
  <c r="AI585" i="15"/>
  <c r="AJ585" i="15"/>
  <c r="AK585" i="15"/>
  <c r="AL585" i="15"/>
  <c r="AM585" i="15"/>
  <c r="AN585" i="15"/>
  <c r="AO585" i="15"/>
  <c r="S586" i="15"/>
  <c r="T586" i="15"/>
  <c r="U586" i="15"/>
  <c r="V586" i="15"/>
  <c r="W586" i="15"/>
  <c r="X586" i="15"/>
  <c r="Y586" i="15"/>
  <c r="Z586" i="15"/>
  <c r="AA586" i="15"/>
  <c r="AB586" i="15"/>
  <c r="AC586" i="15"/>
  <c r="AD586" i="15"/>
  <c r="AE586" i="15"/>
  <c r="AF586" i="15"/>
  <c r="AG586" i="15"/>
  <c r="AH586" i="15"/>
  <c r="AI586" i="15"/>
  <c r="AJ586" i="15"/>
  <c r="AK586" i="15"/>
  <c r="AL586" i="15"/>
  <c r="AM586" i="15"/>
  <c r="AN586" i="15"/>
  <c r="AO586" i="15"/>
  <c r="S587" i="15"/>
  <c r="T587" i="15"/>
  <c r="U587" i="15"/>
  <c r="V587" i="15"/>
  <c r="W587" i="15"/>
  <c r="X587" i="15"/>
  <c r="Y587" i="15"/>
  <c r="Z587" i="15"/>
  <c r="AA587" i="15"/>
  <c r="AB587" i="15"/>
  <c r="AC587" i="15"/>
  <c r="AD587" i="15"/>
  <c r="AE587" i="15"/>
  <c r="AF587" i="15"/>
  <c r="AG587" i="15"/>
  <c r="AH587" i="15"/>
  <c r="AI587" i="15"/>
  <c r="AJ587" i="15"/>
  <c r="AK587" i="15"/>
  <c r="AL587" i="15"/>
  <c r="AM587" i="15"/>
  <c r="AN587" i="15"/>
  <c r="AO587" i="15"/>
  <c r="S588" i="15"/>
  <c r="T588" i="15"/>
  <c r="U588" i="15"/>
  <c r="V588" i="15"/>
  <c r="W588" i="15"/>
  <c r="X588" i="15"/>
  <c r="Y588" i="15"/>
  <c r="Z588" i="15"/>
  <c r="AA588" i="15"/>
  <c r="AB588" i="15"/>
  <c r="AC588" i="15"/>
  <c r="AD588" i="15"/>
  <c r="AE588" i="15"/>
  <c r="AF588" i="15"/>
  <c r="AG588" i="15"/>
  <c r="AH588" i="15"/>
  <c r="AI588" i="15"/>
  <c r="AJ588" i="15"/>
  <c r="AK588" i="15"/>
  <c r="AL588" i="15"/>
  <c r="AM588" i="15"/>
  <c r="AN588" i="15"/>
  <c r="AO588" i="15"/>
  <c r="S589" i="15"/>
  <c r="T589" i="15"/>
  <c r="U589" i="15"/>
  <c r="V589" i="15"/>
  <c r="W589" i="15"/>
  <c r="X589" i="15"/>
  <c r="Y589" i="15"/>
  <c r="Z589" i="15"/>
  <c r="AA589" i="15"/>
  <c r="AB589" i="15"/>
  <c r="AC589" i="15"/>
  <c r="AD589" i="15"/>
  <c r="AE589" i="15"/>
  <c r="AF589" i="15"/>
  <c r="AG589" i="15"/>
  <c r="AH589" i="15"/>
  <c r="AI589" i="15"/>
  <c r="AJ589" i="15"/>
  <c r="AK589" i="15"/>
  <c r="AL589" i="15"/>
  <c r="AM589" i="15"/>
  <c r="AN589" i="15"/>
  <c r="AO589" i="15"/>
  <c r="S590" i="15"/>
  <c r="T590" i="15"/>
  <c r="U590" i="15"/>
  <c r="V590" i="15"/>
  <c r="W590" i="15"/>
  <c r="X590" i="15"/>
  <c r="Y590" i="15"/>
  <c r="Z590" i="15"/>
  <c r="AA590" i="15"/>
  <c r="AB590" i="15"/>
  <c r="AC590" i="15"/>
  <c r="AD590" i="15"/>
  <c r="AE590" i="15"/>
  <c r="AF590" i="15"/>
  <c r="AG590" i="15"/>
  <c r="AH590" i="15"/>
  <c r="AI590" i="15"/>
  <c r="AJ590" i="15"/>
  <c r="AK590" i="15"/>
  <c r="AL590" i="15"/>
  <c r="AM590" i="15"/>
  <c r="AN590" i="15"/>
  <c r="AO590" i="15"/>
  <c r="S591" i="15"/>
  <c r="T591" i="15"/>
  <c r="U591" i="15"/>
  <c r="V591" i="15"/>
  <c r="W591" i="15"/>
  <c r="X591" i="15"/>
  <c r="Y591" i="15"/>
  <c r="Z591" i="15"/>
  <c r="AA591" i="15"/>
  <c r="AB591" i="15"/>
  <c r="AC591" i="15"/>
  <c r="AD591" i="15"/>
  <c r="AE591" i="15"/>
  <c r="AF591" i="15"/>
  <c r="AG591" i="15"/>
  <c r="AH591" i="15"/>
  <c r="AI591" i="15"/>
  <c r="AJ591" i="15"/>
  <c r="AK591" i="15"/>
  <c r="AL591" i="15"/>
  <c r="AM591" i="15"/>
  <c r="AN591" i="15"/>
  <c r="AO591" i="15"/>
  <c r="S592" i="15"/>
  <c r="T592" i="15"/>
  <c r="U592" i="15"/>
  <c r="V592" i="15"/>
  <c r="W592" i="15"/>
  <c r="X592" i="15"/>
  <c r="Y592" i="15"/>
  <c r="Z592" i="15"/>
  <c r="AA592" i="15"/>
  <c r="AB592" i="15"/>
  <c r="AC592" i="15"/>
  <c r="AD592" i="15"/>
  <c r="AE592" i="15"/>
  <c r="AF592" i="15"/>
  <c r="AG592" i="15"/>
  <c r="AH592" i="15"/>
  <c r="AI592" i="15"/>
  <c r="AJ592" i="15"/>
  <c r="AK592" i="15"/>
  <c r="AL592" i="15"/>
  <c r="AM592" i="15"/>
  <c r="AN592" i="15"/>
  <c r="AO592" i="15"/>
  <c r="S593" i="15"/>
  <c r="T593" i="15"/>
  <c r="U593" i="15"/>
  <c r="V593" i="15"/>
  <c r="W593" i="15"/>
  <c r="X593" i="15"/>
  <c r="Y593" i="15"/>
  <c r="Z593" i="15"/>
  <c r="AA593" i="15"/>
  <c r="AB593" i="15"/>
  <c r="AC593" i="15"/>
  <c r="AD593" i="15"/>
  <c r="AE593" i="15"/>
  <c r="AF593" i="15"/>
  <c r="AG593" i="15"/>
  <c r="AH593" i="15"/>
  <c r="AI593" i="15"/>
  <c r="AJ593" i="15"/>
  <c r="AK593" i="15"/>
  <c r="AL593" i="15"/>
  <c r="AM593" i="15"/>
  <c r="AN593" i="15"/>
  <c r="AO593" i="15"/>
  <c r="S594" i="15"/>
  <c r="T594" i="15"/>
  <c r="U594" i="15"/>
  <c r="V594" i="15"/>
  <c r="W594" i="15"/>
  <c r="X594" i="15"/>
  <c r="Y594" i="15"/>
  <c r="Z594" i="15"/>
  <c r="AA594" i="15"/>
  <c r="AB594" i="15"/>
  <c r="AC594" i="15"/>
  <c r="AD594" i="15"/>
  <c r="AE594" i="15"/>
  <c r="AF594" i="15"/>
  <c r="AG594" i="15"/>
  <c r="AH594" i="15"/>
  <c r="AI594" i="15"/>
  <c r="AJ594" i="15"/>
  <c r="AK594" i="15"/>
  <c r="AL594" i="15"/>
  <c r="AM594" i="15"/>
  <c r="AN594" i="15"/>
  <c r="AO594" i="15"/>
  <c r="S595" i="15"/>
  <c r="T595" i="15"/>
  <c r="U595" i="15"/>
  <c r="V595" i="15"/>
  <c r="W595" i="15"/>
  <c r="X595" i="15"/>
  <c r="Y595" i="15"/>
  <c r="Z595" i="15"/>
  <c r="AA595" i="15"/>
  <c r="AB595" i="15"/>
  <c r="AC595" i="15"/>
  <c r="AD595" i="15"/>
  <c r="AE595" i="15"/>
  <c r="AF595" i="15"/>
  <c r="AG595" i="15"/>
  <c r="AH595" i="15"/>
  <c r="AI595" i="15"/>
  <c r="AJ595" i="15"/>
  <c r="AK595" i="15"/>
  <c r="AL595" i="15"/>
  <c r="AM595" i="15"/>
  <c r="AN595" i="15"/>
  <c r="AO595" i="15"/>
  <c r="S596" i="15"/>
  <c r="T596" i="15"/>
  <c r="U596" i="15"/>
  <c r="V596" i="15"/>
  <c r="W596" i="15"/>
  <c r="X596" i="15"/>
  <c r="Y596" i="15"/>
  <c r="Z596" i="15"/>
  <c r="AA596" i="15"/>
  <c r="AB596" i="15"/>
  <c r="AC596" i="15"/>
  <c r="AD596" i="15"/>
  <c r="AE596" i="15"/>
  <c r="AF596" i="15"/>
  <c r="AG596" i="15"/>
  <c r="AH596" i="15"/>
  <c r="AI596" i="15"/>
  <c r="AJ596" i="15"/>
  <c r="AK596" i="15"/>
  <c r="AL596" i="15"/>
  <c r="AM596" i="15"/>
  <c r="AN596" i="15"/>
  <c r="AO596" i="15"/>
  <c r="S597" i="15"/>
  <c r="T597" i="15"/>
  <c r="U597" i="15"/>
  <c r="V597" i="15"/>
  <c r="W597" i="15"/>
  <c r="X597" i="15"/>
  <c r="Y597" i="15"/>
  <c r="Z597" i="15"/>
  <c r="AA597" i="15"/>
  <c r="AB597" i="15"/>
  <c r="AC597" i="15"/>
  <c r="AD597" i="15"/>
  <c r="AE597" i="15"/>
  <c r="AF597" i="15"/>
  <c r="AG597" i="15"/>
  <c r="AH597" i="15"/>
  <c r="AI597" i="15"/>
  <c r="AJ597" i="15"/>
  <c r="AK597" i="15"/>
  <c r="AL597" i="15"/>
  <c r="AM597" i="15"/>
  <c r="AN597" i="15"/>
  <c r="AO597" i="15"/>
  <c r="S598" i="15"/>
  <c r="T598" i="15"/>
  <c r="U598" i="15"/>
  <c r="V598" i="15"/>
  <c r="W598" i="15"/>
  <c r="X598" i="15"/>
  <c r="Y598" i="15"/>
  <c r="Z598" i="15"/>
  <c r="AA598" i="15"/>
  <c r="AB598" i="15"/>
  <c r="AC598" i="15"/>
  <c r="AD598" i="15"/>
  <c r="AE598" i="15"/>
  <c r="AF598" i="15"/>
  <c r="AG598" i="15"/>
  <c r="AH598" i="15"/>
  <c r="AI598" i="15"/>
  <c r="AJ598" i="15"/>
  <c r="AK598" i="15"/>
  <c r="AL598" i="15"/>
  <c r="AM598" i="15"/>
  <c r="AN598" i="15"/>
  <c r="AO598" i="15"/>
  <c r="S599" i="15"/>
  <c r="T599" i="15"/>
  <c r="U599" i="15"/>
  <c r="V599" i="15"/>
  <c r="W599" i="15"/>
  <c r="X599" i="15"/>
  <c r="Y599" i="15"/>
  <c r="Z599" i="15"/>
  <c r="AA599" i="15"/>
  <c r="AB599" i="15"/>
  <c r="AC599" i="15"/>
  <c r="AD599" i="15"/>
  <c r="AE599" i="15"/>
  <c r="AF599" i="15"/>
  <c r="AG599" i="15"/>
  <c r="AH599" i="15"/>
  <c r="AI599" i="15"/>
  <c r="AJ599" i="15"/>
  <c r="AK599" i="15"/>
  <c r="AL599" i="15"/>
  <c r="AM599" i="15"/>
  <c r="AN599" i="15"/>
  <c r="AO599" i="15"/>
  <c r="S600" i="15"/>
  <c r="T600" i="15"/>
  <c r="U600" i="15"/>
  <c r="V600" i="15"/>
  <c r="W600" i="15"/>
  <c r="X600" i="15"/>
  <c r="Y600" i="15"/>
  <c r="Z600" i="15"/>
  <c r="AA600" i="15"/>
  <c r="AB600" i="15"/>
  <c r="AC600" i="15"/>
  <c r="AD600" i="15"/>
  <c r="AE600" i="15"/>
  <c r="AF600" i="15"/>
  <c r="AG600" i="15"/>
  <c r="AH600" i="15"/>
  <c r="AI600" i="15"/>
  <c r="AJ600" i="15"/>
  <c r="AK600" i="15"/>
  <c r="AL600" i="15"/>
  <c r="AM600" i="15"/>
  <c r="AN600" i="15"/>
  <c r="AO600" i="15"/>
  <c r="S601" i="15"/>
  <c r="T601" i="15"/>
  <c r="U601" i="15"/>
  <c r="V601" i="15"/>
  <c r="W601" i="15"/>
  <c r="X601" i="15"/>
  <c r="Y601" i="15"/>
  <c r="Z601" i="15"/>
  <c r="AA601" i="15"/>
  <c r="AB601" i="15"/>
  <c r="AC601" i="15"/>
  <c r="AD601" i="15"/>
  <c r="AE601" i="15"/>
  <c r="AF601" i="15"/>
  <c r="AG601" i="15"/>
  <c r="AH601" i="15"/>
  <c r="AI601" i="15"/>
  <c r="AJ601" i="15"/>
  <c r="AK601" i="15"/>
  <c r="AL601" i="15"/>
  <c r="AM601" i="15"/>
  <c r="AN601" i="15"/>
  <c r="AO601" i="15"/>
  <c r="S602" i="15"/>
  <c r="T602" i="15"/>
  <c r="U602" i="15"/>
  <c r="V602" i="15"/>
  <c r="W602" i="15"/>
  <c r="X602" i="15"/>
  <c r="Y602" i="15"/>
  <c r="Z602" i="15"/>
  <c r="AA602" i="15"/>
  <c r="AB602" i="15"/>
  <c r="AC602" i="15"/>
  <c r="AD602" i="15"/>
  <c r="AE602" i="15"/>
  <c r="AF602" i="15"/>
  <c r="AG602" i="15"/>
  <c r="AH602" i="15"/>
  <c r="AI602" i="15"/>
  <c r="AJ602" i="15"/>
  <c r="AK602" i="15"/>
  <c r="AL602" i="15"/>
  <c r="AM602" i="15"/>
  <c r="AN602" i="15"/>
  <c r="AO602" i="15"/>
  <c r="S603" i="15"/>
  <c r="T603" i="15"/>
  <c r="U603" i="15"/>
  <c r="V603" i="15"/>
  <c r="W603" i="15"/>
  <c r="X603" i="15"/>
  <c r="Y603" i="15"/>
  <c r="Z603" i="15"/>
  <c r="AA603" i="15"/>
  <c r="AB603" i="15"/>
  <c r="AC603" i="15"/>
  <c r="AD603" i="15"/>
  <c r="AE603" i="15"/>
  <c r="AF603" i="15"/>
  <c r="AG603" i="15"/>
  <c r="AH603" i="15"/>
  <c r="AI603" i="15"/>
  <c r="AJ603" i="15"/>
  <c r="AK603" i="15"/>
  <c r="AL603" i="15"/>
  <c r="AM603" i="15"/>
  <c r="AN603" i="15"/>
  <c r="AO603" i="15"/>
  <c r="S604" i="15"/>
  <c r="T604" i="15"/>
  <c r="U604" i="15"/>
  <c r="V604" i="15"/>
  <c r="W604" i="15"/>
  <c r="X604" i="15"/>
  <c r="Y604" i="15"/>
  <c r="Z604" i="15"/>
  <c r="AA604" i="15"/>
  <c r="AB604" i="15"/>
  <c r="AC604" i="15"/>
  <c r="AD604" i="15"/>
  <c r="AE604" i="15"/>
  <c r="AF604" i="15"/>
  <c r="AG604" i="15"/>
  <c r="AH604" i="15"/>
  <c r="AI604" i="15"/>
  <c r="AJ604" i="15"/>
  <c r="AK604" i="15"/>
  <c r="AL604" i="15"/>
  <c r="AM604" i="15"/>
  <c r="AN604" i="15"/>
  <c r="AO604" i="15"/>
  <c r="S605" i="15"/>
  <c r="T605" i="15"/>
  <c r="U605" i="15"/>
  <c r="V605" i="15"/>
  <c r="W605" i="15"/>
  <c r="X605" i="15"/>
  <c r="Y605" i="15"/>
  <c r="Z605" i="15"/>
  <c r="AA605" i="15"/>
  <c r="AB605" i="15"/>
  <c r="AC605" i="15"/>
  <c r="AD605" i="15"/>
  <c r="AE605" i="15"/>
  <c r="AF605" i="15"/>
  <c r="AG605" i="15"/>
  <c r="AH605" i="15"/>
  <c r="AI605" i="15"/>
  <c r="AJ605" i="15"/>
  <c r="AK605" i="15"/>
  <c r="AL605" i="15"/>
  <c r="AM605" i="15"/>
  <c r="AN605" i="15"/>
  <c r="AO605" i="15"/>
  <c r="S606" i="15"/>
  <c r="T606" i="15"/>
  <c r="U606" i="15"/>
  <c r="V606" i="15"/>
  <c r="W606" i="15"/>
  <c r="X606" i="15"/>
  <c r="Y606" i="15"/>
  <c r="Z606" i="15"/>
  <c r="AA606" i="15"/>
  <c r="AB606" i="15"/>
  <c r="AC606" i="15"/>
  <c r="AD606" i="15"/>
  <c r="AE606" i="15"/>
  <c r="AF606" i="15"/>
  <c r="AG606" i="15"/>
  <c r="AH606" i="15"/>
  <c r="AI606" i="15"/>
  <c r="AJ606" i="15"/>
  <c r="AK606" i="15"/>
  <c r="AL606" i="15"/>
  <c r="AM606" i="15"/>
  <c r="AN606" i="15"/>
  <c r="AO606" i="15"/>
  <c r="S607" i="15"/>
  <c r="T607" i="15"/>
  <c r="U607" i="15"/>
  <c r="V607" i="15"/>
  <c r="W607" i="15"/>
  <c r="X607" i="15"/>
  <c r="Y607" i="15"/>
  <c r="Z607" i="15"/>
  <c r="AA607" i="15"/>
  <c r="AB607" i="15"/>
  <c r="AC607" i="15"/>
  <c r="AD607" i="15"/>
  <c r="AE607" i="15"/>
  <c r="AF607" i="15"/>
  <c r="AG607" i="15"/>
  <c r="AH607" i="15"/>
  <c r="AI607" i="15"/>
  <c r="AJ607" i="15"/>
  <c r="AK607" i="15"/>
  <c r="AL607" i="15"/>
  <c r="AM607" i="15"/>
  <c r="AN607" i="15"/>
  <c r="AO607" i="15"/>
  <c r="S608" i="15"/>
  <c r="T608" i="15"/>
  <c r="U608" i="15"/>
  <c r="V608" i="15"/>
  <c r="W608" i="15"/>
  <c r="X608" i="15"/>
  <c r="Y608" i="15"/>
  <c r="Z608" i="15"/>
  <c r="AA608" i="15"/>
  <c r="AB608" i="15"/>
  <c r="AC608" i="15"/>
  <c r="AD608" i="15"/>
  <c r="AE608" i="15"/>
  <c r="AF608" i="15"/>
  <c r="AG608" i="15"/>
  <c r="AH608" i="15"/>
  <c r="AI608" i="15"/>
  <c r="AJ608" i="15"/>
  <c r="AK608" i="15"/>
  <c r="AL608" i="15"/>
  <c r="AM608" i="15"/>
  <c r="AN608" i="15"/>
  <c r="AO608" i="15"/>
  <c r="S609" i="15"/>
  <c r="T609" i="15"/>
  <c r="U609" i="15"/>
  <c r="V609" i="15"/>
  <c r="W609" i="15"/>
  <c r="X609" i="15"/>
  <c r="Y609" i="15"/>
  <c r="Z609" i="15"/>
  <c r="AA609" i="15"/>
  <c r="AB609" i="15"/>
  <c r="AC609" i="15"/>
  <c r="AD609" i="15"/>
  <c r="AE609" i="15"/>
  <c r="AF609" i="15"/>
  <c r="AG609" i="15"/>
  <c r="AH609" i="15"/>
  <c r="AI609" i="15"/>
  <c r="AJ609" i="15"/>
  <c r="AK609" i="15"/>
  <c r="AL609" i="15"/>
  <c r="AM609" i="15"/>
  <c r="AN609" i="15"/>
  <c r="AO609" i="15"/>
  <c r="S610" i="15"/>
  <c r="T610" i="15"/>
  <c r="U610" i="15"/>
  <c r="V610" i="15"/>
  <c r="W610" i="15"/>
  <c r="X610" i="15"/>
  <c r="Y610" i="15"/>
  <c r="Z610" i="15"/>
  <c r="AA610" i="15"/>
  <c r="AB610" i="15"/>
  <c r="AC610" i="15"/>
  <c r="AD610" i="15"/>
  <c r="AE610" i="15"/>
  <c r="AF610" i="15"/>
  <c r="AG610" i="15"/>
  <c r="AH610" i="15"/>
  <c r="AI610" i="15"/>
  <c r="AJ610" i="15"/>
  <c r="AK610" i="15"/>
  <c r="AL610" i="15"/>
  <c r="AM610" i="15"/>
  <c r="AN610" i="15"/>
  <c r="AO610" i="15"/>
  <c r="S611" i="15"/>
  <c r="T611" i="15"/>
  <c r="U611" i="15"/>
  <c r="V611" i="15"/>
  <c r="W611" i="15"/>
  <c r="X611" i="15"/>
  <c r="Y611" i="15"/>
  <c r="Z611" i="15"/>
  <c r="AA611" i="15"/>
  <c r="AB611" i="15"/>
  <c r="AC611" i="15"/>
  <c r="AD611" i="15"/>
  <c r="AE611" i="15"/>
  <c r="AF611" i="15"/>
  <c r="AG611" i="15"/>
  <c r="AH611" i="15"/>
  <c r="AI611" i="15"/>
  <c r="AJ611" i="15"/>
  <c r="AK611" i="15"/>
  <c r="AL611" i="15"/>
  <c r="AM611" i="15"/>
  <c r="AN611" i="15"/>
  <c r="AO611" i="15"/>
  <c r="S612" i="15"/>
  <c r="T612" i="15"/>
  <c r="U612" i="15"/>
  <c r="V612" i="15"/>
  <c r="W612" i="15"/>
  <c r="X612" i="15"/>
  <c r="Y612" i="15"/>
  <c r="Z612" i="15"/>
  <c r="AA612" i="15"/>
  <c r="AB612" i="15"/>
  <c r="AC612" i="15"/>
  <c r="AD612" i="15"/>
  <c r="AE612" i="15"/>
  <c r="AF612" i="15"/>
  <c r="AG612" i="15"/>
  <c r="AH612" i="15"/>
  <c r="AI612" i="15"/>
  <c r="AJ612" i="15"/>
  <c r="AK612" i="15"/>
  <c r="AL612" i="15"/>
  <c r="AM612" i="15"/>
  <c r="AN612" i="15"/>
  <c r="AO612" i="15"/>
  <c r="S613" i="15"/>
  <c r="T613" i="15"/>
  <c r="U613" i="15"/>
  <c r="V613" i="15"/>
  <c r="W613" i="15"/>
  <c r="X613" i="15"/>
  <c r="Y613" i="15"/>
  <c r="Z613" i="15"/>
  <c r="AA613" i="15"/>
  <c r="AB613" i="15"/>
  <c r="AC613" i="15"/>
  <c r="AD613" i="15"/>
  <c r="AE613" i="15"/>
  <c r="AF613" i="15"/>
  <c r="AG613" i="15"/>
  <c r="AH613" i="15"/>
  <c r="AI613" i="15"/>
  <c r="AJ613" i="15"/>
  <c r="AK613" i="15"/>
  <c r="AL613" i="15"/>
  <c r="AM613" i="15"/>
  <c r="AN613" i="15"/>
  <c r="AO613" i="15"/>
  <c r="S614" i="15"/>
  <c r="T614" i="15"/>
  <c r="U614" i="15"/>
  <c r="V614" i="15"/>
  <c r="W614" i="15"/>
  <c r="X614" i="15"/>
  <c r="Y614" i="15"/>
  <c r="Z614" i="15"/>
  <c r="AA614" i="15"/>
  <c r="AB614" i="15"/>
  <c r="AC614" i="15"/>
  <c r="AD614" i="15"/>
  <c r="AE614" i="15"/>
  <c r="AF614" i="15"/>
  <c r="AG614" i="15"/>
  <c r="AH614" i="15"/>
  <c r="AI614" i="15"/>
  <c r="AJ614" i="15"/>
  <c r="AK614" i="15"/>
  <c r="AL614" i="15"/>
  <c r="AM614" i="15"/>
  <c r="AN614" i="15"/>
  <c r="AO614" i="15"/>
  <c r="S615" i="15"/>
  <c r="T615" i="15"/>
  <c r="U615" i="15"/>
  <c r="V615" i="15"/>
  <c r="W615" i="15"/>
  <c r="X615" i="15"/>
  <c r="Y615" i="15"/>
  <c r="Z615" i="15"/>
  <c r="AA615" i="15"/>
  <c r="AB615" i="15"/>
  <c r="AC615" i="15"/>
  <c r="AD615" i="15"/>
  <c r="AE615" i="15"/>
  <c r="AF615" i="15"/>
  <c r="AG615" i="15"/>
  <c r="AH615" i="15"/>
  <c r="AI615" i="15"/>
  <c r="AJ615" i="15"/>
  <c r="AK615" i="15"/>
  <c r="AL615" i="15"/>
  <c r="AM615" i="15"/>
  <c r="AN615" i="15"/>
  <c r="AO615" i="15"/>
  <c r="S616" i="15"/>
  <c r="T616" i="15"/>
  <c r="U616" i="15"/>
  <c r="V616" i="15"/>
  <c r="W616" i="15"/>
  <c r="X616" i="15"/>
  <c r="Y616" i="15"/>
  <c r="Z616" i="15"/>
  <c r="AA616" i="15"/>
  <c r="AB616" i="15"/>
  <c r="AC616" i="15"/>
  <c r="AD616" i="15"/>
  <c r="AE616" i="15"/>
  <c r="AF616" i="15"/>
  <c r="AG616" i="15"/>
  <c r="AH616" i="15"/>
  <c r="AI616" i="15"/>
  <c r="AJ616" i="15"/>
  <c r="AK616" i="15"/>
  <c r="AL616" i="15"/>
  <c r="AM616" i="15"/>
  <c r="AN616" i="15"/>
  <c r="AO616" i="15"/>
  <c r="S617" i="15"/>
  <c r="T617" i="15"/>
  <c r="U617" i="15"/>
  <c r="V617" i="15"/>
  <c r="W617" i="15"/>
  <c r="X617" i="15"/>
  <c r="Y617" i="15"/>
  <c r="Z617" i="15"/>
  <c r="AA617" i="15"/>
  <c r="AB617" i="15"/>
  <c r="AC617" i="15"/>
  <c r="AD617" i="15"/>
  <c r="AE617" i="15"/>
  <c r="AF617" i="15"/>
  <c r="AG617" i="15"/>
  <c r="AH617" i="15"/>
  <c r="AI617" i="15"/>
  <c r="AJ617" i="15"/>
  <c r="AK617" i="15"/>
  <c r="AL617" i="15"/>
  <c r="AM617" i="15"/>
  <c r="AN617" i="15"/>
  <c r="AO617" i="15"/>
  <c r="S618" i="15"/>
  <c r="T618" i="15"/>
  <c r="U618" i="15"/>
  <c r="V618" i="15"/>
  <c r="W618" i="15"/>
  <c r="X618" i="15"/>
  <c r="Y618" i="15"/>
  <c r="Z618" i="15"/>
  <c r="AA618" i="15"/>
  <c r="AB618" i="15"/>
  <c r="AC618" i="15"/>
  <c r="AD618" i="15"/>
  <c r="AE618" i="15"/>
  <c r="AF618" i="15"/>
  <c r="AG618" i="15"/>
  <c r="AH618" i="15"/>
  <c r="AI618" i="15"/>
  <c r="AJ618" i="15"/>
  <c r="AK618" i="15"/>
  <c r="AL618" i="15"/>
  <c r="AM618" i="15"/>
  <c r="AN618" i="15"/>
  <c r="AO618" i="15"/>
  <c r="S619" i="15"/>
  <c r="T619" i="15"/>
  <c r="U619" i="15"/>
  <c r="V619" i="15"/>
  <c r="W619" i="15"/>
  <c r="X619" i="15"/>
  <c r="Y619" i="15"/>
  <c r="Z619" i="15"/>
  <c r="AA619" i="15"/>
  <c r="AB619" i="15"/>
  <c r="AC619" i="15"/>
  <c r="AD619" i="15"/>
  <c r="AE619" i="15"/>
  <c r="AF619" i="15"/>
  <c r="AG619" i="15"/>
  <c r="AH619" i="15"/>
  <c r="AI619" i="15"/>
  <c r="AJ619" i="15"/>
  <c r="AK619" i="15"/>
  <c r="AL619" i="15"/>
  <c r="AM619" i="15"/>
  <c r="AN619" i="15"/>
  <c r="AO619" i="15"/>
  <c r="S620" i="15"/>
  <c r="T620" i="15"/>
  <c r="U620" i="15"/>
  <c r="V620" i="15"/>
  <c r="W620" i="15"/>
  <c r="X620" i="15"/>
  <c r="Y620" i="15"/>
  <c r="Z620" i="15"/>
  <c r="AA620" i="15"/>
  <c r="AB620" i="15"/>
  <c r="AC620" i="15"/>
  <c r="AD620" i="15"/>
  <c r="AE620" i="15"/>
  <c r="AF620" i="15"/>
  <c r="AG620" i="15"/>
  <c r="AH620" i="15"/>
  <c r="AI620" i="15"/>
  <c r="AJ620" i="15"/>
  <c r="AK620" i="15"/>
  <c r="AL620" i="15"/>
  <c r="AM620" i="15"/>
  <c r="AN620" i="15"/>
  <c r="AO620" i="15"/>
  <c r="S621" i="15"/>
  <c r="T621" i="15"/>
  <c r="U621" i="15"/>
  <c r="V621" i="15"/>
  <c r="W621" i="15"/>
  <c r="X621" i="15"/>
  <c r="Y621" i="15"/>
  <c r="Z621" i="15"/>
  <c r="AA621" i="15"/>
  <c r="AB621" i="15"/>
  <c r="AC621" i="15"/>
  <c r="AD621" i="15"/>
  <c r="AE621" i="15"/>
  <c r="AF621" i="15"/>
  <c r="AG621" i="15"/>
  <c r="AH621" i="15"/>
  <c r="AI621" i="15"/>
  <c r="AJ621" i="15"/>
  <c r="AK621" i="15"/>
  <c r="AL621" i="15"/>
  <c r="AM621" i="15"/>
  <c r="AN621" i="15"/>
  <c r="AO621" i="15"/>
  <c r="S622" i="15"/>
  <c r="T622" i="15"/>
  <c r="U622" i="15"/>
  <c r="V622" i="15"/>
  <c r="W622" i="15"/>
  <c r="X622" i="15"/>
  <c r="Y622" i="15"/>
  <c r="Z622" i="15"/>
  <c r="AA622" i="15"/>
  <c r="AB622" i="15"/>
  <c r="AC622" i="15"/>
  <c r="AD622" i="15"/>
  <c r="AE622" i="15"/>
  <c r="AF622" i="15"/>
  <c r="AG622" i="15"/>
  <c r="AH622" i="15"/>
  <c r="AI622" i="15"/>
  <c r="AJ622" i="15"/>
  <c r="AK622" i="15"/>
  <c r="AL622" i="15"/>
  <c r="AM622" i="15"/>
  <c r="AN622" i="15"/>
  <c r="AO622" i="15"/>
  <c r="S623" i="15"/>
  <c r="T623" i="15"/>
  <c r="U623" i="15"/>
  <c r="V623" i="15"/>
  <c r="W623" i="15"/>
  <c r="X623" i="15"/>
  <c r="Y623" i="15"/>
  <c r="Z623" i="15"/>
  <c r="AA623" i="15"/>
  <c r="AB623" i="15"/>
  <c r="AC623" i="15"/>
  <c r="AD623" i="15"/>
  <c r="AE623" i="15"/>
  <c r="AF623" i="15"/>
  <c r="AG623" i="15"/>
  <c r="AH623" i="15"/>
  <c r="AI623" i="15"/>
  <c r="AJ623" i="15"/>
  <c r="AK623" i="15"/>
  <c r="AL623" i="15"/>
  <c r="AM623" i="15"/>
  <c r="AN623" i="15"/>
  <c r="AO623" i="15"/>
  <c r="S624" i="15"/>
  <c r="T624" i="15"/>
  <c r="U624" i="15"/>
  <c r="V624" i="15"/>
  <c r="W624" i="15"/>
  <c r="X624" i="15"/>
  <c r="Y624" i="15"/>
  <c r="Z624" i="15"/>
  <c r="AA624" i="15"/>
  <c r="AB624" i="15"/>
  <c r="AC624" i="15"/>
  <c r="AD624" i="15"/>
  <c r="AE624" i="15"/>
  <c r="AF624" i="15"/>
  <c r="AG624" i="15"/>
  <c r="AH624" i="15"/>
  <c r="AI624" i="15"/>
  <c r="AJ624" i="15"/>
  <c r="AK624" i="15"/>
  <c r="AL624" i="15"/>
  <c r="AM624" i="15"/>
  <c r="AN624" i="15"/>
  <c r="AO624" i="15"/>
  <c r="S625" i="15"/>
  <c r="T625" i="15"/>
  <c r="U625" i="15"/>
  <c r="V625" i="15"/>
  <c r="W625" i="15"/>
  <c r="X625" i="15"/>
  <c r="Y625" i="15"/>
  <c r="Z625" i="15"/>
  <c r="AA625" i="15"/>
  <c r="AB625" i="15"/>
  <c r="AC625" i="15"/>
  <c r="AD625" i="15"/>
  <c r="AE625" i="15"/>
  <c r="AF625" i="15"/>
  <c r="AG625" i="15"/>
  <c r="AH625" i="15"/>
  <c r="AI625" i="15"/>
  <c r="AJ625" i="15"/>
  <c r="AK625" i="15"/>
  <c r="AL625" i="15"/>
  <c r="AM625" i="15"/>
  <c r="AN625" i="15"/>
  <c r="AO625" i="15"/>
  <c r="S626" i="15"/>
  <c r="T626" i="15"/>
  <c r="U626" i="15"/>
  <c r="V626" i="15"/>
  <c r="W626" i="15"/>
  <c r="X626" i="15"/>
  <c r="Y626" i="15"/>
  <c r="Z626" i="15"/>
  <c r="AA626" i="15"/>
  <c r="AB626" i="15"/>
  <c r="AC626" i="15"/>
  <c r="AD626" i="15"/>
  <c r="AE626" i="15"/>
  <c r="AF626" i="15"/>
  <c r="AG626" i="15"/>
  <c r="AH626" i="15"/>
  <c r="AI626" i="15"/>
  <c r="AJ626" i="15"/>
  <c r="AK626" i="15"/>
  <c r="AL626" i="15"/>
  <c r="AM626" i="15"/>
  <c r="AN626" i="15"/>
  <c r="AO626" i="15"/>
  <c r="S627" i="15"/>
  <c r="T627" i="15"/>
  <c r="U627" i="15"/>
  <c r="V627" i="15"/>
  <c r="W627" i="15"/>
  <c r="X627" i="15"/>
  <c r="Y627" i="15"/>
  <c r="Z627" i="15"/>
  <c r="AA627" i="15"/>
  <c r="AB627" i="15"/>
  <c r="AC627" i="15"/>
  <c r="AD627" i="15"/>
  <c r="AE627" i="15"/>
  <c r="AF627" i="15"/>
  <c r="AG627" i="15"/>
  <c r="AH627" i="15"/>
  <c r="AI627" i="15"/>
  <c r="AJ627" i="15"/>
  <c r="AK627" i="15"/>
  <c r="AL627" i="15"/>
  <c r="AM627" i="15"/>
  <c r="AN627" i="15"/>
  <c r="AO627" i="15"/>
  <c r="S628" i="15"/>
  <c r="T628" i="15"/>
  <c r="U628" i="15"/>
  <c r="V628" i="15"/>
  <c r="W628" i="15"/>
  <c r="X628" i="15"/>
  <c r="Y628" i="15"/>
  <c r="Z628" i="15"/>
  <c r="AA628" i="15"/>
  <c r="AB628" i="15"/>
  <c r="AC628" i="15"/>
  <c r="AD628" i="15"/>
  <c r="AE628" i="15"/>
  <c r="AF628" i="15"/>
  <c r="AG628" i="15"/>
  <c r="AH628" i="15"/>
  <c r="AI628" i="15"/>
  <c r="AJ628" i="15"/>
  <c r="AK628" i="15"/>
  <c r="AL628" i="15"/>
  <c r="AM628" i="15"/>
  <c r="AN628" i="15"/>
  <c r="AO628" i="15"/>
  <c r="S629" i="15"/>
  <c r="T629" i="15"/>
  <c r="U629" i="15"/>
  <c r="V629" i="15"/>
  <c r="W629" i="15"/>
  <c r="X629" i="15"/>
  <c r="Y629" i="15"/>
  <c r="Z629" i="15"/>
  <c r="AA629" i="15"/>
  <c r="AB629" i="15"/>
  <c r="AC629" i="15"/>
  <c r="AD629" i="15"/>
  <c r="AE629" i="15"/>
  <c r="AF629" i="15"/>
  <c r="AG629" i="15"/>
  <c r="AH629" i="15"/>
  <c r="AI629" i="15"/>
  <c r="AJ629" i="15"/>
  <c r="AK629" i="15"/>
  <c r="AL629" i="15"/>
  <c r="AM629" i="15"/>
  <c r="AN629" i="15"/>
  <c r="AO629" i="15"/>
  <c r="S630" i="15"/>
  <c r="T630" i="15"/>
  <c r="U630" i="15"/>
  <c r="V630" i="15"/>
  <c r="W630" i="15"/>
  <c r="X630" i="15"/>
  <c r="Y630" i="15"/>
  <c r="Z630" i="15"/>
  <c r="AA630" i="15"/>
  <c r="AB630" i="15"/>
  <c r="AC630" i="15"/>
  <c r="AD630" i="15"/>
  <c r="AE630" i="15"/>
  <c r="AF630" i="15"/>
  <c r="AG630" i="15"/>
  <c r="AH630" i="15"/>
  <c r="AI630" i="15"/>
  <c r="AJ630" i="15"/>
  <c r="AK630" i="15"/>
  <c r="AL630" i="15"/>
  <c r="AM630" i="15"/>
  <c r="AN630" i="15"/>
  <c r="AO630" i="15"/>
  <c r="S631" i="15"/>
  <c r="T631" i="15"/>
  <c r="U631" i="15"/>
  <c r="V631" i="15"/>
  <c r="W631" i="15"/>
  <c r="X631" i="15"/>
  <c r="Y631" i="15"/>
  <c r="Z631" i="15"/>
  <c r="AA631" i="15"/>
  <c r="AB631" i="15"/>
  <c r="AC631" i="15"/>
  <c r="AD631" i="15"/>
  <c r="AE631" i="15"/>
  <c r="AF631" i="15"/>
  <c r="AG631" i="15"/>
  <c r="AH631" i="15"/>
  <c r="AI631" i="15"/>
  <c r="AJ631" i="15"/>
  <c r="AK631" i="15"/>
  <c r="AL631" i="15"/>
  <c r="AM631" i="15"/>
  <c r="AN631" i="15"/>
  <c r="AO631" i="15"/>
  <c r="S632" i="15"/>
  <c r="T632" i="15"/>
  <c r="U632" i="15"/>
  <c r="V632" i="15"/>
  <c r="W632" i="15"/>
  <c r="X632" i="15"/>
  <c r="Y632" i="15"/>
  <c r="Z632" i="15"/>
  <c r="AA632" i="15"/>
  <c r="AB632" i="15"/>
  <c r="AC632" i="15"/>
  <c r="AD632" i="15"/>
  <c r="AE632" i="15"/>
  <c r="AF632" i="15"/>
  <c r="AG632" i="15"/>
  <c r="AH632" i="15"/>
  <c r="AI632" i="15"/>
  <c r="AJ632" i="15"/>
  <c r="AK632" i="15"/>
  <c r="AL632" i="15"/>
  <c r="AM632" i="15"/>
  <c r="AN632" i="15"/>
  <c r="AO632" i="15"/>
  <c r="S633" i="15"/>
  <c r="T633" i="15"/>
  <c r="U633" i="15"/>
  <c r="V633" i="15"/>
  <c r="W633" i="15"/>
  <c r="X633" i="15"/>
  <c r="Y633" i="15"/>
  <c r="Z633" i="15"/>
  <c r="AA633" i="15"/>
  <c r="AB633" i="15"/>
  <c r="AC633" i="15"/>
  <c r="AD633" i="15"/>
  <c r="AE633" i="15"/>
  <c r="AF633" i="15"/>
  <c r="AG633" i="15"/>
  <c r="AH633" i="15"/>
  <c r="AI633" i="15"/>
  <c r="AJ633" i="15"/>
  <c r="AK633" i="15"/>
  <c r="AL633" i="15"/>
  <c r="AM633" i="15"/>
  <c r="AN633" i="15"/>
  <c r="AO633" i="15"/>
  <c r="S634" i="15"/>
  <c r="T634" i="15"/>
  <c r="U634" i="15"/>
  <c r="V634" i="15"/>
  <c r="W634" i="15"/>
  <c r="X634" i="15"/>
  <c r="Y634" i="15"/>
  <c r="Z634" i="15"/>
  <c r="AA634" i="15"/>
  <c r="AB634" i="15"/>
  <c r="AC634" i="15"/>
  <c r="AD634" i="15"/>
  <c r="AE634" i="15"/>
  <c r="AF634" i="15"/>
  <c r="AG634" i="15"/>
  <c r="AH634" i="15"/>
  <c r="AI634" i="15"/>
  <c r="AJ634" i="15"/>
  <c r="AK634" i="15"/>
  <c r="AL634" i="15"/>
  <c r="AM634" i="15"/>
  <c r="AN634" i="15"/>
  <c r="AO634" i="15"/>
  <c r="S635" i="15"/>
  <c r="T635" i="15"/>
  <c r="U635" i="15"/>
  <c r="V635" i="15"/>
  <c r="W635" i="15"/>
  <c r="X635" i="15"/>
  <c r="Y635" i="15"/>
  <c r="Z635" i="15"/>
  <c r="AA635" i="15"/>
  <c r="AB635" i="15"/>
  <c r="AC635" i="15"/>
  <c r="AD635" i="15"/>
  <c r="AE635" i="15"/>
  <c r="AF635" i="15"/>
  <c r="AG635" i="15"/>
  <c r="AH635" i="15"/>
  <c r="AI635" i="15"/>
  <c r="AJ635" i="15"/>
  <c r="AK635" i="15"/>
  <c r="AL635" i="15"/>
  <c r="AM635" i="15"/>
  <c r="AN635" i="15"/>
  <c r="AO635" i="15"/>
  <c r="S636" i="15"/>
  <c r="T636" i="15"/>
  <c r="U636" i="15"/>
  <c r="V636" i="15"/>
  <c r="W636" i="15"/>
  <c r="X636" i="15"/>
  <c r="Y636" i="15"/>
  <c r="Z636" i="15"/>
  <c r="AA636" i="15"/>
  <c r="AB636" i="15"/>
  <c r="AC636" i="15"/>
  <c r="AD636" i="15"/>
  <c r="AE636" i="15"/>
  <c r="AF636" i="15"/>
  <c r="AG636" i="15"/>
  <c r="AH636" i="15"/>
  <c r="AI636" i="15"/>
  <c r="AJ636" i="15"/>
  <c r="AK636" i="15"/>
  <c r="AL636" i="15"/>
  <c r="AM636" i="15"/>
  <c r="AN636" i="15"/>
  <c r="AO636" i="15"/>
  <c r="S637" i="15"/>
  <c r="T637" i="15"/>
  <c r="U637" i="15"/>
  <c r="V637" i="15"/>
  <c r="W637" i="15"/>
  <c r="X637" i="15"/>
  <c r="Y637" i="15"/>
  <c r="Z637" i="15"/>
  <c r="AA637" i="15"/>
  <c r="AB637" i="15"/>
  <c r="AC637" i="15"/>
  <c r="AD637" i="15"/>
  <c r="AE637" i="15"/>
  <c r="AF637" i="15"/>
  <c r="AG637" i="15"/>
  <c r="AH637" i="15"/>
  <c r="AI637" i="15"/>
  <c r="AJ637" i="15"/>
  <c r="AK637" i="15"/>
  <c r="AL637" i="15"/>
  <c r="AM637" i="15"/>
  <c r="AN637" i="15"/>
  <c r="AO637" i="15"/>
  <c r="S638" i="15"/>
  <c r="T638" i="15"/>
  <c r="U638" i="15"/>
  <c r="V638" i="15"/>
  <c r="W638" i="15"/>
  <c r="X638" i="15"/>
  <c r="Y638" i="15"/>
  <c r="Z638" i="15"/>
  <c r="AA638" i="15"/>
  <c r="AB638" i="15"/>
  <c r="AC638" i="15"/>
  <c r="AD638" i="15"/>
  <c r="AE638" i="15"/>
  <c r="AF638" i="15"/>
  <c r="AG638" i="15"/>
  <c r="AH638" i="15"/>
  <c r="AI638" i="15"/>
  <c r="AJ638" i="15"/>
  <c r="AK638" i="15"/>
  <c r="AL638" i="15"/>
  <c r="AM638" i="15"/>
  <c r="AN638" i="15"/>
  <c r="AO638" i="15"/>
  <c r="S639" i="15"/>
  <c r="T639" i="15"/>
  <c r="U639" i="15"/>
  <c r="V639" i="15"/>
  <c r="W639" i="15"/>
  <c r="X639" i="15"/>
  <c r="Y639" i="15"/>
  <c r="Z639" i="15"/>
  <c r="AA639" i="15"/>
  <c r="AB639" i="15"/>
  <c r="AC639" i="15"/>
  <c r="AD639" i="15"/>
  <c r="AE639" i="15"/>
  <c r="AF639" i="15"/>
  <c r="AG639" i="15"/>
  <c r="AH639" i="15"/>
  <c r="AI639" i="15"/>
  <c r="AJ639" i="15"/>
  <c r="AK639" i="15"/>
  <c r="AL639" i="15"/>
  <c r="AM639" i="15"/>
  <c r="AN639" i="15"/>
  <c r="AO639" i="15"/>
  <c r="S640" i="15"/>
  <c r="T640" i="15"/>
  <c r="U640" i="15"/>
  <c r="V640" i="15"/>
  <c r="W640" i="15"/>
  <c r="X640" i="15"/>
  <c r="Y640" i="15"/>
  <c r="Z640" i="15"/>
  <c r="AA640" i="15"/>
  <c r="AB640" i="15"/>
  <c r="AC640" i="15"/>
  <c r="AD640" i="15"/>
  <c r="AE640" i="15"/>
  <c r="AF640" i="15"/>
  <c r="AG640" i="15"/>
  <c r="AH640" i="15"/>
  <c r="AI640" i="15"/>
  <c r="AJ640" i="15"/>
  <c r="AK640" i="15"/>
  <c r="AL640" i="15"/>
  <c r="AM640" i="15"/>
  <c r="AN640" i="15"/>
  <c r="AO640" i="15"/>
  <c r="S641" i="15"/>
  <c r="T641" i="15"/>
  <c r="U641" i="15"/>
  <c r="V641" i="15"/>
  <c r="W641" i="15"/>
  <c r="X641" i="15"/>
  <c r="Y641" i="15"/>
  <c r="Z641" i="15"/>
  <c r="AA641" i="15"/>
  <c r="AB641" i="15"/>
  <c r="AC641" i="15"/>
  <c r="AD641" i="15"/>
  <c r="AE641" i="15"/>
  <c r="AF641" i="15"/>
  <c r="AG641" i="15"/>
  <c r="AH641" i="15"/>
  <c r="AI641" i="15"/>
  <c r="AJ641" i="15"/>
  <c r="AK641" i="15"/>
  <c r="AL641" i="15"/>
  <c r="AM641" i="15"/>
  <c r="AN641" i="15"/>
  <c r="AO641" i="15"/>
  <c r="S642" i="15"/>
  <c r="T642" i="15"/>
  <c r="U642" i="15"/>
  <c r="V642" i="15"/>
  <c r="W642" i="15"/>
  <c r="X642" i="15"/>
  <c r="Y642" i="15"/>
  <c r="Z642" i="15"/>
  <c r="AA642" i="15"/>
  <c r="AB642" i="15"/>
  <c r="AC642" i="15"/>
  <c r="AD642" i="15"/>
  <c r="AE642" i="15"/>
  <c r="AF642" i="15"/>
  <c r="AG642" i="15"/>
  <c r="AH642" i="15"/>
  <c r="AI642" i="15"/>
  <c r="AJ642" i="15"/>
  <c r="AK642" i="15"/>
  <c r="AL642" i="15"/>
  <c r="AM642" i="15"/>
  <c r="AN642" i="15"/>
  <c r="AO642" i="15"/>
  <c r="S643" i="15"/>
  <c r="T643" i="15"/>
  <c r="U643" i="15"/>
  <c r="V643" i="15"/>
  <c r="W643" i="15"/>
  <c r="X643" i="15"/>
  <c r="Y643" i="15"/>
  <c r="Z643" i="15"/>
  <c r="AA643" i="15"/>
  <c r="AB643" i="15"/>
  <c r="AC643" i="15"/>
  <c r="AD643" i="15"/>
  <c r="AE643" i="15"/>
  <c r="AF643" i="15"/>
  <c r="AG643" i="15"/>
  <c r="AH643" i="15"/>
  <c r="AI643" i="15"/>
  <c r="AJ643" i="15"/>
  <c r="AK643" i="15"/>
  <c r="AL643" i="15"/>
  <c r="AM643" i="15"/>
  <c r="AN643" i="15"/>
  <c r="AO643" i="15"/>
  <c r="S644" i="15"/>
  <c r="T644" i="15"/>
  <c r="U644" i="15"/>
  <c r="V644" i="15"/>
  <c r="W644" i="15"/>
  <c r="X644" i="15"/>
  <c r="Y644" i="15"/>
  <c r="Z644" i="15"/>
  <c r="AA644" i="15"/>
  <c r="AB644" i="15"/>
  <c r="AC644" i="15"/>
  <c r="AD644" i="15"/>
  <c r="AE644" i="15"/>
  <c r="AF644" i="15"/>
  <c r="AG644" i="15"/>
  <c r="AH644" i="15"/>
  <c r="AI644" i="15"/>
  <c r="AJ644" i="15"/>
  <c r="AK644" i="15"/>
  <c r="AL644" i="15"/>
  <c r="AM644" i="15"/>
  <c r="AN644" i="15"/>
  <c r="AO644" i="15"/>
  <c r="S645" i="15"/>
  <c r="T645" i="15"/>
  <c r="U645" i="15"/>
  <c r="V645" i="15"/>
  <c r="W645" i="15"/>
  <c r="X645" i="15"/>
  <c r="Y645" i="15"/>
  <c r="Z645" i="15"/>
  <c r="AA645" i="15"/>
  <c r="AB645" i="15"/>
  <c r="AC645" i="15"/>
  <c r="AD645" i="15"/>
  <c r="AE645" i="15"/>
  <c r="AF645" i="15"/>
  <c r="AG645" i="15"/>
  <c r="AH645" i="15"/>
  <c r="AI645" i="15"/>
  <c r="AJ645" i="15"/>
  <c r="AK645" i="15"/>
  <c r="AL645" i="15"/>
  <c r="AM645" i="15"/>
  <c r="AN645" i="15"/>
  <c r="AO645" i="15"/>
  <c r="S646" i="15"/>
  <c r="T646" i="15"/>
  <c r="U646" i="15"/>
  <c r="V646" i="15"/>
  <c r="W646" i="15"/>
  <c r="X646" i="15"/>
  <c r="Y646" i="15"/>
  <c r="Z646" i="15"/>
  <c r="AA646" i="15"/>
  <c r="AB646" i="15"/>
  <c r="AC646" i="15"/>
  <c r="AD646" i="15"/>
  <c r="AE646" i="15"/>
  <c r="AF646" i="15"/>
  <c r="AG646" i="15"/>
  <c r="AH646" i="15"/>
  <c r="AI646" i="15"/>
  <c r="AJ646" i="15"/>
  <c r="AK646" i="15"/>
  <c r="AL646" i="15"/>
  <c r="AM646" i="15"/>
  <c r="AN646" i="15"/>
  <c r="AO646" i="15"/>
  <c r="S647" i="15"/>
  <c r="T647" i="15"/>
  <c r="U647" i="15"/>
  <c r="V647" i="15"/>
  <c r="W647" i="15"/>
  <c r="X647" i="15"/>
  <c r="Y647" i="15"/>
  <c r="Z647" i="15"/>
  <c r="AA647" i="15"/>
  <c r="AB647" i="15"/>
  <c r="AC647" i="15"/>
  <c r="AD647" i="15"/>
  <c r="AE647" i="15"/>
  <c r="AF647" i="15"/>
  <c r="AG647" i="15"/>
  <c r="AH647" i="15"/>
  <c r="AI647" i="15"/>
  <c r="AJ647" i="15"/>
  <c r="AK647" i="15"/>
  <c r="AL647" i="15"/>
  <c r="AM647" i="15"/>
  <c r="AN647" i="15"/>
  <c r="AO647" i="15"/>
  <c r="S648" i="15"/>
  <c r="T648" i="15"/>
  <c r="U648" i="15"/>
  <c r="V648" i="15"/>
  <c r="W648" i="15"/>
  <c r="X648" i="15"/>
  <c r="Y648" i="15"/>
  <c r="Z648" i="15"/>
  <c r="AA648" i="15"/>
  <c r="AB648" i="15"/>
  <c r="AC648" i="15"/>
  <c r="AD648" i="15"/>
  <c r="AE648" i="15"/>
  <c r="AF648" i="15"/>
  <c r="AG648" i="15"/>
  <c r="AH648" i="15"/>
  <c r="AI648" i="15"/>
  <c r="AJ648" i="15"/>
  <c r="AK648" i="15"/>
  <c r="AL648" i="15"/>
  <c r="AM648" i="15"/>
  <c r="AN648" i="15"/>
  <c r="AO648" i="15"/>
  <c r="S649" i="15"/>
  <c r="T649" i="15"/>
  <c r="U649" i="15"/>
  <c r="V649" i="15"/>
  <c r="W649" i="15"/>
  <c r="X649" i="15"/>
  <c r="Y649" i="15"/>
  <c r="Z649" i="15"/>
  <c r="AA649" i="15"/>
  <c r="AB649" i="15"/>
  <c r="AC649" i="15"/>
  <c r="AD649" i="15"/>
  <c r="AE649" i="15"/>
  <c r="AF649" i="15"/>
  <c r="AG649" i="15"/>
  <c r="AH649" i="15"/>
  <c r="AI649" i="15"/>
  <c r="AJ649" i="15"/>
  <c r="AK649" i="15"/>
  <c r="AL649" i="15"/>
  <c r="AM649" i="15"/>
  <c r="AN649" i="15"/>
  <c r="AO649" i="15"/>
  <c r="S650" i="15"/>
  <c r="T650" i="15"/>
  <c r="U650" i="15"/>
  <c r="V650" i="15"/>
  <c r="W650" i="15"/>
  <c r="X650" i="15"/>
  <c r="Y650" i="15"/>
  <c r="Z650" i="15"/>
  <c r="AA650" i="15"/>
  <c r="AB650" i="15"/>
  <c r="AC650" i="15"/>
  <c r="AD650" i="15"/>
  <c r="AE650" i="15"/>
  <c r="AF650" i="15"/>
  <c r="AG650" i="15"/>
  <c r="AH650" i="15"/>
  <c r="AI650" i="15"/>
  <c r="AJ650" i="15"/>
  <c r="AK650" i="15"/>
  <c r="AL650" i="15"/>
  <c r="AM650" i="15"/>
  <c r="AN650" i="15"/>
  <c r="AO650" i="15"/>
  <c r="S651" i="15"/>
  <c r="T651" i="15"/>
  <c r="U651" i="15"/>
  <c r="V651" i="15"/>
  <c r="W651" i="15"/>
  <c r="X651" i="15"/>
  <c r="Y651" i="15"/>
  <c r="Z651" i="15"/>
  <c r="AA651" i="15"/>
  <c r="AB651" i="15"/>
  <c r="AC651" i="15"/>
  <c r="AD651" i="15"/>
  <c r="AE651" i="15"/>
  <c r="AF651" i="15"/>
  <c r="AG651" i="15"/>
  <c r="AH651" i="15"/>
  <c r="AI651" i="15"/>
  <c r="AJ651" i="15"/>
  <c r="AK651" i="15"/>
  <c r="AL651" i="15"/>
  <c r="AM651" i="15"/>
  <c r="AN651" i="15"/>
  <c r="AO651" i="15"/>
  <c r="S652" i="15"/>
  <c r="T652" i="15"/>
  <c r="U652" i="15"/>
  <c r="V652" i="15"/>
  <c r="W652" i="15"/>
  <c r="X652" i="15"/>
  <c r="Y652" i="15"/>
  <c r="Z652" i="15"/>
  <c r="AA652" i="15"/>
  <c r="AB652" i="15"/>
  <c r="AC652" i="15"/>
  <c r="AD652" i="15"/>
  <c r="AE652" i="15"/>
  <c r="AF652" i="15"/>
  <c r="AG652" i="15"/>
  <c r="AH652" i="15"/>
  <c r="AI652" i="15"/>
  <c r="AJ652" i="15"/>
  <c r="AK652" i="15"/>
  <c r="AL652" i="15"/>
  <c r="AM652" i="15"/>
  <c r="AN652" i="15"/>
  <c r="AO652" i="15"/>
  <c r="S653" i="15"/>
  <c r="T653" i="15"/>
  <c r="U653" i="15"/>
  <c r="V653" i="15"/>
  <c r="W653" i="15"/>
  <c r="X653" i="15"/>
  <c r="Y653" i="15"/>
  <c r="Z653" i="15"/>
  <c r="AA653" i="15"/>
  <c r="AB653" i="15"/>
  <c r="AC653" i="15"/>
  <c r="AD653" i="15"/>
  <c r="AE653" i="15"/>
  <c r="AF653" i="15"/>
  <c r="AG653" i="15"/>
  <c r="AH653" i="15"/>
  <c r="AI653" i="15"/>
  <c r="AJ653" i="15"/>
  <c r="AK653" i="15"/>
  <c r="AL653" i="15"/>
  <c r="AM653" i="15"/>
  <c r="AN653" i="15"/>
  <c r="AO653" i="15"/>
  <c r="S654" i="15"/>
  <c r="T654" i="15"/>
  <c r="U654" i="15"/>
  <c r="V654" i="15"/>
  <c r="W654" i="15"/>
  <c r="X654" i="15"/>
  <c r="Y654" i="15"/>
  <c r="Z654" i="15"/>
  <c r="AA654" i="15"/>
  <c r="AB654" i="15"/>
  <c r="AC654" i="15"/>
  <c r="AD654" i="15"/>
  <c r="AE654" i="15"/>
  <c r="AF654" i="15"/>
  <c r="AG654" i="15"/>
  <c r="AH654" i="15"/>
  <c r="AI654" i="15"/>
  <c r="AJ654" i="15"/>
  <c r="AK654" i="15"/>
  <c r="AL654" i="15"/>
  <c r="AM654" i="15"/>
  <c r="AN654" i="15"/>
  <c r="AO654" i="15"/>
  <c r="S655" i="15"/>
  <c r="T655" i="15"/>
  <c r="U655" i="15"/>
  <c r="V655" i="15"/>
  <c r="W655" i="15"/>
  <c r="X655" i="15"/>
  <c r="Y655" i="15"/>
  <c r="Z655" i="15"/>
  <c r="AA655" i="15"/>
  <c r="AB655" i="15"/>
  <c r="AC655" i="15"/>
  <c r="AD655" i="15"/>
  <c r="AE655" i="15"/>
  <c r="AF655" i="15"/>
  <c r="AG655" i="15"/>
  <c r="AH655" i="15"/>
  <c r="AI655" i="15"/>
  <c r="AJ655" i="15"/>
  <c r="AK655" i="15"/>
  <c r="AL655" i="15"/>
  <c r="AM655" i="15"/>
  <c r="AN655" i="15"/>
  <c r="AO655" i="15"/>
  <c r="S656" i="15"/>
  <c r="T656" i="15"/>
  <c r="U656" i="15"/>
  <c r="V656" i="15"/>
  <c r="W656" i="15"/>
  <c r="X656" i="15"/>
  <c r="Y656" i="15"/>
  <c r="Z656" i="15"/>
  <c r="AA656" i="15"/>
  <c r="AB656" i="15"/>
  <c r="AC656" i="15"/>
  <c r="AD656" i="15"/>
  <c r="AE656" i="15"/>
  <c r="AF656" i="15"/>
  <c r="AG656" i="15"/>
  <c r="AH656" i="15"/>
  <c r="AI656" i="15"/>
  <c r="AJ656" i="15"/>
  <c r="AK656" i="15"/>
  <c r="AL656" i="15"/>
  <c r="AM656" i="15"/>
  <c r="AN656" i="15"/>
  <c r="AO656" i="15"/>
  <c r="S657" i="15"/>
  <c r="T657" i="15"/>
  <c r="U657" i="15"/>
  <c r="V657" i="15"/>
  <c r="W657" i="15"/>
  <c r="X657" i="15"/>
  <c r="Y657" i="15"/>
  <c r="Z657" i="15"/>
  <c r="AA657" i="15"/>
  <c r="AB657" i="15"/>
  <c r="AC657" i="15"/>
  <c r="AD657" i="15"/>
  <c r="AE657" i="15"/>
  <c r="AF657" i="15"/>
  <c r="AG657" i="15"/>
  <c r="AH657" i="15"/>
  <c r="AI657" i="15"/>
  <c r="AJ657" i="15"/>
  <c r="AK657" i="15"/>
  <c r="AL657" i="15"/>
  <c r="AM657" i="15"/>
  <c r="AN657" i="15"/>
  <c r="AO657" i="15"/>
  <c r="S658" i="15"/>
  <c r="T658" i="15"/>
  <c r="U658" i="15"/>
  <c r="V658" i="15"/>
  <c r="W658" i="15"/>
  <c r="X658" i="15"/>
  <c r="Y658" i="15"/>
  <c r="Z658" i="15"/>
  <c r="AA658" i="15"/>
  <c r="AB658" i="15"/>
  <c r="AC658" i="15"/>
  <c r="AD658" i="15"/>
  <c r="AE658" i="15"/>
  <c r="AF658" i="15"/>
  <c r="AG658" i="15"/>
  <c r="AH658" i="15"/>
  <c r="AI658" i="15"/>
  <c r="AJ658" i="15"/>
  <c r="AK658" i="15"/>
  <c r="AL658" i="15"/>
  <c r="AM658" i="15"/>
  <c r="AN658" i="15"/>
  <c r="AO658" i="15"/>
  <c r="S659" i="15"/>
  <c r="T659" i="15"/>
  <c r="U659" i="15"/>
  <c r="V659" i="15"/>
  <c r="W659" i="15"/>
  <c r="X659" i="15"/>
  <c r="Y659" i="15"/>
  <c r="Z659" i="15"/>
  <c r="AA659" i="15"/>
  <c r="AB659" i="15"/>
  <c r="AC659" i="15"/>
  <c r="AD659" i="15"/>
  <c r="AE659" i="15"/>
  <c r="AF659" i="15"/>
  <c r="AG659" i="15"/>
  <c r="AH659" i="15"/>
  <c r="AI659" i="15"/>
  <c r="AJ659" i="15"/>
  <c r="AK659" i="15"/>
  <c r="AL659" i="15"/>
  <c r="AM659" i="15"/>
  <c r="AN659" i="15"/>
  <c r="AO659" i="15"/>
  <c r="S660" i="15"/>
  <c r="T660" i="15"/>
  <c r="U660" i="15"/>
  <c r="V660" i="15"/>
  <c r="W660" i="15"/>
  <c r="X660" i="15"/>
  <c r="Y660" i="15"/>
  <c r="Z660" i="15"/>
  <c r="AA660" i="15"/>
  <c r="AB660" i="15"/>
  <c r="AC660" i="15"/>
  <c r="AD660" i="15"/>
  <c r="AE660" i="15"/>
  <c r="AF660" i="15"/>
  <c r="AG660" i="15"/>
  <c r="AH660" i="15"/>
  <c r="AI660" i="15"/>
  <c r="AJ660" i="15"/>
  <c r="AK660" i="15"/>
  <c r="AL660" i="15"/>
  <c r="AM660" i="15"/>
  <c r="AN660" i="15"/>
  <c r="AO660" i="15"/>
  <c r="S661" i="15"/>
  <c r="T661" i="15"/>
  <c r="U661" i="15"/>
  <c r="V661" i="15"/>
  <c r="W661" i="15"/>
  <c r="X661" i="15"/>
  <c r="Y661" i="15"/>
  <c r="Z661" i="15"/>
  <c r="AA661" i="15"/>
  <c r="AB661" i="15"/>
  <c r="AC661" i="15"/>
  <c r="AD661" i="15"/>
  <c r="AE661" i="15"/>
  <c r="AF661" i="15"/>
  <c r="AG661" i="15"/>
  <c r="AH661" i="15"/>
  <c r="AI661" i="15"/>
  <c r="AJ661" i="15"/>
  <c r="AK661" i="15"/>
  <c r="AL661" i="15"/>
  <c r="AM661" i="15"/>
  <c r="AN661" i="15"/>
  <c r="AO661" i="15"/>
  <c r="S662" i="15"/>
  <c r="T662" i="15"/>
  <c r="U662" i="15"/>
  <c r="V662" i="15"/>
  <c r="W662" i="15"/>
  <c r="X662" i="15"/>
  <c r="Y662" i="15"/>
  <c r="Z662" i="15"/>
  <c r="AA662" i="15"/>
  <c r="AB662" i="15"/>
  <c r="AC662" i="15"/>
  <c r="AD662" i="15"/>
  <c r="AE662" i="15"/>
  <c r="AF662" i="15"/>
  <c r="AG662" i="15"/>
  <c r="AH662" i="15"/>
  <c r="AI662" i="15"/>
  <c r="AJ662" i="15"/>
  <c r="AK662" i="15"/>
  <c r="AL662" i="15"/>
  <c r="AM662" i="15"/>
  <c r="AN662" i="15"/>
  <c r="AO662" i="15"/>
  <c r="S663" i="15"/>
  <c r="T663" i="15"/>
  <c r="U663" i="15"/>
  <c r="V663" i="15"/>
  <c r="W663" i="15"/>
  <c r="X663" i="15"/>
  <c r="Y663" i="15"/>
  <c r="Z663" i="15"/>
  <c r="AA663" i="15"/>
  <c r="AB663" i="15"/>
  <c r="AC663" i="15"/>
  <c r="AD663" i="15"/>
  <c r="AE663" i="15"/>
  <c r="AF663" i="15"/>
  <c r="AG663" i="15"/>
  <c r="AH663" i="15"/>
  <c r="AI663" i="15"/>
  <c r="AJ663" i="15"/>
  <c r="AK663" i="15"/>
  <c r="AL663" i="15"/>
  <c r="AM663" i="15"/>
  <c r="AN663" i="15"/>
  <c r="AO663" i="15"/>
  <c r="S664" i="15"/>
  <c r="T664" i="15"/>
  <c r="U664" i="15"/>
  <c r="V664" i="15"/>
  <c r="W664" i="15"/>
  <c r="X664" i="15"/>
  <c r="Y664" i="15"/>
  <c r="Z664" i="15"/>
  <c r="AA664" i="15"/>
  <c r="AB664" i="15"/>
  <c r="AC664" i="15"/>
  <c r="AD664" i="15"/>
  <c r="AE664" i="15"/>
  <c r="AF664" i="15"/>
  <c r="AG664" i="15"/>
  <c r="AH664" i="15"/>
  <c r="AI664" i="15"/>
  <c r="AJ664" i="15"/>
  <c r="AK664" i="15"/>
  <c r="AL664" i="15"/>
  <c r="AM664" i="15"/>
  <c r="AN664" i="15"/>
  <c r="AO664" i="15"/>
  <c r="S665" i="15"/>
  <c r="T665" i="15"/>
  <c r="U665" i="15"/>
  <c r="V665" i="15"/>
  <c r="W665" i="15"/>
  <c r="X665" i="15"/>
  <c r="Y665" i="15"/>
  <c r="Z665" i="15"/>
  <c r="AA665" i="15"/>
  <c r="AB665" i="15"/>
  <c r="AC665" i="15"/>
  <c r="AD665" i="15"/>
  <c r="AE665" i="15"/>
  <c r="AF665" i="15"/>
  <c r="AG665" i="15"/>
  <c r="AH665" i="15"/>
  <c r="AI665" i="15"/>
  <c r="AJ665" i="15"/>
  <c r="AK665" i="15"/>
  <c r="AL665" i="15"/>
  <c r="AM665" i="15"/>
  <c r="AN665" i="15"/>
  <c r="AO665" i="15"/>
  <c r="S666" i="15"/>
  <c r="T666" i="15"/>
  <c r="U666" i="15"/>
  <c r="V666" i="15"/>
  <c r="W666" i="15"/>
  <c r="X666" i="15"/>
  <c r="Y666" i="15"/>
  <c r="Z666" i="15"/>
  <c r="AA666" i="15"/>
  <c r="AB666" i="15"/>
  <c r="AC666" i="15"/>
  <c r="AD666" i="15"/>
  <c r="AE666" i="15"/>
  <c r="AF666" i="15"/>
  <c r="AG666" i="15"/>
  <c r="AH666" i="15"/>
  <c r="AI666" i="15"/>
  <c r="AJ666" i="15"/>
  <c r="AK666" i="15"/>
  <c r="AL666" i="15"/>
  <c r="AM666" i="15"/>
  <c r="AN666" i="15"/>
  <c r="AO666" i="15"/>
  <c r="S667" i="15"/>
  <c r="T667" i="15"/>
  <c r="U667" i="15"/>
  <c r="V667" i="15"/>
  <c r="W667" i="15"/>
  <c r="X667" i="15"/>
  <c r="Y667" i="15"/>
  <c r="Z667" i="15"/>
  <c r="AA667" i="15"/>
  <c r="AB667" i="15"/>
  <c r="AC667" i="15"/>
  <c r="AD667" i="15"/>
  <c r="AE667" i="15"/>
  <c r="AF667" i="15"/>
  <c r="AG667" i="15"/>
  <c r="AH667" i="15"/>
  <c r="AI667" i="15"/>
  <c r="AJ667" i="15"/>
  <c r="AK667" i="15"/>
  <c r="AL667" i="15"/>
  <c r="AM667" i="15"/>
  <c r="AN667" i="15"/>
  <c r="AO667" i="15"/>
  <c r="S668" i="15"/>
  <c r="T668" i="15"/>
  <c r="U668" i="15"/>
  <c r="V668" i="15"/>
  <c r="W668" i="15"/>
  <c r="X668" i="15"/>
  <c r="Y668" i="15"/>
  <c r="Z668" i="15"/>
  <c r="AA668" i="15"/>
  <c r="AB668" i="15"/>
  <c r="AC668" i="15"/>
  <c r="AD668" i="15"/>
  <c r="AE668" i="15"/>
  <c r="AF668" i="15"/>
  <c r="AG668" i="15"/>
  <c r="AH668" i="15"/>
  <c r="AI668" i="15"/>
  <c r="AJ668" i="15"/>
  <c r="AK668" i="15"/>
  <c r="AL668" i="15"/>
  <c r="AM668" i="15"/>
  <c r="AN668" i="15"/>
  <c r="AO668" i="15"/>
  <c r="S669" i="15"/>
  <c r="T669" i="15"/>
  <c r="U669" i="15"/>
  <c r="V669" i="15"/>
  <c r="W669" i="15"/>
  <c r="X669" i="15"/>
  <c r="Y669" i="15"/>
  <c r="Z669" i="15"/>
  <c r="AA669" i="15"/>
  <c r="AB669" i="15"/>
  <c r="AC669" i="15"/>
  <c r="AD669" i="15"/>
  <c r="AE669" i="15"/>
  <c r="AF669" i="15"/>
  <c r="AG669" i="15"/>
  <c r="AH669" i="15"/>
  <c r="AI669" i="15"/>
  <c r="AJ669" i="15"/>
  <c r="AK669" i="15"/>
  <c r="AL669" i="15"/>
  <c r="AM669" i="15"/>
  <c r="AN669" i="15"/>
  <c r="AO669" i="15"/>
  <c r="S670" i="15"/>
  <c r="T670" i="15"/>
  <c r="U670" i="15"/>
  <c r="V670" i="15"/>
  <c r="W670" i="15"/>
  <c r="X670" i="15"/>
  <c r="Y670" i="15"/>
  <c r="Z670" i="15"/>
  <c r="AA670" i="15"/>
  <c r="AB670" i="15"/>
  <c r="AC670" i="15"/>
  <c r="AD670" i="15"/>
  <c r="AE670" i="15"/>
  <c r="AF670" i="15"/>
  <c r="AG670" i="15"/>
  <c r="AH670" i="15"/>
  <c r="AI670" i="15"/>
  <c r="AJ670" i="15"/>
  <c r="AK670" i="15"/>
  <c r="AL670" i="15"/>
  <c r="AM670" i="15"/>
  <c r="AN670" i="15"/>
  <c r="AO670" i="15"/>
  <c r="S671" i="15"/>
  <c r="T671" i="15"/>
  <c r="U671" i="15"/>
  <c r="V671" i="15"/>
  <c r="W671" i="15"/>
  <c r="X671" i="15"/>
  <c r="Y671" i="15"/>
  <c r="Z671" i="15"/>
  <c r="AA671" i="15"/>
  <c r="AB671" i="15"/>
  <c r="AC671" i="15"/>
  <c r="AD671" i="15"/>
  <c r="AE671" i="15"/>
  <c r="AF671" i="15"/>
  <c r="AG671" i="15"/>
  <c r="AH671" i="15"/>
  <c r="AI671" i="15"/>
  <c r="AJ671" i="15"/>
  <c r="AK671" i="15"/>
  <c r="AL671" i="15"/>
  <c r="AM671" i="15"/>
  <c r="AN671" i="15"/>
  <c r="AO671" i="15"/>
  <c r="S672" i="15"/>
  <c r="T672" i="15"/>
  <c r="U672" i="15"/>
  <c r="V672" i="15"/>
  <c r="W672" i="15"/>
  <c r="X672" i="15"/>
  <c r="Y672" i="15"/>
  <c r="Z672" i="15"/>
  <c r="AA672" i="15"/>
  <c r="AB672" i="15"/>
  <c r="AC672" i="15"/>
  <c r="AD672" i="15"/>
  <c r="AE672" i="15"/>
  <c r="AF672" i="15"/>
  <c r="AG672" i="15"/>
  <c r="AH672" i="15"/>
  <c r="AI672" i="15"/>
  <c r="AJ672" i="15"/>
  <c r="AK672" i="15"/>
  <c r="AL672" i="15"/>
  <c r="AM672" i="15"/>
  <c r="AN672" i="15"/>
  <c r="AO672" i="15"/>
  <c r="S673" i="15"/>
  <c r="T673" i="15"/>
  <c r="U673" i="15"/>
  <c r="V673" i="15"/>
  <c r="W673" i="15"/>
  <c r="X673" i="15"/>
  <c r="Y673" i="15"/>
  <c r="Z673" i="15"/>
  <c r="AA673" i="15"/>
  <c r="AB673" i="15"/>
  <c r="AC673" i="15"/>
  <c r="AD673" i="15"/>
  <c r="AE673" i="15"/>
  <c r="AF673" i="15"/>
  <c r="AG673" i="15"/>
  <c r="AH673" i="15"/>
  <c r="AI673" i="15"/>
  <c r="AJ673" i="15"/>
  <c r="AK673" i="15"/>
  <c r="AL673" i="15"/>
  <c r="AM673" i="15"/>
  <c r="AN673" i="15"/>
  <c r="AO673" i="15"/>
  <c r="S674" i="15"/>
  <c r="T674" i="15"/>
  <c r="U674" i="15"/>
  <c r="V674" i="15"/>
  <c r="W674" i="15"/>
  <c r="X674" i="15"/>
  <c r="Y674" i="15"/>
  <c r="Z674" i="15"/>
  <c r="AA674" i="15"/>
  <c r="AB674" i="15"/>
  <c r="AC674" i="15"/>
  <c r="AD674" i="15"/>
  <c r="AE674" i="15"/>
  <c r="AF674" i="15"/>
  <c r="AG674" i="15"/>
  <c r="AH674" i="15"/>
  <c r="AI674" i="15"/>
  <c r="AJ674" i="15"/>
  <c r="AK674" i="15"/>
  <c r="AL674" i="15"/>
  <c r="AM674" i="15"/>
  <c r="AN674" i="15"/>
  <c r="AO674" i="15"/>
  <c r="S675" i="15"/>
  <c r="T675" i="15"/>
  <c r="U675" i="15"/>
  <c r="V675" i="15"/>
  <c r="W675" i="15"/>
  <c r="X675" i="15"/>
  <c r="Y675" i="15"/>
  <c r="Z675" i="15"/>
  <c r="AA675" i="15"/>
  <c r="AB675" i="15"/>
  <c r="AC675" i="15"/>
  <c r="AD675" i="15"/>
  <c r="AE675" i="15"/>
  <c r="AF675" i="15"/>
  <c r="AG675" i="15"/>
  <c r="AH675" i="15"/>
  <c r="AI675" i="15"/>
  <c r="AJ675" i="15"/>
  <c r="AK675" i="15"/>
  <c r="AL675" i="15"/>
  <c r="AM675" i="15"/>
  <c r="AN675" i="15"/>
  <c r="AO675" i="15"/>
  <c r="S676" i="15"/>
  <c r="T676" i="15"/>
  <c r="U676" i="15"/>
  <c r="V676" i="15"/>
  <c r="W676" i="15"/>
  <c r="X676" i="15"/>
  <c r="Y676" i="15"/>
  <c r="Z676" i="15"/>
  <c r="AA676" i="15"/>
  <c r="AB676" i="15"/>
  <c r="AC676" i="15"/>
  <c r="AD676" i="15"/>
  <c r="AE676" i="15"/>
  <c r="AF676" i="15"/>
  <c r="AG676" i="15"/>
  <c r="AH676" i="15"/>
  <c r="AI676" i="15"/>
  <c r="AJ676" i="15"/>
  <c r="AK676" i="15"/>
  <c r="AL676" i="15"/>
  <c r="AM676" i="15"/>
  <c r="AN676" i="15"/>
  <c r="AO676" i="15"/>
  <c r="S677" i="15"/>
  <c r="T677" i="15"/>
  <c r="U677" i="15"/>
  <c r="V677" i="15"/>
  <c r="W677" i="15"/>
  <c r="X677" i="15"/>
  <c r="Y677" i="15"/>
  <c r="Z677" i="15"/>
  <c r="AA677" i="15"/>
  <c r="AB677" i="15"/>
  <c r="AC677" i="15"/>
  <c r="AD677" i="15"/>
  <c r="AE677" i="15"/>
  <c r="AF677" i="15"/>
  <c r="AG677" i="15"/>
  <c r="AH677" i="15"/>
  <c r="AI677" i="15"/>
  <c r="AJ677" i="15"/>
  <c r="AK677" i="15"/>
  <c r="AL677" i="15"/>
  <c r="AM677" i="15"/>
  <c r="AN677" i="15"/>
  <c r="AO677" i="15"/>
  <c r="S678" i="15"/>
  <c r="T678" i="15"/>
  <c r="U678" i="15"/>
  <c r="V678" i="15"/>
  <c r="W678" i="15"/>
  <c r="X678" i="15"/>
  <c r="Y678" i="15"/>
  <c r="Z678" i="15"/>
  <c r="AA678" i="15"/>
  <c r="AB678" i="15"/>
  <c r="AC678" i="15"/>
  <c r="AD678" i="15"/>
  <c r="AE678" i="15"/>
  <c r="AF678" i="15"/>
  <c r="AG678" i="15"/>
  <c r="AH678" i="15"/>
  <c r="AI678" i="15"/>
  <c r="AJ678" i="15"/>
  <c r="AK678" i="15"/>
  <c r="AL678" i="15"/>
  <c r="AM678" i="15"/>
  <c r="AN678" i="15"/>
  <c r="AO678" i="15"/>
  <c r="S679" i="15"/>
  <c r="T679" i="15"/>
  <c r="U679" i="15"/>
  <c r="V679" i="15"/>
  <c r="W679" i="15"/>
  <c r="X679" i="15"/>
  <c r="Y679" i="15"/>
  <c r="Z679" i="15"/>
  <c r="AA679" i="15"/>
  <c r="AB679" i="15"/>
  <c r="AC679" i="15"/>
  <c r="AD679" i="15"/>
  <c r="AE679" i="15"/>
  <c r="AF679" i="15"/>
  <c r="AG679" i="15"/>
  <c r="AH679" i="15"/>
  <c r="AI679" i="15"/>
  <c r="AJ679" i="15"/>
  <c r="AK679" i="15"/>
  <c r="AL679" i="15"/>
  <c r="AM679" i="15"/>
  <c r="AN679" i="15"/>
  <c r="AO679" i="15"/>
  <c r="S680" i="15"/>
  <c r="T680" i="15"/>
  <c r="U680" i="15"/>
  <c r="V680" i="15"/>
  <c r="W680" i="15"/>
  <c r="X680" i="15"/>
  <c r="Y680" i="15"/>
  <c r="Z680" i="15"/>
  <c r="AA680" i="15"/>
  <c r="AB680" i="15"/>
  <c r="AC680" i="15"/>
  <c r="AD680" i="15"/>
  <c r="AE680" i="15"/>
  <c r="AF680" i="15"/>
  <c r="AG680" i="15"/>
  <c r="AH680" i="15"/>
  <c r="AI680" i="15"/>
  <c r="AJ680" i="15"/>
  <c r="AK680" i="15"/>
  <c r="AL680" i="15"/>
  <c r="AM680" i="15"/>
  <c r="AN680" i="15"/>
  <c r="AO680" i="15"/>
  <c r="S681" i="15"/>
  <c r="T681" i="15"/>
  <c r="U681" i="15"/>
  <c r="V681" i="15"/>
  <c r="W681" i="15"/>
  <c r="X681" i="15"/>
  <c r="Y681" i="15"/>
  <c r="Z681" i="15"/>
  <c r="AA681" i="15"/>
  <c r="AB681" i="15"/>
  <c r="AC681" i="15"/>
  <c r="AD681" i="15"/>
  <c r="AE681" i="15"/>
  <c r="AF681" i="15"/>
  <c r="AG681" i="15"/>
  <c r="AH681" i="15"/>
  <c r="AI681" i="15"/>
  <c r="AJ681" i="15"/>
  <c r="AK681" i="15"/>
  <c r="AL681" i="15"/>
  <c r="AM681" i="15"/>
  <c r="AN681" i="15"/>
  <c r="AO681" i="15"/>
  <c r="S682" i="15"/>
  <c r="T682" i="15"/>
  <c r="U682" i="15"/>
  <c r="V682" i="15"/>
  <c r="W682" i="15"/>
  <c r="X682" i="15"/>
  <c r="Y682" i="15"/>
  <c r="Z682" i="15"/>
  <c r="AA682" i="15"/>
  <c r="AB682" i="15"/>
  <c r="AC682" i="15"/>
  <c r="AD682" i="15"/>
  <c r="AE682" i="15"/>
  <c r="AF682" i="15"/>
  <c r="AG682" i="15"/>
  <c r="AH682" i="15"/>
  <c r="AI682" i="15"/>
  <c r="AJ682" i="15"/>
  <c r="AK682" i="15"/>
  <c r="AL682" i="15"/>
  <c r="AM682" i="15"/>
  <c r="AN682" i="15"/>
  <c r="AO682" i="15"/>
  <c r="S683" i="15"/>
  <c r="T683" i="15"/>
  <c r="U683" i="15"/>
  <c r="V683" i="15"/>
  <c r="W683" i="15"/>
  <c r="X683" i="15"/>
  <c r="Y683" i="15"/>
  <c r="Z683" i="15"/>
  <c r="AA683" i="15"/>
  <c r="AB683" i="15"/>
  <c r="AC683" i="15"/>
  <c r="AD683" i="15"/>
  <c r="AE683" i="15"/>
  <c r="AF683" i="15"/>
  <c r="AG683" i="15"/>
  <c r="AH683" i="15"/>
  <c r="AI683" i="15"/>
  <c r="AJ683" i="15"/>
  <c r="AK683" i="15"/>
  <c r="AL683" i="15"/>
  <c r="AM683" i="15"/>
  <c r="AN683" i="15"/>
  <c r="AO683" i="15"/>
  <c r="S684" i="15"/>
  <c r="T684" i="15"/>
  <c r="U684" i="15"/>
  <c r="V684" i="15"/>
  <c r="W684" i="15"/>
  <c r="X684" i="15"/>
  <c r="Y684" i="15"/>
  <c r="Z684" i="15"/>
  <c r="AA684" i="15"/>
  <c r="AB684" i="15"/>
  <c r="AC684" i="15"/>
  <c r="AD684" i="15"/>
  <c r="AE684" i="15"/>
  <c r="AF684" i="15"/>
  <c r="AG684" i="15"/>
  <c r="AH684" i="15"/>
  <c r="AI684" i="15"/>
  <c r="AJ684" i="15"/>
  <c r="AK684" i="15"/>
  <c r="AL684" i="15"/>
  <c r="AM684" i="15"/>
  <c r="AN684" i="15"/>
  <c r="AO684" i="15"/>
  <c r="S685" i="15"/>
  <c r="T685" i="15"/>
  <c r="U685" i="15"/>
  <c r="V685" i="15"/>
  <c r="W685" i="15"/>
  <c r="X685" i="15"/>
  <c r="Y685" i="15"/>
  <c r="Z685" i="15"/>
  <c r="AA685" i="15"/>
  <c r="AB685" i="15"/>
  <c r="AC685" i="15"/>
  <c r="AD685" i="15"/>
  <c r="AE685" i="15"/>
  <c r="AF685" i="15"/>
  <c r="AG685" i="15"/>
  <c r="AH685" i="15"/>
  <c r="AI685" i="15"/>
  <c r="AJ685" i="15"/>
  <c r="AK685" i="15"/>
  <c r="AL685" i="15"/>
  <c r="AM685" i="15"/>
  <c r="AN685" i="15"/>
  <c r="AO685" i="15"/>
  <c r="S686" i="15"/>
  <c r="T686" i="15"/>
  <c r="U686" i="15"/>
  <c r="V686" i="15"/>
  <c r="W686" i="15"/>
  <c r="X686" i="15"/>
  <c r="Y686" i="15"/>
  <c r="Z686" i="15"/>
  <c r="AA686" i="15"/>
  <c r="AB686" i="15"/>
  <c r="AC686" i="15"/>
  <c r="AD686" i="15"/>
  <c r="AE686" i="15"/>
  <c r="AF686" i="15"/>
  <c r="AG686" i="15"/>
  <c r="AH686" i="15"/>
  <c r="AI686" i="15"/>
  <c r="AJ686" i="15"/>
  <c r="AK686" i="15"/>
  <c r="AL686" i="15"/>
  <c r="AM686" i="15"/>
  <c r="AN686" i="15"/>
  <c r="AO686" i="15"/>
  <c r="S687" i="15"/>
  <c r="T687" i="15"/>
  <c r="U687" i="15"/>
  <c r="V687" i="15"/>
  <c r="W687" i="15"/>
  <c r="X687" i="15"/>
  <c r="Y687" i="15"/>
  <c r="Z687" i="15"/>
  <c r="AA687" i="15"/>
  <c r="AB687" i="15"/>
  <c r="AC687" i="15"/>
  <c r="AD687" i="15"/>
  <c r="AE687" i="15"/>
  <c r="AF687" i="15"/>
  <c r="AG687" i="15"/>
  <c r="AH687" i="15"/>
  <c r="AI687" i="15"/>
  <c r="AJ687" i="15"/>
  <c r="AK687" i="15"/>
  <c r="AL687" i="15"/>
  <c r="AM687" i="15"/>
  <c r="AN687" i="15"/>
  <c r="AO687" i="15"/>
  <c r="S688" i="15"/>
  <c r="T688" i="15"/>
  <c r="U688" i="15"/>
  <c r="V688" i="15"/>
  <c r="W688" i="15"/>
  <c r="X688" i="15"/>
  <c r="Y688" i="15"/>
  <c r="Z688" i="15"/>
  <c r="AA688" i="15"/>
  <c r="AB688" i="15"/>
  <c r="AC688" i="15"/>
  <c r="AD688" i="15"/>
  <c r="AE688" i="15"/>
  <c r="AF688" i="15"/>
  <c r="AG688" i="15"/>
  <c r="AH688" i="15"/>
  <c r="AI688" i="15"/>
  <c r="AJ688" i="15"/>
  <c r="AK688" i="15"/>
  <c r="AL688" i="15"/>
  <c r="AM688" i="15"/>
  <c r="AN688" i="15"/>
  <c r="AO688" i="15"/>
  <c r="S689" i="15"/>
  <c r="T689" i="15"/>
  <c r="U689" i="15"/>
  <c r="V689" i="15"/>
  <c r="W689" i="15"/>
  <c r="X689" i="15"/>
  <c r="Y689" i="15"/>
  <c r="Z689" i="15"/>
  <c r="AA689" i="15"/>
  <c r="AB689" i="15"/>
  <c r="AC689" i="15"/>
  <c r="AD689" i="15"/>
  <c r="AE689" i="15"/>
  <c r="AF689" i="15"/>
  <c r="AG689" i="15"/>
  <c r="AH689" i="15"/>
  <c r="AI689" i="15"/>
  <c r="AJ689" i="15"/>
  <c r="AK689" i="15"/>
  <c r="AL689" i="15"/>
  <c r="AM689" i="15"/>
  <c r="AN689" i="15"/>
  <c r="AO689" i="15"/>
  <c r="S690" i="15"/>
  <c r="T690" i="15"/>
  <c r="U690" i="15"/>
  <c r="V690" i="15"/>
  <c r="W690" i="15"/>
  <c r="X690" i="15"/>
  <c r="Y690" i="15"/>
  <c r="Z690" i="15"/>
  <c r="AA690" i="15"/>
  <c r="AB690" i="15"/>
  <c r="AC690" i="15"/>
  <c r="AD690" i="15"/>
  <c r="AE690" i="15"/>
  <c r="AF690" i="15"/>
  <c r="AG690" i="15"/>
  <c r="AH690" i="15"/>
  <c r="AI690" i="15"/>
  <c r="AJ690" i="15"/>
  <c r="AK690" i="15"/>
  <c r="AL690" i="15"/>
  <c r="AM690" i="15"/>
  <c r="AN690" i="15"/>
  <c r="AO690" i="15"/>
  <c r="S691" i="15"/>
  <c r="T691" i="15"/>
  <c r="U691" i="15"/>
  <c r="V691" i="15"/>
  <c r="W691" i="15"/>
  <c r="X691" i="15"/>
  <c r="Y691" i="15"/>
  <c r="Z691" i="15"/>
  <c r="AA691" i="15"/>
  <c r="AB691" i="15"/>
  <c r="AC691" i="15"/>
  <c r="AD691" i="15"/>
  <c r="AE691" i="15"/>
  <c r="AF691" i="15"/>
  <c r="AG691" i="15"/>
  <c r="AH691" i="15"/>
  <c r="AI691" i="15"/>
  <c r="AJ691" i="15"/>
  <c r="AK691" i="15"/>
  <c r="AL691" i="15"/>
  <c r="AM691" i="15"/>
  <c r="AN691" i="15"/>
  <c r="AO691" i="15"/>
  <c r="S692" i="15"/>
  <c r="T692" i="15"/>
  <c r="U692" i="15"/>
  <c r="V692" i="15"/>
  <c r="W692" i="15"/>
  <c r="X692" i="15"/>
  <c r="Y692" i="15"/>
  <c r="Z692" i="15"/>
  <c r="AA692" i="15"/>
  <c r="AB692" i="15"/>
  <c r="AC692" i="15"/>
  <c r="AD692" i="15"/>
  <c r="AE692" i="15"/>
  <c r="AF692" i="15"/>
  <c r="AG692" i="15"/>
  <c r="AH692" i="15"/>
  <c r="AI692" i="15"/>
  <c r="AJ692" i="15"/>
  <c r="AK692" i="15"/>
  <c r="AL692" i="15"/>
  <c r="AM692" i="15"/>
  <c r="AN692" i="15"/>
  <c r="AO692" i="15"/>
  <c r="S693" i="15"/>
  <c r="T693" i="15"/>
  <c r="U693" i="15"/>
  <c r="V693" i="15"/>
  <c r="W693" i="15"/>
  <c r="X693" i="15"/>
  <c r="Y693" i="15"/>
  <c r="Z693" i="15"/>
  <c r="AA693" i="15"/>
  <c r="AB693" i="15"/>
  <c r="AC693" i="15"/>
  <c r="AD693" i="15"/>
  <c r="AE693" i="15"/>
  <c r="AF693" i="15"/>
  <c r="AG693" i="15"/>
  <c r="AH693" i="15"/>
  <c r="AI693" i="15"/>
  <c r="AJ693" i="15"/>
  <c r="AK693" i="15"/>
  <c r="AL693" i="15"/>
  <c r="AM693" i="15"/>
  <c r="AN693" i="15"/>
  <c r="AO693" i="15"/>
  <c r="S694" i="15"/>
  <c r="T694" i="15"/>
  <c r="U694" i="15"/>
  <c r="V694" i="15"/>
  <c r="W694" i="15"/>
  <c r="X694" i="15"/>
  <c r="Y694" i="15"/>
  <c r="Z694" i="15"/>
  <c r="AA694" i="15"/>
  <c r="AB694" i="15"/>
  <c r="AC694" i="15"/>
  <c r="AD694" i="15"/>
  <c r="AE694" i="15"/>
  <c r="AF694" i="15"/>
  <c r="AG694" i="15"/>
  <c r="AH694" i="15"/>
  <c r="AI694" i="15"/>
  <c r="AJ694" i="15"/>
  <c r="AK694" i="15"/>
  <c r="AL694" i="15"/>
  <c r="AM694" i="15"/>
  <c r="AN694" i="15"/>
  <c r="AO694" i="15"/>
  <c r="S695" i="15"/>
  <c r="T695" i="15"/>
  <c r="U695" i="15"/>
  <c r="V695" i="15"/>
  <c r="W695" i="15"/>
  <c r="X695" i="15"/>
  <c r="Y695" i="15"/>
  <c r="Z695" i="15"/>
  <c r="AA695" i="15"/>
  <c r="AB695" i="15"/>
  <c r="AC695" i="15"/>
  <c r="AD695" i="15"/>
  <c r="AE695" i="15"/>
  <c r="AF695" i="15"/>
  <c r="AG695" i="15"/>
  <c r="AH695" i="15"/>
  <c r="AI695" i="15"/>
  <c r="AJ695" i="15"/>
  <c r="AK695" i="15"/>
  <c r="AL695" i="15"/>
  <c r="AM695" i="15"/>
  <c r="AN695" i="15"/>
  <c r="AO695" i="15"/>
  <c r="S696" i="15"/>
  <c r="T696" i="15"/>
  <c r="U696" i="15"/>
  <c r="V696" i="15"/>
  <c r="W696" i="15"/>
  <c r="X696" i="15"/>
  <c r="Y696" i="15"/>
  <c r="Z696" i="15"/>
  <c r="AA696" i="15"/>
  <c r="AB696" i="15"/>
  <c r="AC696" i="15"/>
  <c r="AD696" i="15"/>
  <c r="AE696" i="15"/>
  <c r="AF696" i="15"/>
  <c r="AG696" i="15"/>
  <c r="AH696" i="15"/>
  <c r="AI696" i="15"/>
  <c r="AJ696" i="15"/>
  <c r="AK696" i="15"/>
  <c r="AL696" i="15"/>
  <c r="AM696" i="15"/>
  <c r="AN696" i="15"/>
  <c r="AO696" i="15"/>
  <c r="S697" i="15"/>
  <c r="T697" i="15"/>
  <c r="U697" i="15"/>
  <c r="V697" i="15"/>
  <c r="W697" i="15"/>
  <c r="X697" i="15"/>
  <c r="Y697" i="15"/>
  <c r="Z697" i="15"/>
  <c r="AA697" i="15"/>
  <c r="AB697" i="15"/>
  <c r="AC697" i="15"/>
  <c r="AD697" i="15"/>
  <c r="AE697" i="15"/>
  <c r="AF697" i="15"/>
  <c r="AG697" i="15"/>
  <c r="AH697" i="15"/>
  <c r="AI697" i="15"/>
  <c r="AJ697" i="15"/>
  <c r="AK697" i="15"/>
  <c r="AL697" i="15"/>
  <c r="AM697" i="15"/>
  <c r="AN697" i="15"/>
  <c r="AO697" i="15"/>
  <c r="S698" i="15"/>
  <c r="T698" i="15"/>
  <c r="U698" i="15"/>
  <c r="V698" i="15"/>
  <c r="W698" i="15"/>
  <c r="X698" i="15"/>
  <c r="Y698" i="15"/>
  <c r="Z698" i="15"/>
  <c r="AA698" i="15"/>
  <c r="AB698" i="15"/>
  <c r="AC698" i="15"/>
  <c r="AD698" i="15"/>
  <c r="AE698" i="15"/>
  <c r="AF698" i="15"/>
  <c r="AG698" i="15"/>
  <c r="AH698" i="15"/>
  <c r="AI698" i="15"/>
  <c r="AJ698" i="15"/>
  <c r="AK698" i="15"/>
  <c r="AL698" i="15"/>
  <c r="AM698" i="15"/>
  <c r="AN698" i="15"/>
  <c r="AO698" i="15"/>
  <c r="S699" i="15"/>
  <c r="T699" i="15"/>
  <c r="U699" i="15"/>
  <c r="V699" i="15"/>
  <c r="W699" i="15"/>
  <c r="X699" i="15"/>
  <c r="Y699" i="15"/>
  <c r="Z699" i="15"/>
  <c r="AA699" i="15"/>
  <c r="AB699" i="15"/>
  <c r="AC699" i="15"/>
  <c r="AD699" i="15"/>
  <c r="AE699" i="15"/>
  <c r="AF699" i="15"/>
  <c r="AG699" i="15"/>
  <c r="AH699" i="15"/>
  <c r="AI699" i="15"/>
  <c r="AJ699" i="15"/>
  <c r="AK699" i="15"/>
  <c r="AL699" i="15"/>
  <c r="AM699" i="15"/>
  <c r="AN699" i="15"/>
  <c r="AO699" i="15"/>
  <c r="S700" i="15"/>
  <c r="T700" i="15"/>
  <c r="U700" i="15"/>
  <c r="V700" i="15"/>
  <c r="W700" i="15"/>
  <c r="X700" i="15"/>
  <c r="Y700" i="15"/>
  <c r="Z700" i="15"/>
  <c r="AA700" i="15"/>
  <c r="AB700" i="15"/>
  <c r="AC700" i="15"/>
  <c r="AD700" i="15"/>
  <c r="AE700" i="15"/>
  <c r="AF700" i="15"/>
  <c r="AG700" i="15"/>
  <c r="AH700" i="15"/>
  <c r="AI700" i="15"/>
  <c r="AJ700" i="15"/>
  <c r="AK700" i="15"/>
  <c r="AL700" i="15"/>
  <c r="AM700" i="15"/>
  <c r="AN700" i="15"/>
  <c r="AO700" i="15"/>
  <c r="S701" i="15"/>
  <c r="T701" i="15"/>
  <c r="U701" i="15"/>
  <c r="V701" i="15"/>
  <c r="W701" i="15"/>
  <c r="X701" i="15"/>
  <c r="Y701" i="15"/>
  <c r="Z701" i="15"/>
  <c r="AA701" i="15"/>
  <c r="AB701" i="15"/>
  <c r="AC701" i="15"/>
  <c r="AD701" i="15"/>
  <c r="AE701" i="15"/>
  <c r="AF701" i="15"/>
  <c r="AG701" i="15"/>
  <c r="AH701" i="15"/>
  <c r="AI701" i="15"/>
  <c r="AJ701" i="15"/>
  <c r="AK701" i="15"/>
  <c r="AL701" i="15"/>
  <c r="AM701" i="15"/>
  <c r="AN701" i="15"/>
  <c r="AO701" i="15"/>
  <c r="S702" i="15"/>
  <c r="T702" i="15"/>
  <c r="U702" i="15"/>
  <c r="V702" i="15"/>
  <c r="W702" i="15"/>
  <c r="X702" i="15"/>
  <c r="Y702" i="15"/>
  <c r="Z702" i="15"/>
  <c r="AA702" i="15"/>
  <c r="AB702" i="15"/>
  <c r="AC702" i="15"/>
  <c r="AD702" i="15"/>
  <c r="AE702" i="15"/>
  <c r="AF702" i="15"/>
  <c r="AG702" i="15"/>
  <c r="AH702" i="15"/>
  <c r="AI702" i="15"/>
  <c r="AJ702" i="15"/>
  <c r="AK702" i="15"/>
  <c r="AL702" i="15"/>
  <c r="AM702" i="15"/>
  <c r="AN702" i="15"/>
  <c r="AO702" i="15"/>
  <c r="S703" i="15"/>
  <c r="T703" i="15"/>
  <c r="U703" i="15"/>
  <c r="V703" i="15"/>
  <c r="W703" i="15"/>
  <c r="X703" i="15"/>
  <c r="Y703" i="15"/>
  <c r="Z703" i="15"/>
  <c r="AA703" i="15"/>
  <c r="AB703" i="15"/>
  <c r="AC703" i="15"/>
  <c r="AD703" i="15"/>
  <c r="AE703" i="15"/>
  <c r="AF703" i="15"/>
  <c r="AG703" i="15"/>
  <c r="AH703" i="15"/>
  <c r="AI703" i="15"/>
  <c r="AJ703" i="15"/>
  <c r="AK703" i="15"/>
  <c r="AL703" i="15"/>
  <c r="AM703" i="15"/>
  <c r="AN703" i="15"/>
  <c r="AO703" i="15"/>
  <c r="S704" i="15"/>
  <c r="T704" i="15"/>
  <c r="U704" i="15"/>
  <c r="V704" i="15"/>
  <c r="W704" i="15"/>
  <c r="X704" i="15"/>
  <c r="Y704" i="15"/>
  <c r="Z704" i="15"/>
  <c r="AA704" i="15"/>
  <c r="AB704" i="15"/>
  <c r="AC704" i="15"/>
  <c r="AD704" i="15"/>
  <c r="AE704" i="15"/>
  <c r="AF704" i="15"/>
  <c r="AG704" i="15"/>
  <c r="AH704" i="15"/>
  <c r="AI704" i="15"/>
  <c r="AJ704" i="15"/>
  <c r="AK704" i="15"/>
  <c r="AL704" i="15"/>
  <c r="AM704" i="15"/>
  <c r="AN704" i="15"/>
  <c r="AO704" i="15"/>
  <c r="S705" i="15"/>
  <c r="T705" i="15"/>
  <c r="U705" i="15"/>
  <c r="V705" i="15"/>
  <c r="W705" i="15"/>
  <c r="X705" i="15"/>
  <c r="Y705" i="15"/>
  <c r="Z705" i="15"/>
  <c r="AA705" i="15"/>
  <c r="AB705" i="15"/>
  <c r="AC705" i="15"/>
  <c r="AD705" i="15"/>
  <c r="AE705" i="15"/>
  <c r="AF705" i="15"/>
  <c r="AG705" i="15"/>
  <c r="AH705" i="15"/>
  <c r="AI705" i="15"/>
  <c r="AJ705" i="15"/>
  <c r="AK705" i="15"/>
  <c r="AL705" i="15"/>
  <c r="AM705" i="15"/>
  <c r="AN705" i="15"/>
  <c r="AO705" i="15"/>
  <c r="S706" i="15"/>
  <c r="T706" i="15"/>
  <c r="U706" i="15"/>
  <c r="V706" i="15"/>
  <c r="W706" i="15"/>
  <c r="X706" i="15"/>
  <c r="Y706" i="15"/>
  <c r="Z706" i="15"/>
  <c r="AA706" i="15"/>
  <c r="AB706" i="15"/>
  <c r="AC706" i="15"/>
  <c r="AD706" i="15"/>
  <c r="AE706" i="15"/>
  <c r="AF706" i="15"/>
  <c r="AG706" i="15"/>
  <c r="AH706" i="15"/>
  <c r="AI706" i="15"/>
  <c r="AJ706" i="15"/>
  <c r="AK706" i="15"/>
  <c r="AL706" i="15"/>
  <c r="AM706" i="15"/>
  <c r="AN706" i="15"/>
  <c r="AO706" i="15"/>
  <c r="S707" i="15"/>
  <c r="T707" i="15"/>
  <c r="U707" i="15"/>
  <c r="V707" i="15"/>
  <c r="W707" i="15"/>
  <c r="X707" i="15"/>
  <c r="Y707" i="15"/>
  <c r="Z707" i="15"/>
  <c r="AA707" i="15"/>
  <c r="AB707" i="15"/>
  <c r="AC707" i="15"/>
  <c r="AD707" i="15"/>
  <c r="AE707" i="15"/>
  <c r="AF707" i="15"/>
  <c r="AG707" i="15"/>
  <c r="AH707" i="15"/>
  <c r="AI707" i="15"/>
  <c r="AJ707" i="15"/>
  <c r="AK707" i="15"/>
  <c r="AL707" i="15"/>
  <c r="AM707" i="15"/>
  <c r="AN707" i="15"/>
  <c r="AO707" i="15"/>
  <c r="S708" i="15"/>
  <c r="T708" i="15"/>
  <c r="U708" i="15"/>
  <c r="V708" i="15"/>
  <c r="W708" i="15"/>
  <c r="X708" i="15"/>
  <c r="Y708" i="15"/>
  <c r="Z708" i="15"/>
  <c r="AA708" i="15"/>
  <c r="AB708" i="15"/>
  <c r="AC708" i="15"/>
  <c r="AD708" i="15"/>
  <c r="AE708" i="15"/>
  <c r="AF708" i="15"/>
  <c r="AG708" i="15"/>
  <c r="AH708" i="15"/>
  <c r="AI708" i="15"/>
  <c r="AJ708" i="15"/>
  <c r="AK708" i="15"/>
  <c r="AL708" i="15"/>
  <c r="AM708" i="15"/>
  <c r="AN708" i="15"/>
  <c r="AO708" i="15"/>
  <c r="S709" i="15"/>
  <c r="T709" i="15"/>
  <c r="U709" i="15"/>
  <c r="V709" i="15"/>
  <c r="W709" i="15"/>
  <c r="X709" i="15"/>
  <c r="Y709" i="15"/>
  <c r="Z709" i="15"/>
  <c r="AA709" i="15"/>
  <c r="AB709" i="15"/>
  <c r="AC709" i="15"/>
  <c r="AD709" i="15"/>
  <c r="AE709" i="15"/>
  <c r="AF709" i="15"/>
  <c r="AG709" i="15"/>
  <c r="AH709" i="15"/>
  <c r="AI709" i="15"/>
  <c r="AJ709" i="15"/>
  <c r="AK709" i="15"/>
  <c r="AL709" i="15"/>
  <c r="AM709" i="15"/>
  <c r="AN709" i="15"/>
  <c r="AO709" i="15"/>
  <c r="S710" i="15"/>
  <c r="T710" i="15"/>
  <c r="U710" i="15"/>
  <c r="V710" i="15"/>
  <c r="W710" i="15"/>
  <c r="X710" i="15"/>
  <c r="Y710" i="15"/>
  <c r="Z710" i="15"/>
  <c r="AA710" i="15"/>
  <c r="AB710" i="15"/>
  <c r="AC710" i="15"/>
  <c r="AD710" i="15"/>
  <c r="AE710" i="15"/>
  <c r="AF710" i="15"/>
  <c r="AG710" i="15"/>
  <c r="AH710" i="15"/>
  <c r="AI710" i="15"/>
  <c r="AJ710" i="15"/>
  <c r="AK710" i="15"/>
  <c r="AL710" i="15"/>
  <c r="AM710" i="15"/>
  <c r="AN710" i="15"/>
  <c r="AO710" i="15"/>
  <c r="S711" i="15"/>
  <c r="T711" i="15"/>
  <c r="U711" i="15"/>
  <c r="V711" i="15"/>
  <c r="W711" i="15"/>
  <c r="X711" i="15"/>
  <c r="Y711" i="15"/>
  <c r="Z711" i="15"/>
  <c r="AA711" i="15"/>
  <c r="AB711" i="15"/>
  <c r="AC711" i="15"/>
  <c r="AD711" i="15"/>
  <c r="AE711" i="15"/>
  <c r="AF711" i="15"/>
  <c r="AG711" i="15"/>
  <c r="AH711" i="15"/>
  <c r="AI711" i="15"/>
  <c r="AJ711" i="15"/>
  <c r="AK711" i="15"/>
  <c r="AL711" i="15"/>
  <c r="AM711" i="15"/>
  <c r="AN711" i="15"/>
  <c r="AO711" i="15"/>
  <c r="S712" i="15"/>
  <c r="T712" i="15"/>
  <c r="U712" i="15"/>
  <c r="V712" i="15"/>
  <c r="W712" i="15"/>
  <c r="X712" i="15"/>
  <c r="Y712" i="15"/>
  <c r="Z712" i="15"/>
  <c r="AA712" i="15"/>
  <c r="AB712" i="15"/>
  <c r="AC712" i="15"/>
  <c r="AD712" i="15"/>
  <c r="AE712" i="15"/>
  <c r="AF712" i="15"/>
  <c r="AG712" i="15"/>
  <c r="AH712" i="15"/>
  <c r="AI712" i="15"/>
  <c r="AJ712" i="15"/>
  <c r="AK712" i="15"/>
  <c r="AL712" i="15"/>
  <c r="AM712" i="15"/>
  <c r="AN712" i="15"/>
  <c r="AO712" i="15"/>
  <c r="S713" i="15"/>
  <c r="T713" i="15"/>
  <c r="U713" i="15"/>
  <c r="V713" i="15"/>
  <c r="W713" i="15"/>
  <c r="X713" i="15"/>
  <c r="Y713" i="15"/>
  <c r="Z713" i="15"/>
  <c r="AA713" i="15"/>
  <c r="AB713" i="15"/>
  <c r="AC713" i="15"/>
  <c r="AD713" i="15"/>
  <c r="AE713" i="15"/>
  <c r="AF713" i="15"/>
  <c r="AG713" i="15"/>
  <c r="AH713" i="15"/>
  <c r="AI713" i="15"/>
  <c r="AJ713" i="15"/>
  <c r="AK713" i="15"/>
  <c r="AL713" i="15"/>
  <c r="AM713" i="15"/>
  <c r="AN713" i="15"/>
  <c r="AO713" i="15"/>
  <c r="S714" i="15"/>
  <c r="T714" i="15"/>
  <c r="U714" i="15"/>
  <c r="V714" i="15"/>
  <c r="W714" i="15"/>
  <c r="X714" i="15"/>
  <c r="Y714" i="15"/>
  <c r="Z714" i="15"/>
  <c r="AA714" i="15"/>
  <c r="AB714" i="15"/>
  <c r="AC714" i="15"/>
  <c r="AD714" i="15"/>
  <c r="AE714" i="15"/>
  <c r="AF714" i="15"/>
  <c r="AG714" i="15"/>
  <c r="AH714" i="15"/>
  <c r="AI714" i="15"/>
  <c r="AJ714" i="15"/>
  <c r="AK714" i="15"/>
  <c r="AL714" i="15"/>
  <c r="AM714" i="15"/>
  <c r="AN714" i="15"/>
  <c r="AO714" i="15"/>
  <c r="S715" i="15"/>
  <c r="T715" i="15"/>
  <c r="U715" i="15"/>
  <c r="V715" i="15"/>
  <c r="W715" i="15"/>
  <c r="X715" i="15"/>
  <c r="Y715" i="15"/>
  <c r="Z715" i="15"/>
  <c r="AA715" i="15"/>
  <c r="AB715" i="15"/>
  <c r="AC715" i="15"/>
  <c r="AD715" i="15"/>
  <c r="AE715" i="15"/>
  <c r="AF715" i="15"/>
  <c r="AG715" i="15"/>
  <c r="AH715" i="15"/>
  <c r="AI715" i="15"/>
  <c r="AJ715" i="15"/>
  <c r="AK715" i="15"/>
  <c r="AL715" i="15"/>
  <c r="AM715" i="15"/>
  <c r="AN715" i="15"/>
  <c r="AO715" i="15"/>
  <c r="S716" i="15"/>
  <c r="T716" i="15"/>
  <c r="U716" i="15"/>
  <c r="V716" i="15"/>
  <c r="W716" i="15"/>
  <c r="X716" i="15"/>
  <c r="Y716" i="15"/>
  <c r="Z716" i="15"/>
  <c r="AA716" i="15"/>
  <c r="AB716" i="15"/>
  <c r="AC716" i="15"/>
  <c r="AD716" i="15"/>
  <c r="AE716" i="15"/>
  <c r="AF716" i="15"/>
  <c r="AG716" i="15"/>
  <c r="AH716" i="15"/>
  <c r="AI716" i="15"/>
  <c r="AJ716" i="15"/>
  <c r="AK716" i="15"/>
  <c r="AL716" i="15"/>
  <c r="AM716" i="15"/>
  <c r="AN716" i="15"/>
  <c r="AO716" i="15"/>
  <c r="S717" i="15"/>
  <c r="T717" i="15"/>
  <c r="U717" i="15"/>
  <c r="V717" i="15"/>
  <c r="W717" i="15"/>
  <c r="X717" i="15"/>
  <c r="Y717" i="15"/>
  <c r="Z717" i="15"/>
  <c r="AA717" i="15"/>
  <c r="AB717" i="15"/>
  <c r="AC717" i="15"/>
  <c r="AD717" i="15"/>
  <c r="AE717" i="15"/>
  <c r="AF717" i="15"/>
  <c r="AG717" i="15"/>
  <c r="AH717" i="15"/>
  <c r="AI717" i="15"/>
  <c r="AJ717" i="15"/>
  <c r="AK717" i="15"/>
  <c r="AL717" i="15"/>
  <c r="AM717" i="15"/>
  <c r="AN717" i="15"/>
  <c r="AO717" i="15"/>
  <c r="S718" i="15"/>
  <c r="T718" i="15"/>
  <c r="U718" i="15"/>
  <c r="V718" i="15"/>
  <c r="W718" i="15"/>
  <c r="X718" i="15"/>
  <c r="Y718" i="15"/>
  <c r="Z718" i="15"/>
  <c r="AA718" i="15"/>
  <c r="AB718" i="15"/>
  <c r="AC718" i="15"/>
  <c r="AD718" i="15"/>
  <c r="AE718" i="15"/>
  <c r="AF718" i="15"/>
  <c r="AG718" i="15"/>
  <c r="AH718" i="15"/>
  <c r="AI718" i="15"/>
  <c r="AJ718" i="15"/>
  <c r="AK718" i="15"/>
  <c r="AL718" i="15"/>
  <c r="AM718" i="15"/>
  <c r="AN718" i="15"/>
  <c r="AO718" i="15"/>
  <c r="S719" i="15"/>
  <c r="T719" i="15"/>
  <c r="U719" i="15"/>
  <c r="V719" i="15"/>
  <c r="W719" i="15"/>
  <c r="X719" i="15"/>
  <c r="Y719" i="15"/>
  <c r="Z719" i="15"/>
  <c r="AA719" i="15"/>
  <c r="AB719" i="15"/>
  <c r="AC719" i="15"/>
  <c r="AD719" i="15"/>
  <c r="AE719" i="15"/>
  <c r="AF719" i="15"/>
  <c r="AG719" i="15"/>
  <c r="AH719" i="15"/>
  <c r="AI719" i="15"/>
  <c r="AJ719" i="15"/>
  <c r="AK719" i="15"/>
  <c r="AL719" i="15"/>
  <c r="AM719" i="15"/>
  <c r="AN719" i="15"/>
  <c r="AO719" i="15"/>
  <c r="S720" i="15"/>
  <c r="T720" i="15"/>
  <c r="U720" i="15"/>
  <c r="V720" i="15"/>
  <c r="W720" i="15"/>
  <c r="X720" i="15"/>
  <c r="Y720" i="15"/>
  <c r="Z720" i="15"/>
  <c r="AA720" i="15"/>
  <c r="AB720" i="15"/>
  <c r="AC720" i="15"/>
  <c r="AD720" i="15"/>
  <c r="AE720" i="15"/>
  <c r="AF720" i="15"/>
  <c r="AG720" i="15"/>
  <c r="AH720" i="15"/>
  <c r="AI720" i="15"/>
  <c r="AJ720" i="15"/>
  <c r="AK720" i="15"/>
  <c r="AL720" i="15"/>
  <c r="AM720" i="15"/>
  <c r="AN720" i="15"/>
  <c r="AO720" i="15"/>
  <c r="S721" i="15"/>
  <c r="T721" i="15"/>
  <c r="U721" i="15"/>
  <c r="V721" i="15"/>
  <c r="W721" i="15"/>
  <c r="X721" i="15"/>
  <c r="Y721" i="15"/>
  <c r="Z721" i="15"/>
  <c r="AA721" i="15"/>
  <c r="AB721" i="15"/>
  <c r="AC721" i="15"/>
  <c r="AD721" i="15"/>
  <c r="AE721" i="15"/>
  <c r="AF721" i="15"/>
  <c r="AG721" i="15"/>
  <c r="AH721" i="15"/>
  <c r="AI721" i="15"/>
  <c r="AJ721" i="15"/>
  <c r="AK721" i="15"/>
  <c r="AL721" i="15"/>
  <c r="AM721" i="15"/>
  <c r="AN721" i="15"/>
  <c r="AO721" i="15"/>
  <c r="S722" i="15"/>
  <c r="T722" i="15"/>
  <c r="U722" i="15"/>
  <c r="V722" i="15"/>
  <c r="W722" i="15"/>
  <c r="X722" i="15"/>
  <c r="Y722" i="15"/>
  <c r="Z722" i="15"/>
  <c r="AA722" i="15"/>
  <c r="AB722" i="15"/>
  <c r="AC722" i="15"/>
  <c r="AD722" i="15"/>
  <c r="AE722" i="15"/>
  <c r="AF722" i="15"/>
  <c r="AG722" i="15"/>
  <c r="AH722" i="15"/>
  <c r="AI722" i="15"/>
  <c r="AJ722" i="15"/>
  <c r="AK722" i="15"/>
  <c r="AL722" i="15"/>
  <c r="AM722" i="15"/>
  <c r="AN722" i="15"/>
  <c r="AO722" i="15"/>
  <c r="S723" i="15"/>
  <c r="T723" i="15"/>
  <c r="U723" i="15"/>
  <c r="V723" i="15"/>
  <c r="W723" i="15"/>
  <c r="X723" i="15"/>
  <c r="Y723" i="15"/>
  <c r="Z723" i="15"/>
  <c r="AA723" i="15"/>
  <c r="AB723" i="15"/>
  <c r="AC723" i="15"/>
  <c r="AD723" i="15"/>
  <c r="AE723" i="15"/>
  <c r="AF723" i="15"/>
  <c r="AG723" i="15"/>
  <c r="AH723" i="15"/>
  <c r="AI723" i="15"/>
  <c r="AJ723" i="15"/>
  <c r="AK723" i="15"/>
  <c r="AL723" i="15"/>
  <c r="AM723" i="15"/>
  <c r="AN723" i="15"/>
  <c r="AO723" i="15"/>
  <c r="S724" i="15"/>
  <c r="T724" i="15"/>
  <c r="U724" i="15"/>
  <c r="V724" i="15"/>
  <c r="W724" i="15"/>
  <c r="X724" i="15"/>
  <c r="Y724" i="15"/>
  <c r="Z724" i="15"/>
  <c r="AA724" i="15"/>
  <c r="AB724" i="15"/>
  <c r="AC724" i="15"/>
  <c r="AD724" i="15"/>
  <c r="AE724" i="15"/>
  <c r="AF724" i="15"/>
  <c r="AG724" i="15"/>
  <c r="AH724" i="15"/>
  <c r="AI724" i="15"/>
  <c r="AJ724" i="15"/>
  <c r="AK724" i="15"/>
  <c r="AL724" i="15"/>
  <c r="AM724" i="15"/>
  <c r="AN724" i="15"/>
  <c r="AO724" i="15"/>
  <c r="S725" i="15"/>
  <c r="T725" i="15"/>
  <c r="U725" i="15"/>
  <c r="V725" i="15"/>
  <c r="W725" i="15"/>
  <c r="X725" i="15"/>
  <c r="Y725" i="15"/>
  <c r="Z725" i="15"/>
  <c r="AA725" i="15"/>
  <c r="AB725" i="15"/>
  <c r="AC725" i="15"/>
  <c r="AD725" i="15"/>
  <c r="AE725" i="15"/>
  <c r="AF725" i="15"/>
  <c r="AG725" i="15"/>
  <c r="AH725" i="15"/>
  <c r="AI725" i="15"/>
  <c r="AJ725" i="15"/>
  <c r="AK725" i="15"/>
  <c r="AL725" i="15"/>
  <c r="AM725" i="15"/>
  <c r="AN725" i="15"/>
  <c r="AO725" i="15"/>
  <c r="S726" i="15"/>
  <c r="T726" i="15"/>
  <c r="U726" i="15"/>
  <c r="V726" i="15"/>
  <c r="W726" i="15"/>
  <c r="X726" i="15"/>
  <c r="Y726" i="15"/>
  <c r="Z726" i="15"/>
  <c r="AA726" i="15"/>
  <c r="AB726" i="15"/>
  <c r="AC726" i="15"/>
  <c r="AD726" i="15"/>
  <c r="AE726" i="15"/>
  <c r="AF726" i="15"/>
  <c r="AG726" i="15"/>
  <c r="AH726" i="15"/>
  <c r="AI726" i="15"/>
  <c r="AJ726" i="15"/>
  <c r="AK726" i="15"/>
  <c r="AL726" i="15"/>
  <c r="AM726" i="15"/>
  <c r="AN726" i="15"/>
  <c r="AO726" i="15"/>
  <c r="S727" i="15"/>
  <c r="T727" i="15"/>
  <c r="U727" i="15"/>
  <c r="V727" i="15"/>
  <c r="W727" i="15"/>
  <c r="X727" i="15"/>
  <c r="Y727" i="15"/>
  <c r="Z727" i="15"/>
  <c r="AA727" i="15"/>
  <c r="AB727" i="15"/>
  <c r="AC727" i="15"/>
  <c r="AD727" i="15"/>
  <c r="AE727" i="15"/>
  <c r="AF727" i="15"/>
  <c r="AG727" i="15"/>
  <c r="AH727" i="15"/>
  <c r="AI727" i="15"/>
  <c r="AJ727" i="15"/>
  <c r="AK727" i="15"/>
  <c r="AL727" i="15"/>
  <c r="AM727" i="15"/>
  <c r="AN727" i="15"/>
  <c r="AO727" i="15"/>
  <c r="S728" i="15"/>
  <c r="T728" i="15"/>
  <c r="U728" i="15"/>
  <c r="V728" i="15"/>
  <c r="W728" i="15"/>
  <c r="X728" i="15"/>
  <c r="Y728" i="15"/>
  <c r="Z728" i="15"/>
  <c r="AA728" i="15"/>
  <c r="AB728" i="15"/>
  <c r="AC728" i="15"/>
  <c r="AD728" i="15"/>
  <c r="AE728" i="15"/>
  <c r="AF728" i="15"/>
  <c r="AG728" i="15"/>
  <c r="AH728" i="15"/>
  <c r="AI728" i="15"/>
  <c r="AJ728" i="15"/>
  <c r="AK728" i="15"/>
  <c r="AL728" i="15"/>
  <c r="AM728" i="15"/>
  <c r="AN728" i="15"/>
  <c r="AO728" i="15"/>
  <c r="S729" i="15"/>
  <c r="T729" i="15"/>
  <c r="U729" i="15"/>
  <c r="V729" i="15"/>
  <c r="W729" i="15"/>
  <c r="X729" i="15"/>
  <c r="Y729" i="15"/>
  <c r="Z729" i="15"/>
  <c r="AA729" i="15"/>
  <c r="AB729" i="15"/>
  <c r="AC729" i="15"/>
  <c r="AD729" i="15"/>
  <c r="AE729" i="15"/>
  <c r="AF729" i="15"/>
  <c r="AG729" i="15"/>
  <c r="AH729" i="15"/>
  <c r="AI729" i="15"/>
  <c r="AJ729" i="15"/>
  <c r="AK729" i="15"/>
  <c r="AL729" i="15"/>
  <c r="AM729" i="15"/>
  <c r="AN729" i="15"/>
  <c r="AO729" i="15"/>
  <c r="S730" i="15"/>
  <c r="T730" i="15"/>
  <c r="U730" i="15"/>
  <c r="V730" i="15"/>
  <c r="W730" i="15"/>
  <c r="X730" i="15"/>
  <c r="Y730" i="15"/>
  <c r="Z730" i="15"/>
  <c r="AA730" i="15"/>
  <c r="AB730" i="15"/>
  <c r="AC730" i="15"/>
  <c r="AD730" i="15"/>
  <c r="AE730" i="15"/>
  <c r="AF730" i="15"/>
  <c r="AG730" i="15"/>
  <c r="AH730" i="15"/>
  <c r="AI730" i="15"/>
  <c r="AJ730" i="15"/>
  <c r="AK730" i="15"/>
  <c r="AL730" i="15"/>
  <c r="AM730" i="15"/>
  <c r="AN730" i="15"/>
  <c r="AO730" i="15"/>
  <c r="S731" i="15"/>
  <c r="T731" i="15"/>
  <c r="U731" i="15"/>
  <c r="V731" i="15"/>
  <c r="W731" i="15"/>
  <c r="X731" i="15"/>
  <c r="Y731" i="15"/>
  <c r="Z731" i="15"/>
  <c r="AA731" i="15"/>
  <c r="AB731" i="15"/>
  <c r="AC731" i="15"/>
  <c r="AD731" i="15"/>
  <c r="AE731" i="15"/>
  <c r="AF731" i="15"/>
  <c r="AG731" i="15"/>
  <c r="AH731" i="15"/>
  <c r="AI731" i="15"/>
  <c r="AJ731" i="15"/>
  <c r="AK731" i="15"/>
  <c r="AL731" i="15"/>
  <c r="AM731" i="15"/>
  <c r="AN731" i="15"/>
  <c r="AO731" i="15"/>
  <c r="S732" i="15"/>
  <c r="T732" i="15"/>
  <c r="U732" i="15"/>
  <c r="V732" i="15"/>
  <c r="W732" i="15"/>
  <c r="X732" i="15"/>
  <c r="Y732" i="15"/>
  <c r="Z732" i="15"/>
  <c r="AA732" i="15"/>
  <c r="AB732" i="15"/>
  <c r="AC732" i="15"/>
  <c r="AD732" i="15"/>
  <c r="AE732" i="15"/>
  <c r="AF732" i="15"/>
  <c r="AG732" i="15"/>
  <c r="AH732" i="15"/>
  <c r="AI732" i="15"/>
  <c r="AJ732" i="15"/>
  <c r="AK732" i="15"/>
  <c r="AL732" i="15"/>
  <c r="AM732" i="15"/>
  <c r="AN732" i="15"/>
  <c r="AO732" i="15"/>
  <c r="S733" i="15"/>
  <c r="T733" i="15"/>
  <c r="U733" i="15"/>
  <c r="V733" i="15"/>
  <c r="W733" i="15"/>
  <c r="X733" i="15"/>
  <c r="Y733" i="15"/>
  <c r="Z733" i="15"/>
  <c r="AA733" i="15"/>
  <c r="AB733" i="15"/>
  <c r="AC733" i="15"/>
  <c r="AD733" i="15"/>
  <c r="AE733" i="15"/>
  <c r="AF733" i="15"/>
  <c r="AG733" i="15"/>
  <c r="AH733" i="15"/>
  <c r="AI733" i="15"/>
  <c r="AJ733" i="15"/>
  <c r="AK733" i="15"/>
  <c r="AL733" i="15"/>
  <c r="AM733" i="15"/>
  <c r="AN733" i="15"/>
  <c r="AO733" i="15"/>
  <c r="S734" i="15"/>
  <c r="T734" i="15"/>
  <c r="U734" i="15"/>
  <c r="V734" i="15"/>
  <c r="W734" i="15"/>
  <c r="X734" i="15"/>
  <c r="Y734" i="15"/>
  <c r="Z734" i="15"/>
  <c r="AA734" i="15"/>
  <c r="AB734" i="15"/>
  <c r="AC734" i="15"/>
  <c r="AD734" i="15"/>
  <c r="AE734" i="15"/>
  <c r="AF734" i="15"/>
  <c r="AG734" i="15"/>
  <c r="AH734" i="15"/>
  <c r="AI734" i="15"/>
  <c r="AJ734" i="15"/>
  <c r="AK734" i="15"/>
  <c r="AL734" i="15"/>
  <c r="AM734" i="15"/>
  <c r="AN734" i="15"/>
  <c r="AO734" i="15"/>
  <c r="S735" i="15"/>
  <c r="T735" i="15"/>
  <c r="U735" i="15"/>
  <c r="V735" i="15"/>
  <c r="W735" i="15"/>
  <c r="X735" i="15"/>
  <c r="Y735" i="15"/>
  <c r="Z735" i="15"/>
  <c r="AA735" i="15"/>
  <c r="AB735" i="15"/>
  <c r="AC735" i="15"/>
  <c r="AD735" i="15"/>
  <c r="AE735" i="15"/>
  <c r="AF735" i="15"/>
  <c r="AG735" i="15"/>
  <c r="AH735" i="15"/>
  <c r="AI735" i="15"/>
  <c r="AJ735" i="15"/>
  <c r="AK735" i="15"/>
  <c r="AL735" i="15"/>
  <c r="AM735" i="15"/>
  <c r="AN735" i="15"/>
  <c r="AO735" i="15"/>
  <c r="S736" i="15"/>
  <c r="T736" i="15"/>
  <c r="U736" i="15"/>
  <c r="V736" i="15"/>
  <c r="W736" i="15"/>
  <c r="X736" i="15"/>
  <c r="Y736" i="15"/>
  <c r="Z736" i="15"/>
  <c r="AA736" i="15"/>
  <c r="AB736" i="15"/>
  <c r="AC736" i="15"/>
  <c r="AD736" i="15"/>
  <c r="AE736" i="15"/>
  <c r="AF736" i="15"/>
  <c r="AG736" i="15"/>
  <c r="AH736" i="15"/>
  <c r="AI736" i="15"/>
  <c r="AJ736" i="15"/>
  <c r="AK736" i="15"/>
  <c r="AL736" i="15"/>
  <c r="AM736" i="15"/>
  <c r="AN736" i="15"/>
  <c r="AO736" i="15"/>
  <c r="S737" i="15"/>
  <c r="T737" i="15"/>
  <c r="U737" i="15"/>
  <c r="V737" i="15"/>
  <c r="W737" i="15"/>
  <c r="X737" i="15"/>
  <c r="Y737" i="15"/>
  <c r="Z737" i="15"/>
  <c r="AA737" i="15"/>
  <c r="AB737" i="15"/>
  <c r="AC737" i="15"/>
  <c r="AD737" i="15"/>
  <c r="AE737" i="15"/>
  <c r="AF737" i="15"/>
  <c r="AG737" i="15"/>
  <c r="AH737" i="15"/>
  <c r="AI737" i="15"/>
  <c r="AJ737" i="15"/>
  <c r="AK737" i="15"/>
  <c r="AL737" i="15"/>
  <c r="AM737" i="15"/>
  <c r="AN737" i="15"/>
  <c r="AO737" i="15"/>
  <c r="S738" i="15"/>
  <c r="T738" i="15"/>
  <c r="U738" i="15"/>
  <c r="V738" i="15"/>
  <c r="W738" i="15"/>
  <c r="X738" i="15"/>
  <c r="Y738" i="15"/>
  <c r="Z738" i="15"/>
  <c r="AA738" i="15"/>
  <c r="AB738" i="15"/>
  <c r="AC738" i="15"/>
  <c r="AD738" i="15"/>
  <c r="AE738" i="15"/>
  <c r="AF738" i="15"/>
  <c r="AG738" i="15"/>
  <c r="AH738" i="15"/>
  <c r="AI738" i="15"/>
  <c r="AJ738" i="15"/>
  <c r="AK738" i="15"/>
  <c r="AL738" i="15"/>
  <c r="AM738" i="15"/>
  <c r="AN738" i="15"/>
  <c r="AO738" i="15"/>
  <c r="S739" i="15"/>
  <c r="T739" i="15"/>
  <c r="U739" i="15"/>
  <c r="V739" i="15"/>
  <c r="W739" i="15"/>
  <c r="X739" i="15"/>
  <c r="Y739" i="15"/>
  <c r="Z739" i="15"/>
  <c r="AA739" i="15"/>
  <c r="AB739" i="15"/>
  <c r="AC739" i="15"/>
  <c r="AD739" i="15"/>
  <c r="AE739" i="15"/>
  <c r="AF739" i="15"/>
  <c r="AG739" i="15"/>
  <c r="AH739" i="15"/>
  <c r="AI739" i="15"/>
  <c r="AJ739" i="15"/>
  <c r="AK739" i="15"/>
  <c r="AL739" i="15"/>
  <c r="AM739" i="15"/>
  <c r="AN739" i="15"/>
  <c r="AO739" i="15"/>
  <c r="S740" i="15"/>
  <c r="T740" i="15"/>
  <c r="U740" i="15"/>
  <c r="V740" i="15"/>
  <c r="W740" i="15"/>
  <c r="X740" i="15"/>
  <c r="Y740" i="15"/>
  <c r="Z740" i="15"/>
  <c r="AA740" i="15"/>
  <c r="AB740" i="15"/>
  <c r="AC740" i="15"/>
  <c r="AD740" i="15"/>
  <c r="AE740" i="15"/>
  <c r="AF740" i="15"/>
  <c r="AG740" i="15"/>
  <c r="AH740" i="15"/>
  <c r="AI740" i="15"/>
  <c r="AJ740" i="15"/>
  <c r="AK740" i="15"/>
  <c r="AL740" i="15"/>
  <c r="AM740" i="15"/>
  <c r="AN740" i="15"/>
  <c r="AO740" i="15"/>
  <c r="S741" i="15"/>
  <c r="T741" i="15"/>
  <c r="U741" i="15"/>
  <c r="V741" i="15"/>
  <c r="W741" i="15"/>
  <c r="X741" i="15"/>
  <c r="Y741" i="15"/>
  <c r="Z741" i="15"/>
  <c r="AA741" i="15"/>
  <c r="AB741" i="15"/>
  <c r="AC741" i="15"/>
  <c r="AD741" i="15"/>
  <c r="AE741" i="15"/>
  <c r="AF741" i="15"/>
  <c r="AG741" i="15"/>
  <c r="AH741" i="15"/>
  <c r="AI741" i="15"/>
  <c r="AJ741" i="15"/>
  <c r="AK741" i="15"/>
  <c r="AL741" i="15"/>
  <c r="AM741" i="15"/>
  <c r="AN741" i="15"/>
  <c r="AO741" i="15"/>
  <c r="S742" i="15"/>
  <c r="T742" i="15"/>
  <c r="U742" i="15"/>
  <c r="V742" i="15"/>
  <c r="W742" i="15"/>
  <c r="X742" i="15"/>
  <c r="Y742" i="15"/>
  <c r="Z742" i="15"/>
  <c r="AA742" i="15"/>
  <c r="AB742" i="15"/>
  <c r="AC742" i="15"/>
  <c r="AD742" i="15"/>
  <c r="AE742" i="15"/>
  <c r="AF742" i="15"/>
  <c r="AG742" i="15"/>
  <c r="AH742" i="15"/>
  <c r="AI742" i="15"/>
  <c r="AJ742" i="15"/>
  <c r="AK742" i="15"/>
  <c r="AL742" i="15"/>
  <c r="AM742" i="15"/>
  <c r="AN742" i="15"/>
  <c r="AO742" i="15"/>
  <c r="S743" i="15"/>
  <c r="T743" i="15"/>
  <c r="U743" i="15"/>
  <c r="V743" i="15"/>
  <c r="W743" i="15"/>
  <c r="X743" i="15"/>
  <c r="Y743" i="15"/>
  <c r="Z743" i="15"/>
  <c r="AA743" i="15"/>
  <c r="AB743" i="15"/>
  <c r="AC743" i="15"/>
  <c r="AD743" i="15"/>
  <c r="AE743" i="15"/>
  <c r="AF743" i="15"/>
  <c r="AG743" i="15"/>
  <c r="AH743" i="15"/>
  <c r="AI743" i="15"/>
  <c r="AJ743" i="15"/>
  <c r="AK743" i="15"/>
  <c r="AL743" i="15"/>
  <c r="AM743" i="15"/>
  <c r="AN743" i="15"/>
  <c r="AO743" i="15"/>
  <c r="S744" i="15"/>
  <c r="T744" i="15"/>
  <c r="U744" i="15"/>
  <c r="V744" i="15"/>
  <c r="W744" i="15"/>
  <c r="X744" i="15"/>
  <c r="Y744" i="15"/>
  <c r="Z744" i="15"/>
  <c r="AA744" i="15"/>
  <c r="AB744" i="15"/>
  <c r="AC744" i="15"/>
  <c r="AD744" i="15"/>
  <c r="AE744" i="15"/>
  <c r="AF744" i="15"/>
  <c r="AG744" i="15"/>
  <c r="AH744" i="15"/>
  <c r="AI744" i="15"/>
  <c r="AJ744" i="15"/>
  <c r="AK744" i="15"/>
  <c r="AL744" i="15"/>
  <c r="AM744" i="15"/>
  <c r="AN744" i="15"/>
  <c r="AO744" i="15"/>
  <c r="S745" i="15"/>
  <c r="T745" i="15"/>
  <c r="U745" i="15"/>
  <c r="V745" i="15"/>
  <c r="W745" i="15"/>
  <c r="X745" i="15"/>
  <c r="Y745" i="15"/>
  <c r="Z745" i="15"/>
  <c r="AA745" i="15"/>
  <c r="AB745" i="15"/>
  <c r="AC745" i="15"/>
  <c r="AD745" i="15"/>
  <c r="AE745" i="15"/>
  <c r="AF745" i="15"/>
  <c r="AG745" i="15"/>
  <c r="AH745" i="15"/>
  <c r="AI745" i="15"/>
  <c r="AJ745" i="15"/>
  <c r="AK745" i="15"/>
  <c r="AL745" i="15"/>
  <c r="AM745" i="15"/>
  <c r="AN745" i="15"/>
  <c r="AO745" i="15"/>
  <c r="S746" i="15"/>
  <c r="T746" i="15"/>
  <c r="U746" i="15"/>
  <c r="V746" i="15"/>
  <c r="W746" i="15"/>
  <c r="X746" i="15"/>
  <c r="Y746" i="15"/>
  <c r="Z746" i="15"/>
  <c r="AA746" i="15"/>
  <c r="AB746" i="15"/>
  <c r="AC746" i="15"/>
  <c r="AD746" i="15"/>
  <c r="AE746" i="15"/>
  <c r="AF746" i="15"/>
  <c r="AG746" i="15"/>
  <c r="AH746" i="15"/>
  <c r="AI746" i="15"/>
  <c r="AJ746" i="15"/>
  <c r="AK746" i="15"/>
  <c r="AL746" i="15"/>
  <c r="AM746" i="15"/>
  <c r="AN746" i="15"/>
  <c r="AO746" i="15"/>
  <c r="S747" i="15"/>
  <c r="T747" i="15"/>
  <c r="U747" i="15"/>
  <c r="V747" i="15"/>
  <c r="W747" i="15"/>
  <c r="X747" i="15"/>
  <c r="Y747" i="15"/>
  <c r="Z747" i="15"/>
  <c r="AA747" i="15"/>
  <c r="AB747" i="15"/>
  <c r="AC747" i="15"/>
  <c r="AD747" i="15"/>
  <c r="AE747" i="15"/>
  <c r="AF747" i="15"/>
  <c r="AG747" i="15"/>
  <c r="AH747" i="15"/>
  <c r="AI747" i="15"/>
  <c r="AJ747" i="15"/>
  <c r="AK747" i="15"/>
  <c r="AL747" i="15"/>
  <c r="AM747" i="15"/>
  <c r="AN747" i="15"/>
  <c r="AO747" i="15"/>
  <c r="S748" i="15"/>
  <c r="T748" i="15"/>
  <c r="U748" i="15"/>
  <c r="V748" i="15"/>
  <c r="W748" i="15"/>
  <c r="X748" i="15"/>
  <c r="Y748" i="15"/>
  <c r="Z748" i="15"/>
  <c r="AA748" i="15"/>
  <c r="AB748" i="15"/>
  <c r="AC748" i="15"/>
  <c r="AD748" i="15"/>
  <c r="AE748" i="15"/>
  <c r="AF748" i="15"/>
  <c r="AG748" i="15"/>
  <c r="AH748" i="15"/>
  <c r="AI748" i="15"/>
  <c r="AJ748" i="15"/>
  <c r="AK748" i="15"/>
  <c r="AL748" i="15"/>
  <c r="AM748" i="15"/>
  <c r="AN748" i="15"/>
  <c r="AO748" i="15"/>
  <c r="S749" i="15"/>
  <c r="T749" i="15"/>
  <c r="U749" i="15"/>
  <c r="V749" i="15"/>
  <c r="W749" i="15"/>
  <c r="X749" i="15"/>
  <c r="Y749" i="15"/>
  <c r="Z749" i="15"/>
  <c r="AA749" i="15"/>
  <c r="AB749" i="15"/>
  <c r="AC749" i="15"/>
  <c r="AD749" i="15"/>
  <c r="AE749" i="15"/>
  <c r="AF749" i="15"/>
  <c r="AG749" i="15"/>
  <c r="AH749" i="15"/>
  <c r="AI749" i="15"/>
  <c r="AJ749" i="15"/>
  <c r="AK749" i="15"/>
  <c r="AL749" i="15"/>
  <c r="AM749" i="15"/>
  <c r="AN749" i="15"/>
  <c r="AO749" i="15"/>
  <c r="S750" i="15"/>
  <c r="T750" i="15"/>
  <c r="U750" i="15"/>
  <c r="V750" i="15"/>
  <c r="W750" i="15"/>
  <c r="X750" i="15"/>
  <c r="Y750" i="15"/>
  <c r="Z750" i="15"/>
  <c r="AA750" i="15"/>
  <c r="AB750" i="15"/>
  <c r="AC750" i="15"/>
  <c r="AD750" i="15"/>
  <c r="AE750" i="15"/>
  <c r="AF750" i="15"/>
  <c r="AG750" i="15"/>
  <c r="AH750" i="15"/>
  <c r="AI750" i="15"/>
  <c r="AJ750" i="15"/>
  <c r="AK750" i="15"/>
  <c r="AL750" i="15"/>
  <c r="AM750" i="15"/>
  <c r="AN750" i="15"/>
  <c r="AO750" i="15"/>
  <c r="S751" i="15"/>
  <c r="T751" i="15"/>
  <c r="U751" i="15"/>
  <c r="V751" i="15"/>
  <c r="W751" i="15"/>
  <c r="X751" i="15"/>
  <c r="Y751" i="15"/>
  <c r="Z751" i="15"/>
  <c r="AA751" i="15"/>
  <c r="AB751" i="15"/>
  <c r="AC751" i="15"/>
  <c r="AD751" i="15"/>
  <c r="AE751" i="15"/>
  <c r="AF751" i="15"/>
  <c r="AG751" i="15"/>
  <c r="AH751" i="15"/>
  <c r="AI751" i="15"/>
  <c r="AJ751" i="15"/>
  <c r="AK751" i="15"/>
  <c r="AL751" i="15"/>
  <c r="AM751" i="15"/>
  <c r="AN751" i="15"/>
  <c r="AO751" i="15"/>
  <c r="S752" i="15"/>
  <c r="T752" i="15"/>
  <c r="U752" i="15"/>
  <c r="V752" i="15"/>
  <c r="W752" i="15"/>
  <c r="X752" i="15"/>
  <c r="Y752" i="15"/>
  <c r="Z752" i="15"/>
  <c r="AA752" i="15"/>
  <c r="AB752" i="15"/>
  <c r="AC752" i="15"/>
  <c r="AD752" i="15"/>
  <c r="AE752" i="15"/>
  <c r="AF752" i="15"/>
  <c r="AG752" i="15"/>
  <c r="AH752" i="15"/>
  <c r="AI752" i="15"/>
  <c r="AJ752" i="15"/>
  <c r="AK752" i="15"/>
  <c r="AL752" i="15"/>
  <c r="AM752" i="15"/>
  <c r="AN752" i="15"/>
  <c r="AO752" i="15"/>
  <c r="S753" i="15"/>
  <c r="T753" i="15"/>
  <c r="U753" i="15"/>
  <c r="V753" i="15"/>
  <c r="W753" i="15"/>
  <c r="X753" i="15"/>
  <c r="Y753" i="15"/>
  <c r="Z753" i="15"/>
  <c r="AA753" i="15"/>
  <c r="AB753" i="15"/>
  <c r="AC753" i="15"/>
  <c r="AD753" i="15"/>
  <c r="AE753" i="15"/>
  <c r="AF753" i="15"/>
  <c r="AG753" i="15"/>
  <c r="AH753" i="15"/>
  <c r="AI753" i="15"/>
  <c r="AJ753" i="15"/>
  <c r="AK753" i="15"/>
  <c r="AL753" i="15"/>
  <c r="AM753" i="15"/>
  <c r="AN753" i="15"/>
  <c r="AO753" i="15"/>
  <c r="S754" i="15"/>
  <c r="T754" i="15"/>
  <c r="U754" i="15"/>
  <c r="V754" i="15"/>
  <c r="W754" i="15"/>
  <c r="X754" i="15"/>
  <c r="Y754" i="15"/>
  <c r="Z754" i="15"/>
  <c r="AA754" i="15"/>
  <c r="AB754" i="15"/>
  <c r="AC754" i="15"/>
  <c r="AD754" i="15"/>
  <c r="AE754" i="15"/>
  <c r="AF754" i="15"/>
  <c r="AG754" i="15"/>
  <c r="AH754" i="15"/>
  <c r="AI754" i="15"/>
  <c r="AJ754" i="15"/>
  <c r="AK754" i="15"/>
  <c r="AL754" i="15"/>
  <c r="AM754" i="15"/>
  <c r="AN754" i="15"/>
  <c r="AO754" i="15"/>
  <c r="S755" i="15"/>
  <c r="T755" i="15"/>
  <c r="U755" i="15"/>
  <c r="V755" i="15"/>
  <c r="W755" i="15"/>
  <c r="X755" i="15"/>
  <c r="Y755" i="15"/>
  <c r="Z755" i="15"/>
  <c r="AA755" i="15"/>
  <c r="AB755" i="15"/>
  <c r="AC755" i="15"/>
  <c r="AD755" i="15"/>
  <c r="AE755" i="15"/>
  <c r="AF755" i="15"/>
  <c r="AG755" i="15"/>
  <c r="AH755" i="15"/>
  <c r="AI755" i="15"/>
  <c r="AJ755" i="15"/>
  <c r="AK755" i="15"/>
  <c r="AL755" i="15"/>
  <c r="AM755" i="15"/>
  <c r="AN755" i="15"/>
  <c r="AO755" i="15"/>
  <c r="S756" i="15"/>
  <c r="T756" i="15"/>
  <c r="U756" i="15"/>
  <c r="V756" i="15"/>
  <c r="W756" i="15"/>
  <c r="X756" i="15"/>
  <c r="Y756" i="15"/>
  <c r="Z756" i="15"/>
  <c r="AA756" i="15"/>
  <c r="AB756" i="15"/>
  <c r="AC756" i="15"/>
  <c r="AD756" i="15"/>
  <c r="AE756" i="15"/>
  <c r="AF756" i="15"/>
  <c r="AG756" i="15"/>
  <c r="AH756" i="15"/>
  <c r="AI756" i="15"/>
  <c r="AJ756" i="15"/>
  <c r="AK756" i="15"/>
  <c r="AL756" i="15"/>
  <c r="AM756" i="15"/>
  <c r="AN756" i="15"/>
  <c r="AO756" i="15"/>
  <c r="S757" i="15"/>
  <c r="T757" i="15"/>
  <c r="U757" i="15"/>
  <c r="V757" i="15"/>
  <c r="W757" i="15"/>
  <c r="X757" i="15"/>
  <c r="Y757" i="15"/>
  <c r="Z757" i="15"/>
  <c r="AA757" i="15"/>
  <c r="AB757" i="15"/>
  <c r="AC757" i="15"/>
  <c r="AD757" i="15"/>
  <c r="AE757" i="15"/>
  <c r="AF757" i="15"/>
  <c r="AG757" i="15"/>
  <c r="AH757" i="15"/>
  <c r="AI757" i="15"/>
  <c r="AJ757" i="15"/>
  <c r="AK757" i="15"/>
  <c r="AL757" i="15"/>
  <c r="AM757" i="15"/>
  <c r="AN757" i="15"/>
  <c r="AO757" i="15"/>
  <c r="S758" i="15"/>
  <c r="T758" i="15"/>
  <c r="U758" i="15"/>
  <c r="V758" i="15"/>
  <c r="W758" i="15"/>
  <c r="X758" i="15"/>
  <c r="Y758" i="15"/>
  <c r="Z758" i="15"/>
  <c r="AA758" i="15"/>
  <c r="AB758" i="15"/>
  <c r="AC758" i="15"/>
  <c r="AD758" i="15"/>
  <c r="AE758" i="15"/>
  <c r="AF758" i="15"/>
  <c r="AG758" i="15"/>
  <c r="AH758" i="15"/>
  <c r="AI758" i="15"/>
  <c r="AJ758" i="15"/>
  <c r="AK758" i="15"/>
  <c r="AL758" i="15"/>
  <c r="AM758" i="15"/>
  <c r="AN758" i="15"/>
  <c r="AO758" i="15"/>
  <c r="S759" i="15"/>
  <c r="T759" i="15"/>
  <c r="U759" i="15"/>
  <c r="V759" i="15"/>
  <c r="W759" i="15"/>
  <c r="X759" i="15"/>
  <c r="Y759" i="15"/>
  <c r="Z759" i="15"/>
  <c r="AA759" i="15"/>
  <c r="AB759" i="15"/>
  <c r="AC759" i="15"/>
  <c r="AD759" i="15"/>
  <c r="AE759" i="15"/>
  <c r="AF759" i="15"/>
  <c r="AG759" i="15"/>
  <c r="AH759" i="15"/>
  <c r="AI759" i="15"/>
  <c r="AJ759" i="15"/>
  <c r="AK759" i="15"/>
  <c r="AL759" i="15"/>
  <c r="AM759" i="15"/>
  <c r="AN759" i="15"/>
  <c r="AO759" i="15"/>
  <c r="S760" i="15"/>
  <c r="T760" i="15"/>
  <c r="U760" i="15"/>
  <c r="V760" i="15"/>
  <c r="W760" i="15"/>
  <c r="X760" i="15"/>
  <c r="Y760" i="15"/>
  <c r="Z760" i="15"/>
  <c r="AA760" i="15"/>
  <c r="AB760" i="15"/>
  <c r="AC760" i="15"/>
  <c r="AD760" i="15"/>
  <c r="AE760" i="15"/>
  <c r="AF760" i="15"/>
  <c r="AG760" i="15"/>
  <c r="AH760" i="15"/>
  <c r="AI760" i="15"/>
  <c r="AJ760" i="15"/>
  <c r="AK760" i="15"/>
  <c r="AL760" i="15"/>
  <c r="AM760" i="15"/>
  <c r="AN760" i="15"/>
  <c r="AO760" i="15"/>
  <c r="S761" i="15"/>
  <c r="T761" i="15"/>
  <c r="U761" i="15"/>
  <c r="V761" i="15"/>
  <c r="W761" i="15"/>
  <c r="X761" i="15"/>
  <c r="Y761" i="15"/>
  <c r="Z761" i="15"/>
  <c r="AA761" i="15"/>
  <c r="AB761" i="15"/>
  <c r="AC761" i="15"/>
  <c r="AD761" i="15"/>
  <c r="AE761" i="15"/>
  <c r="AF761" i="15"/>
  <c r="AG761" i="15"/>
  <c r="AH761" i="15"/>
  <c r="AI761" i="15"/>
  <c r="AJ761" i="15"/>
  <c r="AK761" i="15"/>
  <c r="AL761" i="15"/>
  <c r="AM761" i="15"/>
  <c r="AN761" i="15"/>
  <c r="AO761" i="15"/>
  <c r="S762" i="15"/>
  <c r="T762" i="15"/>
  <c r="U762" i="15"/>
  <c r="V762" i="15"/>
  <c r="W762" i="15"/>
  <c r="X762" i="15"/>
  <c r="Y762" i="15"/>
  <c r="Z762" i="15"/>
  <c r="AA762" i="15"/>
  <c r="AB762" i="15"/>
  <c r="AC762" i="15"/>
  <c r="AD762" i="15"/>
  <c r="AE762" i="15"/>
  <c r="AF762" i="15"/>
  <c r="AG762" i="15"/>
  <c r="AH762" i="15"/>
  <c r="AI762" i="15"/>
  <c r="AJ762" i="15"/>
  <c r="AK762" i="15"/>
  <c r="AL762" i="15"/>
  <c r="AM762" i="15"/>
  <c r="AN762" i="15"/>
  <c r="AO762" i="15"/>
  <c r="S763" i="15"/>
  <c r="T763" i="15"/>
  <c r="U763" i="15"/>
  <c r="V763" i="15"/>
  <c r="W763" i="15"/>
  <c r="X763" i="15"/>
  <c r="Y763" i="15"/>
  <c r="Z763" i="15"/>
  <c r="AA763" i="15"/>
  <c r="AB763" i="15"/>
  <c r="AC763" i="15"/>
  <c r="AD763" i="15"/>
  <c r="AE763" i="15"/>
  <c r="AF763" i="15"/>
  <c r="AG763" i="15"/>
  <c r="AH763" i="15"/>
  <c r="AI763" i="15"/>
  <c r="AJ763" i="15"/>
  <c r="AK763" i="15"/>
  <c r="AL763" i="15"/>
  <c r="AM763" i="15"/>
  <c r="AN763" i="15"/>
  <c r="AO763" i="15"/>
  <c r="M4" i="15"/>
  <c r="N4" i="15" s="1"/>
  <c r="M5" i="15"/>
  <c r="N5" i="15" s="1"/>
  <c r="M6" i="15"/>
  <c r="N6" i="15" s="1"/>
  <c r="M7" i="15"/>
  <c r="N7" i="15" s="1"/>
  <c r="M8" i="15"/>
  <c r="N8" i="15" s="1"/>
  <c r="M9" i="15"/>
  <c r="N9" i="15" s="1"/>
  <c r="M10" i="15"/>
  <c r="N10" i="15" s="1"/>
  <c r="M11" i="15"/>
  <c r="N11" i="15" s="1"/>
  <c r="M12" i="15"/>
  <c r="N12" i="15" s="1"/>
  <c r="M13" i="15"/>
  <c r="N13" i="15" s="1"/>
  <c r="M14" i="15"/>
  <c r="N14" i="15" s="1"/>
  <c r="M15" i="15"/>
  <c r="N15" i="15" s="1"/>
  <c r="M16" i="15"/>
  <c r="N16" i="15" s="1"/>
  <c r="M17" i="15"/>
  <c r="N17" i="15" s="1"/>
  <c r="M18" i="15"/>
  <c r="N18" i="15" s="1"/>
  <c r="M19" i="15"/>
  <c r="N19" i="15" s="1"/>
  <c r="M20" i="15"/>
  <c r="N20" i="15" s="1"/>
  <c r="M21" i="15"/>
  <c r="N21" i="15" s="1"/>
  <c r="M22" i="15"/>
  <c r="N22" i="15" s="1"/>
  <c r="M23" i="15"/>
  <c r="N23" i="15" s="1"/>
  <c r="M24" i="15"/>
  <c r="N24" i="15" s="1"/>
  <c r="M25" i="15"/>
  <c r="N25" i="15" s="1"/>
  <c r="M26" i="15"/>
  <c r="N26" i="15" s="1"/>
  <c r="M27" i="15"/>
  <c r="N27" i="15" s="1"/>
  <c r="M28" i="15"/>
  <c r="N28" i="15" s="1"/>
  <c r="M29" i="15"/>
  <c r="N29" i="15" s="1"/>
  <c r="M30" i="15"/>
  <c r="N30" i="15" s="1"/>
  <c r="M31" i="15"/>
  <c r="N31" i="15" s="1"/>
  <c r="M32" i="15"/>
  <c r="N32" i="15" s="1"/>
  <c r="M33" i="15"/>
  <c r="N33" i="15" s="1"/>
  <c r="M34" i="15"/>
  <c r="N34" i="15" s="1"/>
  <c r="M35" i="15"/>
  <c r="N35" i="15" s="1"/>
  <c r="M36" i="15"/>
  <c r="N36" i="15" s="1"/>
  <c r="M37" i="15"/>
  <c r="N37" i="15" s="1"/>
  <c r="M38" i="15"/>
  <c r="N38" i="15" s="1"/>
  <c r="M39" i="15"/>
  <c r="N39" i="15" s="1"/>
  <c r="M40" i="15"/>
  <c r="N40" i="15" s="1"/>
  <c r="M41" i="15"/>
  <c r="N41" i="15" s="1"/>
  <c r="M42" i="15"/>
  <c r="N42" i="15" s="1"/>
  <c r="M43" i="15"/>
  <c r="N43" i="15" s="1"/>
  <c r="M44" i="15"/>
  <c r="N44" i="15" s="1"/>
  <c r="M45" i="15"/>
  <c r="N45" i="15" s="1"/>
  <c r="M46" i="15"/>
  <c r="N46" i="15" s="1"/>
  <c r="M47" i="15"/>
  <c r="N47" i="15" s="1"/>
  <c r="M48" i="15"/>
  <c r="N48" i="15" s="1"/>
  <c r="M49" i="15"/>
  <c r="N49" i="15" s="1"/>
  <c r="M50" i="15"/>
  <c r="N50" i="15" s="1"/>
  <c r="M51" i="15"/>
  <c r="N51" i="15" s="1"/>
  <c r="M52" i="15"/>
  <c r="N52" i="15" s="1"/>
  <c r="M53" i="15"/>
  <c r="N53" i="15" s="1"/>
  <c r="M54" i="15"/>
  <c r="N54" i="15" s="1"/>
  <c r="M55" i="15"/>
  <c r="N55" i="15" s="1"/>
  <c r="M56" i="15"/>
  <c r="N56" i="15" s="1"/>
  <c r="M57" i="15"/>
  <c r="N57" i="15" s="1"/>
  <c r="M58" i="15"/>
  <c r="N58" i="15" s="1"/>
  <c r="M59" i="15"/>
  <c r="N59" i="15" s="1"/>
  <c r="M60" i="15"/>
  <c r="N60" i="15" s="1"/>
  <c r="M61" i="15"/>
  <c r="N61" i="15" s="1"/>
  <c r="M62" i="15"/>
  <c r="N62" i="15" s="1"/>
  <c r="M63" i="15"/>
  <c r="N63" i="15" s="1"/>
  <c r="M64" i="15"/>
  <c r="N64" i="15" s="1"/>
  <c r="M65" i="15"/>
  <c r="N65" i="15" s="1"/>
  <c r="M66" i="15"/>
  <c r="N66" i="15" s="1"/>
  <c r="M67" i="15"/>
  <c r="N67" i="15" s="1"/>
  <c r="M68" i="15"/>
  <c r="N68" i="15" s="1"/>
  <c r="M69" i="15"/>
  <c r="N69" i="15" s="1"/>
  <c r="M70" i="15"/>
  <c r="N70" i="15" s="1"/>
  <c r="M71" i="15"/>
  <c r="N71" i="15" s="1"/>
  <c r="M72" i="15"/>
  <c r="N72" i="15" s="1"/>
  <c r="M73" i="15"/>
  <c r="N73" i="15" s="1"/>
  <c r="M74" i="15"/>
  <c r="N74" i="15" s="1"/>
  <c r="M75" i="15"/>
  <c r="N75" i="15" s="1"/>
  <c r="M76" i="15"/>
  <c r="N76" i="15" s="1"/>
  <c r="M77" i="15"/>
  <c r="N77" i="15" s="1"/>
  <c r="M78" i="15"/>
  <c r="N78" i="15" s="1"/>
  <c r="M79" i="15"/>
  <c r="N79" i="15" s="1"/>
  <c r="M80" i="15"/>
  <c r="N80" i="15" s="1"/>
  <c r="M81" i="15"/>
  <c r="N81" i="15" s="1"/>
  <c r="M82" i="15"/>
  <c r="N82" i="15" s="1"/>
  <c r="M83" i="15"/>
  <c r="N83" i="15" s="1"/>
  <c r="M84" i="15"/>
  <c r="N84" i="15" s="1"/>
  <c r="M85" i="15"/>
  <c r="N85" i="15" s="1"/>
  <c r="M86" i="15"/>
  <c r="N86" i="15" s="1"/>
  <c r="M87" i="15"/>
  <c r="N87" i="15" s="1"/>
  <c r="M88" i="15"/>
  <c r="N88" i="15" s="1"/>
  <c r="M89" i="15"/>
  <c r="N89" i="15" s="1"/>
  <c r="M90" i="15"/>
  <c r="N90" i="15" s="1"/>
  <c r="M91" i="15"/>
  <c r="N91" i="15" s="1"/>
  <c r="M92" i="15"/>
  <c r="N92" i="15" s="1"/>
  <c r="M93" i="15"/>
  <c r="N93" i="15" s="1"/>
  <c r="M94" i="15"/>
  <c r="N94" i="15" s="1"/>
  <c r="M95" i="15"/>
  <c r="N95" i="15" s="1"/>
  <c r="M96" i="15"/>
  <c r="N96" i="15" s="1"/>
  <c r="M97" i="15"/>
  <c r="N97" i="15" s="1"/>
  <c r="M98" i="15"/>
  <c r="N98" i="15" s="1"/>
  <c r="M99" i="15"/>
  <c r="N99" i="15" s="1"/>
  <c r="M100" i="15"/>
  <c r="N100" i="15" s="1"/>
  <c r="M101" i="15"/>
  <c r="N101" i="15" s="1"/>
  <c r="M102" i="15"/>
  <c r="N102" i="15" s="1"/>
  <c r="M103" i="15"/>
  <c r="N103" i="15" s="1"/>
  <c r="M104" i="15"/>
  <c r="N104" i="15" s="1"/>
  <c r="M105" i="15"/>
  <c r="N105" i="15" s="1"/>
  <c r="M106" i="15"/>
  <c r="N106" i="15" s="1"/>
  <c r="M107" i="15"/>
  <c r="N107" i="15" s="1"/>
  <c r="M108" i="15"/>
  <c r="N108" i="15" s="1"/>
  <c r="M109" i="15"/>
  <c r="N109" i="15" s="1"/>
  <c r="M110" i="15"/>
  <c r="N110" i="15" s="1"/>
  <c r="M111" i="15"/>
  <c r="N111" i="15" s="1"/>
  <c r="M112" i="15"/>
  <c r="N112" i="15" s="1"/>
  <c r="M113" i="15"/>
  <c r="N113" i="15" s="1"/>
  <c r="M114" i="15"/>
  <c r="N114" i="15" s="1"/>
  <c r="M115" i="15"/>
  <c r="N115" i="15" s="1"/>
  <c r="M116" i="15"/>
  <c r="N116" i="15" s="1"/>
  <c r="M117" i="15"/>
  <c r="N117" i="15" s="1"/>
  <c r="M118" i="15"/>
  <c r="N118" i="15" s="1"/>
  <c r="M119" i="15"/>
  <c r="N119" i="15" s="1"/>
  <c r="M120" i="15"/>
  <c r="N120" i="15" s="1"/>
  <c r="M121" i="15"/>
  <c r="N121" i="15" s="1"/>
  <c r="M122" i="15"/>
  <c r="N122" i="15" s="1"/>
  <c r="M123" i="15"/>
  <c r="N123" i="15" s="1"/>
  <c r="M124" i="15"/>
  <c r="N124" i="15" s="1"/>
  <c r="M125" i="15"/>
  <c r="N125" i="15" s="1"/>
  <c r="M126" i="15"/>
  <c r="N126" i="15" s="1"/>
  <c r="M127" i="15"/>
  <c r="N127" i="15" s="1"/>
  <c r="M128" i="15"/>
  <c r="N128" i="15" s="1"/>
  <c r="M129" i="15"/>
  <c r="N129" i="15" s="1"/>
  <c r="M130" i="15"/>
  <c r="N130" i="15" s="1"/>
  <c r="M131" i="15"/>
  <c r="N131" i="15" s="1"/>
  <c r="M132" i="15"/>
  <c r="N132" i="15" s="1"/>
  <c r="M133" i="15"/>
  <c r="N133" i="15" s="1"/>
  <c r="M134" i="15"/>
  <c r="N134" i="15" s="1"/>
  <c r="M135" i="15"/>
  <c r="N135" i="15" s="1"/>
  <c r="M136" i="15"/>
  <c r="N136" i="15" s="1"/>
  <c r="M137" i="15"/>
  <c r="N137" i="15" s="1"/>
  <c r="M138" i="15"/>
  <c r="N138" i="15" s="1"/>
  <c r="M139" i="15"/>
  <c r="N139" i="15" s="1"/>
  <c r="M140" i="15"/>
  <c r="N140" i="15" s="1"/>
  <c r="M141" i="15"/>
  <c r="N141" i="15" s="1"/>
  <c r="M142" i="15"/>
  <c r="N142" i="15" s="1"/>
  <c r="M143" i="15"/>
  <c r="N143" i="15" s="1"/>
  <c r="M144" i="15"/>
  <c r="N144" i="15" s="1"/>
  <c r="M145" i="15"/>
  <c r="N145" i="15" s="1"/>
  <c r="M146" i="15"/>
  <c r="N146" i="15" s="1"/>
  <c r="M147" i="15"/>
  <c r="N147" i="15" s="1"/>
  <c r="M148" i="15"/>
  <c r="N148" i="15" s="1"/>
  <c r="M149" i="15"/>
  <c r="N149" i="15" s="1"/>
  <c r="M150" i="15"/>
  <c r="N150" i="15" s="1"/>
  <c r="M151" i="15"/>
  <c r="N151" i="15" s="1"/>
  <c r="M152" i="15"/>
  <c r="N152" i="15" s="1"/>
  <c r="M153" i="15"/>
  <c r="N153" i="15" s="1"/>
  <c r="M154" i="15"/>
  <c r="N154" i="15" s="1"/>
  <c r="M155" i="15"/>
  <c r="N155" i="15" s="1"/>
  <c r="M156" i="15"/>
  <c r="N156" i="15" s="1"/>
  <c r="M157" i="15"/>
  <c r="N157" i="15" s="1"/>
  <c r="M158" i="15"/>
  <c r="N158" i="15" s="1"/>
  <c r="M159" i="15"/>
  <c r="N159" i="15" s="1"/>
  <c r="M160" i="15"/>
  <c r="N160" i="15" s="1"/>
  <c r="M161" i="15"/>
  <c r="N161" i="15" s="1"/>
  <c r="M162" i="15"/>
  <c r="N162" i="15" s="1"/>
  <c r="M163" i="15"/>
  <c r="N163" i="15" s="1"/>
  <c r="M164" i="15"/>
  <c r="N164" i="15" s="1"/>
  <c r="M165" i="15"/>
  <c r="N165" i="15" s="1"/>
  <c r="M166" i="15"/>
  <c r="N166" i="15" s="1"/>
  <c r="M167" i="15"/>
  <c r="N167" i="15" s="1"/>
  <c r="M168" i="15"/>
  <c r="N168" i="15" s="1"/>
  <c r="M169" i="15"/>
  <c r="N169" i="15" s="1"/>
  <c r="M170" i="15"/>
  <c r="N170" i="15" s="1"/>
  <c r="M171" i="15"/>
  <c r="N171" i="15" s="1"/>
  <c r="M172" i="15"/>
  <c r="N172" i="15" s="1"/>
  <c r="M173" i="15"/>
  <c r="N173" i="15" s="1"/>
  <c r="M174" i="15"/>
  <c r="N174" i="15" s="1"/>
  <c r="M175" i="15"/>
  <c r="N175" i="15" s="1"/>
  <c r="M176" i="15"/>
  <c r="N176" i="15" s="1"/>
  <c r="M177" i="15"/>
  <c r="N177" i="15" s="1"/>
  <c r="M178" i="15"/>
  <c r="N178" i="15" s="1"/>
  <c r="M179" i="15"/>
  <c r="N179" i="15" s="1"/>
  <c r="M180" i="15"/>
  <c r="N180" i="15" s="1"/>
  <c r="M181" i="15"/>
  <c r="N181" i="15" s="1"/>
  <c r="M182" i="15"/>
  <c r="N182" i="15" s="1"/>
  <c r="M183" i="15"/>
  <c r="N183" i="15" s="1"/>
  <c r="M184" i="15"/>
  <c r="N184" i="15" s="1"/>
  <c r="M185" i="15"/>
  <c r="N185" i="15" s="1"/>
  <c r="M186" i="15"/>
  <c r="N186" i="15" s="1"/>
  <c r="M187" i="15"/>
  <c r="N187" i="15" s="1"/>
  <c r="M188" i="15"/>
  <c r="N188" i="15" s="1"/>
  <c r="M189" i="15"/>
  <c r="N189" i="15" s="1"/>
  <c r="M190" i="15"/>
  <c r="N190" i="15" s="1"/>
  <c r="M191" i="15"/>
  <c r="N191" i="15" s="1"/>
  <c r="M192" i="15"/>
  <c r="N192" i="15" s="1"/>
  <c r="M193" i="15"/>
  <c r="N193" i="15" s="1"/>
  <c r="M194" i="15"/>
  <c r="N194" i="15" s="1"/>
  <c r="M195" i="15"/>
  <c r="N195" i="15" s="1"/>
  <c r="M196" i="15"/>
  <c r="N196" i="15" s="1"/>
  <c r="M197" i="15"/>
  <c r="N197" i="15" s="1"/>
  <c r="M198" i="15"/>
  <c r="N198" i="15" s="1"/>
  <c r="M199" i="15"/>
  <c r="N199" i="15" s="1"/>
  <c r="M200" i="15"/>
  <c r="N200" i="15" s="1"/>
  <c r="M201" i="15"/>
  <c r="N201" i="15" s="1"/>
  <c r="M202" i="15"/>
  <c r="N202" i="15" s="1"/>
  <c r="M203" i="15"/>
  <c r="N203" i="15" s="1"/>
  <c r="M204" i="15"/>
  <c r="N204" i="15" s="1"/>
  <c r="M205" i="15"/>
  <c r="N205" i="15" s="1"/>
  <c r="M206" i="15"/>
  <c r="N206" i="15" s="1"/>
  <c r="M207" i="15"/>
  <c r="N207" i="15" s="1"/>
  <c r="M208" i="15"/>
  <c r="N208" i="15" s="1"/>
  <c r="M209" i="15"/>
  <c r="N209" i="15" s="1"/>
  <c r="M210" i="15"/>
  <c r="N210" i="15" s="1"/>
  <c r="M211" i="15"/>
  <c r="N211" i="15" s="1"/>
  <c r="M212" i="15"/>
  <c r="N212" i="15" s="1"/>
  <c r="M213" i="15"/>
  <c r="N213" i="15" s="1"/>
  <c r="M214" i="15"/>
  <c r="N214" i="15" s="1"/>
  <c r="M215" i="15"/>
  <c r="N215" i="15" s="1"/>
  <c r="M216" i="15"/>
  <c r="N216" i="15" s="1"/>
  <c r="M217" i="15"/>
  <c r="N217" i="15" s="1"/>
  <c r="M218" i="15"/>
  <c r="N218" i="15" s="1"/>
  <c r="M219" i="15"/>
  <c r="N219" i="15" s="1"/>
  <c r="M220" i="15"/>
  <c r="N220" i="15" s="1"/>
  <c r="M221" i="15"/>
  <c r="N221" i="15" s="1"/>
  <c r="M222" i="15"/>
  <c r="N222" i="15" s="1"/>
  <c r="M223" i="15"/>
  <c r="N223" i="15" s="1"/>
  <c r="M224" i="15"/>
  <c r="N224" i="15" s="1"/>
  <c r="M225" i="15"/>
  <c r="N225" i="15" s="1"/>
  <c r="M226" i="15"/>
  <c r="N226" i="15" s="1"/>
  <c r="M227" i="15"/>
  <c r="N227" i="15" s="1"/>
  <c r="M228" i="15"/>
  <c r="N228" i="15" s="1"/>
  <c r="M229" i="15"/>
  <c r="N229" i="15" s="1"/>
  <c r="M230" i="15"/>
  <c r="N230" i="15" s="1"/>
  <c r="M231" i="15"/>
  <c r="N231" i="15" s="1"/>
  <c r="M232" i="15"/>
  <c r="N232" i="15" s="1"/>
  <c r="M233" i="15"/>
  <c r="N233" i="15" s="1"/>
  <c r="M234" i="15"/>
  <c r="N234" i="15" s="1"/>
  <c r="M235" i="15"/>
  <c r="N235" i="15" s="1"/>
  <c r="M236" i="15"/>
  <c r="N236" i="15" s="1"/>
  <c r="M237" i="15"/>
  <c r="N237" i="15" s="1"/>
  <c r="M238" i="15"/>
  <c r="N238" i="15" s="1"/>
  <c r="M239" i="15"/>
  <c r="N239" i="15" s="1"/>
  <c r="M240" i="15"/>
  <c r="N240" i="15" s="1"/>
  <c r="M241" i="15"/>
  <c r="N241" i="15" s="1"/>
  <c r="M242" i="15"/>
  <c r="N242" i="15" s="1"/>
  <c r="M243" i="15"/>
  <c r="N243" i="15" s="1"/>
  <c r="M244" i="15"/>
  <c r="N244" i="15" s="1"/>
  <c r="M245" i="15"/>
  <c r="N245" i="15" s="1"/>
  <c r="M246" i="15"/>
  <c r="N246" i="15" s="1"/>
  <c r="M247" i="15"/>
  <c r="N247" i="15" s="1"/>
  <c r="M248" i="15"/>
  <c r="N248" i="15" s="1"/>
  <c r="M249" i="15"/>
  <c r="N249" i="15" s="1"/>
  <c r="M250" i="15"/>
  <c r="N250" i="15" s="1"/>
  <c r="M251" i="15"/>
  <c r="N251" i="15" s="1"/>
  <c r="M252" i="15"/>
  <c r="N252" i="15" s="1"/>
  <c r="M253" i="15"/>
  <c r="N253" i="15" s="1"/>
  <c r="M254" i="15"/>
  <c r="N254" i="15" s="1"/>
  <c r="M255" i="15"/>
  <c r="N255" i="15" s="1"/>
  <c r="M256" i="15"/>
  <c r="N256" i="15" s="1"/>
  <c r="M257" i="15"/>
  <c r="N257" i="15" s="1"/>
  <c r="M258" i="15"/>
  <c r="N258" i="15" s="1"/>
  <c r="M259" i="15"/>
  <c r="N259" i="15" s="1"/>
  <c r="M260" i="15"/>
  <c r="N260" i="15" s="1"/>
  <c r="M261" i="15"/>
  <c r="N261" i="15" s="1"/>
  <c r="M262" i="15"/>
  <c r="N262" i="15" s="1"/>
  <c r="M263" i="15"/>
  <c r="N263" i="15" s="1"/>
  <c r="M264" i="15"/>
  <c r="N264" i="15" s="1"/>
  <c r="M265" i="15"/>
  <c r="N265" i="15" s="1"/>
  <c r="M266" i="15"/>
  <c r="N266" i="15" s="1"/>
  <c r="M267" i="15"/>
  <c r="N267" i="15" s="1"/>
  <c r="M268" i="15"/>
  <c r="N268" i="15" s="1"/>
  <c r="M269" i="15"/>
  <c r="N269" i="15" s="1"/>
  <c r="M270" i="15"/>
  <c r="N270" i="15" s="1"/>
  <c r="M271" i="15"/>
  <c r="N271" i="15" s="1"/>
  <c r="M272" i="15"/>
  <c r="N272" i="15" s="1"/>
  <c r="M273" i="15"/>
  <c r="N273" i="15" s="1"/>
  <c r="M274" i="15"/>
  <c r="N274" i="15" s="1"/>
  <c r="M275" i="15"/>
  <c r="N275" i="15" s="1"/>
  <c r="M276" i="15"/>
  <c r="N276" i="15" s="1"/>
  <c r="M277" i="15"/>
  <c r="N277" i="15" s="1"/>
  <c r="M278" i="15"/>
  <c r="N278" i="15" s="1"/>
  <c r="M279" i="15"/>
  <c r="N279" i="15" s="1"/>
  <c r="M280" i="15"/>
  <c r="N280" i="15" s="1"/>
  <c r="M281" i="15"/>
  <c r="N281" i="15" s="1"/>
  <c r="M282" i="15"/>
  <c r="N282" i="15" s="1"/>
  <c r="M283" i="15"/>
  <c r="N283" i="15" s="1"/>
  <c r="M284" i="15"/>
  <c r="N284" i="15" s="1"/>
  <c r="M285" i="15"/>
  <c r="N285" i="15" s="1"/>
  <c r="M286" i="15"/>
  <c r="N286" i="15" s="1"/>
  <c r="M287" i="15"/>
  <c r="N287" i="15" s="1"/>
  <c r="M288" i="15"/>
  <c r="N288" i="15" s="1"/>
  <c r="M289" i="15"/>
  <c r="N289" i="15" s="1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3" i="15"/>
  <c r="N3" i="15" s="1"/>
  <c r="T1" i="15"/>
  <c r="R1" i="15"/>
  <c r="G4" i="15"/>
  <c r="H4" i="15" s="1"/>
  <c r="I4" i="15"/>
  <c r="J4" i="15" s="1"/>
  <c r="G5" i="15"/>
  <c r="I5" i="15"/>
  <c r="G6" i="15"/>
  <c r="H6" i="15" s="1"/>
  <c r="I6" i="15"/>
  <c r="J6" i="15" s="1"/>
  <c r="G7" i="15"/>
  <c r="H7" i="15" s="1"/>
  <c r="I7" i="15"/>
  <c r="J7" i="15" s="1"/>
  <c r="G8" i="15"/>
  <c r="H8" i="15" s="1"/>
  <c r="I8" i="15"/>
  <c r="G9" i="15"/>
  <c r="I9" i="15"/>
  <c r="G10" i="15"/>
  <c r="H10" i="15" s="1"/>
  <c r="I10" i="15"/>
  <c r="J10" i="15" s="1"/>
  <c r="G11" i="15"/>
  <c r="H11" i="15" s="1"/>
  <c r="I11" i="15"/>
  <c r="J11" i="15" s="1"/>
  <c r="G12" i="15"/>
  <c r="I12" i="15"/>
  <c r="J12" i="15" s="1"/>
  <c r="G13" i="15"/>
  <c r="I13" i="15"/>
  <c r="G14" i="15"/>
  <c r="H14" i="15" s="1"/>
  <c r="I14" i="15"/>
  <c r="G15" i="15"/>
  <c r="H15" i="15" s="1"/>
  <c r="I15" i="15"/>
  <c r="J15" i="15" s="1"/>
  <c r="G16" i="15"/>
  <c r="H16" i="15" s="1"/>
  <c r="I16" i="15"/>
  <c r="J16" i="15" s="1"/>
  <c r="G17" i="15"/>
  <c r="I17" i="15"/>
  <c r="G18" i="15"/>
  <c r="H18" i="15" s="1"/>
  <c r="I18" i="15"/>
  <c r="G19" i="15"/>
  <c r="H19" i="15" s="1"/>
  <c r="I19" i="15"/>
  <c r="G20" i="15"/>
  <c r="H20" i="15" s="1"/>
  <c r="I20" i="15"/>
  <c r="G21" i="15"/>
  <c r="H21" i="15" s="1"/>
  <c r="I21" i="15"/>
  <c r="G22" i="15"/>
  <c r="H22" i="15" s="1"/>
  <c r="I22" i="15"/>
  <c r="G23" i="15"/>
  <c r="I23" i="15"/>
  <c r="J23" i="15" s="1"/>
  <c r="G24" i="15"/>
  <c r="I24" i="15"/>
  <c r="G25" i="15"/>
  <c r="H25" i="15" s="1"/>
  <c r="I25" i="15"/>
  <c r="G26" i="15"/>
  <c r="H26" i="15" s="1"/>
  <c r="I26" i="15"/>
  <c r="G27" i="15"/>
  <c r="I27" i="15"/>
  <c r="J27" i="15" s="1"/>
  <c r="G28" i="15"/>
  <c r="I28" i="15"/>
  <c r="G29" i="15"/>
  <c r="H29" i="15" s="1"/>
  <c r="I29" i="15"/>
  <c r="G30" i="15"/>
  <c r="H30" i="15" s="1"/>
  <c r="I30" i="15"/>
  <c r="J30" i="15" s="1"/>
  <c r="G31" i="15"/>
  <c r="I31" i="15"/>
  <c r="J31" i="15" s="1"/>
  <c r="G32" i="15"/>
  <c r="H32" i="15" s="1"/>
  <c r="I32" i="15"/>
  <c r="J32" i="15" s="1"/>
  <c r="G33" i="15"/>
  <c r="H33" i="15" s="1"/>
  <c r="I33" i="15"/>
  <c r="G34" i="15"/>
  <c r="I34" i="15"/>
  <c r="G35" i="15"/>
  <c r="I35" i="15"/>
  <c r="G36" i="15"/>
  <c r="H36" i="15" s="1"/>
  <c r="I36" i="15"/>
  <c r="G37" i="15"/>
  <c r="H37" i="15" s="1"/>
  <c r="I37" i="15"/>
  <c r="G38" i="15"/>
  <c r="H38" i="15" s="1"/>
  <c r="I38" i="15"/>
  <c r="G39" i="15"/>
  <c r="I39" i="15"/>
  <c r="J39" i="15" s="1"/>
  <c r="G40" i="15"/>
  <c r="H40" i="15" s="1"/>
  <c r="I40" i="15"/>
  <c r="G41" i="15"/>
  <c r="H41" i="15" s="1"/>
  <c r="I41" i="15"/>
  <c r="G42" i="15"/>
  <c r="H42" i="15" s="1"/>
  <c r="I42" i="15"/>
  <c r="G43" i="15"/>
  <c r="I43" i="15"/>
  <c r="J43" i="15" s="1"/>
  <c r="G44" i="15"/>
  <c r="I44" i="15"/>
  <c r="G45" i="15"/>
  <c r="H45" i="15" s="1"/>
  <c r="I45" i="15"/>
  <c r="G46" i="15"/>
  <c r="H46" i="15" s="1"/>
  <c r="I46" i="15"/>
  <c r="J46" i="15" s="1"/>
  <c r="G47" i="15"/>
  <c r="I47" i="15"/>
  <c r="J47" i="15" s="1"/>
  <c r="G48" i="15"/>
  <c r="H48" i="15" s="1"/>
  <c r="I48" i="15"/>
  <c r="G49" i="15"/>
  <c r="H49" i="15" s="1"/>
  <c r="I49" i="15"/>
  <c r="G50" i="15"/>
  <c r="I50" i="15"/>
  <c r="G51" i="15"/>
  <c r="I51" i="15"/>
  <c r="G52" i="15"/>
  <c r="H52" i="15" s="1"/>
  <c r="I52" i="15"/>
  <c r="G53" i="15"/>
  <c r="H53" i="15" s="1"/>
  <c r="I53" i="15"/>
  <c r="G54" i="15"/>
  <c r="I54" i="15"/>
  <c r="G55" i="15"/>
  <c r="I55" i="15"/>
  <c r="J55" i="15" s="1"/>
  <c r="G56" i="15"/>
  <c r="H56" i="15" s="1"/>
  <c r="I56" i="15"/>
  <c r="G57" i="15"/>
  <c r="H57" i="15" s="1"/>
  <c r="I57" i="15"/>
  <c r="G58" i="15"/>
  <c r="H58" i="15" s="1"/>
  <c r="I58" i="15"/>
  <c r="G59" i="15"/>
  <c r="I59" i="15"/>
  <c r="J59" i="15" s="1"/>
  <c r="G60" i="15"/>
  <c r="I60" i="15"/>
  <c r="J60" i="15" s="1"/>
  <c r="G61" i="15"/>
  <c r="H61" i="15" s="1"/>
  <c r="I61" i="15"/>
  <c r="G62" i="15"/>
  <c r="H62" i="15" s="1"/>
  <c r="I62" i="15"/>
  <c r="G63" i="15"/>
  <c r="I63" i="15"/>
  <c r="J63" i="15" s="1"/>
  <c r="G64" i="15"/>
  <c r="H64" i="15" s="1"/>
  <c r="I64" i="15"/>
  <c r="G65" i="15"/>
  <c r="H65" i="15" s="1"/>
  <c r="I65" i="15"/>
  <c r="G66" i="15"/>
  <c r="H66" i="15" s="1"/>
  <c r="I66" i="15"/>
  <c r="G67" i="15"/>
  <c r="I67" i="15"/>
  <c r="G68" i="15"/>
  <c r="H68" i="15" s="1"/>
  <c r="I68" i="15"/>
  <c r="G69" i="15"/>
  <c r="H69" i="15" s="1"/>
  <c r="I69" i="15"/>
  <c r="G70" i="15"/>
  <c r="I70" i="15"/>
  <c r="G71" i="15"/>
  <c r="I71" i="15"/>
  <c r="G72" i="15"/>
  <c r="I72" i="15"/>
  <c r="J72" i="15" s="1"/>
  <c r="G73" i="15"/>
  <c r="H73" i="15" s="1"/>
  <c r="I73" i="15"/>
  <c r="G74" i="15"/>
  <c r="H74" i="15" s="1"/>
  <c r="I74" i="15"/>
  <c r="J74" i="15" s="1"/>
  <c r="G75" i="15"/>
  <c r="I75" i="15"/>
  <c r="J75" i="15" s="1"/>
  <c r="G76" i="15"/>
  <c r="I76" i="15"/>
  <c r="G77" i="15"/>
  <c r="H77" i="15" s="1"/>
  <c r="I77" i="15"/>
  <c r="G78" i="15"/>
  <c r="H78" i="15" s="1"/>
  <c r="I78" i="15"/>
  <c r="G79" i="15"/>
  <c r="I79" i="15"/>
  <c r="J79" i="15" s="1"/>
  <c r="G80" i="15"/>
  <c r="H80" i="15" s="1"/>
  <c r="I80" i="15"/>
  <c r="G81" i="15"/>
  <c r="H81" i="15" s="1"/>
  <c r="I81" i="15"/>
  <c r="G82" i="15"/>
  <c r="H82" i="15" s="1"/>
  <c r="I82" i="15"/>
  <c r="G83" i="15"/>
  <c r="I83" i="15"/>
  <c r="J83" i="15" s="1"/>
  <c r="G84" i="15"/>
  <c r="H84" i="15" s="1"/>
  <c r="I84" i="15"/>
  <c r="G85" i="15"/>
  <c r="H85" i="15" s="1"/>
  <c r="I85" i="15"/>
  <c r="G86" i="15"/>
  <c r="H86" i="15" s="1"/>
  <c r="I86" i="15"/>
  <c r="G87" i="15"/>
  <c r="I87" i="15"/>
  <c r="J87" i="15" s="1"/>
  <c r="G88" i="15"/>
  <c r="I88" i="15"/>
  <c r="J88" i="15" s="1"/>
  <c r="G89" i="15"/>
  <c r="H89" i="15" s="1"/>
  <c r="I89" i="15"/>
  <c r="G90" i="15"/>
  <c r="H90" i="15" s="1"/>
  <c r="I90" i="15"/>
  <c r="G91" i="15"/>
  <c r="I91" i="15"/>
  <c r="J91" i="15" s="1"/>
  <c r="G92" i="15"/>
  <c r="I92" i="15"/>
  <c r="G93" i="15"/>
  <c r="H93" i="15" s="1"/>
  <c r="I93" i="15"/>
  <c r="G94" i="15"/>
  <c r="H94" i="15" s="1"/>
  <c r="I94" i="15"/>
  <c r="G95" i="15"/>
  <c r="I95" i="15"/>
  <c r="J95" i="15" s="1"/>
  <c r="G96" i="15"/>
  <c r="H96" i="15" s="1"/>
  <c r="I96" i="15"/>
  <c r="G97" i="15"/>
  <c r="H97" i="15" s="1"/>
  <c r="I97" i="15"/>
  <c r="G98" i="15"/>
  <c r="I98" i="15"/>
  <c r="G99" i="15"/>
  <c r="I99" i="15"/>
  <c r="J99" i="15" s="1"/>
  <c r="G100" i="15"/>
  <c r="H100" i="15" s="1"/>
  <c r="I100" i="15"/>
  <c r="G101" i="15"/>
  <c r="H101" i="15" s="1"/>
  <c r="I101" i="15"/>
  <c r="G102" i="15"/>
  <c r="H102" i="15" s="1"/>
  <c r="I102" i="15"/>
  <c r="J102" i="15" s="1"/>
  <c r="G103" i="15"/>
  <c r="I103" i="15"/>
  <c r="J103" i="15" s="1"/>
  <c r="G104" i="15"/>
  <c r="H104" i="15" s="1"/>
  <c r="I104" i="15"/>
  <c r="G105" i="15"/>
  <c r="H105" i="15" s="1"/>
  <c r="I105" i="15"/>
  <c r="G106" i="15"/>
  <c r="H106" i="15" s="1"/>
  <c r="I106" i="15"/>
  <c r="G107" i="15"/>
  <c r="I107" i="15"/>
  <c r="J107" i="15" s="1"/>
  <c r="G108" i="15"/>
  <c r="I108" i="15"/>
  <c r="G109" i="15"/>
  <c r="H109" i="15" s="1"/>
  <c r="I109" i="15"/>
  <c r="G110" i="15"/>
  <c r="H110" i="15" s="1"/>
  <c r="I110" i="15"/>
  <c r="G111" i="15"/>
  <c r="I111" i="15"/>
  <c r="J111" i="15" s="1"/>
  <c r="G112" i="15"/>
  <c r="H112" i="15" s="1"/>
  <c r="I112" i="15"/>
  <c r="G113" i="15"/>
  <c r="H113" i="15" s="1"/>
  <c r="I113" i="15"/>
  <c r="G114" i="15"/>
  <c r="I114" i="15"/>
  <c r="G115" i="15"/>
  <c r="I115" i="15"/>
  <c r="J115" i="15" s="1"/>
  <c r="G116" i="15"/>
  <c r="H116" i="15" s="1"/>
  <c r="I116" i="15"/>
  <c r="J116" i="15" s="1"/>
  <c r="G117" i="15"/>
  <c r="H117" i="15" s="1"/>
  <c r="I117" i="15"/>
  <c r="G118" i="15"/>
  <c r="I118" i="15"/>
  <c r="J118" i="15" s="1"/>
  <c r="G119" i="15"/>
  <c r="I119" i="15"/>
  <c r="G120" i="15"/>
  <c r="H120" i="15" s="1"/>
  <c r="I120" i="15"/>
  <c r="G121" i="15"/>
  <c r="H121" i="15" s="1"/>
  <c r="I121" i="15"/>
  <c r="G122" i="15"/>
  <c r="H122" i="15" s="1"/>
  <c r="I122" i="15"/>
  <c r="G123" i="15"/>
  <c r="I123" i="15"/>
  <c r="J123" i="15" s="1"/>
  <c r="G124" i="15"/>
  <c r="I124" i="15"/>
  <c r="G125" i="15"/>
  <c r="H125" i="15" s="1"/>
  <c r="I125" i="15"/>
  <c r="G126" i="15"/>
  <c r="H126" i="15" s="1"/>
  <c r="I126" i="15"/>
  <c r="G127" i="15"/>
  <c r="I127" i="15"/>
  <c r="J127" i="15" s="1"/>
  <c r="G128" i="15"/>
  <c r="H128" i="15" s="1"/>
  <c r="I128" i="15"/>
  <c r="G129" i="15"/>
  <c r="H129" i="15" s="1"/>
  <c r="I129" i="15"/>
  <c r="G130" i="15"/>
  <c r="H130" i="15" s="1"/>
  <c r="I130" i="15"/>
  <c r="J130" i="15" s="1"/>
  <c r="G131" i="15"/>
  <c r="I131" i="15"/>
  <c r="J131" i="15" s="1"/>
  <c r="G132" i="15"/>
  <c r="H132" i="15" s="1"/>
  <c r="I132" i="15"/>
  <c r="J132" i="15" s="1"/>
  <c r="G133" i="15"/>
  <c r="H133" i="15" s="1"/>
  <c r="I133" i="15"/>
  <c r="G134" i="15"/>
  <c r="I134" i="15"/>
  <c r="G135" i="15"/>
  <c r="I135" i="15"/>
  <c r="G136" i="15"/>
  <c r="I136" i="15"/>
  <c r="G137" i="15"/>
  <c r="H137" i="15" s="1"/>
  <c r="I137" i="15"/>
  <c r="G138" i="15"/>
  <c r="H138" i="15" s="1"/>
  <c r="I138" i="15"/>
  <c r="G139" i="15"/>
  <c r="I139" i="15"/>
  <c r="J139" i="15" s="1"/>
  <c r="G140" i="15"/>
  <c r="I140" i="15"/>
  <c r="G141" i="15"/>
  <c r="H141" i="15" s="1"/>
  <c r="I141" i="15"/>
  <c r="G142" i="15"/>
  <c r="H142" i="15" s="1"/>
  <c r="I142" i="15"/>
  <c r="G143" i="15"/>
  <c r="I143" i="15"/>
  <c r="J143" i="15" s="1"/>
  <c r="G144" i="15"/>
  <c r="H144" i="15" s="1"/>
  <c r="I144" i="15"/>
  <c r="J144" i="15" s="1"/>
  <c r="G145" i="15"/>
  <c r="H145" i="15" s="1"/>
  <c r="I145" i="15"/>
  <c r="G146" i="15"/>
  <c r="H146" i="15" s="1"/>
  <c r="I146" i="15"/>
  <c r="J146" i="15" s="1"/>
  <c r="G147" i="15"/>
  <c r="I147" i="15"/>
  <c r="J147" i="15" s="1"/>
  <c r="G148" i="15"/>
  <c r="H148" i="15" s="1"/>
  <c r="I148" i="15"/>
  <c r="G149" i="15"/>
  <c r="H149" i="15" s="1"/>
  <c r="I149" i="15"/>
  <c r="G150" i="15"/>
  <c r="H150" i="15" s="1"/>
  <c r="I150" i="15"/>
  <c r="G151" i="15"/>
  <c r="I151" i="15"/>
  <c r="G152" i="15"/>
  <c r="I152" i="15"/>
  <c r="J152" i="15" s="1"/>
  <c r="L152" i="15" s="1"/>
  <c r="G153" i="15"/>
  <c r="H153" i="15" s="1"/>
  <c r="I153" i="15"/>
  <c r="G154" i="15"/>
  <c r="I154" i="15"/>
  <c r="J154" i="15" s="1"/>
  <c r="G155" i="15"/>
  <c r="I155" i="15"/>
  <c r="J155" i="15" s="1"/>
  <c r="G156" i="15"/>
  <c r="I156" i="15"/>
  <c r="J156" i="15" s="1"/>
  <c r="G157" i="15"/>
  <c r="H157" i="15" s="1"/>
  <c r="I157" i="15"/>
  <c r="G158" i="15"/>
  <c r="H158" i="15" s="1"/>
  <c r="I158" i="15"/>
  <c r="J158" i="15" s="1"/>
  <c r="G159" i="15"/>
  <c r="I159" i="15"/>
  <c r="J159" i="15" s="1"/>
  <c r="G160" i="15"/>
  <c r="H160" i="15" s="1"/>
  <c r="I160" i="15"/>
  <c r="J160" i="15" s="1"/>
  <c r="G161" i="15"/>
  <c r="I161" i="15"/>
  <c r="G162" i="15"/>
  <c r="I162" i="15"/>
  <c r="J162" i="15" s="1"/>
  <c r="G163" i="15"/>
  <c r="I163" i="15"/>
  <c r="J163" i="15" s="1"/>
  <c r="G164" i="15"/>
  <c r="I164" i="15"/>
  <c r="J164" i="15" s="1"/>
  <c r="G165" i="15"/>
  <c r="H165" i="15" s="1"/>
  <c r="I165" i="15"/>
  <c r="G166" i="15"/>
  <c r="H166" i="15" s="1"/>
  <c r="I166" i="15"/>
  <c r="J166" i="15" s="1"/>
  <c r="G167" i="15"/>
  <c r="I167" i="15"/>
  <c r="G168" i="15"/>
  <c r="I168" i="15"/>
  <c r="J168" i="15" s="1"/>
  <c r="G169" i="15"/>
  <c r="H169" i="15" s="1"/>
  <c r="I169" i="15"/>
  <c r="G170" i="15"/>
  <c r="H170" i="15" s="1"/>
  <c r="I170" i="15"/>
  <c r="J170" i="15" s="1"/>
  <c r="G171" i="15"/>
  <c r="I171" i="15"/>
  <c r="J171" i="15" s="1"/>
  <c r="G172" i="15"/>
  <c r="I172" i="15"/>
  <c r="J172" i="15" s="1"/>
  <c r="G173" i="15"/>
  <c r="H173" i="15" s="1"/>
  <c r="I173" i="15"/>
  <c r="G174" i="15"/>
  <c r="I174" i="15"/>
  <c r="J174" i="15" s="1"/>
  <c r="G175" i="15"/>
  <c r="I175" i="15"/>
  <c r="J175" i="15" s="1"/>
  <c r="G176" i="15"/>
  <c r="I176" i="15"/>
  <c r="J176" i="15" s="1"/>
  <c r="G177" i="15"/>
  <c r="H177" i="15" s="1"/>
  <c r="I177" i="15"/>
  <c r="G178" i="15"/>
  <c r="H178" i="15" s="1"/>
  <c r="I178" i="15"/>
  <c r="J178" i="15" s="1"/>
  <c r="G179" i="15"/>
  <c r="I179" i="15"/>
  <c r="J179" i="15" s="1"/>
  <c r="G180" i="15"/>
  <c r="I180" i="15"/>
  <c r="J180" i="15" s="1"/>
  <c r="G181" i="15"/>
  <c r="H181" i="15" s="1"/>
  <c r="I181" i="15"/>
  <c r="G182" i="15"/>
  <c r="I182" i="15"/>
  <c r="J182" i="15" s="1"/>
  <c r="G183" i="15"/>
  <c r="I183" i="15"/>
  <c r="G184" i="15"/>
  <c r="I184" i="15"/>
  <c r="J184" i="15" s="1"/>
  <c r="G185" i="15"/>
  <c r="H185" i="15" s="1"/>
  <c r="I185" i="15"/>
  <c r="G186" i="15"/>
  <c r="H186" i="15" s="1"/>
  <c r="I186" i="15"/>
  <c r="J186" i="15" s="1"/>
  <c r="G187" i="15"/>
  <c r="I187" i="15"/>
  <c r="J187" i="15" s="1"/>
  <c r="G188" i="15"/>
  <c r="H188" i="15" s="1"/>
  <c r="I188" i="15"/>
  <c r="J188" i="15" s="1"/>
  <c r="G189" i="15"/>
  <c r="H189" i="15" s="1"/>
  <c r="I189" i="15"/>
  <c r="G190" i="15"/>
  <c r="I190" i="15"/>
  <c r="J190" i="15" s="1"/>
  <c r="G191" i="15"/>
  <c r="I191" i="15"/>
  <c r="J191" i="15" s="1"/>
  <c r="G192" i="15"/>
  <c r="I192" i="15"/>
  <c r="J192" i="15" s="1"/>
  <c r="G193" i="15"/>
  <c r="I193" i="15"/>
  <c r="G194" i="15"/>
  <c r="H194" i="15" s="1"/>
  <c r="I194" i="15"/>
  <c r="J194" i="15" s="1"/>
  <c r="G195" i="15"/>
  <c r="I195" i="15"/>
  <c r="J195" i="15" s="1"/>
  <c r="G196" i="15"/>
  <c r="I196" i="15"/>
  <c r="J196" i="15" s="1"/>
  <c r="G197" i="15"/>
  <c r="H197" i="15" s="1"/>
  <c r="I197" i="15"/>
  <c r="G198" i="15"/>
  <c r="H198" i="15" s="1"/>
  <c r="I198" i="15"/>
  <c r="J198" i="15" s="1"/>
  <c r="G199" i="15"/>
  <c r="I199" i="15"/>
  <c r="G200" i="15"/>
  <c r="I200" i="15"/>
  <c r="J200" i="15" s="1"/>
  <c r="G201" i="15"/>
  <c r="H201" i="15" s="1"/>
  <c r="I201" i="15"/>
  <c r="G202" i="15"/>
  <c r="I202" i="15"/>
  <c r="J202" i="15" s="1"/>
  <c r="G203" i="15"/>
  <c r="I203" i="15"/>
  <c r="J203" i="15" s="1"/>
  <c r="G204" i="15"/>
  <c r="I204" i="15"/>
  <c r="J204" i="15" s="1"/>
  <c r="G205" i="15"/>
  <c r="H205" i="15" s="1"/>
  <c r="I205" i="15"/>
  <c r="G206" i="15"/>
  <c r="H206" i="15" s="1"/>
  <c r="I206" i="15"/>
  <c r="J206" i="15" s="1"/>
  <c r="G207" i="15"/>
  <c r="I207" i="15"/>
  <c r="J207" i="15" s="1"/>
  <c r="G208" i="15"/>
  <c r="H208" i="15" s="1"/>
  <c r="I208" i="15"/>
  <c r="J208" i="15" s="1"/>
  <c r="G209" i="15"/>
  <c r="I209" i="15"/>
  <c r="G210" i="15"/>
  <c r="I210" i="15"/>
  <c r="J210" i="15" s="1"/>
  <c r="G211" i="15"/>
  <c r="I211" i="15"/>
  <c r="J211" i="15" s="1"/>
  <c r="G212" i="15"/>
  <c r="I212" i="15"/>
  <c r="J212" i="15" s="1"/>
  <c r="G213" i="15"/>
  <c r="H213" i="15" s="1"/>
  <c r="I213" i="15"/>
  <c r="G214" i="15"/>
  <c r="H214" i="15" s="1"/>
  <c r="I214" i="15"/>
  <c r="J214" i="15" s="1"/>
  <c r="G215" i="15"/>
  <c r="I215" i="15"/>
  <c r="J215" i="15" s="1"/>
  <c r="G216" i="15"/>
  <c r="H216" i="15" s="1"/>
  <c r="I216" i="15"/>
  <c r="J216" i="15" s="1"/>
  <c r="G217" i="15"/>
  <c r="H217" i="15" s="1"/>
  <c r="I217" i="15"/>
  <c r="G218" i="15"/>
  <c r="I218" i="15"/>
  <c r="J218" i="15" s="1"/>
  <c r="G219" i="15"/>
  <c r="I219" i="15"/>
  <c r="J219" i="15" s="1"/>
  <c r="G220" i="15"/>
  <c r="I220" i="15"/>
  <c r="J220" i="15" s="1"/>
  <c r="G221" i="15"/>
  <c r="H221" i="15" s="1"/>
  <c r="I221" i="15"/>
  <c r="G222" i="15"/>
  <c r="I222" i="15"/>
  <c r="J222" i="15" s="1"/>
  <c r="G223" i="15"/>
  <c r="I223" i="15"/>
  <c r="J223" i="15" s="1"/>
  <c r="G224" i="15"/>
  <c r="H224" i="15" s="1"/>
  <c r="I224" i="15"/>
  <c r="J224" i="15" s="1"/>
  <c r="G225" i="15"/>
  <c r="I225" i="15"/>
  <c r="G226" i="15"/>
  <c r="H226" i="15" s="1"/>
  <c r="I226" i="15"/>
  <c r="J226" i="15" s="1"/>
  <c r="G227" i="15"/>
  <c r="I227" i="15"/>
  <c r="J227" i="15" s="1"/>
  <c r="G228" i="15"/>
  <c r="I228" i="15"/>
  <c r="J228" i="15" s="1"/>
  <c r="G229" i="15"/>
  <c r="H229" i="15" s="1"/>
  <c r="I229" i="15"/>
  <c r="G230" i="15"/>
  <c r="I230" i="15"/>
  <c r="J230" i="15" s="1"/>
  <c r="G231" i="15"/>
  <c r="I231" i="15"/>
  <c r="J231" i="15" s="1"/>
  <c r="G232" i="15"/>
  <c r="I232" i="15"/>
  <c r="J232" i="15" s="1"/>
  <c r="G233" i="15"/>
  <c r="H233" i="15" s="1"/>
  <c r="I233" i="15"/>
  <c r="G234" i="15"/>
  <c r="H234" i="15" s="1"/>
  <c r="I234" i="15"/>
  <c r="J234" i="15" s="1"/>
  <c r="G235" i="15"/>
  <c r="I235" i="15"/>
  <c r="J235" i="15" s="1"/>
  <c r="G236" i="15"/>
  <c r="H236" i="15" s="1"/>
  <c r="I236" i="15"/>
  <c r="J236" i="15" s="1"/>
  <c r="G237" i="15"/>
  <c r="H237" i="15" s="1"/>
  <c r="I237" i="15"/>
  <c r="G238" i="15"/>
  <c r="I238" i="15"/>
  <c r="J238" i="15" s="1"/>
  <c r="G239" i="15"/>
  <c r="I239" i="15"/>
  <c r="J239" i="15" s="1"/>
  <c r="G240" i="15"/>
  <c r="I240" i="15"/>
  <c r="J240" i="15" s="1"/>
  <c r="G241" i="15"/>
  <c r="I241" i="15"/>
  <c r="G242" i="15"/>
  <c r="H242" i="15" s="1"/>
  <c r="I242" i="15"/>
  <c r="J242" i="15" s="1"/>
  <c r="G243" i="15"/>
  <c r="I243" i="15"/>
  <c r="J243" i="15" s="1"/>
  <c r="G244" i="15"/>
  <c r="H244" i="15" s="1"/>
  <c r="I244" i="15"/>
  <c r="J244" i="15" s="1"/>
  <c r="G245" i="15"/>
  <c r="H245" i="15" s="1"/>
  <c r="I245" i="15"/>
  <c r="G246" i="15"/>
  <c r="I246" i="15"/>
  <c r="J246" i="15" s="1"/>
  <c r="G247" i="15"/>
  <c r="I247" i="15"/>
  <c r="G248" i="15"/>
  <c r="I248" i="15"/>
  <c r="J248" i="15" s="1"/>
  <c r="G249" i="15"/>
  <c r="H249" i="15" s="1"/>
  <c r="I249" i="15"/>
  <c r="G250" i="15"/>
  <c r="I250" i="15"/>
  <c r="J250" i="15" s="1"/>
  <c r="G251" i="15"/>
  <c r="I251" i="15"/>
  <c r="J251" i="15" s="1"/>
  <c r="G252" i="15"/>
  <c r="H252" i="15" s="1"/>
  <c r="I252" i="15"/>
  <c r="J252" i="15" s="1"/>
  <c r="G253" i="15"/>
  <c r="H253" i="15" s="1"/>
  <c r="I253" i="15"/>
  <c r="G254" i="15"/>
  <c r="I254" i="15"/>
  <c r="J254" i="15" s="1"/>
  <c r="G255" i="15"/>
  <c r="I255" i="15"/>
  <c r="J255" i="15" s="1"/>
  <c r="G256" i="15"/>
  <c r="H256" i="15" s="1"/>
  <c r="I256" i="15"/>
  <c r="J256" i="15" s="1"/>
  <c r="G257" i="15"/>
  <c r="I257" i="15"/>
  <c r="G258" i="15"/>
  <c r="I258" i="15"/>
  <c r="J258" i="15" s="1"/>
  <c r="G259" i="15"/>
  <c r="I259" i="15"/>
  <c r="J259" i="15" s="1"/>
  <c r="G260" i="15"/>
  <c r="I260" i="15"/>
  <c r="J260" i="15" s="1"/>
  <c r="G261" i="15"/>
  <c r="H261" i="15" s="1"/>
  <c r="I261" i="15"/>
  <c r="G262" i="15"/>
  <c r="H262" i="15" s="1"/>
  <c r="I262" i="15"/>
  <c r="J262" i="15" s="1"/>
  <c r="G263" i="15"/>
  <c r="I263" i="15"/>
  <c r="G264" i="15"/>
  <c r="H264" i="15" s="1"/>
  <c r="I264" i="15"/>
  <c r="J264" i="15" s="1"/>
  <c r="G265" i="15"/>
  <c r="H265" i="15" s="1"/>
  <c r="I265" i="15"/>
  <c r="G266" i="15"/>
  <c r="I266" i="15"/>
  <c r="J266" i="15" s="1"/>
  <c r="G267" i="15"/>
  <c r="I267" i="15"/>
  <c r="J267" i="15" s="1"/>
  <c r="G268" i="15"/>
  <c r="I268" i="15"/>
  <c r="J268" i="15" s="1"/>
  <c r="G269" i="15"/>
  <c r="H269" i="15" s="1"/>
  <c r="I269" i="15"/>
  <c r="G270" i="15"/>
  <c r="H270" i="15" s="1"/>
  <c r="I270" i="15"/>
  <c r="J270" i="15" s="1"/>
  <c r="G271" i="15"/>
  <c r="I271" i="15"/>
  <c r="J271" i="15" s="1"/>
  <c r="G272" i="15"/>
  <c r="H272" i="15" s="1"/>
  <c r="I272" i="15"/>
  <c r="J272" i="15" s="1"/>
  <c r="G273" i="15"/>
  <c r="I273" i="15"/>
  <c r="G274" i="15"/>
  <c r="I274" i="15"/>
  <c r="J274" i="15" s="1"/>
  <c r="G275" i="15"/>
  <c r="I275" i="15"/>
  <c r="J275" i="15" s="1"/>
  <c r="G276" i="15"/>
  <c r="H276" i="15" s="1"/>
  <c r="I276" i="15"/>
  <c r="J276" i="15" s="1"/>
  <c r="G277" i="15"/>
  <c r="H277" i="15" s="1"/>
  <c r="I277" i="15"/>
  <c r="G278" i="15"/>
  <c r="H278" i="15" s="1"/>
  <c r="I278" i="15"/>
  <c r="J278" i="15" s="1"/>
  <c r="G279" i="15"/>
  <c r="I279" i="15"/>
  <c r="G280" i="15"/>
  <c r="I280" i="15"/>
  <c r="J280" i="15" s="1"/>
  <c r="G281" i="15"/>
  <c r="H281" i="15" s="1"/>
  <c r="I281" i="15"/>
  <c r="G282" i="15"/>
  <c r="I282" i="15"/>
  <c r="J282" i="15" s="1"/>
  <c r="G283" i="15"/>
  <c r="I283" i="15"/>
  <c r="J283" i="15" s="1"/>
  <c r="G284" i="15"/>
  <c r="H284" i="15" s="1"/>
  <c r="I284" i="15"/>
  <c r="J284" i="15" s="1"/>
  <c r="G285" i="15"/>
  <c r="H285" i="15" s="1"/>
  <c r="I285" i="15"/>
  <c r="G286" i="15"/>
  <c r="H286" i="15" s="1"/>
  <c r="I286" i="15"/>
  <c r="J286" i="15" s="1"/>
  <c r="G287" i="15"/>
  <c r="I287" i="15"/>
  <c r="J287" i="15" s="1"/>
  <c r="G288" i="15"/>
  <c r="I288" i="15"/>
  <c r="J288" i="15" s="1"/>
  <c r="G289" i="15"/>
  <c r="I289" i="15"/>
  <c r="G290" i="15"/>
  <c r="H290" i="15" s="1"/>
  <c r="I290" i="15"/>
  <c r="J290" i="15" s="1"/>
  <c r="G291" i="15"/>
  <c r="H291" i="15" s="1"/>
  <c r="I291" i="15"/>
  <c r="G292" i="15"/>
  <c r="H292" i="15" s="1"/>
  <c r="I292" i="15"/>
  <c r="J292" i="15" s="1"/>
  <c r="G293" i="15"/>
  <c r="H293" i="15" s="1"/>
  <c r="I293" i="15"/>
  <c r="J293" i="15" s="1"/>
  <c r="G294" i="15"/>
  <c r="H294" i="15" s="1"/>
  <c r="I294" i="15"/>
  <c r="J294" i="15" s="1"/>
  <c r="G295" i="15"/>
  <c r="I295" i="15"/>
  <c r="G296" i="15"/>
  <c r="H296" i="15" s="1"/>
  <c r="I296" i="15"/>
  <c r="J296" i="15" s="1"/>
  <c r="G297" i="15"/>
  <c r="H297" i="15" s="1"/>
  <c r="I297" i="15"/>
  <c r="J297" i="15" s="1"/>
  <c r="G298" i="15"/>
  <c r="H298" i="15" s="1"/>
  <c r="I298" i="15"/>
  <c r="J298" i="15" s="1"/>
  <c r="G299" i="15"/>
  <c r="I299" i="15"/>
  <c r="G300" i="15"/>
  <c r="H300" i="15" s="1"/>
  <c r="I300" i="15"/>
  <c r="G301" i="15"/>
  <c r="H301" i="15" s="1"/>
  <c r="I301" i="15"/>
  <c r="J301" i="15" s="1"/>
  <c r="G302" i="15"/>
  <c r="H302" i="15" s="1"/>
  <c r="I302" i="15"/>
  <c r="J302" i="15" s="1"/>
  <c r="G303" i="15"/>
  <c r="I303" i="15"/>
  <c r="J303" i="15" s="1"/>
  <c r="G304" i="15"/>
  <c r="H304" i="15" s="1"/>
  <c r="I304" i="15"/>
  <c r="J304" i="15" s="1"/>
  <c r="G305" i="15"/>
  <c r="I305" i="15"/>
  <c r="J305" i="15" s="1"/>
  <c r="G306" i="15"/>
  <c r="H306" i="15" s="1"/>
  <c r="I306" i="15"/>
  <c r="G307" i="15"/>
  <c r="I307" i="15"/>
  <c r="G308" i="15"/>
  <c r="H308" i="15" s="1"/>
  <c r="I308" i="15"/>
  <c r="J308" i="15" s="1"/>
  <c r="G309" i="15"/>
  <c r="H309" i="15" s="1"/>
  <c r="I309" i="15"/>
  <c r="J309" i="15" s="1"/>
  <c r="G310" i="15"/>
  <c r="H310" i="15" s="1"/>
  <c r="I310" i="15"/>
  <c r="J310" i="15" s="1"/>
  <c r="G311" i="15"/>
  <c r="I311" i="15"/>
  <c r="G312" i="15"/>
  <c r="H312" i="15" s="1"/>
  <c r="I312" i="15"/>
  <c r="J312" i="15" s="1"/>
  <c r="G313" i="15"/>
  <c r="H313" i="15" s="1"/>
  <c r="I313" i="15"/>
  <c r="J313" i="15" s="1"/>
  <c r="G314" i="15"/>
  <c r="H314" i="15" s="1"/>
  <c r="I314" i="15"/>
  <c r="J314" i="15" s="1"/>
  <c r="G315" i="15"/>
  <c r="I315" i="15"/>
  <c r="G316" i="15"/>
  <c r="H316" i="15" s="1"/>
  <c r="I316" i="15"/>
  <c r="G317" i="15"/>
  <c r="I317" i="15"/>
  <c r="J317" i="15" s="1"/>
  <c r="G318" i="15"/>
  <c r="H318" i="15" s="1"/>
  <c r="I318" i="15"/>
  <c r="J318" i="15" s="1"/>
  <c r="G319" i="15"/>
  <c r="I319" i="15"/>
  <c r="G320" i="15"/>
  <c r="H320" i="15" s="1"/>
  <c r="I320" i="15"/>
  <c r="J320" i="15" s="1"/>
  <c r="G321" i="15"/>
  <c r="H321" i="15" s="1"/>
  <c r="I321" i="15"/>
  <c r="J321" i="15" s="1"/>
  <c r="G322" i="15"/>
  <c r="H322" i="15" s="1"/>
  <c r="I322" i="15"/>
  <c r="G323" i="15"/>
  <c r="I323" i="15"/>
  <c r="J323" i="15" s="1"/>
  <c r="G324" i="15"/>
  <c r="H324" i="15" s="1"/>
  <c r="I324" i="15"/>
  <c r="J324" i="15" s="1"/>
  <c r="G325" i="15"/>
  <c r="H325" i="15" s="1"/>
  <c r="I325" i="15"/>
  <c r="J325" i="15" s="1"/>
  <c r="G326" i="15"/>
  <c r="H326" i="15" s="1"/>
  <c r="I326" i="15"/>
  <c r="J326" i="15" s="1"/>
  <c r="G327" i="15"/>
  <c r="I327" i="15"/>
  <c r="G328" i="15"/>
  <c r="H328" i="15" s="1"/>
  <c r="I328" i="15"/>
  <c r="J328" i="15" s="1"/>
  <c r="G329" i="15"/>
  <c r="H329" i="15" s="1"/>
  <c r="I329" i="15"/>
  <c r="J329" i="15" s="1"/>
  <c r="G330" i="15"/>
  <c r="H330" i="15" s="1"/>
  <c r="I330" i="15"/>
  <c r="J330" i="15" s="1"/>
  <c r="G331" i="15"/>
  <c r="I331" i="15"/>
  <c r="G332" i="15"/>
  <c r="H332" i="15" s="1"/>
  <c r="I332" i="15"/>
  <c r="G333" i="15"/>
  <c r="H333" i="15" s="1"/>
  <c r="I333" i="15"/>
  <c r="J333" i="15" s="1"/>
  <c r="G334" i="15"/>
  <c r="H334" i="15" s="1"/>
  <c r="I334" i="15"/>
  <c r="J334" i="15" s="1"/>
  <c r="G335" i="15"/>
  <c r="I335" i="15"/>
  <c r="G336" i="15"/>
  <c r="H336" i="15" s="1"/>
  <c r="I336" i="15"/>
  <c r="J336" i="15" s="1"/>
  <c r="G337" i="15"/>
  <c r="I337" i="15"/>
  <c r="J337" i="15" s="1"/>
  <c r="G338" i="15"/>
  <c r="H338" i="15" s="1"/>
  <c r="I338" i="15"/>
  <c r="G339" i="15"/>
  <c r="I339" i="15"/>
  <c r="G340" i="15"/>
  <c r="H340" i="15" s="1"/>
  <c r="I340" i="15"/>
  <c r="J340" i="15" s="1"/>
  <c r="G341" i="15"/>
  <c r="H341" i="15" s="1"/>
  <c r="I341" i="15"/>
  <c r="J341" i="15" s="1"/>
  <c r="G342" i="15"/>
  <c r="H342" i="15" s="1"/>
  <c r="I342" i="15"/>
  <c r="J342" i="15" s="1"/>
  <c r="G343" i="15"/>
  <c r="I343" i="15"/>
  <c r="J343" i="15" s="1"/>
  <c r="G344" i="15"/>
  <c r="H344" i="15" s="1"/>
  <c r="I344" i="15"/>
  <c r="J344" i="15" s="1"/>
  <c r="G345" i="15"/>
  <c r="H345" i="15" s="1"/>
  <c r="I345" i="15"/>
  <c r="J345" i="15" s="1"/>
  <c r="G346" i="15"/>
  <c r="H346" i="15" s="1"/>
  <c r="I346" i="15"/>
  <c r="J346" i="15" s="1"/>
  <c r="G347" i="15"/>
  <c r="I347" i="15"/>
  <c r="J347" i="15" s="1"/>
  <c r="G348" i="15"/>
  <c r="H348" i="15" s="1"/>
  <c r="I348" i="15"/>
  <c r="G349" i="15"/>
  <c r="I349" i="15"/>
  <c r="J349" i="15" s="1"/>
  <c r="G350" i="15"/>
  <c r="H350" i="15" s="1"/>
  <c r="I350" i="15"/>
  <c r="J350" i="15" s="1"/>
  <c r="G351" i="15"/>
  <c r="I351" i="15"/>
  <c r="G352" i="15"/>
  <c r="H352" i="15" s="1"/>
  <c r="I352" i="15"/>
  <c r="J352" i="15" s="1"/>
  <c r="G353" i="15"/>
  <c r="H353" i="15" s="1"/>
  <c r="I353" i="15"/>
  <c r="J353" i="15" s="1"/>
  <c r="G354" i="15"/>
  <c r="H354" i="15" s="1"/>
  <c r="I354" i="15"/>
  <c r="G355" i="15"/>
  <c r="I355" i="15"/>
  <c r="G356" i="15"/>
  <c r="H356" i="15" s="1"/>
  <c r="I356" i="15"/>
  <c r="G357" i="15"/>
  <c r="H357" i="15" s="1"/>
  <c r="I357" i="15"/>
  <c r="G358" i="15"/>
  <c r="I358" i="15"/>
  <c r="J358" i="15" s="1"/>
  <c r="G359" i="15"/>
  <c r="H359" i="15" s="1"/>
  <c r="I359" i="15"/>
  <c r="J359" i="15" s="1"/>
  <c r="G360" i="15"/>
  <c r="H360" i="15" s="1"/>
  <c r="I360" i="15"/>
  <c r="J360" i="15" s="1"/>
  <c r="G361" i="15"/>
  <c r="I361" i="15"/>
  <c r="G362" i="15"/>
  <c r="H362" i="15" s="1"/>
  <c r="I362" i="15"/>
  <c r="J362" i="15" s="1"/>
  <c r="G363" i="15"/>
  <c r="H363" i="15" s="1"/>
  <c r="I363" i="15"/>
  <c r="J363" i="15" s="1"/>
  <c r="G364" i="15"/>
  <c r="H364" i="15" s="1"/>
  <c r="I364" i="15"/>
  <c r="G365" i="15"/>
  <c r="H365" i="15" s="1"/>
  <c r="I365" i="15"/>
  <c r="G366" i="15"/>
  <c r="H366" i="15" s="1"/>
  <c r="I366" i="15"/>
  <c r="J366" i="15" s="1"/>
  <c r="G367" i="15"/>
  <c r="H367" i="15" s="1"/>
  <c r="I367" i="15"/>
  <c r="J367" i="15" s="1"/>
  <c r="G368" i="15"/>
  <c r="H368" i="15" s="1"/>
  <c r="I368" i="15"/>
  <c r="J368" i="15" s="1"/>
  <c r="G369" i="15"/>
  <c r="I369" i="15"/>
  <c r="G370" i="15"/>
  <c r="H370" i="15" s="1"/>
  <c r="I370" i="15"/>
  <c r="G371" i="15"/>
  <c r="H371" i="15" s="1"/>
  <c r="I371" i="15"/>
  <c r="J371" i="15" s="1"/>
  <c r="G372" i="15"/>
  <c r="H372" i="15" s="1"/>
  <c r="I372" i="15"/>
  <c r="J372" i="15" s="1"/>
  <c r="G373" i="15"/>
  <c r="I373" i="15"/>
  <c r="G374" i="15"/>
  <c r="H374" i="15" s="1"/>
  <c r="I374" i="15"/>
  <c r="J374" i="15" s="1"/>
  <c r="G375" i="15"/>
  <c r="H375" i="15" s="1"/>
  <c r="I375" i="15"/>
  <c r="J375" i="15" s="1"/>
  <c r="G376" i="15"/>
  <c r="H376" i="15" s="1"/>
  <c r="I376" i="15"/>
  <c r="J376" i="15" s="1"/>
  <c r="G377" i="15"/>
  <c r="H377" i="15" s="1"/>
  <c r="I377" i="15"/>
  <c r="G378" i="15"/>
  <c r="H378" i="15" s="1"/>
  <c r="I378" i="15"/>
  <c r="J378" i="15" s="1"/>
  <c r="G379" i="15"/>
  <c r="H379" i="15" s="1"/>
  <c r="I379" i="15"/>
  <c r="J379" i="15" s="1"/>
  <c r="G380" i="15"/>
  <c r="I380" i="15"/>
  <c r="G381" i="15"/>
  <c r="I381" i="15"/>
  <c r="G382" i="15"/>
  <c r="H382" i="15" s="1"/>
  <c r="I382" i="15"/>
  <c r="J382" i="15" s="1"/>
  <c r="G383" i="15"/>
  <c r="H383" i="15" s="1"/>
  <c r="I383" i="15"/>
  <c r="J383" i="15" s="1"/>
  <c r="G384" i="15"/>
  <c r="H384" i="15" s="1"/>
  <c r="I384" i="15"/>
  <c r="J384" i="15" s="1"/>
  <c r="G385" i="15"/>
  <c r="H385" i="15" s="1"/>
  <c r="I385" i="15"/>
  <c r="G386" i="15"/>
  <c r="H386" i="15" s="1"/>
  <c r="I386" i="15"/>
  <c r="J386" i="15" s="1"/>
  <c r="G387" i="15"/>
  <c r="H387" i="15" s="1"/>
  <c r="I387" i="15"/>
  <c r="J387" i="15" s="1"/>
  <c r="G388" i="15"/>
  <c r="H388" i="15" s="1"/>
  <c r="I388" i="15"/>
  <c r="J388" i="15" s="1"/>
  <c r="G389" i="15"/>
  <c r="H389" i="15" s="1"/>
  <c r="I389" i="15"/>
  <c r="G390" i="15"/>
  <c r="I390" i="15"/>
  <c r="J390" i="15" s="1"/>
  <c r="G391" i="15"/>
  <c r="H391" i="15" s="1"/>
  <c r="I391" i="15"/>
  <c r="J391" i="15" s="1"/>
  <c r="G392" i="15"/>
  <c r="H392" i="15" s="1"/>
  <c r="I392" i="15"/>
  <c r="J392" i="15" s="1"/>
  <c r="G393" i="15"/>
  <c r="I393" i="15"/>
  <c r="G394" i="15"/>
  <c r="H394" i="15" s="1"/>
  <c r="I394" i="15"/>
  <c r="J394" i="15" s="1"/>
  <c r="G395" i="15"/>
  <c r="H395" i="15" s="1"/>
  <c r="I395" i="15"/>
  <c r="J395" i="15" s="1"/>
  <c r="G396" i="15"/>
  <c r="H396" i="15" s="1"/>
  <c r="I396" i="15"/>
  <c r="G397" i="15"/>
  <c r="H397" i="15" s="1"/>
  <c r="I397" i="15"/>
  <c r="G398" i="15"/>
  <c r="H398" i="15" s="1"/>
  <c r="I398" i="15"/>
  <c r="J398" i="15" s="1"/>
  <c r="G399" i="15"/>
  <c r="H399" i="15" s="1"/>
  <c r="I399" i="15"/>
  <c r="J399" i="15" s="1"/>
  <c r="G400" i="15"/>
  <c r="H400" i="15" s="1"/>
  <c r="I400" i="15"/>
  <c r="J400" i="15" s="1"/>
  <c r="G401" i="15"/>
  <c r="I401" i="15"/>
  <c r="G402" i="15"/>
  <c r="H402" i="15" s="1"/>
  <c r="I402" i="15"/>
  <c r="G403" i="15"/>
  <c r="H403" i="15" s="1"/>
  <c r="I403" i="15"/>
  <c r="J403" i="15" s="1"/>
  <c r="G404" i="15"/>
  <c r="H404" i="15" s="1"/>
  <c r="I404" i="15"/>
  <c r="J404" i="15" s="1"/>
  <c r="G405" i="15"/>
  <c r="I405" i="15"/>
  <c r="G406" i="15"/>
  <c r="H406" i="15" s="1"/>
  <c r="I406" i="15"/>
  <c r="J406" i="15" s="1"/>
  <c r="G407" i="15"/>
  <c r="H407" i="15" s="1"/>
  <c r="I407" i="15"/>
  <c r="J407" i="15" s="1"/>
  <c r="G408" i="15"/>
  <c r="H408" i="15" s="1"/>
  <c r="I408" i="15"/>
  <c r="J408" i="15" s="1"/>
  <c r="G409" i="15"/>
  <c r="H409" i="15" s="1"/>
  <c r="I409" i="15"/>
  <c r="G410" i="15"/>
  <c r="H410" i="15" s="1"/>
  <c r="I410" i="15"/>
  <c r="J410" i="15" s="1"/>
  <c r="G411" i="15"/>
  <c r="H411" i="15" s="1"/>
  <c r="I411" i="15"/>
  <c r="J411" i="15" s="1"/>
  <c r="G412" i="15"/>
  <c r="I412" i="15"/>
  <c r="G413" i="15"/>
  <c r="I413" i="15"/>
  <c r="G414" i="15"/>
  <c r="H414" i="15" s="1"/>
  <c r="I414" i="15"/>
  <c r="J414" i="15" s="1"/>
  <c r="G415" i="15"/>
  <c r="H415" i="15" s="1"/>
  <c r="I415" i="15"/>
  <c r="J415" i="15" s="1"/>
  <c r="G416" i="15"/>
  <c r="H416" i="15" s="1"/>
  <c r="I416" i="15"/>
  <c r="J416" i="15" s="1"/>
  <c r="G417" i="15"/>
  <c r="H417" i="15" s="1"/>
  <c r="I417" i="15"/>
  <c r="G418" i="15"/>
  <c r="H418" i="15" s="1"/>
  <c r="I418" i="15"/>
  <c r="G419" i="15"/>
  <c r="H419" i="15" s="1"/>
  <c r="I419" i="15"/>
  <c r="J419" i="15" s="1"/>
  <c r="G420" i="15"/>
  <c r="H420" i="15" s="1"/>
  <c r="I420" i="15"/>
  <c r="J420" i="15" s="1"/>
  <c r="G421" i="15"/>
  <c r="H421" i="15" s="1"/>
  <c r="I421" i="15"/>
  <c r="G422" i="15"/>
  <c r="I422" i="15"/>
  <c r="J422" i="15" s="1"/>
  <c r="G423" i="15"/>
  <c r="H423" i="15" s="1"/>
  <c r="I423" i="15"/>
  <c r="J423" i="15" s="1"/>
  <c r="G424" i="15"/>
  <c r="H424" i="15" s="1"/>
  <c r="I424" i="15"/>
  <c r="J424" i="15" s="1"/>
  <c r="G425" i="15"/>
  <c r="I425" i="15"/>
  <c r="G426" i="15"/>
  <c r="H426" i="15" s="1"/>
  <c r="I426" i="15"/>
  <c r="J426" i="15" s="1"/>
  <c r="G427" i="15"/>
  <c r="H427" i="15" s="1"/>
  <c r="I427" i="15"/>
  <c r="J427" i="15" s="1"/>
  <c r="G428" i="15"/>
  <c r="H428" i="15" s="1"/>
  <c r="K428" i="15" s="1"/>
  <c r="I428" i="15"/>
  <c r="G429" i="15"/>
  <c r="H429" i="15" s="1"/>
  <c r="I429" i="15"/>
  <c r="G430" i="15"/>
  <c r="H430" i="15" s="1"/>
  <c r="I430" i="15"/>
  <c r="G431" i="15"/>
  <c r="I431" i="15"/>
  <c r="J431" i="15" s="1"/>
  <c r="G432" i="15"/>
  <c r="H432" i="15" s="1"/>
  <c r="I432" i="15"/>
  <c r="G433" i="15"/>
  <c r="H433" i="15" s="1"/>
  <c r="I433" i="15"/>
  <c r="G434" i="15"/>
  <c r="H434" i="15" s="1"/>
  <c r="I434" i="15"/>
  <c r="G435" i="15"/>
  <c r="I435" i="15"/>
  <c r="J435" i="15" s="1"/>
  <c r="G436" i="15"/>
  <c r="H436" i="15" s="1"/>
  <c r="I436" i="15"/>
  <c r="G437" i="15"/>
  <c r="H437" i="15" s="1"/>
  <c r="I437" i="15"/>
  <c r="G438" i="15"/>
  <c r="H438" i="15" s="1"/>
  <c r="I438" i="15"/>
  <c r="G439" i="15"/>
  <c r="I439" i="15"/>
  <c r="G440" i="15"/>
  <c r="I440" i="15"/>
  <c r="G441" i="15"/>
  <c r="H441" i="15" s="1"/>
  <c r="I441" i="15"/>
  <c r="G442" i="15"/>
  <c r="H442" i="15" s="1"/>
  <c r="I442" i="15"/>
  <c r="G443" i="15"/>
  <c r="I443" i="15"/>
  <c r="J443" i="15" s="1"/>
  <c r="G444" i="15"/>
  <c r="I444" i="15"/>
  <c r="G445" i="15"/>
  <c r="H445" i="15" s="1"/>
  <c r="I445" i="15"/>
  <c r="G446" i="15"/>
  <c r="H446" i="15" s="1"/>
  <c r="I446" i="15"/>
  <c r="G447" i="15"/>
  <c r="I447" i="15"/>
  <c r="J447" i="15" s="1"/>
  <c r="G448" i="15"/>
  <c r="H448" i="15" s="1"/>
  <c r="I448" i="15"/>
  <c r="J448" i="15" s="1"/>
  <c r="G449" i="15"/>
  <c r="H449" i="15" s="1"/>
  <c r="I449" i="15"/>
  <c r="G450" i="15"/>
  <c r="H450" i="15" s="1"/>
  <c r="I450" i="15"/>
  <c r="G451" i="15"/>
  <c r="I451" i="15"/>
  <c r="J451" i="15" s="1"/>
  <c r="G452" i="15"/>
  <c r="H452" i="15" s="1"/>
  <c r="I452" i="15"/>
  <c r="G453" i="15"/>
  <c r="H453" i="15" s="1"/>
  <c r="I453" i="15"/>
  <c r="G454" i="15"/>
  <c r="H454" i="15" s="1"/>
  <c r="I454" i="15"/>
  <c r="G455" i="15"/>
  <c r="I455" i="15"/>
  <c r="G456" i="15"/>
  <c r="I456" i="15"/>
  <c r="G457" i="15"/>
  <c r="H457" i="15" s="1"/>
  <c r="I457" i="15"/>
  <c r="G458" i="15"/>
  <c r="H458" i="15" s="1"/>
  <c r="I458" i="15"/>
  <c r="G459" i="15"/>
  <c r="I459" i="15"/>
  <c r="J459" i="15" s="1"/>
  <c r="G460" i="15"/>
  <c r="I460" i="15"/>
  <c r="G461" i="15"/>
  <c r="H461" i="15" s="1"/>
  <c r="I461" i="15"/>
  <c r="G462" i="15"/>
  <c r="H462" i="15" s="1"/>
  <c r="I462" i="15"/>
  <c r="G463" i="15"/>
  <c r="I463" i="15"/>
  <c r="J463" i="15" s="1"/>
  <c r="G464" i="15"/>
  <c r="H464" i="15" s="1"/>
  <c r="I464" i="15"/>
  <c r="G465" i="15"/>
  <c r="H465" i="15" s="1"/>
  <c r="I465" i="15"/>
  <c r="G466" i="15"/>
  <c r="H466" i="15" s="1"/>
  <c r="I466" i="15"/>
  <c r="G467" i="15"/>
  <c r="I467" i="15"/>
  <c r="J467" i="15" s="1"/>
  <c r="G468" i="15"/>
  <c r="H468" i="15" s="1"/>
  <c r="I468" i="15"/>
  <c r="J468" i="15" s="1"/>
  <c r="G469" i="15"/>
  <c r="H469" i="15" s="1"/>
  <c r="I469" i="15"/>
  <c r="G470" i="15"/>
  <c r="H470" i="15" s="1"/>
  <c r="I470" i="15"/>
  <c r="J470" i="15" s="1"/>
  <c r="G471" i="15"/>
  <c r="I471" i="15"/>
  <c r="G472" i="15"/>
  <c r="I472" i="15"/>
  <c r="G473" i="15"/>
  <c r="H473" i="15" s="1"/>
  <c r="I473" i="15"/>
  <c r="G474" i="15"/>
  <c r="I474" i="15"/>
  <c r="J474" i="15" s="1"/>
  <c r="G475" i="15"/>
  <c r="I475" i="15"/>
  <c r="J475" i="15" s="1"/>
  <c r="G476" i="15"/>
  <c r="H476" i="15" s="1"/>
  <c r="I476" i="15"/>
  <c r="G477" i="15"/>
  <c r="H477" i="15" s="1"/>
  <c r="I477" i="15"/>
  <c r="G478" i="15"/>
  <c r="H478" i="15" s="1"/>
  <c r="I478" i="15"/>
  <c r="G479" i="15"/>
  <c r="I479" i="15"/>
  <c r="J479" i="15" s="1"/>
  <c r="G480" i="15"/>
  <c r="I480" i="15"/>
  <c r="J480" i="15" s="1"/>
  <c r="G481" i="15"/>
  <c r="H481" i="15" s="1"/>
  <c r="I481" i="15"/>
  <c r="G482" i="15"/>
  <c r="I482" i="15"/>
  <c r="G483" i="15"/>
  <c r="I483" i="15"/>
  <c r="J483" i="15" s="1"/>
  <c r="G484" i="15"/>
  <c r="I484" i="15"/>
  <c r="J484" i="15" s="1"/>
  <c r="G485" i="15"/>
  <c r="H485" i="15" s="1"/>
  <c r="I485" i="15"/>
  <c r="G486" i="15"/>
  <c r="I486" i="15"/>
  <c r="J486" i="15" s="1"/>
  <c r="G487" i="15"/>
  <c r="I487" i="15"/>
  <c r="J487" i="15" s="1"/>
  <c r="G488" i="15"/>
  <c r="I488" i="15"/>
  <c r="G489" i="15"/>
  <c r="H489" i="15" s="1"/>
  <c r="I489" i="15"/>
  <c r="G490" i="15"/>
  <c r="I490" i="15"/>
  <c r="J490" i="15" s="1"/>
  <c r="G491" i="15"/>
  <c r="I491" i="15"/>
  <c r="J491" i="15" s="1"/>
  <c r="G492" i="15"/>
  <c r="I492" i="15"/>
  <c r="G493" i="15"/>
  <c r="H493" i="15" s="1"/>
  <c r="I493" i="15"/>
  <c r="G494" i="15"/>
  <c r="H494" i="15" s="1"/>
  <c r="I494" i="15"/>
  <c r="G495" i="15"/>
  <c r="I495" i="15"/>
  <c r="J495" i="15" s="1"/>
  <c r="G496" i="15"/>
  <c r="I496" i="15"/>
  <c r="J496" i="15" s="1"/>
  <c r="G497" i="15"/>
  <c r="H497" i="15" s="1"/>
  <c r="I497" i="15"/>
  <c r="G498" i="15"/>
  <c r="I498" i="15"/>
  <c r="G499" i="15"/>
  <c r="I499" i="15"/>
  <c r="J499" i="15" s="1"/>
  <c r="G500" i="15"/>
  <c r="I500" i="15"/>
  <c r="J500" i="15" s="1"/>
  <c r="G501" i="15"/>
  <c r="H501" i="15" s="1"/>
  <c r="I501" i="15"/>
  <c r="G502" i="15"/>
  <c r="I502" i="15"/>
  <c r="J502" i="15" s="1"/>
  <c r="G503" i="15"/>
  <c r="I503" i="15"/>
  <c r="G504" i="15"/>
  <c r="I504" i="15"/>
  <c r="G505" i="15"/>
  <c r="H505" i="15" s="1"/>
  <c r="I505" i="15"/>
  <c r="G506" i="15"/>
  <c r="I506" i="15"/>
  <c r="J506" i="15" s="1"/>
  <c r="G507" i="15"/>
  <c r="I507" i="15"/>
  <c r="J507" i="15" s="1"/>
  <c r="G508" i="15"/>
  <c r="I508" i="15"/>
  <c r="G509" i="15"/>
  <c r="H509" i="15" s="1"/>
  <c r="I509" i="15"/>
  <c r="G510" i="15"/>
  <c r="H510" i="15" s="1"/>
  <c r="I510" i="15"/>
  <c r="G511" i="15"/>
  <c r="I511" i="15"/>
  <c r="J511" i="15" s="1"/>
  <c r="G512" i="15"/>
  <c r="I512" i="15"/>
  <c r="J512" i="15" s="1"/>
  <c r="G513" i="15"/>
  <c r="H513" i="15" s="1"/>
  <c r="I513" i="15"/>
  <c r="G514" i="15"/>
  <c r="I514" i="15"/>
  <c r="G515" i="15"/>
  <c r="I515" i="15"/>
  <c r="J515" i="15" s="1"/>
  <c r="G516" i="15"/>
  <c r="I516" i="15"/>
  <c r="J516" i="15" s="1"/>
  <c r="G517" i="15"/>
  <c r="H517" i="15" s="1"/>
  <c r="I517" i="15"/>
  <c r="G518" i="15"/>
  <c r="I518" i="15"/>
  <c r="J518" i="15" s="1"/>
  <c r="G519" i="15"/>
  <c r="I519" i="15"/>
  <c r="G520" i="15"/>
  <c r="I520" i="15"/>
  <c r="G521" i="15"/>
  <c r="H521" i="15" s="1"/>
  <c r="I521" i="15"/>
  <c r="G522" i="15"/>
  <c r="I522" i="15"/>
  <c r="J522" i="15" s="1"/>
  <c r="G523" i="15"/>
  <c r="I523" i="15"/>
  <c r="J523" i="15" s="1"/>
  <c r="G524" i="15"/>
  <c r="I524" i="15"/>
  <c r="G525" i="15"/>
  <c r="H525" i="15" s="1"/>
  <c r="I525" i="15"/>
  <c r="G526" i="15"/>
  <c r="H526" i="15" s="1"/>
  <c r="I526" i="15"/>
  <c r="G527" i="15"/>
  <c r="I527" i="15"/>
  <c r="J527" i="15" s="1"/>
  <c r="G528" i="15"/>
  <c r="I528" i="15"/>
  <c r="J528" i="15" s="1"/>
  <c r="G529" i="15"/>
  <c r="H529" i="15" s="1"/>
  <c r="I529" i="15"/>
  <c r="G530" i="15"/>
  <c r="I530" i="15"/>
  <c r="G531" i="15"/>
  <c r="I531" i="15"/>
  <c r="J531" i="15" s="1"/>
  <c r="G532" i="15"/>
  <c r="I532" i="15"/>
  <c r="J532" i="15" s="1"/>
  <c r="G533" i="15"/>
  <c r="H533" i="15" s="1"/>
  <c r="I533" i="15"/>
  <c r="G534" i="15"/>
  <c r="I534" i="15"/>
  <c r="J534" i="15" s="1"/>
  <c r="G535" i="15"/>
  <c r="I535" i="15"/>
  <c r="J535" i="15" s="1"/>
  <c r="G536" i="15"/>
  <c r="I536" i="15"/>
  <c r="J536" i="15" s="1"/>
  <c r="G537" i="15"/>
  <c r="H537" i="15" s="1"/>
  <c r="I537" i="15"/>
  <c r="G538" i="15"/>
  <c r="I538" i="15"/>
  <c r="J538" i="15" s="1"/>
  <c r="G539" i="15"/>
  <c r="I539" i="15"/>
  <c r="J539" i="15" s="1"/>
  <c r="G540" i="15"/>
  <c r="I540" i="15"/>
  <c r="G541" i="15"/>
  <c r="H541" i="15" s="1"/>
  <c r="I541" i="15"/>
  <c r="G542" i="15"/>
  <c r="H542" i="15" s="1"/>
  <c r="I542" i="15"/>
  <c r="G543" i="15"/>
  <c r="I543" i="15"/>
  <c r="J543" i="15" s="1"/>
  <c r="G544" i="15"/>
  <c r="I544" i="15"/>
  <c r="J544" i="15" s="1"/>
  <c r="G545" i="15"/>
  <c r="H545" i="15" s="1"/>
  <c r="I545" i="15"/>
  <c r="G546" i="15"/>
  <c r="I546" i="15"/>
  <c r="G547" i="15"/>
  <c r="I547" i="15"/>
  <c r="J547" i="15" s="1"/>
  <c r="G548" i="15"/>
  <c r="I548" i="15"/>
  <c r="J548" i="15" s="1"/>
  <c r="G549" i="15"/>
  <c r="H549" i="15" s="1"/>
  <c r="I549" i="15"/>
  <c r="G550" i="15"/>
  <c r="I550" i="15"/>
  <c r="J550" i="15" s="1"/>
  <c r="G551" i="15"/>
  <c r="I551" i="15"/>
  <c r="G552" i="15"/>
  <c r="I552" i="15"/>
  <c r="G553" i="15"/>
  <c r="H553" i="15" s="1"/>
  <c r="I553" i="15"/>
  <c r="G554" i="15"/>
  <c r="I554" i="15"/>
  <c r="J554" i="15" s="1"/>
  <c r="G555" i="15"/>
  <c r="I555" i="15"/>
  <c r="J555" i="15" s="1"/>
  <c r="G556" i="15"/>
  <c r="I556" i="15"/>
  <c r="G557" i="15"/>
  <c r="H557" i="15" s="1"/>
  <c r="I557" i="15"/>
  <c r="G558" i="15"/>
  <c r="H558" i="15" s="1"/>
  <c r="I558" i="15"/>
  <c r="G559" i="15"/>
  <c r="I559" i="15"/>
  <c r="J559" i="15" s="1"/>
  <c r="G560" i="15"/>
  <c r="I560" i="15"/>
  <c r="J560" i="15" s="1"/>
  <c r="G561" i="15"/>
  <c r="H561" i="15" s="1"/>
  <c r="I561" i="15"/>
  <c r="G562" i="15"/>
  <c r="I562" i="15"/>
  <c r="G563" i="15"/>
  <c r="I563" i="15"/>
  <c r="J563" i="15" s="1"/>
  <c r="G564" i="15"/>
  <c r="I564" i="15"/>
  <c r="J564" i="15" s="1"/>
  <c r="G565" i="15"/>
  <c r="H565" i="15" s="1"/>
  <c r="I565" i="15"/>
  <c r="G566" i="15"/>
  <c r="I566" i="15"/>
  <c r="J566" i="15" s="1"/>
  <c r="G567" i="15"/>
  <c r="I567" i="15"/>
  <c r="G568" i="15"/>
  <c r="I568" i="15"/>
  <c r="G569" i="15"/>
  <c r="H569" i="15" s="1"/>
  <c r="I569" i="15"/>
  <c r="G570" i="15"/>
  <c r="I570" i="15"/>
  <c r="J570" i="15" s="1"/>
  <c r="G571" i="15"/>
  <c r="I571" i="15"/>
  <c r="J571" i="15" s="1"/>
  <c r="G572" i="15"/>
  <c r="I572" i="15"/>
  <c r="G573" i="15"/>
  <c r="H573" i="15" s="1"/>
  <c r="I573" i="15"/>
  <c r="G574" i="15"/>
  <c r="H574" i="15" s="1"/>
  <c r="I574" i="15"/>
  <c r="G575" i="15"/>
  <c r="I575" i="15"/>
  <c r="J575" i="15" s="1"/>
  <c r="G576" i="15"/>
  <c r="I576" i="15"/>
  <c r="J576" i="15" s="1"/>
  <c r="G577" i="15"/>
  <c r="H577" i="15" s="1"/>
  <c r="I577" i="15"/>
  <c r="G578" i="15"/>
  <c r="I578" i="15"/>
  <c r="G579" i="15"/>
  <c r="I579" i="15"/>
  <c r="J579" i="15" s="1"/>
  <c r="G580" i="15"/>
  <c r="I580" i="15"/>
  <c r="J580" i="15" s="1"/>
  <c r="G581" i="15"/>
  <c r="H581" i="15" s="1"/>
  <c r="I581" i="15"/>
  <c r="G582" i="15"/>
  <c r="I582" i="15"/>
  <c r="J582" i="15" s="1"/>
  <c r="G583" i="15"/>
  <c r="I583" i="15"/>
  <c r="G584" i="15"/>
  <c r="I584" i="15"/>
  <c r="G585" i="15"/>
  <c r="H585" i="15" s="1"/>
  <c r="I585" i="15"/>
  <c r="G586" i="15"/>
  <c r="I586" i="15"/>
  <c r="J586" i="15" s="1"/>
  <c r="G587" i="15"/>
  <c r="I587" i="15"/>
  <c r="J587" i="15" s="1"/>
  <c r="G588" i="15"/>
  <c r="I588" i="15"/>
  <c r="J588" i="15" s="1"/>
  <c r="G589" i="15"/>
  <c r="H589" i="15" s="1"/>
  <c r="I589" i="15"/>
  <c r="G590" i="15"/>
  <c r="H590" i="15" s="1"/>
  <c r="I590" i="15"/>
  <c r="G591" i="15"/>
  <c r="I591" i="15"/>
  <c r="J591" i="15" s="1"/>
  <c r="G592" i="15"/>
  <c r="I592" i="15"/>
  <c r="J592" i="15" s="1"/>
  <c r="G593" i="15"/>
  <c r="H593" i="15" s="1"/>
  <c r="I593" i="15"/>
  <c r="G594" i="15"/>
  <c r="I594" i="15"/>
  <c r="G595" i="15"/>
  <c r="I595" i="15"/>
  <c r="J595" i="15" s="1"/>
  <c r="G596" i="15"/>
  <c r="I596" i="15"/>
  <c r="J596" i="15" s="1"/>
  <c r="G597" i="15"/>
  <c r="H597" i="15" s="1"/>
  <c r="I597" i="15"/>
  <c r="G598" i="15"/>
  <c r="I598" i="15"/>
  <c r="J598" i="15" s="1"/>
  <c r="G599" i="15"/>
  <c r="I599" i="15"/>
  <c r="G600" i="15"/>
  <c r="I600" i="15"/>
  <c r="G601" i="15"/>
  <c r="H601" i="15" s="1"/>
  <c r="I601" i="15"/>
  <c r="G602" i="15"/>
  <c r="I602" i="15"/>
  <c r="J602" i="15" s="1"/>
  <c r="G603" i="15"/>
  <c r="I603" i="15"/>
  <c r="J603" i="15" s="1"/>
  <c r="G604" i="15"/>
  <c r="I604" i="15"/>
  <c r="G605" i="15"/>
  <c r="H605" i="15" s="1"/>
  <c r="I605" i="15"/>
  <c r="G606" i="15"/>
  <c r="H606" i="15" s="1"/>
  <c r="I606" i="15"/>
  <c r="G607" i="15"/>
  <c r="I607" i="15"/>
  <c r="J607" i="15" s="1"/>
  <c r="G608" i="15"/>
  <c r="I608" i="15"/>
  <c r="J608" i="15" s="1"/>
  <c r="G609" i="15"/>
  <c r="H609" i="15" s="1"/>
  <c r="I609" i="15"/>
  <c r="G610" i="15"/>
  <c r="I610" i="15"/>
  <c r="G611" i="15"/>
  <c r="I611" i="15"/>
  <c r="J611" i="15" s="1"/>
  <c r="G612" i="15"/>
  <c r="I612" i="15"/>
  <c r="J612" i="15" s="1"/>
  <c r="G613" i="15"/>
  <c r="H613" i="15" s="1"/>
  <c r="I613" i="15"/>
  <c r="G614" i="15"/>
  <c r="I614" i="15"/>
  <c r="J614" i="15" s="1"/>
  <c r="G615" i="15"/>
  <c r="I615" i="15"/>
  <c r="J615" i="15" s="1"/>
  <c r="G616" i="15"/>
  <c r="I616" i="15"/>
  <c r="G617" i="15"/>
  <c r="H617" i="15" s="1"/>
  <c r="I617" i="15"/>
  <c r="G618" i="15"/>
  <c r="H618" i="15" s="1"/>
  <c r="I618" i="15"/>
  <c r="J618" i="15" s="1"/>
  <c r="G619" i="15"/>
  <c r="I619" i="15"/>
  <c r="J619" i="15" s="1"/>
  <c r="G620" i="15"/>
  <c r="I620" i="15"/>
  <c r="G621" i="15"/>
  <c r="H621" i="15" s="1"/>
  <c r="I621" i="15"/>
  <c r="G622" i="15"/>
  <c r="I622" i="15"/>
  <c r="G623" i="15"/>
  <c r="I623" i="15"/>
  <c r="J623" i="15" s="1"/>
  <c r="G624" i="15"/>
  <c r="I624" i="15"/>
  <c r="J624" i="15" s="1"/>
  <c r="G625" i="15"/>
  <c r="H625" i="15" s="1"/>
  <c r="I625" i="15"/>
  <c r="G626" i="15"/>
  <c r="H626" i="15" s="1"/>
  <c r="I626" i="15"/>
  <c r="G627" i="15"/>
  <c r="I627" i="15"/>
  <c r="J627" i="15" s="1"/>
  <c r="G628" i="15"/>
  <c r="I628" i="15"/>
  <c r="J628" i="15" s="1"/>
  <c r="G629" i="15"/>
  <c r="H629" i="15" s="1"/>
  <c r="I629" i="15"/>
  <c r="G630" i="15"/>
  <c r="I630" i="15"/>
  <c r="J630" i="15" s="1"/>
  <c r="G631" i="15"/>
  <c r="I631" i="15"/>
  <c r="J631" i="15" s="1"/>
  <c r="G632" i="15"/>
  <c r="H632" i="15" s="1"/>
  <c r="I632" i="15"/>
  <c r="J632" i="15" s="1"/>
  <c r="G633" i="15"/>
  <c r="H633" i="15" s="1"/>
  <c r="I633" i="15"/>
  <c r="J633" i="15" s="1"/>
  <c r="G634" i="15"/>
  <c r="H634" i="15" s="1"/>
  <c r="I634" i="15"/>
  <c r="J634" i="15" s="1"/>
  <c r="G635" i="15"/>
  <c r="I635" i="15"/>
  <c r="G636" i="15"/>
  <c r="H636" i="15" s="1"/>
  <c r="I636" i="15"/>
  <c r="J636" i="15" s="1"/>
  <c r="G637" i="15"/>
  <c r="H637" i="15" s="1"/>
  <c r="I637" i="15"/>
  <c r="J637" i="15" s="1"/>
  <c r="G638" i="15"/>
  <c r="H638" i="15" s="1"/>
  <c r="I638" i="15"/>
  <c r="J638" i="15" s="1"/>
  <c r="G639" i="15"/>
  <c r="I639" i="15"/>
  <c r="J639" i="15" s="1"/>
  <c r="G640" i="15"/>
  <c r="H640" i="15" s="1"/>
  <c r="I640" i="15"/>
  <c r="J640" i="15" s="1"/>
  <c r="G641" i="15"/>
  <c r="H641" i="15" s="1"/>
  <c r="I641" i="15"/>
  <c r="J641" i="15" s="1"/>
  <c r="G642" i="15"/>
  <c r="I642" i="15"/>
  <c r="J642" i="15" s="1"/>
  <c r="G643" i="15"/>
  <c r="I643" i="15"/>
  <c r="G644" i="15"/>
  <c r="H644" i="15" s="1"/>
  <c r="I644" i="15"/>
  <c r="J644" i="15" s="1"/>
  <c r="G645" i="15"/>
  <c r="H645" i="15" s="1"/>
  <c r="I645" i="15"/>
  <c r="J645" i="15" s="1"/>
  <c r="G646" i="15"/>
  <c r="I646" i="15"/>
  <c r="J646" i="15" s="1"/>
  <c r="G647" i="15"/>
  <c r="I647" i="15"/>
  <c r="G648" i="15"/>
  <c r="H648" i="15" s="1"/>
  <c r="I648" i="15"/>
  <c r="J648" i="15" s="1"/>
  <c r="G649" i="15"/>
  <c r="H649" i="15" s="1"/>
  <c r="I649" i="15"/>
  <c r="J649" i="15" s="1"/>
  <c r="G650" i="15"/>
  <c r="H650" i="15" s="1"/>
  <c r="I650" i="15"/>
  <c r="J650" i="15" s="1"/>
  <c r="G651" i="15"/>
  <c r="I651" i="15"/>
  <c r="G652" i="15"/>
  <c r="I652" i="15"/>
  <c r="J652" i="15" s="1"/>
  <c r="G653" i="15"/>
  <c r="H653" i="15" s="1"/>
  <c r="I653" i="15"/>
  <c r="J653" i="15" s="1"/>
  <c r="G654" i="15"/>
  <c r="H654" i="15" s="1"/>
  <c r="I654" i="15"/>
  <c r="J654" i="15" s="1"/>
  <c r="G655" i="15"/>
  <c r="I655" i="15"/>
  <c r="G656" i="15"/>
  <c r="H656" i="15" s="1"/>
  <c r="I656" i="15"/>
  <c r="J656" i="15" s="1"/>
  <c r="G657" i="15"/>
  <c r="H657" i="15" s="1"/>
  <c r="I657" i="15"/>
  <c r="J657" i="15" s="1"/>
  <c r="G658" i="15"/>
  <c r="I658" i="15"/>
  <c r="J658" i="15" s="1"/>
  <c r="G659" i="15"/>
  <c r="I659" i="15"/>
  <c r="G660" i="15"/>
  <c r="H660" i="15" s="1"/>
  <c r="I660" i="15"/>
  <c r="J660" i="15" s="1"/>
  <c r="G661" i="15"/>
  <c r="H661" i="15" s="1"/>
  <c r="I661" i="15"/>
  <c r="J661" i="15" s="1"/>
  <c r="G662" i="15"/>
  <c r="H662" i="15" s="1"/>
  <c r="I662" i="15"/>
  <c r="J662" i="15" s="1"/>
  <c r="G663" i="15"/>
  <c r="I663" i="15"/>
  <c r="G664" i="15"/>
  <c r="I664" i="15"/>
  <c r="J664" i="15" s="1"/>
  <c r="G665" i="15"/>
  <c r="H665" i="15" s="1"/>
  <c r="I665" i="15"/>
  <c r="J665" i="15" s="1"/>
  <c r="G666" i="15"/>
  <c r="H666" i="15" s="1"/>
  <c r="I666" i="15"/>
  <c r="J666" i="15" s="1"/>
  <c r="G667" i="15"/>
  <c r="I667" i="15"/>
  <c r="G668" i="15"/>
  <c r="I668" i="15"/>
  <c r="J668" i="15" s="1"/>
  <c r="G669" i="15"/>
  <c r="H669" i="15" s="1"/>
  <c r="I669" i="15"/>
  <c r="J669" i="15" s="1"/>
  <c r="G670" i="15"/>
  <c r="H670" i="15" s="1"/>
  <c r="I670" i="15"/>
  <c r="J670" i="15" s="1"/>
  <c r="G671" i="15"/>
  <c r="I671" i="15"/>
  <c r="J671" i="15" s="1"/>
  <c r="G672" i="15"/>
  <c r="H672" i="15" s="1"/>
  <c r="I672" i="15"/>
  <c r="J672" i="15" s="1"/>
  <c r="G673" i="15"/>
  <c r="H673" i="15" s="1"/>
  <c r="I673" i="15"/>
  <c r="G674" i="15"/>
  <c r="H674" i="15" s="1"/>
  <c r="I674" i="15"/>
  <c r="J674" i="15" s="1"/>
  <c r="G675" i="15"/>
  <c r="H675" i="15" s="1"/>
  <c r="I675" i="15"/>
  <c r="G676" i="15"/>
  <c r="H676" i="15" s="1"/>
  <c r="I676" i="15"/>
  <c r="J676" i="15" s="1"/>
  <c r="G677" i="15"/>
  <c r="H677" i="15" s="1"/>
  <c r="I677" i="15"/>
  <c r="G678" i="15"/>
  <c r="I678" i="15"/>
  <c r="J678" i="15" s="1"/>
  <c r="G679" i="15"/>
  <c r="H679" i="15" s="1"/>
  <c r="I679" i="15"/>
  <c r="G680" i="15"/>
  <c r="I680" i="15"/>
  <c r="J680" i="15" s="1"/>
  <c r="G681" i="15"/>
  <c r="H681" i="15" s="1"/>
  <c r="I681" i="15"/>
  <c r="G682" i="15"/>
  <c r="H682" i="15" s="1"/>
  <c r="I682" i="15"/>
  <c r="J682" i="15" s="1"/>
  <c r="G683" i="15"/>
  <c r="H683" i="15" s="1"/>
  <c r="I683" i="15"/>
  <c r="J683" i="15" s="1"/>
  <c r="G684" i="15"/>
  <c r="I684" i="15"/>
  <c r="J684" i="15" s="1"/>
  <c r="G685" i="15"/>
  <c r="H685" i="15" s="1"/>
  <c r="I685" i="15"/>
  <c r="G686" i="15"/>
  <c r="H686" i="15" s="1"/>
  <c r="I686" i="15"/>
  <c r="J686" i="15" s="1"/>
  <c r="G687" i="15"/>
  <c r="H687" i="15" s="1"/>
  <c r="I687" i="15"/>
  <c r="J687" i="15" s="1"/>
  <c r="G688" i="15"/>
  <c r="H688" i="15" s="1"/>
  <c r="I688" i="15"/>
  <c r="J688" i="15" s="1"/>
  <c r="G689" i="15"/>
  <c r="H689" i="15" s="1"/>
  <c r="I689" i="15"/>
  <c r="G690" i="15"/>
  <c r="H690" i="15" s="1"/>
  <c r="I690" i="15"/>
  <c r="J690" i="15" s="1"/>
  <c r="G691" i="15"/>
  <c r="H691" i="15" s="1"/>
  <c r="I691" i="15"/>
  <c r="J691" i="15" s="1"/>
  <c r="G692" i="15"/>
  <c r="H692" i="15" s="1"/>
  <c r="I692" i="15"/>
  <c r="J692" i="15" s="1"/>
  <c r="G693" i="15"/>
  <c r="H693" i="15" s="1"/>
  <c r="I693" i="15"/>
  <c r="G694" i="15"/>
  <c r="I694" i="15"/>
  <c r="J694" i="15" s="1"/>
  <c r="G695" i="15"/>
  <c r="H695" i="15" s="1"/>
  <c r="I695" i="15"/>
  <c r="G696" i="15"/>
  <c r="I696" i="15"/>
  <c r="J696" i="15" s="1"/>
  <c r="G697" i="15"/>
  <c r="H697" i="15" s="1"/>
  <c r="I697" i="15"/>
  <c r="G698" i="15"/>
  <c r="H698" i="15" s="1"/>
  <c r="I698" i="15"/>
  <c r="J698" i="15" s="1"/>
  <c r="G699" i="15"/>
  <c r="H699" i="15" s="1"/>
  <c r="I699" i="15"/>
  <c r="J699" i="15" s="1"/>
  <c r="G700" i="15"/>
  <c r="I700" i="15"/>
  <c r="J700" i="15" s="1"/>
  <c r="G701" i="15"/>
  <c r="H701" i="15" s="1"/>
  <c r="I701" i="15"/>
  <c r="G702" i="15"/>
  <c r="H702" i="15" s="1"/>
  <c r="I702" i="15"/>
  <c r="J702" i="15" s="1"/>
  <c r="G703" i="15"/>
  <c r="H703" i="15" s="1"/>
  <c r="I703" i="15"/>
  <c r="J703" i="15" s="1"/>
  <c r="G704" i="15"/>
  <c r="H704" i="15" s="1"/>
  <c r="I704" i="15"/>
  <c r="J704" i="15" s="1"/>
  <c r="G705" i="15"/>
  <c r="H705" i="15"/>
  <c r="I705" i="15"/>
  <c r="G706" i="15"/>
  <c r="H706" i="15" s="1"/>
  <c r="I706" i="15"/>
  <c r="G707" i="15"/>
  <c r="I707" i="15"/>
  <c r="G708" i="15"/>
  <c r="H708" i="15" s="1"/>
  <c r="I708" i="15"/>
  <c r="J708" i="15" s="1"/>
  <c r="G709" i="15"/>
  <c r="H709" i="15" s="1"/>
  <c r="I709" i="15"/>
  <c r="G710" i="15"/>
  <c r="H710" i="15" s="1"/>
  <c r="I710" i="15"/>
  <c r="G711" i="15"/>
  <c r="I711" i="15"/>
  <c r="G712" i="15"/>
  <c r="H712" i="15" s="1"/>
  <c r="I712" i="15"/>
  <c r="G713" i="15"/>
  <c r="H713" i="15" s="1"/>
  <c r="I713" i="15"/>
  <c r="G714" i="15"/>
  <c r="H714" i="15" s="1"/>
  <c r="I714" i="15"/>
  <c r="G715" i="15"/>
  <c r="I715" i="15"/>
  <c r="J715" i="15" s="1"/>
  <c r="G716" i="15"/>
  <c r="H716" i="15" s="1"/>
  <c r="I716" i="15"/>
  <c r="G717" i="15"/>
  <c r="H717" i="15" s="1"/>
  <c r="I717" i="15"/>
  <c r="G718" i="15"/>
  <c r="H718" i="15" s="1"/>
  <c r="I718" i="15"/>
  <c r="J718" i="15" s="1"/>
  <c r="G719" i="15"/>
  <c r="I719" i="15"/>
  <c r="J719" i="15" s="1"/>
  <c r="G720" i="15"/>
  <c r="H720" i="15" s="1"/>
  <c r="I720" i="15"/>
  <c r="J720" i="15" s="1"/>
  <c r="G721" i="15"/>
  <c r="I721" i="15"/>
  <c r="G722" i="15"/>
  <c r="H722" i="15" s="1"/>
  <c r="I722" i="15"/>
  <c r="G723" i="15"/>
  <c r="I723" i="15"/>
  <c r="G724" i="15"/>
  <c r="H724" i="15" s="1"/>
  <c r="I724" i="15"/>
  <c r="G725" i="15"/>
  <c r="H725" i="15" s="1"/>
  <c r="I725" i="15"/>
  <c r="G726" i="15"/>
  <c r="H726" i="15" s="1"/>
  <c r="I726" i="15"/>
  <c r="J726" i="15" s="1"/>
  <c r="G727" i="15"/>
  <c r="I727" i="15"/>
  <c r="G728" i="15"/>
  <c r="H728" i="15" s="1"/>
  <c r="I728" i="15"/>
  <c r="G729" i="15"/>
  <c r="H729" i="15" s="1"/>
  <c r="I729" i="15"/>
  <c r="G730" i="15"/>
  <c r="H730" i="15" s="1"/>
  <c r="I730" i="15"/>
  <c r="G731" i="15"/>
  <c r="I731" i="15"/>
  <c r="J731" i="15" s="1"/>
  <c r="G732" i="15"/>
  <c r="H732" i="15" s="1"/>
  <c r="I732" i="15"/>
  <c r="G733" i="15"/>
  <c r="I733" i="15"/>
  <c r="G734" i="15"/>
  <c r="H734" i="15" s="1"/>
  <c r="I734" i="15"/>
  <c r="J734" i="15" s="1"/>
  <c r="G735" i="15"/>
  <c r="I735" i="15"/>
  <c r="J735" i="15" s="1"/>
  <c r="G736" i="15"/>
  <c r="H736" i="15" s="1"/>
  <c r="I736" i="15"/>
  <c r="G737" i="15"/>
  <c r="I737" i="15"/>
  <c r="G738" i="15"/>
  <c r="H738" i="15" s="1"/>
  <c r="I738" i="15"/>
  <c r="J738" i="15" s="1"/>
  <c r="G739" i="15"/>
  <c r="I739" i="15"/>
  <c r="G740" i="15"/>
  <c r="H740" i="15" s="1"/>
  <c r="I740" i="15"/>
  <c r="G741" i="15"/>
  <c r="H741" i="15" s="1"/>
  <c r="I741" i="15"/>
  <c r="G742" i="15"/>
  <c r="H742" i="15" s="1"/>
  <c r="I742" i="15"/>
  <c r="G743" i="15"/>
  <c r="I743" i="15"/>
  <c r="G744" i="15"/>
  <c r="H744" i="15" s="1"/>
  <c r="I744" i="15"/>
  <c r="J744" i="15" s="1"/>
  <c r="G745" i="15"/>
  <c r="H745" i="15" s="1"/>
  <c r="I745" i="15"/>
  <c r="G746" i="15"/>
  <c r="H746" i="15" s="1"/>
  <c r="I746" i="15"/>
  <c r="G747" i="15"/>
  <c r="I747" i="15"/>
  <c r="J747" i="15" s="1"/>
  <c r="G748" i="15"/>
  <c r="H748" i="15" s="1"/>
  <c r="I748" i="15"/>
  <c r="G749" i="15"/>
  <c r="H749" i="15" s="1"/>
  <c r="I749" i="15"/>
  <c r="G750" i="15"/>
  <c r="H750" i="15" s="1"/>
  <c r="I750" i="15"/>
  <c r="G751" i="15"/>
  <c r="I751" i="15"/>
  <c r="J751" i="15" s="1"/>
  <c r="G752" i="15"/>
  <c r="H752" i="15" s="1"/>
  <c r="I752" i="15"/>
  <c r="J752" i="15" s="1"/>
  <c r="G753" i="15"/>
  <c r="I753" i="15"/>
  <c r="G754" i="15"/>
  <c r="H754" i="15" s="1"/>
  <c r="I754" i="15"/>
  <c r="J754" i="15" s="1"/>
  <c r="G755" i="15"/>
  <c r="I755" i="15"/>
  <c r="G756" i="15"/>
  <c r="H756" i="15" s="1"/>
  <c r="I756" i="15"/>
  <c r="G757" i="15"/>
  <c r="H757" i="15" s="1"/>
  <c r="I757" i="15"/>
  <c r="G758" i="15"/>
  <c r="H758" i="15" s="1"/>
  <c r="I758" i="15"/>
  <c r="G759" i="15"/>
  <c r="I759" i="15"/>
  <c r="G760" i="15"/>
  <c r="H760" i="15" s="1"/>
  <c r="I760" i="15"/>
  <c r="J760" i="15" s="1"/>
  <c r="G761" i="15"/>
  <c r="H761" i="15" s="1"/>
  <c r="I761" i="15"/>
  <c r="I3" i="15"/>
  <c r="J3" i="15" s="1"/>
  <c r="G3" i="15"/>
  <c r="H3" i="15" s="1"/>
  <c r="AY1" i="15" l="1"/>
  <c r="AZ4" i="15"/>
  <c r="AZ8" i="15"/>
  <c r="AZ12" i="15"/>
  <c r="AZ16" i="15"/>
  <c r="AZ20" i="15"/>
  <c r="AZ24" i="15"/>
  <c r="AZ28" i="15"/>
  <c r="AZ32" i="15"/>
  <c r="AZ36" i="15"/>
  <c r="AZ40" i="15"/>
  <c r="AZ44" i="15"/>
  <c r="AZ48" i="15"/>
  <c r="AZ52" i="15"/>
  <c r="AZ56" i="15"/>
  <c r="AZ60" i="15"/>
  <c r="AZ3" i="15"/>
  <c r="AZ5" i="15"/>
  <c r="AZ9" i="15"/>
  <c r="AZ13" i="15"/>
  <c r="AZ17" i="15"/>
  <c r="AZ21" i="15"/>
  <c r="AZ25" i="15"/>
  <c r="AZ29" i="15"/>
  <c r="AZ33" i="15"/>
  <c r="AZ37" i="15"/>
  <c r="AZ41" i="15"/>
  <c r="AZ45" i="15"/>
  <c r="AZ49" i="15"/>
  <c r="AZ53" i="15"/>
  <c r="AZ57" i="15"/>
  <c r="AZ61" i="15"/>
  <c r="AZ6" i="15"/>
  <c r="AZ10" i="15"/>
  <c r="AZ14" i="15"/>
  <c r="AZ18" i="15"/>
  <c r="AZ22" i="15"/>
  <c r="AZ26" i="15"/>
  <c r="AZ30" i="15"/>
  <c r="AZ34" i="15"/>
  <c r="AZ38" i="15"/>
  <c r="AZ42" i="15"/>
  <c r="AZ46" i="15"/>
  <c r="AZ50" i="15"/>
  <c r="AZ54" i="15"/>
  <c r="AZ58" i="15"/>
  <c r="AZ62" i="15"/>
  <c r="AZ7" i="15"/>
  <c r="AZ23" i="15"/>
  <c r="AZ39" i="15"/>
  <c r="AZ55" i="15"/>
  <c r="AZ35" i="15"/>
  <c r="AZ11" i="15"/>
  <c r="AZ27" i="15"/>
  <c r="AZ43" i="15"/>
  <c r="AZ59" i="15"/>
  <c r="AZ19" i="15"/>
  <c r="AZ15" i="15"/>
  <c r="AZ31" i="15"/>
  <c r="AZ47" i="15"/>
  <c r="AZ63" i="15"/>
  <c r="AZ51" i="15"/>
  <c r="J1842" i="15"/>
  <c r="L1842" i="15" s="1"/>
  <c r="H1521" i="15"/>
  <c r="K1521" i="15"/>
  <c r="H1495" i="15"/>
  <c r="K1495" i="15" s="1"/>
  <c r="H1489" i="15"/>
  <c r="K1489" i="15"/>
  <c r="H1427" i="15"/>
  <c r="K1427" i="15" s="1"/>
  <c r="J1327" i="15"/>
  <c r="L1327" i="15"/>
  <c r="K2001" i="15"/>
  <c r="L1990" i="15"/>
  <c r="K1985" i="15"/>
  <c r="L1934" i="15"/>
  <c r="L1906" i="15"/>
  <c r="L1890" i="15"/>
  <c r="J1618" i="15"/>
  <c r="L1618" i="15"/>
  <c r="H1527" i="15"/>
  <c r="K1527" i="15"/>
  <c r="H1475" i="15"/>
  <c r="K1475" i="15"/>
  <c r="H1473" i="15"/>
  <c r="K1473" i="15"/>
  <c r="L1456" i="15"/>
  <c r="K1447" i="15"/>
  <c r="H1441" i="15"/>
  <c r="K1441" i="15"/>
  <c r="H1399" i="15"/>
  <c r="K1399" i="15"/>
  <c r="J1377" i="15"/>
  <c r="L1377" i="15"/>
  <c r="H1366" i="15"/>
  <c r="K1366" i="15"/>
  <c r="J1361" i="15"/>
  <c r="L1361" i="15"/>
  <c r="J1355" i="15"/>
  <c r="L1355" i="15"/>
  <c r="H1314" i="15"/>
  <c r="K1314" i="15"/>
  <c r="J1301" i="15"/>
  <c r="L1301" i="15"/>
  <c r="H1190" i="15"/>
  <c r="K1190" i="15"/>
  <c r="L1978" i="15"/>
  <c r="K1977" i="15"/>
  <c r="L1970" i="15"/>
  <c r="K1969" i="15"/>
  <c r="L1962" i="15"/>
  <c r="K1961" i="15"/>
  <c r="L1954" i="15"/>
  <c r="L1918" i="15"/>
  <c r="J1854" i="15"/>
  <c r="L1854" i="15" s="1"/>
  <c r="L1822" i="15"/>
  <c r="L1778" i="15"/>
  <c r="J1722" i="15"/>
  <c r="L1722" i="15"/>
  <c r="H1523" i="15"/>
  <c r="K1523" i="15" s="1"/>
  <c r="J1500" i="15"/>
  <c r="L1500" i="15"/>
  <c r="J1446" i="15"/>
  <c r="L1446" i="15" s="1"/>
  <c r="H1443" i="15"/>
  <c r="K1443" i="15"/>
  <c r="K1415" i="15"/>
  <c r="J1342" i="15"/>
  <c r="L1342" i="15" s="1"/>
  <c r="H1186" i="15"/>
  <c r="K1186" i="15"/>
  <c r="H1166" i="15"/>
  <c r="K1166" i="15" s="1"/>
  <c r="J1950" i="15"/>
  <c r="L1950" i="15" s="1"/>
  <c r="L1938" i="15"/>
  <c r="L1902" i="15"/>
  <c r="L1886" i="15"/>
  <c r="L1838" i="15"/>
  <c r="L1810" i="15"/>
  <c r="L1662" i="15"/>
  <c r="J1548" i="15"/>
  <c r="L1548" i="15"/>
  <c r="J1532" i="15"/>
  <c r="L1532" i="15" s="1"/>
  <c r="J1526" i="15"/>
  <c r="L1526" i="15" s="1"/>
  <c r="H1519" i="15"/>
  <c r="K1519" i="15"/>
  <c r="L1516" i="15"/>
  <c r="L1494" i="15"/>
  <c r="H1487" i="15"/>
  <c r="K1487" i="15"/>
  <c r="L1484" i="15"/>
  <c r="J1472" i="15"/>
  <c r="L1472" i="15"/>
  <c r="H1471" i="15"/>
  <c r="K1471" i="15" s="1"/>
  <c r="J1440" i="15"/>
  <c r="L1440" i="15"/>
  <c r="H1439" i="15"/>
  <c r="K1439" i="15" s="1"/>
  <c r="J1414" i="15"/>
  <c r="L1414" i="15"/>
  <c r="J1404" i="15"/>
  <c r="L1404" i="15" s="1"/>
  <c r="J1398" i="15"/>
  <c r="L1398" i="15" s="1"/>
  <c r="H1378" i="15"/>
  <c r="K1378" i="15" s="1"/>
  <c r="H1362" i="15"/>
  <c r="K1362" i="15"/>
  <c r="J1359" i="15"/>
  <c r="L1359" i="15" s="1"/>
  <c r="J1343" i="15"/>
  <c r="L1343" i="15"/>
  <c r="J1267" i="15"/>
  <c r="L1267" i="15" s="1"/>
  <c r="J1247" i="15"/>
  <c r="L1247" i="15" s="1"/>
  <c r="H1188" i="15"/>
  <c r="K1188" i="15" s="1"/>
  <c r="H1146" i="15"/>
  <c r="K1146" i="15"/>
  <c r="J1387" i="15"/>
  <c r="L1387" i="15" s="1"/>
  <c r="L1309" i="15"/>
  <c r="L1279" i="15"/>
  <c r="H1150" i="15"/>
  <c r="K1150" i="15" s="1"/>
  <c r="J1143" i="15"/>
  <c r="L1143" i="15"/>
  <c r="H1142" i="15"/>
  <c r="K1142" i="15" s="1"/>
  <c r="H1099" i="15"/>
  <c r="K1099" i="15"/>
  <c r="J1073" i="15"/>
  <c r="L1073" i="15" s="1"/>
  <c r="J1029" i="15"/>
  <c r="L1029" i="15"/>
  <c r="L1285" i="15"/>
  <c r="J1221" i="15"/>
  <c r="L1221" i="15" s="1"/>
  <c r="K1090" i="15"/>
  <c r="H1086" i="15"/>
  <c r="K1086" i="15" s="1"/>
  <c r="L1870" i="15"/>
  <c r="L1806" i="15"/>
  <c r="K1511" i="15"/>
  <c r="K1479" i="15"/>
  <c r="J1378" i="15"/>
  <c r="L1378" i="15"/>
  <c r="L1365" i="15"/>
  <c r="K1282" i="15"/>
  <c r="K1274" i="15"/>
  <c r="K1272" i="15"/>
  <c r="H1256" i="15"/>
  <c r="K1256" i="15" s="1"/>
  <c r="H1254" i="15"/>
  <c r="K1254" i="15"/>
  <c r="H1230" i="15"/>
  <c r="K1230" i="15" s="1"/>
  <c r="K852" i="15"/>
  <c r="L1087" i="15"/>
  <c r="K763" i="15"/>
  <c r="K397" i="15"/>
  <c r="L103" i="15"/>
  <c r="K357" i="15"/>
  <c r="L754" i="15"/>
  <c r="L1993" i="15"/>
  <c r="J1993" i="15"/>
  <c r="J1949" i="15"/>
  <c r="L1949" i="15" s="1"/>
  <c r="L1924" i="15"/>
  <c r="J1924" i="15"/>
  <c r="J1917" i="15"/>
  <c r="L1917" i="15" s="1"/>
  <c r="L1892" i="15"/>
  <c r="J1892" i="15"/>
  <c r="J1885" i="15"/>
  <c r="L1885" i="15" s="1"/>
  <c r="L1860" i="15"/>
  <c r="J1860" i="15"/>
  <c r="J1853" i="15"/>
  <c r="L1853" i="15" s="1"/>
  <c r="L1828" i="15"/>
  <c r="J1828" i="15"/>
  <c r="J1821" i="15"/>
  <c r="L1821" i="15" s="1"/>
  <c r="L1797" i="15"/>
  <c r="J1797" i="15"/>
  <c r="J1786" i="15"/>
  <c r="L1786" i="15" s="1"/>
  <c r="L1749" i="15"/>
  <c r="J1749" i="15"/>
  <c r="J1733" i="15"/>
  <c r="L1733" i="15" s="1"/>
  <c r="L1718" i="15"/>
  <c r="J1718" i="15"/>
  <c r="J1702" i="15"/>
  <c r="L1702" i="15" s="1"/>
  <c r="L1684" i="15"/>
  <c r="J1684" i="15"/>
  <c r="J1664" i="15"/>
  <c r="L1664" i="15" s="1"/>
  <c r="L1617" i="15"/>
  <c r="J1617" i="15"/>
  <c r="J1602" i="15"/>
  <c r="L1602" i="15" s="1"/>
  <c r="J1556" i="15"/>
  <c r="L1556" i="15" s="1"/>
  <c r="J1512" i="15"/>
  <c r="L1512" i="15" s="1"/>
  <c r="H1461" i="15"/>
  <c r="K1461" i="15" s="1"/>
  <c r="L1442" i="15"/>
  <c r="J1442" i="15"/>
  <c r="H1419" i="15"/>
  <c r="K1419" i="15" s="1"/>
  <c r="H1417" i="15"/>
  <c r="K1417" i="15" s="1"/>
  <c r="J1390" i="15"/>
  <c r="L1390" i="15" s="1"/>
  <c r="H1320" i="15"/>
  <c r="K1320" i="15" s="1"/>
  <c r="J1307" i="15"/>
  <c r="L1307" i="15" s="1"/>
  <c r="H1306" i="15"/>
  <c r="K1306" i="15" s="1"/>
  <c r="J1255" i="15"/>
  <c r="L1255" i="15" s="1"/>
  <c r="K1252" i="15"/>
  <c r="H1252" i="15"/>
  <c r="H1206" i="15"/>
  <c r="K1206" i="15" s="1"/>
  <c r="K1192" i="15"/>
  <c r="H1192" i="15"/>
  <c r="J1151" i="15"/>
  <c r="L1151" i="15" s="1"/>
  <c r="J1099" i="15"/>
  <c r="L1099" i="15" s="1"/>
  <c r="H1098" i="15"/>
  <c r="K1098" i="15" s="1"/>
  <c r="L907" i="15"/>
  <c r="J907" i="15"/>
  <c r="H904" i="15"/>
  <c r="K904" i="15" s="1"/>
  <c r="H898" i="15"/>
  <c r="K898" i="15" s="1"/>
  <c r="H878" i="15"/>
  <c r="K878" i="15" s="1"/>
  <c r="H876" i="15"/>
  <c r="K876" i="15" s="1"/>
  <c r="J861" i="15"/>
  <c r="L861" i="15" s="1"/>
  <c r="H860" i="15"/>
  <c r="K860" i="15" s="1"/>
  <c r="H795" i="15"/>
  <c r="K795" i="15" s="1"/>
  <c r="J777" i="15"/>
  <c r="L777" i="15" s="1"/>
  <c r="J1989" i="15"/>
  <c r="L1989" i="15" s="1"/>
  <c r="L1981" i="15"/>
  <c r="J1981" i="15"/>
  <c r="J1973" i="15"/>
  <c r="L1973" i="15" s="1"/>
  <c r="L1965" i="15"/>
  <c r="J1965" i="15"/>
  <c r="J1957" i="15"/>
  <c r="L1957" i="15" s="1"/>
  <c r="L1946" i="15"/>
  <c r="J1932" i="15"/>
  <c r="L1932" i="15" s="1"/>
  <c r="J1925" i="15"/>
  <c r="L1925" i="15" s="1"/>
  <c r="L1914" i="15"/>
  <c r="L1900" i="15"/>
  <c r="J1900" i="15"/>
  <c r="J1893" i="15"/>
  <c r="L1893" i="15" s="1"/>
  <c r="L1882" i="15"/>
  <c r="J1868" i="15"/>
  <c r="L1868" i="15" s="1"/>
  <c r="J1861" i="15"/>
  <c r="L1861" i="15" s="1"/>
  <c r="L1850" i="15"/>
  <c r="L1836" i="15"/>
  <c r="J1836" i="15"/>
  <c r="J1829" i="15"/>
  <c r="L1829" i="15" s="1"/>
  <c r="L1818" i="15"/>
  <c r="J1773" i="15"/>
  <c r="L1773" i="15" s="1"/>
  <c r="L1770" i="15"/>
  <c r="L1757" i="15"/>
  <c r="J1757" i="15"/>
  <c r="L1754" i="15"/>
  <c r="J1724" i="15"/>
  <c r="L1724" i="15" s="1"/>
  <c r="J1665" i="15"/>
  <c r="L1665" i="15" s="1"/>
  <c r="J1560" i="15"/>
  <c r="L1560" i="15" s="1"/>
  <c r="H1547" i="15"/>
  <c r="K1547" i="15"/>
  <c r="H1545" i="15"/>
  <c r="K1545" i="15" s="1"/>
  <c r="J1444" i="15"/>
  <c r="L1444" i="15" s="1"/>
  <c r="J2001" i="15"/>
  <c r="L2001" i="15" s="1"/>
  <c r="K1997" i="15"/>
  <c r="L1994" i="15"/>
  <c r="J1985" i="15"/>
  <c r="L1985" i="15" s="1"/>
  <c r="J1940" i="15"/>
  <c r="L1940" i="15" s="1"/>
  <c r="J1933" i="15"/>
  <c r="L1933" i="15" s="1"/>
  <c r="J1908" i="15"/>
  <c r="L1908" i="15" s="1"/>
  <c r="J1901" i="15"/>
  <c r="L1901" i="15" s="1"/>
  <c r="J1876" i="15"/>
  <c r="L1876" i="15" s="1"/>
  <c r="J1869" i="15"/>
  <c r="L1869" i="15" s="1"/>
  <c r="J1844" i="15"/>
  <c r="L1844" i="15" s="1"/>
  <c r="J1837" i="15"/>
  <c r="L1837" i="15" s="1"/>
  <c r="J1812" i="15"/>
  <c r="L1812" i="15" s="1"/>
  <c r="J1670" i="15"/>
  <c r="L1670" i="15" s="1"/>
  <c r="J1658" i="15"/>
  <c r="L1658" i="15"/>
  <c r="J1642" i="15"/>
  <c r="L1642" i="15" s="1"/>
  <c r="J1554" i="15"/>
  <c r="L1554" i="15" s="1"/>
  <c r="H1525" i="15"/>
  <c r="K1525" i="15" s="1"/>
  <c r="J1506" i="15"/>
  <c r="L1506" i="15" s="1"/>
  <c r="H1483" i="15"/>
  <c r="K1483" i="15" s="1"/>
  <c r="H1481" i="15"/>
  <c r="K1481" i="15"/>
  <c r="J1448" i="15"/>
  <c r="L1448" i="15" s="1"/>
  <c r="J1997" i="15"/>
  <c r="L1997" i="15" s="1"/>
  <c r="K1993" i="15"/>
  <c r="L1977" i="15"/>
  <c r="J1977" i="15"/>
  <c r="J1969" i="15"/>
  <c r="L1969" i="15" s="1"/>
  <c r="L1961" i="15"/>
  <c r="J1961" i="15"/>
  <c r="J1948" i="15"/>
  <c r="L1948" i="15" s="1"/>
  <c r="K1946" i="15"/>
  <c r="H1946" i="15"/>
  <c r="J1941" i="15"/>
  <c r="L1941" i="15" s="1"/>
  <c r="L1930" i="15"/>
  <c r="J1916" i="15"/>
  <c r="L1916" i="15" s="1"/>
  <c r="J1909" i="15"/>
  <c r="L1909" i="15" s="1"/>
  <c r="L1898" i="15"/>
  <c r="L1884" i="15"/>
  <c r="J1884" i="15"/>
  <c r="J1877" i="15"/>
  <c r="L1877" i="15" s="1"/>
  <c r="L1866" i="15"/>
  <c r="J1852" i="15"/>
  <c r="L1852" i="15" s="1"/>
  <c r="J1845" i="15"/>
  <c r="L1845" i="15" s="1"/>
  <c r="L1834" i="15"/>
  <c r="L1820" i="15"/>
  <c r="J1820" i="15"/>
  <c r="J1813" i="15"/>
  <c r="L1813" i="15" s="1"/>
  <c r="J1802" i="15"/>
  <c r="L1802" i="15" s="1"/>
  <c r="L1796" i="15"/>
  <c r="J1796" i="15"/>
  <c r="L1790" i="15"/>
  <c r="J1732" i="15"/>
  <c r="L1732" i="15" s="1"/>
  <c r="J1714" i="15"/>
  <c r="L1714" i="15" s="1"/>
  <c r="J1698" i="15"/>
  <c r="L1698" i="15"/>
  <c r="J1692" i="15"/>
  <c r="L1692" i="15" s="1"/>
  <c r="J1645" i="15"/>
  <c r="L1645" i="15" s="1"/>
  <c r="J1613" i="15"/>
  <c r="L1613" i="15" s="1"/>
  <c r="J1508" i="15"/>
  <c r="L1508" i="15" s="1"/>
  <c r="L1945" i="15"/>
  <c r="L1944" i="15"/>
  <c r="L1929" i="15"/>
  <c r="L1928" i="15"/>
  <c r="L1913" i="15"/>
  <c r="L1912" i="15"/>
  <c r="L1897" i="15"/>
  <c r="L1896" i="15"/>
  <c r="L1881" i="15"/>
  <c r="L1880" i="15"/>
  <c r="L1865" i="15"/>
  <c r="L1864" i="15"/>
  <c r="L1849" i="15"/>
  <c r="L1848" i="15"/>
  <c r="L1833" i="15"/>
  <c r="L1832" i="15"/>
  <c r="L1817" i="15"/>
  <c r="L1816" i="15"/>
  <c r="L1801" i="15"/>
  <c r="L1800" i="15"/>
  <c r="L1782" i="15"/>
  <c r="L1762" i="15"/>
  <c r="J1744" i="15"/>
  <c r="L1744" i="15" s="1"/>
  <c r="J1740" i="15"/>
  <c r="L1740" i="15" s="1"/>
  <c r="L1717" i="15"/>
  <c r="L1716" i="15"/>
  <c r="L1713" i="15"/>
  <c r="L1712" i="15"/>
  <c r="J1693" i="15"/>
  <c r="L1693" i="15" s="1"/>
  <c r="J1685" i="15"/>
  <c r="L1685" i="15" s="1"/>
  <c r="L1669" i="15"/>
  <c r="L1668" i="15"/>
  <c r="J1660" i="15"/>
  <c r="L1660" i="15" s="1"/>
  <c r="L1654" i="15"/>
  <c r="L1638" i="15"/>
  <c r="J1628" i="15"/>
  <c r="L1628" i="15" s="1"/>
  <c r="J1620" i="15"/>
  <c r="L1620" i="15" s="1"/>
  <c r="J1606" i="15"/>
  <c r="L1606" i="15" s="1"/>
  <c r="L1601" i="15"/>
  <c r="L1600" i="15"/>
  <c r="K1598" i="15"/>
  <c r="J1581" i="15"/>
  <c r="L1581" i="15" s="1"/>
  <c r="L1578" i="15"/>
  <c r="K1557" i="15"/>
  <c r="H1531" i="15"/>
  <c r="K1531" i="15" s="1"/>
  <c r="H1529" i="15"/>
  <c r="K1529" i="15" s="1"/>
  <c r="K1509" i="15"/>
  <c r="J1496" i="15"/>
  <c r="L1496" i="15" s="1"/>
  <c r="L1492" i="15"/>
  <c r="L1490" i="15"/>
  <c r="H1467" i="15"/>
  <c r="K1467" i="15" s="1"/>
  <c r="H1465" i="15"/>
  <c r="K1465" i="15"/>
  <c r="K1445" i="15"/>
  <c r="J1432" i="15"/>
  <c r="L1432" i="15" s="1"/>
  <c r="L1428" i="15"/>
  <c r="L1426" i="15"/>
  <c r="H1403" i="15"/>
  <c r="K1403" i="15" s="1"/>
  <c r="J1335" i="15"/>
  <c r="L1335" i="15" s="1"/>
  <c r="K1331" i="15"/>
  <c r="H1331" i="15"/>
  <c r="H1266" i="15"/>
  <c r="K1266" i="15" s="1"/>
  <c r="L1805" i="15"/>
  <c r="L1804" i="15"/>
  <c r="L1789" i="15"/>
  <c r="L1788" i="15"/>
  <c r="L1781" i="15"/>
  <c r="L1780" i="15"/>
  <c r="L1777" i="15"/>
  <c r="L1776" i="15"/>
  <c r="L1766" i="15"/>
  <c r="J1745" i="15"/>
  <c r="L1745" i="15" s="1"/>
  <c r="J1741" i="15"/>
  <c r="L1741" i="15" s="1"/>
  <c r="J1730" i="15"/>
  <c r="L1730" i="15"/>
  <c r="J1680" i="15"/>
  <c r="L1680" i="15" s="1"/>
  <c r="J1676" i="15"/>
  <c r="L1676" i="15" s="1"/>
  <c r="L1653" i="15"/>
  <c r="L1652" i="15"/>
  <c r="L1649" i="15"/>
  <c r="L1648" i="15"/>
  <c r="J1629" i="15"/>
  <c r="L1629" i="15" s="1"/>
  <c r="J1621" i="15"/>
  <c r="L1621" i="15" s="1"/>
  <c r="L1605" i="15"/>
  <c r="L1604" i="15"/>
  <c r="J1596" i="15"/>
  <c r="L1596" i="15" s="1"/>
  <c r="L1590" i="15"/>
  <c r="L1574" i="15"/>
  <c r="H1561" i="15"/>
  <c r="K1561" i="15" s="1"/>
  <c r="J1544" i="15"/>
  <c r="L1544" i="15"/>
  <c r="L1540" i="15"/>
  <c r="L1538" i="15"/>
  <c r="H1515" i="15"/>
  <c r="K1515" i="15"/>
  <c r="H1513" i="15"/>
  <c r="K1513" i="15" s="1"/>
  <c r="K1493" i="15"/>
  <c r="J1480" i="15"/>
  <c r="L1480" i="15" s="1"/>
  <c r="L1476" i="15"/>
  <c r="L1474" i="15"/>
  <c r="H1451" i="15"/>
  <c r="K1451" i="15" s="1"/>
  <c r="H1449" i="15"/>
  <c r="K1449" i="15" s="1"/>
  <c r="K1429" i="15"/>
  <c r="J1416" i="15"/>
  <c r="L1416" i="15"/>
  <c r="L1412" i="15"/>
  <c r="J1374" i="15"/>
  <c r="L1374" i="15" s="1"/>
  <c r="H1346" i="15"/>
  <c r="K1346" i="15" s="1"/>
  <c r="J1297" i="15"/>
  <c r="L1297" i="15" s="1"/>
  <c r="H1278" i="15"/>
  <c r="K1278" i="15" s="1"/>
  <c r="L1953" i="15"/>
  <c r="L1952" i="15"/>
  <c r="L1937" i="15"/>
  <c r="L1936" i="15"/>
  <c r="L1921" i="15"/>
  <c r="L1920" i="15"/>
  <c r="L1905" i="15"/>
  <c r="L1904" i="15"/>
  <c r="L1889" i="15"/>
  <c r="L1888" i="15"/>
  <c r="L1873" i="15"/>
  <c r="L1872" i="15"/>
  <c r="L1857" i="15"/>
  <c r="L1856" i="15"/>
  <c r="K1854" i="15"/>
  <c r="L1841" i="15"/>
  <c r="L1840" i="15"/>
  <c r="L1825" i="15"/>
  <c r="L1824" i="15"/>
  <c r="L1809" i="15"/>
  <c r="L1808" i="15"/>
  <c r="L1793" i="15"/>
  <c r="L1792" i="15"/>
  <c r="J1772" i="15"/>
  <c r="L1772" i="15" s="1"/>
  <c r="L1765" i="15"/>
  <c r="L1764" i="15"/>
  <c r="L1761" i="15"/>
  <c r="L1756" i="15"/>
  <c r="J1756" i="15"/>
  <c r="J1748" i="15"/>
  <c r="L1748" i="15" s="1"/>
  <c r="L1734" i="15"/>
  <c r="J1734" i="15"/>
  <c r="L1729" i="15"/>
  <c r="L1728" i="15"/>
  <c r="K1726" i="15"/>
  <c r="J1709" i="15"/>
  <c r="L1709" i="15" s="1"/>
  <c r="L1706" i="15"/>
  <c r="J1681" i="15"/>
  <c r="L1681" i="15" s="1"/>
  <c r="L1677" i="15"/>
  <c r="J1677" i="15"/>
  <c r="J1666" i="15"/>
  <c r="L1666" i="15" s="1"/>
  <c r="L1616" i="15"/>
  <c r="J1616" i="15"/>
  <c r="J1612" i="15"/>
  <c r="L1612" i="15" s="1"/>
  <c r="L1589" i="15"/>
  <c r="L1588" i="15"/>
  <c r="L1585" i="15"/>
  <c r="L1584" i="15"/>
  <c r="K1582" i="15"/>
  <c r="K1555" i="15"/>
  <c r="K1541" i="15"/>
  <c r="J1528" i="15"/>
  <c r="L1528" i="15"/>
  <c r="L1524" i="15"/>
  <c r="L1522" i="15"/>
  <c r="H1499" i="15"/>
  <c r="K1499" i="15"/>
  <c r="H1497" i="15"/>
  <c r="K1497" i="15" s="1"/>
  <c r="K1477" i="15"/>
  <c r="J1464" i="15"/>
  <c r="L1464" i="15" s="1"/>
  <c r="L1460" i="15"/>
  <c r="L1458" i="15"/>
  <c r="H1435" i="15"/>
  <c r="K1435" i="15" s="1"/>
  <c r="H1433" i="15"/>
  <c r="K1433" i="15" s="1"/>
  <c r="J1400" i="15"/>
  <c r="L1400" i="15" s="1"/>
  <c r="L1396" i="15"/>
  <c r="H1300" i="15"/>
  <c r="K1300" i="15" s="1"/>
  <c r="K1413" i="15"/>
  <c r="L1410" i="15"/>
  <c r="K1397" i="15"/>
  <c r="J1381" i="15"/>
  <c r="L1381" i="15" s="1"/>
  <c r="H1372" i="15"/>
  <c r="K1372" i="15" s="1"/>
  <c r="J1362" i="15"/>
  <c r="L1362" i="15" s="1"/>
  <c r="K1336" i="15"/>
  <c r="J1333" i="15"/>
  <c r="L1333" i="15"/>
  <c r="L1293" i="15"/>
  <c r="J1259" i="15"/>
  <c r="L1259" i="15" s="1"/>
  <c r="H1258" i="15"/>
  <c r="K1258" i="15" s="1"/>
  <c r="J1245" i="15"/>
  <c r="L1245" i="15" s="1"/>
  <c r="H1234" i="15"/>
  <c r="K1234" i="15" s="1"/>
  <c r="J1213" i="15"/>
  <c r="L1213" i="15" s="1"/>
  <c r="L1189" i="15"/>
  <c r="J1189" i="15"/>
  <c r="J1181" i="15"/>
  <c r="L1181" i="15" s="1"/>
  <c r="L1159" i="15"/>
  <c r="J1159" i="15"/>
  <c r="H1130" i="15"/>
  <c r="K1130" i="15" s="1"/>
  <c r="H1128" i="15"/>
  <c r="K1128" i="15" s="1"/>
  <c r="J1103" i="15"/>
  <c r="L1103" i="15" s="1"/>
  <c r="H1102" i="15"/>
  <c r="K1102" i="15" s="1"/>
  <c r="H1080" i="15"/>
  <c r="K1080" i="15" s="1"/>
  <c r="H1071" i="15"/>
  <c r="K1071" i="15" s="1"/>
  <c r="J1053" i="15"/>
  <c r="L1053" i="15" s="1"/>
  <c r="H1028" i="15"/>
  <c r="K1028" i="15" s="1"/>
  <c r="H1007" i="15"/>
  <c r="K1007" i="15" s="1"/>
  <c r="H962" i="15"/>
  <c r="K962" i="15" s="1"/>
  <c r="H948" i="15"/>
  <c r="K948" i="15" s="1"/>
  <c r="J935" i="15"/>
  <c r="L935" i="15" s="1"/>
  <c r="H934" i="15"/>
  <c r="K934" i="15" s="1"/>
  <c r="J1358" i="15"/>
  <c r="L1358" i="15" s="1"/>
  <c r="L1357" i="15"/>
  <c r="K1356" i="15"/>
  <c r="L1329" i="15"/>
  <c r="L1323" i="15"/>
  <c r="J1319" i="15"/>
  <c r="L1319" i="15" s="1"/>
  <c r="L1315" i="15"/>
  <c r="H1294" i="15"/>
  <c r="K1294" i="15" s="1"/>
  <c r="H1290" i="15"/>
  <c r="K1290" i="15"/>
  <c r="J1251" i="15"/>
  <c r="L1251" i="15" s="1"/>
  <c r="H1250" i="15"/>
  <c r="K1250" i="15"/>
  <c r="J1215" i="15"/>
  <c r="L1215" i="15" s="1"/>
  <c r="H1208" i="15"/>
  <c r="K1208" i="15" s="1"/>
  <c r="J1203" i="15"/>
  <c r="L1203" i="15"/>
  <c r="J1191" i="15"/>
  <c r="L1191" i="15" s="1"/>
  <c r="J1173" i="15"/>
  <c r="L1173" i="15"/>
  <c r="J1117" i="15"/>
  <c r="L1117" i="15" s="1"/>
  <c r="L1760" i="15"/>
  <c r="L1750" i="15"/>
  <c r="J1725" i="15"/>
  <c r="L1725" i="15" s="1"/>
  <c r="J1708" i="15"/>
  <c r="L1708" i="15" s="1"/>
  <c r="L1701" i="15"/>
  <c r="L1700" i="15"/>
  <c r="L1697" i="15"/>
  <c r="L1696" i="15"/>
  <c r="L1686" i="15"/>
  <c r="J1661" i="15"/>
  <c r="L1661" i="15" s="1"/>
  <c r="L1644" i="15"/>
  <c r="J1644" i="15"/>
  <c r="L1637" i="15"/>
  <c r="L1636" i="15"/>
  <c r="L1633" i="15"/>
  <c r="L1632" i="15"/>
  <c r="K1630" i="15"/>
  <c r="L1622" i="15"/>
  <c r="L1597" i="15"/>
  <c r="J1597" i="15"/>
  <c r="J1580" i="15"/>
  <c r="L1580" i="15" s="1"/>
  <c r="L1573" i="15"/>
  <c r="L1572" i="15"/>
  <c r="L1569" i="15"/>
  <c r="L1568" i="15"/>
  <c r="K1565" i="15"/>
  <c r="L1562" i="15"/>
  <c r="K1549" i="15"/>
  <c r="L1546" i="15"/>
  <c r="K1533" i="15"/>
  <c r="L1530" i="15"/>
  <c r="K1517" i="15"/>
  <c r="L1514" i="15"/>
  <c r="K1501" i="15"/>
  <c r="L1498" i="15"/>
  <c r="K1485" i="15"/>
  <c r="L1482" i="15"/>
  <c r="K1469" i="15"/>
  <c r="L1466" i="15"/>
  <c r="K1453" i="15"/>
  <c r="L1450" i="15"/>
  <c r="K1437" i="15"/>
  <c r="L1434" i="15"/>
  <c r="K1421" i="15"/>
  <c r="L1418" i="15"/>
  <c r="K1405" i="15"/>
  <c r="L1402" i="15"/>
  <c r="K1401" i="15"/>
  <c r="H1388" i="15"/>
  <c r="K1388" i="15" s="1"/>
  <c r="H1382" i="15"/>
  <c r="K1382" i="15"/>
  <c r="J1375" i="15"/>
  <c r="L1375" i="15" s="1"/>
  <c r="J1371" i="15"/>
  <c r="L1371" i="15"/>
  <c r="J1351" i="15"/>
  <c r="L1351" i="15" s="1"/>
  <c r="J1346" i="15"/>
  <c r="L1346" i="15"/>
  <c r="L1345" i="15"/>
  <c r="J1341" i="15"/>
  <c r="L1341" i="15" s="1"/>
  <c r="H1330" i="15"/>
  <c r="K1330" i="15" s="1"/>
  <c r="K1324" i="15"/>
  <c r="L1299" i="15"/>
  <c r="K1298" i="15"/>
  <c r="H1291" i="15"/>
  <c r="K1291" i="15"/>
  <c r="K1260" i="15"/>
  <c r="H1246" i="15"/>
  <c r="K1246" i="15" s="1"/>
  <c r="H1218" i="15"/>
  <c r="K1218" i="15" s="1"/>
  <c r="H1176" i="15"/>
  <c r="K1176" i="15" s="1"/>
  <c r="J1139" i="15"/>
  <c r="L1139" i="15" s="1"/>
  <c r="H1138" i="15"/>
  <c r="K1138" i="15" s="1"/>
  <c r="K1284" i="15"/>
  <c r="L1281" i="15"/>
  <c r="K1276" i="15"/>
  <c r="J1249" i="15"/>
  <c r="L1249" i="15" s="1"/>
  <c r="H1238" i="15"/>
  <c r="K1238" i="15"/>
  <c r="J1227" i="15"/>
  <c r="L1227" i="15" s="1"/>
  <c r="H1226" i="15"/>
  <c r="K1226" i="15"/>
  <c r="L1219" i="15"/>
  <c r="K1210" i="15"/>
  <c r="L1199" i="15"/>
  <c r="H1182" i="15"/>
  <c r="K1182" i="15" s="1"/>
  <c r="L1167" i="15"/>
  <c r="L1157" i="15"/>
  <c r="L1147" i="15"/>
  <c r="K1144" i="15"/>
  <c r="K1140" i="15"/>
  <c r="H1140" i="15"/>
  <c r="H1118" i="15"/>
  <c r="K1118" i="15" s="1"/>
  <c r="L1093" i="15"/>
  <c r="L1085" i="15"/>
  <c r="J1065" i="15"/>
  <c r="L1065" i="15" s="1"/>
  <c r="J1003" i="15"/>
  <c r="L1003" i="15" s="1"/>
  <c r="J992" i="15"/>
  <c r="L992" i="15" s="1"/>
  <c r="H990" i="15"/>
  <c r="K990" i="15" s="1"/>
  <c r="J975" i="15"/>
  <c r="L975" i="15" s="1"/>
  <c r="H974" i="15"/>
  <c r="K974" i="15" s="1"/>
  <c r="J969" i="15"/>
  <c r="L969" i="15" s="1"/>
  <c r="L951" i="15"/>
  <c r="J951" i="15"/>
  <c r="H950" i="15"/>
  <c r="K950" i="15" s="1"/>
  <c r="L923" i="15"/>
  <c r="J923" i="15"/>
  <c r="H920" i="15"/>
  <c r="K920" i="15" s="1"/>
  <c r="H914" i="15"/>
  <c r="K914" i="15" s="1"/>
  <c r="H886" i="15"/>
  <c r="K886" i="15" s="1"/>
  <c r="L883" i="15"/>
  <c r="J883" i="15"/>
  <c r="H870" i="15"/>
  <c r="K870" i="15" s="1"/>
  <c r="H820" i="15"/>
  <c r="K820" i="15" s="1"/>
  <c r="J817" i="15"/>
  <c r="L817" i="15" s="1"/>
  <c r="L1785" i="15"/>
  <c r="L1784" i="15"/>
  <c r="L1769" i="15"/>
  <c r="L1768" i="15"/>
  <c r="L1753" i="15"/>
  <c r="L1752" i="15"/>
  <c r="L1737" i="15"/>
  <c r="L1736" i="15"/>
  <c r="L1721" i="15"/>
  <c r="L1720" i="15"/>
  <c r="L1705" i="15"/>
  <c r="L1704" i="15"/>
  <c r="L1689" i="15"/>
  <c r="L1688" i="15"/>
  <c r="L1673" i="15"/>
  <c r="L1672" i="15"/>
  <c r="L1657" i="15"/>
  <c r="L1656" i="15"/>
  <c r="L1641" i="15"/>
  <c r="L1640" i="15"/>
  <c r="K1638" i="15"/>
  <c r="L1625" i="15"/>
  <c r="L1624" i="15"/>
  <c r="L1609" i="15"/>
  <c r="L1608" i="15"/>
  <c r="L1593" i="15"/>
  <c r="L1592" i="15"/>
  <c r="L1577" i="15"/>
  <c r="L1576" i="15"/>
  <c r="K1326" i="15"/>
  <c r="K1310" i="15"/>
  <c r="K1302" i="15"/>
  <c r="L1271" i="15"/>
  <c r="K1270" i="15"/>
  <c r="L1265" i="15"/>
  <c r="H1262" i="15"/>
  <c r="K1262" i="15" s="1"/>
  <c r="H1222" i="15"/>
  <c r="K1222" i="15"/>
  <c r="K1220" i="15"/>
  <c r="J1175" i="15"/>
  <c r="L1175" i="15" s="1"/>
  <c r="L1137" i="15"/>
  <c r="J1137" i="15"/>
  <c r="J1127" i="15"/>
  <c r="L1127" i="15" s="1"/>
  <c r="L1123" i="15"/>
  <c r="L1121" i="15"/>
  <c r="J1115" i="15"/>
  <c r="L1115" i="15" s="1"/>
  <c r="H1114" i="15"/>
  <c r="K1114" i="15" s="1"/>
  <c r="J1101" i="15"/>
  <c r="L1101" i="15" s="1"/>
  <c r="H1094" i="15"/>
  <c r="K1094" i="15" s="1"/>
  <c r="L1091" i="15"/>
  <c r="K1064" i="15"/>
  <c r="J1061" i="15"/>
  <c r="L1061" i="15" s="1"/>
  <c r="J1037" i="15"/>
  <c r="L1037" i="15" s="1"/>
  <c r="J1006" i="15"/>
  <c r="L1006" i="15" s="1"/>
  <c r="H978" i="15"/>
  <c r="K978" i="15" s="1"/>
  <c r="L971" i="15"/>
  <c r="J965" i="15"/>
  <c r="L965" i="15"/>
  <c r="J939" i="15"/>
  <c r="L939" i="15" s="1"/>
  <c r="H936" i="15"/>
  <c r="K936" i="15" s="1"/>
  <c r="H930" i="15"/>
  <c r="K930" i="15"/>
  <c r="H916" i="15"/>
  <c r="K916" i="15" s="1"/>
  <c r="J903" i="15"/>
  <c r="L903" i="15" s="1"/>
  <c r="H902" i="15"/>
  <c r="K902" i="15" s="1"/>
  <c r="H888" i="15"/>
  <c r="K888" i="15" s="1"/>
  <c r="L1207" i="15"/>
  <c r="L1205" i="15"/>
  <c r="H1194" i="15"/>
  <c r="K1194" i="15" s="1"/>
  <c r="K1124" i="15"/>
  <c r="L1107" i="15"/>
  <c r="J1107" i="15"/>
  <c r="J1089" i="15"/>
  <c r="L1089" i="15" s="1"/>
  <c r="H1082" i="15"/>
  <c r="K1082" i="15" s="1"/>
  <c r="H1006" i="15"/>
  <c r="K1006" i="15" s="1"/>
  <c r="J999" i="15"/>
  <c r="L999" i="15" s="1"/>
  <c r="H998" i="15"/>
  <c r="K998" i="15" s="1"/>
  <c r="J955" i="15"/>
  <c r="L955" i="15" s="1"/>
  <c r="H952" i="15"/>
  <c r="K952" i="15" s="1"/>
  <c r="H946" i="15"/>
  <c r="K946" i="15" s="1"/>
  <c r="H932" i="15"/>
  <c r="K932" i="15" s="1"/>
  <c r="L919" i="15"/>
  <c r="J919" i="15"/>
  <c r="H918" i="15"/>
  <c r="K918" i="15" s="1"/>
  <c r="H1242" i="15"/>
  <c r="K1242" i="15" s="1"/>
  <c r="L1235" i="15"/>
  <c r="L1229" i="15"/>
  <c r="L1183" i="15"/>
  <c r="H1170" i="15"/>
  <c r="K1170" i="15"/>
  <c r="L1163" i="15"/>
  <c r="H1154" i="15"/>
  <c r="K1154" i="15" s="1"/>
  <c r="L1131" i="15"/>
  <c r="H1110" i="15"/>
  <c r="K1110" i="15" s="1"/>
  <c r="J1045" i="15"/>
  <c r="L1045" i="15"/>
  <c r="L1015" i="15"/>
  <c r="H982" i="15"/>
  <c r="K982" i="15" s="1"/>
  <c r="H972" i="15"/>
  <c r="K972" i="15" s="1"/>
  <c r="K772" i="15"/>
  <c r="J769" i="15"/>
  <c r="L769" i="15" s="1"/>
  <c r="L1011" i="15"/>
  <c r="L1010" i="15"/>
  <c r="J995" i="15"/>
  <c r="L995" i="15" s="1"/>
  <c r="J961" i="15"/>
  <c r="L961" i="15"/>
  <c r="L959" i="15"/>
  <c r="H956" i="15"/>
  <c r="K956" i="15" s="1"/>
  <c r="L943" i="15"/>
  <c r="H940" i="15"/>
  <c r="K940" i="15"/>
  <c r="L927" i="15"/>
  <c r="H924" i="15"/>
  <c r="K924" i="15" s="1"/>
  <c r="L911" i="15"/>
  <c r="H908" i="15"/>
  <c r="K908" i="15" s="1"/>
  <c r="J897" i="15"/>
  <c r="L897" i="15"/>
  <c r="L895" i="15"/>
  <c r="L875" i="15"/>
  <c r="J875" i="15"/>
  <c r="H836" i="15"/>
  <c r="K836" i="15" s="1"/>
  <c r="J805" i="15"/>
  <c r="L805" i="15" s="1"/>
  <c r="J785" i="15"/>
  <c r="L785" i="15" s="1"/>
  <c r="H1055" i="15"/>
  <c r="K1055" i="15" s="1"/>
  <c r="K1023" i="15"/>
  <c r="J1017" i="15"/>
  <c r="L1017" i="15" s="1"/>
  <c r="J1004" i="15"/>
  <c r="L1004" i="15"/>
  <c r="J973" i="15"/>
  <c r="L973" i="15" s="1"/>
  <c r="H960" i="15"/>
  <c r="K960" i="15"/>
  <c r="L947" i="15"/>
  <c r="H944" i="15"/>
  <c r="K944" i="15" s="1"/>
  <c r="L931" i="15"/>
  <c r="H928" i="15"/>
  <c r="K928" i="15" s="1"/>
  <c r="L915" i="15"/>
  <c r="H912" i="15"/>
  <c r="K912" i="15" s="1"/>
  <c r="J901" i="15"/>
  <c r="L901" i="15" s="1"/>
  <c r="L899" i="15"/>
  <c r="L887" i="15"/>
  <c r="H884" i="15"/>
  <c r="K884" i="15" s="1"/>
  <c r="J869" i="15"/>
  <c r="L869" i="15" s="1"/>
  <c r="H866" i="15"/>
  <c r="K866" i="15" s="1"/>
  <c r="H862" i="15"/>
  <c r="K862" i="15" s="1"/>
  <c r="J859" i="15"/>
  <c r="L859" i="15" s="1"/>
  <c r="H832" i="15"/>
  <c r="K832" i="15" s="1"/>
  <c r="L1014" i="15"/>
  <c r="L1002" i="15"/>
  <c r="L957" i="15"/>
  <c r="L953" i="15"/>
  <c r="L949" i="15"/>
  <c r="L945" i="15"/>
  <c r="L941" i="15"/>
  <c r="L937" i="15"/>
  <c r="L933" i="15"/>
  <c r="L929" i="15"/>
  <c r="L925" i="15"/>
  <c r="L921" i="15"/>
  <c r="L917" i="15"/>
  <c r="L913" i="15"/>
  <c r="L909" i="15"/>
  <c r="L905" i="15"/>
  <c r="L885" i="15"/>
  <c r="L879" i="15"/>
  <c r="L871" i="15"/>
  <c r="H850" i="15"/>
  <c r="K850" i="15" s="1"/>
  <c r="L841" i="15"/>
  <c r="L833" i="15"/>
  <c r="H827" i="15"/>
  <c r="K827" i="15" s="1"/>
  <c r="J789" i="15"/>
  <c r="L789" i="15"/>
  <c r="J781" i="15"/>
  <c r="L781" i="15" s="1"/>
  <c r="H880" i="15"/>
  <c r="K880" i="15"/>
  <c r="H872" i="15"/>
  <c r="K872" i="15" s="1"/>
  <c r="L855" i="15"/>
  <c r="L847" i="15"/>
  <c r="J809" i="15"/>
  <c r="L809" i="15" s="1"/>
  <c r="K800" i="15"/>
  <c r="J765" i="15"/>
  <c r="L765" i="15" s="1"/>
  <c r="J2003" i="15"/>
  <c r="L2003" i="15" s="1"/>
  <c r="L2000" i="15"/>
  <c r="J1999" i="15"/>
  <c r="L1999" i="15" s="1"/>
  <c r="L1996" i="15"/>
  <c r="J1995" i="15"/>
  <c r="L1995" i="15" s="1"/>
  <c r="L1992" i="15"/>
  <c r="J1991" i="15"/>
  <c r="L1991" i="15"/>
  <c r="L1988" i="15"/>
  <c r="J1987" i="15"/>
  <c r="L1987" i="15" s="1"/>
  <c r="L1984" i="15"/>
  <c r="J1983" i="15"/>
  <c r="L1983" i="15" s="1"/>
  <c r="L1980" i="15"/>
  <c r="J1979" i="15"/>
  <c r="L1979" i="15" s="1"/>
  <c r="L1976" i="15"/>
  <c r="J1975" i="15"/>
  <c r="L1975" i="15" s="1"/>
  <c r="L1972" i="15"/>
  <c r="J1971" i="15"/>
  <c r="L1971" i="15"/>
  <c r="L1968" i="15"/>
  <c r="J1967" i="15"/>
  <c r="L1967" i="15" s="1"/>
  <c r="L1964" i="15"/>
  <c r="J1963" i="15"/>
  <c r="L1963" i="15" s="1"/>
  <c r="L1960" i="15"/>
  <c r="J1959" i="15"/>
  <c r="L1959" i="15" s="1"/>
  <c r="L1956" i="15"/>
  <c r="J1955" i="15"/>
  <c r="L1955" i="15" s="1"/>
  <c r="K1821" i="15"/>
  <c r="K1809" i="15"/>
  <c r="K1737" i="15"/>
  <c r="K1685" i="15"/>
  <c r="K1677" i="15"/>
  <c r="K1641" i="15"/>
  <c r="K1629" i="15"/>
  <c r="K1605" i="15"/>
  <c r="K1933" i="15"/>
  <c r="K1909" i="15"/>
  <c r="K1869" i="15"/>
  <c r="K1765" i="15"/>
  <c r="K1741" i="15"/>
  <c r="K1661" i="15"/>
  <c r="K1653" i="15"/>
  <c r="J1332" i="15"/>
  <c r="L1332" i="15" s="1"/>
  <c r="J1322" i="15"/>
  <c r="L1322" i="15" s="1"/>
  <c r="J1304" i="15"/>
  <c r="L1304" i="15"/>
  <c r="J1296" i="15"/>
  <c r="L1296" i="15" s="1"/>
  <c r="J1268" i="15"/>
  <c r="L1268" i="15" s="1"/>
  <c r="J1258" i="15"/>
  <c r="L1258" i="15" s="1"/>
  <c r="J1248" i="15"/>
  <c r="L1248" i="15" s="1"/>
  <c r="J1236" i="15"/>
  <c r="L1236" i="15" s="1"/>
  <c r="J1130" i="15"/>
  <c r="L1130" i="15" s="1"/>
  <c r="J1120" i="15"/>
  <c r="L1120" i="15" s="1"/>
  <c r="J1108" i="15"/>
  <c r="L1108" i="15"/>
  <c r="J984" i="15"/>
  <c r="L984" i="15" s="1"/>
  <c r="J864" i="15"/>
  <c r="L864" i="15" s="1"/>
  <c r="H783" i="15"/>
  <c r="K783" i="15" s="1"/>
  <c r="L1943" i="15"/>
  <c r="L1935" i="15"/>
  <c r="L1931" i="15"/>
  <c r="L1911" i="15"/>
  <c r="L1903" i="15"/>
  <c r="L1899" i="15"/>
  <c r="L1883" i="15"/>
  <c r="L1867" i="15"/>
  <c r="L1851" i="15"/>
  <c r="L1843" i="15"/>
  <c r="L1839" i="15"/>
  <c r="L1827" i="15"/>
  <c r="L1823" i="15"/>
  <c r="L1819" i="15"/>
  <c r="L1811" i="15"/>
  <c r="L1799" i="15"/>
  <c r="L1795" i="15"/>
  <c r="L1791" i="15"/>
  <c r="L1783" i="15"/>
  <c r="L1775" i="15"/>
  <c r="L1767" i="15"/>
  <c r="L1755" i="15"/>
  <c r="L1747" i="15"/>
  <c r="L1739" i="15"/>
  <c r="L1731" i="15"/>
  <c r="L1719" i="15"/>
  <c r="L1715" i="15"/>
  <c r="L1707" i="15"/>
  <c r="L1699" i="15"/>
  <c r="L1695" i="15"/>
  <c r="L1691" i="15"/>
  <c r="L1687" i="15"/>
  <c r="L1683" i="15"/>
  <c r="L1675" i="15"/>
  <c r="L1667" i="15"/>
  <c r="L1655" i="15"/>
  <c r="L1651" i="15"/>
  <c r="L1647" i="15"/>
  <c r="L1635" i="15"/>
  <c r="L1631" i="15"/>
  <c r="L1627" i="15"/>
  <c r="L1619" i="15"/>
  <c r="L1611" i="15"/>
  <c r="L1607" i="15"/>
  <c r="L1599" i="15"/>
  <c r="L1591" i="15"/>
  <c r="L1575" i="15"/>
  <c r="L1571" i="15"/>
  <c r="L1567" i="15"/>
  <c r="K1384" i="15"/>
  <c r="K1368" i="15"/>
  <c r="K1352" i="15"/>
  <c r="J1312" i="15"/>
  <c r="L1312" i="15"/>
  <c r="K1307" i="15"/>
  <c r="L1294" i="15"/>
  <c r="J1284" i="15"/>
  <c r="L1284" i="15"/>
  <c r="L1266" i="15"/>
  <c r="J1220" i="15"/>
  <c r="L1220" i="15" s="1"/>
  <c r="K1211" i="15"/>
  <c r="L1182" i="15"/>
  <c r="J1178" i="15"/>
  <c r="L1178" i="15" s="1"/>
  <c r="J1168" i="15"/>
  <c r="L1168" i="15"/>
  <c r="K1147" i="15"/>
  <c r="L1118" i="15"/>
  <c r="J1114" i="15"/>
  <c r="L1114" i="15" s="1"/>
  <c r="J1104" i="15"/>
  <c r="L1104" i="15" s="1"/>
  <c r="J1013" i="15"/>
  <c r="L1013" i="15" s="1"/>
  <c r="H1010" i="15"/>
  <c r="K1010" i="15" s="1"/>
  <c r="J985" i="15"/>
  <c r="L985" i="15" s="1"/>
  <c r="J981" i="15"/>
  <c r="L981" i="15" s="1"/>
  <c r="J892" i="15"/>
  <c r="L892" i="15" s="1"/>
  <c r="H799" i="15"/>
  <c r="K799" i="15" s="1"/>
  <c r="L1563" i="15"/>
  <c r="L1559" i="15"/>
  <c r="L1555" i="15"/>
  <c r="L1551" i="15"/>
  <c r="L1547" i="15"/>
  <c r="L1543" i="15"/>
  <c r="L1539" i="15"/>
  <c r="L1535" i="15"/>
  <c r="L1531" i="15"/>
  <c r="L1527" i="15"/>
  <c r="L1523" i="15"/>
  <c r="L1519" i="15"/>
  <c r="L1515" i="15"/>
  <c r="L1511" i="15"/>
  <c r="L1507" i="15"/>
  <c r="L1503" i="15"/>
  <c r="L1499" i="15"/>
  <c r="L1495" i="15"/>
  <c r="L1491" i="15"/>
  <c r="L1487" i="15"/>
  <c r="L1483" i="15"/>
  <c r="L1479" i="15"/>
  <c r="L1475" i="15"/>
  <c r="L1471" i="15"/>
  <c r="L1467" i="15"/>
  <c r="L1463" i="15"/>
  <c r="L1459" i="15"/>
  <c r="L1455" i="15"/>
  <c r="L1451" i="15"/>
  <c r="L1447" i="15"/>
  <c r="L1443" i="15"/>
  <c r="L1439" i="15"/>
  <c r="L1435" i="15"/>
  <c r="L1431" i="15"/>
  <c r="L1427" i="15"/>
  <c r="L1423" i="15"/>
  <c r="L1419" i="15"/>
  <c r="L1415" i="15"/>
  <c r="L1411" i="15"/>
  <c r="L1407" i="15"/>
  <c r="L1403" i="15"/>
  <c r="L1399" i="15"/>
  <c r="K1396" i="15"/>
  <c r="K1390" i="15"/>
  <c r="L1386" i="15"/>
  <c r="K1380" i="15"/>
  <c r="K1374" i="15"/>
  <c r="L1370" i="15"/>
  <c r="K1364" i="15"/>
  <c r="K1358" i="15"/>
  <c r="L1354" i="15"/>
  <c r="K1348" i="15"/>
  <c r="K1342" i="15"/>
  <c r="L1338" i="15"/>
  <c r="J1336" i="15"/>
  <c r="L1336" i="15" s="1"/>
  <c r="J1328" i="15"/>
  <c r="L1328" i="15" s="1"/>
  <c r="K1323" i="15"/>
  <c r="L1310" i="15"/>
  <c r="J1300" i="15"/>
  <c r="L1300" i="15" s="1"/>
  <c r="J1290" i="15"/>
  <c r="L1290" i="15" s="1"/>
  <c r="L1282" i="15"/>
  <c r="J1272" i="15"/>
  <c r="L1272" i="15" s="1"/>
  <c r="J1264" i="15"/>
  <c r="L1264" i="15" s="1"/>
  <c r="K1259" i="15"/>
  <c r="L1230" i="15"/>
  <c r="J1226" i="15"/>
  <c r="L1226" i="15" s="1"/>
  <c r="J1216" i="15"/>
  <c r="L1216" i="15" s="1"/>
  <c r="J1204" i="15"/>
  <c r="L1204" i="15" s="1"/>
  <c r="K1195" i="15"/>
  <c r="L1166" i="15"/>
  <c r="J1162" i="15"/>
  <c r="L1162" i="15" s="1"/>
  <c r="J1152" i="15"/>
  <c r="L1152" i="15" s="1"/>
  <c r="J1140" i="15"/>
  <c r="L1140" i="15" s="1"/>
  <c r="K1131" i="15"/>
  <c r="L1102" i="15"/>
  <c r="J1098" i="15"/>
  <c r="L1098" i="15" s="1"/>
  <c r="J1088" i="15"/>
  <c r="L1088" i="15" s="1"/>
  <c r="H1079" i="15"/>
  <c r="K1079" i="15" s="1"/>
  <c r="K1075" i="15"/>
  <c r="H1063" i="15"/>
  <c r="K1063" i="15" s="1"/>
  <c r="K1059" i="15"/>
  <c r="H1047" i="15"/>
  <c r="K1047" i="15" s="1"/>
  <c r="K1043" i="15"/>
  <c r="H1031" i="15"/>
  <c r="K1031" i="15"/>
  <c r="K1027" i="15"/>
  <c r="H1015" i="15"/>
  <c r="K1015" i="15" s="1"/>
  <c r="H987" i="15"/>
  <c r="K987" i="15" s="1"/>
  <c r="K1861" i="15"/>
  <c r="K1797" i="15"/>
  <c r="K1725" i="15"/>
  <c r="K1673" i="15"/>
  <c r="K1649" i="15"/>
  <c r="K1569" i="15"/>
  <c r="J1194" i="15"/>
  <c r="L1194" i="15" s="1"/>
  <c r="J1184" i="15"/>
  <c r="L1184" i="15" s="1"/>
  <c r="J1172" i="15"/>
  <c r="L1172" i="15" s="1"/>
  <c r="H999" i="15"/>
  <c r="K999" i="15" s="1"/>
  <c r="J980" i="15"/>
  <c r="L980" i="15" s="1"/>
  <c r="L1951" i="15"/>
  <c r="L1947" i="15"/>
  <c r="L1939" i="15"/>
  <c r="L1927" i="15"/>
  <c r="L1923" i="15"/>
  <c r="L1919" i="15"/>
  <c r="L1915" i="15"/>
  <c r="L1907" i="15"/>
  <c r="L1895" i="15"/>
  <c r="L1891" i="15"/>
  <c r="L1887" i="15"/>
  <c r="L1879" i="15"/>
  <c r="L1875" i="15"/>
  <c r="L1871" i="15"/>
  <c r="L1863" i="15"/>
  <c r="L1859" i="15"/>
  <c r="L1855" i="15"/>
  <c r="L1847" i="15"/>
  <c r="L1835" i="15"/>
  <c r="L1831" i="15"/>
  <c r="L1815" i="15"/>
  <c r="L1807" i="15"/>
  <c r="L1803" i="15"/>
  <c r="L1787" i="15"/>
  <c r="L1779" i="15"/>
  <c r="L1771" i="15"/>
  <c r="L1763" i="15"/>
  <c r="L1759" i="15"/>
  <c r="L1751" i="15"/>
  <c r="L1743" i="15"/>
  <c r="L1735" i="15"/>
  <c r="L1727" i="15"/>
  <c r="L1723" i="15"/>
  <c r="L1711" i="15"/>
  <c r="L1703" i="15"/>
  <c r="L1679" i="15"/>
  <c r="L1671" i="15"/>
  <c r="L1663" i="15"/>
  <c r="L1659" i="15"/>
  <c r="L1643" i="15"/>
  <c r="L1639" i="15"/>
  <c r="L1623" i="15"/>
  <c r="L1615" i="15"/>
  <c r="L1603" i="15"/>
  <c r="L1595" i="15"/>
  <c r="L1587" i="15"/>
  <c r="L1583" i="15"/>
  <c r="L1579" i="15"/>
  <c r="L1330" i="15"/>
  <c r="J1320" i="15"/>
  <c r="L1320" i="15" s="1"/>
  <c r="J1274" i="15"/>
  <c r="L1274" i="15" s="1"/>
  <c r="L1246" i="15"/>
  <c r="J1242" i="15"/>
  <c r="L1242" i="15" s="1"/>
  <c r="J1232" i="15"/>
  <c r="L1232" i="15" s="1"/>
  <c r="J1156" i="15"/>
  <c r="L1156" i="15" s="1"/>
  <c r="J1092" i="15"/>
  <c r="L1092" i="15" s="1"/>
  <c r="K1083" i="15"/>
  <c r="L1565" i="15"/>
  <c r="L1561" i="15"/>
  <c r="L1557" i="15"/>
  <c r="L1553" i="15"/>
  <c r="L1549" i="15"/>
  <c r="L1545" i="15"/>
  <c r="L1541" i="15"/>
  <c r="L1537" i="15"/>
  <c r="L1533" i="15"/>
  <c r="L1529" i="15"/>
  <c r="L1525" i="15"/>
  <c r="L1521" i="15"/>
  <c r="L1517" i="15"/>
  <c r="L1513" i="15"/>
  <c r="L1509" i="15"/>
  <c r="L1505" i="15"/>
  <c r="L1501" i="15"/>
  <c r="L1497" i="15"/>
  <c r="L1493" i="15"/>
  <c r="L1489" i="15"/>
  <c r="L1485" i="15"/>
  <c r="L1481" i="15"/>
  <c r="L1477" i="15"/>
  <c r="L1473" i="15"/>
  <c r="L1469" i="15"/>
  <c r="L1465" i="15"/>
  <c r="L1461" i="15"/>
  <c r="L1457" i="15"/>
  <c r="L1453" i="15"/>
  <c r="L1449" i="15"/>
  <c r="L1445" i="15"/>
  <c r="L1441" i="15"/>
  <c r="L1437" i="15"/>
  <c r="L1433" i="15"/>
  <c r="L1429" i="15"/>
  <c r="L1425" i="15"/>
  <c r="L1421" i="15"/>
  <c r="L1417" i="15"/>
  <c r="L1413" i="15"/>
  <c r="L1409" i="15"/>
  <c r="L1405" i="15"/>
  <c r="L1401" i="15"/>
  <c r="L1397" i="15"/>
  <c r="L1395" i="15"/>
  <c r="K1392" i="15"/>
  <c r="K1386" i="15"/>
  <c r="L1382" i="15"/>
  <c r="L1379" i="15"/>
  <c r="K1376" i="15"/>
  <c r="K1370" i="15"/>
  <c r="L1366" i="15"/>
  <c r="L1363" i="15"/>
  <c r="K1360" i="15"/>
  <c r="K1354" i="15"/>
  <c r="L1350" i="15"/>
  <c r="L1347" i="15"/>
  <c r="K1344" i="15"/>
  <c r="K1338" i="15"/>
  <c r="L1326" i="15"/>
  <c r="J1316" i="15"/>
  <c r="L1316" i="15"/>
  <c r="J1314" i="15"/>
  <c r="L1314" i="15" s="1"/>
  <c r="L1306" i="15"/>
  <c r="J1306" i="15"/>
  <c r="L1298" i="15"/>
  <c r="J1288" i="15"/>
  <c r="L1288" i="15" s="1"/>
  <c r="J1280" i="15"/>
  <c r="L1280" i="15" s="1"/>
  <c r="J1278" i="15"/>
  <c r="L1278" i="15" s="1"/>
  <c r="K1275" i="15"/>
  <c r="L1262" i="15"/>
  <c r="J1252" i="15"/>
  <c r="L1252" i="15" s="1"/>
  <c r="K1243" i="15"/>
  <c r="L1214" i="15"/>
  <c r="J1210" i="15"/>
  <c r="L1210" i="15" s="1"/>
  <c r="J1200" i="15"/>
  <c r="L1200" i="15" s="1"/>
  <c r="J1198" i="15"/>
  <c r="L1198" i="15" s="1"/>
  <c r="J1188" i="15"/>
  <c r="L1188" i="15" s="1"/>
  <c r="K1179" i="15"/>
  <c r="L1150" i="15"/>
  <c r="J1146" i="15"/>
  <c r="L1146" i="15" s="1"/>
  <c r="J1136" i="15"/>
  <c r="L1136" i="15" s="1"/>
  <c r="J1134" i="15"/>
  <c r="L1134" i="15" s="1"/>
  <c r="J1124" i="15"/>
  <c r="L1124" i="15" s="1"/>
  <c r="K1115" i="15"/>
  <c r="L1086" i="15"/>
  <c r="J1082" i="15"/>
  <c r="L1082" i="15" s="1"/>
  <c r="J997" i="15"/>
  <c r="L997" i="15" s="1"/>
  <c r="H991" i="15"/>
  <c r="K991" i="15" s="1"/>
  <c r="J989" i="15"/>
  <c r="L989" i="15" s="1"/>
  <c r="L988" i="15"/>
  <c r="J1256" i="15"/>
  <c r="L1256" i="15" s="1"/>
  <c r="L1250" i="15"/>
  <c r="J1240" i="15"/>
  <c r="L1240" i="15" s="1"/>
  <c r="L1234" i="15"/>
  <c r="J1224" i="15"/>
  <c r="L1224" i="15" s="1"/>
  <c r="L1218" i="15"/>
  <c r="J1208" i="15"/>
  <c r="L1208" i="15" s="1"/>
  <c r="L1202" i="15"/>
  <c r="J1192" i="15"/>
  <c r="L1192" i="15" s="1"/>
  <c r="L1186" i="15"/>
  <c r="J1176" i="15"/>
  <c r="L1176" i="15"/>
  <c r="L1170" i="15"/>
  <c r="J1160" i="15"/>
  <c r="L1160" i="15" s="1"/>
  <c r="L1154" i="15"/>
  <c r="J1144" i="15"/>
  <c r="L1144" i="15" s="1"/>
  <c r="L1138" i="15"/>
  <c r="J1128" i="15"/>
  <c r="L1128" i="15" s="1"/>
  <c r="L1122" i="15"/>
  <c r="J1112" i="15"/>
  <c r="L1112" i="15"/>
  <c r="L1106" i="15"/>
  <c r="J1096" i="15"/>
  <c r="L1096" i="15" s="1"/>
  <c r="L1090" i="15"/>
  <c r="J1005" i="15"/>
  <c r="L1005" i="15" s="1"/>
  <c r="H983" i="15"/>
  <c r="K983" i="15" s="1"/>
  <c r="K975" i="15"/>
  <c r="L1392" i="15"/>
  <c r="L1388" i="15"/>
  <c r="L1384" i="15"/>
  <c r="L1380" i="15"/>
  <c r="L1376" i="15"/>
  <c r="L1372" i="15"/>
  <c r="L1368" i="15"/>
  <c r="L1364" i="15"/>
  <c r="L1360" i="15"/>
  <c r="L1356" i="15"/>
  <c r="L1352" i="15"/>
  <c r="L1348" i="15"/>
  <c r="L1344" i="15"/>
  <c r="L1340" i="15"/>
  <c r="L1334" i="15"/>
  <c r="J1324" i="15"/>
  <c r="L1324" i="15" s="1"/>
  <c r="L1318" i="15"/>
  <c r="J1308" i="15"/>
  <c r="L1308" i="15" s="1"/>
  <c r="L1302" i="15"/>
  <c r="J1292" i="15"/>
  <c r="L1292" i="15" s="1"/>
  <c r="L1286" i="15"/>
  <c r="J1276" i="15"/>
  <c r="L1276" i="15" s="1"/>
  <c r="L1270" i="15"/>
  <c r="J1260" i="15"/>
  <c r="L1260" i="15" s="1"/>
  <c r="L1254" i="15"/>
  <c r="J1244" i="15"/>
  <c r="L1244" i="15" s="1"/>
  <c r="L1238" i="15"/>
  <c r="J1228" i="15"/>
  <c r="L1228" i="15" s="1"/>
  <c r="L1222" i="15"/>
  <c r="J1212" i="15"/>
  <c r="L1212" i="15" s="1"/>
  <c r="L1206" i="15"/>
  <c r="J1196" i="15"/>
  <c r="L1196" i="15" s="1"/>
  <c r="L1190" i="15"/>
  <c r="J1180" i="15"/>
  <c r="L1180" i="15" s="1"/>
  <c r="L1174" i="15"/>
  <c r="J1164" i="15"/>
  <c r="L1164" i="15" s="1"/>
  <c r="L1158" i="15"/>
  <c r="J1148" i="15"/>
  <c r="L1148" i="15"/>
  <c r="L1142" i="15"/>
  <c r="J1132" i="15"/>
  <c r="L1132" i="15" s="1"/>
  <c r="L1126" i="15"/>
  <c r="J1116" i="15"/>
  <c r="L1116" i="15" s="1"/>
  <c r="L1110" i="15"/>
  <c r="J1100" i="15"/>
  <c r="L1100" i="15" s="1"/>
  <c r="L1094" i="15"/>
  <c r="J1084" i="15"/>
  <c r="L1084" i="15"/>
  <c r="K1067" i="15"/>
  <c r="K1051" i="15"/>
  <c r="K1035" i="15"/>
  <c r="K1019" i="15"/>
  <c r="J996" i="15"/>
  <c r="L996" i="15" s="1"/>
  <c r="J888" i="15"/>
  <c r="L888" i="15" s="1"/>
  <c r="L1078" i="15"/>
  <c r="L1074" i="15"/>
  <c r="L1070" i="15"/>
  <c r="L1066" i="15"/>
  <c r="L1062" i="15"/>
  <c r="L1058" i="15"/>
  <c r="L1054" i="15"/>
  <c r="L1050" i="15"/>
  <c r="L1046" i="15"/>
  <c r="L1042" i="15"/>
  <c r="L1038" i="15"/>
  <c r="L1034" i="15"/>
  <c r="L1030" i="15"/>
  <c r="L1026" i="15"/>
  <c r="L1022" i="15"/>
  <c r="L1018" i="15"/>
  <c r="J1016" i="15"/>
  <c r="L1016" i="15" s="1"/>
  <c r="J1008" i="15"/>
  <c r="L1008" i="15" s="1"/>
  <c r="J1000" i="15"/>
  <c r="L1000" i="15" s="1"/>
  <c r="K995" i="15"/>
  <c r="L993" i="15"/>
  <c r="K979" i="15"/>
  <c r="L977" i="15"/>
  <c r="J896" i="15"/>
  <c r="L896" i="15" s="1"/>
  <c r="J972" i="15"/>
  <c r="L972" i="15" s="1"/>
  <c r="J968" i="15"/>
  <c r="L968" i="15" s="1"/>
  <c r="J964" i="15"/>
  <c r="L964" i="15" s="1"/>
  <c r="J960" i="15"/>
  <c r="L960" i="15" s="1"/>
  <c r="J956" i="15"/>
  <c r="L956" i="15" s="1"/>
  <c r="J952" i="15"/>
  <c r="L952" i="15"/>
  <c r="J948" i="15"/>
  <c r="L948" i="15" s="1"/>
  <c r="J944" i="15"/>
  <c r="L944" i="15" s="1"/>
  <c r="J940" i="15"/>
  <c r="L940" i="15" s="1"/>
  <c r="J936" i="15"/>
  <c r="L936" i="15"/>
  <c r="J932" i="15"/>
  <c r="L932" i="15" s="1"/>
  <c r="J928" i="15"/>
  <c r="L928" i="15" s="1"/>
  <c r="J924" i="15"/>
  <c r="L924" i="15" s="1"/>
  <c r="J920" i="15"/>
  <c r="L920" i="15" s="1"/>
  <c r="J916" i="15"/>
  <c r="L916" i="15" s="1"/>
  <c r="J912" i="15"/>
  <c r="L912" i="15" s="1"/>
  <c r="J908" i="15"/>
  <c r="L908" i="15" s="1"/>
  <c r="J904" i="15"/>
  <c r="L904" i="15" s="1"/>
  <c r="J884" i="15"/>
  <c r="L884" i="15" s="1"/>
  <c r="J880" i="15"/>
  <c r="L880" i="15" s="1"/>
  <c r="J876" i="15"/>
  <c r="L876" i="15" s="1"/>
  <c r="J872" i="15"/>
  <c r="L872" i="15"/>
  <c r="J860" i="15"/>
  <c r="L860" i="15" s="1"/>
  <c r="J856" i="15"/>
  <c r="L856" i="15" s="1"/>
  <c r="H815" i="15"/>
  <c r="K815" i="15" s="1"/>
  <c r="L1009" i="15"/>
  <c r="L1001" i="15"/>
  <c r="J900" i="15"/>
  <c r="L900" i="15" s="1"/>
  <c r="J868" i="15"/>
  <c r="L868" i="15" s="1"/>
  <c r="J844" i="15"/>
  <c r="L844" i="15" s="1"/>
  <c r="H831" i="15"/>
  <c r="K831" i="15" s="1"/>
  <c r="L970" i="15"/>
  <c r="L966" i="15"/>
  <c r="L962" i="15"/>
  <c r="L958" i="15"/>
  <c r="L954" i="15"/>
  <c r="L950" i="15"/>
  <c r="L946" i="15"/>
  <c r="L942" i="15"/>
  <c r="L938" i="15"/>
  <c r="L934" i="15"/>
  <c r="L930" i="15"/>
  <c r="L926" i="15"/>
  <c r="L922" i="15"/>
  <c r="L918" i="15"/>
  <c r="L914" i="15"/>
  <c r="L910" i="15"/>
  <c r="L906" i="15"/>
  <c r="L902" i="15"/>
  <c r="L898" i="15"/>
  <c r="L894" i="15"/>
  <c r="L890" i="15"/>
  <c r="L886" i="15"/>
  <c r="L882" i="15"/>
  <c r="L878" i="15"/>
  <c r="L874" i="15"/>
  <c r="L870" i="15"/>
  <c r="L866" i="15"/>
  <c r="L862" i="15"/>
  <c r="L858" i="15"/>
  <c r="L854" i="15"/>
  <c r="L850" i="15"/>
  <c r="L846" i="15"/>
  <c r="K835" i="15"/>
  <c r="K819" i="15"/>
  <c r="K803" i="15"/>
  <c r="K787" i="15"/>
  <c r="K771" i="15"/>
  <c r="L852" i="15"/>
  <c r="L848" i="15"/>
  <c r="K839" i="15"/>
  <c r="K823" i="15"/>
  <c r="K807" i="15"/>
  <c r="K791" i="15"/>
  <c r="K775" i="15"/>
  <c r="L842" i="15"/>
  <c r="L838" i="15"/>
  <c r="L834" i="15"/>
  <c r="L830" i="15"/>
  <c r="L826" i="15"/>
  <c r="L822" i="15"/>
  <c r="L818" i="15"/>
  <c r="L814" i="15"/>
  <c r="L810" i="15"/>
  <c r="L806" i="15"/>
  <c r="L802" i="15"/>
  <c r="L798" i="15"/>
  <c r="L794" i="15"/>
  <c r="L790" i="15"/>
  <c r="L786" i="15"/>
  <c r="L782" i="15"/>
  <c r="L778" i="15"/>
  <c r="L774" i="15"/>
  <c r="L770" i="15"/>
  <c r="L766" i="15"/>
  <c r="L762" i="15"/>
  <c r="K542" i="15"/>
  <c r="K150" i="15"/>
  <c r="L738" i="15"/>
  <c r="K717" i="15"/>
  <c r="K454" i="15"/>
  <c r="K301" i="15"/>
  <c r="K102" i="15"/>
  <c r="L487" i="15"/>
  <c r="L4" i="15"/>
  <c r="K697" i="15"/>
  <c r="K421" i="15"/>
  <c r="K244" i="15"/>
  <c r="K66" i="15"/>
  <c r="L132" i="15"/>
  <c r="K626" i="15"/>
  <c r="K170" i="15"/>
  <c r="K705" i="15"/>
  <c r="K681" i="15"/>
  <c r="K590" i="15"/>
  <c r="K510" i="15"/>
  <c r="K278" i="15"/>
  <c r="K208" i="15"/>
  <c r="K146" i="15"/>
  <c r="K56" i="15"/>
  <c r="L720" i="15"/>
  <c r="L323" i="15"/>
  <c r="L74" i="15"/>
  <c r="K606" i="15"/>
  <c r="K526" i="15"/>
  <c r="K226" i="15"/>
  <c r="L448" i="15"/>
  <c r="K749" i="15"/>
  <c r="K636" i="15"/>
  <c r="K574" i="15"/>
  <c r="K478" i="15"/>
  <c r="K377" i="15"/>
  <c r="K264" i="15"/>
  <c r="K188" i="15"/>
  <c r="K104" i="15"/>
  <c r="K22" i="15"/>
  <c r="L639" i="15"/>
  <c r="L231" i="15"/>
  <c r="L47" i="15"/>
  <c r="J759" i="15"/>
  <c r="L759" i="15" s="1"/>
  <c r="J755" i="15"/>
  <c r="L755" i="15" s="1"/>
  <c r="J743" i="15"/>
  <c r="L743" i="15" s="1"/>
  <c r="J739" i="15"/>
  <c r="L739" i="15" s="1"/>
  <c r="J727" i="15"/>
  <c r="L727" i="15" s="1"/>
  <c r="J723" i="15"/>
  <c r="L723" i="15" s="1"/>
  <c r="J711" i="15"/>
  <c r="L711" i="15" s="1"/>
  <c r="J707" i="15"/>
  <c r="L707" i="15" s="1"/>
  <c r="H700" i="15"/>
  <c r="K700" i="15" s="1"/>
  <c r="H696" i="15"/>
  <c r="K696" i="15" s="1"/>
  <c r="H694" i="15"/>
  <c r="K694" i="15" s="1"/>
  <c r="H684" i="15"/>
  <c r="K684" i="15" s="1"/>
  <c r="H680" i="15"/>
  <c r="K680" i="15" s="1"/>
  <c r="H678" i="15"/>
  <c r="K678" i="15" s="1"/>
  <c r="H668" i="15"/>
  <c r="K668" i="15" s="1"/>
  <c r="H664" i="15"/>
  <c r="K664" i="15" s="1"/>
  <c r="H658" i="15"/>
  <c r="K658" i="15" s="1"/>
  <c r="H652" i="15"/>
  <c r="K652" i="15" s="1"/>
  <c r="H646" i="15"/>
  <c r="K646" i="15" s="1"/>
  <c r="H642" i="15"/>
  <c r="K642" i="15" s="1"/>
  <c r="J626" i="15"/>
  <c r="L626" i="15" s="1"/>
  <c r="J622" i="15"/>
  <c r="L622" i="15" s="1"/>
  <c r="J620" i="15"/>
  <c r="L620" i="15" s="1"/>
  <c r="J616" i="15"/>
  <c r="L616" i="15" s="1"/>
  <c r="J610" i="15"/>
  <c r="L610" i="15" s="1"/>
  <c r="J606" i="15"/>
  <c r="L606" i="15" s="1"/>
  <c r="J604" i="15"/>
  <c r="L604" i="15" s="1"/>
  <c r="J600" i="15"/>
  <c r="L600" i="15" s="1"/>
  <c r="J594" i="15"/>
  <c r="L594" i="15" s="1"/>
  <c r="J590" i="15"/>
  <c r="L590" i="15" s="1"/>
  <c r="J584" i="15"/>
  <c r="L584" i="15" s="1"/>
  <c r="J578" i="15"/>
  <c r="L578" i="15" s="1"/>
  <c r="J574" i="15"/>
  <c r="L574" i="15" s="1"/>
  <c r="J572" i="15"/>
  <c r="L572" i="15" s="1"/>
  <c r="J568" i="15"/>
  <c r="L568" i="15" s="1"/>
  <c r="J562" i="15"/>
  <c r="L562" i="15" s="1"/>
  <c r="J558" i="15"/>
  <c r="L558" i="15" s="1"/>
  <c r="J556" i="15"/>
  <c r="L556" i="15" s="1"/>
  <c r="J552" i="15"/>
  <c r="L552" i="15" s="1"/>
  <c r="J546" i="15"/>
  <c r="L546" i="15" s="1"/>
  <c r="J542" i="15"/>
  <c r="L542" i="15" s="1"/>
  <c r="J540" i="15"/>
  <c r="L540" i="15" s="1"/>
  <c r="J530" i="15"/>
  <c r="L530" i="15" s="1"/>
  <c r="J526" i="15"/>
  <c r="L526" i="15" s="1"/>
  <c r="J524" i="15"/>
  <c r="L524" i="15" s="1"/>
  <c r="J520" i="15"/>
  <c r="L520" i="15" s="1"/>
  <c r="J514" i="15"/>
  <c r="L514" i="15" s="1"/>
  <c r="J510" i="15"/>
  <c r="L510" i="15" s="1"/>
  <c r="J508" i="15"/>
  <c r="L508" i="15" s="1"/>
  <c r="J504" i="15"/>
  <c r="L504" i="15" s="1"/>
  <c r="J498" i="15"/>
  <c r="L498" i="15" s="1"/>
  <c r="J494" i="15"/>
  <c r="L494" i="15" s="1"/>
  <c r="J492" i="15"/>
  <c r="L492" i="15" s="1"/>
  <c r="J488" i="15"/>
  <c r="L488" i="15" s="1"/>
  <c r="J482" i="15"/>
  <c r="L482" i="15" s="1"/>
  <c r="J478" i="15"/>
  <c r="L478" i="15" s="1"/>
  <c r="J476" i="15"/>
  <c r="L476" i="15" s="1"/>
  <c r="J472" i="15"/>
  <c r="L472" i="15" s="1"/>
  <c r="J466" i="15"/>
  <c r="L466" i="15" s="1"/>
  <c r="J464" i="15"/>
  <c r="L464" i="15" s="1"/>
  <c r="J462" i="15"/>
  <c r="L462" i="15" s="1"/>
  <c r="J460" i="15"/>
  <c r="L460" i="15" s="1"/>
  <c r="J458" i="15"/>
  <c r="L458" i="15" s="1"/>
  <c r="J456" i="15"/>
  <c r="L456" i="15" s="1"/>
  <c r="J454" i="15"/>
  <c r="L454" i="15" s="1"/>
  <c r="J452" i="15"/>
  <c r="L452" i="15" s="1"/>
  <c r="J450" i="15"/>
  <c r="L450" i="15" s="1"/>
  <c r="J446" i="15"/>
  <c r="L446" i="15" s="1"/>
  <c r="J444" i="15"/>
  <c r="L444" i="15" s="1"/>
  <c r="J442" i="15"/>
  <c r="L442" i="15" s="1"/>
  <c r="J440" i="15"/>
  <c r="L440" i="15" s="1"/>
  <c r="J438" i="15"/>
  <c r="L438" i="15" s="1"/>
  <c r="J436" i="15"/>
  <c r="L436" i="15" s="1"/>
  <c r="J434" i="15"/>
  <c r="L434" i="15" s="1"/>
  <c r="J432" i="15"/>
  <c r="L432" i="15" s="1"/>
  <c r="J430" i="15"/>
  <c r="L430" i="15" s="1"/>
  <c r="J428" i="15"/>
  <c r="L428" i="15" s="1"/>
  <c r="J418" i="15"/>
  <c r="L418" i="15" s="1"/>
  <c r="J412" i="15"/>
  <c r="L412" i="15" s="1"/>
  <c r="J402" i="15"/>
  <c r="L402" i="15" s="1"/>
  <c r="J396" i="15"/>
  <c r="L396" i="15" s="1"/>
  <c r="J380" i="15"/>
  <c r="L380" i="15" s="1"/>
  <c r="J370" i="15"/>
  <c r="L370" i="15" s="1"/>
  <c r="J364" i="15"/>
  <c r="L364" i="15" s="1"/>
  <c r="J354" i="15"/>
  <c r="L354" i="15" s="1"/>
  <c r="J348" i="15"/>
  <c r="L348" i="15" s="1"/>
  <c r="J338" i="15"/>
  <c r="L338" i="15" s="1"/>
  <c r="J332" i="15"/>
  <c r="L332" i="15" s="1"/>
  <c r="J322" i="15"/>
  <c r="L322" i="15" s="1"/>
  <c r="J316" i="15"/>
  <c r="L316" i="15" s="1"/>
  <c r="J306" i="15"/>
  <c r="L306" i="15" s="1"/>
  <c r="J300" i="15"/>
  <c r="L300" i="15" s="1"/>
  <c r="H17" i="15"/>
  <c r="K17" i="15" s="1"/>
  <c r="H13" i="15"/>
  <c r="K13" i="15" s="1"/>
  <c r="H9" i="15"/>
  <c r="K9" i="15" s="1"/>
  <c r="H5" i="15"/>
  <c r="K5" i="15" s="1"/>
  <c r="K674" i="15"/>
  <c r="L588" i="15"/>
  <c r="L386" i="15"/>
  <c r="H753" i="15"/>
  <c r="K753" i="15" s="1"/>
  <c r="H737" i="15"/>
  <c r="K737" i="15" s="1"/>
  <c r="H733" i="15"/>
  <c r="K733" i="15" s="1"/>
  <c r="H721" i="15"/>
  <c r="K721" i="15" s="1"/>
  <c r="J695" i="15"/>
  <c r="L695" i="15" s="1"/>
  <c r="J679" i="15"/>
  <c r="L679" i="15" s="1"/>
  <c r="J675" i="15"/>
  <c r="L675" i="15" s="1"/>
  <c r="J667" i="15"/>
  <c r="L667" i="15" s="1"/>
  <c r="J663" i="15"/>
  <c r="L663" i="15" s="1"/>
  <c r="J659" i="15"/>
  <c r="L659" i="15" s="1"/>
  <c r="J655" i="15"/>
  <c r="L655" i="15" s="1"/>
  <c r="J651" i="15"/>
  <c r="L651" i="15" s="1"/>
  <c r="J647" i="15"/>
  <c r="L647" i="15" s="1"/>
  <c r="J643" i="15"/>
  <c r="L643" i="15" s="1"/>
  <c r="J635" i="15"/>
  <c r="L635" i="15" s="1"/>
  <c r="K632" i="15"/>
  <c r="H630" i="15"/>
  <c r="K630" i="15" s="1"/>
  <c r="H628" i="15"/>
  <c r="K628" i="15" s="1"/>
  <c r="H624" i="15"/>
  <c r="K624" i="15" s="1"/>
  <c r="H622" i="15"/>
  <c r="K622" i="15" s="1"/>
  <c r="H620" i="15"/>
  <c r="K620" i="15" s="1"/>
  <c r="H616" i="15"/>
  <c r="K616" i="15" s="1"/>
  <c r="H614" i="15"/>
  <c r="K614" i="15" s="1"/>
  <c r="H612" i="15"/>
  <c r="K612" i="15" s="1"/>
  <c r="H610" i="15"/>
  <c r="K610" i="15" s="1"/>
  <c r="H608" i="15"/>
  <c r="K608" i="15" s="1"/>
  <c r="H604" i="15"/>
  <c r="K604" i="15" s="1"/>
  <c r="H602" i="15"/>
  <c r="K602" i="15" s="1"/>
  <c r="H600" i="15"/>
  <c r="K600" i="15" s="1"/>
  <c r="H598" i="15"/>
  <c r="K598" i="15" s="1"/>
  <c r="H596" i="15"/>
  <c r="K596" i="15"/>
  <c r="H594" i="15"/>
  <c r="K594" i="15" s="1"/>
  <c r="H592" i="15"/>
  <c r="K592" i="15" s="1"/>
  <c r="H588" i="15"/>
  <c r="K588" i="15" s="1"/>
  <c r="H586" i="15"/>
  <c r="K586" i="15" s="1"/>
  <c r="H584" i="15"/>
  <c r="K584" i="15" s="1"/>
  <c r="H582" i="15"/>
  <c r="K582" i="15" s="1"/>
  <c r="H580" i="15"/>
  <c r="K580" i="15" s="1"/>
  <c r="H578" i="15"/>
  <c r="K578" i="15" s="1"/>
  <c r="H576" i="15"/>
  <c r="K576" i="15" s="1"/>
  <c r="H572" i="15"/>
  <c r="K572" i="15" s="1"/>
  <c r="H570" i="15"/>
  <c r="K570" i="15" s="1"/>
  <c r="H568" i="15"/>
  <c r="K568" i="15" s="1"/>
  <c r="H566" i="15"/>
  <c r="K566" i="15" s="1"/>
  <c r="H564" i="15"/>
  <c r="K564" i="15" s="1"/>
  <c r="H562" i="15"/>
  <c r="K562" i="15" s="1"/>
  <c r="H560" i="15"/>
  <c r="K560" i="15" s="1"/>
  <c r="H556" i="15"/>
  <c r="K556" i="15" s="1"/>
  <c r="H554" i="15"/>
  <c r="K554" i="15" s="1"/>
  <c r="H552" i="15"/>
  <c r="K552" i="15" s="1"/>
  <c r="H550" i="15"/>
  <c r="K550" i="15" s="1"/>
  <c r="H548" i="15"/>
  <c r="K548" i="15" s="1"/>
  <c r="H546" i="15"/>
  <c r="K546" i="15" s="1"/>
  <c r="H544" i="15"/>
  <c r="K544" i="15" s="1"/>
  <c r="H540" i="15"/>
  <c r="K540" i="15" s="1"/>
  <c r="H538" i="15"/>
  <c r="K538" i="15" s="1"/>
  <c r="H536" i="15"/>
  <c r="K536" i="15" s="1"/>
  <c r="H534" i="15"/>
  <c r="K534" i="15" s="1"/>
  <c r="H532" i="15"/>
  <c r="K532" i="15" s="1"/>
  <c r="H530" i="15"/>
  <c r="K530" i="15" s="1"/>
  <c r="H528" i="15"/>
  <c r="K528" i="15" s="1"/>
  <c r="H524" i="15"/>
  <c r="K524" i="15" s="1"/>
  <c r="H522" i="15"/>
  <c r="K522" i="15" s="1"/>
  <c r="H520" i="15"/>
  <c r="K520" i="15" s="1"/>
  <c r="H518" i="15"/>
  <c r="K518" i="15" s="1"/>
  <c r="H516" i="15"/>
  <c r="K516" i="15" s="1"/>
  <c r="H514" i="15"/>
  <c r="K514" i="15" s="1"/>
  <c r="H512" i="15"/>
  <c r="K512" i="15" s="1"/>
  <c r="H508" i="15"/>
  <c r="K508" i="15" s="1"/>
  <c r="H506" i="15"/>
  <c r="K506" i="15" s="1"/>
  <c r="H504" i="15"/>
  <c r="K504" i="15" s="1"/>
  <c r="H502" i="15"/>
  <c r="K502" i="15" s="1"/>
  <c r="H500" i="15"/>
  <c r="K500" i="15" s="1"/>
  <c r="H498" i="15"/>
  <c r="K498" i="15" s="1"/>
  <c r="H496" i="15"/>
  <c r="K496" i="15" s="1"/>
  <c r="H492" i="15"/>
  <c r="K492" i="15" s="1"/>
  <c r="H490" i="15"/>
  <c r="K490" i="15" s="1"/>
  <c r="H488" i="15"/>
  <c r="K488" i="15" s="1"/>
  <c r="H486" i="15"/>
  <c r="K486" i="15" s="1"/>
  <c r="H484" i="15"/>
  <c r="K484" i="15" s="1"/>
  <c r="H482" i="15"/>
  <c r="K482" i="15" s="1"/>
  <c r="K662" i="15"/>
  <c r="K618" i="15"/>
  <c r="K558" i="15"/>
  <c r="K494" i="15"/>
  <c r="L536" i="15"/>
  <c r="K690" i="15"/>
  <c r="K648" i="15"/>
  <c r="L691" i="15"/>
  <c r="H480" i="15"/>
  <c r="K480" i="15" s="1"/>
  <c r="H474" i="15"/>
  <c r="K474" i="15" s="1"/>
  <c r="H472" i="15"/>
  <c r="K472" i="15" s="1"/>
  <c r="H460" i="15"/>
  <c r="K460" i="15" s="1"/>
  <c r="H456" i="15"/>
  <c r="K456" i="15" s="1"/>
  <c r="H444" i="15"/>
  <c r="K444" i="15" s="1"/>
  <c r="H440" i="15"/>
  <c r="K440" i="15" s="1"/>
  <c r="H422" i="15"/>
  <c r="K422" i="15" s="1"/>
  <c r="H412" i="15"/>
  <c r="K412" i="15" s="1"/>
  <c r="H390" i="15"/>
  <c r="K390" i="15" s="1"/>
  <c r="H380" i="15"/>
  <c r="K380" i="15" s="1"/>
  <c r="H358" i="15"/>
  <c r="K358" i="15" s="1"/>
  <c r="H288" i="15"/>
  <c r="K288" i="15" s="1"/>
  <c r="H282" i="15"/>
  <c r="K282" i="15" s="1"/>
  <c r="H280" i="15"/>
  <c r="K280" i="15" s="1"/>
  <c r="H274" i="15"/>
  <c r="K274" i="15" s="1"/>
  <c r="H268" i="15"/>
  <c r="K268" i="15" s="1"/>
  <c r="H266" i="15"/>
  <c r="K266" i="15" s="1"/>
  <c r="H260" i="15"/>
  <c r="K260" i="15" s="1"/>
  <c r="H258" i="15"/>
  <c r="K258" i="15" s="1"/>
  <c r="H254" i="15"/>
  <c r="K254" i="15" s="1"/>
  <c r="H250" i="15"/>
  <c r="K250" i="15" s="1"/>
  <c r="H248" i="15"/>
  <c r="K248" i="15" s="1"/>
  <c r="H246" i="15"/>
  <c r="K246" i="15" s="1"/>
  <c r="H240" i="15"/>
  <c r="K240" i="15" s="1"/>
  <c r="H238" i="15"/>
  <c r="K238" i="15" s="1"/>
  <c r="H232" i="15"/>
  <c r="K232" i="15" s="1"/>
  <c r="H230" i="15"/>
  <c r="K230" i="15" s="1"/>
  <c r="H228" i="15"/>
  <c r="K228" i="15" s="1"/>
  <c r="H222" i="15"/>
  <c r="K222" i="15" s="1"/>
  <c r="H220" i="15"/>
  <c r="K220" i="15" s="1"/>
  <c r="H218" i="15"/>
  <c r="K218" i="15" s="1"/>
  <c r="H212" i="15"/>
  <c r="K212" i="15" s="1"/>
  <c r="H210" i="15"/>
  <c r="K210" i="15" s="1"/>
  <c r="H204" i="15"/>
  <c r="K204" i="15" s="1"/>
  <c r="H202" i="15"/>
  <c r="K202" i="15" s="1"/>
  <c r="H200" i="15"/>
  <c r="K200" i="15" s="1"/>
  <c r="H196" i="15"/>
  <c r="K196" i="15" s="1"/>
  <c r="H192" i="15"/>
  <c r="K192" i="15" s="1"/>
  <c r="H190" i="15"/>
  <c r="K190" i="15" s="1"/>
  <c r="H184" i="15"/>
  <c r="K184" i="15" s="1"/>
  <c r="H182" i="15"/>
  <c r="K182" i="15" s="1"/>
  <c r="H180" i="15"/>
  <c r="K180" i="15" s="1"/>
  <c r="H176" i="15"/>
  <c r="K176" i="15" s="1"/>
  <c r="H174" i="15"/>
  <c r="K174" i="15" s="1"/>
  <c r="H172" i="15"/>
  <c r="K172" i="15" s="1"/>
  <c r="H168" i="15"/>
  <c r="K168" i="15" s="1"/>
  <c r="H164" i="15"/>
  <c r="K164" i="15" s="1"/>
  <c r="H162" i="15"/>
  <c r="K162" i="15" s="1"/>
  <c r="H156" i="15"/>
  <c r="K156" i="15" s="1"/>
  <c r="H154" i="15"/>
  <c r="K154" i="15" s="1"/>
  <c r="J150" i="15"/>
  <c r="L150" i="15" s="1"/>
  <c r="J148" i="15"/>
  <c r="L148" i="15" s="1"/>
  <c r="J142" i="15"/>
  <c r="L142" i="15" s="1"/>
  <c r="J140" i="15"/>
  <c r="L140" i="15" s="1"/>
  <c r="J138" i="15"/>
  <c r="L138" i="15" s="1"/>
  <c r="J136" i="15"/>
  <c r="L136" i="15" s="1"/>
  <c r="J134" i="15"/>
  <c r="L134" i="15" s="1"/>
  <c r="J128" i="15"/>
  <c r="L128" i="15" s="1"/>
  <c r="J126" i="15"/>
  <c r="L126" i="15" s="1"/>
  <c r="J124" i="15"/>
  <c r="L124" i="15" s="1"/>
  <c r="J122" i="15"/>
  <c r="L122" i="15" s="1"/>
  <c r="J120" i="15"/>
  <c r="L120" i="15" s="1"/>
  <c r="J114" i="15"/>
  <c r="L114" i="15" s="1"/>
  <c r="J112" i="15"/>
  <c r="L112" i="15" s="1"/>
  <c r="J110" i="15"/>
  <c r="L110" i="15" s="1"/>
  <c r="J108" i="15"/>
  <c r="L108" i="15" s="1"/>
  <c r="J106" i="15"/>
  <c r="L106" i="15" s="1"/>
  <c r="J104" i="15"/>
  <c r="L104" i="15" s="1"/>
  <c r="J100" i="15"/>
  <c r="L100" i="15" s="1"/>
  <c r="J98" i="15"/>
  <c r="L98" i="15" s="1"/>
  <c r="J96" i="15"/>
  <c r="L96" i="15" s="1"/>
  <c r="J94" i="15"/>
  <c r="L94" i="15" s="1"/>
  <c r="J92" i="15"/>
  <c r="L92" i="15" s="1"/>
  <c r="J90" i="15"/>
  <c r="L90" i="15" s="1"/>
  <c r="J86" i="15"/>
  <c r="L86" i="15" s="1"/>
  <c r="J84" i="15"/>
  <c r="L84" i="15" s="1"/>
  <c r="J82" i="15"/>
  <c r="L82" i="15" s="1"/>
  <c r="J80" i="15"/>
  <c r="L80" i="15" s="1"/>
  <c r="J78" i="15"/>
  <c r="L78" i="15" s="1"/>
  <c r="J76" i="15"/>
  <c r="L76" i="15" s="1"/>
  <c r="J70" i="15"/>
  <c r="L70" i="15" s="1"/>
  <c r="J68" i="15"/>
  <c r="L68" i="15" s="1"/>
  <c r="J66" i="15"/>
  <c r="L66" i="15" s="1"/>
  <c r="J64" i="15"/>
  <c r="L64" i="15" s="1"/>
  <c r="J62" i="15"/>
  <c r="L62" i="15" s="1"/>
  <c r="J58" i="15"/>
  <c r="L58" i="15" s="1"/>
  <c r="J56" i="15"/>
  <c r="L56" i="15" s="1"/>
  <c r="J54" i="15"/>
  <c r="L54" i="15" s="1"/>
  <c r="J52" i="15"/>
  <c r="L52" i="15" s="1"/>
  <c r="J50" i="15"/>
  <c r="L50" i="15" s="1"/>
  <c r="J48" i="15"/>
  <c r="L48" i="15" s="1"/>
  <c r="J44" i="15"/>
  <c r="L44" i="15" s="1"/>
  <c r="J42" i="15"/>
  <c r="L42" i="15" s="1"/>
  <c r="J40" i="15"/>
  <c r="L40" i="15" s="1"/>
  <c r="J38" i="15"/>
  <c r="L38" i="15" s="1"/>
  <c r="J36" i="15"/>
  <c r="L36" i="15" s="1"/>
  <c r="J34" i="15"/>
  <c r="L34" i="15" s="1"/>
  <c r="J28" i="15"/>
  <c r="L28" i="15" s="1"/>
  <c r="J26" i="15"/>
  <c r="L26" i="15" s="1"/>
  <c r="J24" i="15"/>
  <c r="L24" i="15" s="1"/>
  <c r="J22" i="15"/>
  <c r="L22" i="15" s="1"/>
  <c r="J20" i="15"/>
  <c r="L20" i="15" s="1"/>
  <c r="J18" i="15"/>
  <c r="L18" i="15" s="1"/>
  <c r="K689" i="15"/>
  <c r="K673" i="15"/>
  <c r="K476" i="15"/>
  <c r="K450" i="15"/>
  <c r="K417" i="15"/>
  <c r="K396" i="15"/>
  <c r="K374" i="15"/>
  <c r="K353" i="15"/>
  <c r="K290" i="15"/>
  <c r="K276" i="15"/>
  <c r="K262" i="15"/>
  <c r="K242" i="15"/>
  <c r="K224" i="15"/>
  <c r="K206" i="15"/>
  <c r="K186" i="15"/>
  <c r="K166" i="15"/>
  <c r="L752" i="15"/>
  <c r="L734" i="15"/>
  <c r="L718" i="15"/>
  <c r="L631" i="15"/>
  <c r="L535" i="15"/>
  <c r="L215" i="15"/>
  <c r="L130" i="15"/>
  <c r="L102" i="15"/>
  <c r="L72" i="15"/>
  <c r="L46" i="15"/>
  <c r="J758" i="15"/>
  <c r="L758" i="15" s="1"/>
  <c r="J756" i="15"/>
  <c r="L756" i="15" s="1"/>
  <c r="J750" i="15"/>
  <c r="L750" i="15" s="1"/>
  <c r="J748" i="15"/>
  <c r="L748" i="15" s="1"/>
  <c r="J746" i="15"/>
  <c r="L746" i="15" s="1"/>
  <c r="J742" i="15"/>
  <c r="L742" i="15" s="1"/>
  <c r="J740" i="15"/>
  <c r="L740" i="15" s="1"/>
  <c r="J736" i="15"/>
  <c r="L736" i="15" s="1"/>
  <c r="J732" i="15"/>
  <c r="L732" i="15" s="1"/>
  <c r="J730" i="15"/>
  <c r="L730" i="15" s="1"/>
  <c r="J728" i="15"/>
  <c r="L728" i="15" s="1"/>
  <c r="J724" i="15"/>
  <c r="L724" i="15" s="1"/>
  <c r="J722" i="15"/>
  <c r="L722" i="15" s="1"/>
  <c r="J716" i="15"/>
  <c r="L716" i="15" s="1"/>
  <c r="J714" i="15"/>
  <c r="L714" i="15" s="1"/>
  <c r="J712" i="15"/>
  <c r="L712" i="15" s="1"/>
  <c r="J710" i="15"/>
  <c r="L710" i="15" s="1"/>
  <c r="J706" i="15"/>
  <c r="L706" i="15" s="1"/>
  <c r="J599" i="15"/>
  <c r="L599" i="15" s="1"/>
  <c r="J583" i="15"/>
  <c r="L583" i="15" s="1"/>
  <c r="J567" i="15"/>
  <c r="L567" i="15" s="1"/>
  <c r="J551" i="15"/>
  <c r="L551" i="15" s="1"/>
  <c r="J519" i="15"/>
  <c r="L519" i="15" s="1"/>
  <c r="J503" i="15"/>
  <c r="L503" i="15" s="1"/>
  <c r="J471" i="15"/>
  <c r="L471" i="15" s="1"/>
  <c r="J455" i="15"/>
  <c r="L455" i="15" s="1"/>
  <c r="J439" i="15"/>
  <c r="L439" i="15" s="1"/>
  <c r="J355" i="15"/>
  <c r="L355" i="15" s="1"/>
  <c r="J351" i="15"/>
  <c r="L351" i="15" s="1"/>
  <c r="J339" i="15"/>
  <c r="L339" i="15" s="1"/>
  <c r="J335" i="15"/>
  <c r="L335" i="15" s="1"/>
  <c r="J331" i="15"/>
  <c r="L331" i="15" s="1"/>
  <c r="J327" i="15"/>
  <c r="L327" i="15" s="1"/>
  <c r="J319" i="15"/>
  <c r="L319" i="15" s="1"/>
  <c r="J315" i="15"/>
  <c r="L315" i="15" s="1"/>
  <c r="J311" i="15"/>
  <c r="L311" i="15" s="1"/>
  <c r="J307" i="15"/>
  <c r="L307" i="15" s="1"/>
  <c r="J299" i="15"/>
  <c r="L299" i="15" s="1"/>
  <c r="J295" i="15"/>
  <c r="L295" i="15" s="1"/>
  <c r="J291" i="15"/>
  <c r="L291" i="15" s="1"/>
  <c r="J279" i="15"/>
  <c r="L279" i="15" s="1"/>
  <c r="J263" i="15"/>
  <c r="L263" i="15" s="1"/>
  <c r="J247" i="15"/>
  <c r="L247" i="15" s="1"/>
  <c r="J199" i="15"/>
  <c r="L199" i="15" s="1"/>
  <c r="J183" i="15"/>
  <c r="L183" i="15" s="1"/>
  <c r="J167" i="15"/>
  <c r="L167" i="15" s="1"/>
  <c r="H152" i="15"/>
  <c r="K152" i="15" s="1"/>
  <c r="H140" i="15"/>
  <c r="K140" i="15" s="1"/>
  <c r="H136" i="15"/>
  <c r="K136" i="15" s="1"/>
  <c r="H134" i="15"/>
  <c r="K134" i="15" s="1"/>
  <c r="H124" i="15"/>
  <c r="K124" i="15" s="1"/>
  <c r="H118" i="15"/>
  <c r="K118" i="15" s="1"/>
  <c r="H114" i="15"/>
  <c r="K114" i="15" s="1"/>
  <c r="H108" i="15"/>
  <c r="K108" i="15" s="1"/>
  <c r="H98" i="15"/>
  <c r="K98" i="15" s="1"/>
  <c r="H92" i="15"/>
  <c r="K92" i="15" s="1"/>
  <c r="H88" i="15"/>
  <c r="K88" i="15" s="1"/>
  <c r="H76" i="15"/>
  <c r="K76" i="15" s="1"/>
  <c r="H72" i="15"/>
  <c r="K72" i="15" s="1"/>
  <c r="H70" i="15"/>
  <c r="K70" i="15" s="1"/>
  <c r="H60" i="15"/>
  <c r="K60" i="15" s="1"/>
  <c r="H54" i="15"/>
  <c r="K54" i="15" s="1"/>
  <c r="H50" i="15"/>
  <c r="K50" i="15" s="1"/>
  <c r="H44" i="15"/>
  <c r="K44" i="15" s="1"/>
  <c r="H34" i="15"/>
  <c r="K34" i="15" s="1"/>
  <c r="H28" i="15"/>
  <c r="K28" i="15" s="1"/>
  <c r="H24" i="15"/>
  <c r="K24" i="15" s="1"/>
  <c r="H12" i="15"/>
  <c r="K12" i="15" s="1"/>
  <c r="K701" i="15"/>
  <c r="K685" i="15"/>
  <c r="K657" i="15"/>
  <c r="K470" i="15"/>
  <c r="K438" i="15"/>
  <c r="K409" i="15"/>
  <c r="K389" i="15"/>
  <c r="K365" i="15"/>
  <c r="K333" i="15"/>
  <c r="K286" i="15"/>
  <c r="K272" i="15"/>
  <c r="K256" i="15"/>
  <c r="K236" i="15"/>
  <c r="K216" i="15"/>
  <c r="K198" i="15"/>
  <c r="K178" i="15"/>
  <c r="K160" i="15"/>
  <c r="K130" i="15"/>
  <c r="K86" i="15"/>
  <c r="K40" i="15"/>
  <c r="K6" i="15"/>
  <c r="L744" i="15"/>
  <c r="L615" i="15"/>
  <c r="L347" i="15"/>
  <c r="L303" i="15"/>
  <c r="L146" i="15"/>
  <c r="L118" i="15"/>
  <c r="L88" i="15"/>
  <c r="L60" i="15"/>
  <c r="L32" i="15"/>
  <c r="H425" i="15"/>
  <c r="K425" i="15" s="1"/>
  <c r="H413" i="15"/>
  <c r="K413" i="15" s="1"/>
  <c r="H405" i="15"/>
  <c r="K405" i="15" s="1"/>
  <c r="H401" i="15"/>
  <c r="K401" i="15" s="1"/>
  <c r="H393" i="15"/>
  <c r="K393" i="15" s="1"/>
  <c r="H381" i="15"/>
  <c r="K381" i="15" s="1"/>
  <c r="H373" i="15"/>
  <c r="K373" i="15" s="1"/>
  <c r="H369" i="15"/>
  <c r="K369" i="15" s="1"/>
  <c r="H361" i="15"/>
  <c r="K361" i="15" s="1"/>
  <c r="H349" i="15"/>
  <c r="K349" i="15" s="1"/>
  <c r="H337" i="15"/>
  <c r="K337" i="15" s="1"/>
  <c r="H317" i="15"/>
  <c r="K317" i="15" s="1"/>
  <c r="H305" i="15"/>
  <c r="K305" i="15" s="1"/>
  <c r="H289" i="15"/>
  <c r="K289" i="15" s="1"/>
  <c r="H273" i="15"/>
  <c r="K273" i="15" s="1"/>
  <c r="H257" i="15"/>
  <c r="K257" i="15" s="1"/>
  <c r="H241" i="15"/>
  <c r="K241" i="15" s="1"/>
  <c r="H225" i="15"/>
  <c r="K225" i="15" s="1"/>
  <c r="H209" i="15"/>
  <c r="K209" i="15" s="1"/>
  <c r="H193" i="15"/>
  <c r="K193" i="15" s="1"/>
  <c r="H161" i="15"/>
  <c r="K161" i="15" s="1"/>
  <c r="J151" i="15"/>
  <c r="L151" i="15" s="1"/>
  <c r="J135" i="15"/>
  <c r="L135" i="15" s="1"/>
  <c r="J119" i="15"/>
  <c r="L119" i="15" s="1"/>
  <c r="J71" i="15"/>
  <c r="L71" i="15" s="1"/>
  <c r="K693" i="15"/>
  <c r="K677" i="15"/>
  <c r="K641" i="15"/>
  <c r="K466" i="15"/>
  <c r="K434" i="15"/>
  <c r="K406" i="15"/>
  <c r="K385" i="15"/>
  <c r="K364" i="15"/>
  <c r="K321" i="15"/>
  <c r="K284" i="15"/>
  <c r="K270" i="15"/>
  <c r="K252" i="15"/>
  <c r="K234" i="15"/>
  <c r="K214" i="15"/>
  <c r="K194" i="15"/>
  <c r="K177" i="15"/>
  <c r="K158" i="15"/>
  <c r="K120" i="15"/>
  <c r="K82" i="15"/>
  <c r="K38" i="15"/>
  <c r="L726" i="15"/>
  <c r="L708" i="15"/>
  <c r="L343" i="15"/>
  <c r="L144" i="15"/>
  <c r="L116" i="15"/>
  <c r="L87" i="15"/>
  <c r="L59" i="15"/>
  <c r="L30" i="15"/>
  <c r="H627" i="15"/>
  <c r="K627" i="15" s="1"/>
  <c r="H623" i="15"/>
  <c r="K623" i="15" s="1"/>
  <c r="H619" i="15"/>
  <c r="K619" i="15" s="1"/>
  <c r="H603" i="15"/>
  <c r="K603" i="15" s="1"/>
  <c r="H599" i="15"/>
  <c r="K599" i="15" s="1"/>
  <c r="H595" i="15"/>
  <c r="K595" i="15" s="1"/>
  <c r="H591" i="15"/>
  <c r="K591" i="15" s="1"/>
  <c r="H587" i="15"/>
  <c r="K587" i="15" s="1"/>
  <c r="H563" i="15"/>
  <c r="K563" i="15" s="1"/>
  <c r="H559" i="15"/>
  <c r="K559" i="15" s="1"/>
  <c r="H539" i="15"/>
  <c r="K539" i="15" s="1"/>
  <c r="H523" i="15"/>
  <c r="K523" i="15" s="1"/>
  <c r="H519" i="15"/>
  <c r="K519" i="15" s="1"/>
  <c r="H515" i="15"/>
  <c r="K515" i="15" s="1"/>
  <c r="H491" i="15"/>
  <c r="K491" i="15" s="1"/>
  <c r="H487" i="15"/>
  <c r="K487" i="15" s="1"/>
  <c r="H483" i="15"/>
  <c r="K483" i="15" s="1"/>
  <c r="H439" i="15"/>
  <c r="K439" i="15" s="1"/>
  <c r="H435" i="15"/>
  <c r="K435" i="15" s="1"/>
  <c r="H431" i="15"/>
  <c r="K431" i="15" s="1"/>
  <c r="J409" i="15"/>
  <c r="L409" i="15" s="1"/>
  <c r="J393" i="15"/>
  <c r="L393" i="15" s="1"/>
  <c r="J389" i="15"/>
  <c r="L389" i="15" s="1"/>
  <c r="J385" i="15"/>
  <c r="L385" i="15" s="1"/>
  <c r="J381" i="15"/>
  <c r="L381" i="15" s="1"/>
  <c r="J377" i="15"/>
  <c r="L377" i="15" s="1"/>
  <c r="J357" i="15"/>
  <c r="L357" i="15" s="1"/>
  <c r="H151" i="15"/>
  <c r="K151" i="15" s="1"/>
  <c r="H147" i="15"/>
  <c r="K147" i="15" s="1"/>
  <c r="H139" i="15"/>
  <c r="K139" i="15" s="1"/>
  <c r="H135" i="15"/>
  <c r="K135" i="15" s="1"/>
  <c r="H131" i="15"/>
  <c r="K131" i="15" s="1"/>
  <c r="H127" i="15"/>
  <c r="K127" i="15" s="1"/>
  <c r="H123" i="15"/>
  <c r="K123" i="15" s="1"/>
  <c r="H111" i="15"/>
  <c r="K111" i="15" s="1"/>
  <c r="H107" i="15"/>
  <c r="K107" i="15" s="1"/>
  <c r="H103" i="15"/>
  <c r="K103" i="15" s="1"/>
  <c r="H99" i="15"/>
  <c r="K99" i="15" s="1"/>
  <c r="H95" i="15"/>
  <c r="K95" i="15" s="1"/>
  <c r="H83" i="15"/>
  <c r="K83" i="15" s="1"/>
  <c r="H79" i="15"/>
  <c r="K79" i="15" s="1"/>
  <c r="H75" i="15"/>
  <c r="K75" i="15" s="1"/>
  <c r="H59" i="15"/>
  <c r="K59" i="15" s="1"/>
  <c r="H51" i="15"/>
  <c r="K51" i="15" s="1"/>
  <c r="H47" i="15"/>
  <c r="K47" i="15" s="1"/>
  <c r="H43" i="15"/>
  <c r="K43" i="15" s="1"/>
  <c r="H39" i="15"/>
  <c r="K39" i="15" s="1"/>
  <c r="H31" i="15"/>
  <c r="K31" i="15" s="1"/>
  <c r="J17" i="15"/>
  <c r="L17" i="15" s="1"/>
  <c r="J9" i="15"/>
  <c r="L9" i="15" s="1"/>
  <c r="K726" i="15"/>
  <c r="K609" i="15"/>
  <c r="K593" i="15"/>
  <c r="K561" i="15"/>
  <c r="K497" i="15"/>
  <c r="K465" i="15"/>
  <c r="K348" i="15"/>
  <c r="K342" i="15"/>
  <c r="K300" i="15"/>
  <c r="K294" i="15"/>
  <c r="K113" i="15"/>
  <c r="K49" i="15"/>
  <c r="K33" i="15"/>
  <c r="L700" i="15"/>
  <c r="L658" i="15"/>
  <c r="L652" i="15"/>
  <c r="L423" i="15"/>
  <c r="L391" i="15"/>
  <c r="L375" i="15"/>
  <c r="L359" i="15"/>
  <c r="L290" i="15"/>
  <c r="L284" i="15"/>
  <c r="L258" i="15"/>
  <c r="L252" i="15"/>
  <c r="L242" i="15"/>
  <c r="L236" i="15"/>
  <c r="L210" i="15"/>
  <c r="L194" i="15"/>
  <c r="L188" i="15"/>
  <c r="L162" i="15"/>
  <c r="L156" i="15"/>
  <c r="J761" i="15"/>
  <c r="L761" i="15" s="1"/>
  <c r="J757" i="15"/>
  <c r="L757" i="15" s="1"/>
  <c r="J753" i="15"/>
  <c r="L753" i="15" s="1"/>
  <c r="J749" i="15"/>
  <c r="L749" i="15" s="1"/>
  <c r="J745" i="15"/>
  <c r="L745" i="15" s="1"/>
  <c r="J741" i="15"/>
  <c r="L741" i="15" s="1"/>
  <c r="J737" i="15"/>
  <c r="L737" i="15" s="1"/>
  <c r="J733" i="15"/>
  <c r="L733" i="15" s="1"/>
  <c r="J729" i="15"/>
  <c r="L729" i="15" s="1"/>
  <c r="J725" i="15"/>
  <c r="L725" i="15" s="1"/>
  <c r="J721" i="15"/>
  <c r="L721" i="15" s="1"/>
  <c r="J717" i="15"/>
  <c r="L717" i="15" s="1"/>
  <c r="J713" i="15"/>
  <c r="L713" i="15" s="1"/>
  <c r="J709" i="15"/>
  <c r="L709" i="15" s="1"/>
  <c r="J705" i="15"/>
  <c r="L705" i="15" s="1"/>
  <c r="K3" i="15"/>
  <c r="K757" i="15"/>
  <c r="K752" i="15"/>
  <c r="K746" i="15"/>
  <c r="K741" i="15"/>
  <c r="K736" i="15"/>
  <c r="K730" i="15"/>
  <c r="K725" i="15"/>
  <c r="K720" i="15"/>
  <c r="K714" i="15"/>
  <c r="K709" i="15"/>
  <c r="K704" i="15"/>
  <c r="K698" i="15"/>
  <c r="K688" i="15"/>
  <c r="K682" i="15"/>
  <c r="K672" i="15"/>
  <c r="K666" i="15"/>
  <c r="K661" i="15"/>
  <c r="K656" i="15"/>
  <c r="K650" i="15"/>
  <c r="K645" i="15"/>
  <c r="K640" i="15"/>
  <c r="K634" i="15"/>
  <c r="K629" i="15"/>
  <c r="K613" i="15"/>
  <c r="K597" i="15"/>
  <c r="K581" i="15"/>
  <c r="K565" i="15"/>
  <c r="K549" i="15"/>
  <c r="K533" i="15"/>
  <c r="K517" i="15"/>
  <c r="K501" i="15"/>
  <c r="K485" i="15"/>
  <c r="K469" i="15"/>
  <c r="K464" i="15"/>
  <c r="K458" i="15"/>
  <c r="K453" i="15"/>
  <c r="K448" i="15"/>
  <c r="K442" i="15"/>
  <c r="K437" i="15"/>
  <c r="K432" i="15"/>
  <c r="K426" i="15"/>
  <c r="K416" i="15"/>
  <c r="K410" i="15"/>
  <c r="K400" i="15"/>
  <c r="K394" i="15"/>
  <c r="K384" i="15"/>
  <c r="K378" i="15"/>
  <c r="K368" i="15"/>
  <c r="K362" i="15"/>
  <c r="K352" i="15"/>
  <c r="K346" i="15"/>
  <c r="K341" i="15"/>
  <c r="K336" i="15"/>
  <c r="K330" i="15"/>
  <c r="K325" i="15"/>
  <c r="K320" i="15"/>
  <c r="K314" i="15"/>
  <c r="K309" i="15"/>
  <c r="K304" i="15"/>
  <c r="K298" i="15"/>
  <c r="K293" i="15"/>
  <c r="K277" i="15"/>
  <c r="K261" i="15"/>
  <c r="K245" i="15"/>
  <c r="K229" i="15"/>
  <c r="K213" i="15"/>
  <c r="K197" i="15"/>
  <c r="K181" i="15"/>
  <c r="K165" i="15"/>
  <c r="K149" i="15"/>
  <c r="K144" i="15"/>
  <c r="K138" i="15"/>
  <c r="K133" i="15"/>
  <c r="K128" i="15"/>
  <c r="K122" i="15"/>
  <c r="K117" i="15"/>
  <c r="K112" i="15"/>
  <c r="K106" i="15"/>
  <c r="K101" i="15"/>
  <c r="K96" i="15"/>
  <c r="K90" i="15"/>
  <c r="K85" i="15"/>
  <c r="K80" i="15"/>
  <c r="K74" i="15"/>
  <c r="K69" i="15"/>
  <c r="K64" i="15"/>
  <c r="K58" i="15"/>
  <c r="K53" i="15"/>
  <c r="K48" i="15"/>
  <c r="K42" i="15"/>
  <c r="K37" i="15"/>
  <c r="K32" i="15"/>
  <c r="K26" i="15"/>
  <c r="K21" i="15"/>
  <c r="K16" i="15"/>
  <c r="K10" i="15"/>
  <c r="L747" i="15"/>
  <c r="L731" i="15"/>
  <c r="L715" i="15"/>
  <c r="L704" i="15"/>
  <c r="L699" i="15"/>
  <c r="L694" i="15"/>
  <c r="L688" i="15"/>
  <c r="L683" i="15"/>
  <c r="L678" i="15"/>
  <c r="L672" i="15"/>
  <c r="L662" i="15"/>
  <c r="L656" i="15"/>
  <c r="L646" i="15"/>
  <c r="L640" i="15"/>
  <c r="L630" i="15"/>
  <c r="L624" i="15"/>
  <c r="L619" i="15"/>
  <c r="L614" i="15"/>
  <c r="L608" i="15"/>
  <c r="L603" i="15"/>
  <c r="L598" i="15"/>
  <c r="L592" i="15"/>
  <c r="L587" i="15"/>
  <c r="L582" i="15"/>
  <c r="L576" i="15"/>
  <c r="L571" i="15"/>
  <c r="L566" i="15"/>
  <c r="L560" i="15"/>
  <c r="L555" i="15"/>
  <c r="L550" i="15"/>
  <c r="L544" i="15"/>
  <c r="L539" i="15"/>
  <c r="L534" i="15"/>
  <c r="L528" i="15"/>
  <c r="L523" i="15"/>
  <c r="L518" i="15"/>
  <c r="L512" i="15"/>
  <c r="L507" i="15"/>
  <c r="L502" i="15"/>
  <c r="L496" i="15"/>
  <c r="L491" i="15"/>
  <c r="L486" i="15"/>
  <c r="L480" i="15"/>
  <c r="L475" i="15"/>
  <c r="L470" i="15"/>
  <c r="L459" i="15"/>
  <c r="L443" i="15"/>
  <c r="L427" i="15"/>
  <c r="L422" i="15"/>
  <c r="L416" i="15"/>
  <c r="L411" i="15"/>
  <c r="L406" i="15"/>
  <c r="L400" i="15"/>
  <c r="L395" i="15"/>
  <c r="L390" i="15"/>
  <c r="L384" i="15"/>
  <c r="L379" i="15"/>
  <c r="L374" i="15"/>
  <c r="L368" i="15"/>
  <c r="L363" i="15"/>
  <c r="L358" i="15"/>
  <c r="L352" i="15"/>
  <c r="L342" i="15"/>
  <c r="L336" i="15"/>
  <c r="L326" i="15"/>
  <c r="L320" i="15"/>
  <c r="L310" i="15"/>
  <c r="L304" i="15"/>
  <c r="L294" i="15"/>
  <c r="L288" i="15"/>
  <c r="L283" i="15"/>
  <c r="L278" i="15"/>
  <c r="L272" i="15"/>
  <c r="L267" i="15"/>
  <c r="L262" i="15"/>
  <c r="L256" i="15"/>
  <c r="L251" i="15"/>
  <c r="L246" i="15"/>
  <c r="L240" i="15"/>
  <c r="L235" i="15"/>
  <c r="L230" i="15"/>
  <c r="L224" i="15"/>
  <c r="L219" i="15"/>
  <c r="L214" i="15"/>
  <c r="L208" i="15"/>
  <c r="L203" i="15"/>
  <c r="L198" i="15"/>
  <c r="L192" i="15"/>
  <c r="L187" i="15"/>
  <c r="L182" i="15"/>
  <c r="L176" i="15"/>
  <c r="L171" i="15"/>
  <c r="L166" i="15"/>
  <c r="L160" i="15"/>
  <c r="L155" i="15"/>
  <c r="L139" i="15"/>
  <c r="L123" i="15"/>
  <c r="L107" i="15"/>
  <c r="L91" i="15"/>
  <c r="L75" i="15"/>
  <c r="L63" i="15"/>
  <c r="L23" i="15"/>
  <c r="L16" i="15"/>
  <c r="L10" i="15"/>
  <c r="H543" i="15"/>
  <c r="K543" i="15" s="1"/>
  <c r="H535" i="15"/>
  <c r="K535" i="15" s="1"/>
  <c r="J405" i="15"/>
  <c r="L405" i="15" s="1"/>
  <c r="J397" i="15"/>
  <c r="L397" i="15" s="1"/>
  <c r="J361" i="15"/>
  <c r="L361" i="15" s="1"/>
  <c r="H87" i="15"/>
  <c r="K87" i="15" s="1"/>
  <c r="H67" i="15"/>
  <c r="K67" i="15" s="1"/>
  <c r="K748" i="15"/>
  <c r="K742" i="15"/>
  <c r="K732" i="15"/>
  <c r="K710" i="15"/>
  <c r="K577" i="15"/>
  <c r="K513" i="15"/>
  <c r="K449" i="15"/>
  <c r="K316" i="15"/>
  <c r="K310" i="15"/>
  <c r="K129" i="15"/>
  <c r="K97" i="15"/>
  <c r="L674" i="15"/>
  <c r="L668" i="15"/>
  <c r="L407" i="15"/>
  <c r="L274" i="15"/>
  <c r="L268" i="15"/>
  <c r="L226" i="15"/>
  <c r="L220" i="15"/>
  <c r="L178" i="15"/>
  <c r="L172" i="15"/>
  <c r="L11" i="15"/>
  <c r="H759" i="15"/>
  <c r="K759" i="15" s="1"/>
  <c r="H755" i="15"/>
  <c r="K755" i="15" s="1"/>
  <c r="H751" i="15"/>
  <c r="K751" i="15" s="1"/>
  <c r="H747" i="15"/>
  <c r="K747" i="15" s="1"/>
  <c r="H743" i="15"/>
  <c r="K743" i="15" s="1"/>
  <c r="H739" i="15"/>
  <c r="K739" i="15" s="1"/>
  <c r="H735" i="15"/>
  <c r="K735" i="15" s="1"/>
  <c r="H731" i="15"/>
  <c r="K731" i="15" s="1"/>
  <c r="H727" i="15"/>
  <c r="K727" i="15" s="1"/>
  <c r="H723" i="15"/>
  <c r="K723" i="15" s="1"/>
  <c r="H719" i="15"/>
  <c r="K719" i="15" s="1"/>
  <c r="H715" i="15"/>
  <c r="K715" i="15" s="1"/>
  <c r="H711" i="15"/>
  <c r="K711" i="15" s="1"/>
  <c r="H707" i="15"/>
  <c r="K707" i="15" s="1"/>
  <c r="J701" i="15"/>
  <c r="L701" i="15" s="1"/>
  <c r="J697" i="15"/>
  <c r="L697" i="15" s="1"/>
  <c r="J693" i="15"/>
  <c r="L693" i="15" s="1"/>
  <c r="J689" i="15"/>
  <c r="L689" i="15" s="1"/>
  <c r="J685" i="15"/>
  <c r="L685" i="15" s="1"/>
  <c r="J681" i="15"/>
  <c r="L681" i="15" s="1"/>
  <c r="J677" i="15"/>
  <c r="L677" i="15" s="1"/>
  <c r="J673" i="15"/>
  <c r="L673" i="15" s="1"/>
  <c r="J356" i="15"/>
  <c r="L356" i="15" s="1"/>
  <c r="H355" i="15"/>
  <c r="K355" i="15" s="1"/>
  <c r="H351" i="15"/>
  <c r="K351" i="15" s="1"/>
  <c r="H347" i="15"/>
  <c r="K347" i="15" s="1"/>
  <c r="H343" i="15"/>
  <c r="K343" i="15" s="1"/>
  <c r="H339" i="15"/>
  <c r="K339" i="15" s="1"/>
  <c r="H335" i="15"/>
  <c r="K335" i="15" s="1"/>
  <c r="H331" i="15"/>
  <c r="K331" i="15" s="1"/>
  <c r="H327" i="15"/>
  <c r="K327" i="15" s="1"/>
  <c r="H323" i="15"/>
  <c r="K323" i="15" s="1"/>
  <c r="H319" i="15"/>
  <c r="K319" i="15" s="1"/>
  <c r="H315" i="15"/>
  <c r="K315" i="15" s="1"/>
  <c r="H311" i="15"/>
  <c r="K311" i="15" s="1"/>
  <c r="H307" i="15"/>
  <c r="K307" i="15" s="1"/>
  <c r="H303" i="15"/>
  <c r="K303" i="15" s="1"/>
  <c r="H299" i="15"/>
  <c r="K299" i="15" s="1"/>
  <c r="H295" i="15"/>
  <c r="K295" i="15" s="1"/>
  <c r="J289" i="15"/>
  <c r="L289" i="15" s="1"/>
  <c r="J285" i="15"/>
  <c r="L285" i="15" s="1"/>
  <c r="J281" i="15"/>
  <c r="L281" i="15" s="1"/>
  <c r="J277" i="15"/>
  <c r="L277" i="15" s="1"/>
  <c r="J273" i="15"/>
  <c r="L273" i="15" s="1"/>
  <c r="J269" i="15"/>
  <c r="L269" i="15" s="1"/>
  <c r="J265" i="15"/>
  <c r="L265" i="15" s="1"/>
  <c r="J261" i="15"/>
  <c r="L261" i="15" s="1"/>
  <c r="J257" i="15"/>
  <c r="L257" i="15" s="1"/>
  <c r="J253" i="15"/>
  <c r="L253" i="15" s="1"/>
  <c r="J249" i="15"/>
  <c r="L249" i="15" s="1"/>
  <c r="J245" i="15"/>
  <c r="L245" i="15" s="1"/>
  <c r="J241" i="15"/>
  <c r="L241" i="15" s="1"/>
  <c r="J237" i="15"/>
  <c r="L237" i="15" s="1"/>
  <c r="J233" i="15"/>
  <c r="L233" i="15" s="1"/>
  <c r="J229" i="15"/>
  <c r="L229" i="15" s="1"/>
  <c r="J225" i="15"/>
  <c r="L225" i="15" s="1"/>
  <c r="J221" i="15"/>
  <c r="L221" i="15" s="1"/>
  <c r="J217" i="15"/>
  <c r="L217" i="15" s="1"/>
  <c r="J213" i="15"/>
  <c r="L213" i="15" s="1"/>
  <c r="J209" i="15"/>
  <c r="L209" i="15" s="1"/>
  <c r="J205" i="15"/>
  <c r="L205" i="15" s="1"/>
  <c r="J201" i="15"/>
  <c r="L201" i="15" s="1"/>
  <c r="J197" i="15"/>
  <c r="L197" i="15" s="1"/>
  <c r="J193" i="15"/>
  <c r="L193" i="15" s="1"/>
  <c r="J189" i="15"/>
  <c r="L189" i="15" s="1"/>
  <c r="J185" i="15"/>
  <c r="L185" i="15" s="1"/>
  <c r="J181" i="15"/>
  <c r="L181" i="15" s="1"/>
  <c r="J177" i="15"/>
  <c r="L177" i="15" s="1"/>
  <c r="J173" i="15"/>
  <c r="L173" i="15" s="1"/>
  <c r="J169" i="15"/>
  <c r="L169" i="15" s="1"/>
  <c r="J165" i="15"/>
  <c r="L165" i="15" s="1"/>
  <c r="J161" i="15"/>
  <c r="L161" i="15" s="1"/>
  <c r="J157" i="15"/>
  <c r="L157" i="15" s="1"/>
  <c r="J153" i="15"/>
  <c r="L153" i="15" s="1"/>
  <c r="J14" i="15"/>
  <c r="L14" i="15" s="1"/>
  <c r="J8" i="15"/>
  <c r="L8" i="15" s="1"/>
  <c r="K761" i="15"/>
  <c r="K756" i="15"/>
  <c r="K750" i="15"/>
  <c r="K745" i="15"/>
  <c r="K740" i="15"/>
  <c r="K734" i="15"/>
  <c r="K729" i="15"/>
  <c r="K724" i="15"/>
  <c r="K718" i="15"/>
  <c r="K713" i="15"/>
  <c r="K708" i="15"/>
  <c r="K702" i="15"/>
  <c r="K692" i="15"/>
  <c r="K686" i="15"/>
  <c r="K676" i="15"/>
  <c r="K670" i="15"/>
  <c r="K665" i="15"/>
  <c r="K660" i="15"/>
  <c r="K654" i="15"/>
  <c r="K649" i="15"/>
  <c r="K644" i="15"/>
  <c r="K638" i="15"/>
  <c r="K633" i="15"/>
  <c r="K617" i="15"/>
  <c r="K601" i="15"/>
  <c r="K585" i="15"/>
  <c r="K569" i="15"/>
  <c r="K553" i="15"/>
  <c r="K537" i="15"/>
  <c r="K521" i="15"/>
  <c r="K505" i="15"/>
  <c r="K489" i="15"/>
  <c r="K473" i="15"/>
  <c r="K468" i="15"/>
  <c r="K462" i="15"/>
  <c r="K457" i="15"/>
  <c r="K452" i="15"/>
  <c r="K446" i="15"/>
  <c r="K441" i="15"/>
  <c r="K436" i="15"/>
  <c r="K430" i="15"/>
  <c r="K420" i="15"/>
  <c r="K414" i="15"/>
  <c r="K404" i="15"/>
  <c r="K398" i="15"/>
  <c r="K388" i="15"/>
  <c r="K382" i="15"/>
  <c r="K372" i="15"/>
  <c r="K366" i="15"/>
  <c r="K356" i="15"/>
  <c r="K350" i="15"/>
  <c r="K345" i="15"/>
  <c r="K340" i="15"/>
  <c r="K334" i="15"/>
  <c r="K329" i="15"/>
  <c r="K324" i="15"/>
  <c r="K318" i="15"/>
  <c r="K313" i="15"/>
  <c r="K308" i="15"/>
  <c r="K302" i="15"/>
  <c r="K297" i="15"/>
  <c r="K292" i="15"/>
  <c r="K281" i="15"/>
  <c r="K265" i="15"/>
  <c r="K249" i="15"/>
  <c r="K233" i="15"/>
  <c r="K217" i="15"/>
  <c r="K201" i="15"/>
  <c r="K185" i="15"/>
  <c r="K169" i="15"/>
  <c r="K153" i="15"/>
  <c r="K148" i="15"/>
  <c r="K142" i="15"/>
  <c r="K137" i="15"/>
  <c r="K132" i="15"/>
  <c r="K126" i="15"/>
  <c r="K121" i="15"/>
  <c r="K116" i="15"/>
  <c r="K110" i="15"/>
  <c r="K105" i="15"/>
  <c r="K100" i="15"/>
  <c r="K94" i="15"/>
  <c r="K89" i="15"/>
  <c r="K84" i="15"/>
  <c r="K78" i="15"/>
  <c r="K73" i="15"/>
  <c r="K68" i="15"/>
  <c r="K62" i="15"/>
  <c r="K57" i="15"/>
  <c r="K52" i="15"/>
  <c r="K46" i="15"/>
  <c r="K41" i="15"/>
  <c r="K36" i="15"/>
  <c r="K30" i="15"/>
  <c r="K25" i="15"/>
  <c r="K20" i="15"/>
  <c r="K14" i="15"/>
  <c r="K4" i="15"/>
  <c r="L751" i="15"/>
  <c r="L735" i="15"/>
  <c r="L719" i="15"/>
  <c r="L703" i="15"/>
  <c r="L698" i="15"/>
  <c r="L692" i="15"/>
  <c r="L687" i="15"/>
  <c r="L682" i="15"/>
  <c r="L676" i="15"/>
  <c r="L671" i="15"/>
  <c r="L666" i="15"/>
  <c r="L660" i="15"/>
  <c r="L650" i="15"/>
  <c r="L644" i="15"/>
  <c r="L634" i="15"/>
  <c r="L628" i="15"/>
  <c r="L623" i="15"/>
  <c r="L618" i="15"/>
  <c r="L612" i="15"/>
  <c r="L607" i="15"/>
  <c r="L602" i="15"/>
  <c r="L596" i="15"/>
  <c r="L591" i="15"/>
  <c r="L586" i="15"/>
  <c r="L580" i="15"/>
  <c r="L575" i="15"/>
  <c r="L570" i="15"/>
  <c r="L564" i="15"/>
  <c r="L559" i="15"/>
  <c r="L554" i="15"/>
  <c r="L548" i="15"/>
  <c r="L543" i="15"/>
  <c r="L538" i="15"/>
  <c r="L532" i="15"/>
  <c r="L527" i="15"/>
  <c r="L522" i="15"/>
  <c r="L516" i="15"/>
  <c r="L511" i="15"/>
  <c r="L506" i="15"/>
  <c r="L500" i="15"/>
  <c r="L495" i="15"/>
  <c r="L490" i="15"/>
  <c r="L484" i="15"/>
  <c r="L479" i="15"/>
  <c r="L474" i="15"/>
  <c r="L468" i="15"/>
  <c r="L463" i="15"/>
  <c r="L447" i="15"/>
  <c r="L431" i="15"/>
  <c r="L426" i="15"/>
  <c r="L420" i="15"/>
  <c r="L415" i="15"/>
  <c r="L410" i="15"/>
  <c r="L404" i="15"/>
  <c r="L399" i="15"/>
  <c r="L394" i="15"/>
  <c r="L388" i="15"/>
  <c r="L383" i="15"/>
  <c r="L378" i="15"/>
  <c r="L372" i="15"/>
  <c r="L367" i="15"/>
  <c r="L362" i="15"/>
  <c r="L346" i="15"/>
  <c r="L340" i="15"/>
  <c r="L330" i="15"/>
  <c r="L324" i="15"/>
  <c r="L314" i="15"/>
  <c r="L308" i="15"/>
  <c r="L298" i="15"/>
  <c r="L292" i="15"/>
  <c r="L287" i="15"/>
  <c r="L282" i="15"/>
  <c r="L276" i="15"/>
  <c r="L271" i="15"/>
  <c r="L266" i="15"/>
  <c r="L260" i="15"/>
  <c r="L255" i="15"/>
  <c r="L250" i="15"/>
  <c r="L244" i="15"/>
  <c r="L239" i="15"/>
  <c r="L234" i="15"/>
  <c r="L228" i="15"/>
  <c r="L223" i="15"/>
  <c r="L218" i="15"/>
  <c r="L212" i="15"/>
  <c r="L207" i="15"/>
  <c r="L202" i="15"/>
  <c r="L196" i="15"/>
  <c r="L191" i="15"/>
  <c r="L186" i="15"/>
  <c r="L180" i="15"/>
  <c r="L175" i="15"/>
  <c r="L170" i="15"/>
  <c r="L164" i="15"/>
  <c r="L159" i="15"/>
  <c r="L154" i="15"/>
  <c r="L143" i="15"/>
  <c r="L127" i="15"/>
  <c r="L111" i="15"/>
  <c r="L95" i="15"/>
  <c r="L79" i="15"/>
  <c r="L39" i="15"/>
  <c r="L27" i="15"/>
  <c r="L15" i="15"/>
  <c r="L7" i="15"/>
  <c r="H631" i="15"/>
  <c r="K631" i="15" s="1"/>
  <c r="H615" i="15"/>
  <c r="K615" i="15" s="1"/>
  <c r="H611" i="15"/>
  <c r="K611" i="15" s="1"/>
  <c r="H607" i="15"/>
  <c r="K607" i="15" s="1"/>
  <c r="H583" i="15"/>
  <c r="K583" i="15" s="1"/>
  <c r="H579" i="15"/>
  <c r="K579" i="15" s="1"/>
  <c r="H575" i="15"/>
  <c r="K575" i="15" s="1"/>
  <c r="H571" i="15"/>
  <c r="K571" i="15" s="1"/>
  <c r="H567" i="15"/>
  <c r="K567" i="15" s="1"/>
  <c r="H555" i="15"/>
  <c r="K555" i="15" s="1"/>
  <c r="H551" i="15"/>
  <c r="K551" i="15" s="1"/>
  <c r="H547" i="15"/>
  <c r="K547" i="15" s="1"/>
  <c r="H531" i="15"/>
  <c r="K531" i="15" s="1"/>
  <c r="H527" i="15"/>
  <c r="K527" i="15" s="1"/>
  <c r="H511" i="15"/>
  <c r="K511" i="15" s="1"/>
  <c r="H507" i="15"/>
  <c r="K507" i="15" s="1"/>
  <c r="H503" i="15"/>
  <c r="K503" i="15" s="1"/>
  <c r="H499" i="15"/>
  <c r="K499" i="15" s="1"/>
  <c r="H495" i="15"/>
  <c r="K495" i="15" s="1"/>
  <c r="H479" i="15"/>
  <c r="K479" i="15" s="1"/>
  <c r="H475" i="15"/>
  <c r="K475" i="15" s="1"/>
  <c r="H471" i="15"/>
  <c r="K471" i="15" s="1"/>
  <c r="H467" i="15"/>
  <c r="K467" i="15" s="1"/>
  <c r="H463" i="15"/>
  <c r="K463" i="15" s="1"/>
  <c r="H459" i="15"/>
  <c r="K459" i="15" s="1"/>
  <c r="H455" i="15"/>
  <c r="K455" i="15" s="1"/>
  <c r="H451" i="15"/>
  <c r="K451" i="15" s="1"/>
  <c r="H447" i="15"/>
  <c r="K447" i="15" s="1"/>
  <c r="H443" i="15"/>
  <c r="K443" i="15" s="1"/>
  <c r="J425" i="15"/>
  <c r="L425" i="15" s="1"/>
  <c r="J421" i="15"/>
  <c r="L421" i="15" s="1"/>
  <c r="J417" i="15"/>
  <c r="L417" i="15" s="1"/>
  <c r="J413" i="15"/>
  <c r="L413" i="15" s="1"/>
  <c r="J401" i="15"/>
  <c r="L401" i="15" s="1"/>
  <c r="J373" i="15"/>
  <c r="L373" i="15" s="1"/>
  <c r="J369" i="15"/>
  <c r="L369" i="15" s="1"/>
  <c r="J365" i="15"/>
  <c r="L365" i="15" s="1"/>
  <c r="H143" i="15"/>
  <c r="K143" i="15" s="1"/>
  <c r="H119" i="15"/>
  <c r="K119" i="15" s="1"/>
  <c r="H115" i="15"/>
  <c r="K115" i="15" s="1"/>
  <c r="H91" i="15"/>
  <c r="K91" i="15" s="1"/>
  <c r="H71" i="15"/>
  <c r="K71" i="15" s="1"/>
  <c r="H63" i="15"/>
  <c r="K63" i="15" s="1"/>
  <c r="H55" i="15"/>
  <c r="K55" i="15" s="1"/>
  <c r="H35" i="15"/>
  <c r="K35" i="15" s="1"/>
  <c r="H27" i="15"/>
  <c r="K27" i="15" s="1"/>
  <c r="H23" i="15"/>
  <c r="K23" i="15" s="1"/>
  <c r="J13" i="15"/>
  <c r="L13" i="15" s="1"/>
  <c r="J5" i="15"/>
  <c r="L5" i="15" s="1"/>
  <c r="K758" i="15"/>
  <c r="K716" i="15"/>
  <c r="K625" i="15"/>
  <c r="K545" i="15"/>
  <c r="K529" i="15"/>
  <c r="K481" i="15"/>
  <c r="K433" i="15"/>
  <c r="K332" i="15"/>
  <c r="K326" i="15"/>
  <c r="K145" i="15"/>
  <c r="K81" i="15"/>
  <c r="K65" i="15"/>
  <c r="L690" i="15"/>
  <c r="L684" i="15"/>
  <c r="L642" i="15"/>
  <c r="L636" i="15"/>
  <c r="L204" i="15"/>
  <c r="H671" i="15"/>
  <c r="K671" i="15" s="1"/>
  <c r="H667" i="15"/>
  <c r="K667" i="15" s="1"/>
  <c r="H663" i="15"/>
  <c r="K663" i="15" s="1"/>
  <c r="H659" i="15"/>
  <c r="K659" i="15" s="1"/>
  <c r="H655" i="15"/>
  <c r="K655" i="15" s="1"/>
  <c r="H651" i="15"/>
  <c r="K651" i="15" s="1"/>
  <c r="H647" i="15"/>
  <c r="K647" i="15" s="1"/>
  <c r="H643" i="15"/>
  <c r="K643" i="15" s="1"/>
  <c r="H639" i="15"/>
  <c r="K639" i="15" s="1"/>
  <c r="H635" i="15"/>
  <c r="K635" i="15" s="1"/>
  <c r="J629" i="15"/>
  <c r="L629" i="15" s="1"/>
  <c r="J625" i="15"/>
  <c r="L625" i="15" s="1"/>
  <c r="J621" i="15"/>
  <c r="L621" i="15" s="1"/>
  <c r="J617" i="15"/>
  <c r="L617" i="15" s="1"/>
  <c r="J613" i="15"/>
  <c r="L613" i="15" s="1"/>
  <c r="J609" i="15"/>
  <c r="L609" i="15" s="1"/>
  <c r="J605" i="15"/>
  <c r="L605" i="15" s="1"/>
  <c r="J601" i="15"/>
  <c r="L601" i="15" s="1"/>
  <c r="J597" i="15"/>
  <c r="L597" i="15" s="1"/>
  <c r="J593" i="15"/>
  <c r="L593" i="15" s="1"/>
  <c r="J589" i="15"/>
  <c r="L589" i="15" s="1"/>
  <c r="J585" i="15"/>
  <c r="L585" i="15" s="1"/>
  <c r="J581" i="15"/>
  <c r="L581" i="15" s="1"/>
  <c r="J577" i="15"/>
  <c r="L577" i="15" s="1"/>
  <c r="J573" i="15"/>
  <c r="L573" i="15" s="1"/>
  <c r="J569" i="15"/>
  <c r="L569" i="15" s="1"/>
  <c r="J565" i="15"/>
  <c r="L565" i="15" s="1"/>
  <c r="J561" i="15"/>
  <c r="L561" i="15" s="1"/>
  <c r="J557" i="15"/>
  <c r="L557" i="15" s="1"/>
  <c r="J553" i="15"/>
  <c r="L553" i="15" s="1"/>
  <c r="J549" i="15"/>
  <c r="L549" i="15" s="1"/>
  <c r="J545" i="15"/>
  <c r="L545" i="15" s="1"/>
  <c r="J541" i="15"/>
  <c r="L541" i="15" s="1"/>
  <c r="J537" i="15"/>
  <c r="L537" i="15" s="1"/>
  <c r="J533" i="15"/>
  <c r="L533" i="15" s="1"/>
  <c r="J529" i="15"/>
  <c r="L529" i="15" s="1"/>
  <c r="J525" i="15"/>
  <c r="L525" i="15" s="1"/>
  <c r="J521" i="15"/>
  <c r="L521" i="15" s="1"/>
  <c r="J517" i="15"/>
  <c r="L517" i="15" s="1"/>
  <c r="J513" i="15"/>
  <c r="L513" i="15" s="1"/>
  <c r="J509" i="15"/>
  <c r="L509" i="15" s="1"/>
  <c r="J505" i="15"/>
  <c r="L505" i="15" s="1"/>
  <c r="J501" i="15"/>
  <c r="L501" i="15" s="1"/>
  <c r="J497" i="15"/>
  <c r="L497" i="15" s="1"/>
  <c r="J493" i="15"/>
  <c r="L493" i="15" s="1"/>
  <c r="J489" i="15"/>
  <c r="L489" i="15" s="1"/>
  <c r="J485" i="15"/>
  <c r="L485" i="15" s="1"/>
  <c r="J481" i="15"/>
  <c r="L481" i="15" s="1"/>
  <c r="J477" i="15"/>
  <c r="L477" i="15" s="1"/>
  <c r="J473" i="15"/>
  <c r="L473" i="15" s="1"/>
  <c r="J469" i="15"/>
  <c r="L469" i="15" s="1"/>
  <c r="J465" i="15"/>
  <c r="L465" i="15" s="1"/>
  <c r="J461" i="15"/>
  <c r="L461" i="15" s="1"/>
  <c r="J457" i="15"/>
  <c r="L457" i="15" s="1"/>
  <c r="J453" i="15"/>
  <c r="L453" i="15" s="1"/>
  <c r="J449" i="15"/>
  <c r="L449" i="15" s="1"/>
  <c r="J445" i="15"/>
  <c r="L445" i="15" s="1"/>
  <c r="J441" i="15"/>
  <c r="L441" i="15" s="1"/>
  <c r="J437" i="15"/>
  <c r="L437" i="15" s="1"/>
  <c r="J433" i="15"/>
  <c r="L433" i="15" s="1"/>
  <c r="J429" i="15"/>
  <c r="L429" i="15" s="1"/>
  <c r="K291" i="15"/>
  <c r="H287" i="15"/>
  <c r="K287" i="15" s="1"/>
  <c r="H283" i="15"/>
  <c r="K283" i="15" s="1"/>
  <c r="H279" i="15"/>
  <c r="K279" i="15" s="1"/>
  <c r="H275" i="15"/>
  <c r="K275" i="15" s="1"/>
  <c r="H271" i="15"/>
  <c r="K271" i="15" s="1"/>
  <c r="H267" i="15"/>
  <c r="K267" i="15" s="1"/>
  <c r="H263" i="15"/>
  <c r="K263" i="15" s="1"/>
  <c r="H259" i="15"/>
  <c r="K259" i="15" s="1"/>
  <c r="H255" i="15"/>
  <c r="K255" i="15" s="1"/>
  <c r="H251" i="15"/>
  <c r="K251" i="15" s="1"/>
  <c r="H247" i="15"/>
  <c r="K247" i="15" s="1"/>
  <c r="H243" i="15"/>
  <c r="K243" i="15" s="1"/>
  <c r="H239" i="15"/>
  <c r="K239" i="15" s="1"/>
  <c r="H235" i="15"/>
  <c r="K235" i="15" s="1"/>
  <c r="H231" i="15"/>
  <c r="K231" i="15" s="1"/>
  <c r="H227" i="15"/>
  <c r="K227" i="15" s="1"/>
  <c r="H223" i="15"/>
  <c r="K223" i="15" s="1"/>
  <c r="H219" i="15"/>
  <c r="K219" i="15" s="1"/>
  <c r="H215" i="15"/>
  <c r="K215" i="15" s="1"/>
  <c r="H211" i="15"/>
  <c r="K211" i="15" s="1"/>
  <c r="H207" i="15"/>
  <c r="K207" i="15" s="1"/>
  <c r="H203" i="15"/>
  <c r="K203" i="15" s="1"/>
  <c r="H199" i="15"/>
  <c r="K199" i="15" s="1"/>
  <c r="H195" i="15"/>
  <c r="K195" i="15" s="1"/>
  <c r="H191" i="15"/>
  <c r="K191" i="15" s="1"/>
  <c r="H187" i="15"/>
  <c r="K187" i="15" s="1"/>
  <c r="H183" i="15"/>
  <c r="K183" i="15" s="1"/>
  <c r="H179" i="15"/>
  <c r="K179" i="15" s="1"/>
  <c r="H175" i="15"/>
  <c r="K175" i="15" s="1"/>
  <c r="H171" i="15"/>
  <c r="K171" i="15" s="1"/>
  <c r="H167" i="15"/>
  <c r="K167" i="15" s="1"/>
  <c r="H163" i="15"/>
  <c r="K163" i="15" s="1"/>
  <c r="H159" i="15"/>
  <c r="K159" i="15" s="1"/>
  <c r="H155" i="15"/>
  <c r="K155" i="15" s="1"/>
  <c r="J149" i="15"/>
  <c r="L149" i="15" s="1"/>
  <c r="J145" i="15"/>
  <c r="L145" i="15" s="1"/>
  <c r="J141" i="15"/>
  <c r="L141" i="15" s="1"/>
  <c r="J137" i="15"/>
  <c r="L137" i="15" s="1"/>
  <c r="J133" i="15"/>
  <c r="L133" i="15" s="1"/>
  <c r="J129" i="15"/>
  <c r="L129" i="15" s="1"/>
  <c r="J125" i="15"/>
  <c r="L125" i="15" s="1"/>
  <c r="J121" i="15"/>
  <c r="L121" i="15" s="1"/>
  <c r="J117" i="15"/>
  <c r="L117" i="15" s="1"/>
  <c r="J113" i="15"/>
  <c r="L113" i="15" s="1"/>
  <c r="J109" i="15"/>
  <c r="L109" i="15" s="1"/>
  <c r="J105" i="15"/>
  <c r="L105" i="15" s="1"/>
  <c r="J101" i="15"/>
  <c r="L101" i="15" s="1"/>
  <c r="J97" i="15"/>
  <c r="L97" i="15" s="1"/>
  <c r="J93" i="15"/>
  <c r="L93" i="15" s="1"/>
  <c r="J89" i="15"/>
  <c r="L89" i="15" s="1"/>
  <c r="J85" i="15"/>
  <c r="L85" i="15" s="1"/>
  <c r="J81" i="15"/>
  <c r="L81" i="15" s="1"/>
  <c r="J77" i="15"/>
  <c r="L77" i="15" s="1"/>
  <c r="J73" i="15"/>
  <c r="L73" i="15" s="1"/>
  <c r="J69" i="15"/>
  <c r="L69" i="15" s="1"/>
  <c r="J67" i="15"/>
  <c r="L67" i="15" s="1"/>
  <c r="J65" i="15"/>
  <c r="L65" i="15" s="1"/>
  <c r="J61" i="15"/>
  <c r="L61" i="15" s="1"/>
  <c r="J57" i="15"/>
  <c r="L57" i="15" s="1"/>
  <c r="J53" i="15"/>
  <c r="L53" i="15" s="1"/>
  <c r="J51" i="15"/>
  <c r="L51" i="15" s="1"/>
  <c r="J49" i="15"/>
  <c r="L49" i="15" s="1"/>
  <c r="J45" i="15"/>
  <c r="L45" i="15" s="1"/>
  <c r="J41" i="15"/>
  <c r="L41" i="15" s="1"/>
  <c r="J37" i="15"/>
  <c r="L37" i="15" s="1"/>
  <c r="J35" i="15"/>
  <c r="L35" i="15" s="1"/>
  <c r="J33" i="15"/>
  <c r="L33" i="15" s="1"/>
  <c r="J29" i="15"/>
  <c r="L29" i="15" s="1"/>
  <c r="J25" i="15"/>
  <c r="L25" i="15" s="1"/>
  <c r="J21" i="15"/>
  <c r="L21" i="15" s="1"/>
  <c r="J19" i="15"/>
  <c r="L19" i="15" s="1"/>
  <c r="K760" i="15"/>
  <c r="K754" i="15"/>
  <c r="K744" i="15"/>
  <c r="K738" i="15"/>
  <c r="K728" i="15"/>
  <c r="K722" i="15"/>
  <c r="K712" i="15"/>
  <c r="K706" i="15"/>
  <c r="K669" i="15"/>
  <c r="K653" i="15"/>
  <c r="K637" i="15"/>
  <c r="K621" i="15"/>
  <c r="K605" i="15"/>
  <c r="K589" i="15"/>
  <c r="K573" i="15"/>
  <c r="K557" i="15"/>
  <c r="K541" i="15"/>
  <c r="K525" i="15"/>
  <c r="K509" i="15"/>
  <c r="K493" i="15"/>
  <c r="K477" i="15"/>
  <c r="K461" i="15"/>
  <c r="K445" i="15"/>
  <c r="K429" i="15"/>
  <c r="K424" i="15"/>
  <c r="K418" i="15"/>
  <c r="K408" i="15"/>
  <c r="K402" i="15"/>
  <c r="K392" i="15"/>
  <c r="K386" i="15"/>
  <c r="K376" i="15"/>
  <c r="K370" i="15"/>
  <c r="K360" i="15"/>
  <c r="K354" i="15"/>
  <c r="K344" i="15"/>
  <c r="K338" i="15"/>
  <c r="K328" i="15"/>
  <c r="K322" i="15"/>
  <c r="K312" i="15"/>
  <c r="K306" i="15"/>
  <c r="K296" i="15"/>
  <c r="K285" i="15"/>
  <c r="K269" i="15"/>
  <c r="K253" i="15"/>
  <c r="K237" i="15"/>
  <c r="K221" i="15"/>
  <c r="K205" i="15"/>
  <c r="K189" i="15"/>
  <c r="K173" i="15"/>
  <c r="K157" i="15"/>
  <c r="K141" i="15"/>
  <c r="K125" i="15"/>
  <c r="K109" i="15"/>
  <c r="K93" i="15"/>
  <c r="K77" i="15"/>
  <c r="K61" i="15"/>
  <c r="K45" i="15"/>
  <c r="K29" i="15"/>
  <c r="K18" i="15"/>
  <c r="K8" i="15"/>
  <c r="L760" i="15"/>
  <c r="L702" i="15"/>
  <c r="L696" i="15"/>
  <c r="L686" i="15"/>
  <c r="L680" i="15"/>
  <c r="L670" i="15"/>
  <c r="L664" i="15"/>
  <c r="L654" i="15"/>
  <c r="L648" i="15"/>
  <c r="L638" i="15"/>
  <c r="L632" i="15"/>
  <c r="L627" i="15"/>
  <c r="L611" i="15"/>
  <c r="L595" i="15"/>
  <c r="L579" i="15"/>
  <c r="L563" i="15"/>
  <c r="L547" i="15"/>
  <c r="L531" i="15"/>
  <c r="L515" i="15"/>
  <c r="L499" i="15"/>
  <c r="L483" i="15"/>
  <c r="L467" i="15"/>
  <c r="L451" i="15"/>
  <c r="L435" i="15"/>
  <c r="L424" i="15"/>
  <c r="L419" i="15"/>
  <c r="L414" i="15"/>
  <c r="L408" i="15"/>
  <c r="L403" i="15"/>
  <c r="L398" i="15"/>
  <c r="L392" i="15"/>
  <c r="L387" i="15"/>
  <c r="L382" i="15"/>
  <c r="L376" i="15"/>
  <c r="L371" i="15"/>
  <c r="L366" i="15"/>
  <c r="L360" i="15"/>
  <c r="L350" i="15"/>
  <c r="L344" i="15"/>
  <c r="L334" i="15"/>
  <c r="L328" i="15"/>
  <c r="L318" i="15"/>
  <c r="L312" i="15"/>
  <c r="L302" i="15"/>
  <c r="L296" i="15"/>
  <c r="L286" i="15"/>
  <c r="L280" i="15"/>
  <c r="L275" i="15"/>
  <c r="L270" i="15"/>
  <c r="L264" i="15"/>
  <c r="L259" i="15"/>
  <c r="L254" i="15"/>
  <c r="L248" i="15"/>
  <c r="L243" i="15"/>
  <c r="L238" i="15"/>
  <c r="L232" i="15"/>
  <c r="L227" i="15"/>
  <c r="L222" i="15"/>
  <c r="L216" i="15"/>
  <c r="L211" i="15"/>
  <c r="L206" i="15"/>
  <c r="L200" i="15"/>
  <c r="L195" i="15"/>
  <c r="L190" i="15"/>
  <c r="L184" i="15"/>
  <c r="L179" i="15"/>
  <c r="L174" i="15"/>
  <c r="L168" i="15"/>
  <c r="L163" i="15"/>
  <c r="L158" i="15"/>
  <c r="L147" i="15"/>
  <c r="L131" i="15"/>
  <c r="L115" i="15"/>
  <c r="L99" i="15"/>
  <c r="L83" i="15"/>
  <c r="L55" i="15"/>
  <c r="L43" i="15"/>
  <c r="L31" i="15"/>
  <c r="L12" i="15"/>
  <c r="L6" i="15"/>
  <c r="L3" i="15"/>
  <c r="K703" i="15"/>
  <c r="K699" i="15"/>
  <c r="K695" i="15"/>
  <c r="K691" i="15"/>
  <c r="K687" i="15"/>
  <c r="K683" i="15"/>
  <c r="K679" i="15"/>
  <c r="K675" i="15"/>
  <c r="K427" i="15"/>
  <c r="K423" i="15"/>
  <c r="K419" i="15"/>
  <c r="K415" i="15"/>
  <c r="K411" i="15"/>
  <c r="K407" i="15"/>
  <c r="K403" i="15"/>
  <c r="K399" i="15"/>
  <c r="K395" i="15"/>
  <c r="K391" i="15"/>
  <c r="K387" i="15"/>
  <c r="K383" i="15"/>
  <c r="K379" i="15"/>
  <c r="K375" i="15"/>
  <c r="K371" i="15"/>
  <c r="K367" i="15"/>
  <c r="K363" i="15"/>
  <c r="K359" i="15"/>
  <c r="K19" i="15"/>
  <c r="K15" i="15"/>
  <c r="K11" i="15"/>
  <c r="K7" i="15"/>
  <c r="L669" i="15"/>
  <c r="L665" i="15"/>
  <c r="L661" i="15"/>
  <c r="L657" i="15"/>
  <c r="L653" i="15"/>
  <c r="L649" i="15"/>
  <c r="L645" i="15"/>
  <c r="L641" i="15"/>
  <c r="L637" i="15"/>
  <c r="L633" i="15"/>
  <c r="L353" i="15"/>
  <c r="L349" i="15"/>
  <c r="L345" i="15"/>
  <c r="L341" i="15"/>
  <c r="L337" i="15"/>
  <c r="L333" i="15"/>
  <c r="L329" i="15"/>
  <c r="L325" i="15"/>
  <c r="L321" i="15"/>
  <c r="L317" i="15"/>
  <c r="L313" i="15"/>
  <c r="L309" i="15"/>
  <c r="L305" i="15"/>
  <c r="L301" i="15"/>
  <c r="L297" i="15"/>
  <c r="L293" i="15"/>
  <c r="AP1" i="15"/>
  <c r="AM1" i="15"/>
  <c r="AI1" i="15"/>
  <c r="AE1" i="15"/>
  <c r="AA1" i="15"/>
  <c r="W1" i="15"/>
  <c r="S1" i="15"/>
  <c r="AL1" i="15"/>
  <c r="AH1" i="15"/>
  <c r="AD1" i="15"/>
  <c r="Z1" i="15"/>
  <c r="V1" i="15"/>
  <c r="AO1" i="15"/>
  <c r="AK1" i="15"/>
  <c r="AG1" i="15"/>
  <c r="AC1" i="15"/>
  <c r="Y1" i="15"/>
  <c r="U1" i="15"/>
  <c r="AN1" i="15"/>
  <c r="AJ1" i="15"/>
  <c r="AF1" i="15"/>
  <c r="AB1" i="15"/>
  <c r="X1" i="15"/>
  <c r="V204" i="15" l="1"/>
  <c r="Z204" i="15"/>
  <c r="AD204" i="15"/>
  <c r="AH204" i="15"/>
  <c r="AL204" i="15"/>
  <c r="X204" i="15"/>
  <c r="AF204" i="15"/>
  <c r="AN204" i="15"/>
  <c r="AC204" i="15"/>
  <c r="AO204" i="15"/>
  <c r="S204" i="15"/>
  <c r="W204" i="15"/>
  <c r="AA204" i="15"/>
  <c r="AE204" i="15"/>
  <c r="AI204" i="15"/>
  <c r="AM204" i="15"/>
  <c r="T204" i="15"/>
  <c r="AB204" i="15"/>
  <c r="AJ204" i="15"/>
  <c r="R204" i="15"/>
  <c r="U204" i="15"/>
  <c r="Y204" i="15"/>
  <c r="AG204" i="15"/>
  <c r="AK204" i="15"/>
  <c r="U146" i="15"/>
  <c r="Y146" i="15"/>
  <c r="AC146" i="15"/>
  <c r="AG146" i="15"/>
  <c r="AK146" i="15"/>
  <c r="AO146" i="15"/>
  <c r="R146" i="15"/>
  <c r="W146" i="15"/>
  <c r="AE146" i="15"/>
  <c r="AM146" i="15"/>
  <c r="X146" i="15"/>
  <c r="AN146" i="15"/>
  <c r="V146" i="15"/>
  <c r="Z146" i="15"/>
  <c r="AD146" i="15"/>
  <c r="AH146" i="15"/>
  <c r="AL146" i="15"/>
  <c r="S146" i="15"/>
  <c r="AA146" i="15"/>
  <c r="AI146" i="15"/>
  <c r="T146" i="15"/>
  <c r="AB146" i="15"/>
  <c r="AF146" i="15"/>
  <c r="AJ146" i="15"/>
  <c r="T285" i="15"/>
  <c r="X285" i="15"/>
  <c r="AB285" i="15"/>
  <c r="AF285" i="15"/>
  <c r="AJ285" i="15"/>
  <c r="AN285" i="15"/>
  <c r="R285" i="15"/>
  <c r="W285" i="15"/>
  <c r="AC285" i="15"/>
  <c r="AH285" i="15"/>
  <c r="AM285" i="15"/>
  <c r="S285" i="15"/>
  <c r="Y285" i="15"/>
  <c r="AD285" i="15"/>
  <c r="AI285" i="15"/>
  <c r="AO285" i="15"/>
  <c r="U285" i="15"/>
  <c r="Z285" i="15"/>
  <c r="AE285" i="15"/>
  <c r="AK285" i="15"/>
  <c r="AL285" i="15"/>
  <c r="V285" i="15"/>
  <c r="AA285" i="15"/>
  <c r="AG285" i="15"/>
  <c r="T235" i="15"/>
  <c r="X235" i="15"/>
  <c r="AB235" i="15"/>
  <c r="AF235" i="15"/>
  <c r="AJ235" i="15"/>
  <c r="AN235" i="15"/>
  <c r="R235" i="15"/>
  <c r="S235" i="15"/>
  <c r="Y235" i="15"/>
  <c r="AD235" i="15"/>
  <c r="AI235" i="15"/>
  <c r="AO235" i="15"/>
  <c r="U235" i="15"/>
  <c r="Z235" i="15"/>
  <c r="AE235" i="15"/>
  <c r="AK235" i="15"/>
  <c r="V235" i="15"/>
  <c r="AA235" i="15"/>
  <c r="AG235" i="15"/>
  <c r="AL235" i="15"/>
  <c r="W235" i="15"/>
  <c r="AC235" i="15"/>
  <c r="AH235" i="15"/>
  <c r="AM235" i="15"/>
  <c r="T94" i="15"/>
  <c r="X94" i="15"/>
  <c r="AB94" i="15"/>
  <c r="AF94" i="15"/>
  <c r="AJ94" i="15"/>
  <c r="AN94" i="15"/>
  <c r="U94" i="15"/>
  <c r="Z94" i="15"/>
  <c r="AE94" i="15"/>
  <c r="AK94" i="15"/>
  <c r="V94" i="15"/>
  <c r="AA94" i="15"/>
  <c r="AG94" i="15"/>
  <c r="AL94" i="15"/>
  <c r="W94" i="15"/>
  <c r="AC94" i="15"/>
  <c r="AH94" i="15"/>
  <c r="AM94" i="15"/>
  <c r="Y94" i="15"/>
  <c r="R94" i="15"/>
  <c r="AD94" i="15"/>
  <c r="AI94" i="15"/>
  <c r="AO94" i="15"/>
  <c r="S94" i="15"/>
  <c r="V233" i="15"/>
  <c r="Z233" i="15"/>
  <c r="AD233" i="15"/>
  <c r="AH233" i="15"/>
  <c r="AL233" i="15"/>
  <c r="R233" i="15"/>
  <c r="W233" i="15"/>
  <c r="AB233" i="15"/>
  <c r="AG233" i="15"/>
  <c r="AM233" i="15"/>
  <c r="S233" i="15"/>
  <c r="X233" i="15"/>
  <c r="AC233" i="15"/>
  <c r="AI233" i="15"/>
  <c r="AN233" i="15"/>
  <c r="T233" i="15"/>
  <c r="Y233" i="15"/>
  <c r="AE233" i="15"/>
  <c r="AJ233" i="15"/>
  <c r="AO233" i="15"/>
  <c r="AA233" i="15"/>
  <c r="AF233" i="15"/>
  <c r="AK233" i="15"/>
  <c r="U233" i="15"/>
  <c r="S90" i="15"/>
  <c r="W90" i="15"/>
  <c r="AA90" i="15"/>
  <c r="AE90" i="15"/>
  <c r="AI90" i="15"/>
  <c r="AM90" i="15"/>
  <c r="V90" i="15"/>
  <c r="AB90" i="15"/>
  <c r="AG90" i="15"/>
  <c r="AL90" i="15"/>
  <c r="X90" i="15"/>
  <c r="AC90" i="15"/>
  <c r="AH90" i="15"/>
  <c r="AN90" i="15"/>
  <c r="R90" i="15"/>
  <c r="T90" i="15"/>
  <c r="Y90" i="15"/>
  <c r="AD90" i="15"/>
  <c r="AJ90" i="15"/>
  <c r="AO90" i="15"/>
  <c r="Z90" i="15"/>
  <c r="U90" i="15"/>
  <c r="AF90" i="15"/>
  <c r="AK90" i="15"/>
  <c r="U75" i="15"/>
  <c r="Y75" i="15"/>
  <c r="AC75" i="15"/>
  <c r="AG75" i="15"/>
  <c r="AK75" i="15"/>
  <c r="AO75" i="15"/>
  <c r="T75" i="15"/>
  <c r="Z75" i="15"/>
  <c r="AE75" i="15"/>
  <c r="AJ75" i="15"/>
  <c r="R75" i="15"/>
  <c r="V75" i="15"/>
  <c r="AA75" i="15"/>
  <c r="AF75" i="15"/>
  <c r="AL75" i="15"/>
  <c r="W75" i="15"/>
  <c r="AB75" i="15"/>
  <c r="AH75" i="15"/>
  <c r="AM75" i="15"/>
  <c r="AD75" i="15"/>
  <c r="AI75" i="15"/>
  <c r="S75" i="15"/>
  <c r="AN75" i="15"/>
  <c r="X75" i="15"/>
  <c r="R284" i="15"/>
  <c r="S284" i="15"/>
  <c r="W284" i="15"/>
  <c r="AA284" i="15"/>
  <c r="AE284" i="15"/>
  <c r="AI284" i="15"/>
  <c r="AM284" i="15"/>
  <c r="T284" i="15"/>
  <c r="Y284" i="15"/>
  <c r="AD284" i="15"/>
  <c r="AJ284" i="15"/>
  <c r="AO284" i="15"/>
  <c r="U284" i="15"/>
  <c r="Z284" i="15"/>
  <c r="AF284" i="15"/>
  <c r="AK284" i="15"/>
  <c r="V284" i="15"/>
  <c r="AB284" i="15"/>
  <c r="AG284" i="15"/>
  <c r="AL284" i="15"/>
  <c r="AN284" i="15"/>
  <c r="X284" i="15"/>
  <c r="AC284" i="15"/>
  <c r="AH284" i="15"/>
  <c r="U232" i="15"/>
  <c r="Y232" i="15"/>
  <c r="AC232" i="15"/>
  <c r="AG232" i="15"/>
  <c r="AK232" i="15"/>
  <c r="AO232" i="15"/>
  <c r="R232" i="15"/>
  <c r="S232" i="15"/>
  <c r="X232" i="15"/>
  <c r="AD232" i="15"/>
  <c r="AI232" i="15"/>
  <c r="AN232" i="15"/>
  <c r="T232" i="15"/>
  <c r="Z232" i="15"/>
  <c r="AE232" i="15"/>
  <c r="AJ232" i="15"/>
  <c r="V232" i="15"/>
  <c r="AA232" i="15"/>
  <c r="AF232" i="15"/>
  <c r="AL232" i="15"/>
  <c r="AB232" i="15"/>
  <c r="AH232" i="15"/>
  <c r="AM232" i="15"/>
  <c r="W232" i="15"/>
  <c r="R45" i="15"/>
  <c r="V45" i="15"/>
  <c r="Z45" i="15"/>
  <c r="AD45" i="15"/>
  <c r="AH45" i="15"/>
  <c r="AL45" i="15"/>
  <c r="T45" i="15"/>
  <c r="Y45" i="15"/>
  <c r="AE45" i="15"/>
  <c r="AJ45" i="15"/>
  <c r="AO45" i="15"/>
  <c r="U45" i="15"/>
  <c r="AA45" i="15"/>
  <c r="AF45" i="15"/>
  <c r="AK45" i="15"/>
  <c r="W45" i="15"/>
  <c r="AB45" i="15"/>
  <c r="AG45" i="15"/>
  <c r="AM45" i="15"/>
  <c r="AI45" i="15"/>
  <c r="S45" i="15"/>
  <c r="AN45" i="15"/>
  <c r="X45" i="15"/>
  <c r="AC45" i="15"/>
  <c r="U318" i="15"/>
  <c r="Y318" i="15"/>
  <c r="AC318" i="15"/>
  <c r="AG318" i="15"/>
  <c r="AK318" i="15"/>
  <c r="AO318" i="15"/>
  <c r="V318" i="15"/>
  <c r="AA318" i="15"/>
  <c r="AF318" i="15"/>
  <c r="AL318" i="15"/>
  <c r="R318" i="15"/>
  <c r="W318" i="15"/>
  <c r="AB318" i="15"/>
  <c r="AH318" i="15"/>
  <c r="AM318" i="15"/>
  <c r="S318" i="15"/>
  <c r="X318" i="15"/>
  <c r="AD318" i="15"/>
  <c r="AI318" i="15"/>
  <c r="AN318" i="15"/>
  <c r="AJ318" i="15"/>
  <c r="T318" i="15"/>
  <c r="Z318" i="15"/>
  <c r="AE318" i="15"/>
  <c r="R158" i="15"/>
  <c r="T158" i="15"/>
  <c r="X158" i="15"/>
  <c r="AB158" i="15"/>
  <c r="AF158" i="15"/>
  <c r="AJ158" i="15"/>
  <c r="AN158" i="15"/>
  <c r="V158" i="15"/>
  <c r="Z158" i="15"/>
  <c r="AD158" i="15"/>
  <c r="AH158" i="15"/>
  <c r="AL158" i="15"/>
  <c r="W158" i="15"/>
  <c r="AE158" i="15"/>
  <c r="AM158" i="15"/>
  <c r="Y158" i="15"/>
  <c r="AG158" i="15"/>
  <c r="AO158" i="15"/>
  <c r="U158" i="15"/>
  <c r="S158" i="15"/>
  <c r="AA158" i="15"/>
  <c r="AI158" i="15"/>
  <c r="AK158" i="15"/>
  <c r="AC158" i="15"/>
  <c r="R234" i="15"/>
  <c r="S234" i="15"/>
  <c r="W234" i="15"/>
  <c r="AA234" i="15"/>
  <c r="AE234" i="15"/>
  <c r="AI234" i="15"/>
  <c r="AM234" i="15"/>
  <c r="U234" i="15"/>
  <c r="Z234" i="15"/>
  <c r="AF234" i="15"/>
  <c r="AK234" i="15"/>
  <c r="V234" i="15"/>
  <c r="AB234" i="15"/>
  <c r="AG234" i="15"/>
  <c r="AL234" i="15"/>
  <c r="X234" i="15"/>
  <c r="AC234" i="15"/>
  <c r="AH234" i="15"/>
  <c r="AN234" i="15"/>
  <c r="Y234" i="15"/>
  <c r="AD234" i="15"/>
  <c r="AJ234" i="15"/>
  <c r="T234" i="15"/>
  <c r="AO234" i="15"/>
  <c r="U140" i="15"/>
  <c r="Y140" i="15"/>
  <c r="AC140" i="15"/>
  <c r="AG140" i="15"/>
  <c r="AK140" i="15"/>
  <c r="AO140" i="15"/>
  <c r="R140" i="15"/>
  <c r="S140" i="15"/>
  <c r="W140" i="15"/>
  <c r="AA140" i="15"/>
  <c r="AE140" i="15"/>
  <c r="AI140" i="15"/>
  <c r="AM140" i="15"/>
  <c r="Z140" i="15"/>
  <c r="AH140" i="15"/>
  <c r="X140" i="15"/>
  <c r="T140" i="15"/>
  <c r="AB140" i="15"/>
  <c r="AJ140" i="15"/>
  <c r="AF140" i="15"/>
  <c r="V140" i="15"/>
  <c r="AD140" i="15"/>
  <c r="AL140" i="15"/>
  <c r="AN140" i="15"/>
  <c r="R206" i="15"/>
  <c r="T206" i="15"/>
  <c r="X206" i="15"/>
  <c r="AB206" i="15"/>
  <c r="AF206" i="15"/>
  <c r="AJ206" i="15"/>
  <c r="AN206" i="15"/>
  <c r="U206" i="15"/>
  <c r="Z206" i="15"/>
  <c r="AE206" i="15"/>
  <c r="AK206" i="15"/>
  <c r="V206" i="15"/>
  <c r="AA206" i="15"/>
  <c r="AG206" i="15"/>
  <c r="AL206" i="15"/>
  <c r="W206" i="15"/>
  <c r="AC206" i="15"/>
  <c r="AH206" i="15"/>
  <c r="AM206" i="15"/>
  <c r="AD206" i="15"/>
  <c r="AI206" i="15"/>
  <c r="S206" i="15"/>
  <c r="AO206" i="15"/>
  <c r="Y206" i="15"/>
  <c r="V200" i="15"/>
  <c r="Z200" i="15"/>
  <c r="AD200" i="15"/>
  <c r="AH200" i="15"/>
  <c r="AL200" i="15"/>
  <c r="R200" i="15"/>
  <c r="U200" i="15"/>
  <c r="AA200" i="15"/>
  <c r="AF200" i="15"/>
  <c r="AK200" i="15"/>
  <c r="AE200" i="15"/>
  <c r="W200" i="15"/>
  <c r="AB200" i="15"/>
  <c r="AG200" i="15"/>
  <c r="AM200" i="15"/>
  <c r="T200" i="15"/>
  <c r="AO200" i="15"/>
  <c r="S200" i="15"/>
  <c r="X200" i="15"/>
  <c r="AC200" i="15"/>
  <c r="AI200" i="15"/>
  <c r="AN200" i="15"/>
  <c r="Y200" i="15"/>
  <c r="AJ200" i="15"/>
  <c r="V264" i="15"/>
  <c r="Z264" i="15"/>
  <c r="AD264" i="15"/>
  <c r="AH264" i="15"/>
  <c r="AL264" i="15"/>
  <c r="R264" i="15"/>
  <c r="U264" i="15"/>
  <c r="AA264" i="15"/>
  <c r="AF264" i="15"/>
  <c r="AK264" i="15"/>
  <c r="W264" i="15"/>
  <c r="AB264" i="15"/>
  <c r="AG264" i="15"/>
  <c r="AM264" i="15"/>
  <c r="S264" i="15"/>
  <c r="X264" i="15"/>
  <c r="AC264" i="15"/>
  <c r="AI264" i="15"/>
  <c r="AN264" i="15"/>
  <c r="T264" i="15"/>
  <c r="AO264" i="15"/>
  <c r="Y264" i="15"/>
  <c r="AE264" i="15"/>
  <c r="AJ264" i="15"/>
  <c r="R19" i="15"/>
  <c r="V19" i="15"/>
  <c r="Z19" i="15"/>
  <c r="AD19" i="15"/>
  <c r="AH19" i="15"/>
  <c r="AL19" i="15"/>
  <c r="U19" i="15"/>
  <c r="AA19" i="15"/>
  <c r="AF19" i="15"/>
  <c r="AK19" i="15"/>
  <c r="W19" i="15"/>
  <c r="AB19" i="15"/>
  <c r="AG19" i="15"/>
  <c r="AM19" i="15"/>
  <c r="S19" i="15"/>
  <c r="X19" i="15"/>
  <c r="AC19" i="15"/>
  <c r="AI19" i="15"/>
  <c r="AN19" i="15"/>
  <c r="T19" i="15"/>
  <c r="AO19" i="15"/>
  <c r="Y19" i="15"/>
  <c r="AE19" i="15"/>
  <c r="AJ19" i="15"/>
  <c r="U189" i="15"/>
  <c r="Y189" i="15"/>
  <c r="AC189" i="15"/>
  <c r="AG189" i="15"/>
  <c r="AK189" i="15"/>
  <c r="AO189" i="15"/>
  <c r="R189" i="15"/>
  <c r="S189" i="15"/>
  <c r="W189" i="15"/>
  <c r="AB189" i="15"/>
  <c r="AH189" i="15"/>
  <c r="AM189" i="15"/>
  <c r="V189" i="15"/>
  <c r="X189" i="15"/>
  <c r="AD189" i="15"/>
  <c r="AI189" i="15"/>
  <c r="AN189" i="15"/>
  <c r="AA189" i="15"/>
  <c r="T189" i="15"/>
  <c r="Z189" i="15"/>
  <c r="AE189" i="15"/>
  <c r="AJ189" i="15"/>
  <c r="AL189" i="15"/>
  <c r="AF189" i="15"/>
  <c r="R259" i="15"/>
  <c r="U259" i="15"/>
  <c r="Y259" i="15"/>
  <c r="AC259" i="15"/>
  <c r="AG259" i="15"/>
  <c r="AK259" i="15"/>
  <c r="AO259" i="15"/>
  <c r="W259" i="15"/>
  <c r="AB259" i="15"/>
  <c r="AH259" i="15"/>
  <c r="AM259" i="15"/>
  <c r="S259" i="15"/>
  <c r="X259" i="15"/>
  <c r="AD259" i="15"/>
  <c r="AI259" i="15"/>
  <c r="AN259" i="15"/>
  <c r="T259" i="15"/>
  <c r="Z259" i="15"/>
  <c r="AE259" i="15"/>
  <c r="AJ259" i="15"/>
  <c r="V259" i="15"/>
  <c r="AA259" i="15"/>
  <c r="AF259" i="15"/>
  <c r="AL259" i="15"/>
  <c r="S20" i="15"/>
  <c r="W20" i="15"/>
  <c r="AA20" i="15"/>
  <c r="AE20" i="15"/>
  <c r="AI20" i="15"/>
  <c r="AM20" i="15"/>
  <c r="R20" i="15"/>
  <c r="T20" i="15"/>
  <c r="Y20" i="15"/>
  <c r="AD20" i="15"/>
  <c r="AJ20" i="15"/>
  <c r="AO20" i="15"/>
  <c r="U20" i="15"/>
  <c r="Z20" i="15"/>
  <c r="AF20" i="15"/>
  <c r="AK20" i="15"/>
  <c r="V20" i="15"/>
  <c r="AB20" i="15"/>
  <c r="AG20" i="15"/>
  <c r="AL20" i="15"/>
  <c r="AN20" i="15"/>
  <c r="X20" i="15"/>
  <c r="AC20" i="15"/>
  <c r="AH20" i="15"/>
  <c r="U41" i="15"/>
  <c r="Y41" i="15"/>
  <c r="AC41" i="15"/>
  <c r="AG41" i="15"/>
  <c r="AK41" i="15"/>
  <c r="AO41" i="15"/>
  <c r="V41" i="15"/>
  <c r="AA41" i="15"/>
  <c r="AF41" i="15"/>
  <c r="AL41" i="15"/>
  <c r="W41" i="15"/>
  <c r="AB41" i="15"/>
  <c r="AH41" i="15"/>
  <c r="AM41" i="15"/>
  <c r="R41" i="15"/>
  <c r="S41" i="15"/>
  <c r="X41" i="15"/>
  <c r="AD41" i="15"/>
  <c r="AI41" i="15"/>
  <c r="AN41" i="15"/>
  <c r="AJ41" i="15"/>
  <c r="T41" i="15"/>
  <c r="Z41" i="15"/>
  <c r="AE41" i="15"/>
  <c r="R84" i="15"/>
  <c r="V84" i="15"/>
  <c r="Z84" i="15"/>
  <c r="AD84" i="15"/>
  <c r="AH84" i="15"/>
  <c r="AL84" i="15"/>
  <c r="S84" i="15"/>
  <c r="X84" i="15"/>
  <c r="AC84" i="15"/>
  <c r="AI84" i="15"/>
  <c r="AN84" i="15"/>
  <c r="T84" i="15"/>
  <c r="Y84" i="15"/>
  <c r="AE84" i="15"/>
  <c r="AJ84" i="15"/>
  <c r="AO84" i="15"/>
  <c r="U84" i="15"/>
  <c r="AA84" i="15"/>
  <c r="AF84" i="15"/>
  <c r="AK84" i="15"/>
  <c r="AB84" i="15"/>
  <c r="AG84" i="15"/>
  <c r="AM84" i="15"/>
  <c r="W84" i="15"/>
  <c r="U107" i="15"/>
  <c r="Y107" i="15"/>
  <c r="AC107" i="15"/>
  <c r="AG107" i="15"/>
  <c r="AK107" i="15"/>
  <c r="AO107" i="15"/>
  <c r="R107" i="15"/>
  <c r="S107" i="15"/>
  <c r="X107" i="15"/>
  <c r="AD107" i="15"/>
  <c r="AI107" i="15"/>
  <c r="AN107" i="15"/>
  <c r="T107" i="15"/>
  <c r="Z107" i="15"/>
  <c r="AE107" i="15"/>
  <c r="AJ107" i="15"/>
  <c r="V107" i="15"/>
  <c r="AA107" i="15"/>
  <c r="AF107" i="15"/>
  <c r="AL107" i="15"/>
  <c r="W107" i="15"/>
  <c r="AM107" i="15"/>
  <c r="AB107" i="15"/>
  <c r="AH107" i="15"/>
  <c r="R151" i="15"/>
  <c r="S151" i="15"/>
  <c r="W151" i="15"/>
  <c r="AA151" i="15"/>
  <c r="AE151" i="15"/>
  <c r="AI151" i="15"/>
  <c r="AM151" i="15"/>
  <c r="U151" i="15"/>
  <c r="Y151" i="15"/>
  <c r="AC151" i="15"/>
  <c r="AG151" i="15"/>
  <c r="AK151" i="15"/>
  <c r="AO151" i="15"/>
  <c r="V151" i="15"/>
  <c r="AD151" i="15"/>
  <c r="AL151" i="15"/>
  <c r="AB151" i="15"/>
  <c r="X151" i="15"/>
  <c r="AF151" i="15"/>
  <c r="AN151" i="15"/>
  <c r="Z151" i="15"/>
  <c r="AH151" i="15"/>
  <c r="AJ151" i="15"/>
  <c r="T151" i="15"/>
  <c r="S115" i="15"/>
  <c r="W115" i="15"/>
  <c r="AA115" i="15"/>
  <c r="AE115" i="15"/>
  <c r="U115" i="15"/>
  <c r="Z115" i="15"/>
  <c r="AF115" i="15"/>
  <c r="AJ115" i="15"/>
  <c r="AN115" i="15"/>
  <c r="R115" i="15"/>
  <c r="V115" i="15"/>
  <c r="X115" i="15"/>
  <c r="AC115" i="15"/>
  <c r="AH115" i="15"/>
  <c r="AL115" i="15"/>
  <c r="T115" i="15"/>
  <c r="AG115" i="15"/>
  <c r="AO115" i="15"/>
  <c r="Y115" i="15"/>
  <c r="AI115" i="15"/>
  <c r="AB115" i="15"/>
  <c r="AK115" i="15"/>
  <c r="AD115" i="15"/>
  <c r="AM115" i="15"/>
  <c r="S46" i="15"/>
  <c r="W46" i="15"/>
  <c r="AA46" i="15"/>
  <c r="AE46" i="15"/>
  <c r="AI46" i="15"/>
  <c r="AM46" i="15"/>
  <c r="X46" i="15"/>
  <c r="AC46" i="15"/>
  <c r="AH46" i="15"/>
  <c r="AN46" i="15"/>
  <c r="T46" i="15"/>
  <c r="Y46" i="15"/>
  <c r="AD46" i="15"/>
  <c r="AJ46" i="15"/>
  <c r="AO46" i="15"/>
  <c r="U46" i="15"/>
  <c r="Z46" i="15"/>
  <c r="AF46" i="15"/>
  <c r="AK46" i="15"/>
  <c r="R46" i="15"/>
  <c r="AG46" i="15"/>
  <c r="AB46" i="15"/>
  <c r="AL46" i="15"/>
  <c r="V46" i="15"/>
  <c r="T68" i="15"/>
  <c r="X68" i="15"/>
  <c r="AB68" i="15"/>
  <c r="AF68" i="15"/>
  <c r="AJ68" i="15"/>
  <c r="AN68" i="15"/>
  <c r="R68" i="15"/>
  <c r="V68" i="15"/>
  <c r="AA68" i="15"/>
  <c r="AG68" i="15"/>
  <c r="AL68" i="15"/>
  <c r="W68" i="15"/>
  <c r="AC68" i="15"/>
  <c r="AH68" i="15"/>
  <c r="AM68" i="15"/>
  <c r="S68" i="15"/>
  <c r="Y68" i="15"/>
  <c r="AD68" i="15"/>
  <c r="AI68" i="15"/>
  <c r="AO68" i="15"/>
  <c r="AE68" i="15"/>
  <c r="AK68" i="15"/>
  <c r="Z68" i="15"/>
  <c r="U68" i="15"/>
  <c r="T21" i="15"/>
  <c r="X21" i="15"/>
  <c r="AB21" i="15"/>
  <c r="AF21" i="15"/>
  <c r="AJ21" i="15"/>
  <c r="AN21" i="15"/>
  <c r="W21" i="15"/>
  <c r="AC21" i="15"/>
  <c r="AH21" i="15"/>
  <c r="AM21" i="15"/>
  <c r="R21" i="15"/>
  <c r="S21" i="15"/>
  <c r="Y21" i="15"/>
  <c r="AD21" i="15"/>
  <c r="AI21" i="15"/>
  <c r="AO21" i="15"/>
  <c r="U21" i="15"/>
  <c r="Z21" i="15"/>
  <c r="AE21" i="15"/>
  <c r="AK21" i="15"/>
  <c r="AL21" i="15"/>
  <c r="AG21" i="15"/>
  <c r="V21" i="15"/>
  <c r="AA21" i="15"/>
  <c r="R108" i="15"/>
  <c r="V108" i="15"/>
  <c r="Z108" i="15"/>
  <c r="AD108" i="15"/>
  <c r="AH108" i="15"/>
  <c r="AL108" i="15"/>
  <c r="W108" i="15"/>
  <c r="AB108" i="15"/>
  <c r="AG108" i="15"/>
  <c r="AM108" i="15"/>
  <c r="S108" i="15"/>
  <c r="X108" i="15"/>
  <c r="AC108" i="15"/>
  <c r="AI108" i="15"/>
  <c r="AN108" i="15"/>
  <c r="T108" i="15"/>
  <c r="Y108" i="15"/>
  <c r="AE108" i="15"/>
  <c r="AJ108" i="15"/>
  <c r="AO108" i="15"/>
  <c r="U108" i="15"/>
  <c r="AA108" i="15"/>
  <c r="AK108" i="15"/>
  <c r="AF108" i="15"/>
  <c r="R311" i="15"/>
  <c r="V311" i="15"/>
  <c r="Z311" i="15"/>
  <c r="AD311" i="15"/>
  <c r="AH311" i="15"/>
  <c r="AL311" i="15"/>
  <c r="S311" i="15"/>
  <c r="W311" i="15"/>
  <c r="AA311" i="15"/>
  <c r="AE311" i="15"/>
  <c r="AI311" i="15"/>
  <c r="AM311" i="15"/>
  <c r="T311" i="15"/>
  <c r="X311" i="15"/>
  <c r="AB311" i="15"/>
  <c r="AF311" i="15"/>
  <c r="AJ311" i="15"/>
  <c r="AN311" i="15"/>
  <c r="U311" i="15"/>
  <c r="Y311" i="15"/>
  <c r="AC311" i="15"/>
  <c r="AG311" i="15"/>
  <c r="AK311" i="15"/>
  <c r="AO311" i="15"/>
  <c r="T5" i="15"/>
  <c r="X5" i="15"/>
  <c r="AB5" i="15"/>
  <c r="AF5" i="15"/>
  <c r="AJ5" i="15"/>
  <c r="AN5" i="15"/>
  <c r="S5" i="15"/>
  <c r="Y5" i="15"/>
  <c r="AD5" i="15"/>
  <c r="AI5" i="15"/>
  <c r="AO5" i="15"/>
  <c r="R5" i="15"/>
  <c r="V5" i="15"/>
  <c r="AC5" i="15"/>
  <c r="AK5" i="15"/>
  <c r="W5" i="15"/>
  <c r="AE5" i="15"/>
  <c r="AL5" i="15"/>
  <c r="Z5" i="15"/>
  <c r="AG5" i="15"/>
  <c r="AM5" i="15"/>
  <c r="U5" i="15"/>
  <c r="AA5" i="15"/>
  <c r="AH5" i="15"/>
  <c r="T9" i="15"/>
  <c r="X9" i="15"/>
  <c r="AB9" i="15"/>
  <c r="AF9" i="15"/>
  <c r="AJ9" i="15"/>
  <c r="AN9" i="15"/>
  <c r="R9" i="15"/>
  <c r="W9" i="15"/>
  <c r="AC9" i="15"/>
  <c r="AH9" i="15"/>
  <c r="AM9" i="15"/>
  <c r="V9" i="15"/>
  <c r="AD9" i="15"/>
  <c r="AK9" i="15"/>
  <c r="Y9" i="15"/>
  <c r="AE9" i="15"/>
  <c r="AL9" i="15"/>
  <c r="S9" i="15"/>
  <c r="Z9" i="15"/>
  <c r="AG9" i="15"/>
  <c r="AO9" i="15"/>
  <c r="U9" i="15"/>
  <c r="AA9" i="15"/>
  <c r="AI9" i="15"/>
  <c r="R327" i="15"/>
  <c r="V327" i="15"/>
  <c r="Z327" i="15"/>
  <c r="AD327" i="15"/>
  <c r="AH327" i="15"/>
  <c r="AL327" i="15"/>
  <c r="S327" i="15"/>
  <c r="W327" i="15"/>
  <c r="AA327" i="15"/>
  <c r="AE327" i="15"/>
  <c r="AI327" i="15"/>
  <c r="AM327" i="15"/>
  <c r="T327" i="15"/>
  <c r="X327" i="15"/>
  <c r="AB327" i="15"/>
  <c r="AF327" i="15"/>
  <c r="AJ327" i="15"/>
  <c r="AN327" i="15"/>
  <c r="U327" i="15"/>
  <c r="Y327" i="15"/>
  <c r="AC327" i="15"/>
  <c r="AG327" i="15"/>
  <c r="AK327" i="15"/>
  <c r="AO327" i="15"/>
  <c r="R222" i="15"/>
  <c r="V222" i="15"/>
  <c r="Z222" i="15"/>
  <c r="AD222" i="15"/>
  <c r="AH222" i="15"/>
  <c r="AL222" i="15"/>
  <c r="S222" i="15"/>
  <c r="W222" i="15"/>
  <c r="AA222" i="15"/>
  <c r="AE222" i="15"/>
  <c r="AI222" i="15"/>
  <c r="AM222" i="15"/>
  <c r="T222" i="15"/>
  <c r="X222" i="15"/>
  <c r="AB222" i="15"/>
  <c r="AF222" i="15"/>
  <c r="AJ222" i="15"/>
  <c r="AN222" i="15"/>
  <c r="U222" i="15"/>
  <c r="Y222" i="15"/>
  <c r="AC222" i="15"/>
  <c r="AG222" i="15"/>
  <c r="AK222" i="15"/>
  <c r="AO222" i="15"/>
  <c r="R283" i="15"/>
  <c r="S283" i="15"/>
  <c r="W283" i="15"/>
  <c r="AA283" i="15"/>
  <c r="AE283" i="15"/>
  <c r="AI283" i="15"/>
  <c r="AM283" i="15"/>
  <c r="T283" i="15"/>
  <c r="X283" i="15"/>
  <c r="AB283" i="15"/>
  <c r="AF283" i="15"/>
  <c r="AJ283" i="15"/>
  <c r="AN283" i="15"/>
  <c r="U283" i="15"/>
  <c r="Y283" i="15"/>
  <c r="AC283" i="15"/>
  <c r="AG283" i="15"/>
  <c r="AK283" i="15"/>
  <c r="AO283" i="15"/>
  <c r="V283" i="15"/>
  <c r="Z283" i="15"/>
  <c r="AD283" i="15"/>
  <c r="AH283" i="15"/>
  <c r="AL283" i="15"/>
  <c r="R343" i="15"/>
  <c r="V343" i="15"/>
  <c r="Z343" i="15"/>
  <c r="AD343" i="15"/>
  <c r="AH343" i="15"/>
  <c r="AL343" i="15"/>
  <c r="S343" i="15"/>
  <c r="W343" i="15"/>
  <c r="AA343" i="15"/>
  <c r="AE343" i="15"/>
  <c r="AI343" i="15"/>
  <c r="AM343" i="15"/>
  <c r="T343" i="15"/>
  <c r="X343" i="15"/>
  <c r="AB343" i="15"/>
  <c r="AF343" i="15"/>
  <c r="AJ343" i="15"/>
  <c r="AN343" i="15"/>
  <c r="U343" i="15"/>
  <c r="Y343" i="15"/>
  <c r="AC343" i="15"/>
  <c r="AG343" i="15"/>
  <c r="AK343" i="15"/>
  <c r="AO343" i="15"/>
  <c r="R190" i="15"/>
  <c r="V190" i="15"/>
  <c r="Z190" i="15"/>
  <c r="AD190" i="15"/>
  <c r="AH190" i="15"/>
  <c r="AL190" i="15"/>
  <c r="S190" i="15"/>
  <c r="W190" i="15"/>
  <c r="AA190" i="15"/>
  <c r="AE190" i="15"/>
  <c r="AI190" i="15"/>
  <c r="AM190" i="15"/>
  <c r="T190" i="15"/>
  <c r="X190" i="15"/>
  <c r="AB190" i="15"/>
  <c r="AF190" i="15"/>
  <c r="AJ190" i="15"/>
  <c r="AN190" i="15"/>
  <c r="U190" i="15"/>
  <c r="Y190" i="15"/>
  <c r="AC190" i="15"/>
  <c r="AG190" i="15"/>
  <c r="AK190" i="15"/>
  <c r="AO190" i="15"/>
  <c r="R266" i="15"/>
  <c r="V266" i="15"/>
  <c r="Z266" i="15"/>
  <c r="AD266" i="15"/>
  <c r="AH266" i="15"/>
  <c r="AL266" i="15"/>
  <c r="S266" i="15"/>
  <c r="W266" i="15"/>
  <c r="AA266" i="15"/>
  <c r="AE266" i="15"/>
  <c r="AI266" i="15"/>
  <c r="AM266" i="15"/>
  <c r="T266" i="15"/>
  <c r="X266" i="15"/>
  <c r="AB266" i="15"/>
  <c r="AF266" i="15"/>
  <c r="AJ266" i="15"/>
  <c r="AN266" i="15"/>
  <c r="U266" i="15"/>
  <c r="Y266" i="15"/>
  <c r="AC266" i="15"/>
  <c r="AG266" i="15"/>
  <c r="AK266" i="15"/>
  <c r="AO266" i="15"/>
  <c r="T13" i="15"/>
  <c r="X13" i="15"/>
  <c r="AB13" i="15"/>
  <c r="AF13" i="15"/>
  <c r="AJ13" i="15"/>
  <c r="AN13" i="15"/>
  <c r="V13" i="15"/>
  <c r="AA13" i="15"/>
  <c r="AG13" i="15"/>
  <c r="AL13" i="15"/>
  <c r="W13" i="15"/>
  <c r="AD13" i="15"/>
  <c r="AK13" i="15"/>
  <c r="R13" i="15"/>
  <c r="Y13" i="15"/>
  <c r="AE13" i="15"/>
  <c r="AM13" i="15"/>
  <c r="S13" i="15"/>
  <c r="Z13" i="15"/>
  <c r="AH13" i="15"/>
  <c r="AO13" i="15"/>
  <c r="U13" i="15"/>
  <c r="AC13" i="15"/>
  <c r="AI13" i="15"/>
  <c r="R295" i="15"/>
  <c r="V295" i="15"/>
  <c r="Z295" i="15"/>
  <c r="AD295" i="15"/>
  <c r="AH295" i="15"/>
  <c r="AL295" i="15"/>
  <c r="S295" i="15"/>
  <c r="W295" i="15"/>
  <c r="AA295" i="15"/>
  <c r="AE295" i="15"/>
  <c r="AI295" i="15"/>
  <c r="AM295" i="15"/>
  <c r="T295" i="15"/>
  <c r="X295" i="15"/>
  <c r="AB295" i="15"/>
  <c r="AF295" i="15"/>
  <c r="AJ295" i="15"/>
  <c r="AN295" i="15"/>
  <c r="U295" i="15"/>
  <c r="Y295" i="15"/>
  <c r="AC295" i="15"/>
  <c r="AG295" i="15"/>
  <c r="AK295" i="15"/>
  <c r="AO295" i="15"/>
  <c r="R156" i="15"/>
  <c r="S156" i="15"/>
  <c r="W156" i="15"/>
  <c r="AA156" i="15"/>
  <c r="AE156" i="15"/>
  <c r="AI156" i="15"/>
  <c r="AM156" i="15"/>
  <c r="T156" i="15"/>
  <c r="X156" i="15"/>
  <c r="AB156" i="15"/>
  <c r="AF156" i="15"/>
  <c r="AJ156" i="15"/>
  <c r="AN156" i="15"/>
  <c r="U156" i="15"/>
  <c r="Y156" i="15"/>
  <c r="AC156" i="15"/>
  <c r="AG156" i="15"/>
  <c r="AK156" i="15"/>
  <c r="AO156" i="15"/>
  <c r="V156" i="15"/>
  <c r="Z156" i="15"/>
  <c r="AD156" i="15"/>
  <c r="AH156" i="15"/>
  <c r="AL156" i="15"/>
  <c r="T17" i="15"/>
  <c r="X17" i="15"/>
  <c r="AB17" i="15"/>
  <c r="AF17" i="15"/>
  <c r="AJ17" i="15"/>
  <c r="AN17" i="15"/>
  <c r="U17" i="15"/>
  <c r="Z17" i="15"/>
  <c r="AE17" i="15"/>
  <c r="AK17" i="15"/>
  <c r="W17" i="15"/>
  <c r="AD17" i="15"/>
  <c r="AL17" i="15"/>
  <c r="Y17" i="15"/>
  <c r="AG17" i="15"/>
  <c r="AM17" i="15"/>
  <c r="S17" i="15"/>
  <c r="AA17" i="15"/>
  <c r="AH17" i="15"/>
  <c r="AO17" i="15"/>
  <c r="R17" i="15"/>
  <c r="AC17" i="15"/>
  <c r="AI17" i="15"/>
  <c r="V17" i="15"/>
  <c r="R77" i="15"/>
  <c r="T77" i="15"/>
  <c r="X77" i="15"/>
  <c r="AB77" i="15"/>
  <c r="AF77" i="15"/>
  <c r="AJ77" i="15"/>
  <c r="AN77" i="15"/>
  <c r="V77" i="15"/>
  <c r="AA77" i="15"/>
  <c r="AG77" i="15"/>
  <c r="AL77" i="15"/>
  <c r="W77" i="15"/>
  <c r="AC77" i="15"/>
  <c r="AH77" i="15"/>
  <c r="AM77" i="15"/>
  <c r="S77" i="15"/>
  <c r="Y77" i="15"/>
  <c r="AD77" i="15"/>
  <c r="AI77" i="15"/>
  <c r="AO77" i="15"/>
  <c r="U77" i="15"/>
  <c r="Z77" i="15"/>
  <c r="AE77" i="15"/>
  <c r="AK77" i="15"/>
  <c r="R344" i="15"/>
  <c r="S344" i="15"/>
  <c r="W344" i="15"/>
  <c r="AA344" i="15"/>
  <c r="AE344" i="15"/>
  <c r="AI344" i="15"/>
  <c r="AM344" i="15"/>
  <c r="T344" i="15"/>
  <c r="X344" i="15"/>
  <c r="AB344" i="15"/>
  <c r="AF344" i="15"/>
  <c r="AJ344" i="15"/>
  <c r="AN344" i="15"/>
  <c r="U344" i="15"/>
  <c r="Y344" i="15"/>
  <c r="AC344" i="15"/>
  <c r="AG344" i="15"/>
  <c r="AK344" i="15"/>
  <c r="AO344" i="15"/>
  <c r="V344" i="15"/>
  <c r="Z344" i="15"/>
  <c r="AD344" i="15"/>
  <c r="AH344" i="15"/>
  <c r="AL344" i="15"/>
  <c r="R191" i="15"/>
  <c r="S191" i="15"/>
  <c r="W191" i="15"/>
  <c r="AA191" i="15"/>
  <c r="AE191" i="15"/>
  <c r="AI191" i="15"/>
  <c r="AM191" i="15"/>
  <c r="T191" i="15"/>
  <c r="X191" i="15"/>
  <c r="AB191" i="15"/>
  <c r="AF191" i="15"/>
  <c r="AJ191" i="15"/>
  <c r="AN191" i="15"/>
  <c r="U191" i="15"/>
  <c r="Y191" i="15"/>
  <c r="AC191" i="15"/>
  <c r="AG191" i="15"/>
  <c r="AK191" i="15"/>
  <c r="AO191" i="15"/>
  <c r="V191" i="15"/>
  <c r="Z191" i="15"/>
  <c r="AD191" i="15"/>
  <c r="AH191" i="15"/>
  <c r="AL191" i="15"/>
  <c r="R255" i="15"/>
  <c r="S255" i="15"/>
  <c r="W255" i="15"/>
  <c r="AA255" i="15"/>
  <c r="AE255" i="15"/>
  <c r="AI255" i="15"/>
  <c r="AM255" i="15"/>
  <c r="T255" i="15"/>
  <c r="X255" i="15"/>
  <c r="AB255" i="15"/>
  <c r="AF255" i="15"/>
  <c r="AJ255" i="15"/>
  <c r="AN255" i="15"/>
  <c r="U255" i="15"/>
  <c r="Y255" i="15"/>
  <c r="AC255" i="15"/>
  <c r="AG255" i="15"/>
  <c r="AK255" i="15"/>
  <c r="AO255" i="15"/>
  <c r="V255" i="15"/>
  <c r="Z255" i="15"/>
  <c r="AD255" i="15"/>
  <c r="AH255" i="15"/>
  <c r="AL255" i="15"/>
  <c r="R91" i="15"/>
  <c r="V91" i="15"/>
  <c r="Z91" i="15"/>
  <c r="AD91" i="15"/>
  <c r="AH91" i="15"/>
  <c r="AL91" i="15"/>
  <c r="T91" i="15"/>
  <c r="Y91" i="15"/>
  <c r="AE91" i="15"/>
  <c r="AJ91" i="15"/>
  <c r="AO91" i="15"/>
  <c r="U91" i="15"/>
  <c r="AA91" i="15"/>
  <c r="AF91" i="15"/>
  <c r="AK91" i="15"/>
  <c r="W91" i="15"/>
  <c r="AB91" i="15"/>
  <c r="AG91" i="15"/>
  <c r="AM91" i="15"/>
  <c r="S91" i="15"/>
  <c r="X91" i="15"/>
  <c r="AC91" i="15"/>
  <c r="AI91" i="15"/>
  <c r="AN91" i="15"/>
  <c r="R15" i="15"/>
  <c r="V15" i="15"/>
  <c r="Z15" i="15"/>
  <c r="AD15" i="15"/>
  <c r="AH15" i="15"/>
  <c r="AL15" i="15"/>
  <c r="S15" i="15"/>
  <c r="X15" i="15"/>
  <c r="AC15" i="15"/>
  <c r="AI15" i="15"/>
  <c r="AN15" i="15"/>
  <c r="T15" i="15"/>
  <c r="AA15" i="15"/>
  <c r="AG15" i="15"/>
  <c r="AO15" i="15"/>
  <c r="U15" i="15"/>
  <c r="AB15" i="15"/>
  <c r="AJ15" i="15"/>
  <c r="W15" i="15"/>
  <c r="AE15" i="15"/>
  <c r="AK15" i="15"/>
  <c r="Y15" i="15"/>
  <c r="AF15" i="15"/>
  <c r="AM15" i="15"/>
  <c r="R173" i="15"/>
  <c r="U173" i="15"/>
  <c r="Y173" i="15"/>
  <c r="AC173" i="15"/>
  <c r="AG173" i="15"/>
  <c r="AK173" i="15"/>
  <c r="AO173" i="15"/>
  <c r="V173" i="15"/>
  <c r="Z173" i="15"/>
  <c r="AD173" i="15"/>
  <c r="AH173" i="15"/>
  <c r="AL173" i="15"/>
  <c r="S173" i="15"/>
  <c r="W173" i="15"/>
  <c r="AA173" i="15"/>
  <c r="AE173" i="15"/>
  <c r="AI173" i="15"/>
  <c r="AM173" i="15"/>
  <c r="T173" i="15"/>
  <c r="X173" i="15"/>
  <c r="AB173" i="15"/>
  <c r="AF173" i="15"/>
  <c r="AJ173" i="15"/>
  <c r="AN173" i="15"/>
  <c r="R296" i="15"/>
  <c r="S296" i="15"/>
  <c r="W296" i="15"/>
  <c r="AA296" i="15"/>
  <c r="AE296" i="15"/>
  <c r="AI296" i="15"/>
  <c r="AM296" i="15"/>
  <c r="T296" i="15"/>
  <c r="X296" i="15"/>
  <c r="AB296" i="15"/>
  <c r="AF296" i="15"/>
  <c r="AJ296" i="15"/>
  <c r="AN296" i="15"/>
  <c r="U296" i="15"/>
  <c r="Y296" i="15"/>
  <c r="AC296" i="15"/>
  <c r="AG296" i="15"/>
  <c r="AK296" i="15"/>
  <c r="AO296" i="15"/>
  <c r="V296" i="15"/>
  <c r="Z296" i="15"/>
  <c r="AD296" i="15"/>
  <c r="AH296" i="15"/>
  <c r="AL296" i="15"/>
  <c r="R155" i="15"/>
  <c r="V155" i="15"/>
  <c r="Z155" i="15"/>
  <c r="AD155" i="15"/>
  <c r="AH155" i="15"/>
  <c r="AL155" i="15"/>
  <c r="S155" i="15"/>
  <c r="W155" i="15"/>
  <c r="AA155" i="15"/>
  <c r="AE155" i="15"/>
  <c r="AI155" i="15"/>
  <c r="AM155" i="15"/>
  <c r="T155" i="15"/>
  <c r="X155" i="15"/>
  <c r="AB155" i="15"/>
  <c r="AF155" i="15"/>
  <c r="AJ155" i="15"/>
  <c r="AN155" i="15"/>
  <c r="U155" i="15"/>
  <c r="Y155" i="15"/>
  <c r="AC155" i="15"/>
  <c r="AG155" i="15"/>
  <c r="AK155" i="15"/>
  <c r="AO155" i="15"/>
  <c r="R183" i="15"/>
  <c r="S183" i="15"/>
  <c r="W183" i="15"/>
  <c r="AA183" i="15"/>
  <c r="AE183" i="15"/>
  <c r="AI183" i="15"/>
  <c r="AM183" i="15"/>
  <c r="T183" i="15"/>
  <c r="X183" i="15"/>
  <c r="AB183" i="15"/>
  <c r="AF183" i="15"/>
  <c r="AJ183" i="15"/>
  <c r="AN183" i="15"/>
  <c r="U183" i="15"/>
  <c r="Y183" i="15"/>
  <c r="AC183" i="15"/>
  <c r="AG183" i="15"/>
  <c r="AK183" i="15"/>
  <c r="AO183" i="15"/>
  <c r="V183" i="15"/>
  <c r="Z183" i="15"/>
  <c r="AD183" i="15"/>
  <c r="AH183" i="15"/>
  <c r="AL183" i="15"/>
  <c r="R215" i="15"/>
  <c r="S215" i="15"/>
  <c r="W215" i="15"/>
  <c r="AA215" i="15"/>
  <c r="AE215" i="15"/>
  <c r="AI215" i="15"/>
  <c r="AM215" i="15"/>
  <c r="T215" i="15"/>
  <c r="X215" i="15"/>
  <c r="AB215" i="15"/>
  <c r="AF215" i="15"/>
  <c r="AJ215" i="15"/>
  <c r="AN215" i="15"/>
  <c r="U215" i="15"/>
  <c r="Y215" i="15"/>
  <c r="AC215" i="15"/>
  <c r="AG215" i="15"/>
  <c r="AK215" i="15"/>
  <c r="AO215" i="15"/>
  <c r="V215" i="15"/>
  <c r="Z215" i="15"/>
  <c r="AD215" i="15"/>
  <c r="AH215" i="15"/>
  <c r="AL215" i="15"/>
  <c r="R247" i="15"/>
  <c r="S247" i="15"/>
  <c r="W247" i="15"/>
  <c r="AA247" i="15"/>
  <c r="AE247" i="15"/>
  <c r="AI247" i="15"/>
  <c r="AM247" i="15"/>
  <c r="T247" i="15"/>
  <c r="X247" i="15"/>
  <c r="AB247" i="15"/>
  <c r="AF247" i="15"/>
  <c r="AJ247" i="15"/>
  <c r="AN247" i="15"/>
  <c r="U247" i="15"/>
  <c r="Y247" i="15"/>
  <c r="AC247" i="15"/>
  <c r="AG247" i="15"/>
  <c r="AK247" i="15"/>
  <c r="AO247" i="15"/>
  <c r="V247" i="15"/>
  <c r="Z247" i="15"/>
  <c r="AD247" i="15"/>
  <c r="AH247" i="15"/>
  <c r="AL247" i="15"/>
  <c r="R279" i="15"/>
  <c r="S279" i="15"/>
  <c r="W279" i="15"/>
  <c r="AA279" i="15"/>
  <c r="AE279" i="15"/>
  <c r="AI279" i="15"/>
  <c r="AM279" i="15"/>
  <c r="T279" i="15"/>
  <c r="X279" i="15"/>
  <c r="AB279" i="15"/>
  <c r="AF279" i="15"/>
  <c r="AJ279" i="15"/>
  <c r="AN279" i="15"/>
  <c r="U279" i="15"/>
  <c r="Y279" i="15"/>
  <c r="AC279" i="15"/>
  <c r="AG279" i="15"/>
  <c r="AK279" i="15"/>
  <c r="AO279" i="15"/>
  <c r="V279" i="15"/>
  <c r="Z279" i="15"/>
  <c r="AD279" i="15"/>
  <c r="AH279" i="15"/>
  <c r="AL279" i="15"/>
  <c r="R63" i="15"/>
  <c r="U63" i="15"/>
  <c r="Y63" i="15"/>
  <c r="AC63" i="15"/>
  <c r="AG63" i="15"/>
  <c r="AK63" i="15"/>
  <c r="AO63" i="15"/>
  <c r="V63" i="15"/>
  <c r="AA63" i="15"/>
  <c r="AF63" i="15"/>
  <c r="AL63" i="15"/>
  <c r="W63" i="15"/>
  <c r="AB63" i="15"/>
  <c r="AH63" i="15"/>
  <c r="AM63" i="15"/>
  <c r="T63" i="15"/>
  <c r="AE63" i="15"/>
  <c r="X63" i="15"/>
  <c r="AI63" i="15"/>
  <c r="Z63" i="15"/>
  <c r="AJ63" i="15"/>
  <c r="S63" i="15"/>
  <c r="AD63" i="15"/>
  <c r="AN63" i="15"/>
  <c r="U30" i="15"/>
  <c r="Y30" i="15"/>
  <c r="AC30" i="15"/>
  <c r="AG30" i="15"/>
  <c r="AK30" i="15"/>
  <c r="AO30" i="15"/>
  <c r="S30" i="15"/>
  <c r="X30" i="15"/>
  <c r="AD30" i="15"/>
  <c r="AI30" i="15"/>
  <c r="AN30" i="15"/>
  <c r="R30" i="15"/>
  <c r="T30" i="15"/>
  <c r="AA30" i="15"/>
  <c r="AH30" i="15"/>
  <c r="V30" i="15"/>
  <c r="AB30" i="15"/>
  <c r="AJ30" i="15"/>
  <c r="W30" i="15"/>
  <c r="AE30" i="15"/>
  <c r="AL30" i="15"/>
  <c r="Z30" i="15"/>
  <c r="AF30" i="15"/>
  <c r="AM30" i="15"/>
  <c r="T73" i="15"/>
  <c r="X73" i="15"/>
  <c r="AB73" i="15"/>
  <c r="AF73" i="15"/>
  <c r="AJ73" i="15"/>
  <c r="AN73" i="15"/>
  <c r="R73" i="15"/>
  <c r="S73" i="15"/>
  <c r="Y73" i="15"/>
  <c r="AD73" i="15"/>
  <c r="AI73" i="15"/>
  <c r="AO73" i="15"/>
  <c r="U73" i="15"/>
  <c r="Z73" i="15"/>
  <c r="AE73" i="15"/>
  <c r="AK73" i="15"/>
  <c r="V73" i="15"/>
  <c r="AA73" i="15"/>
  <c r="AG73" i="15"/>
  <c r="AL73" i="15"/>
  <c r="W73" i="15"/>
  <c r="AC73" i="15"/>
  <c r="AH73" i="15"/>
  <c r="AM73" i="15"/>
  <c r="R116" i="15"/>
  <c r="S116" i="15"/>
  <c r="W116" i="15"/>
  <c r="AA116" i="15"/>
  <c r="AE116" i="15"/>
  <c r="AI116" i="15"/>
  <c r="AM116" i="15"/>
  <c r="T116" i="15"/>
  <c r="X116" i="15"/>
  <c r="AB116" i="15"/>
  <c r="AF116" i="15"/>
  <c r="AJ116" i="15"/>
  <c r="AN116" i="15"/>
  <c r="U116" i="15"/>
  <c r="Y116" i="15"/>
  <c r="AC116" i="15"/>
  <c r="AG116" i="15"/>
  <c r="AK116" i="15"/>
  <c r="AO116" i="15"/>
  <c r="V116" i="15"/>
  <c r="Z116" i="15"/>
  <c r="AD116" i="15"/>
  <c r="AH116" i="15"/>
  <c r="AL116" i="15"/>
  <c r="R169" i="15"/>
  <c r="U169" i="15"/>
  <c r="Y169" i="15"/>
  <c r="AC169" i="15"/>
  <c r="AG169" i="15"/>
  <c r="AK169" i="15"/>
  <c r="AO169" i="15"/>
  <c r="V169" i="15"/>
  <c r="Z169" i="15"/>
  <c r="AD169" i="15"/>
  <c r="AH169" i="15"/>
  <c r="AL169" i="15"/>
  <c r="S169" i="15"/>
  <c r="W169" i="15"/>
  <c r="AA169" i="15"/>
  <c r="AE169" i="15"/>
  <c r="AI169" i="15"/>
  <c r="AM169" i="15"/>
  <c r="T169" i="15"/>
  <c r="X169" i="15"/>
  <c r="AB169" i="15"/>
  <c r="AF169" i="15"/>
  <c r="AJ169" i="15"/>
  <c r="AN169" i="15"/>
  <c r="R292" i="15"/>
  <c r="T292" i="15"/>
  <c r="X292" i="15"/>
  <c r="AB292" i="15"/>
  <c r="AF292" i="15"/>
  <c r="AJ292" i="15"/>
  <c r="AN292" i="15"/>
  <c r="U292" i="15"/>
  <c r="Y292" i="15"/>
  <c r="AC292" i="15"/>
  <c r="AG292" i="15"/>
  <c r="AK292" i="15"/>
  <c r="AO292" i="15"/>
  <c r="V292" i="15"/>
  <c r="Z292" i="15"/>
  <c r="AD292" i="15"/>
  <c r="AH292" i="15"/>
  <c r="AL292" i="15"/>
  <c r="S292" i="15"/>
  <c r="W292" i="15"/>
  <c r="AA292" i="15"/>
  <c r="AE292" i="15"/>
  <c r="AI292" i="15"/>
  <c r="AM292" i="15"/>
  <c r="R334" i="15"/>
  <c r="U334" i="15"/>
  <c r="Y334" i="15"/>
  <c r="AC334" i="15"/>
  <c r="AG334" i="15"/>
  <c r="AK334" i="15"/>
  <c r="AO334" i="15"/>
  <c r="V334" i="15"/>
  <c r="Z334" i="15"/>
  <c r="AD334" i="15"/>
  <c r="AH334" i="15"/>
  <c r="AL334" i="15"/>
  <c r="S334" i="15"/>
  <c r="W334" i="15"/>
  <c r="AA334" i="15"/>
  <c r="AE334" i="15"/>
  <c r="AI334" i="15"/>
  <c r="AM334" i="15"/>
  <c r="T334" i="15"/>
  <c r="X334" i="15"/>
  <c r="AB334" i="15"/>
  <c r="AF334" i="15"/>
  <c r="AJ334" i="15"/>
  <c r="AN334" i="15"/>
  <c r="R323" i="15"/>
  <c r="V323" i="15"/>
  <c r="Z323" i="15"/>
  <c r="AD323" i="15"/>
  <c r="AH323" i="15"/>
  <c r="AL323" i="15"/>
  <c r="S323" i="15"/>
  <c r="W323" i="15"/>
  <c r="AA323" i="15"/>
  <c r="AE323" i="15"/>
  <c r="AI323" i="15"/>
  <c r="AM323" i="15"/>
  <c r="T323" i="15"/>
  <c r="X323" i="15"/>
  <c r="AB323" i="15"/>
  <c r="AF323" i="15"/>
  <c r="AJ323" i="15"/>
  <c r="AN323" i="15"/>
  <c r="U323" i="15"/>
  <c r="Y323" i="15"/>
  <c r="AC323" i="15"/>
  <c r="AG323" i="15"/>
  <c r="AK323" i="15"/>
  <c r="AO323" i="15"/>
  <c r="R310" i="15"/>
  <c r="U310" i="15"/>
  <c r="Y310" i="15"/>
  <c r="AC310" i="15"/>
  <c r="AG310" i="15"/>
  <c r="AK310" i="15"/>
  <c r="AO310" i="15"/>
  <c r="V310" i="15"/>
  <c r="Z310" i="15"/>
  <c r="AD310" i="15"/>
  <c r="AH310" i="15"/>
  <c r="AL310" i="15"/>
  <c r="S310" i="15"/>
  <c r="W310" i="15"/>
  <c r="AA310" i="15"/>
  <c r="AE310" i="15"/>
  <c r="AI310" i="15"/>
  <c r="AM310" i="15"/>
  <c r="T310" i="15"/>
  <c r="X310" i="15"/>
  <c r="AB310" i="15"/>
  <c r="AF310" i="15"/>
  <c r="AJ310" i="15"/>
  <c r="AN310" i="15"/>
  <c r="U10" i="15"/>
  <c r="Y10" i="15"/>
  <c r="AC10" i="15"/>
  <c r="AG10" i="15"/>
  <c r="AK10" i="15"/>
  <c r="AO10" i="15"/>
  <c r="V10" i="15"/>
  <c r="AA10" i="15"/>
  <c r="AF10" i="15"/>
  <c r="AL10" i="15"/>
  <c r="T10" i="15"/>
  <c r="AB10" i="15"/>
  <c r="AI10" i="15"/>
  <c r="W10" i="15"/>
  <c r="AD10" i="15"/>
  <c r="AJ10" i="15"/>
  <c r="X10" i="15"/>
  <c r="AE10" i="15"/>
  <c r="AM10" i="15"/>
  <c r="R10" i="15"/>
  <c r="S10" i="15"/>
  <c r="Z10" i="15"/>
  <c r="AH10" i="15"/>
  <c r="AN10" i="15"/>
  <c r="S53" i="15"/>
  <c r="W53" i="15"/>
  <c r="AA53" i="15"/>
  <c r="AE53" i="15"/>
  <c r="AI53" i="15"/>
  <c r="AM53" i="15"/>
  <c r="V53" i="15"/>
  <c r="AB53" i="15"/>
  <c r="AG53" i="15"/>
  <c r="AL53" i="15"/>
  <c r="X53" i="15"/>
  <c r="AC53" i="15"/>
  <c r="AH53" i="15"/>
  <c r="AN53" i="15"/>
  <c r="R53" i="15"/>
  <c r="Z53" i="15"/>
  <c r="AK53" i="15"/>
  <c r="T53" i="15"/>
  <c r="AD53" i="15"/>
  <c r="AO53" i="15"/>
  <c r="U53" i="15"/>
  <c r="AF53" i="15"/>
  <c r="Y53" i="15"/>
  <c r="AJ53" i="15"/>
  <c r="S96" i="15"/>
  <c r="W96" i="15"/>
  <c r="AA96" i="15"/>
  <c r="AE96" i="15"/>
  <c r="AI96" i="15"/>
  <c r="AM96" i="15"/>
  <c r="R96" i="15"/>
  <c r="U96" i="15"/>
  <c r="Z96" i="15"/>
  <c r="AF96" i="15"/>
  <c r="AK96" i="15"/>
  <c r="V96" i="15"/>
  <c r="AB96" i="15"/>
  <c r="AG96" i="15"/>
  <c r="AL96" i="15"/>
  <c r="X96" i="15"/>
  <c r="AC96" i="15"/>
  <c r="AH96" i="15"/>
  <c r="AN96" i="15"/>
  <c r="T96" i="15"/>
  <c r="Y96" i="15"/>
  <c r="AD96" i="15"/>
  <c r="AJ96" i="15"/>
  <c r="AO96" i="15"/>
  <c r="R138" i="15"/>
  <c r="U138" i="15"/>
  <c r="Y138" i="15"/>
  <c r="AC138" i="15"/>
  <c r="AG138" i="15"/>
  <c r="AK138" i="15"/>
  <c r="AO138" i="15"/>
  <c r="V138" i="15"/>
  <c r="Z138" i="15"/>
  <c r="AD138" i="15"/>
  <c r="AH138" i="15"/>
  <c r="AL138" i="15"/>
  <c r="S138" i="15"/>
  <c r="W138" i="15"/>
  <c r="AA138" i="15"/>
  <c r="AE138" i="15"/>
  <c r="AI138" i="15"/>
  <c r="AM138" i="15"/>
  <c r="T138" i="15"/>
  <c r="X138" i="15"/>
  <c r="AB138" i="15"/>
  <c r="AF138" i="15"/>
  <c r="AJ138" i="15"/>
  <c r="AN138" i="15"/>
  <c r="R245" i="15"/>
  <c r="U245" i="15"/>
  <c r="Y245" i="15"/>
  <c r="AC245" i="15"/>
  <c r="AG245" i="15"/>
  <c r="AK245" i="15"/>
  <c r="AO245" i="15"/>
  <c r="V245" i="15"/>
  <c r="Z245" i="15"/>
  <c r="AD245" i="15"/>
  <c r="AH245" i="15"/>
  <c r="AL245" i="15"/>
  <c r="S245" i="15"/>
  <c r="W245" i="15"/>
  <c r="AA245" i="15"/>
  <c r="AE245" i="15"/>
  <c r="AI245" i="15"/>
  <c r="AM245" i="15"/>
  <c r="T245" i="15"/>
  <c r="X245" i="15"/>
  <c r="AB245" i="15"/>
  <c r="AF245" i="15"/>
  <c r="AJ245" i="15"/>
  <c r="AN245" i="15"/>
  <c r="R320" i="15"/>
  <c r="S320" i="15"/>
  <c r="W320" i="15"/>
  <c r="AA320" i="15"/>
  <c r="AE320" i="15"/>
  <c r="AI320" i="15"/>
  <c r="AM320" i="15"/>
  <c r="T320" i="15"/>
  <c r="X320" i="15"/>
  <c r="AB320" i="15"/>
  <c r="AF320" i="15"/>
  <c r="AJ320" i="15"/>
  <c r="AN320" i="15"/>
  <c r="U320" i="15"/>
  <c r="Y320" i="15"/>
  <c r="AC320" i="15"/>
  <c r="AG320" i="15"/>
  <c r="AK320" i="15"/>
  <c r="AO320" i="15"/>
  <c r="V320" i="15"/>
  <c r="Z320" i="15"/>
  <c r="AD320" i="15"/>
  <c r="AH320" i="15"/>
  <c r="AL320" i="15"/>
  <c r="R3" i="15"/>
  <c r="V3" i="15"/>
  <c r="Z3" i="15"/>
  <c r="AD3" i="15"/>
  <c r="AH3" i="15"/>
  <c r="AL3" i="15"/>
  <c r="W3" i="15"/>
  <c r="AB3" i="15"/>
  <c r="AG3" i="15"/>
  <c r="AM3" i="15"/>
  <c r="S3" i="15"/>
  <c r="Y3" i="15"/>
  <c r="AF3" i="15"/>
  <c r="AN3" i="15"/>
  <c r="T3" i="15"/>
  <c r="AA3" i="15"/>
  <c r="AI3" i="15"/>
  <c r="AO3" i="15"/>
  <c r="U3" i="15"/>
  <c r="AC3" i="15"/>
  <c r="AJ3" i="15"/>
  <c r="X3" i="15"/>
  <c r="AE3" i="15"/>
  <c r="AK3" i="15"/>
  <c r="R348" i="15"/>
  <c r="S348" i="15"/>
  <c r="W348" i="15"/>
  <c r="AA348" i="15"/>
  <c r="AE348" i="15"/>
  <c r="AI348" i="15"/>
  <c r="AM348" i="15"/>
  <c r="T348" i="15"/>
  <c r="X348" i="15"/>
  <c r="AB348" i="15"/>
  <c r="AF348" i="15"/>
  <c r="AJ348" i="15"/>
  <c r="AN348" i="15"/>
  <c r="U348" i="15"/>
  <c r="Y348" i="15"/>
  <c r="AC348" i="15"/>
  <c r="AG348" i="15"/>
  <c r="AK348" i="15"/>
  <c r="AO348" i="15"/>
  <c r="V348" i="15"/>
  <c r="Z348" i="15"/>
  <c r="AD348" i="15"/>
  <c r="AH348" i="15"/>
  <c r="AL348" i="15"/>
  <c r="R79" i="15"/>
  <c r="V79" i="15"/>
  <c r="Z79" i="15"/>
  <c r="AD79" i="15"/>
  <c r="AH79" i="15"/>
  <c r="AL79" i="15"/>
  <c r="S79" i="15"/>
  <c r="X79" i="15"/>
  <c r="AC79" i="15"/>
  <c r="AI79" i="15"/>
  <c r="AN79" i="15"/>
  <c r="T79" i="15"/>
  <c r="Y79" i="15"/>
  <c r="AE79" i="15"/>
  <c r="AJ79" i="15"/>
  <c r="AO79" i="15"/>
  <c r="U79" i="15"/>
  <c r="AA79" i="15"/>
  <c r="AF79" i="15"/>
  <c r="AK79" i="15"/>
  <c r="W79" i="15"/>
  <c r="AB79" i="15"/>
  <c r="AG79" i="15"/>
  <c r="AM79" i="15"/>
  <c r="R127" i="15"/>
  <c r="V127" i="15"/>
  <c r="Z127" i="15"/>
  <c r="AD127" i="15"/>
  <c r="AH127" i="15"/>
  <c r="AL127" i="15"/>
  <c r="S127" i="15"/>
  <c r="W127" i="15"/>
  <c r="AA127" i="15"/>
  <c r="AE127" i="15"/>
  <c r="AI127" i="15"/>
  <c r="AM127" i="15"/>
  <c r="T127" i="15"/>
  <c r="X127" i="15"/>
  <c r="AB127" i="15"/>
  <c r="AF127" i="15"/>
  <c r="AJ127" i="15"/>
  <c r="AN127" i="15"/>
  <c r="U127" i="15"/>
  <c r="Y127" i="15"/>
  <c r="AC127" i="15"/>
  <c r="AG127" i="15"/>
  <c r="AK127" i="15"/>
  <c r="AO127" i="15"/>
  <c r="R147" i="15"/>
  <c r="V147" i="15"/>
  <c r="Z147" i="15"/>
  <c r="AD147" i="15"/>
  <c r="AH147" i="15"/>
  <c r="AL147" i="15"/>
  <c r="S147" i="15"/>
  <c r="W147" i="15"/>
  <c r="AA147" i="15"/>
  <c r="AE147" i="15"/>
  <c r="AI147" i="15"/>
  <c r="AM147" i="15"/>
  <c r="T147" i="15"/>
  <c r="X147" i="15"/>
  <c r="AB147" i="15"/>
  <c r="AF147" i="15"/>
  <c r="AJ147" i="15"/>
  <c r="AN147" i="15"/>
  <c r="U147" i="15"/>
  <c r="Y147" i="15"/>
  <c r="AC147" i="15"/>
  <c r="AG147" i="15"/>
  <c r="AK147" i="15"/>
  <c r="AO147" i="15"/>
  <c r="R321" i="15"/>
  <c r="T321" i="15"/>
  <c r="X321" i="15"/>
  <c r="AB321" i="15"/>
  <c r="AF321" i="15"/>
  <c r="AJ321" i="15"/>
  <c r="AN321" i="15"/>
  <c r="U321" i="15"/>
  <c r="Y321" i="15"/>
  <c r="AC321" i="15"/>
  <c r="AG321" i="15"/>
  <c r="AK321" i="15"/>
  <c r="AO321" i="15"/>
  <c r="V321" i="15"/>
  <c r="Z321" i="15"/>
  <c r="AD321" i="15"/>
  <c r="AH321" i="15"/>
  <c r="AL321" i="15"/>
  <c r="S321" i="15"/>
  <c r="W321" i="15"/>
  <c r="AA321" i="15"/>
  <c r="AE321" i="15"/>
  <c r="AI321" i="15"/>
  <c r="AM321" i="15"/>
  <c r="R225" i="15"/>
  <c r="U225" i="15"/>
  <c r="Y225" i="15"/>
  <c r="AC225" i="15"/>
  <c r="AG225" i="15"/>
  <c r="AK225" i="15"/>
  <c r="AO225" i="15"/>
  <c r="V225" i="15"/>
  <c r="Z225" i="15"/>
  <c r="AD225" i="15"/>
  <c r="AH225" i="15"/>
  <c r="AL225" i="15"/>
  <c r="S225" i="15"/>
  <c r="W225" i="15"/>
  <c r="AA225" i="15"/>
  <c r="AE225" i="15"/>
  <c r="AI225" i="15"/>
  <c r="AM225" i="15"/>
  <c r="T225" i="15"/>
  <c r="X225" i="15"/>
  <c r="AB225" i="15"/>
  <c r="AF225" i="15"/>
  <c r="AJ225" i="15"/>
  <c r="AN225" i="15"/>
  <c r="R289" i="15"/>
  <c r="U289" i="15"/>
  <c r="Y289" i="15"/>
  <c r="AC289" i="15"/>
  <c r="AG289" i="15"/>
  <c r="AK289" i="15"/>
  <c r="AO289" i="15"/>
  <c r="V289" i="15"/>
  <c r="Z289" i="15"/>
  <c r="AD289" i="15"/>
  <c r="AH289" i="15"/>
  <c r="AL289" i="15"/>
  <c r="S289" i="15"/>
  <c r="W289" i="15"/>
  <c r="AA289" i="15"/>
  <c r="AE289" i="15"/>
  <c r="AI289" i="15"/>
  <c r="AM289" i="15"/>
  <c r="T289" i="15"/>
  <c r="X289" i="15"/>
  <c r="AB289" i="15"/>
  <c r="AF289" i="15"/>
  <c r="AJ289" i="15"/>
  <c r="AN289" i="15"/>
  <c r="R349" i="15"/>
  <c r="T349" i="15"/>
  <c r="X349" i="15"/>
  <c r="AB349" i="15"/>
  <c r="AF349" i="15"/>
  <c r="AJ349" i="15"/>
  <c r="AN349" i="15"/>
  <c r="U349" i="15"/>
  <c r="Y349" i="15"/>
  <c r="AC349" i="15"/>
  <c r="AG349" i="15"/>
  <c r="AK349" i="15"/>
  <c r="AO349" i="15"/>
  <c r="V349" i="15"/>
  <c r="Z349" i="15"/>
  <c r="AD349" i="15"/>
  <c r="AH349" i="15"/>
  <c r="AL349" i="15"/>
  <c r="S349" i="15"/>
  <c r="W349" i="15"/>
  <c r="AA349" i="15"/>
  <c r="AE349" i="15"/>
  <c r="AI349" i="15"/>
  <c r="AM349" i="15"/>
  <c r="S40" i="15"/>
  <c r="W40" i="15"/>
  <c r="AA40" i="15"/>
  <c r="AE40" i="15"/>
  <c r="AI40" i="15"/>
  <c r="AM40" i="15"/>
  <c r="R40" i="15"/>
  <c r="X40" i="15"/>
  <c r="AC40" i="15"/>
  <c r="AH40" i="15"/>
  <c r="AN40" i="15"/>
  <c r="Y40" i="15"/>
  <c r="AF40" i="15"/>
  <c r="AL40" i="15"/>
  <c r="T40" i="15"/>
  <c r="Z40" i="15"/>
  <c r="AG40" i="15"/>
  <c r="AO40" i="15"/>
  <c r="AB40" i="15"/>
  <c r="AD40" i="15"/>
  <c r="U40" i="15"/>
  <c r="AJ40" i="15"/>
  <c r="V40" i="15"/>
  <c r="AK40" i="15"/>
  <c r="R178" i="15"/>
  <c r="V178" i="15"/>
  <c r="Z178" i="15"/>
  <c r="AD178" i="15"/>
  <c r="AH178" i="15"/>
  <c r="AL178" i="15"/>
  <c r="S178" i="15"/>
  <c r="W178" i="15"/>
  <c r="AA178" i="15"/>
  <c r="AE178" i="15"/>
  <c r="AI178" i="15"/>
  <c r="AM178" i="15"/>
  <c r="T178" i="15"/>
  <c r="X178" i="15"/>
  <c r="AB178" i="15"/>
  <c r="AF178" i="15"/>
  <c r="AJ178" i="15"/>
  <c r="AN178" i="15"/>
  <c r="U178" i="15"/>
  <c r="Y178" i="15"/>
  <c r="AC178" i="15"/>
  <c r="AG178" i="15"/>
  <c r="AK178" i="15"/>
  <c r="AO178" i="15"/>
  <c r="R256" i="15"/>
  <c r="T256" i="15"/>
  <c r="X256" i="15"/>
  <c r="AB256" i="15"/>
  <c r="AF256" i="15"/>
  <c r="AJ256" i="15"/>
  <c r="AN256" i="15"/>
  <c r="U256" i="15"/>
  <c r="Y256" i="15"/>
  <c r="AC256" i="15"/>
  <c r="AG256" i="15"/>
  <c r="AK256" i="15"/>
  <c r="AO256" i="15"/>
  <c r="V256" i="15"/>
  <c r="Z256" i="15"/>
  <c r="AD256" i="15"/>
  <c r="AH256" i="15"/>
  <c r="AL256" i="15"/>
  <c r="S256" i="15"/>
  <c r="W256" i="15"/>
  <c r="AA256" i="15"/>
  <c r="AE256" i="15"/>
  <c r="AI256" i="15"/>
  <c r="AM256" i="15"/>
  <c r="S12" i="15"/>
  <c r="W12" i="15"/>
  <c r="AA12" i="15"/>
  <c r="AE12" i="15"/>
  <c r="AI12" i="15"/>
  <c r="AM12" i="15"/>
  <c r="X12" i="15"/>
  <c r="AC12" i="15"/>
  <c r="AH12" i="15"/>
  <c r="AN12" i="15"/>
  <c r="R12" i="15"/>
  <c r="Y12" i="15"/>
  <c r="AF12" i="15"/>
  <c r="AL12" i="15"/>
  <c r="T12" i="15"/>
  <c r="Z12" i="15"/>
  <c r="AG12" i="15"/>
  <c r="AO12" i="15"/>
  <c r="U12" i="15"/>
  <c r="AB12" i="15"/>
  <c r="AJ12" i="15"/>
  <c r="V12" i="15"/>
  <c r="AD12" i="15"/>
  <c r="AK12" i="15"/>
  <c r="S44" i="15"/>
  <c r="W44" i="15"/>
  <c r="AA44" i="15"/>
  <c r="AE44" i="15"/>
  <c r="AI44" i="15"/>
  <c r="AM44" i="15"/>
  <c r="T44" i="15"/>
  <c r="Y44" i="15"/>
  <c r="AD44" i="15"/>
  <c r="AJ44" i="15"/>
  <c r="AO44" i="15"/>
  <c r="R44" i="15"/>
  <c r="U44" i="15"/>
  <c r="AB44" i="15"/>
  <c r="AH44" i="15"/>
  <c r="V44" i="15"/>
  <c r="AC44" i="15"/>
  <c r="AK44" i="15"/>
  <c r="AG44" i="15"/>
  <c r="X44" i="15"/>
  <c r="AL44" i="15"/>
  <c r="Z44" i="15"/>
  <c r="AN44" i="15"/>
  <c r="AF44" i="15"/>
  <c r="R70" i="15"/>
  <c r="U70" i="15"/>
  <c r="Y70" i="15"/>
  <c r="AC70" i="15"/>
  <c r="AG70" i="15"/>
  <c r="AK70" i="15"/>
  <c r="AO70" i="15"/>
  <c r="S70" i="15"/>
  <c r="X70" i="15"/>
  <c r="AD70" i="15"/>
  <c r="AI70" i="15"/>
  <c r="AN70" i="15"/>
  <c r="T70" i="15"/>
  <c r="Z70" i="15"/>
  <c r="AE70" i="15"/>
  <c r="AJ70" i="15"/>
  <c r="V70" i="15"/>
  <c r="AA70" i="15"/>
  <c r="AF70" i="15"/>
  <c r="AL70" i="15"/>
  <c r="W70" i="15"/>
  <c r="AB70" i="15"/>
  <c r="AH70" i="15"/>
  <c r="AM70" i="15"/>
  <c r="R92" i="15"/>
  <c r="S92" i="15"/>
  <c r="W92" i="15"/>
  <c r="AA92" i="15"/>
  <c r="AE92" i="15"/>
  <c r="AI92" i="15"/>
  <c r="AM92" i="15"/>
  <c r="X92" i="15"/>
  <c r="AC92" i="15"/>
  <c r="AH92" i="15"/>
  <c r="AN92" i="15"/>
  <c r="T92" i="15"/>
  <c r="Y92" i="15"/>
  <c r="AD92" i="15"/>
  <c r="AJ92" i="15"/>
  <c r="AO92" i="15"/>
  <c r="U92" i="15"/>
  <c r="Z92" i="15"/>
  <c r="AF92" i="15"/>
  <c r="AK92" i="15"/>
  <c r="V92" i="15"/>
  <c r="AB92" i="15"/>
  <c r="AG92" i="15"/>
  <c r="AL92" i="15"/>
  <c r="R118" i="15"/>
  <c r="U118" i="15"/>
  <c r="Y118" i="15"/>
  <c r="AC118" i="15"/>
  <c r="AG118" i="15"/>
  <c r="AK118" i="15"/>
  <c r="AO118" i="15"/>
  <c r="V118" i="15"/>
  <c r="Z118" i="15"/>
  <c r="AD118" i="15"/>
  <c r="AH118" i="15"/>
  <c r="AL118" i="15"/>
  <c r="S118" i="15"/>
  <c r="W118" i="15"/>
  <c r="AA118" i="15"/>
  <c r="AE118" i="15"/>
  <c r="AI118" i="15"/>
  <c r="AM118" i="15"/>
  <c r="T118" i="15"/>
  <c r="X118" i="15"/>
  <c r="AB118" i="15"/>
  <c r="AF118" i="15"/>
  <c r="AJ118" i="15"/>
  <c r="AN118" i="15"/>
  <c r="R186" i="15"/>
  <c r="V186" i="15"/>
  <c r="Z186" i="15"/>
  <c r="AD186" i="15"/>
  <c r="AH186" i="15"/>
  <c r="AL186" i="15"/>
  <c r="S186" i="15"/>
  <c r="W186" i="15"/>
  <c r="AA186" i="15"/>
  <c r="AE186" i="15"/>
  <c r="AI186" i="15"/>
  <c r="AM186" i="15"/>
  <c r="T186" i="15"/>
  <c r="X186" i="15"/>
  <c r="AB186" i="15"/>
  <c r="AF186" i="15"/>
  <c r="AJ186" i="15"/>
  <c r="AN186" i="15"/>
  <c r="U186" i="15"/>
  <c r="Y186" i="15"/>
  <c r="AC186" i="15"/>
  <c r="AG186" i="15"/>
  <c r="AK186" i="15"/>
  <c r="AO186" i="15"/>
  <c r="R262" i="15"/>
  <c r="V262" i="15"/>
  <c r="Z262" i="15"/>
  <c r="AD262" i="15"/>
  <c r="AH262" i="15"/>
  <c r="AL262" i="15"/>
  <c r="S262" i="15"/>
  <c r="W262" i="15"/>
  <c r="AA262" i="15"/>
  <c r="AE262" i="15"/>
  <c r="AI262" i="15"/>
  <c r="AM262" i="15"/>
  <c r="T262" i="15"/>
  <c r="X262" i="15"/>
  <c r="AB262" i="15"/>
  <c r="AF262" i="15"/>
  <c r="AJ262" i="15"/>
  <c r="AN262" i="15"/>
  <c r="U262" i="15"/>
  <c r="Y262" i="15"/>
  <c r="AC262" i="15"/>
  <c r="AG262" i="15"/>
  <c r="AK262" i="15"/>
  <c r="AO262" i="15"/>
  <c r="R172" i="15"/>
  <c r="T172" i="15"/>
  <c r="X172" i="15"/>
  <c r="AB172" i="15"/>
  <c r="AF172" i="15"/>
  <c r="AJ172" i="15"/>
  <c r="AN172" i="15"/>
  <c r="U172" i="15"/>
  <c r="Y172" i="15"/>
  <c r="AC172" i="15"/>
  <c r="AG172" i="15"/>
  <c r="AK172" i="15"/>
  <c r="AO172" i="15"/>
  <c r="V172" i="15"/>
  <c r="Z172" i="15"/>
  <c r="AD172" i="15"/>
  <c r="AH172" i="15"/>
  <c r="AL172" i="15"/>
  <c r="S172" i="15"/>
  <c r="W172" i="15"/>
  <c r="AA172" i="15"/>
  <c r="AE172" i="15"/>
  <c r="AI172" i="15"/>
  <c r="AM172" i="15"/>
  <c r="R180" i="15"/>
  <c r="T180" i="15"/>
  <c r="X180" i="15"/>
  <c r="AB180" i="15"/>
  <c r="AF180" i="15"/>
  <c r="AJ180" i="15"/>
  <c r="AN180" i="15"/>
  <c r="U180" i="15"/>
  <c r="Y180" i="15"/>
  <c r="AC180" i="15"/>
  <c r="AG180" i="15"/>
  <c r="AK180" i="15"/>
  <c r="AO180" i="15"/>
  <c r="V180" i="15"/>
  <c r="Z180" i="15"/>
  <c r="AD180" i="15"/>
  <c r="AH180" i="15"/>
  <c r="AL180" i="15"/>
  <c r="S180" i="15"/>
  <c r="W180" i="15"/>
  <c r="AA180" i="15"/>
  <c r="AE180" i="15"/>
  <c r="AI180" i="15"/>
  <c r="AM180" i="15"/>
  <c r="R202" i="15"/>
  <c r="V202" i="15"/>
  <c r="Z202" i="15"/>
  <c r="AD202" i="15"/>
  <c r="AH202" i="15"/>
  <c r="AL202" i="15"/>
  <c r="S202" i="15"/>
  <c r="W202" i="15"/>
  <c r="AA202" i="15"/>
  <c r="AE202" i="15"/>
  <c r="AI202" i="15"/>
  <c r="AM202" i="15"/>
  <c r="T202" i="15"/>
  <c r="X202" i="15"/>
  <c r="AB202" i="15"/>
  <c r="AF202" i="15"/>
  <c r="AJ202" i="15"/>
  <c r="AN202" i="15"/>
  <c r="U202" i="15"/>
  <c r="Y202" i="15"/>
  <c r="AC202" i="15"/>
  <c r="AG202" i="15"/>
  <c r="AK202" i="15"/>
  <c r="AO202" i="15"/>
  <c r="R212" i="15"/>
  <c r="T212" i="15"/>
  <c r="X212" i="15"/>
  <c r="AB212" i="15"/>
  <c r="AF212" i="15"/>
  <c r="AJ212" i="15"/>
  <c r="AN212" i="15"/>
  <c r="U212" i="15"/>
  <c r="Y212" i="15"/>
  <c r="AC212" i="15"/>
  <c r="AG212" i="15"/>
  <c r="AK212" i="15"/>
  <c r="AO212" i="15"/>
  <c r="V212" i="15"/>
  <c r="Z212" i="15"/>
  <c r="AD212" i="15"/>
  <c r="AH212" i="15"/>
  <c r="AL212" i="15"/>
  <c r="S212" i="15"/>
  <c r="W212" i="15"/>
  <c r="AA212" i="15"/>
  <c r="AE212" i="15"/>
  <c r="AI212" i="15"/>
  <c r="AM212" i="15"/>
  <c r="R238" i="15"/>
  <c r="V238" i="15"/>
  <c r="Z238" i="15"/>
  <c r="AD238" i="15"/>
  <c r="AH238" i="15"/>
  <c r="AL238" i="15"/>
  <c r="S238" i="15"/>
  <c r="W238" i="15"/>
  <c r="AA238" i="15"/>
  <c r="AE238" i="15"/>
  <c r="AI238" i="15"/>
  <c r="AM238" i="15"/>
  <c r="T238" i="15"/>
  <c r="X238" i="15"/>
  <c r="AB238" i="15"/>
  <c r="AF238" i="15"/>
  <c r="AJ238" i="15"/>
  <c r="AN238" i="15"/>
  <c r="U238" i="15"/>
  <c r="Y238" i="15"/>
  <c r="AC238" i="15"/>
  <c r="AG238" i="15"/>
  <c r="AK238" i="15"/>
  <c r="AO238" i="15"/>
  <c r="R248" i="15"/>
  <c r="T248" i="15"/>
  <c r="X248" i="15"/>
  <c r="AB248" i="15"/>
  <c r="AF248" i="15"/>
  <c r="AJ248" i="15"/>
  <c r="AN248" i="15"/>
  <c r="U248" i="15"/>
  <c r="Y248" i="15"/>
  <c r="AC248" i="15"/>
  <c r="AG248" i="15"/>
  <c r="AK248" i="15"/>
  <c r="AO248" i="15"/>
  <c r="V248" i="15"/>
  <c r="Z248" i="15"/>
  <c r="AD248" i="15"/>
  <c r="AH248" i="15"/>
  <c r="AL248" i="15"/>
  <c r="S248" i="15"/>
  <c r="W248" i="15"/>
  <c r="AA248" i="15"/>
  <c r="AE248" i="15"/>
  <c r="AI248" i="15"/>
  <c r="AM248" i="15"/>
  <c r="R260" i="15"/>
  <c r="T260" i="15"/>
  <c r="X260" i="15"/>
  <c r="AB260" i="15"/>
  <c r="AF260" i="15"/>
  <c r="AJ260" i="15"/>
  <c r="AN260" i="15"/>
  <c r="U260" i="15"/>
  <c r="Y260" i="15"/>
  <c r="AC260" i="15"/>
  <c r="AG260" i="15"/>
  <c r="AK260" i="15"/>
  <c r="AO260" i="15"/>
  <c r="V260" i="15"/>
  <c r="Z260" i="15"/>
  <c r="AD260" i="15"/>
  <c r="AH260" i="15"/>
  <c r="AL260" i="15"/>
  <c r="S260" i="15"/>
  <c r="W260" i="15"/>
  <c r="AA260" i="15"/>
  <c r="AE260" i="15"/>
  <c r="AI260" i="15"/>
  <c r="AM260" i="15"/>
  <c r="R274" i="15"/>
  <c r="V274" i="15"/>
  <c r="Z274" i="15"/>
  <c r="AD274" i="15"/>
  <c r="AH274" i="15"/>
  <c r="AL274" i="15"/>
  <c r="S274" i="15"/>
  <c r="W274" i="15"/>
  <c r="AA274" i="15"/>
  <c r="AE274" i="15"/>
  <c r="AI274" i="15"/>
  <c r="AM274" i="15"/>
  <c r="T274" i="15"/>
  <c r="X274" i="15"/>
  <c r="AB274" i="15"/>
  <c r="AF274" i="15"/>
  <c r="AJ274" i="15"/>
  <c r="AN274" i="15"/>
  <c r="U274" i="15"/>
  <c r="Y274" i="15"/>
  <c r="AC274" i="15"/>
  <c r="AG274" i="15"/>
  <c r="AK274" i="15"/>
  <c r="AO274" i="15"/>
  <c r="R288" i="15"/>
  <c r="T288" i="15"/>
  <c r="X288" i="15"/>
  <c r="AB288" i="15"/>
  <c r="AF288" i="15"/>
  <c r="AJ288" i="15"/>
  <c r="AN288" i="15"/>
  <c r="U288" i="15"/>
  <c r="Y288" i="15"/>
  <c r="AC288" i="15"/>
  <c r="AG288" i="15"/>
  <c r="AK288" i="15"/>
  <c r="AO288" i="15"/>
  <c r="V288" i="15"/>
  <c r="Z288" i="15"/>
  <c r="AD288" i="15"/>
  <c r="AH288" i="15"/>
  <c r="AL288" i="15"/>
  <c r="S288" i="15"/>
  <c r="W288" i="15"/>
  <c r="AA288" i="15"/>
  <c r="AE288" i="15"/>
  <c r="AI288" i="15"/>
  <c r="AM288" i="15"/>
  <c r="R278" i="15"/>
  <c r="V278" i="15"/>
  <c r="Z278" i="15"/>
  <c r="AD278" i="15"/>
  <c r="AH278" i="15"/>
  <c r="AL278" i="15"/>
  <c r="S278" i="15"/>
  <c r="W278" i="15"/>
  <c r="AA278" i="15"/>
  <c r="AE278" i="15"/>
  <c r="AI278" i="15"/>
  <c r="AM278" i="15"/>
  <c r="T278" i="15"/>
  <c r="X278" i="15"/>
  <c r="AB278" i="15"/>
  <c r="AF278" i="15"/>
  <c r="AJ278" i="15"/>
  <c r="AN278" i="15"/>
  <c r="U278" i="15"/>
  <c r="Y278" i="15"/>
  <c r="AC278" i="15"/>
  <c r="AG278" i="15"/>
  <c r="AK278" i="15"/>
  <c r="AO278" i="15"/>
  <c r="R66" i="15"/>
  <c r="T66" i="15"/>
  <c r="X66" i="15"/>
  <c r="AB66" i="15"/>
  <c r="AF66" i="15"/>
  <c r="AJ66" i="15"/>
  <c r="AN66" i="15"/>
  <c r="V66" i="15"/>
  <c r="AA66" i="15"/>
  <c r="AG66" i="15"/>
  <c r="AL66" i="15"/>
  <c r="W66" i="15"/>
  <c r="AD66" i="15"/>
  <c r="AK66" i="15"/>
  <c r="Y66" i="15"/>
  <c r="AE66" i="15"/>
  <c r="AM66" i="15"/>
  <c r="S66" i="15"/>
  <c r="Z66" i="15"/>
  <c r="AH66" i="15"/>
  <c r="AO66" i="15"/>
  <c r="U66" i="15"/>
  <c r="AC66" i="15"/>
  <c r="AI66" i="15"/>
  <c r="R141" i="15"/>
  <c r="T141" i="15"/>
  <c r="X141" i="15"/>
  <c r="AB141" i="15"/>
  <c r="AF141" i="15"/>
  <c r="AJ141" i="15"/>
  <c r="AN141" i="15"/>
  <c r="U141" i="15"/>
  <c r="Y141" i="15"/>
  <c r="AC141" i="15"/>
  <c r="AG141" i="15"/>
  <c r="AK141" i="15"/>
  <c r="AO141" i="15"/>
  <c r="V141" i="15"/>
  <c r="Z141" i="15"/>
  <c r="AD141" i="15"/>
  <c r="AH141" i="15"/>
  <c r="AL141" i="15"/>
  <c r="S141" i="15"/>
  <c r="W141" i="15"/>
  <c r="AA141" i="15"/>
  <c r="AE141" i="15"/>
  <c r="AI141" i="15"/>
  <c r="AM141" i="15"/>
  <c r="R312" i="15"/>
  <c r="S312" i="15"/>
  <c r="W312" i="15"/>
  <c r="AA312" i="15"/>
  <c r="AE312" i="15"/>
  <c r="AI312" i="15"/>
  <c r="AM312" i="15"/>
  <c r="T312" i="15"/>
  <c r="X312" i="15"/>
  <c r="AB312" i="15"/>
  <c r="AF312" i="15"/>
  <c r="AJ312" i="15"/>
  <c r="AN312" i="15"/>
  <c r="U312" i="15"/>
  <c r="Y312" i="15"/>
  <c r="AC312" i="15"/>
  <c r="AG312" i="15"/>
  <c r="AK312" i="15"/>
  <c r="AO312" i="15"/>
  <c r="V312" i="15"/>
  <c r="Z312" i="15"/>
  <c r="AD312" i="15"/>
  <c r="AH312" i="15"/>
  <c r="AL312" i="15"/>
  <c r="R163" i="15"/>
  <c r="V163" i="15"/>
  <c r="Z163" i="15"/>
  <c r="T163" i="15"/>
  <c r="X163" i="15"/>
  <c r="AB163" i="15"/>
  <c r="Y163" i="15"/>
  <c r="AE163" i="15"/>
  <c r="AI163" i="15"/>
  <c r="AM163" i="15"/>
  <c r="S163" i="15"/>
  <c r="AA163" i="15"/>
  <c r="AF163" i="15"/>
  <c r="AJ163" i="15"/>
  <c r="AN163" i="15"/>
  <c r="U163" i="15"/>
  <c r="AC163" i="15"/>
  <c r="AG163" i="15"/>
  <c r="AK163" i="15"/>
  <c r="AO163" i="15"/>
  <c r="W163" i="15"/>
  <c r="AD163" i="15"/>
  <c r="AH163" i="15"/>
  <c r="AL163" i="15"/>
  <c r="R175" i="15"/>
  <c r="S175" i="15"/>
  <c r="W175" i="15"/>
  <c r="AA175" i="15"/>
  <c r="AE175" i="15"/>
  <c r="AI175" i="15"/>
  <c r="AM175" i="15"/>
  <c r="T175" i="15"/>
  <c r="X175" i="15"/>
  <c r="AB175" i="15"/>
  <c r="AF175" i="15"/>
  <c r="AJ175" i="15"/>
  <c r="AN175" i="15"/>
  <c r="U175" i="15"/>
  <c r="Y175" i="15"/>
  <c r="AC175" i="15"/>
  <c r="AG175" i="15"/>
  <c r="AK175" i="15"/>
  <c r="AO175" i="15"/>
  <c r="V175" i="15"/>
  <c r="Z175" i="15"/>
  <c r="AD175" i="15"/>
  <c r="AH175" i="15"/>
  <c r="AL175" i="15"/>
  <c r="R239" i="15"/>
  <c r="S239" i="15"/>
  <c r="W239" i="15"/>
  <c r="AA239" i="15"/>
  <c r="AE239" i="15"/>
  <c r="AI239" i="15"/>
  <c r="AM239" i="15"/>
  <c r="T239" i="15"/>
  <c r="X239" i="15"/>
  <c r="AB239" i="15"/>
  <c r="AF239" i="15"/>
  <c r="AJ239" i="15"/>
  <c r="AN239" i="15"/>
  <c r="U239" i="15"/>
  <c r="Y239" i="15"/>
  <c r="AC239" i="15"/>
  <c r="AG239" i="15"/>
  <c r="AK239" i="15"/>
  <c r="AO239" i="15"/>
  <c r="V239" i="15"/>
  <c r="Z239" i="15"/>
  <c r="AD239" i="15"/>
  <c r="AH239" i="15"/>
  <c r="AL239" i="15"/>
  <c r="S65" i="15"/>
  <c r="W65" i="15"/>
  <c r="AA65" i="15"/>
  <c r="AE65" i="15"/>
  <c r="AI65" i="15"/>
  <c r="AM65" i="15"/>
  <c r="X65" i="15"/>
  <c r="AC65" i="15"/>
  <c r="AH65" i="15"/>
  <c r="AN65" i="15"/>
  <c r="R65" i="15"/>
  <c r="Y65" i="15"/>
  <c r="AF65" i="15"/>
  <c r="AL65" i="15"/>
  <c r="T65" i="15"/>
  <c r="Z65" i="15"/>
  <c r="AG65" i="15"/>
  <c r="AO65" i="15"/>
  <c r="U65" i="15"/>
  <c r="AB65" i="15"/>
  <c r="AJ65" i="15"/>
  <c r="V65" i="15"/>
  <c r="AD65" i="15"/>
  <c r="AK65" i="15"/>
  <c r="R35" i="15"/>
  <c r="V35" i="15"/>
  <c r="Z35" i="15"/>
  <c r="AD35" i="15"/>
  <c r="AH35" i="15"/>
  <c r="AL35" i="15"/>
  <c r="U35" i="15"/>
  <c r="AA35" i="15"/>
  <c r="AF35" i="15"/>
  <c r="AK35" i="15"/>
  <c r="S35" i="15"/>
  <c r="Y35" i="15"/>
  <c r="AG35" i="15"/>
  <c r="AN35" i="15"/>
  <c r="T35" i="15"/>
  <c r="AB35" i="15"/>
  <c r="AI35" i="15"/>
  <c r="AO35" i="15"/>
  <c r="AC35" i="15"/>
  <c r="AE35" i="15"/>
  <c r="W35" i="15"/>
  <c r="AJ35" i="15"/>
  <c r="X35" i="15"/>
  <c r="AM35" i="15"/>
  <c r="R11" i="15"/>
  <c r="V11" i="15"/>
  <c r="Z11" i="15"/>
  <c r="AD11" i="15"/>
  <c r="AH11" i="15"/>
  <c r="AL11" i="15"/>
  <c r="T11" i="15"/>
  <c r="Y11" i="15"/>
  <c r="AE11" i="15"/>
  <c r="AJ11" i="15"/>
  <c r="AO11" i="15"/>
  <c r="S11" i="15"/>
  <c r="AA11" i="15"/>
  <c r="AG11" i="15"/>
  <c r="AN11" i="15"/>
  <c r="U11" i="15"/>
  <c r="AB11" i="15"/>
  <c r="AI11" i="15"/>
  <c r="W11" i="15"/>
  <c r="AC11" i="15"/>
  <c r="AK11" i="15"/>
  <c r="X11" i="15"/>
  <c r="AF11" i="15"/>
  <c r="AM11" i="15"/>
  <c r="R109" i="15"/>
  <c r="T109" i="15"/>
  <c r="X109" i="15"/>
  <c r="AB109" i="15"/>
  <c r="AF109" i="15"/>
  <c r="AJ109" i="15"/>
  <c r="AN109" i="15"/>
  <c r="U109" i="15"/>
  <c r="Y109" i="15"/>
  <c r="AC109" i="15"/>
  <c r="AG109" i="15"/>
  <c r="AK109" i="15"/>
  <c r="AO109" i="15"/>
  <c r="V109" i="15"/>
  <c r="Z109" i="15"/>
  <c r="AD109" i="15"/>
  <c r="AH109" i="15"/>
  <c r="AL109" i="15"/>
  <c r="S109" i="15"/>
  <c r="W109" i="15"/>
  <c r="AA109" i="15"/>
  <c r="AE109" i="15"/>
  <c r="AI109" i="15"/>
  <c r="AM109" i="15"/>
  <c r="R237" i="15"/>
  <c r="U237" i="15"/>
  <c r="Y237" i="15"/>
  <c r="AC237" i="15"/>
  <c r="AG237" i="15"/>
  <c r="AK237" i="15"/>
  <c r="AO237" i="15"/>
  <c r="V237" i="15"/>
  <c r="Z237" i="15"/>
  <c r="AD237" i="15"/>
  <c r="AH237" i="15"/>
  <c r="AL237" i="15"/>
  <c r="S237" i="15"/>
  <c r="W237" i="15"/>
  <c r="AA237" i="15"/>
  <c r="AE237" i="15"/>
  <c r="AI237" i="15"/>
  <c r="AM237" i="15"/>
  <c r="T237" i="15"/>
  <c r="X237" i="15"/>
  <c r="AB237" i="15"/>
  <c r="AF237" i="15"/>
  <c r="AJ237" i="15"/>
  <c r="AN237" i="15"/>
  <c r="R328" i="15"/>
  <c r="S328" i="15"/>
  <c r="W328" i="15"/>
  <c r="AA328" i="15"/>
  <c r="AE328" i="15"/>
  <c r="AI328" i="15"/>
  <c r="AM328" i="15"/>
  <c r="T328" i="15"/>
  <c r="X328" i="15"/>
  <c r="AB328" i="15"/>
  <c r="AF328" i="15"/>
  <c r="AJ328" i="15"/>
  <c r="AN328" i="15"/>
  <c r="U328" i="15"/>
  <c r="Y328" i="15"/>
  <c r="AC328" i="15"/>
  <c r="AG328" i="15"/>
  <c r="AK328" i="15"/>
  <c r="AO328" i="15"/>
  <c r="V328" i="15"/>
  <c r="Z328" i="15"/>
  <c r="AD328" i="15"/>
  <c r="AH328" i="15"/>
  <c r="AL328" i="15"/>
  <c r="R171" i="15"/>
  <c r="S171" i="15"/>
  <c r="W171" i="15"/>
  <c r="AA171" i="15"/>
  <c r="AE171" i="15"/>
  <c r="AI171" i="15"/>
  <c r="AM171" i="15"/>
  <c r="T171" i="15"/>
  <c r="X171" i="15"/>
  <c r="AB171" i="15"/>
  <c r="AF171" i="15"/>
  <c r="AJ171" i="15"/>
  <c r="AN171" i="15"/>
  <c r="U171" i="15"/>
  <c r="Y171" i="15"/>
  <c r="AC171" i="15"/>
  <c r="AG171" i="15"/>
  <c r="AK171" i="15"/>
  <c r="AO171" i="15"/>
  <c r="V171" i="15"/>
  <c r="Z171" i="15"/>
  <c r="AD171" i="15"/>
  <c r="AH171" i="15"/>
  <c r="AL171" i="15"/>
  <c r="R199" i="15"/>
  <c r="S199" i="15"/>
  <c r="W199" i="15"/>
  <c r="AA199" i="15"/>
  <c r="AE199" i="15"/>
  <c r="AI199" i="15"/>
  <c r="AM199" i="15"/>
  <c r="T199" i="15"/>
  <c r="X199" i="15"/>
  <c r="AB199" i="15"/>
  <c r="AF199" i="15"/>
  <c r="AJ199" i="15"/>
  <c r="AN199" i="15"/>
  <c r="U199" i="15"/>
  <c r="Y199" i="15"/>
  <c r="AC199" i="15"/>
  <c r="AG199" i="15"/>
  <c r="AK199" i="15"/>
  <c r="AO199" i="15"/>
  <c r="V199" i="15"/>
  <c r="Z199" i="15"/>
  <c r="AD199" i="15"/>
  <c r="AH199" i="15"/>
  <c r="AL199" i="15"/>
  <c r="R231" i="15"/>
  <c r="S231" i="15"/>
  <c r="W231" i="15"/>
  <c r="AA231" i="15"/>
  <c r="AE231" i="15"/>
  <c r="AI231" i="15"/>
  <c r="AM231" i="15"/>
  <c r="T231" i="15"/>
  <c r="X231" i="15"/>
  <c r="AB231" i="15"/>
  <c r="AF231" i="15"/>
  <c r="AJ231" i="15"/>
  <c r="AN231" i="15"/>
  <c r="U231" i="15"/>
  <c r="Y231" i="15"/>
  <c r="AC231" i="15"/>
  <c r="AG231" i="15"/>
  <c r="AK231" i="15"/>
  <c r="AO231" i="15"/>
  <c r="V231" i="15"/>
  <c r="Z231" i="15"/>
  <c r="AD231" i="15"/>
  <c r="AH231" i="15"/>
  <c r="AL231" i="15"/>
  <c r="R263" i="15"/>
  <c r="S263" i="15"/>
  <c r="W263" i="15"/>
  <c r="AA263" i="15"/>
  <c r="AE263" i="15"/>
  <c r="AI263" i="15"/>
  <c r="AM263" i="15"/>
  <c r="T263" i="15"/>
  <c r="X263" i="15"/>
  <c r="AB263" i="15"/>
  <c r="AF263" i="15"/>
  <c r="AJ263" i="15"/>
  <c r="AN263" i="15"/>
  <c r="U263" i="15"/>
  <c r="Y263" i="15"/>
  <c r="AC263" i="15"/>
  <c r="AG263" i="15"/>
  <c r="AK263" i="15"/>
  <c r="AO263" i="15"/>
  <c r="V263" i="15"/>
  <c r="Z263" i="15"/>
  <c r="AD263" i="15"/>
  <c r="AH263" i="15"/>
  <c r="AL263" i="15"/>
  <c r="R291" i="15"/>
  <c r="S291" i="15"/>
  <c r="W291" i="15"/>
  <c r="AA291" i="15"/>
  <c r="AE291" i="15"/>
  <c r="AI291" i="15"/>
  <c r="AM291" i="15"/>
  <c r="T291" i="15"/>
  <c r="X291" i="15"/>
  <c r="AB291" i="15"/>
  <c r="AF291" i="15"/>
  <c r="AJ291" i="15"/>
  <c r="AN291" i="15"/>
  <c r="U291" i="15"/>
  <c r="Y291" i="15"/>
  <c r="AC291" i="15"/>
  <c r="AG291" i="15"/>
  <c r="AK291" i="15"/>
  <c r="AO291" i="15"/>
  <c r="V291" i="15"/>
  <c r="Z291" i="15"/>
  <c r="AD291" i="15"/>
  <c r="AH291" i="15"/>
  <c r="AL291" i="15"/>
  <c r="R145" i="15"/>
  <c r="T145" i="15"/>
  <c r="X145" i="15"/>
  <c r="AB145" i="15"/>
  <c r="AF145" i="15"/>
  <c r="AJ145" i="15"/>
  <c r="AN145" i="15"/>
  <c r="U145" i="15"/>
  <c r="Y145" i="15"/>
  <c r="AC145" i="15"/>
  <c r="AG145" i="15"/>
  <c r="AK145" i="15"/>
  <c r="AO145" i="15"/>
  <c r="V145" i="15"/>
  <c r="Z145" i="15"/>
  <c r="AD145" i="15"/>
  <c r="AH145" i="15"/>
  <c r="AL145" i="15"/>
  <c r="S145" i="15"/>
  <c r="W145" i="15"/>
  <c r="AA145" i="15"/>
  <c r="AE145" i="15"/>
  <c r="AI145" i="15"/>
  <c r="AM145" i="15"/>
  <c r="R23" i="15"/>
  <c r="V23" i="15"/>
  <c r="Z23" i="15"/>
  <c r="AD23" i="15"/>
  <c r="AH23" i="15"/>
  <c r="AL23" i="15"/>
  <c r="T23" i="15"/>
  <c r="Y23" i="15"/>
  <c r="AE23" i="15"/>
  <c r="AJ23" i="15"/>
  <c r="AO23" i="15"/>
  <c r="X23" i="15"/>
  <c r="AF23" i="15"/>
  <c r="AM23" i="15"/>
  <c r="S23" i="15"/>
  <c r="AA23" i="15"/>
  <c r="AG23" i="15"/>
  <c r="AN23" i="15"/>
  <c r="U23" i="15"/>
  <c r="AB23" i="15"/>
  <c r="AI23" i="15"/>
  <c r="W23" i="15"/>
  <c r="AC23" i="15"/>
  <c r="AK23" i="15"/>
  <c r="R119" i="15"/>
  <c r="V119" i="15"/>
  <c r="Z119" i="15"/>
  <c r="AD119" i="15"/>
  <c r="AH119" i="15"/>
  <c r="AL119" i="15"/>
  <c r="S119" i="15"/>
  <c r="W119" i="15"/>
  <c r="AA119" i="15"/>
  <c r="AE119" i="15"/>
  <c r="AI119" i="15"/>
  <c r="AM119" i="15"/>
  <c r="T119" i="15"/>
  <c r="X119" i="15"/>
  <c r="AB119" i="15"/>
  <c r="AF119" i="15"/>
  <c r="AJ119" i="15"/>
  <c r="AN119" i="15"/>
  <c r="U119" i="15"/>
  <c r="Y119" i="15"/>
  <c r="AC119" i="15"/>
  <c r="AG119" i="15"/>
  <c r="AK119" i="15"/>
  <c r="AO119" i="15"/>
  <c r="S4" i="15"/>
  <c r="W4" i="15"/>
  <c r="AA4" i="15"/>
  <c r="AE4" i="15"/>
  <c r="AI4" i="15"/>
  <c r="AM4" i="15"/>
  <c r="R4" i="15"/>
  <c r="U4" i="15"/>
  <c r="Z4" i="15"/>
  <c r="AF4" i="15"/>
  <c r="AK4" i="15"/>
  <c r="X4" i="15"/>
  <c r="AD4" i="15"/>
  <c r="AL4" i="15"/>
  <c r="Y4" i="15"/>
  <c r="AG4" i="15"/>
  <c r="AN4" i="15"/>
  <c r="T4" i="15"/>
  <c r="AB4" i="15"/>
  <c r="AH4" i="15"/>
  <c r="AO4" i="15"/>
  <c r="V4" i="15"/>
  <c r="AC4" i="15"/>
  <c r="AJ4" i="15"/>
  <c r="V52" i="15"/>
  <c r="Z52" i="15"/>
  <c r="AD52" i="15"/>
  <c r="AH52" i="15"/>
  <c r="AL52" i="15"/>
  <c r="S52" i="15"/>
  <c r="X52" i="15"/>
  <c r="AC52" i="15"/>
  <c r="AI52" i="15"/>
  <c r="AN52" i="15"/>
  <c r="R52" i="15"/>
  <c r="T52" i="15"/>
  <c r="Y52" i="15"/>
  <c r="AE52" i="15"/>
  <c r="AJ52" i="15"/>
  <c r="AO52" i="15"/>
  <c r="AB52" i="15"/>
  <c r="AM52" i="15"/>
  <c r="U52" i="15"/>
  <c r="AF52" i="15"/>
  <c r="W52" i="15"/>
  <c r="AG52" i="15"/>
  <c r="AA52" i="15"/>
  <c r="AK52" i="15"/>
  <c r="R137" i="15"/>
  <c r="T137" i="15"/>
  <c r="X137" i="15"/>
  <c r="AB137" i="15"/>
  <c r="AF137" i="15"/>
  <c r="AJ137" i="15"/>
  <c r="AN137" i="15"/>
  <c r="U137" i="15"/>
  <c r="Y137" i="15"/>
  <c r="AC137" i="15"/>
  <c r="AG137" i="15"/>
  <c r="AK137" i="15"/>
  <c r="AO137" i="15"/>
  <c r="V137" i="15"/>
  <c r="Z137" i="15"/>
  <c r="AD137" i="15"/>
  <c r="AH137" i="15"/>
  <c r="AL137" i="15"/>
  <c r="S137" i="15"/>
  <c r="W137" i="15"/>
  <c r="AA137" i="15"/>
  <c r="AE137" i="15"/>
  <c r="AI137" i="15"/>
  <c r="AM137" i="15"/>
  <c r="R313" i="15"/>
  <c r="T313" i="15"/>
  <c r="X313" i="15"/>
  <c r="AB313" i="15"/>
  <c r="AF313" i="15"/>
  <c r="AJ313" i="15"/>
  <c r="AN313" i="15"/>
  <c r="U313" i="15"/>
  <c r="Y313" i="15"/>
  <c r="AC313" i="15"/>
  <c r="AG313" i="15"/>
  <c r="AK313" i="15"/>
  <c r="AO313" i="15"/>
  <c r="V313" i="15"/>
  <c r="Z313" i="15"/>
  <c r="AD313" i="15"/>
  <c r="AH313" i="15"/>
  <c r="AL313" i="15"/>
  <c r="S313" i="15"/>
  <c r="W313" i="15"/>
  <c r="AA313" i="15"/>
  <c r="AE313" i="15"/>
  <c r="AI313" i="15"/>
  <c r="AM313" i="15"/>
  <c r="R303" i="15"/>
  <c r="V303" i="15"/>
  <c r="Z303" i="15"/>
  <c r="AD303" i="15"/>
  <c r="AH303" i="15"/>
  <c r="AL303" i="15"/>
  <c r="S303" i="15"/>
  <c r="W303" i="15"/>
  <c r="AA303" i="15"/>
  <c r="AE303" i="15"/>
  <c r="AI303" i="15"/>
  <c r="AM303" i="15"/>
  <c r="T303" i="15"/>
  <c r="X303" i="15"/>
  <c r="AB303" i="15"/>
  <c r="AF303" i="15"/>
  <c r="AJ303" i="15"/>
  <c r="AN303" i="15"/>
  <c r="U303" i="15"/>
  <c r="Y303" i="15"/>
  <c r="AC303" i="15"/>
  <c r="AG303" i="15"/>
  <c r="AK303" i="15"/>
  <c r="AO303" i="15"/>
  <c r="R335" i="15"/>
  <c r="V335" i="15"/>
  <c r="Z335" i="15"/>
  <c r="AD335" i="15"/>
  <c r="AH335" i="15"/>
  <c r="AL335" i="15"/>
  <c r="S335" i="15"/>
  <c r="W335" i="15"/>
  <c r="AA335" i="15"/>
  <c r="AE335" i="15"/>
  <c r="AI335" i="15"/>
  <c r="AM335" i="15"/>
  <c r="T335" i="15"/>
  <c r="X335" i="15"/>
  <c r="AB335" i="15"/>
  <c r="AF335" i="15"/>
  <c r="AJ335" i="15"/>
  <c r="AN335" i="15"/>
  <c r="U335" i="15"/>
  <c r="Y335" i="15"/>
  <c r="AC335" i="15"/>
  <c r="AG335" i="15"/>
  <c r="AK335" i="15"/>
  <c r="AO335" i="15"/>
  <c r="S32" i="15"/>
  <c r="W32" i="15"/>
  <c r="AA32" i="15"/>
  <c r="AE32" i="15"/>
  <c r="AI32" i="15"/>
  <c r="AM32" i="15"/>
  <c r="U32" i="15"/>
  <c r="Z32" i="15"/>
  <c r="AF32" i="15"/>
  <c r="AK32" i="15"/>
  <c r="X32" i="15"/>
  <c r="AD32" i="15"/>
  <c r="AL32" i="15"/>
  <c r="R32" i="15"/>
  <c r="Y32" i="15"/>
  <c r="AG32" i="15"/>
  <c r="AN32" i="15"/>
  <c r="T32" i="15"/>
  <c r="AB32" i="15"/>
  <c r="AH32" i="15"/>
  <c r="AO32" i="15"/>
  <c r="AJ32" i="15"/>
  <c r="V32" i="15"/>
  <c r="AC32" i="15"/>
  <c r="U74" i="15"/>
  <c r="Y74" i="15"/>
  <c r="AC74" i="15"/>
  <c r="AG74" i="15"/>
  <c r="AK74" i="15"/>
  <c r="AO74" i="15"/>
  <c r="R74" i="15"/>
  <c r="W74" i="15"/>
  <c r="AB74" i="15"/>
  <c r="AH74" i="15"/>
  <c r="AM74" i="15"/>
  <c r="S74" i="15"/>
  <c r="X74" i="15"/>
  <c r="AD74" i="15"/>
  <c r="AI74" i="15"/>
  <c r="AN74" i="15"/>
  <c r="T74" i="15"/>
  <c r="Z74" i="15"/>
  <c r="AE74" i="15"/>
  <c r="AJ74" i="15"/>
  <c r="V74" i="15"/>
  <c r="AA74" i="15"/>
  <c r="AF74" i="15"/>
  <c r="AL74" i="15"/>
  <c r="R117" i="15"/>
  <c r="T117" i="15"/>
  <c r="X117" i="15"/>
  <c r="AB117" i="15"/>
  <c r="AF117" i="15"/>
  <c r="AJ117" i="15"/>
  <c r="AN117" i="15"/>
  <c r="U117" i="15"/>
  <c r="Y117" i="15"/>
  <c r="AC117" i="15"/>
  <c r="AG117" i="15"/>
  <c r="AK117" i="15"/>
  <c r="AO117" i="15"/>
  <c r="V117" i="15"/>
  <c r="Z117" i="15"/>
  <c r="AD117" i="15"/>
  <c r="AH117" i="15"/>
  <c r="AL117" i="15"/>
  <c r="S117" i="15"/>
  <c r="W117" i="15"/>
  <c r="AA117" i="15"/>
  <c r="AE117" i="15"/>
  <c r="AI117" i="15"/>
  <c r="AM117" i="15"/>
  <c r="R181" i="15"/>
  <c r="U181" i="15"/>
  <c r="Y181" i="15"/>
  <c r="AC181" i="15"/>
  <c r="AG181" i="15"/>
  <c r="AK181" i="15"/>
  <c r="AO181" i="15"/>
  <c r="V181" i="15"/>
  <c r="Z181" i="15"/>
  <c r="AD181" i="15"/>
  <c r="AH181" i="15"/>
  <c r="AL181" i="15"/>
  <c r="S181" i="15"/>
  <c r="W181" i="15"/>
  <c r="AA181" i="15"/>
  <c r="AE181" i="15"/>
  <c r="AI181" i="15"/>
  <c r="AM181" i="15"/>
  <c r="T181" i="15"/>
  <c r="X181" i="15"/>
  <c r="AB181" i="15"/>
  <c r="AF181" i="15"/>
  <c r="AJ181" i="15"/>
  <c r="AN181" i="15"/>
  <c r="R298" i="15"/>
  <c r="U298" i="15"/>
  <c r="Y298" i="15"/>
  <c r="AC298" i="15"/>
  <c r="AG298" i="15"/>
  <c r="AK298" i="15"/>
  <c r="AO298" i="15"/>
  <c r="V298" i="15"/>
  <c r="Z298" i="15"/>
  <c r="AD298" i="15"/>
  <c r="AH298" i="15"/>
  <c r="AL298" i="15"/>
  <c r="S298" i="15"/>
  <c r="W298" i="15"/>
  <c r="AA298" i="15"/>
  <c r="AE298" i="15"/>
  <c r="AI298" i="15"/>
  <c r="AM298" i="15"/>
  <c r="T298" i="15"/>
  <c r="X298" i="15"/>
  <c r="AB298" i="15"/>
  <c r="AF298" i="15"/>
  <c r="AJ298" i="15"/>
  <c r="AN298" i="15"/>
  <c r="R341" i="15"/>
  <c r="T341" i="15"/>
  <c r="X341" i="15"/>
  <c r="AB341" i="15"/>
  <c r="AF341" i="15"/>
  <c r="AJ341" i="15"/>
  <c r="AN341" i="15"/>
  <c r="U341" i="15"/>
  <c r="Y341" i="15"/>
  <c r="AC341" i="15"/>
  <c r="AG341" i="15"/>
  <c r="AK341" i="15"/>
  <c r="AO341" i="15"/>
  <c r="V341" i="15"/>
  <c r="Z341" i="15"/>
  <c r="AD341" i="15"/>
  <c r="AH341" i="15"/>
  <c r="AL341" i="15"/>
  <c r="S341" i="15"/>
  <c r="W341" i="15"/>
  <c r="AA341" i="15"/>
  <c r="AE341" i="15"/>
  <c r="AI341" i="15"/>
  <c r="AM341" i="15"/>
  <c r="R113" i="15"/>
  <c r="T113" i="15"/>
  <c r="X113" i="15"/>
  <c r="AB113" i="15"/>
  <c r="AF113" i="15"/>
  <c r="AJ113" i="15"/>
  <c r="AN113" i="15"/>
  <c r="U113" i="15"/>
  <c r="Y113" i="15"/>
  <c r="AC113" i="15"/>
  <c r="AG113" i="15"/>
  <c r="AK113" i="15"/>
  <c r="AO113" i="15"/>
  <c r="V113" i="15"/>
  <c r="Z113" i="15"/>
  <c r="AD113" i="15"/>
  <c r="AH113" i="15"/>
  <c r="AL113" i="15"/>
  <c r="S113" i="15"/>
  <c r="W113" i="15"/>
  <c r="AA113" i="15"/>
  <c r="AE113" i="15"/>
  <c r="AI113" i="15"/>
  <c r="AM113" i="15"/>
  <c r="R47" i="15"/>
  <c r="V47" i="15"/>
  <c r="Z47" i="15"/>
  <c r="AD47" i="15"/>
  <c r="AH47" i="15"/>
  <c r="AL47" i="15"/>
  <c r="T47" i="15"/>
  <c r="Y47" i="15"/>
  <c r="AE47" i="15"/>
  <c r="AJ47" i="15"/>
  <c r="AO47" i="15"/>
  <c r="W47" i="15"/>
  <c r="AC47" i="15"/>
  <c r="AK47" i="15"/>
  <c r="X47" i="15"/>
  <c r="AF47" i="15"/>
  <c r="AM47" i="15"/>
  <c r="AB47" i="15"/>
  <c r="S47" i="15"/>
  <c r="AG47" i="15"/>
  <c r="U47" i="15"/>
  <c r="AI47" i="15"/>
  <c r="AA47" i="15"/>
  <c r="AN47" i="15"/>
  <c r="R103" i="15"/>
  <c r="V103" i="15"/>
  <c r="Z103" i="15"/>
  <c r="AD103" i="15"/>
  <c r="AH103" i="15"/>
  <c r="AL103" i="15"/>
  <c r="S103" i="15"/>
  <c r="W103" i="15"/>
  <c r="AA103" i="15"/>
  <c r="AE103" i="15"/>
  <c r="AI103" i="15"/>
  <c r="AM103" i="15"/>
  <c r="T103" i="15"/>
  <c r="X103" i="15"/>
  <c r="AB103" i="15"/>
  <c r="AF103" i="15"/>
  <c r="AJ103" i="15"/>
  <c r="AN103" i="15"/>
  <c r="U103" i="15"/>
  <c r="Y103" i="15"/>
  <c r="AC103" i="15"/>
  <c r="AG103" i="15"/>
  <c r="AK103" i="15"/>
  <c r="AO103" i="15"/>
  <c r="S8" i="15"/>
  <c r="W8" i="15"/>
  <c r="AA8" i="15"/>
  <c r="AE8" i="15"/>
  <c r="AI8" i="15"/>
  <c r="AM8" i="15"/>
  <c r="T8" i="15"/>
  <c r="Y8" i="15"/>
  <c r="AD8" i="15"/>
  <c r="AJ8" i="15"/>
  <c r="AO8" i="15"/>
  <c r="X8" i="15"/>
  <c r="AF8" i="15"/>
  <c r="AL8" i="15"/>
  <c r="Z8" i="15"/>
  <c r="AG8" i="15"/>
  <c r="AN8" i="15"/>
  <c r="R8" i="15"/>
  <c r="U8" i="15"/>
  <c r="AB8" i="15"/>
  <c r="AH8" i="15"/>
  <c r="V8" i="15"/>
  <c r="AC8" i="15"/>
  <c r="AK8" i="15"/>
  <c r="R61" i="15"/>
  <c r="S61" i="15"/>
  <c r="W61" i="15"/>
  <c r="AA61" i="15"/>
  <c r="AE61" i="15"/>
  <c r="AI61" i="15"/>
  <c r="AM61" i="15"/>
  <c r="T61" i="15"/>
  <c r="Y61" i="15"/>
  <c r="AD61" i="15"/>
  <c r="AJ61" i="15"/>
  <c r="AO61" i="15"/>
  <c r="U61" i="15"/>
  <c r="Z61" i="15"/>
  <c r="AF61" i="15"/>
  <c r="AK61" i="15"/>
  <c r="X61" i="15"/>
  <c r="AH61" i="15"/>
  <c r="AB61" i="15"/>
  <c r="AL61" i="15"/>
  <c r="AC61" i="15"/>
  <c r="AN61" i="15"/>
  <c r="V61" i="15"/>
  <c r="AG61" i="15"/>
  <c r="R125" i="15"/>
  <c r="T125" i="15"/>
  <c r="X125" i="15"/>
  <c r="AB125" i="15"/>
  <c r="AF125" i="15"/>
  <c r="AJ125" i="15"/>
  <c r="AN125" i="15"/>
  <c r="U125" i="15"/>
  <c r="Y125" i="15"/>
  <c r="AC125" i="15"/>
  <c r="AG125" i="15"/>
  <c r="AK125" i="15"/>
  <c r="AO125" i="15"/>
  <c r="V125" i="15"/>
  <c r="Z125" i="15"/>
  <c r="AD125" i="15"/>
  <c r="AH125" i="15"/>
  <c r="AL125" i="15"/>
  <c r="S125" i="15"/>
  <c r="W125" i="15"/>
  <c r="AA125" i="15"/>
  <c r="AE125" i="15"/>
  <c r="AI125" i="15"/>
  <c r="AM125" i="15"/>
  <c r="R253" i="15"/>
  <c r="U253" i="15"/>
  <c r="Y253" i="15"/>
  <c r="AC253" i="15"/>
  <c r="AG253" i="15"/>
  <c r="AK253" i="15"/>
  <c r="AO253" i="15"/>
  <c r="V253" i="15"/>
  <c r="Z253" i="15"/>
  <c r="AD253" i="15"/>
  <c r="AH253" i="15"/>
  <c r="AL253" i="15"/>
  <c r="S253" i="15"/>
  <c r="W253" i="15"/>
  <c r="AA253" i="15"/>
  <c r="AE253" i="15"/>
  <c r="AI253" i="15"/>
  <c r="AM253" i="15"/>
  <c r="T253" i="15"/>
  <c r="X253" i="15"/>
  <c r="AB253" i="15"/>
  <c r="AF253" i="15"/>
  <c r="AJ253" i="15"/>
  <c r="AN253" i="15"/>
  <c r="R306" i="15"/>
  <c r="U306" i="15"/>
  <c r="Y306" i="15"/>
  <c r="AC306" i="15"/>
  <c r="AG306" i="15"/>
  <c r="AK306" i="15"/>
  <c r="AO306" i="15"/>
  <c r="V306" i="15"/>
  <c r="Z306" i="15"/>
  <c r="AD306" i="15"/>
  <c r="AH306" i="15"/>
  <c r="AL306" i="15"/>
  <c r="S306" i="15"/>
  <c r="W306" i="15"/>
  <c r="AA306" i="15"/>
  <c r="AE306" i="15"/>
  <c r="AI306" i="15"/>
  <c r="AM306" i="15"/>
  <c r="T306" i="15"/>
  <c r="X306" i="15"/>
  <c r="AB306" i="15"/>
  <c r="AF306" i="15"/>
  <c r="AJ306" i="15"/>
  <c r="AN306" i="15"/>
  <c r="R338" i="15"/>
  <c r="U338" i="15"/>
  <c r="Y338" i="15"/>
  <c r="AC338" i="15"/>
  <c r="AG338" i="15"/>
  <c r="AK338" i="15"/>
  <c r="AO338" i="15"/>
  <c r="V338" i="15"/>
  <c r="Z338" i="15"/>
  <c r="AD338" i="15"/>
  <c r="AH338" i="15"/>
  <c r="AL338" i="15"/>
  <c r="S338" i="15"/>
  <c r="W338" i="15"/>
  <c r="AA338" i="15"/>
  <c r="AE338" i="15"/>
  <c r="AI338" i="15"/>
  <c r="AM338" i="15"/>
  <c r="T338" i="15"/>
  <c r="X338" i="15"/>
  <c r="AB338" i="15"/>
  <c r="AF338" i="15"/>
  <c r="AJ338" i="15"/>
  <c r="AN338" i="15"/>
  <c r="R159" i="15"/>
  <c r="V159" i="15"/>
  <c r="Z159" i="15"/>
  <c r="AD159" i="15"/>
  <c r="AH159" i="15"/>
  <c r="AL159" i="15"/>
  <c r="S159" i="15"/>
  <c r="W159" i="15"/>
  <c r="AA159" i="15"/>
  <c r="AE159" i="15"/>
  <c r="AI159" i="15"/>
  <c r="AM159" i="15"/>
  <c r="T159" i="15"/>
  <c r="X159" i="15"/>
  <c r="AB159" i="15"/>
  <c r="AF159" i="15"/>
  <c r="AJ159" i="15"/>
  <c r="AN159" i="15"/>
  <c r="U159" i="15"/>
  <c r="Y159" i="15"/>
  <c r="AC159" i="15"/>
  <c r="AG159" i="15"/>
  <c r="AK159" i="15"/>
  <c r="AO159" i="15"/>
  <c r="R187" i="15"/>
  <c r="S187" i="15"/>
  <c r="W187" i="15"/>
  <c r="AA187" i="15"/>
  <c r="AE187" i="15"/>
  <c r="AI187" i="15"/>
  <c r="AM187" i="15"/>
  <c r="T187" i="15"/>
  <c r="X187" i="15"/>
  <c r="AB187" i="15"/>
  <c r="AF187" i="15"/>
  <c r="AJ187" i="15"/>
  <c r="AN187" i="15"/>
  <c r="U187" i="15"/>
  <c r="Y187" i="15"/>
  <c r="AC187" i="15"/>
  <c r="AG187" i="15"/>
  <c r="AK187" i="15"/>
  <c r="AO187" i="15"/>
  <c r="V187" i="15"/>
  <c r="Z187" i="15"/>
  <c r="AD187" i="15"/>
  <c r="AH187" i="15"/>
  <c r="AL187" i="15"/>
  <c r="R203" i="15"/>
  <c r="S203" i="15"/>
  <c r="W203" i="15"/>
  <c r="AA203" i="15"/>
  <c r="AE203" i="15"/>
  <c r="AI203" i="15"/>
  <c r="AM203" i="15"/>
  <c r="T203" i="15"/>
  <c r="X203" i="15"/>
  <c r="AB203" i="15"/>
  <c r="AF203" i="15"/>
  <c r="AJ203" i="15"/>
  <c r="AN203" i="15"/>
  <c r="U203" i="15"/>
  <c r="Y203" i="15"/>
  <c r="AC203" i="15"/>
  <c r="AG203" i="15"/>
  <c r="AK203" i="15"/>
  <c r="AO203" i="15"/>
  <c r="V203" i="15"/>
  <c r="Z203" i="15"/>
  <c r="AD203" i="15"/>
  <c r="AH203" i="15"/>
  <c r="AL203" i="15"/>
  <c r="R219" i="15"/>
  <c r="S219" i="15"/>
  <c r="W219" i="15"/>
  <c r="AA219" i="15"/>
  <c r="AE219" i="15"/>
  <c r="AI219" i="15"/>
  <c r="AM219" i="15"/>
  <c r="T219" i="15"/>
  <c r="X219" i="15"/>
  <c r="AB219" i="15"/>
  <c r="AF219" i="15"/>
  <c r="AJ219" i="15"/>
  <c r="AN219" i="15"/>
  <c r="U219" i="15"/>
  <c r="Y219" i="15"/>
  <c r="AC219" i="15"/>
  <c r="AG219" i="15"/>
  <c r="AK219" i="15"/>
  <c r="AO219" i="15"/>
  <c r="V219" i="15"/>
  <c r="Z219" i="15"/>
  <c r="AD219" i="15"/>
  <c r="AH219" i="15"/>
  <c r="AL219" i="15"/>
  <c r="R251" i="15"/>
  <c r="S251" i="15"/>
  <c r="W251" i="15"/>
  <c r="AA251" i="15"/>
  <c r="AE251" i="15"/>
  <c r="AI251" i="15"/>
  <c r="AM251" i="15"/>
  <c r="T251" i="15"/>
  <c r="X251" i="15"/>
  <c r="AB251" i="15"/>
  <c r="AF251" i="15"/>
  <c r="AJ251" i="15"/>
  <c r="AN251" i="15"/>
  <c r="U251" i="15"/>
  <c r="Y251" i="15"/>
  <c r="AC251" i="15"/>
  <c r="AG251" i="15"/>
  <c r="AK251" i="15"/>
  <c r="AO251" i="15"/>
  <c r="V251" i="15"/>
  <c r="Z251" i="15"/>
  <c r="AD251" i="15"/>
  <c r="AH251" i="15"/>
  <c r="AL251" i="15"/>
  <c r="R267" i="15"/>
  <c r="S267" i="15"/>
  <c r="W267" i="15"/>
  <c r="AA267" i="15"/>
  <c r="AE267" i="15"/>
  <c r="AI267" i="15"/>
  <c r="AM267" i="15"/>
  <c r="T267" i="15"/>
  <c r="X267" i="15"/>
  <c r="AB267" i="15"/>
  <c r="AF267" i="15"/>
  <c r="AJ267" i="15"/>
  <c r="AN267" i="15"/>
  <c r="U267" i="15"/>
  <c r="Y267" i="15"/>
  <c r="AC267" i="15"/>
  <c r="AG267" i="15"/>
  <c r="AK267" i="15"/>
  <c r="AO267" i="15"/>
  <c r="V267" i="15"/>
  <c r="Z267" i="15"/>
  <c r="AD267" i="15"/>
  <c r="AH267" i="15"/>
  <c r="AL267" i="15"/>
  <c r="R326" i="15"/>
  <c r="U326" i="15"/>
  <c r="Y326" i="15"/>
  <c r="AC326" i="15"/>
  <c r="AG326" i="15"/>
  <c r="AK326" i="15"/>
  <c r="AO326" i="15"/>
  <c r="V326" i="15"/>
  <c r="Z326" i="15"/>
  <c r="AD326" i="15"/>
  <c r="AH326" i="15"/>
  <c r="AL326" i="15"/>
  <c r="S326" i="15"/>
  <c r="W326" i="15"/>
  <c r="AA326" i="15"/>
  <c r="AE326" i="15"/>
  <c r="AI326" i="15"/>
  <c r="AM326" i="15"/>
  <c r="T326" i="15"/>
  <c r="X326" i="15"/>
  <c r="AB326" i="15"/>
  <c r="AF326" i="15"/>
  <c r="AJ326" i="15"/>
  <c r="AN326" i="15"/>
  <c r="R27" i="15"/>
  <c r="V27" i="15"/>
  <c r="Z27" i="15"/>
  <c r="AD27" i="15"/>
  <c r="AH27" i="15"/>
  <c r="AL27" i="15"/>
  <c r="S27" i="15"/>
  <c r="X27" i="15"/>
  <c r="AC27" i="15"/>
  <c r="AI27" i="15"/>
  <c r="AN27" i="15"/>
  <c r="Y27" i="15"/>
  <c r="AF27" i="15"/>
  <c r="AM27" i="15"/>
  <c r="T27" i="15"/>
  <c r="AA27" i="15"/>
  <c r="AG27" i="15"/>
  <c r="AO27" i="15"/>
  <c r="U27" i="15"/>
  <c r="AB27" i="15"/>
  <c r="AJ27" i="15"/>
  <c r="AK27" i="15"/>
  <c r="W27" i="15"/>
  <c r="AE27" i="15"/>
  <c r="R71" i="15"/>
  <c r="V71" i="15"/>
  <c r="Z71" i="15"/>
  <c r="AD71" i="15"/>
  <c r="AH71" i="15"/>
  <c r="AL71" i="15"/>
  <c r="W71" i="15"/>
  <c r="AB71" i="15"/>
  <c r="AG71" i="15"/>
  <c r="AM71" i="15"/>
  <c r="S71" i="15"/>
  <c r="X71" i="15"/>
  <c r="AC71" i="15"/>
  <c r="AI71" i="15"/>
  <c r="AN71" i="15"/>
  <c r="T71" i="15"/>
  <c r="Y71" i="15"/>
  <c r="AE71" i="15"/>
  <c r="AJ71" i="15"/>
  <c r="AO71" i="15"/>
  <c r="U71" i="15"/>
  <c r="AA71" i="15"/>
  <c r="AF71" i="15"/>
  <c r="AK71" i="15"/>
  <c r="R143" i="15"/>
  <c r="V143" i="15"/>
  <c r="Z143" i="15"/>
  <c r="AD143" i="15"/>
  <c r="AH143" i="15"/>
  <c r="AL143" i="15"/>
  <c r="S143" i="15"/>
  <c r="W143" i="15"/>
  <c r="AA143" i="15"/>
  <c r="AE143" i="15"/>
  <c r="AI143" i="15"/>
  <c r="AM143" i="15"/>
  <c r="T143" i="15"/>
  <c r="X143" i="15"/>
  <c r="AB143" i="15"/>
  <c r="AF143" i="15"/>
  <c r="AJ143" i="15"/>
  <c r="AN143" i="15"/>
  <c r="U143" i="15"/>
  <c r="Y143" i="15"/>
  <c r="AC143" i="15"/>
  <c r="AG143" i="15"/>
  <c r="AK143" i="15"/>
  <c r="AO143" i="15"/>
  <c r="U14" i="15"/>
  <c r="Y14" i="15"/>
  <c r="AC14" i="15"/>
  <c r="AG14" i="15"/>
  <c r="AK14" i="15"/>
  <c r="AO14" i="15"/>
  <c r="R14" i="15"/>
  <c r="T14" i="15"/>
  <c r="Z14" i="15"/>
  <c r="AE14" i="15"/>
  <c r="AJ14" i="15"/>
  <c r="V14" i="15"/>
  <c r="AB14" i="15"/>
  <c r="AI14" i="15"/>
  <c r="W14" i="15"/>
  <c r="AD14" i="15"/>
  <c r="AL14" i="15"/>
  <c r="X14" i="15"/>
  <c r="AF14" i="15"/>
  <c r="AM14" i="15"/>
  <c r="S14" i="15"/>
  <c r="AA14" i="15"/>
  <c r="AH14" i="15"/>
  <c r="AN14" i="15"/>
  <c r="S36" i="15"/>
  <c r="W36" i="15"/>
  <c r="AA36" i="15"/>
  <c r="AE36" i="15"/>
  <c r="AI36" i="15"/>
  <c r="AM36" i="15"/>
  <c r="T36" i="15"/>
  <c r="Y36" i="15"/>
  <c r="AD36" i="15"/>
  <c r="AJ36" i="15"/>
  <c r="AO36" i="15"/>
  <c r="X36" i="15"/>
  <c r="AF36" i="15"/>
  <c r="AL36" i="15"/>
  <c r="Z36" i="15"/>
  <c r="AG36" i="15"/>
  <c r="AN36" i="15"/>
  <c r="R36" i="15"/>
  <c r="U36" i="15"/>
  <c r="AH36" i="15"/>
  <c r="V36" i="15"/>
  <c r="AK36" i="15"/>
  <c r="AB36" i="15"/>
  <c r="AC36" i="15"/>
  <c r="S57" i="15"/>
  <c r="W57" i="15"/>
  <c r="AA57" i="15"/>
  <c r="AE57" i="15"/>
  <c r="AI57" i="15"/>
  <c r="AM57" i="15"/>
  <c r="R57" i="15"/>
  <c r="U57" i="15"/>
  <c r="Z57" i="15"/>
  <c r="AF57" i="15"/>
  <c r="AK57" i="15"/>
  <c r="V57" i="15"/>
  <c r="AB57" i="15"/>
  <c r="AG57" i="15"/>
  <c r="AL57" i="15"/>
  <c r="T57" i="15"/>
  <c r="AD57" i="15"/>
  <c r="AO57" i="15"/>
  <c r="X57" i="15"/>
  <c r="AH57" i="15"/>
  <c r="Y57" i="15"/>
  <c r="AJ57" i="15"/>
  <c r="AC57" i="15"/>
  <c r="AN57" i="15"/>
  <c r="U78" i="15"/>
  <c r="Y78" i="15"/>
  <c r="AC78" i="15"/>
  <c r="AG78" i="15"/>
  <c r="AK78" i="15"/>
  <c r="AO78" i="15"/>
  <c r="R78" i="15"/>
  <c r="T78" i="15"/>
  <c r="Z78" i="15"/>
  <c r="AE78" i="15"/>
  <c r="AJ78" i="15"/>
  <c r="V78" i="15"/>
  <c r="AA78" i="15"/>
  <c r="AF78" i="15"/>
  <c r="AL78" i="15"/>
  <c r="W78" i="15"/>
  <c r="AB78" i="15"/>
  <c r="AH78" i="15"/>
  <c r="AM78" i="15"/>
  <c r="S78" i="15"/>
  <c r="X78" i="15"/>
  <c r="AD78" i="15"/>
  <c r="AI78" i="15"/>
  <c r="AN78" i="15"/>
  <c r="S100" i="15"/>
  <c r="W100" i="15"/>
  <c r="AA100" i="15"/>
  <c r="AE100" i="15"/>
  <c r="AI100" i="15"/>
  <c r="AM100" i="15"/>
  <c r="R100" i="15"/>
  <c r="T100" i="15"/>
  <c r="Y100" i="15"/>
  <c r="AD100" i="15"/>
  <c r="AJ100" i="15"/>
  <c r="AO100" i="15"/>
  <c r="U100" i="15"/>
  <c r="Z100" i="15"/>
  <c r="AF100" i="15"/>
  <c r="AK100" i="15"/>
  <c r="V100" i="15"/>
  <c r="AB100" i="15"/>
  <c r="AG100" i="15"/>
  <c r="AL100" i="15"/>
  <c r="X100" i="15"/>
  <c r="AC100" i="15"/>
  <c r="AH100" i="15"/>
  <c r="AN100" i="15"/>
  <c r="R121" i="15"/>
  <c r="T121" i="15"/>
  <c r="X121" i="15"/>
  <c r="AB121" i="15"/>
  <c r="AF121" i="15"/>
  <c r="AJ121" i="15"/>
  <c r="AN121" i="15"/>
  <c r="U121" i="15"/>
  <c r="Y121" i="15"/>
  <c r="AC121" i="15"/>
  <c r="AG121" i="15"/>
  <c r="AK121" i="15"/>
  <c r="AO121" i="15"/>
  <c r="V121" i="15"/>
  <c r="Z121" i="15"/>
  <c r="AD121" i="15"/>
  <c r="AH121" i="15"/>
  <c r="AL121" i="15"/>
  <c r="S121" i="15"/>
  <c r="W121" i="15"/>
  <c r="AA121" i="15"/>
  <c r="AE121" i="15"/>
  <c r="AI121" i="15"/>
  <c r="AM121" i="15"/>
  <c r="R142" i="15"/>
  <c r="U142" i="15"/>
  <c r="Y142" i="15"/>
  <c r="AC142" i="15"/>
  <c r="AG142" i="15"/>
  <c r="AK142" i="15"/>
  <c r="AO142" i="15"/>
  <c r="V142" i="15"/>
  <c r="Z142" i="15"/>
  <c r="AD142" i="15"/>
  <c r="AH142" i="15"/>
  <c r="AL142" i="15"/>
  <c r="S142" i="15"/>
  <c r="W142" i="15"/>
  <c r="AA142" i="15"/>
  <c r="AE142" i="15"/>
  <c r="AI142" i="15"/>
  <c r="AM142" i="15"/>
  <c r="T142" i="15"/>
  <c r="X142" i="15"/>
  <c r="AB142" i="15"/>
  <c r="AF142" i="15"/>
  <c r="AJ142" i="15"/>
  <c r="AN142" i="15"/>
  <c r="R185" i="15"/>
  <c r="U185" i="15"/>
  <c r="Y185" i="15"/>
  <c r="AC185" i="15"/>
  <c r="AG185" i="15"/>
  <c r="AK185" i="15"/>
  <c r="AO185" i="15"/>
  <c r="V185" i="15"/>
  <c r="Z185" i="15"/>
  <c r="AD185" i="15"/>
  <c r="AH185" i="15"/>
  <c r="AL185" i="15"/>
  <c r="S185" i="15"/>
  <c r="W185" i="15"/>
  <c r="AA185" i="15"/>
  <c r="AE185" i="15"/>
  <c r="AI185" i="15"/>
  <c r="AM185" i="15"/>
  <c r="T185" i="15"/>
  <c r="X185" i="15"/>
  <c r="AB185" i="15"/>
  <c r="AF185" i="15"/>
  <c r="AJ185" i="15"/>
  <c r="AN185" i="15"/>
  <c r="R249" i="15"/>
  <c r="U249" i="15"/>
  <c r="Y249" i="15"/>
  <c r="AC249" i="15"/>
  <c r="AG249" i="15"/>
  <c r="AK249" i="15"/>
  <c r="AO249" i="15"/>
  <c r="V249" i="15"/>
  <c r="Z249" i="15"/>
  <c r="AD249" i="15"/>
  <c r="AH249" i="15"/>
  <c r="AL249" i="15"/>
  <c r="S249" i="15"/>
  <c r="W249" i="15"/>
  <c r="AA249" i="15"/>
  <c r="AE249" i="15"/>
  <c r="AI249" i="15"/>
  <c r="AM249" i="15"/>
  <c r="T249" i="15"/>
  <c r="X249" i="15"/>
  <c r="AB249" i="15"/>
  <c r="AF249" i="15"/>
  <c r="AJ249" i="15"/>
  <c r="AN249" i="15"/>
  <c r="R297" i="15"/>
  <c r="T297" i="15"/>
  <c r="X297" i="15"/>
  <c r="AB297" i="15"/>
  <c r="AF297" i="15"/>
  <c r="AJ297" i="15"/>
  <c r="AN297" i="15"/>
  <c r="U297" i="15"/>
  <c r="Y297" i="15"/>
  <c r="AC297" i="15"/>
  <c r="AG297" i="15"/>
  <c r="AK297" i="15"/>
  <c r="AO297" i="15"/>
  <c r="V297" i="15"/>
  <c r="Z297" i="15"/>
  <c r="AD297" i="15"/>
  <c r="AH297" i="15"/>
  <c r="AL297" i="15"/>
  <c r="S297" i="15"/>
  <c r="W297" i="15"/>
  <c r="AA297" i="15"/>
  <c r="AE297" i="15"/>
  <c r="AI297" i="15"/>
  <c r="AM297" i="15"/>
  <c r="R340" i="15"/>
  <c r="S340" i="15"/>
  <c r="W340" i="15"/>
  <c r="AA340" i="15"/>
  <c r="AE340" i="15"/>
  <c r="AI340" i="15"/>
  <c r="AM340" i="15"/>
  <c r="T340" i="15"/>
  <c r="X340" i="15"/>
  <c r="AB340" i="15"/>
  <c r="AF340" i="15"/>
  <c r="AJ340" i="15"/>
  <c r="AN340" i="15"/>
  <c r="U340" i="15"/>
  <c r="Y340" i="15"/>
  <c r="AC340" i="15"/>
  <c r="AG340" i="15"/>
  <c r="AK340" i="15"/>
  <c r="AO340" i="15"/>
  <c r="V340" i="15"/>
  <c r="Z340" i="15"/>
  <c r="AD340" i="15"/>
  <c r="AH340" i="15"/>
  <c r="AL340" i="15"/>
  <c r="R315" i="15"/>
  <c r="V315" i="15"/>
  <c r="Z315" i="15"/>
  <c r="AD315" i="15"/>
  <c r="AH315" i="15"/>
  <c r="AL315" i="15"/>
  <c r="S315" i="15"/>
  <c r="W315" i="15"/>
  <c r="AA315" i="15"/>
  <c r="AE315" i="15"/>
  <c r="AI315" i="15"/>
  <c r="AM315" i="15"/>
  <c r="T315" i="15"/>
  <c r="X315" i="15"/>
  <c r="AB315" i="15"/>
  <c r="AF315" i="15"/>
  <c r="AJ315" i="15"/>
  <c r="AN315" i="15"/>
  <c r="U315" i="15"/>
  <c r="Y315" i="15"/>
  <c r="AC315" i="15"/>
  <c r="AG315" i="15"/>
  <c r="AK315" i="15"/>
  <c r="AO315" i="15"/>
  <c r="R347" i="15"/>
  <c r="V347" i="15"/>
  <c r="Z347" i="15"/>
  <c r="AD347" i="15"/>
  <c r="AH347" i="15"/>
  <c r="AL347" i="15"/>
  <c r="S347" i="15"/>
  <c r="W347" i="15"/>
  <c r="AA347" i="15"/>
  <c r="AE347" i="15"/>
  <c r="AI347" i="15"/>
  <c r="AM347" i="15"/>
  <c r="T347" i="15"/>
  <c r="X347" i="15"/>
  <c r="AB347" i="15"/>
  <c r="AF347" i="15"/>
  <c r="AJ347" i="15"/>
  <c r="AN347" i="15"/>
  <c r="U347" i="15"/>
  <c r="Y347" i="15"/>
  <c r="AC347" i="15"/>
  <c r="AG347" i="15"/>
  <c r="AK347" i="15"/>
  <c r="AO347" i="15"/>
  <c r="R316" i="15"/>
  <c r="S316" i="15"/>
  <c r="W316" i="15"/>
  <c r="AA316" i="15"/>
  <c r="AE316" i="15"/>
  <c r="AI316" i="15"/>
  <c r="AM316" i="15"/>
  <c r="T316" i="15"/>
  <c r="X316" i="15"/>
  <c r="AB316" i="15"/>
  <c r="AF316" i="15"/>
  <c r="AJ316" i="15"/>
  <c r="AN316" i="15"/>
  <c r="U316" i="15"/>
  <c r="Y316" i="15"/>
  <c r="AC316" i="15"/>
  <c r="AG316" i="15"/>
  <c r="AK316" i="15"/>
  <c r="AO316" i="15"/>
  <c r="V316" i="15"/>
  <c r="Z316" i="15"/>
  <c r="AD316" i="15"/>
  <c r="AH316" i="15"/>
  <c r="AL316" i="15"/>
  <c r="R67" i="15"/>
  <c r="U67" i="15"/>
  <c r="Y67" i="15"/>
  <c r="AC67" i="15"/>
  <c r="AG67" i="15"/>
  <c r="AK67" i="15"/>
  <c r="AO67" i="15"/>
  <c r="T67" i="15"/>
  <c r="Z67" i="15"/>
  <c r="AE67" i="15"/>
  <c r="AJ67" i="15"/>
  <c r="V67" i="15"/>
  <c r="AB67" i="15"/>
  <c r="AI67" i="15"/>
  <c r="W67" i="15"/>
  <c r="AD67" i="15"/>
  <c r="AL67" i="15"/>
  <c r="X67" i="15"/>
  <c r="AF67" i="15"/>
  <c r="AM67" i="15"/>
  <c r="S67" i="15"/>
  <c r="AA67" i="15"/>
  <c r="AH67" i="15"/>
  <c r="AN67" i="15"/>
  <c r="S16" i="15"/>
  <c r="W16" i="15"/>
  <c r="AA16" i="15"/>
  <c r="AE16" i="15"/>
  <c r="AI16" i="15"/>
  <c r="AM16" i="15"/>
  <c r="V16" i="15"/>
  <c r="AB16" i="15"/>
  <c r="AG16" i="15"/>
  <c r="AL16" i="15"/>
  <c r="Y16" i="15"/>
  <c r="AF16" i="15"/>
  <c r="AN16" i="15"/>
  <c r="T16" i="15"/>
  <c r="Z16" i="15"/>
  <c r="AH16" i="15"/>
  <c r="AO16" i="15"/>
  <c r="R16" i="15"/>
  <c r="U16" i="15"/>
  <c r="AC16" i="15"/>
  <c r="AJ16" i="15"/>
  <c r="X16" i="15"/>
  <c r="AD16" i="15"/>
  <c r="AK16" i="15"/>
  <c r="T37" i="15"/>
  <c r="X37" i="15"/>
  <c r="AB37" i="15"/>
  <c r="AF37" i="15"/>
  <c r="AJ37" i="15"/>
  <c r="AN37" i="15"/>
  <c r="W37" i="15"/>
  <c r="AC37" i="15"/>
  <c r="AH37" i="15"/>
  <c r="AM37" i="15"/>
  <c r="R37" i="15"/>
  <c r="V37" i="15"/>
  <c r="AD37" i="15"/>
  <c r="AK37" i="15"/>
  <c r="Y37" i="15"/>
  <c r="AE37" i="15"/>
  <c r="AL37" i="15"/>
  <c r="Z37" i="15"/>
  <c r="AO37" i="15"/>
  <c r="AA37" i="15"/>
  <c r="S37" i="15"/>
  <c r="AG37" i="15"/>
  <c r="U37" i="15"/>
  <c r="AI37" i="15"/>
  <c r="T58" i="15"/>
  <c r="X58" i="15"/>
  <c r="AB58" i="15"/>
  <c r="AF58" i="15"/>
  <c r="AJ58" i="15"/>
  <c r="AN58" i="15"/>
  <c r="S58" i="15"/>
  <c r="Y58" i="15"/>
  <c r="AD58" i="15"/>
  <c r="AI58" i="15"/>
  <c r="AO58" i="15"/>
  <c r="R58" i="15"/>
  <c r="U58" i="15"/>
  <c r="Z58" i="15"/>
  <c r="AE58" i="15"/>
  <c r="AK58" i="15"/>
  <c r="AC58" i="15"/>
  <c r="AM58" i="15"/>
  <c r="V58" i="15"/>
  <c r="AG58" i="15"/>
  <c r="W58" i="15"/>
  <c r="AH58" i="15"/>
  <c r="AA58" i="15"/>
  <c r="AL58" i="15"/>
  <c r="S80" i="15"/>
  <c r="W80" i="15"/>
  <c r="AA80" i="15"/>
  <c r="AE80" i="15"/>
  <c r="AI80" i="15"/>
  <c r="AM80" i="15"/>
  <c r="R80" i="15"/>
  <c r="V80" i="15"/>
  <c r="AB80" i="15"/>
  <c r="AG80" i="15"/>
  <c r="AL80" i="15"/>
  <c r="X80" i="15"/>
  <c r="AC80" i="15"/>
  <c r="AH80" i="15"/>
  <c r="AN80" i="15"/>
  <c r="T80" i="15"/>
  <c r="Y80" i="15"/>
  <c r="AD80" i="15"/>
  <c r="AJ80" i="15"/>
  <c r="AO80" i="15"/>
  <c r="U80" i="15"/>
  <c r="Z80" i="15"/>
  <c r="AF80" i="15"/>
  <c r="AK80" i="15"/>
  <c r="T101" i="15"/>
  <c r="X101" i="15"/>
  <c r="R101" i="15"/>
  <c r="W101" i="15"/>
  <c r="AB101" i="15"/>
  <c r="AF101" i="15"/>
  <c r="AJ101" i="15"/>
  <c r="AN101" i="15"/>
  <c r="S101" i="15"/>
  <c r="Y101" i="15"/>
  <c r="AC101" i="15"/>
  <c r="AG101" i="15"/>
  <c r="AK101" i="15"/>
  <c r="AO101" i="15"/>
  <c r="U101" i="15"/>
  <c r="Z101" i="15"/>
  <c r="AD101" i="15"/>
  <c r="AH101" i="15"/>
  <c r="AL101" i="15"/>
  <c r="V101" i="15"/>
  <c r="AA101" i="15"/>
  <c r="AE101" i="15"/>
  <c r="AI101" i="15"/>
  <c r="AM101" i="15"/>
  <c r="R122" i="15"/>
  <c r="U122" i="15"/>
  <c r="Y122" i="15"/>
  <c r="AC122" i="15"/>
  <c r="AG122" i="15"/>
  <c r="AK122" i="15"/>
  <c r="AO122" i="15"/>
  <c r="V122" i="15"/>
  <c r="Z122" i="15"/>
  <c r="AD122" i="15"/>
  <c r="AH122" i="15"/>
  <c r="AL122" i="15"/>
  <c r="S122" i="15"/>
  <c r="W122" i="15"/>
  <c r="AA122" i="15"/>
  <c r="AE122" i="15"/>
  <c r="AI122" i="15"/>
  <c r="AM122" i="15"/>
  <c r="T122" i="15"/>
  <c r="X122" i="15"/>
  <c r="AB122" i="15"/>
  <c r="AF122" i="15"/>
  <c r="AJ122" i="15"/>
  <c r="AN122" i="15"/>
  <c r="R144" i="15"/>
  <c r="S144" i="15"/>
  <c r="W144" i="15"/>
  <c r="AA144" i="15"/>
  <c r="AE144" i="15"/>
  <c r="AI144" i="15"/>
  <c r="AM144" i="15"/>
  <c r="T144" i="15"/>
  <c r="X144" i="15"/>
  <c r="AB144" i="15"/>
  <c r="AF144" i="15"/>
  <c r="AJ144" i="15"/>
  <c r="AN144" i="15"/>
  <c r="U144" i="15"/>
  <c r="Y144" i="15"/>
  <c r="AC144" i="15"/>
  <c r="AG144" i="15"/>
  <c r="AK144" i="15"/>
  <c r="AO144" i="15"/>
  <c r="V144" i="15"/>
  <c r="Z144" i="15"/>
  <c r="AD144" i="15"/>
  <c r="AH144" i="15"/>
  <c r="AL144" i="15"/>
  <c r="R197" i="15"/>
  <c r="U197" i="15"/>
  <c r="Y197" i="15"/>
  <c r="AC197" i="15"/>
  <c r="AG197" i="15"/>
  <c r="AK197" i="15"/>
  <c r="AO197" i="15"/>
  <c r="V197" i="15"/>
  <c r="Z197" i="15"/>
  <c r="AD197" i="15"/>
  <c r="AH197" i="15"/>
  <c r="AL197" i="15"/>
  <c r="S197" i="15"/>
  <c r="W197" i="15"/>
  <c r="AA197" i="15"/>
  <c r="AE197" i="15"/>
  <c r="AI197" i="15"/>
  <c r="AM197" i="15"/>
  <c r="T197" i="15"/>
  <c r="X197" i="15"/>
  <c r="AB197" i="15"/>
  <c r="AF197" i="15"/>
  <c r="AJ197" i="15"/>
  <c r="AN197" i="15"/>
  <c r="R261" i="15"/>
  <c r="U261" i="15"/>
  <c r="Y261" i="15"/>
  <c r="AC261" i="15"/>
  <c r="AG261" i="15"/>
  <c r="AK261" i="15"/>
  <c r="AO261" i="15"/>
  <c r="V261" i="15"/>
  <c r="Z261" i="15"/>
  <c r="AD261" i="15"/>
  <c r="AH261" i="15"/>
  <c r="AL261" i="15"/>
  <c r="S261" i="15"/>
  <c r="W261" i="15"/>
  <c r="AA261" i="15"/>
  <c r="AE261" i="15"/>
  <c r="AI261" i="15"/>
  <c r="AM261" i="15"/>
  <c r="T261" i="15"/>
  <c r="X261" i="15"/>
  <c r="AB261" i="15"/>
  <c r="AF261" i="15"/>
  <c r="AJ261" i="15"/>
  <c r="AN261" i="15"/>
  <c r="R304" i="15"/>
  <c r="S304" i="15"/>
  <c r="W304" i="15"/>
  <c r="AA304" i="15"/>
  <c r="AE304" i="15"/>
  <c r="AI304" i="15"/>
  <c r="AM304" i="15"/>
  <c r="T304" i="15"/>
  <c r="X304" i="15"/>
  <c r="AB304" i="15"/>
  <c r="AF304" i="15"/>
  <c r="AJ304" i="15"/>
  <c r="AN304" i="15"/>
  <c r="U304" i="15"/>
  <c r="Y304" i="15"/>
  <c r="AC304" i="15"/>
  <c r="AG304" i="15"/>
  <c r="AK304" i="15"/>
  <c r="AO304" i="15"/>
  <c r="V304" i="15"/>
  <c r="Z304" i="15"/>
  <c r="AD304" i="15"/>
  <c r="AH304" i="15"/>
  <c r="AL304" i="15"/>
  <c r="R325" i="15"/>
  <c r="T325" i="15"/>
  <c r="X325" i="15"/>
  <c r="AB325" i="15"/>
  <c r="AF325" i="15"/>
  <c r="AJ325" i="15"/>
  <c r="AN325" i="15"/>
  <c r="U325" i="15"/>
  <c r="Y325" i="15"/>
  <c r="AC325" i="15"/>
  <c r="AG325" i="15"/>
  <c r="AK325" i="15"/>
  <c r="AO325" i="15"/>
  <c r="V325" i="15"/>
  <c r="Z325" i="15"/>
  <c r="AD325" i="15"/>
  <c r="AH325" i="15"/>
  <c r="AL325" i="15"/>
  <c r="S325" i="15"/>
  <c r="W325" i="15"/>
  <c r="AA325" i="15"/>
  <c r="AE325" i="15"/>
  <c r="AI325" i="15"/>
  <c r="AM325" i="15"/>
  <c r="R346" i="15"/>
  <c r="U346" i="15"/>
  <c r="Y346" i="15"/>
  <c r="AC346" i="15"/>
  <c r="AG346" i="15"/>
  <c r="AK346" i="15"/>
  <c r="AO346" i="15"/>
  <c r="V346" i="15"/>
  <c r="Z346" i="15"/>
  <c r="AD346" i="15"/>
  <c r="AH346" i="15"/>
  <c r="AL346" i="15"/>
  <c r="S346" i="15"/>
  <c r="W346" i="15"/>
  <c r="AA346" i="15"/>
  <c r="AE346" i="15"/>
  <c r="AI346" i="15"/>
  <c r="AM346" i="15"/>
  <c r="T346" i="15"/>
  <c r="X346" i="15"/>
  <c r="AB346" i="15"/>
  <c r="AF346" i="15"/>
  <c r="AJ346" i="15"/>
  <c r="AN346" i="15"/>
  <c r="R294" i="15"/>
  <c r="U294" i="15"/>
  <c r="Y294" i="15"/>
  <c r="AC294" i="15"/>
  <c r="AG294" i="15"/>
  <c r="AK294" i="15"/>
  <c r="AO294" i="15"/>
  <c r="V294" i="15"/>
  <c r="Z294" i="15"/>
  <c r="AD294" i="15"/>
  <c r="AH294" i="15"/>
  <c r="AL294" i="15"/>
  <c r="S294" i="15"/>
  <c r="W294" i="15"/>
  <c r="AA294" i="15"/>
  <c r="AE294" i="15"/>
  <c r="AI294" i="15"/>
  <c r="AM294" i="15"/>
  <c r="T294" i="15"/>
  <c r="X294" i="15"/>
  <c r="AB294" i="15"/>
  <c r="AF294" i="15"/>
  <c r="AJ294" i="15"/>
  <c r="AN294" i="15"/>
  <c r="R31" i="15"/>
  <c r="V31" i="15"/>
  <c r="Z31" i="15"/>
  <c r="AD31" i="15"/>
  <c r="AH31" i="15"/>
  <c r="AL31" i="15"/>
  <c r="W31" i="15"/>
  <c r="AB31" i="15"/>
  <c r="AG31" i="15"/>
  <c r="AM31" i="15"/>
  <c r="S31" i="15"/>
  <c r="Y31" i="15"/>
  <c r="AF31" i="15"/>
  <c r="AN31" i="15"/>
  <c r="T31" i="15"/>
  <c r="AA31" i="15"/>
  <c r="AI31" i="15"/>
  <c r="AO31" i="15"/>
  <c r="U31" i="15"/>
  <c r="AC31" i="15"/>
  <c r="AJ31" i="15"/>
  <c r="AE31" i="15"/>
  <c r="AK31" i="15"/>
  <c r="X31" i="15"/>
  <c r="R51" i="15"/>
  <c r="U51" i="15"/>
  <c r="Y51" i="15"/>
  <c r="AC51" i="15"/>
  <c r="AG51" i="15"/>
  <c r="AK51" i="15"/>
  <c r="AO51" i="15"/>
  <c r="T51" i="15"/>
  <c r="Z51" i="15"/>
  <c r="AE51" i="15"/>
  <c r="AJ51" i="15"/>
  <c r="V51" i="15"/>
  <c r="AA51" i="15"/>
  <c r="AF51" i="15"/>
  <c r="AL51" i="15"/>
  <c r="S51" i="15"/>
  <c r="AD51" i="15"/>
  <c r="AN51" i="15"/>
  <c r="W51" i="15"/>
  <c r="AH51" i="15"/>
  <c r="X51" i="15"/>
  <c r="AI51" i="15"/>
  <c r="AB51" i="15"/>
  <c r="AM51" i="15"/>
  <c r="R83" i="15"/>
  <c r="V83" i="15"/>
  <c r="Z83" i="15"/>
  <c r="AD83" i="15"/>
  <c r="AH83" i="15"/>
  <c r="AL83" i="15"/>
  <c r="W83" i="15"/>
  <c r="AB83" i="15"/>
  <c r="AG83" i="15"/>
  <c r="AM83" i="15"/>
  <c r="S83" i="15"/>
  <c r="X83" i="15"/>
  <c r="AC83" i="15"/>
  <c r="AI83" i="15"/>
  <c r="AN83" i="15"/>
  <c r="T83" i="15"/>
  <c r="Y83" i="15"/>
  <c r="AE83" i="15"/>
  <c r="AJ83" i="15"/>
  <c r="AO83" i="15"/>
  <c r="U83" i="15"/>
  <c r="AA83" i="15"/>
  <c r="AF83" i="15"/>
  <c r="AK83" i="15"/>
  <c r="R131" i="15"/>
  <c r="V131" i="15"/>
  <c r="Z131" i="15"/>
  <c r="AD131" i="15"/>
  <c r="AH131" i="15"/>
  <c r="AL131" i="15"/>
  <c r="S131" i="15"/>
  <c r="W131" i="15"/>
  <c r="AA131" i="15"/>
  <c r="AE131" i="15"/>
  <c r="AI131" i="15"/>
  <c r="AM131" i="15"/>
  <c r="T131" i="15"/>
  <c r="X131" i="15"/>
  <c r="AB131" i="15"/>
  <c r="AF131" i="15"/>
  <c r="AJ131" i="15"/>
  <c r="AN131" i="15"/>
  <c r="U131" i="15"/>
  <c r="Y131" i="15"/>
  <c r="AC131" i="15"/>
  <c r="AG131" i="15"/>
  <c r="AK131" i="15"/>
  <c r="AO131" i="15"/>
  <c r="U38" i="15"/>
  <c r="Y38" i="15"/>
  <c r="AC38" i="15"/>
  <c r="AG38" i="15"/>
  <c r="AK38" i="15"/>
  <c r="AO38" i="15"/>
  <c r="V38" i="15"/>
  <c r="AA38" i="15"/>
  <c r="AF38" i="15"/>
  <c r="AL38" i="15"/>
  <c r="T38" i="15"/>
  <c r="AB38" i="15"/>
  <c r="AI38" i="15"/>
  <c r="R38" i="15"/>
  <c r="W38" i="15"/>
  <c r="AD38" i="15"/>
  <c r="AJ38" i="15"/>
  <c r="AE38" i="15"/>
  <c r="S38" i="15"/>
  <c r="AH38" i="15"/>
  <c r="X38" i="15"/>
  <c r="AM38" i="15"/>
  <c r="Z38" i="15"/>
  <c r="AN38" i="15"/>
  <c r="R177" i="15"/>
  <c r="U177" i="15"/>
  <c r="Y177" i="15"/>
  <c r="AC177" i="15"/>
  <c r="AG177" i="15"/>
  <c r="AK177" i="15"/>
  <c r="AO177" i="15"/>
  <c r="V177" i="15"/>
  <c r="Z177" i="15"/>
  <c r="AD177" i="15"/>
  <c r="AH177" i="15"/>
  <c r="AL177" i="15"/>
  <c r="S177" i="15"/>
  <c r="W177" i="15"/>
  <c r="AA177" i="15"/>
  <c r="AE177" i="15"/>
  <c r="AI177" i="15"/>
  <c r="AM177" i="15"/>
  <c r="T177" i="15"/>
  <c r="X177" i="15"/>
  <c r="AB177" i="15"/>
  <c r="AF177" i="15"/>
  <c r="AJ177" i="15"/>
  <c r="AN177" i="15"/>
  <c r="R252" i="15"/>
  <c r="T252" i="15"/>
  <c r="X252" i="15"/>
  <c r="AB252" i="15"/>
  <c r="AF252" i="15"/>
  <c r="AJ252" i="15"/>
  <c r="AN252" i="15"/>
  <c r="U252" i="15"/>
  <c r="Y252" i="15"/>
  <c r="AC252" i="15"/>
  <c r="AG252" i="15"/>
  <c r="AK252" i="15"/>
  <c r="AO252" i="15"/>
  <c r="V252" i="15"/>
  <c r="Z252" i="15"/>
  <c r="AD252" i="15"/>
  <c r="AH252" i="15"/>
  <c r="AL252" i="15"/>
  <c r="S252" i="15"/>
  <c r="W252" i="15"/>
  <c r="AA252" i="15"/>
  <c r="AE252" i="15"/>
  <c r="AI252" i="15"/>
  <c r="AM252" i="15"/>
  <c r="R161" i="15"/>
  <c r="T161" i="15"/>
  <c r="X161" i="15"/>
  <c r="AB161" i="15"/>
  <c r="AF161" i="15"/>
  <c r="AJ161" i="15"/>
  <c r="AN161" i="15"/>
  <c r="U161" i="15"/>
  <c r="Y161" i="15"/>
  <c r="AC161" i="15"/>
  <c r="V161" i="15"/>
  <c r="Z161" i="15"/>
  <c r="AD161" i="15"/>
  <c r="AH161" i="15"/>
  <c r="AL161" i="15"/>
  <c r="S161" i="15"/>
  <c r="W161" i="15"/>
  <c r="AA161" i="15"/>
  <c r="AE161" i="15"/>
  <c r="AI161" i="15"/>
  <c r="AM161" i="15"/>
  <c r="AK161" i="15"/>
  <c r="AO161" i="15"/>
  <c r="AG161" i="15"/>
  <c r="R241" i="15"/>
  <c r="U241" i="15"/>
  <c r="Y241" i="15"/>
  <c r="AC241" i="15"/>
  <c r="AG241" i="15"/>
  <c r="AK241" i="15"/>
  <c r="AO241" i="15"/>
  <c r="V241" i="15"/>
  <c r="Z241" i="15"/>
  <c r="AD241" i="15"/>
  <c r="AH241" i="15"/>
  <c r="AL241" i="15"/>
  <c r="S241" i="15"/>
  <c r="W241" i="15"/>
  <c r="AA241" i="15"/>
  <c r="AE241" i="15"/>
  <c r="AI241" i="15"/>
  <c r="AM241" i="15"/>
  <c r="T241" i="15"/>
  <c r="X241" i="15"/>
  <c r="AB241" i="15"/>
  <c r="AF241" i="15"/>
  <c r="AJ241" i="15"/>
  <c r="AN241" i="15"/>
  <c r="R305" i="15"/>
  <c r="T305" i="15"/>
  <c r="X305" i="15"/>
  <c r="AB305" i="15"/>
  <c r="AF305" i="15"/>
  <c r="AJ305" i="15"/>
  <c r="AN305" i="15"/>
  <c r="U305" i="15"/>
  <c r="Y305" i="15"/>
  <c r="AC305" i="15"/>
  <c r="AG305" i="15"/>
  <c r="AK305" i="15"/>
  <c r="AO305" i="15"/>
  <c r="V305" i="15"/>
  <c r="Z305" i="15"/>
  <c r="AD305" i="15"/>
  <c r="AH305" i="15"/>
  <c r="AL305" i="15"/>
  <c r="S305" i="15"/>
  <c r="W305" i="15"/>
  <c r="AA305" i="15"/>
  <c r="AE305" i="15"/>
  <c r="AI305" i="15"/>
  <c r="AM305" i="15"/>
  <c r="R86" i="15"/>
  <c r="U86" i="15"/>
  <c r="Y86" i="15"/>
  <c r="AC86" i="15"/>
  <c r="AG86" i="15"/>
  <c r="AK86" i="15"/>
  <c r="AO86" i="15"/>
  <c r="T86" i="15"/>
  <c r="Z86" i="15"/>
  <c r="AE86" i="15"/>
  <c r="AJ86" i="15"/>
  <c r="V86" i="15"/>
  <c r="AA86" i="15"/>
  <c r="AF86" i="15"/>
  <c r="AL86" i="15"/>
  <c r="W86" i="15"/>
  <c r="AB86" i="15"/>
  <c r="AH86" i="15"/>
  <c r="AM86" i="15"/>
  <c r="S86" i="15"/>
  <c r="X86" i="15"/>
  <c r="AD86" i="15"/>
  <c r="AI86" i="15"/>
  <c r="AN86" i="15"/>
  <c r="R198" i="15"/>
  <c r="V198" i="15"/>
  <c r="Z198" i="15"/>
  <c r="AD198" i="15"/>
  <c r="AH198" i="15"/>
  <c r="AL198" i="15"/>
  <c r="S198" i="15"/>
  <c r="W198" i="15"/>
  <c r="AA198" i="15"/>
  <c r="AE198" i="15"/>
  <c r="AI198" i="15"/>
  <c r="AM198" i="15"/>
  <c r="T198" i="15"/>
  <c r="X198" i="15"/>
  <c r="AB198" i="15"/>
  <c r="AF198" i="15"/>
  <c r="AJ198" i="15"/>
  <c r="AN198" i="15"/>
  <c r="U198" i="15"/>
  <c r="Y198" i="15"/>
  <c r="AC198" i="15"/>
  <c r="AG198" i="15"/>
  <c r="AK198" i="15"/>
  <c r="AO198" i="15"/>
  <c r="R272" i="15"/>
  <c r="T272" i="15"/>
  <c r="X272" i="15"/>
  <c r="AB272" i="15"/>
  <c r="AF272" i="15"/>
  <c r="AJ272" i="15"/>
  <c r="AN272" i="15"/>
  <c r="U272" i="15"/>
  <c r="Y272" i="15"/>
  <c r="AC272" i="15"/>
  <c r="AG272" i="15"/>
  <c r="AK272" i="15"/>
  <c r="AO272" i="15"/>
  <c r="V272" i="15"/>
  <c r="Z272" i="15"/>
  <c r="AD272" i="15"/>
  <c r="AH272" i="15"/>
  <c r="AL272" i="15"/>
  <c r="S272" i="15"/>
  <c r="W272" i="15"/>
  <c r="AA272" i="15"/>
  <c r="AE272" i="15"/>
  <c r="AI272" i="15"/>
  <c r="AM272" i="15"/>
  <c r="S24" i="15"/>
  <c r="W24" i="15"/>
  <c r="AA24" i="15"/>
  <c r="AE24" i="15"/>
  <c r="AI24" i="15"/>
  <c r="AM24" i="15"/>
  <c r="R24" i="15"/>
  <c r="X24" i="15"/>
  <c r="AC24" i="15"/>
  <c r="AH24" i="15"/>
  <c r="AN24" i="15"/>
  <c r="V24" i="15"/>
  <c r="AD24" i="15"/>
  <c r="AK24" i="15"/>
  <c r="Y24" i="15"/>
  <c r="AF24" i="15"/>
  <c r="AL24" i="15"/>
  <c r="T24" i="15"/>
  <c r="Z24" i="15"/>
  <c r="AG24" i="15"/>
  <c r="AO24" i="15"/>
  <c r="U24" i="15"/>
  <c r="AB24" i="15"/>
  <c r="AJ24" i="15"/>
  <c r="U50" i="15"/>
  <c r="Y50" i="15"/>
  <c r="AC50" i="15"/>
  <c r="AG50" i="15"/>
  <c r="R50" i="15"/>
  <c r="T50" i="15"/>
  <c r="Z50" i="15"/>
  <c r="AE50" i="15"/>
  <c r="AJ50" i="15"/>
  <c r="AN50" i="15"/>
  <c r="X50" i="15"/>
  <c r="AF50" i="15"/>
  <c r="AL50" i="15"/>
  <c r="S50" i="15"/>
  <c r="AA50" i="15"/>
  <c r="AH50" i="15"/>
  <c r="AM50" i="15"/>
  <c r="AD50" i="15"/>
  <c r="V50" i="15"/>
  <c r="AI50" i="15"/>
  <c r="W50" i="15"/>
  <c r="AK50" i="15"/>
  <c r="AB50" i="15"/>
  <c r="AO50" i="15"/>
  <c r="R72" i="15"/>
  <c r="S72" i="15"/>
  <c r="W72" i="15"/>
  <c r="AA72" i="15"/>
  <c r="AE72" i="15"/>
  <c r="AI72" i="15"/>
  <c r="AM72" i="15"/>
  <c r="U72" i="15"/>
  <c r="Z72" i="15"/>
  <c r="AF72" i="15"/>
  <c r="AK72" i="15"/>
  <c r="V72" i="15"/>
  <c r="AB72" i="15"/>
  <c r="AG72" i="15"/>
  <c r="AL72" i="15"/>
  <c r="X72" i="15"/>
  <c r="AC72" i="15"/>
  <c r="AH72" i="15"/>
  <c r="AN72" i="15"/>
  <c r="T72" i="15"/>
  <c r="Y72" i="15"/>
  <c r="AD72" i="15"/>
  <c r="AJ72" i="15"/>
  <c r="AO72" i="15"/>
  <c r="R98" i="15"/>
  <c r="U98" i="15"/>
  <c r="Y98" i="15"/>
  <c r="AC98" i="15"/>
  <c r="AG98" i="15"/>
  <c r="AK98" i="15"/>
  <c r="AO98" i="15"/>
  <c r="W98" i="15"/>
  <c r="AB98" i="15"/>
  <c r="AH98" i="15"/>
  <c r="AM98" i="15"/>
  <c r="S98" i="15"/>
  <c r="X98" i="15"/>
  <c r="AD98" i="15"/>
  <c r="AI98" i="15"/>
  <c r="AN98" i="15"/>
  <c r="T98" i="15"/>
  <c r="Z98" i="15"/>
  <c r="AE98" i="15"/>
  <c r="AJ98" i="15"/>
  <c r="V98" i="15"/>
  <c r="AA98" i="15"/>
  <c r="AF98" i="15"/>
  <c r="AL98" i="15"/>
  <c r="R124" i="15"/>
  <c r="S124" i="15"/>
  <c r="W124" i="15"/>
  <c r="AA124" i="15"/>
  <c r="AE124" i="15"/>
  <c r="AI124" i="15"/>
  <c r="AM124" i="15"/>
  <c r="T124" i="15"/>
  <c r="X124" i="15"/>
  <c r="AB124" i="15"/>
  <c r="AF124" i="15"/>
  <c r="AJ124" i="15"/>
  <c r="AN124" i="15"/>
  <c r="U124" i="15"/>
  <c r="Y124" i="15"/>
  <c r="AC124" i="15"/>
  <c r="AG124" i="15"/>
  <c r="AK124" i="15"/>
  <c r="AO124" i="15"/>
  <c r="V124" i="15"/>
  <c r="Z124" i="15"/>
  <c r="AD124" i="15"/>
  <c r="AH124" i="15"/>
  <c r="AL124" i="15"/>
  <c r="R152" i="15"/>
  <c r="S152" i="15"/>
  <c r="W152" i="15"/>
  <c r="AA152" i="15"/>
  <c r="AE152" i="15"/>
  <c r="AI152" i="15"/>
  <c r="AM152" i="15"/>
  <c r="T152" i="15"/>
  <c r="X152" i="15"/>
  <c r="AB152" i="15"/>
  <c r="AF152" i="15"/>
  <c r="AJ152" i="15"/>
  <c r="AN152" i="15"/>
  <c r="U152" i="15"/>
  <c r="Y152" i="15"/>
  <c r="AC152" i="15"/>
  <c r="AG152" i="15"/>
  <c r="AK152" i="15"/>
  <c r="AO152" i="15"/>
  <c r="V152" i="15"/>
  <c r="Z152" i="15"/>
  <c r="AD152" i="15"/>
  <c r="AH152" i="15"/>
  <c r="AL152" i="15"/>
  <c r="R276" i="15"/>
  <c r="T276" i="15"/>
  <c r="X276" i="15"/>
  <c r="AB276" i="15"/>
  <c r="AF276" i="15"/>
  <c r="AJ276" i="15"/>
  <c r="AN276" i="15"/>
  <c r="U276" i="15"/>
  <c r="Y276" i="15"/>
  <c r="AC276" i="15"/>
  <c r="AG276" i="15"/>
  <c r="AK276" i="15"/>
  <c r="AO276" i="15"/>
  <c r="V276" i="15"/>
  <c r="Z276" i="15"/>
  <c r="AD276" i="15"/>
  <c r="AH276" i="15"/>
  <c r="AL276" i="15"/>
  <c r="S276" i="15"/>
  <c r="W276" i="15"/>
  <c r="AA276" i="15"/>
  <c r="AE276" i="15"/>
  <c r="AI276" i="15"/>
  <c r="AM276" i="15"/>
  <c r="R162" i="15"/>
  <c r="U162" i="15"/>
  <c r="Y162" i="15"/>
  <c r="AC162" i="15"/>
  <c r="AG162" i="15"/>
  <c r="AK162" i="15"/>
  <c r="AO162" i="15"/>
  <c r="S162" i="15"/>
  <c r="W162" i="15"/>
  <c r="AA162" i="15"/>
  <c r="AE162" i="15"/>
  <c r="AI162" i="15"/>
  <c r="AM162" i="15"/>
  <c r="T162" i="15"/>
  <c r="X162" i="15"/>
  <c r="AB162" i="15"/>
  <c r="AF162" i="15"/>
  <c r="AD162" i="15"/>
  <c r="AN162" i="15"/>
  <c r="AH162" i="15"/>
  <c r="V162" i="15"/>
  <c r="AJ162" i="15"/>
  <c r="Z162" i="15"/>
  <c r="AL162" i="15"/>
  <c r="R182" i="15"/>
  <c r="V182" i="15"/>
  <c r="Z182" i="15"/>
  <c r="AD182" i="15"/>
  <c r="AH182" i="15"/>
  <c r="AL182" i="15"/>
  <c r="S182" i="15"/>
  <c r="W182" i="15"/>
  <c r="AA182" i="15"/>
  <c r="AE182" i="15"/>
  <c r="AI182" i="15"/>
  <c r="AM182" i="15"/>
  <c r="T182" i="15"/>
  <c r="X182" i="15"/>
  <c r="AB182" i="15"/>
  <c r="AF182" i="15"/>
  <c r="AJ182" i="15"/>
  <c r="AN182" i="15"/>
  <c r="U182" i="15"/>
  <c r="Y182" i="15"/>
  <c r="AC182" i="15"/>
  <c r="AG182" i="15"/>
  <c r="AK182" i="15"/>
  <c r="AO182" i="15"/>
  <c r="R192" i="15"/>
  <c r="T192" i="15"/>
  <c r="X192" i="15"/>
  <c r="AB192" i="15"/>
  <c r="AF192" i="15"/>
  <c r="AJ192" i="15"/>
  <c r="AN192" i="15"/>
  <c r="U192" i="15"/>
  <c r="Y192" i="15"/>
  <c r="AC192" i="15"/>
  <c r="AG192" i="15"/>
  <c r="AK192" i="15"/>
  <c r="AO192" i="15"/>
  <c r="V192" i="15"/>
  <c r="Z192" i="15"/>
  <c r="AD192" i="15"/>
  <c r="AH192" i="15"/>
  <c r="AL192" i="15"/>
  <c r="S192" i="15"/>
  <c r="W192" i="15"/>
  <c r="AA192" i="15"/>
  <c r="AE192" i="15"/>
  <c r="AI192" i="15"/>
  <c r="AM192" i="15"/>
  <c r="R218" i="15"/>
  <c r="V218" i="15"/>
  <c r="Z218" i="15"/>
  <c r="AD218" i="15"/>
  <c r="AH218" i="15"/>
  <c r="AL218" i="15"/>
  <c r="S218" i="15"/>
  <c r="W218" i="15"/>
  <c r="AA218" i="15"/>
  <c r="AE218" i="15"/>
  <c r="AI218" i="15"/>
  <c r="AM218" i="15"/>
  <c r="T218" i="15"/>
  <c r="X218" i="15"/>
  <c r="AB218" i="15"/>
  <c r="AF218" i="15"/>
  <c r="AJ218" i="15"/>
  <c r="AN218" i="15"/>
  <c r="U218" i="15"/>
  <c r="Y218" i="15"/>
  <c r="AC218" i="15"/>
  <c r="AG218" i="15"/>
  <c r="AK218" i="15"/>
  <c r="AO218" i="15"/>
  <c r="R228" i="15"/>
  <c r="T228" i="15"/>
  <c r="X228" i="15"/>
  <c r="AB228" i="15"/>
  <c r="AF228" i="15"/>
  <c r="AJ228" i="15"/>
  <c r="AN228" i="15"/>
  <c r="U228" i="15"/>
  <c r="Y228" i="15"/>
  <c r="AC228" i="15"/>
  <c r="AG228" i="15"/>
  <c r="AK228" i="15"/>
  <c r="AO228" i="15"/>
  <c r="V228" i="15"/>
  <c r="Z228" i="15"/>
  <c r="AD228" i="15"/>
  <c r="AH228" i="15"/>
  <c r="AL228" i="15"/>
  <c r="S228" i="15"/>
  <c r="W228" i="15"/>
  <c r="AA228" i="15"/>
  <c r="AE228" i="15"/>
  <c r="AI228" i="15"/>
  <c r="AM228" i="15"/>
  <c r="R240" i="15"/>
  <c r="T240" i="15"/>
  <c r="X240" i="15"/>
  <c r="AB240" i="15"/>
  <c r="AF240" i="15"/>
  <c r="AJ240" i="15"/>
  <c r="AN240" i="15"/>
  <c r="U240" i="15"/>
  <c r="Y240" i="15"/>
  <c r="AC240" i="15"/>
  <c r="AG240" i="15"/>
  <c r="AK240" i="15"/>
  <c r="AO240" i="15"/>
  <c r="V240" i="15"/>
  <c r="Z240" i="15"/>
  <c r="AD240" i="15"/>
  <c r="AH240" i="15"/>
  <c r="AL240" i="15"/>
  <c r="S240" i="15"/>
  <c r="W240" i="15"/>
  <c r="AA240" i="15"/>
  <c r="AE240" i="15"/>
  <c r="AI240" i="15"/>
  <c r="AM240" i="15"/>
  <c r="R250" i="15"/>
  <c r="V250" i="15"/>
  <c r="Z250" i="15"/>
  <c r="AD250" i="15"/>
  <c r="AH250" i="15"/>
  <c r="AL250" i="15"/>
  <c r="S250" i="15"/>
  <c r="W250" i="15"/>
  <c r="AA250" i="15"/>
  <c r="AE250" i="15"/>
  <c r="AI250" i="15"/>
  <c r="AM250" i="15"/>
  <c r="T250" i="15"/>
  <c r="X250" i="15"/>
  <c r="AB250" i="15"/>
  <c r="AF250" i="15"/>
  <c r="AJ250" i="15"/>
  <c r="AN250" i="15"/>
  <c r="U250" i="15"/>
  <c r="Y250" i="15"/>
  <c r="AC250" i="15"/>
  <c r="AG250" i="15"/>
  <c r="AK250" i="15"/>
  <c r="AO250" i="15"/>
  <c r="R280" i="15"/>
  <c r="T280" i="15"/>
  <c r="X280" i="15"/>
  <c r="AB280" i="15"/>
  <c r="AF280" i="15"/>
  <c r="AJ280" i="15"/>
  <c r="AN280" i="15"/>
  <c r="U280" i="15"/>
  <c r="Y280" i="15"/>
  <c r="AC280" i="15"/>
  <c r="AG280" i="15"/>
  <c r="AK280" i="15"/>
  <c r="AO280" i="15"/>
  <c r="V280" i="15"/>
  <c r="Z280" i="15"/>
  <c r="AD280" i="15"/>
  <c r="AH280" i="15"/>
  <c r="AL280" i="15"/>
  <c r="S280" i="15"/>
  <c r="W280" i="15"/>
  <c r="AA280" i="15"/>
  <c r="AE280" i="15"/>
  <c r="AI280" i="15"/>
  <c r="AM280" i="15"/>
  <c r="U22" i="15"/>
  <c r="Y22" i="15"/>
  <c r="AC22" i="15"/>
  <c r="AG22" i="15"/>
  <c r="AK22" i="15"/>
  <c r="AO22" i="15"/>
  <c r="V22" i="15"/>
  <c r="AA22" i="15"/>
  <c r="AF22" i="15"/>
  <c r="AL22" i="15"/>
  <c r="R22" i="15"/>
  <c r="S22" i="15"/>
  <c r="Z22" i="15"/>
  <c r="AH22" i="15"/>
  <c r="AN22" i="15"/>
  <c r="T22" i="15"/>
  <c r="AB22" i="15"/>
  <c r="AI22" i="15"/>
  <c r="W22" i="15"/>
  <c r="AD22" i="15"/>
  <c r="AJ22" i="15"/>
  <c r="AM22" i="15"/>
  <c r="X22" i="15"/>
  <c r="AE22" i="15"/>
  <c r="R56" i="15"/>
  <c r="V56" i="15"/>
  <c r="Z56" i="15"/>
  <c r="AD56" i="15"/>
  <c r="AH56" i="15"/>
  <c r="AL56" i="15"/>
  <c r="W56" i="15"/>
  <c r="AB56" i="15"/>
  <c r="AG56" i="15"/>
  <c r="AM56" i="15"/>
  <c r="S56" i="15"/>
  <c r="X56" i="15"/>
  <c r="AC56" i="15"/>
  <c r="AI56" i="15"/>
  <c r="AN56" i="15"/>
  <c r="U56" i="15"/>
  <c r="AF56" i="15"/>
  <c r="Y56" i="15"/>
  <c r="AJ56" i="15"/>
  <c r="AA56" i="15"/>
  <c r="AK56" i="15"/>
  <c r="T56" i="15"/>
  <c r="AE56" i="15"/>
  <c r="AO56" i="15"/>
  <c r="R170" i="15"/>
  <c r="V170" i="15"/>
  <c r="Z170" i="15"/>
  <c r="AD170" i="15"/>
  <c r="AH170" i="15"/>
  <c r="AL170" i="15"/>
  <c r="S170" i="15"/>
  <c r="W170" i="15"/>
  <c r="AA170" i="15"/>
  <c r="AE170" i="15"/>
  <c r="AI170" i="15"/>
  <c r="AM170" i="15"/>
  <c r="T170" i="15"/>
  <c r="X170" i="15"/>
  <c r="AB170" i="15"/>
  <c r="AF170" i="15"/>
  <c r="AJ170" i="15"/>
  <c r="AN170" i="15"/>
  <c r="U170" i="15"/>
  <c r="Y170" i="15"/>
  <c r="AC170" i="15"/>
  <c r="AG170" i="15"/>
  <c r="AK170" i="15"/>
  <c r="AO170" i="15"/>
  <c r="R244" i="15"/>
  <c r="T244" i="15"/>
  <c r="X244" i="15"/>
  <c r="AB244" i="15"/>
  <c r="AF244" i="15"/>
  <c r="AJ244" i="15"/>
  <c r="AN244" i="15"/>
  <c r="U244" i="15"/>
  <c r="Y244" i="15"/>
  <c r="AC244" i="15"/>
  <c r="AG244" i="15"/>
  <c r="AK244" i="15"/>
  <c r="AO244" i="15"/>
  <c r="V244" i="15"/>
  <c r="Z244" i="15"/>
  <c r="AD244" i="15"/>
  <c r="AH244" i="15"/>
  <c r="AL244" i="15"/>
  <c r="S244" i="15"/>
  <c r="W244" i="15"/>
  <c r="AA244" i="15"/>
  <c r="AE244" i="15"/>
  <c r="AI244" i="15"/>
  <c r="AM244" i="15"/>
  <c r="R205" i="15"/>
  <c r="U205" i="15"/>
  <c r="Y205" i="15"/>
  <c r="AC205" i="15"/>
  <c r="AG205" i="15"/>
  <c r="AK205" i="15"/>
  <c r="AO205" i="15"/>
  <c r="V205" i="15"/>
  <c r="Z205" i="15"/>
  <c r="AD205" i="15"/>
  <c r="AH205" i="15"/>
  <c r="AL205" i="15"/>
  <c r="S205" i="15"/>
  <c r="W205" i="15"/>
  <c r="AA205" i="15"/>
  <c r="AE205" i="15"/>
  <c r="AI205" i="15"/>
  <c r="AM205" i="15"/>
  <c r="T205" i="15"/>
  <c r="X205" i="15"/>
  <c r="AB205" i="15"/>
  <c r="AF205" i="15"/>
  <c r="AJ205" i="15"/>
  <c r="AN205" i="15"/>
  <c r="R207" i="15"/>
  <c r="S207" i="15"/>
  <c r="W207" i="15"/>
  <c r="AA207" i="15"/>
  <c r="AE207" i="15"/>
  <c r="AI207" i="15"/>
  <c r="AM207" i="15"/>
  <c r="T207" i="15"/>
  <c r="X207" i="15"/>
  <c r="AB207" i="15"/>
  <c r="AF207" i="15"/>
  <c r="AJ207" i="15"/>
  <c r="AN207" i="15"/>
  <c r="U207" i="15"/>
  <c r="Y207" i="15"/>
  <c r="AC207" i="15"/>
  <c r="AG207" i="15"/>
  <c r="AK207" i="15"/>
  <c r="AO207" i="15"/>
  <c r="V207" i="15"/>
  <c r="Z207" i="15"/>
  <c r="AD207" i="15"/>
  <c r="AH207" i="15"/>
  <c r="AL207" i="15"/>
  <c r="R271" i="15"/>
  <c r="S271" i="15"/>
  <c r="W271" i="15"/>
  <c r="AA271" i="15"/>
  <c r="AE271" i="15"/>
  <c r="AI271" i="15"/>
  <c r="AM271" i="15"/>
  <c r="T271" i="15"/>
  <c r="X271" i="15"/>
  <c r="AB271" i="15"/>
  <c r="AF271" i="15"/>
  <c r="AJ271" i="15"/>
  <c r="AN271" i="15"/>
  <c r="U271" i="15"/>
  <c r="Y271" i="15"/>
  <c r="AC271" i="15"/>
  <c r="AG271" i="15"/>
  <c r="AK271" i="15"/>
  <c r="AO271" i="15"/>
  <c r="V271" i="15"/>
  <c r="Z271" i="15"/>
  <c r="AD271" i="15"/>
  <c r="AH271" i="15"/>
  <c r="AL271" i="15"/>
  <c r="R332" i="15"/>
  <c r="S332" i="15"/>
  <c r="W332" i="15"/>
  <c r="AA332" i="15"/>
  <c r="AE332" i="15"/>
  <c r="AI332" i="15"/>
  <c r="AM332" i="15"/>
  <c r="T332" i="15"/>
  <c r="X332" i="15"/>
  <c r="AB332" i="15"/>
  <c r="AF332" i="15"/>
  <c r="AJ332" i="15"/>
  <c r="AN332" i="15"/>
  <c r="U332" i="15"/>
  <c r="Y332" i="15"/>
  <c r="AC332" i="15"/>
  <c r="AG332" i="15"/>
  <c r="AK332" i="15"/>
  <c r="AO332" i="15"/>
  <c r="V332" i="15"/>
  <c r="Z332" i="15"/>
  <c r="AD332" i="15"/>
  <c r="AH332" i="15"/>
  <c r="AL332" i="15"/>
  <c r="T62" i="15"/>
  <c r="X62" i="15"/>
  <c r="AB62" i="15"/>
  <c r="AF62" i="15"/>
  <c r="AJ62" i="15"/>
  <c r="AN62" i="15"/>
  <c r="W62" i="15"/>
  <c r="AC62" i="15"/>
  <c r="AH62" i="15"/>
  <c r="AM62" i="15"/>
  <c r="S62" i="15"/>
  <c r="Y62" i="15"/>
  <c r="AD62" i="15"/>
  <c r="AI62" i="15"/>
  <c r="AO62" i="15"/>
  <c r="R62" i="15"/>
  <c r="V62" i="15"/>
  <c r="AG62" i="15"/>
  <c r="Z62" i="15"/>
  <c r="AK62" i="15"/>
  <c r="AA62" i="15"/>
  <c r="AL62" i="15"/>
  <c r="U62" i="15"/>
  <c r="AE62" i="15"/>
  <c r="R105" i="15"/>
  <c r="T105" i="15"/>
  <c r="X105" i="15"/>
  <c r="AB105" i="15"/>
  <c r="AF105" i="15"/>
  <c r="AJ105" i="15"/>
  <c r="AN105" i="15"/>
  <c r="U105" i="15"/>
  <c r="Y105" i="15"/>
  <c r="AC105" i="15"/>
  <c r="AG105" i="15"/>
  <c r="AK105" i="15"/>
  <c r="AO105" i="15"/>
  <c r="V105" i="15"/>
  <c r="Z105" i="15"/>
  <c r="AD105" i="15"/>
  <c r="AH105" i="15"/>
  <c r="AL105" i="15"/>
  <c r="S105" i="15"/>
  <c r="W105" i="15"/>
  <c r="AA105" i="15"/>
  <c r="AE105" i="15"/>
  <c r="AI105" i="15"/>
  <c r="AM105" i="15"/>
  <c r="R126" i="15"/>
  <c r="U126" i="15"/>
  <c r="Y126" i="15"/>
  <c r="AC126" i="15"/>
  <c r="AG126" i="15"/>
  <c r="AK126" i="15"/>
  <c r="AO126" i="15"/>
  <c r="V126" i="15"/>
  <c r="Z126" i="15"/>
  <c r="AD126" i="15"/>
  <c r="AH126" i="15"/>
  <c r="AL126" i="15"/>
  <c r="S126" i="15"/>
  <c r="W126" i="15"/>
  <c r="AA126" i="15"/>
  <c r="AE126" i="15"/>
  <c r="AI126" i="15"/>
  <c r="AM126" i="15"/>
  <c r="T126" i="15"/>
  <c r="X126" i="15"/>
  <c r="AB126" i="15"/>
  <c r="AF126" i="15"/>
  <c r="AJ126" i="15"/>
  <c r="AN126" i="15"/>
  <c r="R148" i="15"/>
  <c r="S148" i="15"/>
  <c r="W148" i="15"/>
  <c r="AA148" i="15"/>
  <c r="AE148" i="15"/>
  <c r="AI148" i="15"/>
  <c r="AM148" i="15"/>
  <c r="T148" i="15"/>
  <c r="X148" i="15"/>
  <c r="AB148" i="15"/>
  <c r="AF148" i="15"/>
  <c r="AJ148" i="15"/>
  <c r="AN148" i="15"/>
  <c r="U148" i="15"/>
  <c r="Y148" i="15"/>
  <c r="AC148" i="15"/>
  <c r="AG148" i="15"/>
  <c r="AK148" i="15"/>
  <c r="AO148" i="15"/>
  <c r="V148" i="15"/>
  <c r="Z148" i="15"/>
  <c r="AD148" i="15"/>
  <c r="AH148" i="15"/>
  <c r="AL148" i="15"/>
  <c r="R201" i="15"/>
  <c r="U201" i="15"/>
  <c r="Y201" i="15"/>
  <c r="AC201" i="15"/>
  <c r="AG201" i="15"/>
  <c r="AK201" i="15"/>
  <c r="AO201" i="15"/>
  <c r="V201" i="15"/>
  <c r="Z201" i="15"/>
  <c r="AD201" i="15"/>
  <c r="AH201" i="15"/>
  <c r="AL201" i="15"/>
  <c r="S201" i="15"/>
  <c r="W201" i="15"/>
  <c r="AA201" i="15"/>
  <c r="AE201" i="15"/>
  <c r="AI201" i="15"/>
  <c r="AM201" i="15"/>
  <c r="T201" i="15"/>
  <c r="X201" i="15"/>
  <c r="AB201" i="15"/>
  <c r="AF201" i="15"/>
  <c r="AJ201" i="15"/>
  <c r="AN201" i="15"/>
  <c r="R265" i="15"/>
  <c r="U265" i="15"/>
  <c r="Y265" i="15"/>
  <c r="AC265" i="15"/>
  <c r="AG265" i="15"/>
  <c r="AK265" i="15"/>
  <c r="AO265" i="15"/>
  <c r="V265" i="15"/>
  <c r="Z265" i="15"/>
  <c r="AD265" i="15"/>
  <c r="AH265" i="15"/>
  <c r="AL265" i="15"/>
  <c r="S265" i="15"/>
  <c r="W265" i="15"/>
  <c r="AA265" i="15"/>
  <c r="AE265" i="15"/>
  <c r="AI265" i="15"/>
  <c r="AM265" i="15"/>
  <c r="T265" i="15"/>
  <c r="X265" i="15"/>
  <c r="AB265" i="15"/>
  <c r="AF265" i="15"/>
  <c r="AJ265" i="15"/>
  <c r="AN265" i="15"/>
  <c r="R302" i="15"/>
  <c r="U302" i="15"/>
  <c r="Y302" i="15"/>
  <c r="AC302" i="15"/>
  <c r="AG302" i="15"/>
  <c r="AK302" i="15"/>
  <c r="AO302" i="15"/>
  <c r="V302" i="15"/>
  <c r="Z302" i="15"/>
  <c r="AD302" i="15"/>
  <c r="AH302" i="15"/>
  <c r="AL302" i="15"/>
  <c r="S302" i="15"/>
  <c r="W302" i="15"/>
  <c r="AA302" i="15"/>
  <c r="AE302" i="15"/>
  <c r="AI302" i="15"/>
  <c r="AM302" i="15"/>
  <c r="T302" i="15"/>
  <c r="X302" i="15"/>
  <c r="AB302" i="15"/>
  <c r="AF302" i="15"/>
  <c r="AJ302" i="15"/>
  <c r="AN302" i="15"/>
  <c r="R324" i="15"/>
  <c r="S324" i="15"/>
  <c r="W324" i="15"/>
  <c r="AA324" i="15"/>
  <c r="AE324" i="15"/>
  <c r="AI324" i="15"/>
  <c r="AM324" i="15"/>
  <c r="T324" i="15"/>
  <c r="X324" i="15"/>
  <c r="AB324" i="15"/>
  <c r="AF324" i="15"/>
  <c r="AJ324" i="15"/>
  <c r="AN324" i="15"/>
  <c r="U324" i="15"/>
  <c r="Y324" i="15"/>
  <c r="AC324" i="15"/>
  <c r="AG324" i="15"/>
  <c r="AK324" i="15"/>
  <c r="AO324" i="15"/>
  <c r="V324" i="15"/>
  <c r="Z324" i="15"/>
  <c r="AD324" i="15"/>
  <c r="AH324" i="15"/>
  <c r="AL324" i="15"/>
  <c r="R345" i="15"/>
  <c r="T345" i="15"/>
  <c r="X345" i="15"/>
  <c r="AB345" i="15"/>
  <c r="AF345" i="15"/>
  <c r="AJ345" i="15"/>
  <c r="AN345" i="15"/>
  <c r="U345" i="15"/>
  <c r="Y345" i="15"/>
  <c r="AC345" i="15"/>
  <c r="AG345" i="15"/>
  <c r="AK345" i="15"/>
  <c r="AO345" i="15"/>
  <c r="V345" i="15"/>
  <c r="Z345" i="15"/>
  <c r="AD345" i="15"/>
  <c r="AH345" i="15"/>
  <c r="AL345" i="15"/>
  <c r="S345" i="15"/>
  <c r="W345" i="15"/>
  <c r="AA345" i="15"/>
  <c r="AE345" i="15"/>
  <c r="AI345" i="15"/>
  <c r="AM345" i="15"/>
  <c r="R307" i="15"/>
  <c r="V307" i="15"/>
  <c r="Z307" i="15"/>
  <c r="AD307" i="15"/>
  <c r="AH307" i="15"/>
  <c r="AL307" i="15"/>
  <c r="S307" i="15"/>
  <c r="W307" i="15"/>
  <c r="AA307" i="15"/>
  <c r="AE307" i="15"/>
  <c r="AI307" i="15"/>
  <c r="AM307" i="15"/>
  <c r="T307" i="15"/>
  <c r="X307" i="15"/>
  <c r="AB307" i="15"/>
  <c r="AF307" i="15"/>
  <c r="AJ307" i="15"/>
  <c r="AN307" i="15"/>
  <c r="U307" i="15"/>
  <c r="Y307" i="15"/>
  <c r="AC307" i="15"/>
  <c r="AG307" i="15"/>
  <c r="AK307" i="15"/>
  <c r="AO307" i="15"/>
  <c r="R319" i="15"/>
  <c r="V319" i="15"/>
  <c r="Z319" i="15"/>
  <c r="AD319" i="15"/>
  <c r="AH319" i="15"/>
  <c r="AL319" i="15"/>
  <c r="S319" i="15"/>
  <c r="W319" i="15"/>
  <c r="AA319" i="15"/>
  <c r="AE319" i="15"/>
  <c r="AI319" i="15"/>
  <c r="AM319" i="15"/>
  <c r="T319" i="15"/>
  <c r="X319" i="15"/>
  <c r="AB319" i="15"/>
  <c r="AF319" i="15"/>
  <c r="AJ319" i="15"/>
  <c r="AN319" i="15"/>
  <c r="U319" i="15"/>
  <c r="Y319" i="15"/>
  <c r="AC319" i="15"/>
  <c r="AG319" i="15"/>
  <c r="AK319" i="15"/>
  <c r="AO319" i="15"/>
  <c r="R339" i="15"/>
  <c r="V339" i="15"/>
  <c r="Z339" i="15"/>
  <c r="AD339" i="15"/>
  <c r="AH339" i="15"/>
  <c r="AL339" i="15"/>
  <c r="S339" i="15"/>
  <c r="W339" i="15"/>
  <c r="AA339" i="15"/>
  <c r="AE339" i="15"/>
  <c r="AI339" i="15"/>
  <c r="AM339" i="15"/>
  <c r="T339" i="15"/>
  <c r="X339" i="15"/>
  <c r="AB339" i="15"/>
  <c r="AF339" i="15"/>
  <c r="AJ339" i="15"/>
  <c r="AN339" i="15"/>
  <c r="U339" i="15"/>
  <c r="Y339" i="15"/>
  <c r="AC339" i="15"/>
  <c r="AG339" i="15"/>
  <c r="AK339" i="15"/>
  <c r="AO339" i="15"/>
  <c r="R97" i="15"/>
  <c r="T97" i="15"/>
  <c r="X97" i="15"/>
  <c r="AB97" i="15"/>
  <c r="AF97" i="15"/>
  <c r="AJ97" i="15"/>
  <c r="AN97" i="15"/>
  <c r="S97" i="15"/>
  <c r="Y97" i="15"/>
  <c r="AD97" i="15"/>
  <c r="AI97" i="15"/>
  <c r="AO97" i="15"/>
  <c r="U97" i="15"/>
  <c r="Z97" i="15"/>
  <c r="AE97" i="15"/>
  <c r="AK97" i="15"/>
  <c r="V97" i="15"/>
  <c r="AA97" i="15"/>
  <c r="AG97" i="15"/>
  <c r="AL97" i="15"/>
  <c r="W97" i="15"/>
  <c r="AC97" i="15"/>
  <c r="AH97" i="15"/>
  <c r="AM97" i="15"/>
  <c r="R87" i="15"/>
  <c r="V87" i="15"/>
  <c r="Z87" i="15"/>
  <c r="AD87" i="15"/>
  <c r="AH87" i="15"/>
  <c r="AL87" i="15"/>
  <c r="S87" i="15"/>
  <c r="X87" i="15"/>
  <c r="AC87" i="15"/>
  <c r="AI87" i="15"/>
  <c r="AN87" i="15"/>
  <c r="T87" i="15"/>
  <c r="Y87" i="15"/>
  <c r="AE87" i="15"/>
  <c r="AJ87" i="15"/>
  <c r="AO87" i="15"/>
  <c r="U87" i="15"/>
  <c r="AA87" i="15"/>
  <c r="AF87" i="15"/>
  <c r="AK87" i="15"/>
  <c r="W87" i="15"/>
  <c r="AB87" i="15"/>
  <c r="AG87" i="15"/>
  <c r="AM87" i="15"/>
  <c r="U42" i="15"/>
  <c r="Y42" i="15"/>
  <c r="AC42" i="15"/>
  <c r="AG42" i="15"/>
  <c r="AK42" i="15"/>
  <c r="AO42" i="15"/>
  <c r="W42" i="15"/>
  <c r="AB42" i="15"/>
  <c r="AH42" i="15"/>
  <c r="AM42" i="15"/>
  <c r="X42" i="15"/>
  <c r="AE42" i="15"/>
  <c r="AL42" i="15"/>
  <c r="S42" i="15"/>
  <c r="Z42" i="15"/>
  <c r="AF42" i="15"/>
  <c r="AN42" i="15"/>
  <c r="R42" i="15"/>
  <c r="V42" i="15"/>
  <c r="AJ42" i="15"/>
  <c r="AA42" i="15"/>
  <c r="AD42" i="15"/>
  <c r="T42" i="15"/>
  <c r="AI42" i="15"/>
  <c r="V64" i="15"/>
  <c r="Z64" i="15"/>
  <c r="AD64" i="15"/>
  <c r="AH64" i="15"/>
  <c r="AL64" i="15"/>
  <c r="R64" i="15"/>
  <c r="T64" i="15"/>
  <c r="Y64" i="15"/>
  <c r="AE64" i="15"/>
  <c r="AJ64" i="15"/>
  <c r="AO64" i="15"/>
  <c r="U64" i="15"/>
  <c r="AA64" i="15"/>
  <c r="AF64" i="15"/>
  <c r="AK64" i="15"/>
  <c r="S64" i="15"/>
  <c r="AC64" i="15"/>
  <c r="AN64" i="15"/>
  <c r="W64" i="15"/>
  <c r="AG64" i="15"/>
  <c r="X64" i="15"/>
  <c r="AI64" i="15"/>
  <c r="AB64" i="15"/>
  <c r="AM64" i="15"/>
  <c r="T85" i="15"/>
  <c r="X85" i="15"/>
  <c r="AB85" i="15"/>
  <c r="AF85" i="15"/>
  <c r="AJ85" i="15"/>
  <c r="AN85" i="15"/>
  <c r="R85" i="15"/>
  <c r="V85" i="15"/>
  <c r="AA85" i="15"/>
  <c r="AG85" i="15"/>
  <c r="AL85" i="15"/>
  <c r="W85" i="15"/>
  <c r="AC85" i="15"/>
  <c r="AH85" i="15"/>
  <c r="AM85" i="15"/>
  <c r="S85" i="15"/>
  <c r="Y85" i="15"/>
  <c r="AD85" i="15"/>
  <c r="AI85" i="15"/>
  <c r="AO85" i="15"/>
  <c r="U85" i="15"/>
  <c r="Z85" i="15"/>
  <c r="AE85" i="15"/>
  <c r="AK85" i="15"/>
  <c r="R106" i="15"/>
  <c r="U106" i="15"/>
  <c r="Y106" i="15"/>
  <c r="AC106" i="15"/>
  <c r="AG106" i="15"/>
  <c r="AK106" i="15"/>
  <c r="AO106" i="15"/>
  <c r="V106" i="15"/>
  <c r="Z106" i="15"/>
  <c r="AD106" i="15"/>
  <c r="AH106" i="15"/>
  <c r="AL106" i="15"/>
  <c r="S106" i="15"/>
  <c r="W106" i="15"/>
  <c r="AA106" i="15"/>
  <c r="AE106" i="15"/>
  <c r="AI106" i="15"/>
  <c r="AM106" i="15"/>
  <c r="T106" i="15"/>
  <c r="X106" i="15"/>
  <c r="AB106" i="15"/>
  <c r="AF106" i="15"/>
  <c r="AJ106" i="15"/>
  <c r="AN106" i="15"/>
  <c r="R128" i="15"/>
  <c r="S128" i="15"/>
  <c r="W128" i="15"/>
  <c r="AA128" i="15"/>
  <c r="AE128" i="15"/>
  <c r="AI128" i="15"/>
  <c r="AM128" i="15"/>
  <c r="T128" i="15"/>
  <c r="X128" i="15"/>
  <c r="AB128" i="15"/>
  <c r="AF128" i="15"/>
  <c r="AJ128" i="15"/>
  <c r="AN128" i="15"/>
  <c r="U128" i="15"/>
  <c r="Y128" i="15"/>
  <c r="AC128" i="15"/>
  <c r="AG128" i="15"/>
  <c r="AK128" i="15"/>
  <c r="AO128" i="15"/>
  <c r="V128" i="15"/>
  <c r="Z128" i="15"/>
  <c r="AD128" i="15"/>
  <c r="AH128" i="15"/>
  <c r="AL128" i="15"/>
  <c r="R149" i="15"/>
  <c r="T149" i="15"/>
  <c r="X149" i="15"/>
  <c r="AB149" i="15"/>
  <c r="AF149" i="15"/>
  <c r="AJ149" i="15"/>
  <c r="AN149" i="15"/>
  <c r="U149" i="15"/>
  <c r="Y149" i="15"/>
  <c r="AC149" i="15"/>
  <c r="AG149" i="15"/>
  <c r="AK149" i="15"/>
  <c r="AO149" i="15"/>
  <c r="V149" i="15"/>
  <c r="Z149" i="15"/>
  <c r="AD149" i="15"/>
  <c r="AH149" i="15"/>
  <c r="AL149" i="15"/>
  <c r="S149" i="15"/>
  <c r="W149" i="15"/>
  <c r="AA149" i="15"/>
  <c r="AE149" i="15"/>
  <c r="AI149" i="15"/>
  <c r="AM149" i="15"/>
  <c r="R213" i="15"/>
  <c r="U213" i="15"/>
  <c r="Y213" i="15"/>
  <c r="AC213" i="15"/>
  <c r="AG213" i="15"/>
  <c r="AK213" i="15"/>
  <c r="AO213" i="15"/>
  <c r="V213" i="15"/>
  <c r="Z213" i="15"/>
  <c r="AD213" i="15"/>
  <c r="AH213" i="15"/>
  <c r="AL213" i="15"/>
  <c r="S213" i="15"/>
  <c r="W213" i="15"/>
  <c r="AA213" i="15"/>
  <c r="AE213" i="15"/>
  <c r="AI213" i="15"/>
  <c r="AM213" i="15"/>
  <c r="T213" i="15"/>
  <c r="X213" i="15"/>
  <c r="AB213" i="15"/>
  <c r="AF213" i="15"/>
  <c r="AJ213" i="15"/>
  <c r="AN213" i="15"/>
  <c r="R277" i="15"/>
  <c r="U277" i="15"/>
  <c r="Y277" i="15"/>
  <c r="AC277" i="15"/>
  <c r="AG277" i="15"/>
  <c r="AK277" i="15"/>
  <c r="AO277" i="15"/>
  <c r="V277" i="15"/>
  <c r="Z277" i="15"/>
  <c r="AD277" i="15"/>
  <c r="AH277" i="15"/>
  <c r="AL277" i="15"/>
  <c r="S277" i="15"/>
  <c r="W277" i="15"/>
  <c r="AA277" i="15"/>
  <c r="AE277" i="15"/>
  <c r="AI277" i="15"/>
  <c r="AM277" i="15"/>
  <c r="T277" i="15"/>
  <c r="X277" i="15"/>
  <c r="AB277" i="15"/>
  <c r="AF277" i="15"/>
  <c r="AJ277" i="15"/>
  <c r="AN277" i="15"/>
  <c r="R309" i="15"/>
  <c r="T309" i="15"/>
  <c r="X309" i="15"/>
  <c r="AB309" i="15"/>
  <c r="AF309" i="15"/>
  <c r="AJ309" i="15"/>
  <c r="AN309" i="15"/>
  <c r="U309" i="15"/>
  <c r="Y309" i="15"/>
  <c r="AC309" i="15"/>
  <c r="AG309" i="15"/>
  <c r="AK309" i="15"/>
  <c r="AO309" i="15"/>
  <c r="V309" i="15"/>
  <c r="Z309" i="15"/>
  <c r="AD309" i="15"/>
  <c r="AH309" i="15"/>
  <c r="AL309" i="15"/>
  <c r="S309" i="15"/>
  <c r="W309" i="15"/>
  <c r="AA309" i="15"/>
  <c r="AE309" i="15"/>
  <c r="AI309" i="15"/>
  <c r="AM309" i="15"/>
  <c r="R330" i="15"/>
  <c r="U330" i="15"/>
  <c r="Y330" i="15"/>
  <c r="AC330" i="15"/>
  <c r="AG330" i="15"/>
  <c r="AK330" i="15"/>
  <c r="AO330" i="15"/>
  <c r="V330" i="15"/>
  <c r="Z330" i="15"/>
  <c r="AD330" i="15"/>
  <c r="AH330" i="15"/>
  <c r="AL330" i="15"/>
  <c r="S330" i="15"/>
  <c r="W330" i="15"/>
  <c r="AA330" i="15"/>
  <c r="AE330" i="15"/>
  <c r="AI330" i="15"/>
  <c r="AM330" i="15"/>
  <c r="T330" i="15"/>
  <c r="X330" i="15"/>
  <c r="AB330" i="15"/>
  <c r="AF330" i="15"/>
  <c r="AJ330" i="15"/>
  <c r="AN330" i="15"/>
  <c r="T33" i="15"/>
  <c r="X33" i="15"/>
  <c r="AB33" i="15"/>
  <c r="AF33" i="15"/>
  <c r="AJ33" i="15"/>
  <c r="AN33" i="15"/>
  <c r="S33" i="15"/>
  <c r="Y33" i="15"/>
  <c r="AD33" i="15"/>
  <c r="AI33" i="15"/>
  <c r="AO33" i="15"/>
  <c r="V33" i="15"/>
  <c r="AC33" i="15"/>
  <c r="AK33" i="15"/>
  <c r="W33" i="15"/>
  <c r="AE33" i="15"/>
  <c r="AL33" i="15"/>
  <c r="R33" i="15"/>
  <c r="Z33" i="15"/>
  <c r="AG33" i="15"/>
  <c r="AM33" i="15"/>
  <c r="U33" i="15"/>
  <c r="AA33" i="15"/>
  <c r="AH33" i="15"/>
  <c r="R300" i="15"/>
  <c r="S300" i="15"/>
  <c r="W300" i="15"/>
  <c r="AA300" i="15"/>
  <c r="AE300" i="15"/>
  <c r="AI300" i="15"/>
  <c r="AM300" i="15"/>
  <c r="T300" i="15"/>
  <c r="X300" i="15"/>
  <c r="AB300" i="15"/>
  <c r="AF300" i="15"/>
  <c r="AJ300" i="15"/>
  <c r="AN300" i="15"/>
  <c r="U300" i="15"/>
  <c r="Y300" i="15"/>
  <c r="AC300" i="15"/>
  <c r="AG300" i="15"/>
  <c r="AK300" i="15"/>
  <c r="AO300" i="15"/>
  <c r="V300" i="15"/>
  <c r="Z300" i="15"/>
  <c r="AD300" i="15"/>
  <c r="AH300" i="15"/>
  <c r="AL300" i="15"/>
  <c r="R39" i="15"/>
  <c r="V39" i="15"/>
  <c r="Z39" i="15"/>
  <c r="AD39" i="15"/>
  <c r="AH39" i="15"/>
  <c r="AL39" i="15"/>
  <c r="T39" i="15"/>
  <c r="Y39" i="15"/>
  <c r="AE39" i="15"/>
  <c r="AJ39" i="15"/>
  <c r="AO39" i="15"/>
  <c r="S39" i="15"/>
  <c r="AA39" i="15"/>
  <c r="AG39" i="15"/>
  <c r="AN39" i="15"/>
  <c r="U39" i="15"/>
  <c r="AB39" i="15"/>
  <c r="AI39" i="15"/>
  <c r="W39" i="15"/>
  <c r="AK39" i="15"/>
  <c r="X39" i="15"/>
  <c r="AM39" i="15"/>
  <c r="AC39" i="15"/>
  <c r="AF39" i="15"/>
  <c r="R59" i="15"/>
  <c r="U59" i="15"/>
  <c r="Y59" i="15"/>
  <c r="AC59" i="15"/>
  <c r="AG59" i="15"/>
  <c r="AK59" i="15"/>
  <c r="AO59" i="15"/>
  <c r="W59" i="15"/>
  <c r="AB59" i="15"/>
  <c r="AH59" i="15"/>
  <c r="AM59" i="15"/>
  <c r="S59" i="15"/>
  <c r="X59" i="15"/>
  <c r="AD59" i="15"/>
  <c r="AI59" i="15"/>
  <c r="AN59" i="15"/>
  <c r="AA59" i="15"/>
  <c r="AL59" i="15"/>
  <c r="T59" i="15"/>
  <c r="AE59" i="15"/>
  <c r="V59" i="15"/>
  <c r="AF59" i="15"/>
  <c r="Z59" i="15"/>
  <c r="AJ59" i="15"/>
  <c r="R95" i="15"/>
  <c r="V95" i="15"/>
  <c r="Z95" i="15"/>
  <c r="AD95" i="15"/>
  <c r="AH95" i="15"/>
  <c r="AL95" i="15"/>
  <c r="W95" i="15"/>
  <c r="AB95" i="15"/>
  <c r="AG95" i="15"/>
  <c r="AM95" i="15"/>
  <c r="S95" i="15"/>
  <c r="X95" i="15"/>
  <c r="AC95" i="15"/>
  <c r="AI95" i="15"/>
  <c r="AN95" i="15"/>
  <c r="T95" i="15"/>
  <c r="Y95" i="15"/>
  <c r="AE95" i="15"/>
  <c r="AJ95" i="15"/>
  <c r="AO95" i="15"/>
  <c r="U95" i="15"/>
  <c r="AA95" i="15"/>
  <c r="AF95" i="15"/>
  <c r="AK95" i="15"/>
  <c r="R111" i="15"/>
  <c r="V111" i="15"/>
  <c r="Z111" i="15"/>
  <c r="AD111" i="15"/>
  <c r="AH111" i="15"/>
  <c r="AL111" i="15"/>
  <c r="S111" i="15"/>
  <c r="W111" i="15"/>
  <c r="AA111" i="15"/>
  <c r="AE111" i="15"/>
  <c r="AI111" i="15"/>
  <c r="AM111" i="15"/>
  <c r="T111" i="15"/>
  <c r="X111" i="15"/>
  <c r="AB111" i="15"/>
  <c r="AF111" i="15"/>
  <c r="AJ111" i="15"/>
  <c r="AN111" i="15"/>
  <c r="U111" i="15"/>
  <c r="Y111" i="15"/>
  <c r="AC111" i="15"/>
  <c r="AG111" i="15"/>
  <c r="AK111" i="15"/>
  <c r="AO111" i="15"/>
  <c r="R135" i="15"/>
  <c r="V135" i="15"/>
  <c r="Z135" i="15"/>
  <c r="AD135" i="15"/>
  <c r="AH135" i="15"/>
  <c r="AL135" i="15"/>
  <c r="S135" i="15"/>
  <c r="W135" i="15"/>
  <c r="AA135" i="15"/>
  <c r="AE135" i="15"/>
  <c r="AI135" i="15"/>
  <c r="AM135" i="15"/>
  <c r="T135" i="15"/>
  <c r="X135" i="15"/>
  <c r="AB135" i="15"/>
  <c r="AF135" i="15"/>
  <c r="AJ135" i="15"/>
  <c r="AN135" i="15"/>
  <c r="U135" i="15"/>
  <c r="Y135" i="15"/>
  <c r="AC135" i="15"/>
  <c r="AG135" i="15"/>
  <c r="AK135" i="15"/>
  <c r="AO135" i="15"/>
  <c r="U82" i="15"/>
  <c r="Y82" i="15"/>
  <c r="AC82" i="15"/>
  <c r="AG82" i="15"/>
  <c r="AK82" i="15"/>
  <c r="AO82" i="15"/>
  <c r="R82" i="15"/>
  <c r="S82" i="15"/>
  <c r="X82" i="15"/>
  <c r="AD82" i="15"/>
  <c r="AI82" i="15"/>
  <c r="AN82" i="15"/>
  <c r="T82" i="15"/>
  <c r="Z82" i="15"/>
  <c r="AE82" i="15"/>
  <c r="AJ82" i="15"/>
  <c r="V82" i="15"/>
  <c r="AA82" i="15"/>
  <c r="AF82" i="15"/>
  <c r="AL82" i="15"/>
  <c r="W82" i="15"/>
  <c r="AB82" i="15"/>
  <c r="AH82" i="15"/>
  <c r="AM82" i="15"/>
  <c r="R194" i="15"/>
  <c r="V194" i="15"/>
  <c r="Z194" i="15"/>
  <c r="AD194" i="15"/>
  <c r="AH194" i="15"/>
  <c r="AL194" i="15"/>
  <c r="S194" i="15"/>
  <c r="W194" i="15"/>
  <c r="AA194" i="15"/>
  <c r="AE194" i="15"/>
  <c r="AI194" i="15"/>
  <c r="AM194" i="15"/>
  <c r="T194" i="15"/>
  <c r="X194" i="15"/>
  <c r="AB194" i="15"/>
  <c r="AF194" i="15"/>
  <c r="AJ194" i="15"/>
  <c r="AN194" i="15"/>
  <c r="U194" i="15"/>
  <c r="Y194" i="15"/>
  <c r="AC194" i="15"/>
  <c r="AG194" i="15"/>
  <c r="AK194" i="15"/>
  <c r="AO194" i="15"/>
  <c r="R270" i="15"/>
  <c r="V270" i="15"/>
  <c r="Z270" i="15"/>
  <c r="AD270" i="15"/>
  <c r="AH270" i="15"/>
  <c r="AL270" i="15"/>
  <c r="S270" i="15"/>
  <c r="W270" i="15"/>
  <c r="AA270" i="15"/>
  <c r="AE270" i="15"/>
  <c r="AI270" i="15"/>
  <c r="AM270" i="15"/>
  <c r="T270" i="15"/>
  <c r="X270" i="15"/>
  <c r="AB270" i="15"/>
  <c r="AF270" i="15"/>
  <c r="AJ270" i="15"/>
  <c r="AN270" i="15"/>
  <c r="U270" i="15"/>
  <c r="Y270" i="15"/>
  <c r="AC270" i="15"/>
  <c r="AG270" i="15"/>
  <c r="AK270" i="15"/>
  <c r="AO270" i="15"/>
  <c r="R193" i="15"/>
  <c r="U193" i="15"/>
  <c r="Y193" i="15"/>
  <c r="AC193" i="15"/>
  <c r="AG193" i="15"/>
  <c r="AK193" i="15"/>
  <c r="AO193" i="15"/>
  <c r="V193" i="15"/>
  <c r="Z193" i="15"/>
  <c r="AD193" i="15"/>
  <c r="AH193" i="15"/>
  <c r="AL193" i="15"/>
  <c r="S193" i="15"/>
  <c r="W193" i="15"/>
  <c r="AA193" i="15"/>
  <c r="AE193" i="15"/>
  <c r="AI193" i="15"/>
  <c r="AM193" i="15"/>
  <c r="T193" i="15"/>
  <c r="X193" i="15"/>
  <c r="AB193" i="15"/>
  <c r="AF193" i="15"/>
  <c r="AJ193" i="15"/>
  <c r="AN193" i="15"/>
  <c r="R257" i="15"/>
  <c r="U257" i="15"/>
  <c r="Y257" i="15"/>
  <c r="AC257" i="15"/>
  <c r="AG257" i="15"/>
  <c r="AK257" i="15"/>
  <c r="AO257" i="15"/>
  <c r="V257" i="15"/>
  <c r="Z257" i="15"/>
  <c r="AD257" i="15"/>
  <c r="AH257" i="15"/>
  <c r="AL257" i="15"/>
  <c r="S257" i="15"/>
  <c r="W257" i="15"/>
  <c r="AA257" i="15"/>
  <c r="AE257" i="15"/>
  <c r="AI257" i="15"/>
  <c r="AM257" i="15"/>
  <c r="T257" i="15"/>
  <c r="X257" i="15"/>
  <c r="AB257" i="15"/>
  <c r="AF257" i="15"/>
  <c r="AJ257" i="15"/>
  <c r="AN257" i="15"/>
  <c r="R317" i="15"/>
  <c r="T317" i="15"/>
  <c r="X317" i="15"/>
  <c r="AB317" i="15"/>
  <c r="AF317" i="15"/>
  <c r="AJ317" i="15"/>
  <c r="AN317" i="15"/>
  <c r="U317" i="15"/>
  <c r="Y317" i="15"/>
  <c r="AC317" i="15"/>
  <c r="AG317" i="15"/>
  <c r="AK317" i="15"/>
  <c r="AO317" i="15"/>
  <c r="V317" i="15"/>
  <c r="Z317" i="15"/>
  <c r="AD317" i="15"/>
  <c r="AH317" i="15"/>
  <c r="AL317" i="15"/>
  <c r="S317" i="15"/>
  <c r="W317" i="15"/>
  <c r="AA317" i="15"/>
  <c r="AE317" i="15"/>
  <c r="AI317" i="15"/>
  <c r="AM317" i="15"/>
  <c r="R130" i="15"/>
  <c r="U130" i="15"/>
  <c r="Y130" i="15"/>
  <c r="AC130" i="15"/>
  <c r="AG130" i="15"/>
  <c r="AK130" i="15"/>
  <c r="AO130" i="15"/>
  <c r="V130" i="15"/>
  <c r="Z130" i="15"/>
  <c r="AD130" i="15"/>
  <c r="AH130" i="15"/>
  <c r="AL130" i="15"/>
  <c r="S130" i="15"/>
  <c r="W130" i="15"/>
  <c r="AA130" i="15"/>
  <c r="AE130" i="15"/>
  <c r="AI130" i="15"/>
  <c r="AM130" i="15"/>
  <c r="T130" i="15"/>
  <c r="X130" i="15"/>
  <c r="AB130" i="15"/>
  <c r="AF130" i="15"/>
  <c r="AJ130" i="15"/>
  <c r="AN130" i="15"/>
  <c r="R216" i="15"/>
  <c r="T216" i="15"/>
  <c r="X216" i="15"/>
  <c r="AB216" i="15"/>
  <c r="AF216" i="15"/>
  <c r="AJ216" i="15"/>
  <c r="AN216" i="15"/>
  <c r="U216" i="15"/>
  <c r="Y216" i="15"/>
  <c r="AC216" i="15"/>
  <c r="AG216" i="15"/>
  <c r="AK216" i="15"/>
  <c r="AO216" i="15"/>
  <c r="V216" i="15"/>
  <c r="Z216" i="15"/>
  <c r="AD216" i="15"/>
  <c r="AH216" i="15"/>
  <c r="AL216" i="15"/>
  <c r="S216" i="15"/>
  <c r="W216" i="15"/>
  <c r="AA216" i="15"/>
  <c r="AE216" i="15"/>
  <c r="AI216" i="15"/>
  <c r="AM216" i="15"/>
  <c r="R286" i="15"/>
  <c r="V286" i="15"/>
  <c r="Z286" i="15"/>
  <c r="AD286" i="15"/>
  <c r="AH286" i="15"/>
  <c r="AL286" i="15"/>
  <c r="S286" i="15"/>
  <c r="W286" i="15"/>
  <c r="AA286" i="15"/>
  <c r="AE286" i="15"/>
  <c r="AI286" i="15"/>
  <c r="AM286" i="15"/>
  <c r="T286" i="15"/>
  <c r="X286" i="15"/>
  <c r="AB286" i="15"/>
  <c r="AF286" i="15"/>
  <c r="AJ286" i="15"/>
  <c r="AN286" i="15"/>
  <c r="U286" i="15"/>
  <c r="Y286" i="15"/>
  <c r="AC286" i="15"/>
  <c r="AG286" i="15"/>
  <c r="AK286" i="15"/>
  <c r="AO286" i="15"/>
  <c r="S28" i="15"/>
  <c r="W28" i="15"/>
  <c r="AA28" i="15"/>
  <c r="AE28" i="15"/>
  <c r="AI28" i="15"/>
  <c r="AM28" i="15"/>
  <c r="V28" i="15"/>
  <c r="AB28" i="15"/>
  <c r="AG28" i="15"/>
  <c r="AL28" i="15"/>
  <c r="X28" i="15"/>
  <c r="AD28" i="15"/>
  <c r="AK28" i="15"/>
  <c r="Y28" i="15"/>
  <c r="AF28" i="15"/>
  <c r="AN28" i="15"/>
  <c r="T28" i="15"/>
  <c r="Z28" i="15"/>
  <c r="AH28" i="15"/>
  <c r="AO28" i="15"/>
  <c r="R28" i="15"/>
  <c r="U28" i="15"/>
  <c r="AC28" i="15"/>
  <c r="AJ28" i="15"/>
  <c r="T54" i="15"/>
  <c r="X54" i="15"/>
  <c r="AB54" i="15"/>
  <c r="AF54" i="15"/>
  <c r="AJ54" i="15"/>
  <c r="AN54" i="15"/>
  <c r="U54" i="15"/>
  <c r="Z54" i="15"/>
  <c r="AE54" i="15"/>
  <c r="AK54" i="15"/>
  <c r="V54" i="15"/>
  <c r="AA54" i="15"/>
  <c r="AG54" i="15"/>
  <c r="AL54" i="15"/>
  <c r="R54" i="15"/>
  <c r="Y54" i="15"/>
  <c r="AI54" i="15"/>
  <c r="AC54" i="15"/>
  <c r="AM54" i="15"/>
  <c r="S54" i="15"/>
  <c r="AD54" i="15"/>
  <c r="AO54" i="15"/>
  <c r="W54" i="15"/>
  <c r="AH54" i="15"/>
  <c r="R76" i="15"/>
  <c r="S76" i="15"/>
  <c r="W76" i="15"/>
  <c r="AA76" i="15"/>
  <c r="AE76" i="15"/>
  <c r="AI76" i="15"/>
  <c r="AM76" i="15"/>
  <c r="X76" i="15"/>
  <c r="AC76" i="15"/>
  <c r="AH76" i="15"/>
  <c r="AN76" i="15"/>
  <c r="T76" i="15"/>
  <c r="Y76" i="15"/>
  <c r="AD76" i="15"/>
  <c r="AJ76" i="15"/>
  <c r="AO76" i="15"/>
  <c r="U76" i="15"/>
  <c r="Z76" i="15"/>
  <c r="AF76" i="15"/>
  <c r="AK76" i="15"/>
  <c r="V76" i="15"/>
  <c r="AB76" i="15"/>
  <c r="AG76" i="15"/>
  <c r="AL76" i="15"/>
  <c r="R134" i="15"/>
  <c r="U134" i="15"/>
  <c r="Y134" i="15"/>
  <c r="AC134" i="15"/>
  <c r="AG134" i="15"/>
  <c r="AK134" i="15"/>
  <c r="AO134" i="15"/>
  <c r="V134" i="15"/>
  <c r="Z134" i="15"/>
  <c r="AD134" i="15"/>
  <c r="AH134" i="15"/>
  <c r="AL134" i="15"/>
  <c r="S134" i="15"/>
  <c r="W134" i="15"/>
  <c r="AA134" i="15"/>
  <c r="AE134" i="15"/>
  <c r="AI134" i="15"/>
  <c r="AM134" i="15"/>
  <c r="T134" i="15"/>
  <c r="X134" i="15"/>
  <c r="AB134" i="15"/>
  <c r="AF134" i="15"/>
  <c r="AJ134" i="15"/>
  <c r="AN134" i="15"/>
  <c r="R224" i="15"/>
  <c r="T224" i="15"/>
  <c r="X224" i="15"/>
  <c r="AB224" i="15"/>
  <c r="AF224" i="15"/>
  <c r="AJ224" i="15"/>
  <c r="AN224" i="15"/>
  <c r="U224" i="15"/>
  <c r="Y224" i="15"/>
  <c r="AC224" i="15"/>
  <c r="AG224" i="15"/>
  <c r="AK224" i="15"/>
  <c r="AO224" i="15"/>
  <c r="V224" i="15"/>
  <c r="Z224" i="15"/>
  <c r="AD224" i="15"/>
  <c r="AH224" i="15"/>
  <c r="AL224" i="15"/>
  <c r="S224" i="15"/>
  <c r="W224" i="15"/>
  <c r="AA224" i="15"/>
  <c r="AE224" i="15"/>
  <c r="AI224" i="15"/>
  <c r="AM224" i="15"/>
  <c r="R290" i="15"/>
  <c r="V290" i="15"/>
  <c r="Z290" i="15"/>
  <c r="AD290" i="15"/>
  <c r="AH290" i="15"/>
  <c r="AL290" i="15"/>
  <c r="S290" i="15"/>
  <c r="W290" i="15"/>
  <c r="AA290" i="15"/>
  <c r="AE290" i="15"/>
  <c r="AI290" i="15"/>
  <c r="AM290" i="15"/>
  <c r="T290" i="15"/>
  <c r="X290" i="15"/>
  <c r="AB290" i="15"/>
  <c r="AF290" i="15"/>
  <c r="AJ290" i="15"/>
  <c r="AN290" i="15"/>
  <c r="U290" i="15"/>
  <c r="Y290" i="15"/>
  <c r="AC290" i="15"/>
  <c r="AG290" i="15"/>
  <c r="AK290" i="15"/>
  <c r="AO290" i="15"/>
  <c r="R154" i="15"/>
  <c r="U154" i="15"/>
  <c r="Y154" i="15"/>
  <c r="AC154" i="15"/>
  <c r="AG154" i="15"/>
  <c r="AK154" i="15"/>
  <c r="AO154" i="15"/>
  <c r="V154" i="15"/>
  <c r="Z154" i="15"/>
  <c r="AD154" i="15"/>
  <c r="AH154" i="15"/>
  <c r="AL154" i="15"/>
  <c r="S154" i="15"/>
  <c r="W154" i="15"/>
  <c r="AA154" i="15"/>
  <c r="AE154" i="15"/>
  <c r="AI154" i="15"/>
  <c r="AM154" i="15"/>
  <c r="T154" i="15"/>
  <c r="X154" i="15"/>
  <c r="AB154" i="15"/>
  <c r="AF154" i="15"/>
  <c r="AJ154" i="15"/>
  <c r="AN154" i="15"/>
  <c r="R164" i="15"/>
  <c r="T164" i="15"/>
  <c r="X164" i="15"/>
  <c r="AB164" i="15"/>
  <c r="AF164" i="15"/>
  <c r="AJ164" i="15"/>
  <c r="AN164" i="15"/>
  <c r="U164" i="15"/>
  <c r="Y164" i="15"/>
  <c r="AC164" i="15"/>
  <c r="AG164" i="15"/>
  <c r="AK164" i="15"/>
  <c r="AO164" i="15"/>
  <c r="V164" i="15"/>
  <c r="Z164" i="15"/>
  <c r="AD164" i="15"/>
  <c r="AH164" i="15"/>
  <c r="AL164" i="15"/>
  <c r="S164" i="15"/>
  <c r="W164" i="15"/>
  <c r="AA164" i="15"/>
  <c r="AE164" i="15"/>
  <c r="AI164" i="15"/>
  <c r="AM164" i="15"/>
  <c r="R174" i="15"/>
  <c r="V174" i="15"/>
  <c r="Z174" i="15"/>
  <c r="AD174" i="15"/>
  <c r="AH174" i="15"/>
  <c r="AL174" i="15"/>
  <c r="S174" i="15"/>
  <c r="W174" i="15"/>
  <c r="AA174" i="15"/>
  <c r="AE174" i="15"/>
  <c r="AI174" i="15"/>
  <c r="AM174" i="15"/>
  <c r="T174" i="15"/>
  <c r="X174" i="15"/>
  <c r="AB174" i="15"/>
  <c r="AF174" i="15"/>
  <c r="AJ174" i="15"/>
  <c r="AN174" i="15"/>
  <c r="U174" i="15"/>
  <c r="Y174" i="15"/>
  <c r="AC174" i="15"/>
  <c r="AG174" i="15"/>
  <c r="AK174" i="15"/>
  <c r="AO174" i="15"/>
  <c r="R184" i="15"/>
  <c r="T184" i="15"/>
  <c r="X184" i="15"/>
  <c r="AB184" i="15"/>
  <c r="AF184" i="15"/>
  <c r="AJ184" i="15"/>
  <c r="AN184" i="15"/>
  <c r="U184" i="15"/>
  <c r="Y184" i="15"/>
  <c r="AC184" i="15"/>
  <c r="AG184" i="15"/>
  <c r="AK184" i="15"/>
  <c r="AO184" i="15"/>
  <c r="V184" i="15"/>
  <c r="Z184" i="15"/>
  <c r="AD184" i="15"/>
  <c r="AH184" i="15"/>
  <c r="AL184" i="15"/>
  <c r="S184" i="15"/>
  <c r="W184" i="15"/>
  <c r="AA184" i="15"/>
  <c r="AE184" i="15"/>
  <c r="AI184" i="15"/>
  <c r="AM184" i="15"/>
  <c r="R196" i="15"/>
  <c r="T196" i="15"/>
  <c r="X196" i="15"/>
  <c r="AB196" i="15"/>
  <c r="AF196" i="15"/>
  <c r="AJ196" i="15"/>
  <c r="AN196" i="15"/>
  <c r="U196" i="15"/>
  <c r="Y196" i="15"/>
  <c r="AC196" i="15"/>
  <c r="AG196" i="15"/>
  <c r="AK196" i="15"/>
  <c r="AO196" i="15"/>
  <c r="V196" i="15"/>
  <c r="Z196" i="15"/>
  <c r="AD196" i="15"/>
  <c r="AH196" i="15"/>
  <c r="AL196" i="15"/>
  <c r="S196" i="15"/>
  <c r="W196" i="15"/>
  <c r="AA196" i="15"/>
  <c r="AE196" i="15"/>
  <c r="AI196" i="15"/>
  <c r="AM196" i="15"/>
  <c r="R210" i="15"/>
  <c r="V210" i="15"/>
  <c r="Z210" i="15"/>
  <c r="AD210" i="15"/>
  <c r="AH210" i="15"/>
  <c r="AL210" i="15"/>
  <c r="S210" i="15"/>
  <c r="W210" i="15"/>
  <c r="AA210" i="15"/>
  <c r="AE210" i="15"/>
  <c r="AI210" i="15"/>
  <c r="AM210" i="15"/>
  <c r="T210" i="15"/>
  <c r="X210" i="15"/>
  <c r="AB210" i="15"/>
  <c r="AF210" i="15"/>
  <c r="AJ210" i="15"/>
  <c r="AN210" i="15"/>
  <c r="U210" i="15"/>
  <c r="Y210" i="15"/>
  <c r="AC210" i="15"/>
  <c r="AG210" i="15"/>
  <c r="AK210" i="15"/>
  <c r="AO210" i="15"/>
  <c r="R220" i="15"/>
  <c r="T220" i="15"/>
  <c r="X220" i="15"/>
  <c r="AB220" i="15"/>
  <c r="AF220" i="15"/>
  <c r="AJ220" i="15"/>
  <c r="AN220" i="15"/>
  <c r="U220" i="15"/>
  <c r="Y220" i="15"/>
  <c r="AC220" i="15"/>
  <c r="AG220" i="15"/>
  <c r="AK220" i="15"/>
  <c r="AO220" i="15"/>
  <c r="V220" i="15"/>
  <c r="Z220" i="15"/>
  <c r="AD220" i="15"/>
  <c r="AH220" i="15"/>
  <c r="AL220" i="15"/>
  <c r="S220" i="15"/>
  <c r="W220" i="15"/>
  <c r="AA220" i="15"/>
  <c r="AE220" i="15"/>
  <c r="AI220" i="15"/>
  <c r="AM220" i="15"/>
  <c r="R230" i="15"/>
  <c r="V230" i="15"/>
  <c r="Z230" i="15"/>
  <c r="AD230" i="15"/>
  <c r="AH230" i="15"/>
  <c r="AL230" i="15"/>
  <c r="S230" i="15"/>
  <c r="W230" i="15"/>
  <c r="AA230" i="15"/>
  <c r="AE230" i="15"/>
  <c r="AI230" i="15"/>
  <c r="AM230" i="15"/>
  <c r="T230" i="15"/>
  <c r="X230" i="15"/>
  <c r="AB230" i="15"/>
  <c r="AF230" i="15"/>
  <c r="AJ230" i="15"/>
  <c r="AN230" i="15"/>
  <c r="U230" i="15"/>
  <c r="Y230" i="15"/>
  <c r="AC230" i="15"/>
  <c r="AG230" i="15"/>
  <c r="AK230" i="15"/>
  <c r="AO230" i="15"/>
  <c r="R246" i="15"/>
  <c r="V246" i="15"/>
  <c r="Z246" i="15"/>
  <c r="AD246" i="15"/>
  <c r="AH246" i="15"/>
  <c r="AL246" i="15"/>
  <c r="S246" i="15"/>
  <c r="W246" i="15"/>
  <c r="AA246" i="15"/>
  <c r="AE246" i="15"/>
  <c r="AI246" i="15"/>
  <c r="AM246" i="15"/>
  <c r="T246" i="15"/>
  <c r="X246" i="15"/>
  <c r="AB246" i="15"/>
  <c r="AF246" i="15"/>
  <c r="AJ246" i="15"/>
  <c r="AN246" i="15"/>
  <c r="U246" i="15"/>
  <c r="Y246" i="15"/>
  <c r="AC246" i="15"/>
  <c r="AG246" i="15"/>
  <c r="AK246" i="15"/>
  <c r="AO246" i="15"/>
  <c r="R254" i="15"/>
  <c r="V254" i="15"/>
  <c r="Z254" i="15"/>
  <c r="AD254" i="15"/>
  <c r="AH254" i="15"/>
  <c r="AL254" i="15"/>
  <c r="S254" i="15"/>
  <c r="W254" i="15"/>
  <c r="AA254" i="15"/>
  <c r="AE254" i="15"/>
  <c r="AI254" i="15"/>
  <c r="AM254" i="15"/>
  <c r="T254" i="15"/>
  <c r="X254" i="15"/>
  <c r="AB254" i="15"/>
  <c r="AF254" i="15"/>
  <c r="AJ254" i="15"/>
  <c r="AN254" i="15"/>
  <c r="U254" i="15"/>
  <c r="Y254" i="15"/>
  <c r="AC254" i="15"/>
  <c r="AG254" i="15"/>
  <c r="AK254" i="15"/>
  <c r="AO254" i="15"/>
  <c r="R282" i="15"/>
  <c r="V282" i="15"/>
  <c r="Z282" i="15"/>
  <c r="AD282" i="15"/>
  <c r="AH282" i="15"/>
  <c r="AL282" i="15"/>
  <c r="S282" i="15"/>
  <c r="W282" i="15"/>
  <c r="AA282" i="15"/>
  <c r="AE282" i="15"/>
  <c r="AI282" i="15"/>
  <c r="AM282" i="15"/>
  <c r="T282" i="15"/>
  <c r="X282" i="15"/>
  <c r="AB282" i="15"/>
  <c r="AF282" i="15"/>
  <c r="AJ282" i="15"/>
  <c r="AN282" i="15"/>
  <c r="U282" i="15"/>
  <c r="Y282" i="15"/>
  <c r="AC282" i="15"/>
  <c r="AG282" i="15"/>
  <c r="AK282" i="15"/>
  <c r="AO282" i="15"/>
  <c r="R104" i="15"/>
  <c r="S104" i="15"/>
  <c r="W104" i="15"/>
  <c r="AA104" i="15"/>
  <c r="AE104" i="15"/>
  <c r="AI104" i="15"/>
  <c r="AM104" i="15"/>
  <c r="T104" i="15"/>
  <c r="X104" i="15"/>
  <c r="AB104" i="15"/>
  <c r="AF104" i="15"/>
  <c r="AJ104" i="15"/>
  <c r="AN104" i="15"/>
  <c r="U104" i="15"/>
  <c r="Y104" i="15"/>
  <c r="AC104" i="15"/>
  <c r="AG104" i="15"/>
  <c r="AK104" i="15"/>
  <c r="AO104" i="15"/>
  <c r="V104" i="15"/>
  <c r="Z104" i="15"/>
  <c r="AD104" i="15"/>
  <c r="AH104" i="15"/>
  <c r="AL104" i="15"/>
  <c r="R102" i="15"/>
  <c r="U102" i="15"/>
  <c r="Y102" i="15"/>
  <c r="AC102" i="15"/>
  <c r="AG102" i="15"/>
  <c r="AK102" i="15"/>
  <c r="AO102" i="15"/>
  <c r="V102" i="15"/>
  <c r="Z102" i="15"/>
  <c r="AD102" i="15"/>
  <c r="AH102" i="15"/>
  <c r="AL102" i="15"/>
  <c r="S102" i="15"/>
  <c r="W102" i="15"/>
  <c r="AA102" i="15"/>
  <c r="AE102" i="15"/>
  <c r="AI102" i="15"/>
  <c r="AM102" i="15"/>
  <c r="T102" i="15"/>
  <c r="X102" i="15"/>
  <c r="AB102" i="15"/>
  <c r="AF102" i="15"/>
  <c r="AJ102" i="15"/>
  <c r="AN102" i="15"/>
  <c r="R7" i="15"/>
  <c r="V7" i="15"/>
  <c r="Z7" i="15"/>
  <c r="AD7" i="15"/>
  <c r="AH7" i="15"/>
  <c r="AL7" i="15"/>
  <c r="U7" i="15"/>
  <c r="AA7" i="15"/>
  <c r="AF7" i="15"/>
  <c r="AK7" i="15"/>
  <c r="S7" i="15"/>
  <c r="Y7" i="15"/>
  <c r="AG7" i="15"/>
  <c r="AN7" i="15"/>
  <c r="T7" i="15"/>
  <c r="AB7" i="15"/>
  <c r="AI7" i="15"/>
  <c r="AO7" i="15"/>
  <c r="W7" i="15"/>
  <c r="AC7" i="15"/>
  <c r="AJ7" i="15"/>
  <c r="X7" i="15"/>
  <c r="AE7" i="15"/>
  <c r="AM7" i="15"/>
  <c r="U18" i="15"/>
  <c r="Y18" i="15"/>
  <c r="AC18" i="15"/>
  <c r="AG18" i="15"/>
  <c r="AK18" i="15"/>
  <c r="AO18" i="15"/>
  <c r="S18" i="15"/>
  <c r="X18" i="15"/>
  <c r="AD18" i="15"/>
  <c r="AI18" i="15"/>
  <c r="AN18" i="15"/>
  <c r="R18" i="15"/>
  <c r="V18" i="15"/>
  <c r="AB18" i="15"/>
  <c r="AJ18" i="15"/>
  <c r="W18" i="15"/>
  <c r="AE18" i="15"/>
  <c r="AL18" i="15"/>
  <c r="Z18" i="15"/>
  <c r="AF18" i="15"/>
  <c r="AM18" i="15"/>
  <c r="AH18" i="15"/>
  <c r="T18" i="15"/>
  <c r="AA18" i="15"/>
  <c r="R269" i="15"/>
  <c r="U269" i="15"/>
  <c r="Y269" i="15"/>
  <c r="AC269" i="15"/>
  <c r="AG269" i="15"/>
  <c r="AK269" i="15"/>
  <c r="AO269" i="15"/>
  <c r="V269" i="15"/>
  <c r="Z269" i="15"/>
  <c r="AD269" i="15"/>
  <c r="AH269" i="15"/>
  <c r="AL269" i="15"/>
  <c r="S269" i="15"/>
  <c r="W269" i="15"/>
  <c r="AA269" i="15"/>
  <c r="AE269" i="15"/>
  <c r="AI269" i="15"/>
  <c r="AM269" i="15"/>
  <c r="T269" i="15"/>
  <c r="X269" i="15"/>
  <c r="AB269" i="15"/>
  <c r="AF269" i="15"/>
  <c r="AJ269" i="15"/>
  <c r="AN269" i="15"/>
  <c r="R223" i="15"/>
  <c r="S223" i="15"/>
  <c r="W223" i="15"/>
  <c r="AA223" i="15"/>
  <c r="AE223" i="15"/>
  <c r="AI223" i="15"/>
  <c r="AM223" i="15"/>
  <c r="T223" i="15"/>
  <c r="X223" i="15"/>
  <c r="AB223" i="15"/>
  <c r="AF223" i="15"/>
  <c r="AJ223" i="15"/>
  <c r="AN223" i="15"/>
  <c r="U223" i="15"/>
  <c r="Y223" i="15"/>
  <c r="AC223" i="15"/>
  <c r="AG223" i="15"/>
  <c r="AK223" i="15"/>
  <c r="AO223" i="15"/>
  <c r="V223" i="15"/>
  <c r="Z223" i="15"/>
  <c r="AD223" i="15"/>
  <c r="AH223" i="15"/>
  <c r="AL223" i="15"/>
  <c r="T29" i="15"/>
  <c r="X29" i="15"/>
  <c r="AB29" i="15"/>
  <c r="AF29" i="15"/>
  <c r="AJ29" i="15"/>
  <c r="AN29" i="15"/>
  <c r="R29" i="15"/>
  <c r="U29" i="15"/>
  <c r="Z29" i="15"/>
  <c r="AE29" i="15"/>
  <c r="AK29" i="15"/>
  <c r="V29" i="15"/>
  <c r="AC29" i="15"/>
  <c r="AI29" i="15"/>
  <c r="W29" i="15"/>
  <c r="AD29" i="15"/>
  <c r="AL29" i="15"/>
  <c r="Y29" i="15"/>
  <c r="AG29" i="15"/>
  <c r="AM29" i="15"/>
  <c r="S29" i="15"/>
  <c r="AA29" i="15"/>
  <c r="AH29" i="15"/>
  <c r="AO29" i="15"/>
  <c r="T93" i="15"/>
  <c r="X93" i="15"/>
  <c r="AB93" i="15"/>
  <c r="AF93" i="15"/>
  <c r="AJ93" i="15"/>
  <c r="AN93" i="15"/>
  <c r="R93" i="15"/>
  <c r="V93" i="15"/>
  <c r="AA93" i="15"/>
  <c r="AG93" i="15"/>
  <c r="AL93" i="15"/>
  <c r="W93" i="15"/>
  <c r="AC93" i="15"/>
  <c r="S93" i="15"/>
  <c r="Y93" i="15"/>
  <c r="AD93" i="15"/>
  <c r="AI93" i="15"/>
  <c r="AO93" i="15"/>
  <c r="U93" i="15"/>
  <c r="Z93" i="15"/>
  <c r="AE93" i="15"/>
  <c r="AK93" i="15"/>
  <c r="AM93" i="15"/>
  <c r="AH93" i="15"/>
  <c r="R157" i="15"/>
  <c r="T157" i="15"/>
  <c r="X157" i="15"/>
  <c r="AB157" i="15"/>
  <c r="AF157" i="15"/>
  <c r="AJ157" i="15"/>
  <c r="AN157" i="15"/>
  <c r="U157" i="15"/>
  <c r="Y157" i="15"/>
  <c r="AC157" i="15"/>
  <c r="AG157" i="15"/>
  <c r="AK157" i="15"/>
  <c r="AO157" i="15"/>
  <c r="V157" i="15"/>
  <c r="Z157" i="15"/>
  <c r="AD157" i="15"/>
  <c r="AH157" i="15"/>
  <c r="AL157" i="15"/>
  <c r="S157" i="15"/>
  <c r="W157" i="15"/>
  <c r="AA157" i="15"/>
  <c r="AE157" i="15"/>
  <c r="AI157" i="15"/>
  <c r="AM157" i="15"/>
  <c r="R221" i="15"/>
  <c r="U221" i="15"/>
  <c r="Y221" i="15"/>
  <c r="AC221" i="15"/>
  <c r="AG221" i="15"/>
  <c r="AK221" i="15"/>
  <c r="AO221" i="15"/>
  <c r="V221" i="15"/>
  <c r="Z221" i="15"/>
  <c r="AD221" i="15"/>
  <c r="AH221" i="15"/>
  <c r="AL221" i="15"/>
  <c r="S221" i="15"/>
  <c r="W221" i="15"/>
  <c r="AA221" i="15"/>
  <c r="AE221" i="15"/>
  <c r="AI221" i="15"/>
  <c r="AM221" i="15"/>
  <c r="T221" i="15"/>
  <c r="X221" i="15"/>
  <c r="AB221" i="15"/>
  <c r="AF221" i="15"/>
  <c r="AJ221" i="15"/>
  <c r="AN221" i="15"/>
  <c r="R322" i="15"/>
  <c r="U322" i="15"/>
  <c r="Y322" i="15"/>
  <c r="AC322" i="15"/>
  <c r="AG322" i="15"/>
  <c r="AK322" i="15"/>
  <c r="AO322" i="15"/>
  <c r="V322" i="15"/>
  <c r="Z322" i="15"/>
  <c r="AD322" i="15"/>
  <c r="AH322" i="15"/>
  <c r="AL322" i="15"/>
  <c r="S322" i="15"/>
  <c r="W322" i="15"/>
  <c r="AA322" i="15"/>
  <c r="AE322" i="15"/>
  <c r="AI322" i="15"/>
  <c r="AM322" i="15"/>
  <c r="T322" i="15"/>
  <c r="X322" i="15"/>
  <c r="AB322" i="15"/>
  <c r="AF322" i="15"/>
  <c r="AJ322" i="15"/>
  <c r="AN322" i="15"/>
  <c r="R167" i="15"/>
  <c r="S167" i="15"/>
  <c r="W167" i="15"/>
  <c r="AA167" i="15"/>
  <c r="AE167" i="15"/>
  <c r="AI167" i="15"/>
  <c r="AM167" i="15"/>
  <c r="T167" i="15"/>
  <c r="X167" i="15"/>
  <c r="AB167" i="15"/>
  <c r="AF167" i="15"/>
  <c r="AJ167" i="15"/>
  <c r="AN167" i="15"/>
  <c r="U167" i="15"/>
  <c r="Y167" i="15"/>
  <c r="AC167" i="15"/>
  <c r="AG167" i="15"/>
  <c r="AK167" i="15"/>
  <c r="AO167" i="15"/>
  <c r="V167" i="15"/>
  <c r="Z167" i="15"/>
  <c r="AD167" i="15"/>
  <c r="AH167" i="15"/>
  <c r="AL167" i="15"/>
  <c r="R179" i="15"/>
  <c r="S179" i="15"/>
  <c r="W179" i="15"/>
  <c r="AA179" i="15"/>
  <c r="AE179" i="15"/>
  <c r="AI179" i="15"/>
  <c r="AM179" i="15"/>
  <c r="T179" i="15"/>
  <c r="X179" i="15"/>
  <c r="AB179" i="15"/>
  <c r="AF179" i="15"/>
  <c r="AJ179" i="15"/>
  <c r="AN179" i="15"/>
  <c r="U179" i="15"/>
  <c r="Y179" i="15"/>
  <c r="AC179" i="15"/>
  <c r="AG179" i="15"/>
  <c r="AK179" i="15"/>
  <c r="AO179" i="15"/>
  <c r="V179" i="15"/>
  <c r="Z179" i="15"/>
  <c r="AD179" i="15"/>
  <c r="AH179" i="15"/>
  <c r="AL179" i="15"/>
  <c r="R195" i="15"/>
  <c r="S195" i="15"/>
  <c r="W195" i="15"/>
  <c r="AA195" i="15"/>
  <c r="AE195" i="15"/>
  <c r="AI195" i="15"/>
  <c r="AM195" i="15"/>
  <c r="T195" i="15"/>
  <c r="X195" i="15"/>
  <c r="AB195" i="15"/>
  <c r="AF195" i="15"/>
  <c r="AJ195" i="15"/>
  <c r="AN195" i="15"/>
  <c r="U195" i="15"/>
  <c r="Y195" i="15"/>
  <c r="AC195" i="15"/>
  <c r="AG195" i="15"/>
  <c r="AK195" i="15"/>
  <c r="AO195" i="15"/>
  <c r="V195" i="15"/>
  <c r="Z195" i="15"/>
  <c r="AD195" i="15"/>
  <c r="AH195" i="15"/>
  <c r="AL195" i="15"/>
  <c r="R211" i="15"/>
  <c r="S211" i="15"/>
  <c r="W211" i="15"/>
  <c r="AA211" i="15"/>
  <c r="AE211" i="15"/>
  <c r="AI211" i="15"/>
  <c r="AM211" i="15"/>
  <c r="T211" i="15"/>
  <c r="X211" i="15"/>
  <c r="AB211" i="15"/>
  <c r="AF211" i="15"/>
  <c r="AJ211" i="15"/>
  <c r="AN211" i="15"/>
  <c r="U211" i="15"/>
  <c r="Y211" i="15"/>
  <c r="AC211" i="15"/>
  <c r="AG211" i="15"/>
  <c r="AK211" i="15"/>
  <c r="AO211" i="15"/>
  <c r="V211" i="15"/>
  <c r="Z211" i="15"/>
  <c r="AD211" i="15"/>
  <c r="AH211" i="15"/>
  <c r="AL211" i="15"/>
  <c r="R227" i="15"/>
  <c r="S227" i="15"/>
  <c r="W227" i="15"/>
  <c r="AA227" i="15"/>
  <c r="AE227" i="15"/>
  <c r="AI227" i="15"/>
  <c r="AM227" i="15"/>
  <c r="T227" i="15"/>
  <c r="X227" i="15"/>
  <c r="AB227" i="15"/>
  <c r="AF227" i="15"/>
  <c r="AJ227" i="15"/>
  <c r="AN227" i="15"/>
  <c r="U227" i="15"/>
  <c r="Y227" i="15"/>
  <c r="AC227" i="15"/>
  <c r="AG227" i="15"/>
  <c r="AK227" i="15"/>
  <c r="AO227" i="15"/>
  <c r="V227" i="15"/>
  <c r="Z227" i="15"/>
  <c r="AD227" i="15"/>
  <c r="AH227" i="15"/>
  <c r="AL227" i="15"/>
  <c r="R243" i="15"/>
  <c r="S243" i="15"/>
  <c r="W243" i="15"/>
  <c r="AA243" i="15"/>
  <c r="AE243" i="15"/>
  <c r="AI243" i="15"/>
  <c r="AM243" i="15"/>
  <c r="T243" i="15"/>
  <c r="X243" i="15"/>
  <c r="AB243" i="15"/>
  <c r="AF243" i="15"/>
  <c r="AJ243" i="15"/>
  <c r="AN243" i="15"/>
  <c r="U243" i="15"/>
  <c r="Y243" i="15"/>
  <c r="AC243" i="15"/>
  <c r="AG243" i="15"/>
  <c r="AK243" i="15"/>
  <c r="AO243" i="15"/>
  <c r="V243" i="15"/>
  <c r="Z243" i="15"/>
  <c r="AD243" i="15"/>
  <c r="AH243" i="15"/>
  <c r="AL243" i="15"/>
  <c r="R275" i="15"/>
  <c r="S275" i="15"/>
  <c r="W275" i="15"/>
  <c r="AA275" i="15"/>
  <c r="AE275" i="15"/>
  <c r="AI275" i="15"/>
  <c r="AM275" i="15"/>
  <c r="T275" i="15"/>
  <c r="X275" i="15"/>
  <c r="AB275" i="15"/>
  <c r="AF275" i="15"/>
  <c r="AJ275" i="15"/>
  <c r="AN275" i="15"/>
  <c r="U275" i="15"/>
  <c r="Y275" i="15"/>
  <c r="AC275" i="15"/>
  <c r="AG275" i="15"/>
  <c r="AK275" i="15"/>
  <c r="AO275" i="15"/>
  <c r="V275" i="15"/>
  <c r="Z275" i="15"/>
  <c r="AD275" i="15"/>
  <c r="AH275" i="15"/>
  <c r="AL275" i="15"/>
  <c r="R287" i="15"/>
  <c r="S287" i="15"/>
  <c r="W287" i="15"/>
  <c r="AA287" i="15"/>
  <c r="AE287" i="15"/>
  <c r="AI287" i="15"/>
  <c r="AM287" i="15"/>
  <c r="T287" i="15"/>
  <c r="X287" i="15"/>
  <c r="AB287" i="15"/>
  <c r="AF287" i="15"/>
  <c r="AJ287" i="15"/>
  <c r="AN287" i="15"/>
  <c r="U287" i="15"/>
  <c r="Y287" i="15"/>
  <c r="AC287" i="15"/>
  <c r="AG287" i="15"/>
  <c r="AK287" i="15"/>
  <c r="AO287" i="15"/>
  <c r="V287" i="15"/>
  <c r="Z287" i="15"/>
  <c r="AD287" i="15"/>
  <c r="AH287" i="15"/>
  <c r="AL287" i="15"/>
  <c r="R81" i="15"/>
  <c r="T81" i="15"/>
  <c r="X81" i="15"/>
  <c r="AB81" i="15"/>
  <c r="AF81" i="15"/>
  <c r="AJ81" i="15"/>
  <c r="AN81" i="15"/>
  <c r="U81" i="15"/>
  <c r="Z81" i="15"/>
  <c r="AE81" i="15"/>
  <c r="AK81" i="15"/>
  <c r="V81" i="15"/>
  <c r="AA81" i="15"/>
  <c r="AG81" i="15"/>
  <c r="AL81" i="15"/>
  <c r="W81" i="15"/>
  <c r="AC81" i="15"/>
  <c r="AH81" i="15"/>
  <c r="AM81" i="15"/>
  <c r="S81" i="15"/>
  <c r="Y81" i="15"/>
  <c r="AD81" i="15"/>
  <c r="AI81" i="15"/>
  <c r="AO81" i="15"/>
  <c r="R55" i="15"/>
  <c r="U55" i="15"/>
  <c r="Y55" i="15"/>
  <c r="AC55" i="15"/>
  <c r="AG55" i="15"/>
  <c r="AK55" i="15"/>
  <c r="AO55" i="15"/>
  <c r="S55" i="15"/>
  <c r="X55" i="15"/>
  <c r="AD55" i="15"/>
  <c r="AI55" i="15"/>
  <c r="AN55" i="15"/>
  <c r="T55" i="15"/>
  <c r="Z55" i="15"/>
  <c r="AE55" i="15"/>
  <c r="AJ55" i="15"/>
  <c r="W55" i="15"/>
  <c r="AH55" i="15"/>
  <c r="AA55" i="15"/>
  <c r="AL55" i="15"/>
  <c r="AB55" i="15"/>
  <c r="AM55" i="15"/>
  <c r="V55" i="15"/>
  <c r="AF55" i="15"/>
  <c r="T25" i="15"/>
  <c r="X25" i="15"/>
  <c r="AB25" i="15"/>
  <c r="AF25" i="15"/>
  <c r="AJ25" i="15"/>
  <c r="AN25" i="15"/>
  <c r="V25" i="15"/>
  <c r="AA25" i="15"/>
  <c r="AG25" i="15"/>
  <c r="AL25" i="15"/>
  <c r="U25" i="15"/>
  <c r="AC25" i="15"/>
  <c r="AI25" i="15"/>
  <c r="R25" i="15"/>
  <c r="W25" i="15"/>
  <c r="AD25" i="15"/>
  <c r="AK25" i="15"/>
  <c r="Y25" i="15"/>
  <c r="AE25" i="15"/>
  <c r="AM25" i="15"/>
  <c r="Z25" i="15"/>
  <c r="AH25" i="15"/>
  <c r="AO25" i="15"/>
  <c r="S25" i="15"/>
  <c r="T89" i="15"/>
  <c r="X89" i="15"/>
  <c r="AB89" i="15"/>
  <c r="AF89" i="15"/>
  <c r="AJ89" i="15"/>
  <c r="AN89" i="15"/>
  <c r="R89" i="15"/>
  <c r="U89" i="15"/>
  <c r="Z89" i="15"/>
  <c r="AE89" i="15"/>
  <c r="AK89" i="15"/>
  <c r="V89" i="15"/>
  <c r="AA89" i="15"/>
  <c r="AG89" i="15"/>
  <c r="AL89" i="15"/>
  <c r="W89" i="15"/>
  <c r="AC89" i="15"/>
  <c r="AH89" i="15"/>
  <c r="AM89" i="15"/>
  <c r="S89" i="15"/>
  <c r="Y89" i="15"/>
  <c r="AD89" i="15"/>
  <c r="AI89" i="15"/>
  <c r="AO89" i="15"/>
  <c r="R110" i="15"/>
  <c r="U110" i="15"/>
  <c r="Y110" i="15"/>
  <c r="AC110" i="15"/>
  <c r="AG110" i="15"/>
  <c r="AK110" i="15"/>
  <c r="AO110" i="15"/>
  <c r="V110" i="15"/>
  <c r="Z110" i="15"/>
  <c r="AD110" i="15"/>
  <c r="AH110" i="15"/>
  <c r="AL110" i="15"/>
  <c r="S110" i="15"/>
  <c r="W110" i="15"/>
  <c r="AA110" i="15"/>
  <c r="AE110" i="15"/>
  <c r="AI110" i="15"/>
  <c r="AM110" i="15"/>
  <c r="T110" i="15"/>
  <c r="X110" i="15"/>
  <c r="AB110" i="15"/>
  <c r="AF110" i="15"/>
  <c r="AJ110" i="15"/>
  <c r="AN110" i="15"/>
  <c r="R132" i="15"/>
  <c r="S132" i="15"/>
  <c r="W132" i="15"/>
  <c r="AA132" i="15"/>
  <c r="AE132" i="15"/>
  <c r="AI132" i="15"/>
  <c r="AM132" i="15"/>
  <c r="T132" i="15"/>
  <c r="X132" i="15"/>
  <c r="AB132" i="15"/>
  <c r="AF132" i="15"/>
  <c r="AJ132" i="15"/>
  <c r="AN132" i="15"/>
  <c r="U132" i="15"/>
  <c r="Y132" i="15"/>
  <c r="AC132" i="15"/>
  <c r="AG132" i="15"/>
  <c r="AK132" i="15"/>
  <c r="AO132" i="15"/>
  <c r="V132" i="15"/>
  <c r="Z132" i="15"/>
  <c r="AD132" i="15"/>
  <c r="AH132" i="15"/>
  <c r="AL132" i="15"/>
  <c r="R153" i="15"/>
  <c r="T153" i="15"/>
  <c r="X153" i="15"/>
  <c r="AB153" i="15"/>
  <c r="AF153" i="15"/>
  <c r="AJ153" i="15"/>
  <c r="AN153" i="15"/>
  <c r="U153" i="15"/>
  <c r="Y153" i="15"/>
  <c r="AC153" i="15"/>
  <c r="AG153" i="15"/>
  <c r="AK153" i="15"/>
  <c r="AO153" i="15"/>
  <c r="V153" i="15"/>
  <c r="Z153" i="15"/>
  <c r="AD153" i="15"/>
  <c r="AH153" i="15"/>
  <c r="AL153" i="15"/>
  <c r="S153" i="15"/>
  <c r="W153" i="15"/>
  <c r="AA153" i="15"/>
  <c r="AE153" i="15"/>
  <c r="AI153" i="15"/>
  <c r="AM153" i="15"/>
  <c r="R217" i="15"/>
  <c r="U217" i="15"/>
  <c r="Y217" i="15"/>
  <c r="AC217" i="15"/>
  <c r="AG217" i="15"/>
  <c r="AK217" i="15"/>
  <c r="AO217" i="15"/>
  <c r="V217" i="15"/>
  <c r="Z217" i="15"/>
  <c r="AD217" i="15"/>
  <c r="AH217" i="15"/>
  <c r="AL217" i="15"/>
  <c r="S217" i="15"/>
  <c r="W217" i="15"/>
  <c r="AA217" i="15"/>
  <c r="AE217" i="15"/>
  <c r="AI217" i="15"/>
  <c r="AM217" i="15"/>
  <c r="T217" i="15"/>
  <c r="X217" i="15"/>
  <c r="AB217" i="15"/>
  <c r="AF217" i="15"/>
  <c r="AJ217" i="15"/>
  <c r="AN217" i="15"/>
  <c r="R281" i="15"/>
  <c r="U281" i="15"/>
  <c r="Y281" i="15"/>
  <c r="AC281" i="15"/>
  <c r="AG281" i="15"/>
  <c r="AK281" i="15"/>
  <c r="AO281" i="15"/>
  <c r="V281" i="15"/>
  <c r="Z281" i="15"/>
  <c r="AD281" i="15"/>
  <c r="AH281" i="15"/>
  <c r="AL281" i="15"/>
  <c r="S281" i="15"/>
  <c r="W281" i="15"/>
  <c r="AA281" i="15"/>
  <c r="AE281" i="15"/>
  <c r="AI281" i="15"/>
  <c r="AM281" i="15"/>
  <c r="T281" i="15"/>
  <c r="X281" i="15"/>
  <c r="AB281" i="15"/>
  <c r="AF281" i="15"/>
  <c r="AJ281" i="15"/>
  <c r="AN281" i="15"/>
  <c r="R308" i="15"/>
  <c r="S308" i="15"/>
  <c r="W308" i="15"/>
  <c r="AA308" i="15"/>
  <c r="AE308" i="15"/>
  <c r="AI308" i="15"/>
  <c r="AM308" i="15"/>
  <c r="T308" i="15"/>
  <c r="X308" i="15"/>
  <c r="AB308" i="15"/>
  <c r="AF308" i="15"/>
  <c r="AJ308" i="15"/>
  <c r="AN308" i="15"/>
  <c r="U308" i="15"/>
  <c r="Y308" i="15"/>
  <c r="AC308" i="15"/>
  <c r="AG308" i="15"/>
  <c r="AK308" i="15"/>
  <c r="AO308" i="15"/>
  <c r="V308" i="15"/>
  <c r="Z308" i="15"/>
  <c r="AD308" i="15"/>
  <c r="AH308" i="15"/>
  <c r="AL308" i="15"/>
  <c r="R329" i="15"/>
  <c r="T329" i="15"/>
  <c r="X329" i="15"/>
  <c r="AB329" i="15"/>
  <c r="AF329" i="15"/>
  <c r="AJ329" i="15"/>
  <c r="AN329" i="15"/>
  <c r="U329" i="15"/>
  <c r="Y329" i="15"/>
  <c r="AC329" i="15"/>
  <c r="AG329" i="15"/>
  <c r="AK329" i="15"/>
  <c r="AO329" i="15"/>
  <c r="V329" i="15"/>
  <c r="Z329" i="15"/>
  <c r="AD329" i="15"/>
  <c r="AH329" i="15"/>
  <c r="AL329" i="15"/>
  <c r="S329" i="15"/>
  <c r="W329" i="15"/>
  <c r="AA329" i="15"/>
  <c r="AE329" i="15"/>
  <c r="AI329" i="15"/>
  <c r="AM329" i="15"/>
  <c r="R299" i="15"/>
  <c r="V299" i="15"/>
  <c r="Z299" i="15"/>
  <c r="AD299" i="15"/>
  <c r="AH299" i="15"/>
  <c r="AL299" i="15"/>
  <c r="S299" i="15"/>
  <c r="W299" i="15"/>
  <c r="AA299" i="15"/>
  <c r="AE299" i="15"/>
  <c r="AI299" i="15"/>
  <c r="AM299" i="15"/>
  <c r="T299" i="15"/>
  <c r="X299" i="15"/>
  <c r="AB299" i="15"/>
  <c r="AF299" i="15"/>
  <c r="AJ299" i="15"/>
  <c r="AN299" i="15"/>
  <c r="U299" i="15"/>
  <c r="Y299" i="15"/>
  <c r="AC299" i="15"/>
  <c r="AG299" i="15"/>
  <c r="AK299" i="15"/>
  <c r="AO299" i="15"/>
  <c r="R331" i="15"/>
  <c r="V331" i="15"/>
  <c r="Z331" i="15"/>
  <c r="AD331" i="15"/>
  <c r="AH331" i="15"/>
  <c r="AL331" i="15"/>
  <c r="S331" i="15"/>
  <c r="W331" i="15"/>
  <c r="AA331" i="15"/>
  <c r="AE331" i="15"/>
  <c r="AI331" i="15"/>
  <c r="AM331" i="15"/>
  <c r="T331" i="15"/>
  <c r="X331" i="15"/>
  <c r="AB331" i="15"/>
  <c r="AF331" i="15"/>
  <c r="AJ331" i="15"/>
  <c r="AN331" i="15"/>
  <c r="U331" i="15"/>
  <c r="Y331" i="15"/>
  <c r="AC331" i="15"/>
  <c r="AG331" i="15"/>
  <c r="AK331" i="15"/>
  <c r="AO331" i="15"/>
  <c r="R129" i="15"/>
  <c r="T129" i="15"/>
  <c r="X129" i="15"/>
  <c r="AB129" i="15"/>
  <c r="AF129" i="15"/>
  <c r="AJ129" i="15"/>
  <c r="AN129" i="15"/>
  <c r="U129" i="15"/>
  <c r="Y129" i="15"/>
  <c r="AC129" i="15"/>
  <c r="AG129" i="15"/>
  <c r="AK129" i="15"/>
  <c r="AO129" i="15"/>
  <c r="V129" i="15"/>
  <c r="Z129" i="15"/>
  <c r="AD129" i="15"/>
  <c r="AH129" i="15"/>
  <c r="AL129" i="15"/>
  <c r="S129" i="15"/>
  <c r="W129" i="15"/>
  <c r="AA129" i="15"/>
  <c r="AE129" i="15"/>
  <c r="AI129" i="15"/>
  <c r="AM129" i="15"/>
  <c r="U26" i="15"/>
  <c r="Y26" i="15"/>
  <c r="AC26" i="15"/>
  <c r="AG26" i="15"/>
  <c r="AK26" i="15"/>
  <c r="AO26" i="15"/>
  <c r="T26" i="15"/>
  <c r="Z26" i="15"/>
  <c r="AE26" i="15"/>
  <c r="AJ26" i="15"/>
  <c r="S26" i="15"/>
  <c r="AA26" i="15"/>
  <c r="AH26" i="15"/>
  <c r="AN26" i="15"/>
  <c r="V26" i="15"/>
  <c r="AB26" i="15"/>
  <c r="AI26" i="15"/>
  <c r="R26" i="15"/>
  <c r="W26" i="15"/>
  <c r="AD26" i="15"/>
  <c r="AL26" i="15"/>
  <c r="AF26" i="15"/>
  <c r="AM26" i="15"/>
  <c r="X26" i="15"/>
  <c r="S48" i="15"/>
  <c r="W48" i="15"/>
  <c r="AA48" i="15"/>
  <c r="AE48" i="15"/>
  <c r="AI48" i="15"/>
  <c r="AM48" i="15"/>
  <c r="X48" i="15"/>
  <c r="AC48" i="15"/>
  <c r="AH48" i="15"/>
  <c r="AN48" i="15"/>
  <c r="U48" i="15"/>
  <c r="AB48" i="15"/>
  <c r="AJ48" i="15"/>
  <c r="V48" i="15"/>
  <c r="AD48" i="15"/>
  <c r="AK48" i="15"/>
  <c r="R48" i="15"/>
  <c r="T48" i="15"/>
  <c r="AG48" i="15"/>
  <c r="Y48" i="15"/>
  <c r="AL48" i="15"/>
  <c r="Z48" i="15"/>
  <c r="AO48" i="15"/>
  <c r="AF48" i="15"/>
  <c r="T69" i="15"/>
  <c r="X69" i="15"/>
  <c r="AB69" i="15"/>
  <c r="AF69" i="15"/>
  <c r="AJ69" i="15"/>
  <c r="AN69" i="15"/>
  <c r="R69" i="15"/>
  <c r="U69" i="15"/>
  <c r="Z69" i="15"/>
  <c r="AE69" i="15"/>
  <c r="AK69" i="15"/>
  <c r="V69" i="15"/>
  <c r="AA69" i="15"/>
  <c r="AG69" i="15"/>
  <c r="AL69" i="15"/>
  <c r="W69" i="15"/>
  <c r="AC69" i="15"/>
  <c r="AH69" i="15"/>
  <c r="AM69" i="15"/>
  <c r="S69" i="15"/>
  <c r="Y69" i="15"/>
  <c r="AD69" i="15"/>
  <c r="AI69" i="15"/>
  <c r="AO69" i="15"/>
  <c r="R112" i="15"/>
  <c r="S112" i="15"/>
  <c r="W112" i="15"/>
  <c r="AA112" i="15"/>
  <c r="AE112" i="15"/>
  <c r="AI112" i="15"/>
  <c r="AM112" i="15"/>
  <c r="T112" i="15"/>
  <c r="X112" i="15"/>
  <c r="AB112" i="15"/>
  <c r="AF112" i="15"/>
  <c r="AJ112" i="15"/>
  <c r="AN112" i="15"/>
  <c r="U112" i="15"/>
  <c r="Y112" i="15"/>
  <c r="AC112" i="15"/>
  <c r="AG112" i="15"/>
  <c r="AK112" i="15"/>
  <c r="AO112" i="15"/>
  <c r="V112" i="15"/>
  <c r="Z112" i="15"/>
  <c r="AD112" i="15"/>
  <c r="AH112" i="15"/>
  <c r="AL112" i="15"/>
  <c r="R133" i="15"/>
  <c r="T133" i="15"/>
  <c r="X133" i="15"/>
  <c r="AB133" i="15"/>
  <c r="AF133" i="15"/>
  <c r="AJ133" i="15"/>
  <c r="AN133" i="15"/>
  <c r="U133" i="15"/>
  <c r="Y133" i="15"/>
  <c r="AC133" i="15"/>
  <c r="AG133" i="15"/>
  <c r="AK133" i="15"/>
  <c r="AO133" i="15"/>
  <c r="V133" i="15"/>
  <c r="Z133" i="15"/>
  <c r="AD133" i="15"/>
  <c r="AH133" i="15"/>
  <c r="AL133" i="15"/>
  <c r="S133" i="15"/>
  <c r="W133" i="15"/>
  <c r="AA133" i="15"/>
  <c r="AE133" i="15"/>
  <c r="AI133" i="15"/>
  <c r="AM133" i="15"/>
  <c r="R165" i="15"/>
  <c r="U165" i="15"/>
  <c r="Y165" i="15"/>
  <c r="AC165" i="15"/>
  <c r="AG165" i="15"/>
  <c r="AK165" i="15"/>
  <c r="AO165" i="15"/>
  <c r="V165" i="15"/>
  <c r="Z165" i="15"/>
  <c r="AD165" i="15"/>
  <c r="AH165" i="15"/>
  <c r="AL165" i="15"/>
  <c r="S165" i="15"/>
  <c r="W165" i="15"/>
  <c r="AA165" i="15"/>
  <c r="AE165" i="15"/>
  <c r="AI165" i="15"/>
  <c r="AM165" i="15"/>
  <c r="T165" i="15"/>
  <c r="X165" i="15"/>
  <c r="AB165" i="15"/>
  <c r="AF165" i="15"/>
  <c r="AJ165" i="15"/>
  <c r="AN165" i="15"/>
  <c r="R229" i="15"/>
  <c r="U229" i="15"/>
  <c r="Y229" i="15"/>
  <c r="AC229" i="15"/>
  <c r="AG229" i="15"/>
  <c r="AK229" i="15"/>
  <c r="AO229" i="15"/>
  <c r="V229" i="15"/>
  <c r="Z229" i="15"/>
  <c r="AD229" i="15"/>
  <c r="AH229" i="15"/>
  <c r="AL229" i="15"/>
  <c r="S229" i="15"/>
  <c r="W229" i="15"/>
  <c r="AA229" i="15"/>
  <c r="AE229" i="15"/>
  <c r="AI229" i="15"/>
  <c r="AM229" i="15"/>
  <c r="T229" i="15"/>
  <c r="X229" i="15"/>
  <c r="AB229" i="15"/>
  <c r="AF229" i="15"/>
  <c r="AJ229" i="15"/>
  <c r="AN229" i="15"/>
  <c r="R293" i="15"/>
  <c r="U293" i="15"/>
  <c r="V293" i="15"/>
  <c r="S293" i="15"/>
  <c r="T293" i="15"/>
  <c r="X293" i="15"/>
  <c r="AB293" i="15"/>
  <c r="AF293" i="15"/>
  <c r="AJ293" i="15"/>
  <c r="AN293" i="15"/>
  <c r="Y293" i="15"/>
  <c r="AC293" i="15"/>
  <c r="AG293" i="15"/>
  <c r="AK293" i="15"/>
  <c r="AO293" i="15"/>
  <c r="Z293" i="15"/>
  <c r="AD293" i="15"/>
  <c r="AH293" i="15"/>
  <c r="AL293" i="15"/>
  <c r="W293" i="15"/>
  <c r="AA293" i="15"/>
  <c r="AE293" i="15"/>
  <c r="AI293" i="15"/>
  <c r="AM293" i="15"/>
  <c r="R314" i="15"/>
  <c r="U314" i="15"/>
  <c r="Y314" i="15"/>
  <c r="AC314" i="15"/>
  <c r="AG314" i="15"/>
  <c r="AK314" i="15"/>
  <c r="AO314" i="15"/>
  <c r="V314" i="15"/>
  <c r="Z314" i="15"/>
  <c r="AD314" i="15"/>
  <c r="AH314" i="15"/>
  <c r="AL314" i="15"/>
  <c r="S314" i="15"/>
  <c r="W314" i="15"/>
  <c r="AA314" i="15"/>
  <c r="AE314" i="15"/>
  <c r="AI314" i="15"/>
  <c r="AM314" i="15"/>
  <c r="T314" i="15"/>
  <c r="X314" i="15"/>
  <c r="AB314" i="15"/>
  <c r="AF314" i="15"/>
  <c r="AJ314" i="15"/>
  <c r="AN314" i="15"/>
  <c r="R336" i="15"/>
  <c r="S336" i="15"/>
  <c r="W336" i="15"/>
  <c r="AA336" i="15"/>
  <c r="AE336" i="15"/>
  <c r="AI336" i="15"/>
  <c r="AM336" i="15"/>
  <c r="T336" i="15"/>
  <c r="X336" i="15"/>
  <c r="AB336" i="15"/>
  <c r="AF336" i="15"/>
  <c r="AJ336" i="15"/>
  <c r="AN336" i="15"/>
  <c r="U336" i="15"/>
  <c r="Y336" i="15"/>
  <c r="AC336" i="15"/>
  <c r="AG336" i="15"/>
  <c r="AK336" i="15"/>
  <c r="AO336" i="15"/>
  <c r="V336" i="15"/>
  <c r="Z336" i="15"/>
  <c r="AD336" i="15"/>
  <c r="AH336" i="15"/>
  <c r="AL336" i="15"/>
  <c r="T49" i="15"/>
  <c r="X49" i="15"/>
  <c r="AB49" i="15"/>
  <c r="AF49" i="15"/>
  <c r="AJ49" i="15"/>
  <c r="AN49" i="15"/>
  <c r="V49" i="15"/>
  <c r="AA49" i="15"/>
  <c r="AG49" i="15"/>
  <c r="AL49" i="15"/>
  <c r="R49" i="15"/>
  <c r="S49" i="15"/>
  <c r="Z49" i="15"/>
  <c r="AH49" i="15"/>
  <c r="AO49" i="15"/>
  <c r="U49" i="15"/>
  <c r="AC49" i="15"/>
  <c r="AI49" i="15"/>
  <c r="Y49" i="15"/>
  <c r="AM49" i="15"/>
  <c r="AD49" i="15"/>
  <c r="AE49" i="15"/>
  <c r="W49" i="15"/>
  <c r="AK49" i="15"/>
  <c r="R342" i="15"/>
  <c r="U342" i="15"/>
  <c r="Y342" i="15"/>
  <c r="AC342" i="15"/>
  <c r="AG342" i="15"/>
  <c r="AK342" i="15"/>
  <c r="AO342" i="15"/>
  <c r="V342" i="15"/>
  <c r="Z342" i="15"/>
  <c r="AD342" i="15"/>
  <c r="AH342" i="15"/>
  <c r="AL342" i="15"/>
  <c r="S342" i="15"/>
  <c r="W342" i="15"/>
  <c r="AA342" i="15"/>
  <c r="AE342" i="15"/>
  <c r="AI342" i="15"/>
  <c r="AM342" i="15"/>
  <c r="T342" i="15"/>
  <c r="X342" i="15"/>
  <c r="AB342" i="15"/>
  <c r="AF342" i="15"/>
  <c r="AJ342" i="15"/>
  <c r="AN342" i="15"/>
  <c r="R43" i="15"/>
  <c r="V43" i="15"/>
  <c r="Z43" i="15"/>
  <c r="AD43" i="15"/>
  <c r="AH43" i="15"/>
  <c r="AL43" i="15"/>
  <c r="U43" i="15"/>
  <c r="AA43" i="15"/>
  <c r="AF43" i="15"/>
  <c r="AK43" i="15"/>
  <c r="W43" i="15"/>
  <c r="AC43" i="15"/>
  <c r="AJ43" i="15"/>
  <c r="X43" i="15"/>
  <c r="AE43" i="15"/>
  <c r="AM43" i="15"/>
  <c r="AB43" i="15"/>
  <c r="AO43" i="15"/>
  <c r="S43" i="15"/>
  <c r="AG43" i="15"/>
  <c r="T43" i="15"/>
  <c r="AI43" i="15"/>
  <c r="Y43" i="15"/>
  <c r="AN43" i="15"/>
  <c r="R99" i="15"/>
  <c r="V99" i="15"/>
  <c r="Z99" i="15"/>
  <c r="AD99" i="15"/>
  <c r="AH99" i="15"/>
  <c r="AL99" i="15"/>
  <c r="U99" i="15"/>
  <c r="AA99" i="15"/>
  <c r="AF99" i="15"/>
  <c r="AK99" i="15"/>
  <c r="W99" i="15"/>
  <c r="AB99" i="15"/>
  <c r="AG99" i="15"/>
  <c r="AM99" i="15"/>
  <c r="S99" i="15"/>
  <c r="X99" i="15"/>
  <c r="AC99" i="15"/>
  <c r="AI99" i="15"/>
  <c r="AN99" i="15"/>
  <c r="T99" i="15"/>
  <c r="Y99" i="15"/>
  <c r="AE99" i="15"/>
  <c r="AJ99" i="15"/>
  <c r="AO99" i="15"/>
  <c r="R123" i="15"/>
  <c r="V123" i="15"/>
  <c r="Z123" i="15"/>
  <c r="AD123" i="15"/>
  <c r="AH123" i="15"/>
  <c r="AL123" i="15"/>
  <c r="S123" i="15"/>
  <c r="W123" i="15"/>
  <c r="AA123" i="15"/>
  <c r="AE123" i="15"/>
  <c r="AI123" i="15"/>
  <c r="AM123" i="15"/>
  <c r="T123" i="15"/>
  <c r="X123" i="15"/>
  <c r="AB123" i="15"/>
  <c r="AF123" i="15"/>
  <c r="AJ123" i="15"/>
  <c r="AN123" i="15"/>
  <c r="U123" i="15"/>
  <c r="Y123" i="15"/>
  <c r="AC123" i="15"/>
  <c r="AG123" i="15"/>
  <c r="AK123" i="15"/>
  <c r="AO123" i="15"/>
  <c r="R139" i="15"/>
  <c r="V139" i="15"/>
  <c r="Z139" i="15"/>
  <c r="AD139" i="15"/>
  <c r="AH139" i="15"/>
  <c r="AL139" i="15"/>
  <c r="S139" i="15"/>
  <c r="W139" i="15"/>
  <c r="AA139" i="15"/>
  <c r="AE139" i="15"/>
  <c r="AI139" i="15"/>
  <c r="AM139" i="15"/>
  <c r="T139" i="15"/>
  <c r="X139" i="15"/>
  <c r="AB139" i="15"/>
  <c r="AF139" i="15"/>
  <c r="AJ139" i="15"/>
  <c r="AN139" i="15"/>
  <c r="U139" i="15"/>
  <c r="Y139" i="15"/>
  <c r="AC139" i="15"/>
  <c r="AG139" i="15"/>
  <c r="AK139" i="15"/>
  <c r="AO139" i="15"/>
  <c r="R120" i="15"/>
  <c r="S120" i="15"/>
  <c r="W120" i="15"/>
  <c r="AA120" i="15"/>
  <c r="AE120" i="15"/>
  <c r="AI120" i="15"/>
  <c r="AM120" i="15"/>
  <c r="T120" i="15"/>
  <c r="X120" i="15"/>
  <c r="AB120" i="15"/>
  <c r="AF120" i="15"/>
  <c r="AJ120" i="15"/>
  <c r="AN120" i="15"/>
  <c r="U120" i="15"/>
  <c r="Y120" i="15"/>
  <c r="AC120" i="15"/>
  <c r="AG120" i="15"/>
  <c r="AK120" i="15"/>
  <c r="AO120" i="15"/>
  <c r="V120" i="15"/>
  <c r="Z120" i="15"/>
  <c r="AD120" i="15"/>
  <c r="AH120" i="15"/>
  <c r="AL120" i="15"/>
  <c r="R214" i="15"/>
  <c r="V214" i="15"/>
  <c r="Z214" i="15"/>
  <c r="AD214" i="15"/>
  <c r="AH214" i="15"/>
  <c r="AL214" i="15"/>
  <c r="S214" i="15"/>
  <c r="W214" i="15"/>
  <c r="AA214" i="15"/>
  <c r="AE214" i="15"/>
  <c r="AI214" i="15"/>
  <c r="AM214" i="15"/>
  <c r="T214" i="15"/>
  <c r="X214" i="15"/>
  <c r="AB214" i="15"/>
  <c r="AF214" i="15"/>
  <c r="AJ214" i="15"/>
  <c r="AN214" i="15"/>
  <c r="U214" i="15"/>
  <c r="Y214" i="15"/>
  <c r="AC214" i="15"/>
  <c r="AG214" i="15"/>
  <c r="AK214" i="15"/>
  <c r="AO214" i="15"/>
  <c r="R209" i="15"/>
  <c r="U209" i="15"/>
  <c r="Y209" i="15"/>
  <c r="AC209" i="15"/>
  <c r="AG209" i="15"/>
  <c r="AK209" i="15"/>
  <c r="AO209" i="15"/>
  <c r="V209" i="15"/>
  <c r="Z209" i="15"/>
  <c r="AD209" i="15"/>
  <c r="AH209" i="15"/>
  <c r="AL209" i="15"/>
  <c r="S209" i="15"/>
  <c r="W209" i="15"/>
  <c r="AA209" i="15"/>
  <c r="AE209" i="15"/>
  <c r="AI209" i="15"/>
  <c r="AM209" i="15"/>
  <c r="T209" i="15"/>
  <c r="X209" i="15"/>
  <c r="AB209" i="15"/>
  <c r="AF209" i="15"/>
  <c r="AJ209" i="15"/>
  <c r="AN209" i="15"/>
  <c r="R273" i="15"/>
  <c r="U273" i="15"/>
  <c r="Y273" i="15"/>
  <c r="AC273" i="15"/>
  <c r="AG273" i="15"/>
  <c r="AK273" i="15"/>
  <c r="AO273" i="15"/>
  <c r="V273" i="15"/>
  <c r="Z273" i="15"/>
  <c r="AD273" i="15"/>
  <c r="AH273" i="15"/>
  <c r="AL273" i="15"/>
  <c r="S273" i="15"/>
  <c r="W273" i="15"/>
  <c r="AA273" i="15"/>
  <c r="AE273" i="15"/>
  <c r="AI273" i="15"/>
  <c r="AM273" i="15"/>
  <c r="T273" i="15"/>
  <c r="X273" i="15"/>
  <c r="AB273" i="15"/>
  <c r="AF273" i="15"/>
  <c r="AJ273" i="15"/>
  <c r="AN273" i="15"/>
  <c r="R337" i="15"/>
  <c r="T337" i="15"/>
  <c r="X337" i="15"/>
  <c r="AB337" i="15"/>
  <c r="AF337" i="15"/>
  <c r="AJ337" i="15"/>
  <c r="AN337" i="15"/>
  <c r="U337" i="15"/>
  <c r="Y337" i="15"/>
  <c r="AC337" i="15"/>
  <c r="AG337" i="15"/>
  <c r="AK337" i="15"/>
  <c r="AO337" i="15"/>
  <c r="V337" i="15"/>
  <c r="Z337" i="15"/>
  <c r="AD337" i="15"/>
  <c r="AH337" i="15"/>
  <c r="AL337" i="15"/>
  <c r="S337" i="15"/>
  <c r="W337" i="15"/>
  <c r="AA337" i="15"/>
  <c r="AE337" i="15"/>
  <c r="AI337" i="15"/>
  <c r="AM337" i="15"/>
  <c r="U6" i="15"/>
  <c r="Y6" i="15"/>
  <c r="AC6" i="15"/>
  <c r="AG6" i="15"/>
  <c r="AK6" i="15"/>
  <c r="AO6" i="15"/>
  <c r="W6" i="15"/>
  <c r="AB6" i="15"/>
  <c r="AH6" i="15"/>
  <c r="AM6" i="15"/>
  <c r="T6" i="15"/>
  <c r="AA6" i="15"/>
  <c r="AI6" i="15"/>
  <c r="R6" i="15"/>
  <c r="V6" i="15"/>
  <c r="AD6" i="15"/>
  <c r="AJ6" i="15"/>
  <c r="X6" i="15"/>
  <c r="AE6" i="15"/>
  <c r="AL6" i="15"/>
  <c r="S6" i="15"/>
  <c r="Z6" i="15"/>
  <c r="AF6" i="15"/>
  <c r="AN6" i="15"/>
  <c r="R160" i="15"/>
  <c r="S160" i="15"/>
  <c r="W160" i="15"/>
  <c r="AA160" i="15"/>
  <c r="AE160" i="15"/>
  <c r="AI160" i="15"/>
  <c r="AM160" i="15"/>
  <c r="T160" i="15"/>
  <c r="X160" i="15"/>
  <c r="AB160" i="15"/>
  <c r="AF160" i="15"/>
  <c r="AJ160" i="15"/>
  <c r="AN160" i="15"/>
  <c r="U160" i="15"/>
  <c r="Y160" i="15"/>
  <c r="AC160" i="15"/>
  <c r="AG160" i="15"/>
  <c r="AK160" i="15"/>
  <c r="AO160" i="15"/>
  <c r="V160" i="15"/>
  <c r="Z160" i="15"/>
  <c r="AD160" i="15"/>
  <c r="AH160" i="15"/>
  <c r="AL160" i="15"/>
  <c r="R236" i="15"/>
  <c r="T236" i="15"/>
  <c r="X236" i="15"/>
  <c r="AB236" i="15"/>
  <c r="AF236" i="15"/>
  <c r="AJ236" i="15"/>
  <c r="AN236" i="15"/>
  <c r="U236" i="15"/>
  <c r="Y236" i="15"/>
  <c r="AC236" i="15"/>
  <c r="AG236" i="15"/>
  <c r="AK236" i="15"/>
  <c r="AO236" i="15"/>
  <c r="V236" i="15"/>
  <c r="Z236" i="15"/>
  <c r="AD236" i="15"/>
  <c r="AH236" i="15"/>
  <c r="AL236" i="15"/>
  <c r="S236" i="15"/>
  <c r="W236" i="15"/>
  <c r="AA236" i="15"/>
  <c r="AE236" i="15"/>
  <c r="AI236" i="15"/>
  <c r="AM236" i="15"/>
  <c r="R333" i="15"/>
  <c r="T333" i="15"/>
  <c r="X333" i="15"/>
  <c r="AB333" i="15"/>
  <c r="AF333" i="15"/>
  <c r="AJ333" i="15"/>
  <c r="AN333" i="15"/>
  <c r="U333" i="15"/>
  <c r="Y333" i="15"/>
  <c r="AC333" i="15"/>
  <c r="AG333" i="15"/>
  <c r="AK333" i="15"/>
  <c r="AO333" i="15"/>
  <c r="V333" i="15"/>
  <c r="Z333" i="15"/>
  <c r="AD333" i="15"/>
  <c r="AH333" i="15"/>
  <c r="AL333" i="15"/>
  <c r="S333" i="15"/>
  <c r="W333" i="15"/>
  <c r="AA333" i="15"/>
  <c r="AE333" i="15"/>
  <c r="AI333" i="15"/>
  <c r="AM333" i="15"/>
  <c r="U34" i="15"/>
  <c r="Y34" i="15"/>
  <c r="AC34" i="15"/>
  <c r="AG34" i="15"/>
  <c r="AK34" i="15"/>
  <c r="AO34" i="15"/>
  <c r="R34" i="15"/>
  <c r="W34" i="15"/>
  <c r="AB34" i="15"/>
  <c r="AH34" i="15"/>
  <c r="AM34" i="15"/>
  <c r="T34" i="15"/>
  <c r="AA34" i="15"/>
  <c r="AI34" i="15"/>
  <c r="V34" i="15"/>
  <c r="AD34" i="15"/>
  <c r="AJ34" i="15"/>
  <c r="X34" i="15"/>
  <c r="S34" i="15"/>
  <c r="AL34" i="15"/>
  <c r="Z34" i="15"/>
  <c r="AN34" i="15"/>
  <c r="AE34" i="15"/>
  <c r="AF34" i="15"/>
  <c r="V60" i="15"/>
  <c r="Z60" i="15"/>
  <c r="AD60" i="15"/>
  <c r="AH60" i="15"/>
  <c r="AL60" i="15"/>
  <c r="U60" i="15"/>
  <c r="AA60" i="15"/>
  <c r="AF60" i="15"/>
  <c r="AK60" i="15"/>
  <c r="W60" i="15"/>
  <c r="AB60" i="15"/>
  <c r="AG60" i="15"/>
  <c r="AM60" i="15"/>
  <c r="R60" i="15"/>
  <c r="Y60" i="15"/>
  <c r="AJ60" i="15"/>
  <c r="S60" i="15"/>
  <c r="AC60" i="15"/>
  <c r="AN60" i="15"/>
  <c r="T60" i="15"/>
  <c r="AE60" i="15"/>
  <c r="AO60" i="15"/>
  <c r="X60" i="15"/>
  <c r="AI60" i="15"/>
  <c r="S88" i="15"/>
  <c r="W88" i="15"/>
  <c r="AA88" i="15"/>
  <c r="AE88" i="15"/>
  <c r="AI88" i="15"/>
  <c r="AM88" i="15"/>
  <c r="R88" i="15"/>
  <c r="V88" i="15"/>
  <c r="AB88" i="15"/>
  <c r="AG88" i="15"/>
  <c r="AL88" i="15"/>
  <c r="X88" i="15"/>
  <c r="AC88" i="15"/>
  <c r="AH88" i="15"/>
  <c r="AN88" i="15"/>
  <c r="T88" i="15"/>
  <c r="Y88" i="15"/>
  <c r="AD88" i="15"/>
  <c r="AJ88" i="15"/>
  <c r="AO88" i="15"/>
  <c r="U88" i="15"/>
  <c r="Z88" i="15"/>
  <c r="AF88" i="15"/>
  <c r="AK88" i="15"/>
  <c r="R114" i="15"/>
  <c r="U114" i="15"/>
  <c r="Y114" i="15"/>
  <c r="AC114" i="15"/>
  <c r="AG114" i="15"/>
  <c r="AK114" i="15"/>
  <c r="AO114" i="15"/>
  <c r="V114" i="15"/>
  <c r="Z114" i="15"/>
  <c r="AD114" i="15"/>
  <c r="AH114" i="15"/>
  <c r="AL114" i="15"/>
  <c r="S114" i="15"/>
  <c r="W114" i="15"/>
  <c r="AA114" i="15"/>
  <c r="AE114" i="15"/>
  <c r="AI114" i="15"/>
  <c r="AM114" i="15"/>
  <c r="T114" i="15"/>
  <c r="X114" i="15"/>
  <c r="AB114" i="15"/>
  <c r="AF114" i="15"/>
  <c r="AJ114" i="15"/>
  <c r="AN114" i="15"/>
  <c r="R136" i="15"/>
  <c r="S136" i="15"/>
  <c r="W136" i="15"/>
  <c r="AA136" i="15"/>
  <c r="AE136" i="15"/>
  <c r="AI136" i="15"/>
  <c r="AM136" i="15"/>
  <c r="T136" i="15"/>
  <c r="X136" i="15"/>
  <c r="AB136" i="15"/>
  <c r="AF136" i="15"/>
  <c r="AJ136" i="15"/>
  <c r="AN136" i="15"/>
  <c r="U136" i="15"/>
  <c r="Y136" i="15"/>
  <c r="AC136" i="15"/>
  <c r="AG136" i="15"/>
  <c r="AK136" i="15"/>
  <c r="AO136" i="15"/>
  <c r="V136" i="15"/>
  <c r="Z136" i="15"/>
  <c r="AD136" i="15"/>
  <c r="AH136" i="15"/>
  <c r="AL136" i="15"/>
  <c r="R166" i="15"/>
  <c r="V166" i="15"/>
  <c r="Z166" i="15"/>
  <c r="AD166" i="15"/>
  <c r="AH166" i="15"/>
  <c r="AL166" i="15"/>
  <c r="S166" i="15"/>
  <c r="W166" i="15"/>
  <c r="AA166" i="15"/>
  <c r="AE166" i="15"/>
  <c r="AI166" i="15"/>
  <c r="AM166" i="15"/>
  <c r="T166" i="15"/>
  <c r="X166" i="15"/>
  <c r="AB166" i="15"/>
  <c r="AF166" i="15"/>
  <c r="AJ166" i="15"/>
  <c r="AN166" i="15"/>
  <c r="U166" i="15"/>
  <c r="Y166" i="15"/>
  <c r="AC166" i="15"/>
  <c r="AG166" i="15"/>
  <c r="AK166" i="15"/>
  <c r="AO166" i="15"/>
  <c r="R242" i="15"/>
  <c r="V242" i="15"/>
  <c r="Z242" i="15"/>
  <c r="AD242" i="15"/>
  <c r="AH242" i="15"/>
  <c r="AL242" i="15"/>
  <c r="S242" i="15"/>
  <c r="W242" i="15"/>
  <c r="AA242" i="15"/>
  <c r="AE242" i="15"/>
  <c r="AI242" i="15"/>
  <c r="AM242" i="15"/>
  <c r="T242" i="15"/>
  <c r="X242" i="15"/>
  <c r="AB242" i="15"/>
  <c r="AF242" i="15"/>
  <c r="AJ242" i="15"/>
  <c r="AN242" i="15"/>
  <c r="U242" i="15"/>
  <c r="Y242" i="15"/>
  <c r="AC242" i="15"/>
  <c r="AG242" i="15"/>
  <c r="AK242" i="15"/>
  <c r="AO242" i="15"/>
  <c r="R168" i="15"/>
  <c r="T168" i="15"/>
  <c r="X168" i="15"/>
  <c r="AB168" i="15"/>
  <c r="AF168" i="15"/>
  <c r="AJ168" i="15"/>
  <c r="AN168" i="15"/>
  <c r="U168" i="15"/>
  <c r="Y168" i="15"/>
  <c r="AC168" i="15"/>
  <c r="AG168" i="15"/>
  <c r="AK168" i="15"/>
  <c r="AO168" i="15"/>
  <c r="V168" i="15"/>
  <c r="Z168" i="15"/>
  <c r="AD168" i="15"/>
  <c r="AH168" i="15"/>
  <c r="AL168" i="15"/>
  <c r="S168" i="15"/>
  <c r="W168" i="15"/>
  <c r="AA168" i="15"/>
  <c r="AE168" i="15"/>
  <c r="AI168" i="15"/>
  <c r="AM168" i="15"/>
  <c r="R176" i="15"/>
  <c r="T176" i="15"/>
  <c r="X176" i="15"/>
  <c r="AB176" i="15"/>
  <c r="AF176" i="15"/>
  <c r="AJ176" i="15"/>
  <c r="AN176" i="15"/>
  <c r="U176" i="15"/>
  <c r="Y176" i="15"/>
  <c r="AC176" i="15"/>
  <c r="AG176" i="15"/>
  <c r="AK176" i="15"/>
  <c r="AO176" i="15"/>
  <c r="V176" i="15"/>
  <c r="Z176" i="15"/>
  <c r="AD176" i="15"/>
  <c r="AH176" i="15"/>
  <c r="AL176" i="15"/>
  <c r="S176" i="15"/>
  <c r="W176" i="15"/>
  <c r="AA176" i="15"/>
  <c r="AE176" i="15"/>
  <c r="AI176" i="15"/>
  <c r="AM176" i="15"/>
  <c r="R258" i="15"/>
  <c r="V258" i="15"/>
  <c r="Z258" i="15"/>
  <c r="AD258" i="15"/>
  <c r="AH258" i="15"/>
  <c r="AL258" i="15"/>
  <c r="S258" i="15"/>
  <c r="W258" i="15"/>
  <c r="AA258" i="15"/>
  <c r="AE258" i="15"/>
  <c r="AI258" i="15"/>
  <c r="AM258" i="15"/>
  <c r="T258" i="15"/>
  <c r="X258" i="15"/>
  <c r="AB258" i="15"/>
  <c r="AF258" i="15"/>
  <c r="AJ258" i="15"/>
  <c r="AN258" i="15"/>
  <c r="U258" i="15"/>
  <c r="Y258" i="15"/>
  <c r="AC258" i="15"/>
  <c r="AG258" i="15"/>
  <c r="AK258" i="15"/>
  <c r="AO258" i="15"/>
  <c r="R268" i="15"/>
  <c r="T268" i="15"/>
  <c r="X268" i="15"/>
  <c r="AB268" i="15"/>
  <c r="AF268" i="15"/>
  <c r="AJ268" i="15"/>
  <c r="AN268" i="15"/>
  <c r="U268" i="15"/>
  <c r="Y268" i="15"/>
  <c r="AC268" i="15"/>
  <c r="AG268" i="15"/>
  <c r="AK268" i="15"/>
  <c r="AO268" i="15"/>
  <c r="V268" i="15"/>
  <c r="Z268" i="15"/>
  <c r="AD268" i="15"/>
  <c r="AH268" i="15"/>
  <c r="AL268" i="15"/>
  <c r="S268" i="15"/>
  <c r="W268" i="15"/>
  <c r="AA268" i="15"/>
  <c r="AE268" i="15"/>
  <c r="AI268" i="15"/>
  <c r="AM268" i="15"/>
  <c r="R188" i="15"/>
  <c r="T188" i="15"/>
  <c r="X188" i="15"/>
  <c r="AB188" i="15"/>
  <c r="AF188" i="15"/>
  <c r="AJ188" i="15"/>
  <c r="AN188" i="15"/>
  <c r="U188" i="15"/>
  <c r="Y188" i="15"/>
  <c r="AC188" i="15"/>
  <c r="AG188" i="15"/>
  <c r="AK188" i="15"/>
  <c r="AO188" i="15"/>
  <c r="V188" i="15"/>
  <c r="Z188" i="15"/>
  <c r="AD188" i="15"/>
  <c r="AH188" i="15"/>
  <c r="AL188" i="15"/>
  <c r="S188" i="15"/>
  <c r="W188" i="15"/>
  <c r="AA188" i="15"/>
  <c r="AE188" i="15"/>
  <c r="AI188" i="15"/>
  <c r="AM188" i="15"/>
  <c r="R226" i="15"/>
  <c r="V226" i="15"/>
  <c r="Z226" i="15"/>
  <c r="AD226" i="15"/>
  <c r="AH226" i="15"/>
  <c r="AL226" i="15"/>
  <c r="S226" i="15"/>
  <c r="W226" i="15"/>
  <c r="AA226" i="15"/>
  <c r="AE226" i="15"/>
  <c r="AI226" i="15"/>
  <c r="AM226" i="15"/>
  <c r="T226" i="15"/>
  <c r="X226" i="15"/>
  <c r="AB226" i="15"/>
  <c r="AF226" i="15"/>
  <c r="AJ226" i="15"/>
  <c r="AN226" i="15"/>
  <c r="U226" i="15"/>
  <c r="Y226" i="15"/>
  <c r="AC226" i="15"/>
  <c r="AG226" i="15"/>
  <c r="AK226" i="15"/>
  <c r="AO226" i="15"/>
  <c r="R208" i="15"/>
  <c r="T208" i="15"/>
  <c r="X208" i="15"/>
  <c r="AB208" i="15"/>
  <c r="AF208" i="15"/>
  <c r="AJ208" i="15"/>
  <c r="AN208" i="15"/>
  <c r="U208" i="15"/>
  <c r="Y208" i="15"/>
  <c r="AC208" i="15"/>
  <c r="AG208" i="15"/>
  <c r="AK208" i="15"/>
  <c r="AO208" i="15"/>
  <c r="V208" i="15"/>
  <c r="Z208" i="15"/>
  <c r="AD208" i="15"/>
  <c r="AH208" i="15"/>
  <c r="AL208" i="15"/>
  <c r="S208" i="15"/>
  <c r="W208" i="15"/>
  <c r="AA208" i="15"/>
  <c r="AE208" i="15"/>
  <c r="AI208" i="15"/>
  <c r="AM208" i="15"/>
  <c r="R301" i="15"/>
  <c r="T301" i="15"/>
  <c r="X301" i="15"/>
  <c r="AB301" i="15"/>
  <c r="AF301" i="15"/>
  <c r="AJ301" i="15"/>
  <c r="AN301" i="15"/>
  <c r="U301" i="15"/>
  <c r="Y301" i="15"/>
  <c r="AC301" i="15"/>
  <c r="AG301" i="15"/>
  <c r="AK301" i="15"/>
  <c r="AO301" i="15"/>
  <c r="V301" i="15"/>
  <c r="Z301" i="15"/>
  <c r="AD301" i="15"/>
  <c r="AH301" i="15"/>
  <c r="AL301" i="15"/>
  <c r="S301" i="15"/>
  <c r="W301" i="15"/>
  <c r="AA301" i="15"/>
  <c r="AE301" i="15"/>
  <c r="AI301" i="15"/>
  <c r="AM301" i="15"/>
  <c r="R150" i="15"/>
  <c r="U150" i="15"/>
  <c r="Y150" i="15"/>
  <c r="AC150" i="15"/>
  <c r="AG150" i="15"/>
  <c r="AK150" i="15"/>
  <c r="AO150" i="15"/>
  <c r="V150" i="15"/>
  <c r="Z150" i="15"/>
  <c r="AD150" i="15"/>
  <c r="AH150" i="15"/>
  <c r="AL150" i="15"/>
  <c r="S150" i="15"/>
  <c r="W150" i="15"/>
  <c r="AA150" i="15"/>
  <c r="AE150" i="15"/>
  <c r="AI150" i="15"/>
  <c r="AM150" i="15"/>
  <c r="T150" i="15"/>
  <c r="X150" i="15"/>
  <c r="AB150" i="15"/>
  <c r="AF150" i="15"/>
  <c r="AJ150" i="15"/>
  <c r="AN150" i="15"/>
  <c r="D28" i="13"/>
  <c r="AU4" i="15" l="1"/>
  <c r="AU23" i="15"/>
  <c r="AV16" i="15"/>
  <c r="AV25" i="15"/>
  <c r="AU20" i="15"/>
  <c r="AU19" i="15"/>
  <c r="AU17" i="15"/>
  <c r="AU8" i="15"/>
  <c r="AU11" i="15"/>
  <c r="AU18" i="15"/>
  <c r="AV21" i="15"/>
  <c r="AV22" i="15"/>
  <c r="AV18" i="15"/>
  <c r="AV17" i="15"/>
  <c r="AV14" i="15"/>
  <c r="AV19" i="15"/>
  <c r="AS17" i="15"/>
  <c r="AS16" i="15"/>
  <c r="AS6" i="15"/>
  <c r="AS5" i="15"/>
  <c r="AS13" i="15"/>
  <c r="AS19" i="15"/>
  <c r="AT27" i="15"/>
  <c r="AT11" i="15"/>
  <c r="AT18" i="15"/>
  <c r="AT25" i="15"/>
  <c r="AT9" i="15"/>
  <c r="AT16" i="15"/>
  <c r="AU10" i="15"/>
  <c r="AV11" i="15"/>
  <c r="AU13" i="15"/>
  <c r="AU12" i="15"/>
  <c r="AU9" i="15"/>
  <c r="AU27" i="15"/>
  <c r="AU5" i="15"/>
  <c r="AU14" i="15"/>
  <c r="AV6" i="15"/>
  <c r="AV8" i="15"/>
  <c r="AV12" i="15"/>
  <c r="AV10" i="15"/>
  <c r="AV9" i="15"/>
  <c r="AV15" i="15"/>
  <c r="AS10" i="15"/>
  <c r="AS9" i="15"/>
  <c r="AS26" i="15"/>
  <c r="AS4" i="15"/>
  <c r="AS8" i="15"/>
  <c r="AS15" i="15"/>
  <c r="AT23" i="15"/>
  <c r="AT7" i="15"/>
  <c r="AT14" i="15"/>
  <c r="AT21" i="15"/>
  <c r="AT5" i="15"/>
  <c r="AT12" i="15"/>
  <c r="AU21" i="15"/>
  <c r="AV5" i="15"/>
  <c r="AS25" i="15"/>
  <c r="AS21" i="15"/>
  <c r="AS20" i="15"/>
  <c r="AS24" i="15"/>
  <c r="AS27" i="15"/>
  <c r="AS11" i="15"/>
  <c r="AT19" i="15"/>
  <c r="AT26" i="15"/>
  <c r="AT10" i="15"/>
  <c r="AT17" i="15"/>
  <c r="AT24" i="15"/>
  <c r="AT8" i="15"/>
  <c r="AU7" i="15"/>
  <c r="AU26" i="15"/>
  <c r="AV4" i="15"/>
  <c r="AV27" i="15"/>
  <c r="AU25" i="15"/>
  <c r="AU24" i="15"/>
  <c r="AU15" i="15"/>
  <c r="AU16" i="15"/>
  <c r="AU22" i="15"/>
  <c r="AU6" i="15"/>
  <c r="AV13" i="15"/>
  <c r="AV26" i="15"/>
  <c r="AV24" i="15"/>
  <c r="AV20" i="15"/>
  <c r="AV23" i="15"/>
  <c r="AV7" i="15"/>
  <c r="AS22" i="15"/>
  <c r="AS14" i="15"/>
  <c r="AS12" i="15"/>
  <c r="AS18" i="15"/>
  <c r="AS23" i="15"/>
  <c r="AS7" i="15"/>
  <c r="AT15" i="15"/>
  <c r="AT22" i="15"/>
  <c r="AT6" i="15"/>
  <c r="AT13" i="15"/>
  <c r="AT20" i="15"/>
  <c r="AT4" i="15"/>
  <c r="L29" i="6"/>
  <c r="B28" i="7"/>
  <c r="G29" i="6"/>
  <c r="D29" i="6"/>
  <c r="D28" i="7"/>
  <c r="C28" i="7"/>
  <c r="K18" i="1" l="1"/>
  <c r="M18" i="1"/>
  <c r="K24" i="1"/>
  <c r="M24" i="1"/>
  <c r="K15" i="1"/>
  <c r="M15" i="1"/>
  <c r="K9" i="1"/>
  <c r="M9" i="1"/>
  <c r="K5" i="1"/>
  <c r="M5" i="1"/>
  <c r="K7" i="1"/>
  <c r="M7" i="1"/>
  <c r="K12" i="1"/>
  <c r="M12" i="1"/>
  <c r="K20" i="1"/>
  <c r="M20" i="1"/>
  <c r="K8" i="1"/>
  <c r="M8" i="1"/>
  <c r="K10" i="1"/>
  <c r="M10" i="1"/>
  <c r="K6" i="1"/>
  <c r="M6" i="1"/>
  <c r="K14" i="1"/>
  <c r="M14" i="1"/>
  <c r="K11" i="1"/>
  <c r="M11" i="1"/>
  <c r="K21" i="1"/>
  <c r="M21" i="1"/>
  <c r="K4" i="1"/>
  <c r="M4" i="1"/>
  <c r="K19" i="1"/>
  <c r="M19" i="1"/>
  <c r="K16" i="1"/>
  <c r="M16" i="1"/>
  <c r="K23" i="1"/>
  <c r="M23" i="1"/>
  <c r="K22" i="1"/>
  <c r="M22" i="1"/>
  <c r="K27" i="1"/>
  <c r="M27" i="1"/>
  <c r="K25" i="1"/>
  <c r="M25" i="1"/>
  <c r="K26" i="1"/>
  <c r="M26" i="1"/>
  <c r="K13" i="1"/>
  <c r="M13" i="1"/>
  <c r="K17" i="1"/>
  <c r="M17" i="1"/>
  <c r="H22" i="8"/>
  <c r="J22" i="8"/>
  <c r="H28" i="6"/>
  <c r="J22" i="6"/>
  <c r="H22" i="6"/>
  <c r="J7" i="12"/>
  <c r="H7" i="12"/>
  <c r="J26" i="12"/>
  <c r="H26" i="12"/>
  <c r="H16" i="8"/>
  <c r="J16" i="8"/>
  <c r="J27" i="12"/>
  <c r="H27" i="12"/>
  <c r="J26" i="6"/>
  <c r="H26" i="6"/>
  <c r="J5" i="12"/>
  <c r="H5" i="12"/>
  <c r="J21" i="6"/>
  <c r="H21" i="6"/>
  <c r="J10" i="12"/>
  <c r="H10" i="12"/>
  <c r="H14" i="8"/>
  <c r="J14" i="8"/>
  <c r="J16" i="6"/>
  <c r="H16" i="6"/>
  <c r="J11" i="6"/>
  <c r="H11" i="6"/>
  <c r="J19" i="12"/>
  <c r="H19" i="12"/>
  <c r="J22" i="12"/>
  <c r="H22" i="12"/>
  <c r="J25" i="12"/>
  <c r="H25" i="12"/>
  <c r="J24" i="12"/>
  <c r="H24" i="12"/>
  <c r="J9" i="12"/>
  <c r="H9" i="12"/>
  <c r="J18" i="6"/>
  <c r="H18" i="6"/>
  <c r="J18" i="12"/>
  <c r="H18" i="12"/>
  <c r="J20" i="6"/>
  <c r="H20" i="6"/>
  <c r="J15" i="6"/>
  <c r="H15" i="6"/>
  <c r="J23" i="12"/>
  <c r="H23" i="12"/>
  <c r="J13" i="12"/>
  <c r="H13" i="12"/>
  <c r="J15" i="8"/>
  <c r="H15" i="8"/>
  <c r="J4" i="12"/>
  <c r="H4" i="12"/>
  <c r="J24" i="6"/>
  <c r="H24" i="6"/>
  <c r="J19" i="6"/>
  <c r="H19" i="6"/>
  <c r="H21" i="8"/>
  <c r="J21" i="8"/>
  <c r="J14" i="6"/>
  <c r="H14" i="6"/>
  <c r="J12" i="12"/>
  <c r="H12" i="12"/>
  <c r="J27" i="6"/>
  <c r="H27" i="6"/>
  <c r="J14" i="12"/>
  <c r="H14" i="12"/>
  <c r="J21" i="12"/>
  <c r="H21" i="12"/>
  <c r="H17" i="8"/>
  <c r="J17" i="8"/>
  <c r="J16" i="12"/>
  <c r="H16" i="12"/>
  <c r="H25" i="8"/>
  <c r="J25" i="8"/>
  <c r="J23" i="6"/>
  <c r="H23" i="6"/>
  <c r="J6" i="12"/>
  <c r="H6" i="12"/>
  <c r="H20" i="8"/>
  <c r="J20" i="8"/>
  <c r="J13" i="6"/>
  <c r="H13" i="6"/>
  <c r="J20" i="12"/>
  <c r="H20" i="12"/>
  <c r="H24" i="8"/>
  <c r="J24" i="8"/>
  <c r="H26" i="8"/>
  <c r="J26" i="8"/>
  <c r="J17" i="6"/>
  <c r="H17" i="6"/>
  <c r="J12" i="6"/>
  <c r="H12" i="6"/>
  <c r="J15" i="12"/>
  <c r="H15" i="12"/>
  <c r="J8" i="12"/>
  <c r="H8" i="12"/>
  <c r="J27" i="8"/>
  <c r="H27" i="8"/>
  <c r="J11" i="12"/>
  <c r="H11" i="12"/>
  <c r="J25" i="6"/>
  <c r="H25" i="6"/>
  <c r="J17" i="12"/>
  <c r="H17" i="12"/>
  <c r="H18" i="8"/>
  <c r="J18" i="8"/>
  <c r="J19" i="8"/>
  <c r="H19" i="8"/>
  <c r="J23" i="8"/>
  <c r="H23" i="8"/>
  <c r="B28" i="9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4" i="6"/>
  <c r="L29" i="12"/>
  <c r="G8" i="5" s="1"/>
  <c r="L29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14" i="8"/>
  <c r="D28" i="9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4" i="12"/>
  <c r="C28" i="13"/>
  <c r="G4" i="5" s="1"/>
  <c r="B28" i="13"/>
  <c r="G29" i="12"/>
  <c r="D29" i="12"/>
  <c r="AA27" i="12"/>
  <c r="Z27" i="12"/>
  <c r="Q27" i="12"/>
  <c r="I27" i="12"/>
  <c r="C27" i="12"/>
  <c r="E27" i="12" s="1"/>
  <c r="AA26" i="12"/>
  <c r="Z26" i="12"/>
  <c r="Q26" i="12"/>
  <c r="I26" i="12"/>
  <c r="C26" i="12"/>
  <c r="E26" i="12" s="1"/>
  <c r="AA25" i="12"/>
  <c r="Z25" i="12"/>
  <c r="Q25" i="12"/>
  <c r="I25" i="12"/>
  <c r="C25" i="12"/>
  <c r="E25" i="12" s="1"/>
  <c r="AA24" i="12"/>
  <c r="Z24" i="12"/>
  <c r="Q24" i="12"/>
  <c r="I24" i="12"/>
  <c r="C24" i="12"/>
  <c r="E24" i="12" s="1"/>
  <c r="AA23" i="12"/>
  <c r="Z23" i="12"/>
  <c r="Q23" i="12"/>
  <c r="I23" i="12"/>
  <c r="C23" i="12"/>
  <c r="E23" i="12" s="1"/>
  <c r="AA22" i="12"/>
  <c r="Z22" i="12"/>
  <c r="Q22" i="12"/>
  <c r="I22" i="12"/>
  <c r="C22" i="12"/>
  <c r="E22" i="12" s="1"/>
  <c r="AA21" i="12"/>
  <c r="Z21" i="12"/>
  <c r="Q21" i="12"/>
  <c r="I21" i="12"/>
  <c r="C21" i="12"/>
  <c r="E21" i="12" s="1"/>
  <c r="AA20" i="12"/>
  <c r="Z20" i="12"/>
  <c r="Q20" i="12"/>
  <c r="I20" i="12"/>
  <c r="C20" i="12"/>
  <c r="E20" i="12" s="1"/>
  <c r="AA19" i="12"/>
  <c r="Z19" i="12"/>
  <c r="Q19" i="12"/>
  <c r="I19" i="12"/>
  <c r="C19" i="12"/>
  <c r="E19" i="12" s="1"/>
  <c r="AA18" i="12"/>
  <c r="Z18" i="12"/>
  <c r="Q18" i="12"/>
  <c r="I18" i="12"/>
  <c r="C18" i="12"/>
  <c r="E18" i="12" s="1"/>
  <c r="AA17" i="12"/>
  <c r="Z17" i="12"/>
  <c r="Q17" i="12"/>
  <c r="I17" i="12"/>
  <c r="C17" i="12"/>
  <c r="E17" i="12" s="1"/>
  <c r="AA16" i="12"/>
  <c r="Z16" i="12"/>
  <c r="Q16" i="12"/>
  <c r="I16" i="12"/>
  <c r="C16" i="12"/>
  <c r="E16" i="12" s="1"/>
  <c r="AA15" i="12"/>
  <c r="Z15" i="12"/>
  <c r="Q15" i="12"/>
  <c r="I15" i="12"/>
  <c r="C15" i="12"/>
  <c r="E15" i="12" s="1"/>
  <c r="AA14" i="12"/>
  <c r="Z14" i="12"/>
  <c r="Q14" i="12"/>
  <c r="I14" i="12"/>
  <c r="C14" i="12"/>
  <c r="AA13" i="12"/>
  <c r="Z13" i="12"/>
  <c r="Q13" i="12"/>
  <c r="I13" i="12"/>
  <c r="E13" i="12"/>
  <c r="AA12" i="12"/>
  <c r="Z12" i="12"/>
  <c r="Q12" i="12"/>
  <c r="I12" i="12"/>
  <c r="E12" i="12"/>
  <c r="AA11" i="12"/>
  <c r="Z11" i="12"/>
  <c r="Q11" i="12"/>
  <c r="I11" i="12"/>
  <c r="E11" i="12"/>
  <c r="AA10" i="12"/>
  <c r="Z10" i="12"/>
  <c r="Q10" i="12"/>
  <c r="I10" i="12"/>
  <c r="C10" i="12"/>
  <c r="E10" i="12" s="1"/>
  <c r="AA9" i="12"/>
  <c r="Z9" i="12"/>
  <c r="Q9" i="12"/>
  <c r="I9" i="12"/>
  <c r="C9" i="12"/>
  <c r="E9" i="12" s="1"/>
  <c r="AA8" i="12"/>
  <c r="Z8" i="12"/>
  <c r="Q8" i="12"/>
  <c r="I8" i="12"/>
  <c r="C8" i="12"/>
  <c r="E8" i="12" s="1"/>
  <c r="AA7" i="12"/>
  <c r="Z7" i="12"/>
  <c r="Q7" i="12"/>
  <c r="I7" i="12"/>
  <c r="C7" i="12"/>
  <c r="E7" i="12" s="1"/>
  <c r="AA6" i="12"/>
  <c r="Z6" i="12"/>
  <c r="Q6" i="12"/>
  <c r="I6" i="12"/>
  <c r="C6" i="12"/>
  <c r="E6" i="12" s="1"/>
  <c r="AA5" i="12"/>
  <c r="Z5" i="12"/>
  <c r="Q5" i="12"/>
  <c r="I5" i="12"/>
  <c r="C5" i="12"/>
  <c r="E5" i="12" s="1"/>
  <c r="AA4" i="12"/>
  <c r="Z4" i="12"/>
  <c r="Q4" i="12"/>
  <c r="I4" i="12"/>
  <c r="C4" i="12"/>
  <c r="E4" i="12" s="1"/>
  <c r="Z3" i="12"/>
  <c r="E1" i="12"/>
  <c r="C1" i="12"/>
  <c r="H29" i="6" l="1"/>
  <c r="J29" i="6" s="1"/>
  <c r="H29" i="8"/>
  <c r="C29" i="12"/>
  <c r="G3" i="5" s="1"/>
  <c r="E14" i="12"/>
  <c r="E28" i="12" s="1"/>
  <c r="E29" i="12" l="1"/>
  <c r="C28" i="9"/>
  <c r="F4" i="5" s="1"/>
  <c r="E4" i="5"/>
  <c r="Q5" i="1" l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R4" i="1"/>
  <c r="Q4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30" i="2" l="1"/>
  <c r="F8" i="5"/>
  <c r="G29" i="8"/>
  <c r="D29" i="8"/>
  <c r="AA27" i="8"/>
  <c r="Z27" i="8"/>
  <c r="Q27" i="8"/>
  <c r="I27" i="8"/>
  <c r="C27" i="8"/>
  <c r="E27" i="8" s="1"/>
  <c r="AA26" i="8"/>
  <c r="Z26" i="8"/>
  <c r="Q26" i="8"/>
  <c r="I26" i="8"/>
  <c r="C26" i="8"/>
  <c r="E26" i="8" s="1"/>
  <c r="AA25" i="8"/>
  <c r="Z25" i="8"/>
  <c r="Q25" i="8"/>
  <c r="I25" i="8"/>
  <c r="C25" i="8"/>
  <c r="E25" i="8" s="1"/>
  <c r="AA24" i="8"/>
  <c r="Z24" i="8"/>
  <c r="Q24" i="8"/>
  <c r="I24" i="8"/>
  <c r="C24" i="8"/>
  <c r="E24" i="8" s="1"/>
  <c r="AA23" i="8"/>
  <c r="Z23" i="8"/>
  <c r="Q23" i="8"/>
  <c r="I23" i="8"/>
  <c r="C23" i="8"/>
  <c r="E23" i="8" s="1"/>
  <c r="AA22" i="8"/>
  <c r="Z22" i="8"/>
  <c r="Q22" i="8"/>
  <c r="I22" i="8"/>
  <c r="C22" i="8"/>
  <c r="E22" i="8" s="1"/>
  <c r="AA21" i="8"/>
  <c r="Z21" i="8"/>
  <c r="Q21" i="8"/>
  <c r="I21" i="8"/>
  <c r="C21" i="8"/>
  <c r="E21" i="8" s="1"/>
  <c r="AA20" i="8"/>
  <c r="Z20" i="8"/>
  <c r="Q20" i="8"/>
  <c r="I20" i="8"/>
  <c r="C20" i="8"/>
  <c r="E20" i="8" s="1"/>
  <c r="AA19" i="8"/>
  <c r="Z19" i="8"/>
  <c r="Q19" i="8"/>
  <c r="I19" i="8"/>
  <c r="C19" i="8"/>
  <c r="E19" i="8" s="1"/>
  <c r="AA18" i="8"/>
  <c r="Z18" i="8"/>
  <c r="Q18" i="8"/>
  <c r="I18" i="8"/>
  <c r="C18" i="8"/>
  <c r="E18" i="8" s="1"/>
  <c r="AA17" i="8"/>
  <c r="Z17" i="8"/>
  <c r="Q17" i="8"/>
  <c r="I17" i="8"/>
  <c r="C17" i="8"/>
  <c r="E17" i="8" s="1"/>
  <c r="AA16" i="8"/>
  <c r="Z16" i="8"/>
  <c r="Q16" i="8"/>
  <c r="I16" i="8"/>
  <c r="C16" i="8"/>
  <c r="E16" i="8" s="1"/>
  <c r="AA15" i="8"/>
  <c r="Z15" i="8"/>
  <c r="Q15" i="8"/>
  <c r="I15" i="8"/>
  <c r="C15" i="8"/>
  <c r="E15" i="8" s="1"/>
  <c r="AA14" i="8"/>
  <c r="Z14" i="8"/>
  <c r="Q14" i="8"/>
  <c r="I14" i="8"/>
  <c r="C14" i="8"/>
  <c r="E14" i="8" s="1"/>
  <c r="AA13" i="8"/>
  <c r="Z13" i="8"/>
  <c r="Q13" i="8"/>
  <c r="L13" i="8"/>
  <c r="J13" i="8"/>
  <c r="I13" i="8"/>
  <c r="E13" i="8"/>
  <c r="AA12" i="8"/>
  <c r="Z12" i="8"/>
  <c r="Q12" i="8"/>
  <c r="L12" i="8"/>
  <c r="J12" i="8"/>
  <c r="I12" i="8"/>
  <c r="E12" i="8"/>
  <c r="AA11" i="8"/>
  <c r="Z11" i="8"/>
  <c r="Q11" i="8"/>
  <c r="L11" i="8"/>
  <c r="J11" i="8"/>
  <c r="I11" i="8"/>
  <c r="E11" i="8"/>
  <c r="AA10" i="8"/>
  <c r="Z10" i="8"/>
  <c r="Q10" i="8"/>
  <c r="L10" i="8"/>
  <c r="J10" i="8"/>
  <c r="I10" i="8"/>
  <c r="C10" i="8"/>
  <c r="E10" i="8" s="1"/>
  <c r="AA9" i="8"/>
  <c r="Z9" i="8"/>
  <c r="Q9" i="8"/>
  <c r="L9" i="8"/>
  <c r="J9" i="8"/>
  <c r="I9" i="8"/>
  <c r="C9" i="8"/>
  <c r="E9" i="8" s="1"/>
  <c r="AA8" i="8"/>
  <c r="Z8" i="8"/>
  <c r="Q8" i="8"/>
  <c r="L8" i="8"/>
  <c r="J8" i="8"/>
  <c r="I8" i="8"/>
  <c r="C8" i="8"/>
  <c r="E8" i="8" s="1"/>
  <c r="AA7" i="8"/>
  <c r="Z7" i="8"/>
  <c r="Q7" i="8"/>
  <c r="L7" i="8"/>
  <c r="J7" i="8"/>
  <c r="I7" i="8"/>
  <c r="C7" i="8"/>
  <c r="E7" i="8" s="1"/>
  <c r="AA6" i="8"/>
  <c r="Z6" i="8"/>
  <c r="Q6" i="8"/>
  <c r="L6" i="8"/>
  <c r="J6" i="8"/>
  <c r="I6" i="8"/>
  <c r="C6" i="8"/>
  <c r="E6" i="8" s="1"/>
  <c r="AA5" i="8"/>
  <c r="Z5" i="8"/>
  <c r="Q5" i="8"/>
  <c r="L5" i="8"/>
  <c r="J5" i="8"/>
  <c r="I5" i="8"/>
  <c r="C5" i="8"/>
  <c r="E5" i="8" s="1"/>
  <c r="AA4" i="8"/>
  <c r="Z4" i="8"/>
  <c r="Q4" i="8"/>
  <c r="L4" i="8"/>
  <c r="J4" i="8"/>
  <c r="I4" i="8"/>
  <c r="C4" i="8"/>
  <c r="Z3" i="8"/>
  <c r="E1" i="8"/>
  <c r="C1" i="8"/>
  <c r="E8" i="5"/>
  <c r="C5" i="6"/>
  <c r="E5" i="6" s="1"/>
  <c r="C6" i="6"/>
  <c r="E6" i="6" s="1"/>
  <c r="C7" i="6"/>
  <c r="E7" i="6" s="1"/>
  <c r="C8" i="6"/>
  <c r="E8" i="6" s="1"/>
  <c r="C9" i="6"/>
  <c r="E9" i="6" s="1"/>
  <c r="C10" i="6"/>
  <c r="E10" i="6" s="1"/>
  <c r="E12" i="6"/>
  <c r="E13" i="6"/>
  <c r="C14" i="6"/>
  <c r="E14" i="6" s="1"/>
  <c r="C15" i="6"/>
  <c r="E15" i="6" s="1"/>
  <c r="C16" i="6"/>
  <c r="E16" i="6" s="1"/>
  <c r="C17" i="6"/>
  <c r="E17" i="6" s="1"/>
  <c r="C18" i="6"/>
  <c r="E18" i="6" s="1"/>
  <c r="C19" i="6"/>
  <c r="E19" i="6" s="1"/>
  <c r="C20" i="6"/>
  <c r="E20" i="6" s="1"/>
  <c r="C21" i="6"/>
  <c r="E21" i="6" s="1"/>
  <c r="C22" i="6"/>
  <c r="E22" i="6" s="1"/>
  <c r="C23" i="6"/>
  <c r="E23" i="6" s="1"/>
  <c r="C24" i="6"/>
  <c r="E24" i="6" s="1"/>
  <c r="C25" i="6"/>
  <c r="E25" i="6" s="1"/>
  <c r="C26" i="6"/>
  <c r="E26" i="6" s="1"/>
  <c r="C27" i="6"/>
  <c r="E27" i="6" s="1"/>
  <c r="C4" i="6"/>
  <c r="AA27" i="6"/>
  <c r="Z27" i="6"/>
  <c r="Q27" i="6"/>
  <c r="I27" i="6"/>
  <c r="AA26" i="6"/>
  <c r="Z26" i="6"/>
  <c r="Q26" i="6"/>
  <c r="I26" i="6"/>
  <c r="AA25" i="6"/>
  <c r="Z25" i="6"/>
  <c r="Q25" i="6"/>
  <c r="I25" i="6"/>
  <c r="AA24" i="6"/>
  <c r="Z24" i="6"/>
  <c r="Q24" i="6"/>
  <c r="I24" i="6"/>
  <c r="AA23" i="6"/>
  <c r="Z23" i="6"/>
  <c r="Q23" i="6"/>
  <c r="I23" i="6"/>
  <c r="AA22" i="6"/>
  <c r="Z22" i="6"/>
  <c r="Q22" i="6"/>
  <c r="I22" i="6"/>
  <c r="AA21" i="6"/>
  <c r="Z21" i="6"/>
  <c r="Q21" i="6"/>
  <c r="I21" i="6"/>
  <c r="AA20" i="6"/>
  <c r="Z20" i="6"/>
  <c r="Q20" i="6"/>
  <c r="I20" i="6"/>
  <c r="AA19" i="6"/>
  <c r="Z19" i="6"/>
  <c r="Q19" i="6"/>
  <c r="I19" i="6"/>
  <c r="AA18" i="6"/>
  <c r="Z18" i="6"/>
  <c r="Q18" i="6"/>
  <c r="I18" i="6"/>
  <c r="AA17" i="6"/>
  <c r="Z17" i="6"/>
  <c r="Q17" i="6"/>
  <c r="I17" i="6"/>
  <c r="AA16" i="6"/>
  <c r="Z16" i="6"/>
  <c r="Q16" i="6"/>
  <c r="I16" i="6"/>
  <c r="AA15" i="6"/>
  <c r="Z15" i="6"/>
  <c r="Q15" i="6"/>
  <c r="I15" i="6"/>
  <c r="AA14" i="6"/>
  <c r="Z14" i="6"/>
  <c r="Q14" i="6"/>
  <c r="I14" i="6"/>
  <c r="AA13" i="6"/>
  <c r="Z13" i="6"/>
  <c r="Q13" i="6"/>
  <c r="I13" i="6"/>
  <c r="AA12" i="6"/>
  <c r="Z12" i="6"/>
  <c r="Q12" i="6"/>
  <c r="I12" i="6"/>
  <c r="AA11" i="6"/>
  <c r="Z11" i="6"/>
  <c r="Q11" i="6"/>
  <c r="I11" i="6"/>
  <c r="AA10" i="6"/>
  <c r="Z10" i="6"/>
  <c r="Q10" i="6"/>
  <c r="I10" i="6"/>
  <c r="AA9" i="6"/>
  <c r="Z9" i="6"/>
  <c r="Q9" i="6"/>
  <c r="I9" i="6"/>
  <c r="AA8" i="6"/>
  <c r="Z8" i="6"/>
  <c r="Q8" i="6"/>
  <c r="I8" i="6"/>
  <c r="AA7" i="6"/>
  <c r="Z7" i="6"/>
  <c r="Q7" i="6"/>
  <c r="I7" i="6"/>
  <c r="AA6" i="6"/>
  <c r="Z6" i="6"/>
  <c r="Q6" i="6"/>
  <c r="I6" i="6"/>
  <c r="AA5" i="6"/>
  <c r="Z5" i="6"/>
  <c r="Q5" i="6"/>
  <c r="I5" i="6"/>
  <c r="AA4" i="6"/>
  <c r="Z4" i="6"/>
  <c r="Q4" i="6"/>
  <c r="I4" i="6"/>
  <c r="Z3" i="6"/>
  <c r="E1" i="6"/>
  <c r="C1" i="6"/>
  <c r="J3" i="2"/>
  <c r="E11" i="6" l="1"/>
  <c r="E29" i="6" s="1"/>
  <c r="C29" i="6"/>
  <c r="E3" i="5" s="1"/>
  <c r="E29" i="8"/>
  <c r="C29" i="8"/>
  <c r="F3" i="5" s="1"/>
  <c r="E4" i="8"/>
  <c r="E4" i="6"/>
  <c r="H4" i="6" l="1"/>
  <c r="K4" i="3"/>
  <c r="J10" i="6"/>
  <c r="J8" i="6"/>
  <c r="M6" i="3"/>
  <c r="K8" i="3"/>
  <c r="K10" i="3"/>
  <c r="H6" i="6"/>
  <c r="E28" i="8"/>
  <c r="E28" i="6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3" i="4"/>
  <c r="J4" i="6" l="1"/>
  <c r="K6" i="3"/>
  <c r="H10" i="6"/>
  <c r="K28" i="3"/>
  <c r="H8" i="6"/>
  <c r="M4" i="3"/>
  <c r="J6" i="6"/>
  <c r="M8" i="3"/>
  <c r="M10" i="3"/>
  <c r="M12" i="3"/>
  <c r="K12" i="3"/>
  <c r="K9" i="3"/>
  <c r="M9" i="3"/>
  <c r="K25" i="3"/>
  <c r="M25" i="3"/>
  <c r="K21" i="3"/>
  <c r="M21" i="3"/>
  <c r="H9" i="6"/>
  <c r="J9" i="6"/>
  <c r="K19" i="3"/>
  <c r="M19" i="3"/>
  <c r="M23" i="3"/>
  <c r="K23" i="3"/>
  <c r="M15" i="3"/>
  <c r="K15" i="3"/>
  <c r="M20" i="3"/>
  <c r="K20" i="3"/>
  <c r="K26" i="3"/>
  <c r="M26" i="3"/>
  <c r="K16" i="3"/>
  <c r="M16" i="3"/>
  <c r="K7" i="3"/>
  <c r="M7" i="3"/>
  <c r="M22" i="3"/>
  <c r="K22" i="3"/>
  <c r="K14" i="3"/>
  <c r="M14" i="3"/>
  <c r="K17" i="3"/>
  <c r="M17" i="3"/>
  <c r="K27" i="3"/>
  <c r="M27" i="3"/>
  <c r="H5" i="6"/>
  <c r="J5" i="6"/>
  <c r="K13" i="3"/>
  <c r="M13" i="3"/>
  <c r="M18" i="3"/>
  <c r="K18" i="3"/>
  <c r="K11" i="3"/>
  <c r="M11" i="3"/>
  <c r="J7" i="6"/>
  <c r="H7" i="6"/>
  <c r="K5" i="3"/>
  <c r="M5" i="3"/>
  <c r="K24" i="3"/>
  <c r="M24" i="3"/>
  <c r="O29" i="1"/>
  <c r="C6" i="5" s="1"/>
  <c r="P9" i="1"/>
  <c r="I26" i="2"/>
  <c r="P29" i="1"/>
  <c r="C8" i="5" s="1"/>
  <c r="P4" i="1"/>
  <c r="H29" i="12" l="1"/>
  <c r="J29" i="12" s="1"/>
  <c r="J29" i="8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4" i="3"/>
  <c r="P5" i="3" l="1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4" i="3"/>
  <c r="C5" i="3"/>
  <c r="C6" i="3"/>
  <c r="C7" i="3"/>
  <c r="C8" i="3"/>
  <c r="C9" i="3"/>
  <c r="C10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4" i="3"/>
  <c r="F30" i="4"/>
  <c r="H30" i="4"/>
  <c r="O29" i="3" s="1"/>
  <c r="D6" i="5" s="1"/>
  <c r="P29" i="3"/>
  <c r="D8" i="5" s="1"/>
  <c r="O27" i="3"/>
  <c r="G26" i="4"/>
  <c r="H27" i="3" s="1"/>
  <c r="O26" i="3"/>
  <c r="G25" i="4"/>
  <c r="H26" i="3" s="1"/>
  <c r="O25" i="3"/>
  <c r="G24" i="4"/>
  <c r="H25" i="3" s="1"/>
  <c r="O24" i="3"/>
  <c r="G23" i="4"/>
  <c r="H24" i="3" s="1"/>
  <c r="O23" i="3"/>
  <c r="G22" i="4"/>
  <c r="H23" i="3" s="1"/>
  <c r="O22" i="3"/>
  <c r="G21" i="4"/>
  <c r="H22" i="3" s="1"/>
  <c r="O21" i="3"/>
  <c r="G20" i="4"/>
  <c r="H21" i="3" s="1"/>
  <c r="O20" i="3"/>
  <c r="G19" i="4"/>
  <c r="H20" i="3" s="1"/>
  <c r="O19" i="3"/>
  <c r="G18" i="4"/>
  <c r="H19" i="3" s="1"/>
  <c r="O18" i="3"/>
  <c r="G17" i="4"/>
  <c r="H18" i="3" s="1"/>
  <c r="O17" i="3"/>
  <c r="G16" i="4"/>
  <c r="H17" i="3" s="1"/>
  <c r="O16" i="3"/>
  <c r="G15" i="4"/>
  <c r="H16" i="3" s="1"/>
  <c r="O15" i="3"/>
  <c r="G14" i="4"/>
  <c r="H15" i="3" s="1"/>
  <c r="O14" i="3"/>
  <c r="G13" i="4"/>
  <c r="H14" i="3" s="1"/>
  <c r="O13" i="3"/>
  <c r="G12" i="4"/>
  <c r="H13" i="3" s="1"/>
  <c r="O12" i="3"/>
  <c r="G11" i="4"/>
  <c r="H12" i="3" s="1"/>
  <c r="O11" i="3"/>
  <c r="G10" i="4"/>
  <c r="H11" i="3" s="1"/>
  <c r="O10" i="3"/>
  <c r="G9" i="4"/>
  <c r="H10" i="3" s="1"/>
  <c r="O9" i="3"/>
  <c r="G8" i="4"/>
  <c r="H9" i="3" s="1"/>
  <c r="O8" i="3"/>
  <c r="G7" i="4"/>
  <c r="H8" i="3" s="1"/>
  <c r="O7" i="3"/>
  <c r="G6" i="4"/>
  <c r="H7" i="3" s="1"/>
  <c r="O6" i="3"/>
  <c r="G5" i="4"/>
  <c r="H6" i="3" s="1"/>
  <c r="O5" i="3"/>
  <c r="G4" i="4"/>
  <c r="H5" i="3" s="1"/>
  <c r="O4" i="3"/>
  <c r="G3" i="4"/>
  <c r="H4" i="3" s="1"/>
  <c r="K29" i="3"/>
  <c r="J29" i="3"/>
  <c r="D29" i="3"/>
  <c r="AD27" i="3"/>
  <c r="U27" i="3"/>
  <c r="L27" i="3"/>
  <c r="AD26" i="3"/>
  <c r="U26" i="3"/>
  <c r="L26" i="3"/>
  <c r="AD25" i="3"/>
  <c r="U25" i="3"/>
  <c r="L25" i="3"/>
  <c r="AD24" i="3"/>
  <c r="U24" i="3"/>
  <c r="L24" i="3"/>
  <c r="AD23" i="3"/>
  <c r="U23" i="3"/>
  <c r="L23" i="3"/>
  <c r="AD22" i="3"/>
  <c r="U22" i="3"/>
  <c r="L22" i="3"/>
  <c r="AD21" i="3"/>
  <c r="U21" i="3"/>
  <c r="L21" i="3"/>
  <c r="AD20" i="3"/>
  <c r="U20" i="3"/>
  <c r="L20" i="3"/>
  <c r="AD19" i="3"/>
  <c r="U19" i="3"/>
  <c r="L19" i="3"/>
  <c r="AD18" i="3"/>
  <c r="U18" i="3"/>
  <c r="L18" i="3"/>
  <c r="AD17" i="3"/>
  <c r="U17" i="3"/>
  <c r="L17" i="3"/>
  <c r="AD16" i="3"/>
  <c r="U16" i="3"/>
  <c r="L16" i="3"/>
  <c r="AD15" i="3"/>
  <c r="U15" i="3"/>
  <c r="L15" i="3"/>
  <c r="AD14" i="3"/>
  <c r="U14" i="3"/>
  <c r="L14" i="3"/>
  <c r="AD13" i="3"/>
  <c r="U13" i="3"/>
  <c r="L13" i="3"/>
  <c r="AD12" i="3"/>
  <c r="U12" i="3"/>
  <c r="L12" i="3"/>
  <c r="AD11" i="3"/>
  <c r="U11" i="3"/>
  <c r="L11" i="3"/>
  <c r="AD10" i="3"/>
  <c r="U10" i="3"/>
  <c r="L10" i="3"/>
  <c r="AD9" i="3"/>
  <c r="U9" i="3"/>
  <c r="L9" i="3"/>
  <c r="AD8" i="3"/>
  <c r="U8" i="3"/>
  <c r="L8" i="3"/>
  <c r="AD7" i="3"/>
  <c r="U7" i="3"/>
  <c r="L7" i="3"/>
  <c r="AD6" i="3"/>
  <c r="U6" i="3"/>
  <c r="L6" i="3"/>
  <c r="AD5" i="3"/>
  <c r="U5" i="3"/>
  <c r="L5" i="3"/>
  <c r="AD4" i="3"/>
  <c r="U4" i="3"/>
  <c r="L4" i="3"/>
  <c r="AD3" i="3"/>
  <c r="F1" i="3"/>
  <c r="E1" i="3"/>
  <c r="C1" i="3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G4" i="1"/>
  <c r="AF4" i="1"/>
  <c r="AF3" i="1"/>
  <c r="H30" i="2"/>
  <c r="P5" i="1"/>
  <c r="P6" i="1"/>
  <c r="P7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4" i="1"/>
  <c r="I4" i="2"/>
  <c r="H5" i="1" s="1"/>
  <c r="I5" i="2"/>
  <c r="H6" i="1" s="1"/>
  <c r="I6" i="2"/>
  <c r="H7" i="1" s="1"/>
  <c r="I7" i="2"/>
  <c r="H8" i="1" s="1"/>
  <c r="I8" i="2"/>
  <c r="H9" i="1" s="1"/>
  <c r="I9" i="2"/>
  <c r="H10" i="1" s="1"/>
  <c r="I10" i="2"/>
  <c r="H11" i="1" s="1"/>
  <c r="I11" i="2"/>
  <c r="H12" i="1" s="1"/>
  <c r="I12" i="2"/>
  <c r="H13" i="1" s="1"/>
  <c r="I13" i="2"/>
  <c r="H14" i="1" s="1"/>
  <c r="I14" i="2"/>
  <c r="H15" i="1" s="1"/>
  <c r="I15" i="2"/>
  <c r="H16" i="1" s="1"/>
  <c r="I16" i="2"/>
  <c r="H17" i="1" s="1"/>
  <c r="I17" i="2"/>
  <c r="H18" i="1" s="1"/>
  <c r="I18" i="2"/>
  <c r="H19" i="1" s="1"/>
  <c r="I19" i="2"/>
  <c r="H20" i="1" s="1"/>
  <c r="I20" i="2"/>
  <c r="H21" i="1" s="1"/>
  <c r="I21" i="2"/>
  <c r="H22" i="1" s="1"/>
  <c r="I22" i="2"/>
  <c r="H23" i="1" s="1"/>
  <c r="I23" i="2"/>
  <c r="H24" i="1" s="1"/>
  <c r="I24" i="2"/>
  <c r="H25" i="1" s="1"/>
  <c r="I25" i="2"/>
  <c r="H26" i="1" s="1"/>
  <c r="H27" i="1"/>
  <c r="I3" i="2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4" i="1"/>
  <c r="C5" i="1"/>
  <c r="C6" i="1"/>
  <c r="E6" i="1" s="1"/>
  <c r="C7" i="1"/>
  <c r="E7" i="1" s="1"/>
  <c r="C8" i="1"/>
  <c r="C9" i="1"/>
  <c r="C10" i="1"/>
  <c r="E10" i="1" s="1"/>
  <c r="C16" i="1"/>
  <c r="C17" i="1"/>
  <c r="C18" i="1"/>
  <c r="C19" i="1"/>
  <c r="C20" i="1"/>
  <c r="C21" i="1"/>
  <c r="C22" i="1"/>
  <c r="C23" i="1"/>
  <c r="C24" i="1"/>
  <c r="C25" i="1"/>
  <c r="C26" i="1"/>
  <c r="C27" i="1"/>
  <c r="C4" i="1"/>
  <c r="E4" i="1" s="1"/>
  <c r="J29" i="1"/>
  <c r="D29" i="1"/>
  <c r="W27" i="1"/>
  <c r="L27" i="1"/>
  <c r="W26" i="1"/>
  <c r="L26" i="1"/>
  <c r="W25" i="1"/>
  <c r="L25" i="1"/>
  <c r="W24" i="1"/>
  <c r="L24" i="1"/>
  <c r="W23" i="1"/>
  <c r="L23" i="1"/>
  <c r="W22" i="1"/>
  <c r="L22" i="1"/>
  <c r="W21" i="1"/>
  <c r="L21" i="1"/>
  <c r="W20" i="1"/>
  <c r="L20" i="1"/>
  <c r="W19" i="1"/>
  <c r="L19" i="1"/>
  <c r="W18" i="1"/>
  <c r="L18" i="1"/>
  <c r="W17" i="1"/>
  <c r="L17" i="1"/>
  <c r="W16" i="1"/>
  <c r="L16" i="1"/>
  <c r="W15" i="1"/>
  <c r="L15" i="1"/>
  <c r="W14" i="1"/>
  <c r="L14" i="1"/>
  <c r="W13" i="1"/>
  <c r="L13" i="1"/>
  <c r="W12" i="1"/>
  <c r="L12" i="1"/>
  <c r="W11" i="1"/>
  <c r="L11" i="1"/>
  <c r="W10" i="1"/>
  <c r="L10" i="1"/>
  <c r="W9" i="1"/>
  <c r="L9" i="1"/>
  <c r="W8" i="1"/>
  <c r="L8" i="1"/>
  <c r="W7" i="1"/>
  <c r="L7" i="1"/>
  <c r="W6" i="1"/>
  <c r="L6" i="1"/>
  <c r="W5" i="1"/>
  <c r="L5" i="1"/>
  <c r="W4" i="1"/>
  <c r="L4" i="1"/>
  <c r="F1" i="1"/>
  <c r="E1" i="1"/>
  <c r="C1" i="1"/>
  <c r="AH26" i="1" l="1"/>
  <c r="AH22" i="1"/>
  <c r="AH18" i="1"/>
  <c r="AH14" i="1"/>
  <c r="AH25" i="1"/>
  <c r="AH21" i="1"/>
  <c r="AH17" i="1"/>
  <c r="AH13" i="1"/>
  <c r="G4" i="3"/>
  <c r="G27" i="3"/>
  <c r="G23" i="3"/>
  <c r="G19" i="3"/>
  <c r="G15" i="3"/>
  <c r="G11" i="3"/>
  <c r="G7" i="3"/>
  <c r="G25" i="3"/>
  <c r="G21" i="3"/>
  <c r="G17" i="3"/>
  <c r="G13" i="3"/>
  <c r="G9" i="3"/>
  <c r="G5" i="3"/>
  <c r="AH20" i="1"/>
  <c r="AH12" i="1"/>
  <c r="AH24" i="1"/>
  <c r="AH16" i="1"/>
  <c r="AH27" i="1"/>
  <c r="AH23" i="1"/>
  <c r="AH19" i="1"/>
  <c r="AH15" i="1"/>
  <c r="AH11" i="1"/>
  <c r="M29" i="3"/>
  <c r="G12" i="3"/>
  <c r="G14" i="3"/>
  <c r="G22" i="3"/>
  <c r="D33" i="2"/>
  <c r="G26" i="3"/>
  <c r="G18" i="3"/>
  <c r="G10" i="3"/>
  <c r="G6" i="3"/>
  <c r="G25" i="1"/>
  <c r="G21" i="1"/>
  <c r="G17" i="1"/>
  <c r="G13" i="1"/>
  <c r="G9" i="1"/>
  <c r="G5" i="1"/>
  <c r="I30" i="2"/>
  <c r="H29" i="1" s="1"/>
  <c r="C10" i="5" s="1"/>
  <c r="G24" i="3"/>
  <c r="G20" i="3"/>
  <c r="G16" i="3"/>
  <c r="H4" i="1"/>
  <c r="G30" i="4"/>
  <c r="H29" i="3" s="1"/>
  <c r="D10" i="5" s="1"/>
  <c r="F29" i="3"/>
  <c r="D4" i="5" s="1"/>
  <c r="G8" i="3"/>
  <c r="E4" i="3"/>
  <c r="E5" i="3"/>
  <c r="E11" i="3"/>
  <c r="E13" i="3"/>
  <c r="E14" i="3"/>
  <c r="E16" i="3"/>
  <c r="E18" i="3"/>
  <c r="E19" i="3"/>
  <c r="E22" i="3"/>
  <c r="E23" i="3"/>
  <c r="E25" i="3"/>
  <c r="E26" i="3"/>
  <c r="E27" i="3"/>
  <c r="C29" i="3"/>
  <c r="D3" i="5" s="1"/>
  <c r="E6" i="3"/>
  <c r="E7" i="3"/>
  <c r="E8" i="3"/>
  <c r="E9" i="3"/>
  <c r="E10" i="3"/>
  <c r="E12" i="3"/>
  <c r="E15" i="3"/>
  <c r="E17" i="3"/>
  <c r="E20" i="3"/>
  <c r="E21" i="3"/>
  <c r="E24" i="3"/>
  <c r="G6" i="1"/>
  <c r="G27" i="1"/>
  <c r="E9" i="1"/>
  <c r="F29" i="1"/>
  <c r="C4" i="5" s="1"/>
  <c r="E5" i="1"/>
  <c r="G18" i="1"/>
  <c r="G10" i="1"/>
  <c r="C29" i="1"/>
  <c r="C3" i="5" s="1"/>
  <c r="G23" i="1"/>
  <c r="G19" i="1"/>
  <c r="G15" i="1"/>
  <c r="G26" i="1"/>
  <c r="G22" i="1"/>
  <c r="G14" i="1"/>
  <c r="G4" i="1"/>
  <c r="G11" i="1"/>
  <c r="G7" i="1"/>
  <c r="G24" i="1"/>
  <c r="G20" i="1"/>
  <c r="G16" i="1"/>
  <c r="G12" i="1"/>
  <c r="G8" i="1"/>
  <c r="E8" i="1"/>
  <c r="E11" i="1"/>
  <c r="E12" i="1"/>
  <c r="K29" i="1"/>
  <c r="M29" i="1" s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9" i="1" l="1"/>
  <c r="E29" i="3"/>
  <c r="G29" i="1"/>
  <c r="C5" i="5" s="1"/>
  <c r="G29" i="3"/>
  <c r="D5" i="5" s="1"/>
  <c r="E28" i="3"/>
  <c r="E2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<sst xmlns="http://schemas.openxmlformats.org/spreadsheetml/2006/main" count="603" uniqueCount="231">
  <si>
    <t>Manpower</t>
  </si>
  <si>
    <t>AHT</t>
  </si>
  <si>
    <t>Intervals</t>
  </si>
  <si>
    <t>Offered</t>
  </si>
  <si>
    <t>Forecast</t>
  </si>
  <si>
    <t>Answered</t>
  </si>
  <si>
    <t>Staff</t>
  </si>
  <si>
    <t>Occ%</t>
  </si>
  <si>
    <t>AHT+ACW</t>
  </si>
  <si>
    <t>SL%</t>
  </si>
  <si>
    <t>Note</t>
  </si>
  <si>
    <t>Actions</t>
  </si>
  <si>
    <t>Sch FTE</t>
  </si>
  <si>
    <t>Act FTE</t>
  </si>
  <si>
    <t>count</t>
  </si>
  <si>
    <t>Accuracy</t>
  </si>
  <si>
    <t>rate</t>
  </si>
  <si>
    <t>Aban%</t>
  </si>
  <si>
    <t>Demand</t>
  </si>
  <si>
    <t>Sch</t>
  </si>
  <si>
    <t>Act. FTE</t>
  </si>
  <si>
    <t>SF shortage</t>
  </si>
  <si>
    <t>Abs%</t>
  </si>
  <si>
    <t>FTE</t>
  </si>
  <si>
    <t>Brks</t>
  </si>
  <si>
    <t>Off Phone</t>
  </si>
  <si>
    <t>Total</t>
  </si>
  <si>
    <t>Hour of the Day</t>
  </si>
  <si>
    <t>offered</t>
  </si>
  <si>
    <t>Handled</t>
  </si>
  <si>
    <t>Within SLA</t>
  </si>
  <si>
    <t>ABD</t>
  </si>
  <si>
    <t>Day Plan</t>
  </si>
  <si>
    <t>Pure login</t>
  </si>
  <si>
    <t>From</t>
  </si>
  <si>
    <t>To</t>
  </si>
  <si>
    <t>Action</t>
  </si>
  <si>
    <t>Plan over time</t>
  </si>
  <si>
    <t>Off phone activities not allowed</t>
  </si>
  <si>
    <t xml:space="preserve">offer off Phone  </t>
  </si>
  <si>
    <t xml:space="preserve">Support staff login &amp; Plan over time for 2 agents </t>
  </si>
  <si>
    <t>Q</t>
  </si>
  <si>
    <t>chat</t>
  </si>
  <si>
    <t xml:space="preserve">Social media </t>
  </si>
  <si>
    <t>ANS</t>
  </si>
  <si>
    <t>#</t>
  </si>
  <si>
    <t>%</t>
  </si>
  <si>
    <t>SL</t>
  </si>
  <si>
    <t>Actual</t>
  </si>
  <si>
    <t>Target</t>
  </si>
  <si>
    <t>SL comments</t>
  </si>
  <si>
    <t>Email</t>
  </si>
  <si>
    <t>N/A</t>
  </si>
  <si>
    <t>Retention</t>
  </si>
  <si>
    <t>Csat Average</t>
  </si>
  <si>
    <t>Csat sent</t>
  </si>
  <si>
    <t>Average Csat</t>
  </si>
  <si>
    <t>social media</t>
  </si>
  <si>
    <t>Chat</t>
  </si>
  <si>
    <t>HR ID</t>
  </si>
  <si>
    <t>Outbound</t>
  </si>
  <si>
    <t>All off</t>
  </si>
  <si>
    <t>Ans</t>
  </si>
  <si>
    <t>High pri</t>
  </si>
  <si>
    <t>Low pri</t>
  </si>
  <si>
    <t>within SLA</t>
  </si>
  <si>
    <t>Shiftlead</t>
  </si>
  <si>
    <t>Tickets Validation</t>
  </si>
  <si>
    <t>Workforce</t>
  </si>
  <si>
    <t>CX Training</t>
  </si>
  <si>
    <t>Social</t>
  </si>
  <si>
    <t>Team Leader</t>
  </si>
  <si>
    <t>Supervisor</t>
  </si>
  <si>
    <t>Senior</t>
  </si>
  <si>
    <t>Quality</t>
  </si>
  <si>
    <t>Risk &amp; Fraud Specialist</t>
  </si>
  <si>
    <t>Support staff login &amp; Plan over time for 1 agent</t>
  </si>
  <si>
    <t>Agent email</t>
  </si>
  <si>
    <t>Status name</t>
  </si>
  <si>
    <t>Duration</t>
  </si>
  <si>
    <t>Start time</t>
  </si>
  <si>
    <t>End time</t>
  </si>
  <si>
    <t>Agent name</t>
  </si>
  <si>
    <t>a.alhussein@breadfast.com</t>
  </si>
  <si>
    <t>Available</t>
  </si>
  <si>
    <t>a.elrawy@breadfast.com</t>
  </si>
  <si>
    <t>a.ouf@breadfast.com</t>
  </si>
  <si>
    <t>abdulrahman.gad@breadfast.com</t>
  </si>
  <si>
    <t>ahmed.adel@breadfast.com</t>
  </si>
  <si>
    <t>ahmed.bassem@breadfast.com</t>
  </si>
  <si>
    <t>ahmed.zakaria@breadfast.com</t>
  </si>
  <si>
    <t>aya.eid@breadfast.com</t>
  </si>
  <si>
    <t>b.mohamed@breadfast.com</t>
  </si>
  <si>
    <t>e.saadawi@breadfast.com</t>
  </si>
  <si>
    <t>ehab.serag@breadfast.com</t>
  </si>
  <si>
    <t>fajr.seyam@breadfast.com</t>
  </si>
  <si>
    <t>farah.zienhom@breadfast.com</t>
  </si>
  <si>
    <t>h.tarek@breadfast.com</t>
  </si>
  <si>
    <t>hadeer.mustafa@breadfast.com</t>
  </si>
  <si>
    <t>hagar.ali@breadfast.com</t>
  </si>
  <si>
    <t>hagar.mohammad@breadfast.com</t>
  </si>
  <si>
    <t>hend.ayman@breadfast.com</t>
  </si>
  <si>
    <t>i.rashwan@breadfast.com</t>
  </si>
  <si>
    <t>ibrahim.abdeldayem@breadfast.com</t>
  </si>
  <si>
    <t>injy.ehab@breadfast.com</t>
  </si>
  <si>
    <t>m.ezzeldin@breadfast.com</t>
  </si>
  <si>
    <t>m.hassan@breadfast.com</t>
  </si>
  <si>
    <t>mayar.farghaly@breadfast.com</t>
  </si>
  <si>
    <t>menna.arafa@breadfast.com</t>
  </si>
  <si>
    <t>mirna.hussam@breadfast.com</t>
  </si>
  <si>
    <t>mohamed.abdelrady@breadfast.com</t>
  </si>
  <si>
    <t>mohammed.sherif@breadfast.com</t>
  </si>
  <si>
    <t>n.morad@breadfast.com</t>
  </si>
  <si>
    <t>n.mostafa@breadfast.com</t>
  </si>
  <si>
    <t>n.shaaban@breadfast.com</t>
  </si>
  <si>
    <t>nada.ibrahim@breadfast.com</t>
  </si>
  <si>
    <t>nagham.ayman@breadfast.com</t>
  </si>
  <si>
    <t>nour.refaiey@breadfast.com</t>
  </si>
  <si>
    <t>o.helmy@breadfast.com</t>
  </si>
  <si>
    <t>passant.darwish@breadfast.com</t>
  </si>
  <si>
    <t>r.abouelwafa@breadfast.com</t>
  </si>
  <si>
    <t>r.farid@breadfast.com</t>
  </si>
  <si>
    <t>s.anwar@breadfast.com</t>
  </si>
  <si>
    <t>s.hussein@breadfast.com</t>
  </si>
  <si>
    <t>salma.fouad@breadfast.com</t>
  </si>
  <si>
    <t>sara.guezri@breadfast.com</t>
  </si>
  <si>
    <t>sohair.said@breadfast.com</t>
  </si>
  <si>
    <t>y.elsayed@breadfast.com</t>
  </si>
  <si>
    <t>y.sayed@breadfast.com</t>
  </si>
  <si>
    <t>yaseen.arafa@breadfast.com</t>
  </si>
  <si>
    <t>yasmeen.mostafa@breadfast.com</t>
  </si>
  <si>
    <t>z.hamed@breadfast.com</t>
  </si>
  <si>
    <t>z.yussuf@breadfast.com</t>
  </si>
  <si>
    <t>zeinab.desoky@breadfast.com</t>
  </si>
  <si>
    <t>h.aboafia@breadfast.com</t>
  </si>
  <si>
    <t>ahmed.moustafa@breadfast.com</t>
  </si>
  <si>
    <t>amira.moatasem@breadfast.com</t>
  </si>
  <si>
    <t>aya.raafat@breadfast.com</t>
  </si>
  <si>
    <t>dina.amr@breadfast.com</t>
  </si>
  <si>
    <t>farah.alaa@breadfast.com</t>
  </si>
  <si>
    <t>fatma.emam@breadfast.com</t>
  </si>
  <si>
    <t>j.ayoub@breadfast.com</t>
  </si>
  <si>
    <t>m.ashraf@breadfast.com</t>
  </si>
  <si>
    <t>n.tharwat@breadfast.com</t>
  </si>
  <si>
    <t>nehad.eid@breadfast.com</t>
  </si>
  <si>
    <t>o.moustafa@breadfast.com</t>
  </si>
  <si>
    <t>o.shibl@breadfast.com</t>
  </si>
  <si>
    <t>omar.ghazal@breadfast.com</t>
  </si>
  <si>
    <t>omar.hosni@breadfast.com</t>
  </si>
  <si>
    <t>r.abdelwahab@breadfast.com</t>
  </si>
  <si>
    <t>h.nasser@breadfast.com</t>
  </si>
  <si>
    <t>n.elshafey@breadfast.com</t>
  </si>
  <si>
    <t>h.mekky@breadfast.com</t>
  </si>
  <si>
    <t>m.fathy@breadfast.com</t>
  </si>
  <si>
    <t>f.rafela@breadfast.com</t>
  </si>
  <si>
    <t>e.fawzy@breadfast.com</t>
  </si>
  <si>
    <t>m.mostafa@breadfast.com</t>
  </si>
  <si>
    <t>s.mustafa@breadfast.com</t>
  </si>
  <si>
    <t>h.mahmoud@breadfast.com</t>
  </si>
  <si>
    <t>m.abdelghany@breadfast.com</t>
  </si>
  <si>
    <t>h.elattaar@breadfast.com</t>
  </si>
  <si>
    <t>h.nasr@breadfast.com</t>
  </si>
  <si>
    <t>a.elsherbiny@breadfast.com</t>
  </si>
  <si>
    <t>m.sweify@breadfast.com</t>
  </si>
  <si>
    <t>m.botaty@breadfast.com</t>
  </si>
  <si>
    <t>y.shogaa@breadfast.com</t>
  </si>
  <si>
    <t>m.yehia@breadfast.com</t>
  </si>
  <si>
    <t>a.aboelkhair@breadfast.com</t>
  </si>
  <si>
    <t>S.abdelmonem@breadfast.com</t>
  </si>
  <si>
    <t>v.ishak@breadfast.com</t>
  </si>
  <si>
    <t>r.osama@breadfast.com</t>
  </si>
  <si>
    <t>menna.esmael@breadfast.com</t>
  </si>
  <si>
    <t>mohamed.qourany@breadfast.com</t>
  </si>
  <si>
    <t>sondos.salah@breadfast.com</t>
  </si>
  <si>
    <t>Nadine.sharif@breadfast.com</t>
  </si>
  <si>
    <t>israa.hammam@breadfast.com</t>
  </si>
  <si>
    <t>nourhan.ossama@breadfast.com</t>
  </si>
  <si>
    <t>y.mohamed@breadfast.com</t>
  </si>
  <si>
    <t>s.eldaydamoney@breadfast.com</t>
  </si>
  <si>
    <t>e.hassanin@breadfast.com</t>
  </si>
  <si>
    <t>h.seliman@breadfast.com</t>
  </si>
  <si>
    <t>s.elmaghrabi@breadfast.com</t>
  </si>
  <si>
    <t>m.hesham@breadfast.com</t>
  </si>
  <si>
    <t>m.aboelsoud@breadfast.com</t>
  </si>
  <si>
    <t>o.alaa@breadfast.com</t>
  </si>
  <si>
    <t>m.tohamy@breadfast.com</t>
  </si>
  <si>
    <t>h.gad@breadfast.com</t>
  </si>
  <si>
    <t>mohamed.elsherbeny@breadfast.com</t>
  </si>
  <si>
    <t>tasneem.moataz@breadfast.com</t>
  </si>
  <si>
    <t>omar.ragab@breadfast.com</t>
  </si>
  <si>
    <t>kareem.sobeih@breadfast.com</t>
  </si>
  <si>
    <t>muhammed.abdelkader@breadfast.com</t>
  </si>
  <si>
    <t>shehab.hamdy@breadfast.com</t>
  </si>
  <si>
    <t>eslam.taha@breadfast.com</t>
  </si>
  <si>
    <t>a.eraqy@breadfast.com</t>
  </si>
  <si>
    <t>fayrouz.sabry@breadfast.com</t>
  </si>
  <si>
    <t>ahmed.soliman@breadfast.com</t>
  </si>
  <si>
    <t>bola.nabil@breadfast.com</t>
  </si>
  <si>
    <t>hanah.maher@breadfast.com</t>
  </si>
  <si>
    <t>mohammed.elrasas@breadfast.com</t>
  </si>
  <si>
    <t>nadeen.gamal@breadfast.com</t>
  </si>
  <si>
    <t>y.elkholify@breadfast.com</t>
  </si>
  <si>
    <t>m.mansour@breadfast.com</t>
  </si>
  <si>
    <t>n.abdelkader@breadfast.com</t>
  </si>
  <si>
    <t>mahmoud.sayed@breadfast.com</t>
  </si>
  <si>
    <t>anas.sherif@breadfast.com</t>
  </si>
  <si>
    <t>aya.ashraf@breadfast.com</t>
  </si>
  <si>
    <t>kareem.fathy@breadfast.com</t>
  </si>
  <si>
    <t>reham.tarek@breadfast.com</t>
  </si>
  <si>
    <t>nada.zein@breadfast.com</t>
  </si>
  <si>
    <t>Nadeen.Mohamed@breadfast.com</t>
  </si>
  <si>
    <t>Dina.farrag@breadfast.com</t>
  </si>
  <si>
    <t>Salma.abdrabo@breadfast.com</t>
  </si>
  <si>
    <t>Omnya.mohamed@breadfast.com</t>
  </si>
  <si>
    <t>merna.ashraf@breadfast.com</t>
  </si>
  <si>
    <t>Yara.hosny@breadfast.com</t>
  </si>
  <si>
    <t>thanaa.tahoun@breadfast.com</t>
  </si>
  <si>
    <t>Mostafa.fahmy@breadfast.com</t>
  </si>
  <si>
    <t>sarraa.waheed@breadfast.com</t>
  </si>
  <si>
    <t>esraa.adel@breadfast.com</t>
  </si>
  <si>
    <t>Yara.emad@breadfast.com</t>
  </si>
  <si>
    <t>Dalia.mansour@breadfast.com</t>
  </si>
  <si>
    <t>mohamed.hesham@breadfast.com</t>
  </si>
  <si>
    <t>reham.sayed@breadfast.com</t>
  </si>
  <si>
    <t>salma.mohy@breadfast.com</t>
  </si>
  <si>
    <t>Lob</t>
  </si>
  <si>
    <t>Delegate</t>
  </si>
  <si>
    <t>Training Chat</t>
  </si>
  <si>
    <t xml:space="preserve">High AHT, late orders, Unexpected Signouts  </t>
  </si>
  <si>
    <t>Agent was break ,off Q and late orders</t>
  </si>
  <si>
    <t>3 OB agents supported the 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</si>
</sst>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h:mm\ AM/PM;@"/>
    <numFmt numFmtId="165" formatCode="0.0"/>
    <numFmt numFmtId="166" formatCode="0.0%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 Light"/>
      <family val="1"/>
      <scheme val="major"/>
    </font>
    <font>
      <sz val="8"/>
      <name val="Calibri"/>
      <family val="2"/>
      <scheme val="minor"/>
    </font>
    <font>
      <b/>
      <sz val="14"/>
      <name val="Calibri Light"/>
      <family val="1"/>
      <scheme val="major"/>
    </font>
    <font>
      <b/>
      <sz val="14"/>
      <name val="Calibri"/>
      <family val="2"/>
      <scheme val="minor"/>
    </font>
    <font>
      <b/>
      <sz val="8"/>
      <name val="Calibri"/>
      <family val="2"/>
      <scheme val="minor"/>
    </font>
    <font>
      <sz val="9"/>
      <name val="Tahoma"/>
      <family val="2"/>
    </font>
    <font>
      <sz val="8"/>
      <name val="Calibri Light"/>
      <family val="1"/>
      <scheme val="major"/>
    </font>
    <font>
      <sz val="8"/>
      <name val="MS Sans Serif"/>
      <family val="2"/>
    </font>
    <font>
      <sz val="8"/>
      <color theme="0"/>
      <name val="Calibri"/>
      <family val="2"/>
      <scheme val="minor"/>
    </font>
    <font>
      <sz val="8"/>
      <color rgb="FF7E000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222222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rgb="FF222222"/>
      <name val="Roboto"/>
    </font>
    <font>
      <sz val="11"/>
      <color theme="1"/>
      <name val="Arial"/>
      <family val="2"/>
    </font>
    <font>
      <b/>
      <sz val="10"/>
      <color theme="1"/>
      <name val="Roboto"/>
    </font>
    <font>
      <u/>
      <sz val="11"/>
      <color rgb="FF1155CC"/>
      <name val="Calibri"/>
      <family val="2"/>
    </font>
    <font>
      <u/>
      <sz val="10"/>
      <color rgb="FF1155CC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</font>
    <font>
      <sz val="10"/>
      <color rgb="FF22222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B0207D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0" fontId="8" fillId="0" borderId="0"/>
    <xf numFmtId="0" fontId="10" fillId="0" borderId="0">
      <alignment horizontal="center" vertical="center"/>
    </xf>
    <xf numFmtId="0" fontId="8" fillId="0" borderId="0"/>
    <xf numFmtId="0" fontId="8" fillId="0" borderId="0"/>
    <xf numFmtId="0" fontId="26" fillId="0" borderId="0" applyNumberFormat="0" applyFill="0" applyBorder="0" applyAlignment="0" applyProtection="0"/>
  </cellStyleXfs>
  <cellXfs count="144">
    <xf numFmtId="0" fontId="0" fillId="0" borderId="0" xfId="0"/>
    <xf numFmtId="21" fontId="2" fillId="0" borderId="0" xfId="0" applyNumberFormat="1" applyFont="1" applyAlignment="1">
      <alignment horizontal="center"/>
    </xf>
    <xf numFmtId="21" fontId="2" fillId="0" borderId="0" xfId="0" applyNumberFormat="1" applyFont="1"/>
    <xf numFmtId="0" fontId="3" fillId="0" borderId="0" xfId="0" applyFont="1"/>
    <xf numFmtId="0" fontId="4" fillId="4" borderId="9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4" fillId="4" borderId="11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164" fontId="4" fillId="4" borderId="13" xfId="0" applyNumberFormat="1" applyFont="1" applyFill="1" applyBorder="1" applyAlignment="1">
      <alignment horizontal="center" vertical="center" wrapText="1"/>
    </xf>
    <xf numFmtId="0" fontId="4" fillId="7" borderId="14" xfId="3" applyFont="1" applyFill="1" applyBorder="1" applyAlignment="1">
      <alignment horizontal="center" vertical="center" wrapText="1"/>
    </xf>
    <xf numFmtId="1" fontId="4" fillId="7" borderId="15" xfId="0" applyNumberFormat="1" applyFont="1" applyFill="1" applyBorder="1" applyAlignment="1">
      <alignment horizontal="center" vertical="center" wrapText="1"/>
    </xf>
    <xf numFmtId="9" fontId="4" fillId="7" borderId="16" xfId="2" applyFont="1" applyFill="1" applyBorder="1" applyAlignment="1" applyProtection="1">
      <alignment horizontal="center" vertical="center" wrapText="1"/>
    </xf>
    <xf numFmtId="1" fontId="4" fillId="7" borderId="14" xfId="0" applyNumberFormat="1" applyFont="1" applyFill="1" applyBorder="1" applyAlignment="1">
      <alignment horizontal="center" vertical="center" wrapText="1"/>
    </xf>
    <xf numFmtId="9" fontId="4" fillId="7" borderId="15" xfId="0" applyNumberFormat="1" applyFont="1" applyFill="1" applyBorder="1" applyAlignment="1">
      <alignment horizontal="center" vertical="center" wrapText="1"/>
    </xf>
    <xf numFmtId="9" fontId="4" fillId="7" borderId="5" xfId="0" applyNumberFormat="1" applyFont="1" applyFill="1" applyBorder="1" applyAlignment="1">
      <alignment horizontal="center" vertical="center" wrapText="1"/>
    </xf>
    <xf numFmtId="165" fontId="4" fillId="7" borderId="15" xfId="0" applyNumberFormat="1" applyFont="1" applyFill="1" applyBorder="1" applyAlignment="1">
      <alignment horizontal="center" vertical="center" wrapText="1"/>
    </xf>
    <xf numFmtId="9" fontId="4" fillId="7" borderId="15" xfId="2" applyFont="1" applyFill="1" applyBorder="1" applyAlignment="1" applyProtection="1">
      <alignment horizontal="center" vertical="center" wrapText="1"/>
    </xf>
    <xf numFmtId="9" fontId="4" fillId="7" borderId="2" xfId="2" applyFont="1" applyFill="1" applyBorder="1" applyAlignment="1" applyProtection="1">
      <alignment horizontal="center" vertical="center" wrapText="1" shrinkToFit="1"/>
    </xf>
    <xf numFmtId="46" fontId="4" fillId="0" borderId="7" xfId="4" applyNumberFormat="1" applyFont="1" applyBorder="1" applyAlignment="1">
      <alignment horizontal="center" vertical="center" wrapText="1" shrinkToFit="1"/>
    </xf>
    <xf numFmtId="166" fontId="7" fillId="7" borderId="12" xfId="2" applyNumberFormat="1" applyFont="1" applyFill="1" applyBorder="1" applyAlignment="1" applyProtection="1">
      <alignment horizontal="center" vertical="center" wrapText="1" shrinkToFit="1"/>
    </xf>
    <xf numFmtId="165" fontId="9" fillId="4" borderId="2" xfId="4" applyNumberFormat="1" applyFont="1" applyFill="1" applyBorder="1" applyAlignment="1">
      <alignment horizontal="center" vertical="center" wrapText="1" shrinkToFit="1"/>
    </xf>
    <xf numFmtId="165" fontId="4" fillId="4" borderId="2" xfId="4" applyNumberFormat="1" applyFont="1" applyFill="1" applyBorder="1" applyAlignment="1">
      <alignment horizontal="center" vertical="center" wrapText="1" shrinkToFit="1"/>
    </xf>
    <xf numFmtId="1" fontId="4" fillId="8" borderId="2" xfId="1" applyNumberFormat="1" applyFont="1" applyFill="1" applyBorder="1" applyAlignment="1">
      <alignment horizontal="center" vertical="center" wrapText="1"/>
    </xf>
    <xf numFmtId="1" fontId="4" fillId="9" borderId="2" xfId="1" applyNumberFormat="1" applyFont="1" applyFill="1" applyBorder="1" applyAlignment="1">
      <alignment horizontal="center" vertical="center" wrapText="1"/>
    </xf>
    <xf numFmtId="165" fontId="4" fillId="8" borderId="2" xfId="1" applyNumberFormat="1" applyFont="1" applyFill="1" applyBorder="1" applyAlignment="1">
      <alignment horizontal="center" vertical="center" wrapText="1"/>
    </xf>
    <xf numFmtId="165" fontId="4" fillId="8" borderId="15" xfId="1" applyNumberFormat="1" applyFont="1" applyFill="1" applyBorder="1" applyAlignment="1">
      <alignment horizontal="center" vertical="center" wrapText="1"/>
    </xf>
    <xf numFmtId="165" fontId="4" fillId="8" borderId="2" xfId="5" applyNumberFormat="1" applyFont="1" applyFill="1" applyBorder="1" applyAlignment="1">
      <alignment horizontal="center" vertical="center" wrapText="1"/>
    </xf>
    <xf numFmtId="1" fontId="4" fillId="7" borderId="2" xfId="0" applyNumberFormat="1" applyFont="1" applyFill="1" applyBorder="1" applyAlignment="1">
      <alignment horizontal="center" vertical="center" wrapText="1"/>
    </xf>
    <xf numFmtId="1" fontId="4" fillId="7" borderId="7" xfId="0" applyNumberFormat="1" applyFont="1" applyFill="1" applyBorder="1" applyAlignment="1">
      <alignment horizontal="center" vertical="center" wrapText="1"/>
    </xf>
    <xf numFmtId="9" fontId="4" fillId="7" borderId="2" xfId="0" applyNumberFormat="1" applyFont="1" applyFill="1" applyBorder="1" applyAlignment="1">
      <alignment horizontal="center" vertical="center" wrapText="1"/>
    </xf>
    <xf numFmtId="165" fontId="4" fillId="7" borderId="2" xfId="0" applyNumberFormat="1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1" fontId="4" fillId="7" borderId="0" xfId="0" applyNumberFormat="1" applyFont="1" applyFill="1" applyAlignment="1">
      <alignment horizontal="center" vertical="center" wrapText="1"/>
    </xf>
    <xf numFmtId="9" fontId="9" fillId="7" borderId="0" xfId="2" applyFont="1" applyFill="1" applyAlignment="1" applyProtection="1">
      <alignment horizontal="center" vertical="center" wrapText="1"/>
    </xf>
    <xf numFmtId="9" fontId="4" fillId="7" borderId="0" xfId="2" applyFont="1" applyFill="1" applyAlignment="1" applyProtection="1">
      <alignment horizontal="center" vertical="center" wrapText="1"/>
    </xf>
    <xf numFmtId="165" fontId="4" fillId="7" borderId="0" xfId="0" applyNumberFormat="1" applyFont="1" applyFill="1" applyAlignment="1">
      <alignment horizontal="center" vertical="center" wrapText="1"/>
    </xf>
    <xf numFmtId="0" fontId="12" fillId="7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1" fontId="4" fillId="4" borderId="2" xfId="0" applyNumberFormat="1" applyFont="1" applyFill="1" applyBorder="1" applyAlignment="1">
      <alignment horizontal="center" vertical="center" wrapText="1"/>
    </xf>
    <xf numFmtId="9" fontId="4" fillId="4" borderId="2" xfId="2" applyFont="1" applyFill="1" applyBorder="1" applyAlignment="1" applyProtection="1">
      <alignment horizontal="center" vertical="center" wrapText="1"/>
    </xf>
    <xf numFmtId="1" fontId="11" fillId="7" borderId="0" xfId="0" applyNumberFormat="1" applyFont="1" applyFill="1" applyAlignment="1">
      <alignment horizontal="center" vertical="center" wrapText="1"/>
    </xf>
    <xf numFmtId="165" fontId="11" fillId="7" borderId="0" xfId="0" applyNumberFormat="1" applyFont="1" applyFill="1" applyAlignment="1">
      <alignment horizontal="center" vertical="center" wrapText="1"/>
    </xf>
    <xf numFmtId="9" fontId="4" fillId="4" borderId="2" xfId="2" applyFont="1" applyFill="1" applyBorder="1" applyAlignment="1" applyProtection="1">
      <alignment horizontal="center" vertical="center" wrapText="1" shrinkToFit="1"/>
    </xf>
    <xf numFmtId="46" fontId="4" fillId="4" borderId="2" xfId="7" applyNumberFormat="1" applyFont="1" applyFill="1" applyBorder="1" applyAlignment="1">
      <alignment horizontal="center" vertical="center" wrapText="1" shrinkToFit="1"/>
    </xf>
    <xf numFmtId="166" fontId="4" fillId="4" borderId="2" xfId="2" applyNumberFormat="1" applyFont="1" applyFill="1" applyBorder="1" applyAlignment="1" applyProtection="1">
      <alignment horizontal="center" vertical="center" wrapText="1" shrinkToFit="1"/>
    </xf>
    <xf numFmtId="165" fontId="0" fillId="0" borderId="0" xfId="0" applyNumberFormat="1"/>
    <xf numFmtId="0" fontId="4" fillId="10" borderId="11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/>
    <xf numFmtId="0" fontId="13" fillId="11" borderId="18" xfId="0" applyFont="1" applyFill="1" applyBorder="1" applyAlignment="1">
      <alignment horizontal="center" vertical="center"/>
    </xf>
    <xf numFmtId="0" fontId="13" fillId="11" borderId="19" xfId="0" applyFont="1" applyFill="1" applyBorder="1" applyAlignment="1">
      <alignment horizontal="center" vertical="center"/>
    </xf>
    <xf numFmtId="0" fontId="14" fillId="0" borderId="0" xfId="0" applyFont="1"/>
    <xf numFmtId="165" fontId="4" fillId="9" borderId="2" xfId="1" applyNumberFormat="1" applyFont="1" applyFill="1" applyBorder="1" applyAlignment="1">
      <alignment horizontal="center" vertical="center" wrapText="1"/>
    </xf>
    <xf numFmtId="0" fontId="13" fillId="11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4" fillId="0" borderId="2" xfId="0" applyFont="1" applyBorder="1" applyAlignment="1">
      <alignment horizontal="center"/>
    </xf>
    <xf numFmtId="18" fontId="0" fillId="0" borderId="2" xfId="0" applyNumberFormat="1" applyBorder="1" applyAlignment="1">
      <alignment horizontal="center"/>
    </xf>
    <xf numFmtId="9" fontId="0" fillId="0" borderId="0" xfId="2" applyFont="1"/>
    <xf numFmtId="1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46" fontId="0" fillId="0" borderId="2" xfId="0" applyNumberFormat="1" applyBorder="1" applyAlignment="1">
      <alignment horizontal="center"/>
    </xf>
    <xf numFmtId="46" fontId="0" fillId="2" borderId="1" xfId="0" applyNumberFormat="1" applyFill="1" applyBorder="1" applyAlignment="1">
      <alignment horizontal="center" vertical="center"/>
    </xf>
    <xf numFmtId="166" fontId="0" fillId="0" borderId="2" xfId="2" applyNumberFormat="1" applyFont="1" applyBorder="1" applyAlignment="1">
      <alignment horizontal="center"/>
    </xf>
    <xf numFmtId="1" fontId="15" fillId="10" borderId="0" xfId="0" applyNumberFormat="1" applyFont="1" applyFill="1" applyAlignment="1">
      <alignment horizontal="center" vertical="center" wrapText="1"/>
    </xf>
    <xf numFmtId="165" fontId="15" fillId="10" borderId="0" xfId="0" applyNumberFormat="1" applyFont="1" applyFill="1" applyAlignment="1">
      <alignment horizontal="center" vertical="center" wrapText="1"/>
    </xf>
    <xf numFmtId="0" fontId="0" fillId="4" borderId="2" xfId="0" applyFill="1" applyBorder="1" applyAlignment="1">
      <alignment horizontal="center"/>
    </xf>
    <xf numFmtId="166" fontId="4" fillId="4" borderId="0" xfId="2" applyNumberFormat="1" applyFont="1" applyFill="1" applyBorder="1" applyAlignment="1" applyProtection="1">
      <alignment horizontal="center" vertical="center" wrapText="1" shrinkToFit="1"/>
    </xf>
    <xf numFmtId="164" fontId="4" fillId="4" borderId="2" xfId="0" applyNumberFormat="1" applyFont="1" applyFill="1" applyBorder="1" applyAlignment="1">
      <alignment horizontal="center" vertical="center" wrapText="1"/>
    </xf>
    <xf numFmtId="0" fontId="4" fillId="7" borderId="2" xfId="3" applyFont="1" applyFill="1" applyBorder="1" applyAlignment="1">
      <alignment horizontal="center" vertical="center" wrapText="1"/>
    </xf>
    <xf numFmtId="9" fontId="4" fillId="7" borderId="2" xfId="2" applyFont="1" applyFill="1" applyBorder="1" applyAlignment="1" applyProtection="1">
      <alignment horizontal="center" vertical="center" wrapText="1"/>
    </xf>
    <xf numFmtId="46" fontId="4" fillId="0" borderId="2" xfId="4" applyNumberFormat="1" applyFont="1" applyBorder="1" applyAlignment="1">
      <alignment horizontal="center" vertical="center" wrapText="1" shrinkToFit="1"/>
    </xf>
    <xf numFmtId="166" fontId="7" fillId="7" borderId="2" xfId="2" applyNumberFormat="1" applyFont="1" applyFill="1" applyBorder="1" applyAlignment="1" applyProtection="1">
      <alignment horizontal="center" vertical="center" wrapText="1" shrinkToFit="1"/>
    </xf>
    <xf numFmtId="2" fontId="7" fillId="7" borderId="2" xfId="2" applyNumberFormat="1" applyFont="1" applyFill="1" applyBorder="1" applyAlignment="1" applyProtection="1">
      <alignment horizontal="center" vertical="center" wrapText="1" shrinkToFit="1"/>
    </xf>
    <xf numFmtId="1" fontId="7" fillId="7" borderId="2" xfId="2" applyNumberFormat="1" applyFont="1" applyFill="1" applyBorder="1" applyAlignment="1" applyProtection="1">
      <alignment horizontal="center" vertical="center" wrapText="1" shrinkToFit="1"/>
    </xf>
    <xf numFmtId="0" fontId="0" fillId="10" borderId="0" xfId="0" applyFill="1"/>
    <xf numFmtId="14" fontId="0" fillId="0" borderId="0" xfId="0" applyNumberFormat="1"/>
    <xf numFmtId="20" fontId="0" fillId="0" borderId="0" xfId="0" applyNumberFormat="1"/>
    <xf numFmtId="21" fontId="0" fillId="0" borderId="0" xfId="0" applyNumberFormat="1"/>
    <xf numFmtId="0" fontId="4" fillId="7" borderId="16" xfId="2" applyNumberFormat="1" applyFont="1" applyFill="1" applyBorder="1" applyAlignment="1" applyProtection="1">
      <alignment horizontal="center" vertical="center" wrapText="1"/>
    </xf>
    <xf numFmtId="1" fontId="0" fillId="0" borderId="2" xfId="0" applyNumberFormat="1" applyBorder="1" applyAlignment="1">
      <alignment horizontal="center" vertical="center"/>
    </xf>
    <xf numFmtId="11" fontId="0" fillId="0" borderId="0" xfId="0" applyNumberFormat="1"/>
    <xf numFmtId="0" fontId="17" fillId="15" borderId="22" xfId="0" applyFont="1" applyFill="1" applyBorder="1" applyAlignment="1">
      <alignment horizontal="center" vertical="center" wrapText="1"/>
    </xf>
    <xf numFmtId="0" fontId="18" fillId="15" borderId="22" xfId="0" applyFont="1" applyFill="1" applyBorder="1" applyAlignment="1">
      <alignment horizontal="center" vertical="center" wrapText="1"/>
    </xf>
    <xf numFmtId="0" fontId="17" fillId="16" borderId="22" xfId="0" applyFont="1" applyFill="1" applyBorder="1" applyAlignment="1">
      <alignment horizontal="center" vertical="center" wrapText="1"/>
    </xf>
    <xf numFmtId="0" fontId="16" fillId="0" borderId="22" xfId="0" applyFont="1" applyBorder="1" applyAlignment="1">
      <alignment horizontal="center" wrapText="1"/>
    </xf>
    <xf numFmtId="0" fontId="16" fillId="15" borderId="22" xfId="0" applyFont="1" applyFill="1" applyBorder="1" applyAlignment="1">
      <alignment horizontal="center" wrapText="1"/>
    </xf>
    <xf numFmtId="0" fontId="16" fillId="14" borderId="22" xfId="0" applyFont="1" applyFill="1" applyBorder="1" applyAlignment="1">
      <alignment horizontal="center" wrapText="1"/>
    </xf>
    <xf numFmtId="0" fontId="19" fillId="0" borderId="22" xfId="0" applyFont="1" applyBorder="1" applyAlignment="1">
      <alignment horizontal="center" wrapText="1"/>
    </xf>
    <xf numFmtId="0" fontId="20" fillId="0" borderId="22" xfId="0" applyFont="1" applyBorder="1" applyAlignment="1">
      <alignment horizontal="center" wrapText="1"/>
    </xf>
    <xf numFmtId="0" fontId="17" fillId="0" borderId="22" xfId="0" applyFont="1" applyBorder="1" applyAlignment="1">
      <alignment horizontal="center" wrapText="1"/>
    </xf>
    <xf numFmtId="0" fontId="17" fillId="14" borderId="22" xfId="0" applyFont="1" applyFill="1" applyBorder="1" applyAlignment="1">
      <alignment horizontal="center" wrapText="1"/>
    </xf>
    <xf numFmtId="0" fontId="18" fillId="15" borderId="22" xfId="0" applyFont="1" applyFill="1" applyBorder="1" applyAlignment="1">
      <alignment horizontal="center" wrapText="1"/>
    </xf>
    <xf numFmtId="0" fontId="16" fillId="0" borderId="23" xfId="0" applyFont="1" applyBorder="1" applyAlignment="1">
      <alignment horizontal="center" wrapText="1"/>
    </xf>
    <xf numFmtId="18" fontId="0" fillId="0" borderId="0" xfId="0" applyNumberFormat="1" applyAlignment="1">
      <alignment horizontal="center"/>
    </xf>
    <xf numFmtId="22" fontId="0" fillId="0" borderId="0" xfId="0" applyNumberFormat="1"/>
    <xf numFmtId="165" fontId="9" fillId="4" borderId="15" xfId="4" applyNumberFormat="1" applyFont="1" applyFill="1" applyBorder="1" applyAlignment="1">
      <alignment horizontal="center" vertical="center" wrapText="1" shrinkToFit="1"/>
    </xf>
    <xf numFmtId="0" fontId="13" fillId="17" borderId="24" xfId="0" applyFont="1" applyFill="1" applyBorder="1" applyAlignment="1">
      <alignment horizontal="center" vertical="center" wrapText="1"/>
    </xf>
    <xf numFmtId="0" fontId="16" fillId="16" borderId="22" xfId="0" applyFont="1" applyFill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21" fillId="15" borderId="22" xfId="0" applyFont="1" applyFill="1" applyBorder="1" applyAlignment="1">
      <alignment horizontal="center" wrapText="1"/>
    </xf>
    <xf numFmtId="0" fontId="22" fillId="0" borderId="22" xfId="0" applyFont="1" applyBorder="1" applyAlignment="1">
      <alignment horizontal="center" wrapText="1"/>
    </xf>
    <xf numFmtId="0" fontId="22" fillId="15" borderId="22" xfId="0" applyFont="1" applyFill="1" applyBorder="1" applyAlignment="1">
      <alignment horizontal="center" wrapText="1"/>
    </xf>
    <xf numFmtId="0" fontId="22" fillId="14" borderId="22" xfId="0" applyFont="1" applyFill="1" applyBorder="1" applyAlignment="1">
      <alignment horizontal="center" wrapText="1"/>
    </xf>
    <xf numFmtId="0" fontId="23" fillId="0" borderId="22" xfId="0" applyFont="1" applyBorder="1" applyAlignment="1">
      <alignment horizontal="center" wrapText="1"/>
    </xf>
    <xf numFmtId="0" fontId="20" fillId="14" borderId="22" xfId="0" applyFont="1" applyFill="1" applyBorder="1" applyAlignment="1">
      <alignment horizontal="center" wrapText="1"/>
    </xf>
    <xf numFmtId="0" fontId="26" fillId="0" borderId="22" xfId="8" applyBorder="1" applyAlignment="1">
      <alignment horizontal="center" wrapText="1"/>
    </xf>
    <xf numFmtId="0" fontId="24" fillId="15" borderId="22" xfId="0" applyFont="1" applyFill="1" applyBorder="1" applyAlignment="1">
      <alignment horizontal="center" wrapText="1"/>
    </xf>
    <xf numFmtId="0" fontId="25" fillId="15" borderId="22" xfId="0" applyFont="1" applyFill="1" applyBorder="1" applyAlignment="1">
      <alignment horizontal="center" wrapText="1"/>
    </xf>
    <xf numFmtId="0" fontId="27" fillId="17" borderId="24" xfId="0" applyFont="1" applyFill="1" applyBorder="1" applyAlignment="1">
      <alignment horizontal="center" vertical="center" wrapText="1"/>
    </xf>
    <xf numFmtId="0" fontId="28" fillId="15" borderId="22" xfId="0" applyFont="1" applyFill="1" applyBorder="1" applyAlignment="1">
      <alignment horizontal="center" vertical="center" wrapText="1"/>
    </xf>
    <xf numFmtId="9" fontId="4" fillId="4" borderId="10" xfId="2" applyFont="1" applyFill="1" applyBorder="1" applyAlignment="1">
      <alignment horizontal="center" vertical="center" wrapText="1"/>
    </xf>
    <xf numFmtId="9" fontId="4" fillId="7" borderId="0" xfId="2" applyFont="1" applyFill="1" applyAlignment="1">
      <alignment horizontal="center" vertical="center" wrapText="1"/>
    </xf>
    <xf numFmtId="9" fontId="4" fillId="4" borderId="2" xfId="2" applyFont="1" applyFill="1" applyBorder="1" applyAlignment="1">
      <alignment horizontal="center" vertical="center" wrapText="1"/>
    </xf>
    <xf numFmtId="14" fontId="0" fillId="10" borderId="0" xfId="0" applyNumberFormat="1" applyFill="1"/>
    <xf numFmtId="0" fontId="0" fillId="13" borderId="0" xfId="0" applyFill="1" applyAlignment="1">
      <alignment horizontal="center"/>
    </xf>
    <xf numFmtId="0" fontId="0" fillId="0" borderId="17" xfId="0" applyBorder="1" applyAlignment="1">
      <alignment horizontal="center"/>
    </xf>
    <xf numFmtId="0" fontId="5" fillId="4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0" fontId="4" fillId="4" borderId="2" xfId="0" applyFont="1" applyFill="1" applyBorder="1" applyAlignment="1">
      <alignment horizontal="center" vertical="center" textRotation="45" wrapText="1"/>
    </xf>
    <xf numFmtId="0" fontId="4" fillId="4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9" fontId="4" fillId="4" borderId="2" xfId="2" applyFont="1" applyFill="1" applyBorder="1" applyAlignment="1" applyProtection="1">
      <alignment horizontal="center" vertical="center" wrapText="1"/>
    </xf>
    <xf numFmtId="0" fontId="4" fillId="10" borderId="6" xfId="0" applyFont="1" applyFill="1" applyBorder="1" applyAlignment="1">
      <alignment horizontal="center" vertical="center" wrapText="1"/>
    </xf>
    <xf numFmtId="9" fontId="4" fillId="4" borderId="5" xfId="2" applyFont="1" applyFill="1" applyBorder="1" applyAlignment="1" applyProtection="1">
      <alignment horizontal="center" vertical="center" wrapText="1"/>
    </xf>
    <xf numFmtId="9" fontId="4" fillId="4" borderId="12" xfId="2" applyFont="1" applyFill="1" applyBorder="1" applyAlignment="1" applyProtection="1">
      <alignment horizontal="center" vertical="center" wrapText="1"/>
    </xf>
    <xf numFmtId="0" fontId="4" fillId="4" borderId="3" xfId="0" applyFont="1" applyFill="1" applyBorder="1" applyAlignment="1">
      <alignment horizontal="center" vertical="center" textRotation="45" wrapText="1"/>
    </xf>
    <xf numFmtId="0" fontId="4" fillId="4" borderId="7" xfId="0" applyFont="1" applyFill="1" applyBorder="1" applyAlignment="1">
      <alignment horizontal="center" vertical="center" textRotation="45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165" fontId="9" fillId="4" borderId="20" xfId="4" applyNumberFormat="1" applyFont="1" applyFill="1" applyBorder="1" applyAlignment="1">
      <alignment horizontal="center" vertical="center" wrapText="1" shrinkToFit="1"/>
    </xf>
    <xf numFmtId="165" fontId="9" fillId="4" borderId="21" xfId="4" applyNumberFormat="1" applyFont="1" applyFill="1" applyBorder="1" applyAlignment="1">
      <alignment horizontal="center" vertical="center" wrapText="1" shrinkToFit="1"/>
    </xf>
    <xf numFmtId="165" fontId="9" fillId="4" borderId="15" xfId="4" applyNumberFormat="1" applyFont="1" applyFill="1" applyBorder="1" applyAlignment="1">
      <alignment horizontal="center" vertical="center" wrapText="1" shrinkToFit="1"/>
    </xf>
    <xf numFmtId="0" fontId="2" fillId="12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</cellXfs>
  <cellStyles count="9">
    <cellStyle name="Body" xfId="5" xr:uid="{3A4D81AE-1C3B-40DC-BD29-1D4080623DC4}"/>
    <cellStyle name="Comma" xfId="1" builtinId="3"/>
    <cellStyle name="Hyperlink" xfId="8" builtinId="8"/>
    <cellStyle name="Normal" xfId="0" builtinId="0"/>
    <cellStyle name="Normal 33" xfId="7" xr:uid="{882ECEB7-C9CD-420C-8BCF-2DA5995FEBD0}"/>
    <cellStyle name="Normal 67" xfId="3" xr:uid="{E31BDD13-124F-4AB8-9C1A-9B6542FC0246}"/>
    <cellStyle name="Normal 68" xfId="4" xr:uid="{2BC1AB5A-41B4-4296-A142-1CA43D0DD015}"/>
    <cellStyle name="Normal 68 2" xfId="6" xr:uid="{DB56CFE2-BC32-4EF6-943B-3F3B49D8E40F}"/>
    <cellStyle name="Percent" xfId="2" builtinId="5"/>
  </cellStyles>
  <dxfs count="28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0099"/>
      <color rgb="FFA50021"/>
      <color rgb="FFB149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62479430435134E-2"/>
          <c:y val="8.5012593123952998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Chat!$AF$3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Chat!$AE$11:$AE$27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Chat!$AF$11:$AF$27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F7-401E-9D2C-410B667D8CB8}"/>
            </c:ext>
          </c:extLst>
        </c:ser>
        <c:ser>
          <c:idx val="1"/>
          <c:order val="1"/>
          <c:tx>
            <c:strRef>
              <c:f>Chat!$AG$3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3647217912543541E-3"/>
                  <c:y val="3.364170681596873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20-4E91-AE01-C526656FCD9C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Chat!$AE$11:$AE$27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Chat!$AG$11:$AG$27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7-401E-9D2C-410B667D8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677307870452847E-2"/>
          <c:y val="5.1370886307984261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'Social media '!$AD$3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'!$AD$11:$AD$27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2-47BC-975F-3F4CBC697279}"/>
            </c:ext>
          </c:extLst>
        </c:ser>
        <c:ser>
          <c:idx val="1"/>
          <c:order val="1"/>
          <c:tx>
            <c:strRef>
              <c:f>'Social media '!$AE$3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'!$AE$11:$AE$27</c:f>
              <c:numCache>
                <c:formatCode>0.0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C2-47BC-975F-3F4CBC69727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677307870452847E-2"/>
          <c:y val="5.1370886307984261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'Social media '!$AD$3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'!$AD$11:$AD$27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6-4C73-A8CE-30F5895925A5}"/>
            </c:ext>
          </c:extLst>
        </c:ser>
        <c:ser>
          <c:idx val="1"/>
          <c:order val="1"/>
          <c:tx>
            <c:strRef>
              <c:f>'Social media '!$AE$3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'!$AE$11:$AE$27</c:f>
              <c:numCache>
                <c:formatCode>0.0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96-4C73-A8CE-30F5895925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677307870452847E-2"/>
          <c:y val="5.1370886307984261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'Social media '!$AD$3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'!$AD$11:$AD$27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E-485A-AEC4-4C6C0FAAD31F}"/>
            </c:ext>
          </c:extLst>
        </c:ser>
        <c:ser>
          <c:idx val="1"/>
          <c:order val="1"/>
          <c:tx>
            <c:strRef>
              <c:f>'Social media '!$AE$3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'!$AE$11:$AE$27</c:f>
              <c:numCache>
                <c:formatCode>0.0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E-485A-AEC4-4C6C0FAAD31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677307870452847E-2"/>
          <c:y val="5.1370886307984261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'Social media '!$AD$3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'!$AD$11:$AD$27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0F-4793-BDE9-B2866FA3A027}"/>
            </c:ext>
          </c:extLst>
        </c:ser>
        <c:ser>
          <c:idx val="1"/>
          <c:order val="1"/>
          <c:tx>
            <c:strRef>
              <c:f>'Social media '!$AE$3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'!$AE$11:$AE$27</c:f>
              <c:numCache>
                <c:formatCode>0.0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0F-4793-BDE9-B2866FA3A02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31</xdr:row>
      <xdr:rowOff>50800</xdr:rowOff>
    </xdr:from>
    <xdr:to>
      <xdr:col>4</xdr:col>
      <xdr:colOff>495300</xdr:colOff>
      <xdr:row>34</xdr:row>
      <xdr:rowOff>38100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EC559768-F547-868B-2B76-3BC80D1E4F12}"/>
            </a:ext>
          </a:extLst>
        </xdr:cNvPr>
        <xdr:cNvSpPr/>
      </xdr:nvSpPr>
      <xdr:spPr>
        <a:xfrm>
          <a:off x="673100" y="5759450"/>
          <a:ext cx="2260600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Run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286807</xdr:colOff>
      <xdr:row>2</xdr:row>
      <xdr:rowOff>70908</xdr:rowOff>
    </xdr:from>
    <xdr:to>
      <xdr:col>48</xdr:col>
      <xdr:colOff>554567</xdr:colOff>
      <xdr:row>22</xdr:row>
      <xdr:rowOff>35984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245CD80-F278-4FF3-8608-F0D6253801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403224</xdr:colOff>
      <xdr:row>1</xdr:row>
      <xdr:rowOff>187324</xdr:rowOff>
    </xdr:from>
    <xdr:to>
      <xdr:col>45</xdr:col>
      <xdr:colOff>57150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F5F920-E641-448A-A51C-221BA84B9D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403224</xdr:colOff>
      <xdr:row>1</xdr:row>
      <xdr:rowOff>187324</xdr:rowOff>
    </xdr:from>
    <xdr:to>
      <xdr:col>41</xdr:col>
      <xdr:colOff>57150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0190A8-A3D5-46C0-AC17-E782FF968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403224</xdr:colOff>
      <xdr:row>1</xdr:row>
      <xdr:rowOff>187324</xdr:rowOff>
    </xdr:from>
    <xdr:to>
      <xdr:col>41</xdr:col>
      <xdr:colOff>57150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BACF61-A0B6-437D-BD12-6A1A907C6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403224</xdr:colOff>
      <xdr:row>1</xdr:row>
      <xdr:rowOff>187324</xdr:rowOff>
    </xdr:from>
    <xdr:to>
      <xdr:col>41</xdr:col>
      <xdr:colOff>57150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188C63-1DBA-4F7E-8D6C-777E82DA1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488950</xdr:colOff>
      <xdr:row>5</xdr:row>
      <xdr:rowOff>95250</xdr:rowOff>
    </xdr:from>
    <xdr:to>
      <xdr:col>11</xdr:col>
      <xdr:colOff>31750</xdr:colOff>
      <xdr:row>8</xdr:row>
      <xdr:rowOff>31750</xdr:rowOff>
    </xdr:to>
    <xdr:sp macro="[0]!NewMacro" textlink="">
      <xdr:nvSpPr>
        <xdr:cNvPr id="2" name="Rectangle 1">
          <a:extLst>
            <a:ext uri="{FF2B5EF4-FFF2-40B4-BE49-F238E27FC236}">
              <a16:creationId xmlns:a16="http://schemas.microsoft.com/office/drawing/2014/main" id="{5BC03BC2-B424-85B5-336C-309948F89375}"/>
            </a:ext>
          </a:extLst>
        </xdr:cNvPr>
        <xdr:cNvSpPr/>
      </xdr:nvSpPr>
      <xdr:spPr>
        <a:xfrm>
          <a:off x="5873750" y="1016000"/>
          <a:ext cx="1981200" cy="488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Create Hourly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kareem.fathy@breadfast.com" TargetMode="External"/><Relationship Id="rId7" Type="http://schemas.openxmlformats.org/officeDocument/2006/relationships/hyperlink" Target="mailto:nada.zein@breadfast.com" TargetMode="External"/><Relationship Id="rId2" Type="http://schemas.openxmlformats.org/officeDocument/2006/relationships/hyperlink" Target="mailto:ahmed.adel@breadfast.com" TargetMode="External"/><Relationship Id="rId1" Type="http://schemas.openxmlformats.org/officeDocument/2006/relationships/hyperlink" Target="mailto:fajr.seyam@breadfast.com" TargetMode="External"/><Relationship Id="rId6" Type="http://schemas.openxmlformats.org/officeDocument/2006/relationships/hyperlink" Target="mailto:reham.tarek@breadfast.com" TargetMode="External"/><Relationship Id="rId5" Type="http://schemas.openxmlformats.org/officeDocument/2006/relationships/hyperlink" Target="mailto:nagham.ayman@breadfast.com" TargetMode="External"/><Relationship Id="rId4" Type="http://schemas.openxmlformats.org/officeDocument/2006/relationships/hyperlink" Target="mailto:passant.darwish@breadfast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9AF9-2486-4C99-8E3E-7504967122FC}">
  <sheetPr codeName="Sheet10"/>
  <dimension ref="A1:AD30"/>
  <sheetViews>
    <sheetView workbookViewId="0">
      <selection activeCell="J30" sqref="J30:M30"/>
    </sheetView>
  </sheetViews>
  <sheetFormatPr defaultRowHeight="14.5" x14ac:dyDescent="0.35"/>
  <sheetData>
    <row r="1" spans="1:30" x14ac:dyDescent="0.35">
      <c r="A1" s="116" t="s">
        <v>58</v>
      </c>
      <c r="B1" s="116"/>
      <c r="C1" s="116"/>
      <c r="D1" s="116"/>
      <c r="E1" s="116"/>
      <c r="F1" s="116"/>
      <c r="G1" s="116"/>
      <c r="I1" s="116" t="s">
        <v>70</v>
      </c>
      <c r="J1" s="116"/>
      <c r="K1" s="116"/>
      <c r="L1" s="116"/>
      <c r="M1" s="116"/>
      <c r="O1" s="116" t="s">
        <v>51</v>
      </c>
      <c r="P1" s="116"/>
      <c r="Q1" s="116"/>
      <c r="R1" s="116"/>
      <c r="T1" s="116" t="s">
        <v>53</v>
      </c>
      <c r="U1" s="116"/>
      <c r="V1" s="116"/>
      <c r="W1" s="116"/>
      <c r="Y1" s="116" t="s">
        <v>60</v>
      </c>
      <c r="Z1" s="116"/>
      <c r="AA1" s="116"/>
      <c r="AB1" s="116"/>
      <c r="AC1" s="116"/>
      <c r="AD1" s="116"/>
    </row>
    <row r="2" spans="1:30" x14ac:dyDescent="0.35">
      <c r="A2" t="s">
        <v>27</v>
      </c>
      <c r="B2" t="s">
        <v>28</v>
      </c>
      <c r="C2" t="s">
        <v>29</v>
      </c>
      <c r="D2" t="s">
        <v>30</v>
      </c>
      <c r="E2" t="s">
        <v>1</v>
      </c>
      <c r="F2" t="s">
        <v>56</v>
      </c>
      <c r="G2" t="s">
        <v>55</v>
      </c>
      <c r="I2" t="s">
        <v>27</v>
      </c>
      <c r="J2" t="s">
        <v>28</v>
      </c>
      <c r="K2" t="s">
        <v>29</v>
      </c>
      <c r="L2" t="s">
        <v>30</v>
      </c>
      <c r="M2" t="s">
        <v>1</v>
      </c>
      <c r="O2" t="s">
        <v>27</v>
      </c>
      <c r="P2" t="s">
        <v>28</v>
      </c>
      <c r="Q2" t="s">
        <v>62</v>
      </c>
      <c r="R2" t="s">
        <v>30</v>
      </c>
      <c r="T2" t="s">
        <v>27</v>
      </c>
      <c r="U2" t="s">
        <v>28</v>
      </c>
      <c r="V2" t="s">
        <v>62</v>
      </c>
      <c r="W2" t="s">
        <v>65</v>
      </c>
      <c r="Y2" t="s">
        <v>27</v>
      </c>
      <c r="Z2" t="s">
        <v>61</v>
      </c>
      <c r="AA2" t="s">
        <v>62</v>
      </c>
      <c r="AB2" t="s">
        <v>30</v>
      </c>
      <c r="AC2" t="s">
        <v>63</v>
      </c>
      <c r="AD2" t="s">
        <v>64</v>
      </c>
    </row>
    <row r="30" spans="2:13" x14ac:dyDescent="0.35">
      <c r="B30" s="76"/>
      <c r="C30" s="76"/>
      <c r="D30" s="76"/>
      <c r="E30" s="76"/>
      <c r="J30" s="76"/>
      <c r="K30" s="76"/>
      <c r="L30" s="76"/>
      <c r="M30" s="76"/>
    </row>
  </sheetData>
  <dataConsolidate/>
  <mergeCells count="5">
    <mergeCell ref="A1:G1"/>
    <mergeCell ref="I1:M1"/>
    <mergeCell ref="O1:R1"/>
    <mergeCell ref="T1:W1"/>
    <mergeCell ref="Y1:A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05E1-C0D7-4A60-9943-868D576C01C0}">
  <dimension ref="A1:BA2003"/>
  <sheetViews>
    <sheetView workbookViewId="0">
      <selection activeCell="A3" sqref="A3:F289"/>
    </sheetView>
  </sheetViews>
  <sheetFormatPr defaultRowHeight="14.5" x14ac:dyDescent="0.35"/>
  <cols>
    <col min="1" max="1" width="40.453125" bestFit="1" customWidth="1"/>
    <col min="2" max="2" width="11.1796875" bestFit="1" customWidth="1"/>
    <col min="3" max="3" width="11.26953125" bestFit="1" customWidth="1"/>
    <col min="4" max="5" width="14.54296875" bestFit="1" customWidth="1"/>
    <col min="6" max="6" width="38.26953125" customWidth="1"/>
    <col min="7" max="7" width="9.453125" hidden="1" customWidth="1"/>
    <col min="8" max="8" width="5.453125" hidden="1" customWidth="1"/>
    <col min="9" max="9" width="9.453125" hidden="1" customWidth="1"/>
    <col min="10" max="10" width="5.453125" hidden="1" customWidth="1"/>
    <col min="11" max="12" width="17.81640625" hidden="1" customWidth="1"/>
    <col min="13" max="14" width="8.1796875" hidden="1" customWidth="1"/>
    <col min="15" max="15" width="11.81640625" hidden="1" customWidth="1"/>
    <col min="16" max="16" width="13.54296875" bestFit="1" customWidth="1"/>
    <col min="18" max="42" width="16.7265625" bestFit="1" customWidth="1"/>
    <col min="51" max="51" width="27.6328125" bestFit="1" customWidth="1"/>
    <col min="53" max="53" width="0" hidden="1" customWidth="1"/>
  </cols>
  <sheetData>
    <row r="1" spans="1:53" x14ac:dyDescent="0.35">
      <c r="D1" t="s">
        <v>84</v>
      </c>
      <c r="P1" s="77">
        <f>INT(P2)-1</f>
        <v>44839</v>
      </c>
      <c r="R1" s="96" t="str">
        <f>TEXT($P$1+R2,"yyyy-mm-dd hh:m:ss")</f>
        <v>2022-10-06 00:0:00</v>
      </c>
      <c r="S1" t="str">
        <f>TEXT($P$2+S2,"yyyy-mm-dd hh:m:ss")</f>
        <v>2022-10-06 01:0:00</v>
      </c>
      <c r="T1" t="str">
        <f t="shared" ref="T1:AP1" si="0">TEXT($P$2+T2,"yyyy-mm-dd hh:m:ss")</f>
        <v>2022-10-06 02:0:00</v>
      </c>
      <c r="U1" t="str">
        <f t="shared" si="0"/>
        <v>2022-10-06 03:0:00</v>
      </c>
      <c r="V1" t="str">
        <f t="shared" si="0"/>
        <v>2022-10-06 04:0:00</v>
      </c>
      <c r="W1" t="str">
        <f t="shared" si="0"/>
        <v>2022-10-06 05:0:00</v>
      </c>
      <c r="X1" t="str">
        <f t="shared" si="0"/>
        <v>2022-10-06 06:0:00</v>
      </c>
      <c r="Y1" t="str">
        <f t="shared" si="0"/>
        <v>2022-10-06 07:0:00</v>
      </c>
      <c r="Z1" t="str">
        <f t="shared" si="0"/>
        <v>2022-10-06 08:0:00</v>
      </c>
      <c r="AA1" t="str">
        <f t="shared" si="0"/>
        <v>2022-10-06 09:0:00</v>
      </c>
      <c r="AB1" t="str">
        <f t="shared" si="0"/>
        <v>2022-10-06 10:0:00</v>
      </c>
      <c r="AC1" t="str">
        <f t="shared" si="0"/>
        <v>2022-10-06 11:0:00</v>
      </c>
      <c r="AD1" t="str">
        <f t="shared" si="0"/>
        <v>2022-10-06 12:0:00</v>
      </c>
      <c r="AE1" t="str">
        <f t="shared" si="0"/>
        <v>2022-10-06 13:0:00</v>
      </c>
      <c r="AF1" t="str">
        <f t="shared" si="0"/>
        <v>2022-10-06 14:0:00</v>
      </c>
      <c r="AG1" t="str">
        <f t="shared" si="0"/>
        <v>2022-10-06 15:0:00</v>
      </c>
      <c r="AH1" t="str">
        <f t="shared" si="0"/>
        <v>2022-10-06 16:0:00</v>
      </c>
      <c r="AI1" t="str">
        <f t="shared" si="0"/>
        <v>2022-10-06 17:0:00</v>
      </c>
      <c r="AJ1" t="str">
        <f t="shared" si="0"/>
        <v>2022-10-06 18:0:00</v>
      </c>
      <c r="AK1" t="str">
        <f t="shared" si="0"/>
        <v>2022-10-06 19:0:00</v>
      </c>
      <c r="AL1" t="str">
        <f t="shared" si="0"/>
        <v>2022-10-06 20:0:00</v>
      </c>
      <c r="AM1" t="str">
        <f t="shared" si="0"/>
        <v>2022-10-06 21:0:00</v>
      </c>
      <c r="AN1" t="str">
        <f t="shared" si="0"/>
        <v>2022-10-06 22:0:00</v>
      </c>
      <c r="AO1" t="str">
        <f t="shared" si="0"/>
        <v>2022-10-06 23:0:00</v>
      </c>
      <c r="AP1" t="str">
        <f t="shared" si="0"/>
        <v>2022-10-07 00:0:00</v>
      </c>
      <c r="AY1" cm="1">
        <f t="array" ref="AY1:AY2">_xlfn.UNIQUE(F:F)</f>
        <v>0</v>
      </c>
      <c r="BA1" s="79">
        <v>6.9444444444444447E-4</v>
      </c>
    </row>
    <row r="2" spans="1:53" x14ac:dyDescent="0.35">
      <c r="A2" t="s">
        <v>77</v>
      </c>
      <c r="B2" t="s">
        <v>78</v>
      </c>
      <c r="C2" t="s">
        <v>79</v>
      </c>
      <c r="D2" t="s">
        <v>80</v>
      </c>
      <c r="E2" t="s">
        <v>81</v>
      </c>
      <c r="F2" t="s">
        <v>82</v>
      </c>
      <c r="M2" t="s">
        <v>79</v>
      </c>
      <c r="P2" s="115">
        <v>44840</v>
      </c>
      <c r="R2" s="78">
        <v>0.999999999999999</v>
      </c>
      <c r="S2" s="78">
        <v>4.1666666666666664E-2</v>
      </c>
      <c r="T2" s="78">
        <v>8.3333333333333329E-2</v>
      </c>
      <c r="U2" s="78">
        <v>0.125</v>
      </c>
      <c r="V2" s="78">
        <v>0.16666666666666699</v>
      </c>
      <c r="W2" s="78">
        <v>0.20833333333333401</v>
      </c>
      <c r="X2" s="78">
        <v>0.25</v>
      </c>
      <c r="Y2" s="78">
        <v>0.29166666666666702</v>
      </c>
      <c r="Z2" s="78">
        <v>0.33333333333333398</v>
      </c>
      <c r="AA2" s="78">
        <v>0.375</v>
      </c>
      <c r="AB2" s="78">
        <v>0.41666666666666702</v>
      </c>
      <c r="AC2" s="78">
        <v>0.45833333333333398</v>
      </c>
      <c r="AD2" s="78">
        <v>0.5</v>
      </c>
      <c r="AE2" s="78">
        <v>0.54166666666666696</v>
      </c>
      <c r="AF2" s="78">
        <v>0.58333333333333404</v>
      </c>
      <c r="AG2" s="78">
        <v>0.625</v>
      </c>
      <c r="AH2" s="78">
        <v>0.66666666666666696</v>
      </c>
      <c r="AI2" s="78">
        <v>0.70833333333333404</v>
      </c>
      <c r="AJ2" s="78">
        <v>0.75</v>
      </c>
      <c r="AK2" s="78">
        <v>0.79166666666666696</v>
      </c>
      <c r="AL2" s="78">
        <v>0.83333333333333404</v>
      </c>
      <c r="AM2" s="78">
        <v>0.875</v>
      </c>
      <c r="AN2" s="78">
        <v>0.91666666666666696</v>
      </c>
      <c r="AO2" s="78">
        <v>0.95833333333333404</v>
      </c>
      <c r="AP2" s="78">
        <v>1</v>
      </c>
      <c r="AQ2" s="78"/>
      <c r="AR2" s="78"/>
      <c r="AS2" s="78"/>
      <c r="AT2" s="78"/>
      <c r="AU2" s="78"/>
      <c r="AV2" s="78"/>
      <c r="AW2" s="78"/>
      <c r="AY2" t="str">
        <v>Agent name</v>
      </c>
    </row>
    <row r="3" spans="1:53" x14ac:dyDescent="0.35">
      <c r="D3" s="96"/>
      <c r="E3" s="96"/>
      <c r="G3" s="77">
        <f>INT(D3)</f>
        <v>0</v>
      </c>
      <c r="H3" s="78">
        <f>D3-G3</f>
        <v>0</v>
      </c>
      <c r="I3" s="77">
        <f>INT(E3)</f>
        <v>0</v>
      </c>
      <c r="J3" s="78">
        <f>E3-I3</f>
        <v>0</v>
      </c>
      <c r="K3" s="78" t="str">
        <f>TEXT(G3+H3,"yyyy-mm-dd hh:m:ss")</f>
        <v>1900-01-00 00:0:00</v>
      </c>
      <c r="L3" s="78" t="str">
        <f>TEXT(I3+J3,"yyyy-mm-dd hh:m:ss")</f>
        <v>1900-01-00 00:0:00</v>
      </c>
      <c r="M3" s="79">
        <f>E3-D3</f>
        <v>0</v>
      </c>
      <c r="N3">
        <f>IF(M3&lt;$BA$1,1,0)</f>
        <v>1</v>
      </c>
      <c r="O3" t="str">
        <f>IFERROR(_xlfn.XLOOKUP(A3,HC!A:A,HC!C:C),"")</f>
        <v>Workforce</v>
      </c>
      <c r="R3" s="78" t="b">
        <f t="shared" ref="R3:AO3" si="1">IFERROR(IF($B3=$D$1,IF(AND($K3&lt;R$1,$L3&lt;R$1),"",IF(AND($K3&gt;S$1,$L3&gt;S$1),"",IF(AND($K3&lt;R$1,$L3&lt;=S$1),$L3-R$1,IF(AND($K3&gt;=R$1,$L3&gt;S$1),S$1-$K3,IF(AND($K3&gt;=R$1,$L3&lt;=S$1),$L3-$K3,IF(AND($K3&lt;R$1,$L3&gt;S$1),S$1-R$1,""))))))),"")</f>
        <v>0</v>
      </c>
      <c r="S3" s="78" t="b">
        <f t="shared" si="1"/>
        <v>0</v>
      </c>
      <c r="T3" s="78" t="b">
        <f t="shared" si="1"/>
        <v>0</v>
      </c>
      <c r="U3" s="78" t="b">
        <f t="shared" si="1"/>
        <v>0</v>
      </c>
      <c r="V3" s="78" t="b">
        <f t="shared" si="1"/>
        <v>0</v>
      </c>
      <c r="W3" s="78" t="b">
        <f t="shared" si="1"/>
        <v>0</v>
      </c>
      <c r="X3" s="78" t="b">
        <f t="shared" si="1"/>
        <v>0</v>
      </c>
      <c r="Y3" s="78" t="b">
        <f t="shared" si="1"/>
        <v>0</v>
      </c>
      <c r="Z3" s="78" t="b">
        <f t="shared" si="1"/>
        <v>0</v>
      </c>
      <c r="AA3" s="78" t="b">
        <f t="shared" si="1"/>
        <v>0</v>
      </c>
      <c r="AB3" s="78" t="b">
        <f t="shared" si="1"/>
        <v>0</v>
      </c>
      <c r="AC3" s="78" t="b">
        <f t="shared" si="1"/>
        <v>0</v>
      </c>
      <c r="AD3" s="78" t="b">
        <f t="shared" si="1"/>
        <v>0</v>
      </c>
      <c r="AE3" s="78" t="b">
        <f t="shared" si="1"/>
        <v>0</v>
      </c>
      <c r="AF3" s="78" t="b">
        <f t="shared" si="1"/>
        <v>0</v>
      </c>
      <c r="AG3" s="78" t="b">
        <f t="shared" si="1"/>
        <v>0</v>
      </c>
      <c r="AH3" s="78" t="b">
        <f t="shared" si="1"/>
        <v>0</v>
      </c>
      <c r="AI3" s="78" t="b">
        <f t="shared" si="1"/>
        <v>0</v>
      </c>
      <c r="AJ3" s="78" t="b">
        <f t="shared" si="1"/>
        <v>0</v>
      </c>
      <c r="AK3" s="78" t="b">
        <f t="shared" si="1"/>
        <v>0</v>
      </c>
      <c r="AL3" s="78" t="b">
        <f t="shared" si="1"/>
        <v>0</v>
      </c>
      <c r="AM3" s="78" t="b">
        <f t="shared" si="1"/>
        <v>0</v>
      </c>
      <c r="AN3" s="78" t="b">
        <f t="shared" si="1"/>
        <v>0</v>
      </c>
      <c r="AO3" s="78" t="b">
        <f t="shared" si="1"/>
        <v>0</v>
      </c>
      <c r="AP3" s="78"/>
      <c r="AS3" t="s">
        <v>58</v>
      </c>
      <c r="AT3" t="s">
        <v>51</v>
      </c>
      <c r="AU3" t="s">
        <v>53</v>
      </c>
      <c r="AV3" t="s">
        <v>60</v>
      </c>
      <c r="AZ3">
        <f>COUNTIFS(F:F,AY3,N:N,"1")</f>
        <v>0</v>
      </c>
    </row>
    <row r="4" spans="1:53" x14ac:dyDescent="0.35">
      <c r="D4" s="96"/>
      <c r="E4" s="96"/>
      <c r="G4" s="77">
        <f t="shared" ref="G4:G67" si="2">INT(D4)</f>
        <v>0</v>
      </c>
      <c r="H4" s="78">
        <f t="shared" ref="H4:H67" si="3">D4-G4</f>
        <v>0</v>
      </c>
      <c r="I4" s="77">
        <f t="shared" ref="I4:I67" si="4">INT(E4)</f>
        <v>0</v>
      </c>
      <c r="J4" s="78">
        <f t="shared" ref="J4:J67" si="5">E4-I4</f>
        <v>0</v>
      </c>
      <c r="K4" s="78" t="str">
        <f t="shared" ref="K4:K67" si="6">TEXT(G4+H4,"yyyy-mm-dd hh:m:ss")</f>
        <v>1900-01-00 00:0:00</v>
      </c>
      <c r="L4" s="78" t="str">
        <f t="shared" ref="L4:L67" si="7">TEXT(I4+J4,"yyyy-mm-dd hh:m:ss")</f>
        <v>1900-01-00 00:0:00</v>
      </c>
      <c r="M4" s="79">
        <f t="shared" ref="M4:M67" si="8">E4-D4</f>
        <v>0</v>
      </c>
      <c r="N4">
        <f t="shared" ref="N4:N67" si="9">IF(M4&lt;$BA$1,1,0)</f>
        <v>1</v>
      </c>
      <c r="O4" t="str">
        <f>IFERROR(_xlfn.XLOOKUP(A4,HC!A:A,HC!C:C),"")</f>
        <v>Workforce</v>
      </c>
      <c r="R4" s="78" t="b">
        <f t="shared" ref="R4:AO4" si="10">IFERROR(IF($B4=$D$1,IF(AND($K4&lt;R$1,$L4&lt;R$1),"",IF(AND($K4&gt;S$1,$L4&gt;S$1),"",IF(AND($K4&lt;R$1,$L4&lt;=S$1),$L4-R$1,IF(AND($K4&gt;=R$1,$L4&gt;S$1),S$1-$K4,IF(AND($K4&gt;=R$1,$L4&lt;=S$1),$L4-$K4,IF(AND($K4&lt;R$1,$L4&gt;S$1),S$1-R$1,""))))))),"")</f>
        <v>0</v>
      </c>
      <c r="S4" s="78" t="b">
        <f t="shared" si="10"/>
        <v>0</v>
      </c>
      <c r="T4" s="78" t="b">
        <f t="shared" si="10"/>
        <v>0</v>
      </c>
      <c r="U4" s="78" t="b">
        <f t="shared" si="10"/>
        <v>0</v>
      </c>
      <c r="V4" s="78" t="b">
        <f t="shared" si="10"/>
        <v>0</v>
      </c>
      <c r="W4" s="78" t="b">
        <f t="shared" si="10"/>
        <v>0</v>
      </c>
      <c r="X4" s="78" t="b">
        <f t="shared" si="10"/>
        <v>0</v>
      </c>
      <c r="Y4" s="78" t="b">
        <f t="shared" si="10"/>
        <v>0</v>
      </c>
      <c r="Z4" s="78" t="b">
        <f t="shared" si="10"/>
        <v>0</v>
      </c>
      <c r="AA4" s="78" t="b">
        <f t="shared" si="10"/>
        <v>0</v>
      </c>
      <c r="AB4" s="78" t="b">
        <f t="shared" si="10"/>
        <v>0</v>
      </c>
      <c r="AC4" s="78" t="b">
        <f t="shared" si="10"/>
        <v>0</v>
      </c>
      <c r="AD4" s="78" t="b">
        <f t="shared" si="10"/>
        <v>0</v>
      </c>
      <c r="AE4" s="78" t="b">
        <f t="shared" si="10"/>
        <v>0</v>
      </c>
      <c r="AF4" s="78" t="b">
        <f t="shared" si="10"/>
        <v>0</v>
      </c>
      <c r="AG4" s="78" t="b">
        <f t="shared" si="10"/>
        <v>0</v>
      </c>
      <c r="AH4" s="78" t="b">
        <f t="shared" si="10"/>
        <v>0</v>
      </c>
      <c r="AI4" s="78" t="b">
        <f t="shared" si="10"/>
        <v>0</v>
      </c>
      <c r="AJ4" s="78" t="b">
        <f t="shared" si="10"/>
        <v>0</v>
      </c>
      <c r="AK4" s="78" t="b">
        <f t="shared" si="10"/>
        <v>0</v>
      </c>
      <c r="AL4" s="78" t="b">
        <f t="shared" si="10"/>
        <v>0</v>
      </c>
      <c r="AM4" s="78" t="b">
        <f t="shared" si="10"/>
        <v>0</v>
      </c>
      <c r="AN4" s="78" t="b">
        <f t="shared" si="10"/>
        <v>0</v>
      </c>
      <c r="AO4" s="78" t="b">
        <f t="shared" si="10"/>
        <v>0</v>
      </c>
      <c r="AP4" s="78"/>
      <c r="AR4" s="69">
        <v>0</v>
      </c>
      <c r="AS4" s="78">
        <f t="shared" ref="AS4:AU4" si="11">SUMIFS($R:$R,$O:$O,AS3)</f>
        <v>0</v>
      </c>
      <c r="AT4" s="78">
        <f t="shared" si="11"/>
        <v>0</v>
      </c>
      <c r="AU4" s="78">
        <f t="shared" si="11"/>
        <v>0</v>
      </c>
      <c r="AV4" s="78">
        <f>SUMIFS($R:$R,$O:$O,AV3)</f>
        <v>0</v>
      </c>
      <c r="AZ4">
        <f t="shared" ref="AZ4:AZ63" si="12">COUNTIFS(F:F,AY4,N:N,"1")</f>
        <v>0</v>
      </c>
    </row>
    <row r="5" spans="1:53" x14ac:dyDescent="0.35">
      <c r="D5" s="96"/>
      <c r="E5" s="96"/>
      <c r="G5" s="77">
        <f t="shared" si="2"/>
        <v>0</v>
      </c>
      <c r="H5" s="78">
        <f t="shared" si="3"/>
        <v>0</v>
      </c>
      <c r="I5" s="77">
        <f t="shared" si="4"/>
        <v>0</v>
      </c>
      <c r="J5" s="78">
        <f t="shared" si="5"/>
        <v>0</v>
      </c>
      <c r="K5" s="78" t="str">
        <f t="shared" si="6"/>
        <v>1900-01-00 00:0:00</v>
      </c>
      <c r="L5" s="78" t="str">
        <f t="shared" si="7"/>
        <v>1900-01-00 00:0:00</v>
      </c>
      <c r="M5" s="79">
        <f t="shared" si="8"/>
        <v>0</v>
      </c>
      <c r="N5">
        <f t="shared" si="9"/>
        <v>1</v>
      </c>
      <c r="O5" t="str">
        <f>IFERROR(_xlfn.XLOOKUP(A5,HC!A:A,HC!C:C),"")</f>
        <v>Workforce</v>
      </c>
      <c r="R5" s="78" t="b">
        <f t="shared" ref="R5:AO5" si="13">IFERROR(IF($B5=$D$1,IF(AND($K5&lt;R$1,$L5&lt;R$1),"",IF(AND($K5&gt;S$1,$L5&gt;S$1),"",IF(AND($K5&lt;R$1,$L5&lt;=S$1),$L5-R$1,IF(AND($K5&gt;=R$1,$L5&gt;S$1),S$1-$K5,IF(AND($K5&gt;=R$1,$L5&lt;=S$1),$L5-$K5,IF(AND($K5&lt;R$1,$L5&gt;S$1),S$1-R$1,""))))))),"")</f>
        <v>0</v>
      </c>
      <c r="S5" s="78" t="b">
        <f t="shared" si="13"/>
        <v>0</v>
      </c>
      <c r="T5" s="78" t="b">
        <f t="shared" si="13"/>
        <v>0</v>
      </c>
      <c r="U5" s="78" t="b">
        <f t="shared" si="13"/>
        <v>0</v>
      </c>
      <c r="V5" s="78" t="b">
        <f t="shared" si="13"/>
        <v>0</v>
      </c>
      <c r="W5" s="78" t="b">
        <f t="shared" si="13"/>
        <v>0</v>
      </c>
      <c r="X5" s="78" t="b">
        <f t="shared" si="13"/>
        <v>0</v>
      </c>
      <c r="Y5" s="78" t="b">
        <f t="shared" si="13"/>
        <v>0</v>
      </c>
      <c r="Z5" s="78" t="b">
        <f t="shared" si="13"/>
        <v>0</v>
      </c>
      <c r="AA5" s="78" t="b">
        <f t="shared" si="13"/>
        <v>0</v>
      </c>
      <c r="AB5" s="78" t="b">
        <f t="shared" si="13"/>
        <v>0</v>
      </c>
      <c r="AC5" s="78" t="b">
        <f t="shared" si="13"/>
        <v>0</v>
      </c>
      <c r="AD5" s="78" t="b">
        <f t="shared" si="13"/>
        <v>0</v>
      </c>
      <c r="AE5" s="78" t="b">
        <f t="shared" si="13"/>
        <v>0</v>
      </c>
      <c r="AF5" s="78" t="b">
        <f t="shared" si="13"/>
        <v>0</v>
      </c>
      <c r="AG5" s="78" t="b">
        <f t="shared" si="13"/>
        <v>0</v>
      </c>
      <c r="AH5" s="78" t="b">
        <f t="shared" si="13"/>
        <v>0</v>
      </c>
      <c r="AI5" s="78" t="b">
        <f t="shared" si="13"/>
        <v>0</v>
      </c>
      <c r="AJ5" s="78" t="b">
        <f t="shared" si="13"/>
        <v>0</v>
      </c>
      <c r="AK5" s="78" t="b">
        <f t="shared" si="13"/>
        <v>0</v>
      </c>
      <c r="AL5" s="78" t="b">
        <f t="shared" si="13"/>
        <v>0</v>
      </c>
      <c r="AM5" s="78" t="b">
        <f t="shared" si="13"/>
        <v>0</v>
      </c>
      <c r="AN5" s="78" t="b">
        <f t="shared" si="13"/>
        <v>0</v>
      </c>
      <c r="AO5" s="78" t="b">
        <f t="shared" si="13"/>
        <v>0</v>
      </c>
      <c r="AP5" s="78"/>
      <c r="AR5" s="69">
        <v>4.1666666666666699E-2</v>
      </c>
      <c r="AS5" s="78">
        <f t="shared" ref="AS5:AU5" si="14">SUMIFS($S:$S,$O:$O,AS3)</f>
        <v>0</v>
      </c>
      <c r="AT5" s="78">
        <f t="shared" si="14"/>
        <v>0</v>
      </c>
      <c r="AU5" s="78">
        <f t="shared" si="14"/>
        <v>0</v>
      </c>
      <c r="AV5" s="78">
        <f>SUMIFS($S:$S,$O:$O,AV3)</f>
        <v>0</v>
      </c>
      <c r="AZ5">
        <f t="shared" si="12"/>
        <v>0</v>
      </c>
    </row>
    <row r="6" spans="1:53" x14ac:dyDescent="0.35">
      <c r="D6" s="96"/>
      <c r="E6" s="96"/>
      <c r="G6" s="77">
        <f t="shared" si="2"/>
        <v>0</v>
      </c>
      <c r="H6" s="78">
        <f t="shared" si="3"/>
        <v>0</v>
      </c>
      <c r="I6" s="77">
        <f t="shared" si="4"/>
        <v>0</v>
      </c>
      <c r="J6" s="78">
        <f t="shared" si="5"/>
        <v>0</v>
      </c>
      <c r="K6" s="78" t="str">
        <f t="shared" si="6"/>
        <v>1900-01-00 00:0:00</v>
      </c>
      <c r="L6" s="78" t="str">
        <f t="shared" si="7"/>
        <v>1900-01-00 00:0:00</v>
      </c>
      <c r="M6" s="79">
        <f t="shared" si="8"/>
        <v>0</v>
      </c>
      <c r="N6">
        <f t="shared" si="9"/>
        <v>1</v>
      </c>
      <c r="O6" t="str">
        <f>IFERROR(_xlfn.XLOOKUP(A6,HC!A:A,HC!C:C),"")</f>
        <v>Workforce</v>
      </c>
      <c r="R6" s="78" t="b">
        <f t="shared" ref="R6:AO6" si="15">IFERROR(IF($B6=$D$1,IF(AND($K6&lt;R$1,$L6&lt;R$1),"",IF(AND($K6&gt;S$1,$L6&gt;S$1),"",IF(AND($K6&lt;R$1,$L6&lt;=S$1),$L6-R$1,IF(AND($K6&gt;=R$1,$L6&gt;S$1),S$1-$K6,IF(AND($K6&gt;=R$1,$L6&lt;=S$1),$L6-$K6,IF(AND($K6&lt;R$1,$L6&gt;S$1),S$1-R$1,""))))))),"")</f>
        <v>0</v>
      </c>
      <c r="S6" s="78" t="b">
        <f t="shared" si="15"/>
        <v>0</v>
      </c>
      <c r="T6" s="78" t="b">
        <f t="shared" si="15"/>
        <v>0</v>
      </c>
      <c r="U6" s="78" t="b">
        <f t="shared" si="15"/>
        <v>0</v>
      </c>
      <c r="V6" s="78" t="b">
        <f t="shared" si="15"/>
        <v>0</v>
      </c>
      <c r="W6" s="78" t="b">
        <f t="shared" si="15"/>
        <v>0</v>
      </c>
      <c r="X6" s="78" t="b">
        <f t="shared" si="15"/>
        <v>0</v>
      </c>
      <c r="Y6" s="78" t="b">
        <f t="shared" si="15"/>
        <v>0</v>
      </c>
      <c r="Z6" s="78" t="b">
        <f t="shared" si="15"/>
        <v>0</v>
      </c>
      <c r="AA6" s="78" t="b">
        <f t="shared" si="15"/>
        <v>0</v>
      </c>
      <c r="AB6" s="78" t="b">
        <f t="shared" si="15"/>
        <v>0</v>
      </c>
      <c r="AC6" s="78" t="b">
        <f t="shared" si="15"/>
        <v>0</v>
      </c>
      <c r="AD6" s="78" t="b">
        <f t="shared" si="15"/>
        <v>0</v>
      </c>
      <c r="AE6" s="78" t="b">
        <f t="shared" si="15"/>
        <v>0</v>
      </c>
      <c r="AF6" s="78" t="b">
        <f t="shared" si="15"/>
        <v>0</v>
      </c>
      <c r="AG6" s="78" t="b">
        <f t="shared" si="15"/>
        <v>0</v>
      </c>
      <c r="AH6" s="78" t="b">
        <f t="shared" si="15"/>
        <v>0</v>
      </c>
      <c r="AI6" s="78" t="b">
        <f t="shared" si="15"/>
        <v>0</v>
      </c>
      <c r="AJ6" s="78" t="b">
        <f t="shared" si="15"/>
        <v>0</v>
      </c>
      <c r="AK6" s="78" t="b">
        <f t="shared" si="15"/>
        <v>0</v>
      </c>
      <c r="AL6" s="78" t="b">
        <f t="shared" si="15"/>
        <v>0</v>
      </c>
      <c r="AM6" s="78" t="b">
        <f t="shared" si="15"/>
        <v>0</v>
      </c>
      <c r="AN6" s="78" t="b">
        <f t="shared" si="15"/>
        <v>0</v>
      </c>
      <c r="AO6" s="78" t="b">
        <f t="shared" si="15"/>
        <v>0</v>
      </c>
      <c r="AP6" s="78"/>
      <c r="AR6" s="69">
        <v>8.3333333333333301E-2</v>
      </c>
      <c r="AS6" s="78">
        <f t="shared" ref="AS6:AU6" si="16">SUMIFS($T:$T,$O:$O,AS3)</f>
        <v>0</v>
      </c>
      <c r="AT6" s="78">
        <f t="shared" si="16"/>
        <v>0</v>
      </c>
      <c r="AU6" s="78">
        <f t="shared" si="16"/>
        <v>0</v>
      </c>
      <c r="AV6" s="78">
        <f>SUMIFS($T:$T,$O:$O,AV3)</f>
        <v>0</v>
      </c>
      <c r="AZ6">
        <f t="shared" si="12"/>
        <v>0</v>
      </c>
    </row>
    <row r="7" spans="1:53" x14ac:dyDescent="0.35">
      <c r="D7" s="96"/>
      <c r="E7" s="96"/>
      <c r="G7" s="77">
        <f t="shared" si="2"/>
        <v>0</v>
      </c>
      <c r="H7" s="78">
        <f t="shared" si="3"/>
        <v>0</v>
      </c>
      <c r="I7" s="77">
        <f t="shared" si="4"/>
        <v>0</v>
      </c>
      <c r="J7" s="78">
        <f t="shared" si="5"/>
        <v>0</v>
      </c>
      <c r="K7" s="78" t="str">
        <f t="shared" si="6"/>
        <v>1900-01-00 00:0:00</v>
      </c>
      <c r="L7" s="78" t="str">
        <f t="shared" si="7"/>
        <v>1900-01-00 00:0:00</v>
      </c>
      <c r="M7" s="79">
        <f t="shared" si="8"/>
        <v>0</v>
      </c>
      <c r="N7">
        <f t="shared" si="9"/>
        <v>1</v>
      </c>
      <c r="O7" t="str">
        <f>IFERROR(_xlfn.XLOOKUP(A7,HC!A:A,HC!C:C),"")</f>
        <v>Workforce</v>
      </c>
      <c r="R7" s="78" t="b">
        <f t="shared" ref="R7:AO7" si="17">IFERROR(IF($B7=$D$1,IF(AND($K7&lt;R$1,$L7&lt;R$1),"",IF(AND($K7&gt;S$1,$L7&gt;S$1),"",IF(AND($K7&lt;R$1,$L7&lt;=S$1),$L7-R$1,IF(AND($K7&gt;=R$1,$L7&gt;S$1),S$1-$K7,IF(AND($K7&gt;=R$1,$L7&lt;=S$1),$L7-$K7,IF(AND($K7&lt;R$1,$L7&gt;S$1),S$1-R$1,""))))))),"")</f>
        <v>0</v>
      </c>
      <c r="S7" s="78" t="b">
        <f t="shared" si="17"/>
        <v>0</v>
      </c>
      <c r="T7" s="78" t="b">
        <f t="shared" si="17"/>
        <v>0</v>
      </c>
      <c r="U7" s="78" t="b">
        <f t="shared" si="17"/>
        <v>0</v>
      </c>
      <c r="V7" s="78" t="b">
        <f t="shared" si="17"/>
        <v>0</v>
      </c>
      <c r="W7" s="78" t="b">
        <f t="shared" si="17"/>
        <v>0</v>
      </c>
      <c r="X7" s="78" t="b">
        <f t="shared" si="17"/>
        <v>0</v>
      </c>
      <c r="Y7" s="78" t="b">
        <f t="shared" si="17"/>
        <v>0</v>
      </c>
      <c r="Z7" s="78" t="b">
        <f t="shared" si="17"/>
        <v>0</v>
      </c>
      <c r="AA7" s="78" t="b">
        <f t="shared" si="17"/>
        <v>0</v>
      </c>
      <c r="AB7" s="78" t="b">
        <f t="shared" si="17"/>
        <v>0</v>
      </c>
      <c r="AC7" s="78" t="b">
        <f t="shared" si="17"/>
        <v>0</v>
      </c>
      <c r="AD7" s="78" t="b">
        <f t="shared" si="17"/>
        <v>0</v>
      </c>
      <c r="AE7" s="78" t="b">
        <f t="shared" si="17"/>
        <v>0</v>
      </c>
      <c r="AF7" s="78" t="b">
        <f t="shared" si="17"/>
        <v>0</v>
      </c>
      <c r="AG7" s="78" t="b">
        <f t="shared" si="17"/>
        <v>0</v>
      </c>
      <c r="AH7" s="78" t="b">
        <f t="shared" si="17"/>
        <v>0</v>
      </c>
      <c r="AI7" s="78" t="b">
        <f t="shared" si="17"/>
        <v>0</v>
      </c>
      <c r="AJ7" s="78" t="b">
        <f t="shared" si="17"/>
        <v>0</v>
      </c>
      <c r="AK7" s="78" t="b">
        <f t="shared" si="17"/>
        <v>0</v>
      </c>
      <c r="AL7" s="78" t="b">
        <f t="shared" si="17"/>
        <v>0</v>
      </c>
      <c r="AM7" s="78" t="b">
        <f t="shared" si="17"/>
        <v>0</v>
      </c>
      <c r="AN7" s="78" t="b">
        <f t="shared" si="17"/>
        <v>0</v>
      </c>
      <c r="AO7" s="78" t="b">
        <f t="shared" si="17"/>
        <v>0</v>
      </c>
      <c r="AP7" s="78"/>
      <c r="AR7" s="69">
        <v>0.125</v>
      </c>
      <c r="AS7" s="78">
        <f t="shared" ref="AS7:AU7" si="18">SUMIFS($U:$U,$O:$O,AS3)</f>
        <v>0</v>
      </c>
      <c r="AT7" s="78">
        <f t="shared" si="18"/>
        <v>0</v>
      </c>
      <c r="AU7" s="78">
        <f t="shared" si="18"/>
        <v>0</v>
      </c>
      <c r="AV7" s="78">
        <f>SUMIFS($U:$U,$O:$O,AV3)</f>
        <v>0</v>
      </c>
      <c r="AZ7">
        <f t="shared" si="12"/>
        <v>0</v>
      </c>
    </row>
    <row r="8" spans="1:53" x14ac:dyDescent="0.35">
      <c r="D8" s="96"/>
      <c r="E8" s="96"/>
      <c r="G8" s="77">
        <f t="shared" si="2"/>
        <v>0</v>
      </c>
      <c r="H8" s="78">
        <f t="shared" si="3"/>
        <v>0</v>
      </c>
      <c r="I8" s="77">
        <f t="shared" si="4"/>
        <v>0</v>
      </c>
      <c r="J8" s="78">
        <f t="shared" si="5"/>
        <v>0</v>
      </c>
      <c r="K8" s="78" t="str">
        <f t="shared" si="6"/>
        <v>1900-01-00 00:0:00</v>
      </c>
      <c r="L8" s="78" t="str">
        <f t="shared" si="7"/>
        <v>1900-01-00 00:0:00</v>
      </c>
      <c r="M8" s="79">
        <f t="shared" si="8"/>
        <v>0</v>
      </c>
      <c r="N8">
        <f t="shared" si="9"/>
        <v>1</v>
      </c>
      <c r="O8" t="str">
        <f>IFERROR(_xlfn.XLOOKUP(A8,HC!A:A,HC!C:C),"")</f>
        <v>Workforce</v>
      </c>
      <c r="R8" s="78" t="b">
        <f t="shared" ref="R8:AO8" si="19">IFERROR(IF($B8=$D$1,IF(AND($K8&lt;R$1,$L8&lt;R$1),"",IF(AND($K8&gt;S$1,$L8&gt;S$1),"",IF(AND($K8&lt;R$1,$L8&lt;=S$1),$L8-R$1,IF(AND($K8&gt;=R$1,$L8&gt;S$1),S$1-$K8,IF(AND($K8&gt;=R$1,$L8&lt;=S$1),$L8-$K8,IF(AND($K8&lt;R$1,$L8&gt;S$1),S$1-R$1,""))))))),"")</f>
        <v>0</v>
      </c>
      <c r="S8" s="78" t="b">
        <f t="shared" si="19"/>
        <v>0</v>
      </c>
      <c r="T8" s="78" t="b">
        <f t="shared" si="19"/>
        <v>0</v>
      </c>
      <c r="U8" s="78" t="b">
        <f t="shared" si="19"/>
        <v>0</v>
      </c>
      <c r="V8" s="78" t="b">
        <f t="shared" si="19"/>
        <v>0</v>
      </c>
      <c r="W8" s="78" t="b">
        <f t="shared" si="19"/>
        <v>0</v>
      </c>
      <c r="X8" s="78" t="b">
        <f t="shared" si="19"/>
        <v>0</v>
      </c>
      <c r="Y8" s="78" t="b">
        <f t="shared" si="19"/>
        <v>0</v>
      </c>
      <c r="Z8" s="78" t="b">
        <f t="shared" si="19"/>
        <v>0</v>
      </c>
      <c r="AA8" s="78" t="b">
        <f t="shared" si="19"/>
        <v>0</v>
      </c>
      <c r="AB8" s="78" t="b">
        <f t="shared" si="19"/>
        <v>0</v>
      </c>
      <c r="AC8" s="78" t="b">
        <f t="shared" si="19"/>
        <v>0</v>
      </c>
      <c r="AD8" s="78" t="b">
        <f t="shared" si="19"/>
        <v>0</v>
      </c>
      <c r="AE8" s="78" t="b">
        <f t="shared" si="19"/>
        <v>0</v>
      </c>
      <c r="AF8" s="78" t="b">
        <f t="shared" si="19"/>
        <v>0</v>
      </c>
      <c r="AG8" s="78" t="b">
        <f t="shared" si="19"/>
        <v>0</v>
      </c>
      <c r="AH8" s="78" t="b">
        <f t="shared" si="19"/>
        <v>0</v>
      </c>
      <c r="AI8" s="78" t="b">
        <f t="shared" si="19"/>
        <v>0</v>
      </c>
      <c r="AJ8" s="78" t="b">
        <f t="shared" si="19"/>
        <v>0</v>
      </c>
      <c r="AK8" s="78" t="b">
        <f t="shared" si="19"/>
        <v>0</v>
      </c>
      <c r="AL8" s="78" t="b">
        <f t="shared" si="19"/>
        <v>0</v>
      </c>
      <c r="AM8" s="78" t="b">
        <f t="shared" si="19"/>
        <v>0</v>
      </c>
      <c r="AN8" s="78" t="b">
        <f t="shared" si="19"/>
        <v>0</v>
      </c>
      <c r="AO8" s="78" t="b">
        <f t="shared" si="19"/>
        <v>0</v>
      </c>
      <c r="AP8" s="78"/>
      <c r="AR8" s="69">
        <v>0.16666666666666699</v>
      </c>
      <c r="AS8" s="78">
        <f t="shared" ref="AS8:AU8" si="20">SUMIFS($V:$V,$O:$O,AS3)</f>
        <v>0</v>
      </c>
      <c r="AT8" s="78">
        <f t="shared" si="20"/>
        <v>0</v>
      </c>
      <c r="AU8" s="78">
        <f t="shared" si="20"/>
        <v>0</v>
      </c>
      <c r="AV8" s="78">
        <f>SUMIFS($V:$V,$O:$O,AV3)</f>
        <v>0</v>
      </c>
      <c r="AZ8">
        <f t="shared" si="12"/>
        <v>0</v>
      </c>
    </row>
    <row r="9" spans="1:53" x14ac:dyDescent="0.35">
      <c r="D9" s="96"/>
      <c r="E9" s="96"/>
      <c r="G9" s="77">
        <f t="shared" si="2"/>
        <v>0</v>
      </c>
      <c r="H9" s="78">
        <f t="shared" si="3"/>
        <v>0</v>
      </c>
      <c r="I9" s="77">
        <f t="shared" si="4"/>
        <v>0</v>
      </c>
      <c r="J9" s="78">
        <f t="shared" si="5"/>
        <v>0</v>
      </c>
      <c r="K9" s="78" t="str">
        <f t="shared" si="6"/>
        <v>1900-01-00 00:0:00</v>
      </c>
      <c r="L9" s="78" t="str">
        <f t="shared" si="7"/>
        <v>1900-01-00 00:0:00</v>
      </c>
      <c r="M9" s="79">
        <f t="shared" si="8"/>
        <v>0</v>
      </c>
      <c r="N9">
        <f t="shared" si="9"/>
        <v>1</v>
      </c>
      <c r="O9" t="str">
        <f>IFERROR(_xlfn.XLOOKUP(A9,HC!A:A,HC!C:C),"")</f>
        <v>Workforce</v>
      </c>
      <c r="R9" s="78" t="b">
        <f t="shared" ref="R9:AO9" si="21">IFERROR(IF($B9=$D$1,IF(AND($K9&lt;R$1,$L9&lt;R$1),"",IF(AND($K9&gt;S$1,$L9&gt;S$1),"",IF(AND($K9&lt;R$1,$L9&lt;=S$1),$L9-R$1,IF(AND($K9&gt;=R$1,$L9&gt;S$1),S$1-$K9,IF(AND($K9&gt;=R$1,$L9&lt;=S$1),$L9-$K9,IF(AND($K9&lt;R$1,$L9&gt;S$1),S$1-R$1,""))))))),"")</f>
        <v>0</v>
      </c>
      <c r="S9" s="78" t="b">
        <f t="shared" si="21"/>
        <v>0</v>
      </c>
      <c r="T9" s="78" t="b">
        <f t="shared" si="21"/>
        <v>0</v>
      </c>
      <c r="U9" s="78" t="b">
        <f t="shared" si="21"/>
        <v>0</v>
      </c>
      <c r="V9" s="78" t="b">
        <f t="shared" si="21"/>
        <v>0</v>
      </c>
      <c r="W9" s="78" t="b">
        <f t="shared" si="21"/>
        <v>0</v>
      </c>
      <c r="X9" s="78" t="b">
        <f t="shared" si="21"/>
        <v>0</v>
      </c>
      <c r="Y9" s="78" t="b">
        <f t="shared" si="21"/>
        <v>0</v>
      </c>
      <c r="Z9" s="78" t="b">
        <f t="shared" si="21"/>
        <v>0</v>
      </c>
      <c r="AA9" s="78" t="b">
        <f t="shared" si="21"/>
        <v>0</v>
      </c>
      <c r="AB9" s="78" t="b">
        <f t="shared" si="21"/>
        <v>0</v>
      </c>
      <c r="AC9" s="78" t="b">
        <f t="shared" si="21"/>
        <v>0</v>
      </c>
      <c r="AD9" s="78" t="b">
        <f t="shared" si="21"/>
        <v>0</v>
      </c>
      <c r="AE9" s="78" t="b">
        <f t="shared" si="21"/>
        <v>0</v>
      </c>
      <c r="AF9" s="78" t="b">
        <f t="shared" si="21"/>
        <v>0</v>
      </c>
      <c r="AG9" s="78" t="b">
        <f t="shared" si="21"/>
        <v>0</v>
      </c>
      <c r="AH9" s="78" t="b">
        <f t="shared" si="21"/>
        <v>0</v>
      </c>
      <c r="AI9" s="78" t="b">
        <f t="shared" si="21"/>
        <v>0</v>
      </c>
      <c r="AJ9" s="78" t="b">
        <f t="shared" si="21"/>
        <v>0</v>
      </c>
      <c r="AK9" s="78" t="b">
        <f t="shared" si="21"/>
        <v>0</v>
      </c>
      <c r="AL9" s="78" t="b">
        <f t="shared" si="21"/>
        <v>0</v>
      </c>
      <c r="AM9" s="78" t="b">
        <f t="shared" si="21"/>
        <v>0</v>
      </c>
      <c r="AN9" s="78" t="b">
        <f t="shared" si="21"/>
        <v>0</v>
      </c>
      <c r="AO9" s="78" t="b">
        <f t="shared" si="21"/>
        <v>0</v>
      </c>
      <c r="AP9" s="78"/>
      <c r="AR9" s="69">
        <v>0.20833333333333301</v>
      </c>
      <c r="AS9" s="78">
        <f t="shared" ref="AS9:AU9" si="22">SUMIFS($W:$W,$O:$O,AS3)</f>
        <v>0</v>
      </c>
      <c r="AT9" s="78">
        <f t="shared" si="22"/>
        <v>0</v>
      </c>
      <c r="AU9" s="78">
        <f t="shared" si="22"/>
        <v>0</v>
      </c>
      <c r="AV9" s="78">
        <f>SUMIFS($W:$W,$O:$O,AV3)</f>
        <v>0</v>
      </c>
      <c r="AZ9">
        <f t="shared" si="12"/>
        <v>0</v>
      </c>
    </row>
    <row r="10" spans="1:53" x14ac:dyDescent="0.35">
      <c r="D10" s="96"/>
      <c r="E10" s="96"/>
      <c r="G10" s="77">
        <f t="shared" si="2"/>
        <v>0</v>
      </c>
      <c r="H10" s="78">
        <f t="shared" si="3"/>
        <v>0</v>
      </c>
      <c r="I10" s="77">
        <f t="shared" si="4"/>
        <v>0</v>
      </c>
      <c r="J10" s="78">
        <f t="shared" si="5"/>
        <v>0</v>
      </c>
      <c r="K10" s="78" t="str">
        <f t="shared" si="6"/>
        <v>1900-01-00 00:0:00</v>
      </c>
      <c r="L10" s="78" t="str">
        <f t="shared" si="7"/>
        <v>1900-01-00 00:0:00</v>
      </c>
      <c r="M10" s="79">
        <f t="shared" si="8"/>
        <v>0</v>
      </c>
      <c r="N10">
        <f t="shared" si="9"/>
        <v>1</v>
      </c>
      <c r="O10" t="str">
        <f>IFERROR(_xlfn.XLOOKUP(A10,HC!A:A,HC!C:C),"")</f>
        <v>Workforce</v>
      </c>
      <c r="R10" s="78" t="b">
        <f t="shared" ref="R10:AO10" si="23">IFERROR(IF($B10=$D$1,IF(AND($K10&lt;R$1,$L10&lt;R$1),"",IF(AND($K10&gt;S$1,$L10&gt;S$1),"",IF(AND($K10&lt;R$1,$L10&lt;=S$1),$L10-R$1,IF(AND($K10&gt;=R$1,$L10&gt;S$1),S$1-$K10,IF(AND($K10&gt;=R$1,$L10&lt;=S$1),$L10-$K10,IF(AND($K10&lt;R$1,$L10&gt;S$1),S$1-R$1,""))))))),"")</f>
        <v>0</v>
      </c>
      <c r="S10" s="78" t="b">
        <f t="shared" si="23"/>
        <v>0</v>
      </c>
      <c r="T10" s="78" t="b">
        <f t="shared" si="23"/>
        <v>0</v>
      </c>
      <c r="U10" s="78" t="b">
        <f t="shared" si="23"/>
        <v>0</v>
      </c>
      <c r="V10" s="78" t="b">
        <f t="shared" si="23"/>
        <v>0</v>
      </c>
      <c r="W10" s="78" t="b">
        <f t="shared" si="23"/>
        <v>0</v>
      </c>
      <c r="X10" s="78" t="b">
        <f t="shared" si="23"/>
        <v>0</v>
      </c>
      <c r="Y10" s="78" t="b">
        <f t="shared" si="23"/>
        <v>0</v>
      </c>
      <c r="Z10" s="78" t="b">
        <f t="shared" si="23"/>
        <v>0</v>
      </c>
      <c r="AA10" s="78" t="b">
        <f t="shared" si="23"/>
        <v>0</v>
      </c>
      <c r="AB10" s="78" t="b">
        <f t="shared" si="23"/>
        <v>0</v>
      </c>
      <c r="AC10" s="78" t="b">
        <f t="shared" si="23"/>
        <v>0</v>
      </c>
      <c r="AD10" s="78" t="b">
        <f t="shared" si="23"/>
        <v>0</v>
      </c>
      <c r="AE10" s="78" t="b">
        <f t="shared" si="23"/>
        <v>0</v>
      </c>
      <c r="AF10" s="78" t="b">
        <f t="shared" si="23"/>
        <v>0</v>
      </c>
      <c r="AG10" s="78" t="b">
        <f t="shared" si="23"/>
        <v>0</v>
      </c>
      <c r="AH10" s="78" t="b">
        <f t="shared" si="23"/>
        <v>0</v>
      </c>
      <c r="AI10" s="78" t="b">
        <f t="shared" si="23"/>
        <v>0</v>
      </c>
      <c r="AJ10" s="78" t="b">
        <f t="shared" si="23"/>
        <v>0</v>
      </c>
      <c r="AK10" s="78" t="b">
        <f t="shared" si="23"/>
        <v>0</v>
      </c>
      <c r="AL10" s="78" t="b">
        <f t="shared" si="23"/>
        <v>0</v>
      </c>
      <c r="AM10" s="78" t="b">
        <f t="shared" si="23"/>
        <v>0</v>
      </c>
      <c r="AN10" s="78" t="b">
        <f t="shared" si="23"/>
        <v>0</v>
      </c>
      <c r="AO10" s="78" t="b">
        <f t="shared" si="23"/>
        <v>0</v>
      </c>
      <c r="AP10" s="78"/>
      <c r="AR10" s="69">
        <v>0.25</v>
      </c>
      <c r="AS10" s="78">
        <f t="shared" ref="AS10:AU10" si="24">SUMIFS($X:$X,$O:$O,AS3)</f>
        <v>0</v>
      </c>
      <c r="AT10" s="78">
        <f t="shared" si="24"/>
        <v>0</v>
      </c>
      <c r="AU10" s="78">
        <f t="shared" si="24"/>
        <v>0</v>
      </c>
      <c r="AV10" s="78">
        <f>SUMIFS($X:$X,$O:$O,AV3)</f>
        <v>0</v>
      </c>
      <c r="AZ10">
        <f t="shared" si="12"/>
        <v>0</v>
      </c>
    </row>
    <row r="11" spans="1:53" x14ac:dyDescent="0.35">
      <c r="D11" s="96"/>
      <c r="E11" s="96"/>
      <c r="G11" s="77">
        <f t="shared" si="2"/>
        <v>0</v>
      </c>
      <c r="H11" s="78">
        <f t="shared" si="3"/>
        <v>0</v>
      </c>
      <c r="I11" s="77">
        <f t="shared" si="4"/>
        <v>0</v>
      </c>
      <c r="J11" s="78">
        <f t="shared" si="5"/>
        <v>0</v>
      </c>
      <c r="K11" s="78" t="str">
        <f t="shared" si="6"/>
        <v>1900-01-00 00:0:00</v>
      </c>
      <c r="L11" s="78" t="str">
        <f t="shared" si="7"/>
        <v>1900-01-00 00:0:00</v>
      </c>
      <c r="M11" s="79">
        <f t="shared" si="8"/>
        <v>0</v>
      </c>
      <c r="N11">
        <f t="shared" si="9"/>
        <v>1</v>
      </c>
      <c r="O11" t="str">
        <f>IFERROR(_xlfn.XLOOKUP(A11,HC!A:A,HC!C:C),"")</f>
        <v>Workforce</v>
      </c>
      <c r="R11" s="78" t="b">
        <f t="shared" ref="R11:AO11" si="25">IFERROR(IF($B11=$D$1,IF(AND($K11&lt;R$1,$L11&lt;R$1),"",IF(AND($K11&gt;S$1,$L11&gt;S$1),"",IF(AND($K11&lt;R$1,$L11&lt;=S$1),$L11-R$1,IF(AND($K11&gt;=R$1,$L11&gt;S$1),S$1-$K11,IF(AND($K11&gt;=R$1,$L11&lt;=S$1),$L11-$K11,IF(AND($K11&lt;R$1,$L11&gt;S$1),S$1-R$1,""))))))),"")</f>
        <v>0</v>
      </c>
      <c r="S11" s="78" t="b">
        <f t="shared" si="25"/>
        <v>0</v>
      </c>
      <c r="T11" s="78" t="b">
        <f t="shared" si="25"/>
        <v>0</v>
      </c>
      <c r="U11" s="78" t="b">
        <f t="shared" si="25"/>
        <v>0</v>
      </c>
      <c r="V11" s="78" t="b">
        <f t="shared" si="25"/>
        <v>0</v>
      </c>
      <c r="W11" s="78" t="b">
        <f t="shared" si="25"/>
        <v>0</v>
      </c>
      <c r="X11" s="78" t="b">
        <f t="shared" si="25"/>
        <v>0</v>
      </c>
      <c r="Y11" s="78" t="b">
        <f t="shared" si="25"/>
        <v>0</v>
      </c>
      <c r="Z11" s="78" t="b">
        <f t="shared" si="25"/>
        <v>0</v>
      </c>
      <c r="AA11" s="78" t="b">
        <f t="shared" si="25"/>
        <v>0</v>
      </c>
      <c r="AB11" s="78" t="b">
        <f t="shared" si="25"/>
        <v>0</v>
      </c>
      <c r="AC11" s="78" t="b">
        <f t="shared" si="25"/>
        <v>0</v>
      </c>
      <c r="AD11" s="78" t="b">
        <f t="shared" si="25"/>
        <v>0</v>
      </c>
      <c r="AE11" s="78" t="b">
        <f t="shared" si="25"/>
        <v>0</v>
      </c>
      <c r="AF11" s="78" t="b">
        <f t="shared" si="25"/>
        <v>0</v>
      </c>
      <c r="AG11" s="78" t="b">
        <f t="shared" si="25"/>
        <v>0</v>
      </c>
      <c r="AH11" s="78" t="b">
        <f t="shared" si="25"/>
        <v>0</v>
      </c>
      <c r="AI11" s="78" t="b">
        <f t="shared" si="25"/>
        <v>0</v>
      </c>
      <c r="AJ11" s="78" t="b">
        <f t="shared" si="25"/>
        <v>0</v>
      </c>
      <c r="AK11" s="78" t="b">
        <f t="shared" si="25"/>
        <v>0</v>
      </c>
      <c r="AL11" s="78" t="b">
        <f t="shared" si="25"/>
        <v>0</v>
      </c>
      <c r="AM11" s="78" t="b">
        <f t="shared" si="25"/>
        <v>0</v>
      </c>
      <c r="AN11" s="78" t="b">
        <f t="shared" si="25"/>
        <v>0</v>
      </c>
      <c r="AO11" s="78" t="b">
        <f t="shared" si="25"/>
        <v>0</v>
      </c>
      <c r="AP11" s="78"/>
      <c r="AR11" s="69">
        <v>0.29166666666666702</v>
      </c>
      <c r="AS11" s="78">
        <f t="shared" ref="AS11:AU11" si="26">SUMIFS($Y:$Y,$O:$O,AS3)</f>
        <v>0</v>
      </c>
      <c r="AT11" s="78">
        <f t="shared" si="26"/>
        <v>0</v>
      </c>
      <c r="AU11" s="78">
        <f t="shared" si="26"/>
        <v>0</v>
      </c>
      <c r="AV11" s="78">
        <f>SUMIFS($Y:$Y,$O:$O,AV3)</f>
        <v>0</v>
      </c>
      <c r="AZ11">
        <f t="shared" si="12"/>
        <v>0</v>
      </c>
    </row>
    <row r="12" spans="1:53" x14ac:dyDescent="0.35">
      <c r="D12" s="96"/>
      <c r="E12" s="96"/>
      <c r="G12" s="77">
        <f t="shared" si="2"/>
        <v>0</v>
      </c>
      <c r="H12" s="78">
        <f t="shared" si="3"/>
        <v>0</v>
      </c>
      <c r="I12" s="77">
        <f t="shared" si="4"/>
        <v>0</v>
      </c>
      <c r="J12" s="78">
        <f t="shared" si="5"/>
        <v>0</v>
      </c>
      <c r="K12" s="78" t="str">
        <f t="shared" si="6"/>
        <v>1900-01-00 00:0:00</v>
      </c>
      <c r="L12" s="78" t="str">
        <f t="shared" si="7"/>
        <v>1900-01-00 00:0:00</v>
      </c>
      <c r="M12" s="79">
        <f t="shared" si="8"/>
        <v>0</v>
      </c>
      <c r="N12">
        <f t="shared" si="9"/>
        <v>1</v>
      </c>
      <c r="O12" t="str">
        <f>IFERROR(_xlfn.XLOOKUP(A12,HC!A:A,HC!C:C),"")</f>
        <v>Workforce</v>
      </c>
      <c r="R12" s="78" t="b">
        <f t="shared" ref="R12:AO12" si="27">IFERROR(IF($B12=$D$1,IF(AND($K12&lt;R$1,$L12&lt;R$1),"",IF(AND($K12&gt;S$1,$L12&gt;S$1),"",IF(AND($K12&lt;R$1,$L12&lt;=S$1),$L12-R$1,IF(AND($K12&gt;=R$1,$L12&gt;S$1),S$1-$K12,IF(AND($K12&gt;=R$1,$L12&lt;=S$1),$L12-$K12,IF(AND($K12&lt;R$1,$L12&gt;S$1),S$1-R$1,""))))))),"")</f>
        <v>0</v>
      </c>
      <c r="S12" s="78" t="b">
        <f t="shared" si="27"/>
        <v>0</v>
      </c>
      <c r="T12" s="78" t="b">
        <f t="shared" si="27"/>
        <v>0</v>
      </c>
      <c r="U12" s="78" t="b">
        <f t="shared" si="27"/>
        <v>0</v>
      </c>
      <c r="V12" s="78" t="b">
        <f t="shared" si="27"/>
        <v>0</v>
      </c>
      <c r="W12" s="78" t="b">
        <f t="shared" si="27"/>
        <v>0</v>
      </c>
      <c r="X12" s="78" t="b">
        <f t="shared" si="27"/>
        <v>0</v>
      </c>
      <c r="Y12" s="78" t="b">
        <f t="shared" si="27"/>
        <v>0</v>
      </c>
      <c r="Z12" s="78" t="b">
        <f t="shared" si="27"/>
        <v>0</v>
      </c>
      <c r="AA12" s="78" t="b">
        <f t="shared" si="27"/>
        <v>0</v>
      </c>
      <c r="AB12" s="78" t="b">
        <f t="shared" si="27"/>
        <v>0</v>
      </c>
      <c r="AC12" s="78" t="b">
        <f t="shared" si="27"/>
        <v>0</v>
      </c>
      <c r="AD12" s="78" t="b">
        <f t="shared" si="27"/>
        <v>0</v>
      </c>
      <c r="AE12" s="78" t="b">
        <f t="shared" si="27"/>
        <v>0</v>
      </c>
      <c r="AF12" s="78" t="b">
        <f t="shared" si="27"/>
        <v>0</v>
      </c>
      <c r="AG12" s="78" t="b">
        <f t="shared" si="27"/>
        <v>0</v>
      </c>
      <c r="AH12" s="78" t="b">
        <f t="shared" si="27"/>
        <v>0</v>
      </c>
      <c r="AI12" s="78" t="b">
        <f t="shared" si="27"/>
        <v>0</v>
      </c>
      <c r="AJ12" s="78" t="b">
        <f t="shared" si="27"/>
        <v>0</v>
      </c>
      <c r="AK12" s="78" t="b">
        <f t="shared" si="27"/>
        <v>0</v>
      </c>
      <c r="AL12" s="78" t="b">
        <f t="shared" si="27"/>
        <v>0</v>
      </c>
      <c r="AM12" s="78" t="b">
        <f t="shared" si="27"/>
        <v>0</v>
      </c>
      <c r="AN12" s="78" t="b">
        <f t="shared" si="27"/>
        <v>0</v>
      </c>
      <c r="AO12" s="78" t="b">
        <f t="shared" si="27"/>
        <v>0</v>
      </c>
      <c r="AP12" s="78"/>
      <c r="AR12" s="69">
        <v>0.33333333333333298</v>
      </c>
      <c r="AS12" s="78">
        <f t="shared" ref="AS12:AU12" si="28">SUMIFS($Z:$Z,$O:$O,AS3)</f>
        <v>0</v>
      </c>
      <c r="AT12" s="78">
        <f t="shared" si="28"/>
        <v>0</v>
      </c>
      <c r="AU12" s="78">
        <f t="shared" si="28"/>
        <v>0</v>
      </c>
      <c r="AV12" s="78">
        <f>SUMIFS($Z:$Z,$O:$O,AV3)</f>
        <v>0</v>
      </c>
      <c r="AZ12">
        <f t="shared" si="12"/>
        <v>0</v>
      </c>
    </row>
    <row r="13" spans="1:53" x14ac:dyDescent="0.35">
      <c r="D13" s="96"/>
      <c r="E13" s="96"/>
      <c r="G13" s="77">
        <f t="shared" si="2"/>
        <v>0</v>
      </c>
      <c r="H13" s="78">
        <f t="shared" si="3"/>
        <v>0</v>
      </c>
      <c r="I13" s="77">
        <f t="shared" si="4"/>
        <v>0</v>
      </c>
      <c r="J13" s="78">
        <f t="shared" si="5"/>
        <v>0</v>
      </c>
      <c r="K13" s="78" t="str">
        <f t="shared" si="6"/>
        <v>1900-01-00 00:0:00</v>
      </c>
      <c r="L13" s="78" t="str">
        <f t="shared" si="7"/>
        <v>1900-01-00 00:0:00</v>
      </c>
      <c r="M13" s="79">
        <f t="shared" si="8"/>
        <v>0</v>
      </c>
      <c r="N13">
        <f t="shared" si="9"/>
        <v>1</v>
      </c>
      <c r="O13" t="str">
        <f>IFERROR(_xlfn.XLOOKUP(A13,HC!A:A,HC!C:C),"")</f>
        <v>Workforce</v>
      </c>
      <c r="R13" s="78" t="b">
        <f t="shared" ref="R13:AO13" si="29">IFERROR(IF($B13=$D$1,IF(AND($K13&lt;R$1,$L13&lt;R$1),"",IF(AND($K13&gt;S$1,$L13&gt;S$1),"",IF(AND($K13&lt;R$1,$L13&lt;=S$1),$L13-R$1,IF(AND($K13&gt;=R$1,$L13&gt;S$1),S$1-$K13,IF(AND($K13&gt;=R$1,$L13&lt;=S$1),$L13-$K13,IF(AND($K13&lt;R$1,$L13&gt;S$1),S$1-R$1,""))))))),"")</f>
        <v>0</v>
      </c>
      <c r="S13" s="78" t="b">
        <f t="shared" si="29"/>
        <v>0</v>
      </c>
      <c r="T13" s="78" t="b">
        <f t="shared" si="29"/>
        <v>0</v>
      </c>
      <c r="U13" s="78" t="b">
        <f t="shared" si="29"/>
        <v>0</v>
      </c>
      <c r="V13" s="78" t="b">
        <f t="shared" si="29"/>
        <v>0</v>
      </c>
      <c r="W13" s="78" t="b">
        <f t="shared" si="29"/>
        <v>0</v>
      </c>
      <c r="X13" s="78" t="b">
        <f t="shared" si="29"/>
        <v>0</v>
      </c>
      <c r="Y13" s="78" t="b">
        <f t="shared" si="29"/>
        <v>0</v>
      </c>
      <c r="Z13" s="78" t="b">
        <f t="shared" si="29"/>
        <v>0</v>
      </c>
      <c r="AA13" s="78" t="b">
        <f t="shared" si="29"/>
        <v>0</v>
      </c>
      <c r="AB13" s="78" t="b">
        <f t="shared" si="29"/>
        <v>0</v>
      </c>
      <c r="AC13" s="78" t="b">
        <f t="shared" si="29"/>
        <v>0</v>
      </c>
      <c r="AD13" s="78" t="b">
        <f t="shared" si="29"/>
        <v>0</v>
      </c>
      <c r="AE13" s="78" t="b">
        <f t="shared" si="29"/>
        <v>0</v>
      </c>
      <c r="AF13" s="78" t="b">
        <f t="shared" si="29"/>
        <v>0</v>
      </c>
      <c r="AG13" s="78" t="b">
        <f t="shared" si="29"/>
        <v>0</v>
      </c>
      <c r="AH13" s="78" t="b">
        <f t="shared" si="29"/>
        <v>0</v>
      </c>
      <c r="AI13" s="78" t="b">
        <f t="shared" si="29"/>
        <v>0</v>
      </c>
      <c r="AJ13" s="78" t="b">
        <f t="shared" si="29"/>
        <v>0</v>
      </c>
      <c r="AK13" s="78" t="b">
        <f t="shared" si="29"/>
        <v>0</v>
      </c>
      <c r="AL13" s="78" t="b">
        <f t="shared" si="29"/>
        <v>0</v>
      </c>
      <c r="AM13" s="78" t="b">
        <f t="shared" si="29"/>
        <v>0</v>
      </c>
      <c r="AN13" s="78" t="b">
        <f t="shared" si="29"/>
        <v>0</v>
      </c>
      <c r="AO13" s="78" t="b">
        <f t="shared" si="29"/>
        <v>0</v>
      </c>
      <c r="AP13" s="78"/>
      <c r="AR13" s="69">
        <v>0.375</v>
      </c>
      <c r="AS13" s="78">
        <f t="shared" ref="AS13:AU13" si="30">SUMIFS($AA:$AA,$O:$O,AS3)</f>
        <v>0</v>
      </c>
      <c r="AT13" s="78">
        <f t="shared" si="30"/>
        <v>0</v>
      </c>
      <c r="AU13" s="78">
        <f t="shared" si="30"/>
        <v>0</v>
      </c>
      <c r="AV13" s="78">
        <f>SUMIFS($AA:$AA,$O:$O,AV3)</f>
        <v>0</v>
      </c>
      <c r="AZ13">
        <f t="shared" si="12"/>
        <v>0</v>
      </c>
    </row>
    <row r="14" spans="1:53" x14ac:dyDescent="0.35">
      <c r="D14" s="96"/>
      <c r="E14" s="96"/>
      <c r="G14" s="77">
        <f t="shared" si="2"/>
        <v>0</v>
      </c>
      <c r="H14" s="78">
        <f t="shared" si="3"/>
        <v>0</v>
      </c>
      <c r="I14" s="77">
        <f t="shared" si="4"/>
        <v>0</v>
      </c>
      <c r="J14" s="78">
        <f t="shared" si="5"/>
        <v>0</v>
      </c>
      <c r="K14" s="78" t="str">
        <f t="shared" si="6"/>
        <v>1900-01-00 00:0:00</v>
      </c>
      <c r="L14" s="78" t="str">
        <f t="shared" si="7"/>
        <v>1900-01-00 00:0:00</v>
      </c>
      <c r="M14" s="79">
        <f t="shared" si="8"/>
        <v>0</v>
      </c>
      <c r="N14">
        <f t="shared" si="9"/>
        <v>1</v>
      </c>
      <c r="O14" t="str">
        <f>IFERROR(_xlfn.XLOOKUP(A14,HC!A:A,HC!C:C),"")</f>
        <v>Workforce</v>
      </c>
      <c r="R14" s="78" t="b">
        <f t="shared" ref="R14:AO14" si="31">IFERROR(IF($B14=$D$1,IF(AND($K14&lt;R$1,$L14&lt;R$1),"",IF(AND($K14&gt;S$1,$L14&gt;S$1),"",IF(AND($K14&lt;R$1,$L14&lt;=S$1),$L14-R$1,IF(AND($K14&gt;=R$1,$L14&gt;S$1),S$1-$K14,IF(AND($K14&gt;=R$1,$L14&lt;=S$1),$L14-$K14,IF(AND($K14&lt;R$1,$L14&gt;S$1),S$1-R$1,""))))))),"")</f>
        <v>0</v>
      </c>
      <c r="S14" s="78" t="b">
        <f t="shared" si="31"/>
        <v>0</v>
      </c>
      <c r="T14" s="78" t="b">
        <f t="shared" si="31"/>
        <v>0</v>
      </c>
      <c r="U14" s="78" t="b">
        <f t="shared" si="31"/>
        <v>0</v>
      </c>
      <c r="V14" s="78" t="b">
        <f t="shared" si="31"/>
        <v>0</v>
      </c>
      <c r="W14" s="78" t="b">
        <f t="shared" si="31"/>
        <v>0</v>
      </c>
      <c r="X14" s="78" t="b">
        <f t="shared" si="31"/>
        <v>0</v>
      </c>
      <c r="Y14" s="78" t="b">
        <f t="shared" si="31"/>
        <v>0</v>
      </c>
      <c r="Z14" s="78" t="b">
        <f t="shared" si="31"/>
        <v>0</v>
      </c>
      <c r="AA14" s="78" t="b">
        <f t="shared" si="31"/>
        <v>0</v>
      </c>
      <c r="AB14" s="78" t="b">
        <f t="shared" si="31"/>
        <v>0</v>
      </c>
      <c r="AC14" s="78" t="b">
        <f t="shared" si="31"/>
        <v>0</v>
      </c>
      <c r="AD14" s="78" t="b">
        <f t="shared" si="31"/>
        <v>0</v>
      </c>
      <c r="AE14" s="78" t="b">
        <f t="shared" si="31"/>
        <v>0</v>
      </c>
      <c r="AF14" s="78" t="b">
        <f t="shared" si="31"/>
        <v>0</v>
      </c>
      <c r="AG14" s="78" t="b">
        <f t="shared" si="31"/>
        <v>0</v>
      </c>
      <c r="AH14" s="78" t="b">
        <f t="shared" si="31"/>
        <v>0</v>
      </c>
      <c r="AI14" s="78" t="b">
        <f t="shared" si="31"/>
        <v>0</v>
      </c>
      <c r="AJ14" s="78" t="b">
        <f t="shared" si="31"/>
        <v>0</v>
      </c>
      <c r="AK14" s="78" t="b">
        <f t="shared" si="31"/>
        <v>0</v>
      </c>
      <c r="AL14" s="78" t="b">
        <f t="shared" si="31"/>
        <v>0</v>
      </c>
      <c r="AM14" s="78" t="b">
        <f t="shared" si="31"/>
        <v>0</v>
      </c>
      <c r="AN14" s="78" t="b">
        <f t="shared" si="31"/>
        <v>0</v>
      </c>
      <c r="AO14" s="78" t="b">
        <f t="shared" si="31"/>
        <v>0</v>
      </c>
      <c r="AP14" s="78"/>
      <c r="AR14" s="69">
        <v>0.41666666666666702</v>
      </c>
      <c r="AS14" s="78">
        <f t="shared" ref="AS14:AU14" si="32">SUMIFS($AB:$AB,$O:$O,AS3)</f>
        <v>0</v>
      </c>
      <c r="AT14" s="78">
        <f t="shared" si="32"/>
        <v>0</v>
      </c>
      <c r="AU14" s="78">
        <f t="shared" si="32"/>
        <v>0</v>
      </c>
      <c r="AV14" s="78">
        <f>SUMIFS($AB:$AB,$O:$O,AV3)</f>
        <v>0</v>
      </c>
      <c r="AZ14">
        <f t="shared" si="12"/>
        <v>0</v>
      </c>
    </row>
    <row r="15" spans="1:53" x14ac:dyDescent="0.35">
      <c r="D15" s="96"/>
      <c r="E15" s="96"/>
      <c r="G15" s="77">
        <f t="shared" si="2"/>
        <v>0</v>
      </c>
      <c r="H15" s="78">
        <f t="shared" si="3"/>
        <v>0</v>
      </c>
      <c r="I15" s="77">
        <f t="shared" si="4"/>
        <v>0</v>
      </c>
      <c r="J15" s="78">
        <f t="shared" si="5"/>
        <v>0</v>
      </c>
      <c r="K15" s="78" t="str">
        <f t="shared" si="6"/>
        <v>1900-01-00 00:0:00</v>
      </c>
      <c r="L15" s="78" t="str">
        <f t="shared" si="7"/>
        <v>1900-01-00 00:0:00</v>
      </c>
      <c r="M15" s="79">
        <f t="shared" si="8"/>
        <v>0</v>
      </c>
      <c r="N15">
        <f t="shared" si="9"/>
        <v>1</v>
      </c>
      <c r="O15" t="str">
        <f>IFERROR(_xlfn.XLOOKUP(A15,HC!A:A,HC!C:C),"")</f>
        <v>Workforce</v>
      </c>
      <c r="R15" s="78" t="b">
        <f t="shared" ref="R15:AO15" si="33">IFERROR(IF($B15=$D$1,IF(AND($K15&lt;R$1,$L15&lt;R$1),"",IF(AND($K15&gt;S$1,$L15&gt;S$1),"",IF(AND($K15&lt;R$1,$L15&lt;=S$1),$L15-R$1,IF(AND($K15&gt;=R$1,$L15&gt;S$1),S$1-$K15,IF(AND($K15&gt;=R$1,$L15&lt;=S$1),$L15-$K15,IF(AND($K15&lt;R$1,$L15&gt;S$1),S$1-R$1,""))))))),"")</f>
        <v>0</v>
      </c>
      <c r="S15" s="78" t="b">
        <f t="shared" si="33"/>
        <v>0</v>
      </c>
      <c r="T15" s="78" t="b">
        <f t="shared" si="33"/>
        <v>0</v>
      </c>
      <c r="U15" s="78" t="b">
        <f t="shared" si="33"/>
        <v>0</v>
      </c>
      <c r="V15" s="78" t="b">
        <f t="shared" si="33"/>
        <v>0</v>
      </c>
      <c r="W15" s="78" t="b">
        <f t="shared" si="33"/>
        <v>0</v>
      </c>
      <c r="X15" s="78" t="b">
        <f t="shared" si="33"/>
        <v>0</v>
      </c>
      <c r="Y15" s="78" t="b">
        <f t="shared" si="33"/>
        <v>0</v>
      </c>
      <c r="Z15" s="78" t="b">
        <f t="shared" si="33"/>
        <v>0</v>
      </c>
      <c r="AA15" s="78" t="b">
        <f t="shared" si="33"/>
        <v>0</v>
      </c>
      <c r="AB15" s="78" t="b">
        <f t="shared" si="33"/>
        <v>0</v>
      </c>
      <c r="AC15" s="78" t="b">
        <f t="shared" si="33"/>
        <v>0</v>
      </c>
      <c r="AD15" s="78" t="b">
        <f t="shared" si="33"/>
        <v>0</v>
      </c>
      <c r="AE15" s="78" t="b">
        <f t="shared" si="33"/>
        <v>0</v>
      </c>
      <c r="AF15" s="78" t="b">
        <f t="shared" si="33"/>
        <v>0</v>
      </c>
      <c r="AG15" s="78" t="b">
        <f t="shared" si="33"/>
        <v>0</v>
      </c>
      <c r="AH15" s="78" t="b">
        <f t="shared" si="33"/>
        <v>0</v>
      </c>
      <c r="AI15" s="78" t="b">
        <f t="shared" si="33"/>
        <v>0</v>
      </c>
      <c r="AJ15" s="78" t="b">
        <f t="shared" si="33"/>
        <v>0</v>
      </c>
      <c r="AK15" s="78" t="b">
        <f t="shared" si="33"/>
        <v>0</v>
      </c>
      <c r="AL15" s="78" t="b">
        <f t="shared" si="33"/>
        <v>0</v>
      </c>
      <c r="AM15" s="78" t="b">
        <f t="shared" si="33"/>
        <v>0</v>
      </c>
      <c r="AN15" s="78" t="b">
        <f t="shared" si="33"/>
        <v>0</v>
      </c>
      <c r="AO15" s="78" t="b">
        <f t="shared" si="33"/>
        <v>0</v>
      </c>
      <c r="AP15" s="78"/>
      <c r="AR15" s="69">
        <v>0.45833333333333298</v>
      </c>
      <c r="AS15" s="78">
        <f t="shared" ref="AS15:AU15" si="34">SUMIFS($AC:$AC,$O:$O,AS3)</f>
        <v>0</v>
      </c>
      <c r="AT15" s="78">
        <f t="shared" si="34"/>
        <v>0</v>
      </c>
      <c r="AU15" s="78">
        <f t="shared" si="34"/>
        <v>0</v>
      </c>
      <c r="AV15" s="78">
        <f>SUMIFS($AC:$AC,$O:$O,AV3)</f>
        <v>0</v>
      </c>
      <c r="AZ15">
        <f t="shared" si="12"/>
        <v>0</v>
      </c>
    </row>
    <row r="16" spans="1:53" x14ac:dyDescent="0.35">
      <c r="D16" s="96"/>
      <c r="E16" s="96"/>
      <c r="G16" s="77">
        <f t="shared" si="2"/>
        <v>0</v>
      </c>
      <c r="H16" s="78">
        <f t="shared" si="3"/>
        <v>0</v>
      </c>
      <c r="I16" s="77">
        <f t="shared" si="4"/>
        <v>0</v>
      </c>
      <c r="J16" s="78">
        <f t="shared" si="5"/>
        <v>0</v>
      </c>
      <c r="K16" s="78" t="str">
        <f t="shared" si="6"/>
        <v>1900-01-00 00:0:00</v>
      </c>
      <c r="L16" s="78" t="str">
        <f t="shared" si="7"/>
        <v>1900-01-00 00:0:00</v>
      </c>
      <c r="M16" s="79">
        <f t="shared" si="8"/>
        <v>0</v>
      </c>
      <c r="N16">
        <f t="shared" si="9"/>
        <v>1</v>
      </c>
      <c r="O16" t="str">
        <f>IFERROR(_xlfn.XLOOKUP(A16,HC!A:A,HC!C:C),"")</f>
        <v>Workforce</v>
      </c>
      <c r="R16" s="78" t="b">
        <f t="shared" ref="R16:AO16" si="35">IFERROR(IF($B16=$D$1,IF(AND($K16&lt;R$1,$L16&lt;R$1),"",IF(AND($K16&gt;S$1,$L16&gt;S$1),"",IF(AND($K16&lt;R$1,$L16&lt;=S$1),$L16-R$1,IF(AND($K16&gt;=R$1,$L16&gt;S$1),S$1-$K16,IF(AND($K16&gt;=R$1,$L16&lt;=S$1),$L16-$K16,IF(AND($K16&lt;R$1,$L16&gt;S$1),S$1-R$1,""))))))),"")</f>
        <v>0</v>
      </c>
      <c r="S16" s="78" t="b">
        <f t="shared" si="35"/>
        <v>0</v>
      </c>
      <c r="T16" s="78" t="b">
        <f t="shared" si="35"/>
        <v>0</v>
      </c>
      <c r="U16" s="78" t="b">
        <f t="shared" si="35"/>
        <v>0</v>
      </c>
      <c r="V16" s="78" t="b">
        <f t="shared" si="35"/>
        <v>0</v>
      </c>
      <c r="W16" s="78" t="b">
        <f t="shared" si="35"/>
        <v>0</v>
      </c>
      <c r="X16" s="78" t="b">
        <f t="shared" si="35"/>
        <v>0</v>
      </c>
      <c r="Y16" s="78" t="b">
        <f t="shared" si="35"/>
        <v>0</v>
      </c>
      <c r="Z16" s="78" t="b">
        <f t="shared" si="35"/>
        <v>0</v>
      </c>
      <c r="AA16" s="78" t="b">
        <f t="shared" si="35"/>
        <v>0</v>
      </c>
      <c r="AB16" s="78" t="b">
        <f t="shared" si="35"/>
        <v>0</v>
      </c>
      <c r="AC16" s="78" t="b">
        <f t="shared" si="35"/>
        <v>0</v>
      </c>
      <c r="AD16" s="78" t="b">
        <f t="shared" si="35"/>
        <v>0</v>
      </c>
      <c r="AE16" s="78" t="b">
        <f t="shared" si="35"/>
        <v>0</v>
      </c>
      <c r="AF16" s="78" t="b">
        <f t="shared" si="35"/>
        <v>0</v>
      </c>
      <c r="AG16" s="78" t="b">
        <f t="shared" si="35"/>
        <v>0</v>
      </c>
      <c r="AH16" s="78" t="b">
        <f t="shared" si="35"/>
        <v>0</v>
      </c>
      <c r="AI16" s="78" t="b">
        <f t="shared" si="35"/>
        <v>0</v>
      </c>
      <c r="AJ16" s="78" t="b">
        <f t="shared" si="35"/>
        <v>0</v>
      </c>
      <c r="AK16" s="78" t="b">
        <f t="shared" si="35"/>
        <v>0</v>
      </c>
      <c r="AL16" s="78" t="b">
        <f t="shared" si="35"/>
        <v>0</v>
      </c>
      <c r="AM16" s="78" t="b">
        <f t="shared" si="35"/>
        <v>0</v>
      </c>
      <c r="AN16" s="78" t="b">
        <f t="shared" si="35"/>
        <v>0</v>
      </c>
      <c r="AO16" s="78" t="b">
        <f t="shared" si="35"/>
        <v>0</v>
      </c>
      <c r="AP16" s="78"/>
      <c r="AR16" s="69">
        <v>0.5</v>
      </c>
      <c r="AS16" s="78">
        <f t="shared" ref="AS16:AU16" si="36">SUMIFS($AD:$AD,$O:$O,AS3)</f>
        <v>0</v>
      </c>
      <c r="AT16" s="78">
        <f t="shared" si="36"/>
        <v>0</v>
      </c>
      <c r="AU16" s="78">
        <f t="shared" si="36"/>
        <v>0</v>
      </c>
      <c r="AV16" s="78">
        <f>SUMIFS($AD:$AD,$O:$O,AV3)</f>
        <v>0</v>
      </c>
      <c r="AZ16">
        <f t="shared" si="12"/>
        <v>0</v>
      </c>
    </row>
    <row r="17" spans="4:52" x14ac:dyDescent="0.35">
      <c r="D17" s="96"/>
      <c r="E17" s="96"/>
      <c r="G17" s="77">
        <f t="shared" si="2"/>
        <v>0</v>
      </c>
      <c r="H17" s="78">
        <f t="shared" si="3"/>
        <v>0</v>
      </c>
      <c r="I17" s="77">
        <f t="shared" si="4"/>
        <v>0</v>
      </c>
      <c r="J17" s="78">
        <f t="shared" si="5"/>
        <v>0</v>
      </c>
      <c r="K17" s="78" t="str">
        <f t="shared" si="6"/>
        <v>1900-01-00 00:0:00</v>
      </c>
      <c r="L17" s="78" t="str">
        <f t="shared" si="7"/>
        <v>1900-01-00 00:0:00</v>
      </c>
      <c r="M17" s="79">
        <f t="shared" si="8"/>
        <v>0</v>
      </c>
      <c r="N17">
        <f t="shared" si="9"/>
        <v>1</v>
      </c>
      <c r="O17" t="str">
        <f>IFERROR(_xlfn.XLOOKUP(A17,HC!A:A,HC!C:C),"")</f>
        <v>Workforce</v>
      </c>
      <c r="R17" s="78" t="b">
        <f t="shared" ref="R17:AO17" si="37">IFERROR(IF($B17=$D$1,IF(AND($K17&lt;R$1,$L17&lt;R$1),"",IF(AND($K17&gt;S$1,$L17&gt;S$1),"",IF(AND($K17&lt;R$1,$L17&lt;=S$1),$L17-R$1,IF(AND($K17&gt;=R$1,$L17&gt;S$1),S$1-$K17,IF(AND($K17&gt;=R$1,$L17&lt;=S$1),$L17-$K17,IF(AND($K17&lt;R$1,$L17&gt;S$1),S$1-R$1,""))))))),"")</f>
        <v>0</v>
      </c>
      <c r="S17" s="78" t="b">
        <f t="shared" si="37"/>
        <v>0</v>
      </c>
      <c r="T17" s="78" t="b">
        <f t="shared" si="37"/>
        <v>0</v>
      </c>
      <c r="U17" s="78" t="b">
        <f t="shared" si="37"/>
        <v>0</v>
      </c>
      <c r="V17" s="78" t="b">
        <f t="shared" si="37"/>
        <v>0</v>
      </c>
      <c r="W17" s="78" t="b">
        <f t="shared" si="37"/>
        <v>0</v>
      </c>
      <c r="X17" s="78" t="b">
        <f t="shared" si="37"/>
        <v>0</v>
      </c>
      <c r="Y17" s="78" t="b">
        <f t="shared" si="37"/>
        <v>0</v>
      </c>
      <c r="Z17" s="78" t="b">
        <f t="shared" si="37"/>
        <v>0</v>
      </c>
      <c r="AA17" s="78" t="b">
        <f t="shared" si="37"/>
        <v>0</v>
      </c>
      <c r="AB17" s="78" t="b">
        <f t="shared" si="37"/>
        <v>0</v>
      </c>
      <c r="AC17" s="78" t="b">
        <f t="shared" si="37"/>
        <v>0</v>
      </c>
      <c r="AD17" s="78" t="b">
        <f t="shared" si="37"/>
        <v>0</v>
      </c>
      <c r="AE17" s="78" t="b">
        <f t="shared" si="37"/>
        <v>0</v>
      </c>
      <c r="AF17" s="78" t="b">
        <f t="shared" si="37"/>
        <v>0</v>
      </c>
      <c r="AG17" s="78" t="b">
        <f t="shared" si="37"/>
        <v>0</v>
      </c>
      <c r="AH17" s="78" t="b">
        <f t="shared" si="37"/>
        <v>0</v>
      </c>
      <c r="AI17" s="78" t="b">
        <f t="shared" si="37"/>
        <v>0</v>
      </c>
      <c r="AJ17" s="78" t="b">
        <f t="shared" si="37"/>
        <v>0</v>
      </c>
      <c r="AK17" s="78" t="b">
        <f t="shared" si="37"/>
        <v>0</v>
      </c>
      <c r="AL17" s="78" t="b">
        <f t="shared" si="37"/>
        <v>0</v>
      </c>
      <c r="AM17" s="78" t="b">
        <f t="shared" si="37"/>
        <v>0</v>
      </c>
      <c r="AN17" s="78" t="b">
        <f t="shared" si="37"/>
        <v>0</v>
      </c>
      <c r="AO17" s="78" t="b">
        <f t="shared" si="37"/>
        <v>0</v>
      </c>
      <c r="AP17" s="78"/>
      <c r="AR17" s="69">
        <v>0.54166666666666696</v>
      </c>
      <c r="AS17" s="78">
        <f t="shared" ref="AS17:AU17" si="38">SUMIFS($AE:$AE,$O:$O,AS3)</f>
        <v>0</v>
      </c>
      <c r="AT17" s="78">
        <f t="shared" si="38"/>
        <v>0</v>
      </c>
      <c r="AU17" s="78">
        <f t="shared" si="38"/>
        <v>0</v>
      </c>
      <c r="AV17" s="78">
        <f>SUMIFS($AE:$AE,$O:$O,AV3)</f>
        <v>0</v>
      </c>
      <c r="AZ17">
        <f t="shared" si="12"/>
        <v>0</v>
      </c>
    </row>
    <row r="18" spans="4:52" x14ac:dyDescent="0.35">
      <c r="D18" s="96"/>
      <c r="E18" s="96"/>
      <c r="G18" s="77">
        <f t="shared" si="2"/>
        <v>0</v>
      </c>
      <c r="H18" s="78">
        <f t="shared" si="3"/>
        <v>0</v>
      </c>
      <c r="I18" s="77">
        <f t="shared" si="4"/>
        <v>0</v>
      </c>
      <c r="J18" s="78">
        <f t="shared" si="5"/>
        <v>0</v>
      </c>
      <c r="K18" s="78" t="str">
        <f t="shared" si="6"/>
        <v>1900-01-00 00:0:00</v>
      </c>
      <c r="L18" s="78" t="str">
        <f t="shared" si="7"/>
        <v>1900-01-00 00:0:00</v>
      </c>
      <c r="M18" s="79">
        <f t="shared" si="8"/>
        <v>0</v>
      </c>
      <c r="N18">
        <f t="shared" si="9"/>
        <v>1</v>
      </c>
      <c r="O18" t="str">
        <f>IFERROR(_xlfn.XLOOKUP(A18,HC!A:A,HC!C:C),"")</f>
        <v>Workforce</v>
      </c>
      <c r="R18" s="78" t="b">
        <f t="shared" ref="R18:AO18" si="39">IFERROR(IF($B18=$D$1,IF(AND($K18&lt;R$1,$L18&lt;R$1),"",IF(AND($K18&gt;S$1,$L18&gt;S$1),"",IF(AND($K18&lt;R$1,$L18&lt;=S$1),$L18-R$1,IF(AND($K18&gt;=R$1,$L18&gt;S$1),S$1-$K18,IF(AND($K18&gt;=R$1,$L18&lt;=S$1),$L18-$K18,IF(AND($K18&lt;R$1,$L18&gt;S$1),S$1-R$1,""))))))),"")</f>
        <v>0</v>
      </c>
      <c r="S18" s="78" t="b">
        <f t="shared" si="39"/>
        <v>0</v>
      </c>
      <c r="T18" s="78" t="b">
        <f t="shared" si="39"/>
        <v>0</v>
      </c>
      <c r="U18" s="78" t="b">
        <f t="shared" si="39"/>
        <v>0</v>
      </c>
      <c r="V18" s="78" t="b">
        <f t="shared" si="39"/>
        <v>0</v>
      </c>
      <c r="W18" s="78" t="b">
        <f t="shared" si="39"/>
        <v>0</v>
      </c>
      <c r="X18" s="78" t="b">
        <f t="shared" si="39"/>
        <v>0</v>
      </c>
      <c r="Y18" s="78" t="b">
        <f t="shared" si="39"/>
        <v>0</v>
      </c>
      <c r="Z18" s="78" t="b">
        <f t="shared" si="39"/>
        <v>0</v>
      </c>
      <c r="AA18" s="78" t="b">
        <f t="shared" si="39"/>
        <v>0</v>
      </c>
      <c r="AB18" s="78" t="b">
        <f t="shared" si="39"/>
        <v>0</v>
      </c>
      <c r="AC18" s="78" t="b">
        <f t="shared" si="39"/>
        <v>0</v>
      </c>
      <c r="AD18" s="78" t="b">
        <f t="shared" si="39"/>
        <v>0</v>
      </c>
      <c r="AE18" s="78" t="b">
        <f t="shared" si="39"/>
        <v>0</v>
      </c>
      <c r="AF18" s="78" t="b">
        <f t="shared" si="39"/>
        <v>0</v>
      </c>
      <c r="AG18" s="78" t="b">
        <f t="shared" si="39"/>
        <v>0</v>
      </c>
      <c r="AH18" s="78" t="b">
        <f t="shared" si="39"/>
        <v>0</v>
      </c>
      <c r="AI18" s="78" t="b">
        <f t="shared" si="39"/>
        <v>0</v>
      </c>
      <c r="AJ18" s="78" t="b">
        <f t="shared" si="39"/>
        <v>0</v>
      </c>
      <c r="AK18" s="78" t="b">
        <f t="shared" si="39"/>
        <v>0</v>
      </c>
      <c r="AL18" s="78" t="b">
        <f t="shared" si="39"/>
        <v>0</v>
      </c>
      <c r="AM18" s="78" t="b">
        <f t="shared" si="39"/>
        <v>0</v>
      </c>
      <c r="AN18" s="78" t="b">
        <f t="shared" si="39"/>
        <v>0</v>
      </c>
      <c r="AO18" s="78" t="b">
        <f t="shared" si="39"/>
        <v>0</v>
      </c>
      <c r="AP18" s="78"/>
      <c r="AR18" s="69">
        <v>0.58333333333333304</v>
      </c>
      <c r="AS18" s="78">
        <f t="shared" ref="AS18:AU18" si="40">SUMIFS($AF:$AF,$O:$O,AS3)</f>
        <v>0</v>
      </c>
      <c r="AT18" s="78">
        <f t="shared" si="40"/>
        <v>0</v>
      </c>
      <c r="AU18" s="78">
        <f t="shared" si="40"/>
        <v>0</v>
      </c>
      <c r="AV18" s="78">
        <f>SUMIFS($AF:$AF,$O:$O,AV3)</f>
        <v>0</v>
      </c>
      <c r="AZ18">
        <f t="shared" si="12"/>
        <v>0</v>
      </c>
    </row>
    <row r="19" spans="4:52" x14ac:dyDescent="0.35">
      <c r="D19" s="96"/>
      <c r="E19" s="96"/>
      <c r="G19" s="77">
        <f t="shared" si="2"/>
        <v>0</v>
      </c>
      <c r="H19" s="78">
        <f t="shared" si="3"/>
        <v>0</v>
      </c>
      <c r="I19" s="77">
        <f t="shared" si="4"/>
        <v>0</v>
      </c>
      <c r="J19" s="78">
        <f t="shared" si="5"/>
        <v>0</v>
      </c>
      <c r="K19" s="78" t="str">
        <f t="shared" si="6"/>
        <v>1900-01-00 00:0:00</v>
      </c>
      <c r="L19" s="78" t="str">
        <f t="shared" si="7"/>
        <v>1900-01-00 00:0:00</v>
      </c>
      <c r="M19" s="79">
        <f t="shared" si="8"/>
        <v>0</v>
      </c>
      <c r="N19">
        <f t="shared" si="9"/>
        <v>1</v>
      </c>
      <c r="O19" t="str">
        <f>IFERROR(_xlfn.XLOOKUP(A19,HC!A:A,HC!C:C),"")</f>
        <v>Workforce</v>
      </c>
      <c r="R19" s="78" t="b">
        <f t="shared" ref="R19:AO19" si="41">IFERROR(IF($B19=$D$1,IF(AND($K19&lt;R$1,$L19&lt;R$1),"",IF(AND($K19&gt;S$1,$L19&gt;S$1),"",IF(AND($K19&lt;R$1,$L19&lt;=S$1),$L19-R$1,IF(AND($K19&gt;=R$1,$L19&gt;S$1),S$1-$K19,IF(AND($K19&gt;=R$1,$L19&lt;=S$1),$L19-$K19,IF(AND($K19&lt;R$1,$L19&gt;S$1),S$1-R$1,""))))))),"")</f>
        <v>0</v>
      </c>
      <c r="S19" s="78" t="b">
        <f t="shared" si="41"/>
        <v>0</v>
      </c>
      <c r="T19" s="78" t="b">
        <f t="shared" si="41"/>
        <v>0</v>
      </c>
      <c r="U19" s="78" t="b">
        <f t="shared" si="41"/>
        <v>0</v>
      </c>
      <c r="V19" s="78" t="b">
        <f t="shared" si="41"/>
        <v>0</v>
      </c>
      <c r="W19" s="78" t="b">
        <f t="shared" si="41"/>
        <v>0</v>
      </c>
      <c r="X19" s="78" t="b">
        <f t="shared" si="41"/>
        <v>0</v>
      </c>
      <c r="Y19" s="78" t="b">
        <f t="shared" si="41"/>
        <v>0</v>
      </c>
      <c r="Z19" s="78" t="b">
        <f t="shared" si="41"/>
        <v>0</v>
      </c>
      <c r="AA19" s="78" t="b">
        <f t="shared" si="41"/>
        <v>0</v>
      </c>
      <c r="AB19" s="78" t="b">
        <f t="shared" si="41"/>
        <v>0</v>
      </c>
      <c r="AC19" s="78" t="b">
        <f t="shared" si="41"/>
        <v>0</v>
      </c>
      <c r="AD19" s="78" t="b">
        <f t="shared" si="41"/>
        <v>0</v>
      </c>
      <c r="AE19" s="78" t="b">
        <f t="shared" si="41"/>
        <v>0</v>
      </c>
      <c r="AF19" s="78" t="b">
        <f t="shared" si="41"/>
        <v>0</v>
      </c>
      <c r="AG19" s="78" t="b">
        <f t="shared" si="41"/>
        <v>0</v>
      </c>
      <c r="AH19" s="78" t="b">
        <f t="shared" si="41"/>
        <v>0</v>
      </c>
      <c r="AI19" s="78" t="b">
        <f t="shared" si="41"/>
        <v>0</v>
      </c>
      <c r="AJ19" s="78" t="b">
        <f t="shared" si="41"/>
        <v>0</v>
      </c>
      <c r="AK19" s="78" t="b">
        <f t="shared" si="41"/>
        <v>0</v>
      </c>
      <c r="AL19" s="78" t="b">
        <f t="shared" si="41"/>
        <v>0</v>
      </c>
      <c r="AM19" s="78" t="b">
        <f t="shared" si="41"/>
        <v>0</v>
      </c>
      <c r="AN19" s="78" t="b">
        <f t="shared" si="41"/>
        <v>0</v>
      </c>
      <c r="AO19" s="78" t="b">
        <f t="shared" si="41"/>
        <v>0</v>
      </c>
      <c r="AP19" s="78"/>
      <c r="AR19" s="69">
        <v>0.625</v>
      </c>
      <c r="AS19" s="78">
        <f t="shared" ref="AS19:AU19" si="42">SUMIFS($AG:$AG,$O:$O,AS3)</f>
        <v>0</v>
      </c>
      <c r="AT19" s="78">
        <f t="shared" si="42"/>
        <v>0</v>
      </c>
      <c r="AU19" s="78">
        <f t="shared" si="42"/>
        <v>0</v>
      </c>
      <c r="AV19" s="78">
        <f>SUMIFS($AG:$AG,$O:$O,AV3)</f>
        <v>0</v>
      </c>
      <c r="AZ19">
        <f t="shared" si="12"/>
        <v>0</v>
      </c>
    </row>
    <row r="20" spans="4:52" x14ac:dyDescent="0.35">
      <c r="D20" s="96"/>
      <c r="E20" s="96"/>
      <c r="G20" s="77">
        <f t="shared" si="2"/>
        <v>0</v>
      </c>
      <c r="H20" s="78">
        <f t="shared" si="3"/>
        <v>0</v>
      </c>
      <c r="I20" s="77">
        <f t="shared" si="4"/>
        <v>0</v>
      </c>
      <c r="J20" s="78">
        <f t="shared" si="5"/>
        <v>0</v>
      </c>
      <c r="K20" s="78" t="str">
        <f t="shared" si="6"/>
        <v>1900-01-00 00:0:00</v>
      </c>
      <c r="L20" s="78" t="str">
        <f t="shared" si="7"/>
        <v>1900-01-00 00:0:00</v>
      </c>
      <c r="M20" s="79">
        <f t="shared" si="8"/>
        <v>0</v>
      </c>
      <c r="N20">
        <f t="shared" si="9"/>
        <v>1</v>
      </c>
      <c r="O20" t="str">
        <f>IFERROR(_xlfn.XLOOKUP(A20,HC!A:A,HC!C:C),"")</f>
        <v>Workforce</v>
      </c>
      <c r="R20" s="78" t="b">
        <f t="shared" ref="R20:AO20" si="43">IFERROR(IF($B20=$D$1,IF(AND($K20&lt;R$1,$L20&lt;R$1),"",IF(AND($K20&gt;S$1,$L20&gt;S$1),"",IF(AND($K20&lt;R$1,$L20&lt;=S$1),$L20-R$1,IF(AND($K20&gt;=R$1,$L20&gt;S$1),S$1-$K20,IF(AND($K20&gt;=R$1,$L20&lt;=S$1),$L20-$K20,IF(AND($K20&lt;R$1,$L20&gt;S$1),S$1-R$1,""))))))),"")</f>
        <v>0</v>
      </c>
      <c r="S20" s="78" t="b">
        <f t="shared" si="43"/>
        <v>0</v>
      </c>
      <c r="T20" s="78" t="b">
        <f t="shared" si="43"/>
        <v>0</v>
      </c>
      <c r="U20" s="78" t="b">
        <f t="shared" si="43"/>
        <v>0</v>
      </c>
      <c r="V20" s="78" t="b">
        <f t="shared" si="43"/>
        <v>0</v>
      </c>
      <c r="W20" s="78" t="b">
        <f t="shared" si="43"/>
        <v>0</v>
      </c>
      <c r="X20" s="78" t="b">
        <f t="shared" si="43"/>
        <v>0</v>
      </c>
      <c r="Y20" s="78" t="b">
        <f t="shared" si="43"/>
        <v>0</v>
      </c>
      <c r="Z20" s="78" t="b">
        <f t="shared" si="43"/>
        <v>0</v>
      </c>
      <c r="AA20" s="78" t="b">
        <f t="shared" si="43"/>
        <v>0</v>
      </c>
      <c r="AB20" s="78" t="b">
        <f t="shared" si="43"/>
        <v>0</v>
      </c>
      <c r="AC20" s="78" t="b">
        <f t="shared" si="43"/>
        <v>0</v>
      </c>
      <c r="AD20" s="78" t="b">
        <f t="shared" si="43"/>
        <v>0</v>
      </c>
      <c r="AE20" s="78" t="b">
        <f t="shared" si="43"/>
        <v>0</v>
      </c>
      <c r="AF20" s="78" t="b">
        <f t="shared" si="43"/>
        <v>0</v>
      </c>
      <c r="AG20" s="78" t="b">
        <f t="shared" si="43"/>
        <v>0</v>
      </c>
      <c r="AH20" s="78" t="b">
        <f t="shared" si="43"/>
        <v>0</v>
      </c>
      <c r="AI20" s="78" t="b">
        <f t="shared" si="43"/>
        <v>0</v>
      </c>
      <c r="AJ20" s="78" t="b">
        <f t="shared" si="43"/>
        <v>0</v>
      </c>
      <c r="AK20" s="78" t="b">
        <f t="shared" si="43"/>
        <v>0</v>
      </c>
      <c r="AL20" s="78" t="b">
        <f t="shared" si="43"/>
        <v>0</v>
      </c>
      <c r="AM20" s="78" t="b">
        <f t="shared" si="43"/>
        <v>0</v>
      </c>
      <c r="AN20" s="78" t="b">
        <f t="shared" si="43"/>
        <v>0</v>
      </c>
      <c r="AO20" s="78" t="b">
        <f t="shared" si="43"/>
        <v>0</v>
      </c>
      <c r="AP20" s="78"/>
      <c r="AR20" s="69">
        <v>0.66666666666666696</v>
      </c>
      <c r="AS20" s="78">
        <f t="shared" ref="AS20:AU20" si="44">SUMIFS($AH:$AH,$O:$O,AS3)</f>
        <v>0</v>
      </c>
      <c r="AT20" s="78">
        <f t="shared" si="44"/>
        <v>0</v>
      </c>
      <c r="AU20" s="78">
        <f t="shared" si="44"/>
        <v>0</v>
      </c>
      <c r="AV20" s="78">
        <f>SUMIFS($AH:$AH,$O:$O,AV3)</f>
        <v>0</v>
      </c>
      <c r="AZ20">
        <f t="shared" si="12"/>
        <v>0</v>
      </c>
    </row>
    <row r="21" spans="4:52" x14ac:dyDescent="0.35">
      <c r="D21" s="96"/>
      <c r="E21" s="96"/>
      <c r="G21" s="77">
        <f t="shared" si="2"/>
        <v>0</v>
      </c>
      <c r="H21" s="78">
        <f t="shared" si="3"/>
        <v>0</v>
      </c>
      <c r="I21" s="77">
        <f t="shared" si="4"/>
        <v>0</v>
      </c>
      <c r="J21" s="78">
        <f t="shared" si="5"/>
        <v>0</v>
      </c>
      <c r="K21" s="78" t="str">
        <f t="shared" si="6"/>
        <v>1900-01-00 00:0:00</v>
      </c>
      <c r="L21" s="78" t="str">
        <f t="shared" si="7"/>
        <v>1900-01-00 00:0:00</v>
      </c>
      <c r="M21" s="79">
        <f t="shared" si="8"/>
        <v>0</v>
      </c>
      <c r="N21">
        <f t="shared" si="9"/>
        <v>1</v>
      </c>
      <c r="O21" t="str">
        <f>IFERROR(_xlfn.XLOOKUP(A21,HC!A:A,HC!C:C),"")</f>
        <v>Workforce</v>
      </c>
      <c r="R21" s="78" t="b">
        <f t="shared" ref="R21:AO21" si="45">IFERROR(IF($B21=$D$1,IF(AND($K21&lt;R$1,$L21&lt;R$1),"",IF(AND($K21&gt;S$1,$L21&gt;S$1),"",IF(AND($K21&lt;R$1,$L21&lt;=S$1),$L21-R$1,IF(AND($K21&gt;=R$1,$L21&gt;S$1),S$1-$K21,IF(AND($K21&gt;=R$1,$L21&lt;=S$1),$L21-$K21,IF(AND($K21&lt;R$1,$L21&gt;S$1),S$1-R$1,""))))))),"")</f>
        <v>0</v>
      </c>
      <c r="S21" s="78" t="b">
        <f t="shared" si="45"/>
        <v>0</v>
      </c>
      <c r="T21" s="78" t="b">
        <f t="shared" si="45"/>
        <v>0</v>
      </c>
      <c r="U21" s="78" t="b">
        <f t="shared" si="45"/>
        <v>0</v>
      </c>
      <c r="V21" s="78" t="b">
        <f t="shared" si="45"/>
        <v>0</v>
      </c>
      <c r="W21" s="78" t="b">
        <f t="shared" si="45"/>
        <v>0</v>
      </c>
      <c r="X21" s="78" t="b">
        <f t="shared" si="45"/>
        <v>0</v>
      </c>
      <c r="Y21" s="78" t="b">
        <f t="shared" si="45"/>
        <v>0</v>
      </c>
      <c r="Z21" s="78" t="b">
        <f t="shared" si="45"/>
        <v>0</v>
      </c>
      <c r="AA21" s="78" t="b">
        <f t="shared" si="45"/>
        <v>0</v>
      </c>
      <c r="AB21" s="78" t="b">
        <f t="shared" si="45"/>
        <v>0</v>
      </c>
      <c r="AC21" s="78" t="b">
        <f t="shared" si="45"/>
        <v>0</v>
      </c>
      <c r="AD21" s="78" t="b">
        <f t="shared" si="45"/>
        <v>0</v>
      </c>
      <c r="AE21" s="78" t="b">
        <f t="shared" si="45"/>
        <v>0</v>
      </c>
      <c r="AF21" s="78" t="b">
        <f t="shared" si="45"/>
        <v>0</v>
      </c>
      <c r="AG21" s="78" t="b">
        <f t="shared" si="45"/>
        <v>0</v>
      </c>
      <c r="AH21" s="78" t="b">
        <f t="shared" si="45"/>
        <v>0</v>
      </c>
      <c r="AI21" s="78" t="b">
        <f t="shared" si="45"/>
        <v>0</v>
      </c>
      <c r="AJ21" s="78" t="b">
        <f t="shared" si="45"/>
        <v>0</v>
      </c>
      <c r="AK21" s="78" t="b">
        <f t="shared" si="45"/>
        <v>0</v>
      </c>
      <c r="AL21" s="78" t="b">
        <f t="shared" si="45"/>
        <v>0</v>
      </c>
      <c r="AM21" s="78" t="b">
        <f t="shared" si="45"/>
        <v>0</v>
      </c>
      <c r="AN21" s="78" t="b">
        <f t="shared" si="45"/>
        <v>0</v>
      </c>
      <c r="AO21" s="78" t="b">
        <f t="shared" si="45"/>
        <v>0</v>
      </c>
      <c r="AP21" s="78"/>
      <c r="AR21" s="69">
        <v>0.70833333333333304</v>
      </c>
      <c r="AS21" s="78">
        <f t="shared" ref="AS21:AU21" si="46">SUMIFS($AI:$AI,$O:$O,AS3)</f>
        <v>0</v>
      </c>
      <c r="AT21" s="78">
        <f t="shared" si="46"/>
        <v>0</v>
      </c>
      <c r="AU21" s="78">
        <f t="shared" si="46"/>
        <v>0</v>
      </c>
      <c r="AV21" s="78">
        <f>SUMIFS($AI:$AI,$O:$O,AV3)</f>
        <v>0</v>
      </c>
      <c r="AZ21">
        <f t="shared" si="12"/>
        <v>0</v>
      </c>
    </row>
    <row r="22" spans="4:52" x14ac:dyDescent="0.35">
      <c r="D22" s="96"/>
      <c r="E22" s="96"/>
      <c r="G22" s="77">
        <f t="shared" si="2"/>
        <v>0</v>
      </c>
      <c r="H22" s="78">
        <f t="shared" si="3"/>
        <v>0</v>
      </c>
      <c r="I22" s="77">
        <f t="shared" si="4"/>
        <v>0</v>
      </c>
      <c r="J22" s="78">
        <f t="shared" si="5"/>
        <v>0</v>
      </c>
      <c r="K22" s="78" t="str">
        <f t="shared" si="6"/>
        <v>1900-01-00 00:0:00</v>
      </c>
      <c r="L22" s="78" t="str">
        <f t="shared" si="7"/>
        <v>1900-01-00 00:0:00</v>
      </c>
      <c r="M22" s="79">
        <f t="shared" si="8"/>
        <v>0</v>
      </c>
      <c r="N22">
        <f t="shared" si="9"/>
        <v>1</v>
      </c>
      <c r="O22" t="str">
        <f>IFERROR(_xlfn.XLOOKUP(A22,HC!A:A,HC!C:C),"")</f>
        <v>Workforce</v>
      </c>
      <c r="R22" s="78" t="b">
        <f t="shared" ref="R22:AO22" si="47">IFERROR(IF($B22=$D$1,IF(AND($K22&lt;R$1,$L22&lt;R$1),"",IF(AND($K22&gt;S$1,$L22&gt;S$1),"",IF(AND($K22&lt;R$1,$L22&lt;=S$1),$L22-R$1,IF(AND($K22&gt;=R$1,$L22&gt;S$1),S$1-$K22,IF(AND($K22&gt;=R$1,$L22&lt;=S$1),$L22-$K22,IF(AND($K22&lt;R$1,$L22&gt;S$1),S$1-R$1,""))))))),"")</f>
        <v>0</v>
      </c>
      <c r="S22" s="78" t="b">
        <f t="shared" si="47"/>
        <v>0</v>
      </c>
      <c r="T22" s="78" t="b">
        <f t="shared" si="47"/>
        <v>0</v>
      </c>
      <c r="U22" s="78" t="b">
        <f t="shared" si="47"/>
        <v>0</v>
      </c>
      <c r="V22" s="78" t="b">
        <f t="shared" si="47"/>
        <v>0</v>
      </c>
      <c r="W22" s="78" t="b">
        <f t="shared" si="47"/>
        <v>0</v>
      </c>
      <c r="X22" s="78" t="b">
        <f t="shared" si="47"/>
        <v>0</v>
      </c>
      <c r="Y22" s="78" t="b">
        <f t="shared" si="47"/>
        <v>0</v>
      </c>
      <c r="Z22" s="78" t="b">
        <f t="shared" si="47"/>
        <v>0</v>
      </c>
      <c r="AA22" s="78" t="b">
        <f t="shared" si="47"/>
        <v>0</v>
      </c>
      <c r="AB22" s="78" t="b">
        <f t="shared" si="47"/>
        <v>0</v>
      </c>
      <c r="AC22" s="78" t="b">
        <f t="shared" si="47"/>
        <v>0</v>
      </c>
      <c r="AD22" s="78" t="b">
        <f t="shared" si="47"/>
        <v>0</v>
      </c>
      <c r="AE22" s="78" t="b">
        <f t="shared" si="47"/>
        <v>0</v>
      </c>
      <c r="AF22" s="78" t="b">
        <f t="shared" si="47"/>
        <v>0</v>
      </c>
      <c r="AG22" s="78" t="b">
        <f t="shared" si="47"/>
        <v>0</v>
      </c>
      <c r="AH22" s="78" t="b">
        <f t="shared" si="47"/>
        <v>0</v>
      </c>
      <c r="AI22" s="78" t="b">
        <f t="shared" si="47"/>
        <v>0</v>
      </c>
      <c r="AJ22" s="78" t="b">
        <f t="shared" si="47"/>
        <v>0</v>
      </c>
      <c r="AK22" s="78" t="b">
        <f t="shared" si="47"/>
        <v>0</v>
      </c>
      <c r="AL22" s="78" t="b">
        <f t="shared" si="47"/>
        <v>0</v>
      </c>
      <c r="AM22" s="78" t="b">
        <f t="shared" si="47"/>
        <v>0</v>
      </c>
      <c r="AN22" s="78" t="b">
        <f t="shared" si="47"/>
        <v>0</v>
      </c>
      <c r="AO22" s="78" t="b">
        <f t="shared" si="47"/>
        <v>0</v>
      </c>
      <c r="AP22" s="78"/>
      <c r="AR22" s="69">
        <v>0.75</v>
      </c>
      <c r="AS22" s="78">
        <f t="shared" ref="AS22:AU22" si="48">SUMIFS($AJ:$AJ,$O:$O,AS3)</f>
        <v>0</v>
      </c>
      <c r="AT22" s="78">
        <f t="shared" si="48"/>
        <v>0</v>
      </c>
      <c r="AU22" s="78">
        <f t="shared" si="48"/>
        <v>0</v>
      </c>
      <c r="AV22" s="78">
        <f>SUMIFS($AJ:$AJ,$O:$O,AV3)</f>
        <v>0</v>
      </c>
      <c r="AZ22">
        <f t="shared" si="12"/>
        <v>0</v>
      </c>
    </row>
    <row r="23" spans="4:52" x14ac:dyDescent="0.35">
      <c r="D23" s="96"/>
      <c r="E23" s="96"/>
      <c r="G23" s="77">
        <f t="shared" si="2"/>
        <v>0</v>
      </c>
      <c r="H23" s="78">
        <f t="shared" si="3"/>
        <v>0</v>
      </c>
      <c r="I23" s="77">
        <f t="shared" si="4"/>
        <v>0</v>
      </c>
      <c r="J23" s="78">
        <f t="shared" si="5"/>
        <v>0</v>
      </c>
      <c r="K23" s="78" t="str">
        <f t="shared" si="6"/>
        <v>1900-01-00 00:0:00</v>
      </c>
      <c r="L23" s="78" t="str">
        <f t="shared" si="7"/>
        <v>1900-01-00 00:0:00</v>
      </c>
      <c r="M23" s="79">
        <f t="shared" si="8"/>
        <v>0</v>
      </c>
      <c r="N23">
        <f t="shared" si="9"/>
        <v>1</v>
      </c>
      <c r="O23" t="str">
        <f>IFERROR(_xlfn.XLOOKUP(A23,HC!A:A,HC!C:C),"")</f>
        <v>Workforce</v>
      </c>
      <c r="R23" s="78" t="b">
        <f t="shared" ref="R23:AO23" si="49">IFERROR(IF($B23=$D$1,IF(AND($K23&lt;R$1,$L23&lt;R$1),"",IF(AND($K23&gt;S$1,$L23&gt;S$1),"",IF(AND($K23&lt;R$1,$L23&lt;=S$1),$L23-R$1,IF(AND($K23&gt;=R$1,$L23&gt;S$1),S$1-$K23,IF(AND($K23&gt;=R$1,$L23&lt;=S$1),$L23-$K23,IF(AND($K23&lt;R$1,$L23&gt;S$1),S$1-R$1,""))))))),"")</f>
        <v>0</v>
      </c>
      <c r="S23" s="78" t="b">
        <f t="shared" si="49"/>
        <v>0</v>
      </c>
      <c r="T23" s="78" t="b">
        <f t="shared" si="49"/>
        <v>0</v>
      </c>
      <c r="U23" s="78" t="b">
        <f t="shared" si="49"/>
        <v>0</v>
      </c>
      <c r="V23" s="78" t="b">
        <f t="shared" si="49"/>
        <v>0</v>
      </c>
      <c r="W23" s="78" t="b">
        <f t="shared" si="49"/>
        <v>0</v>
      </c>
      <c r="X23" s="78" t="b">
        <f t="shared" si="49"/>
        <v>0</v>
      </c>
      <c r="Y23" s="78" t="b">
        <f t="shared" si="49"/>
        <v>0</v>
      </c>
      <c r="Z23" s="78" t="b">
        <f t="shared" si="49"/>
        <v>0</v>
      </c>
      <c r="AA23" s="78" t="b">
        <f t="shared" si="49"/>
        <v>0</v>
      </c>
      <c r="AB23" s="78" t="b">
        <f t="shared" si="49"/>
        <v>0</v>
      </c>
      <c r="AC23" s="78" t="b">
        <f t="shared" si="49"/>
        <v>0</v>
      </c>
      <c r="AD23" s="78" t="b">
        <f t="shared" si="49"/>
        <v>0</v>
      </c>
      <c r="AE23" s="78" t="b">
        <f t="shared" si="49"/>
        <v>0</v>
      </c>
      <c r="AF23" s="78" t="b">
        <f t="shared" si="49"/>
        <v>0</v>
      </c>
      <c r="AG23" s="78" t="b">
        <f t="shared" si="49"/>
        <v>0</v>
      </c>
      <c r="AH23" s="78" t="b">
        <f t="shared" si="49"/>
        <v>0</v>
      </c>
      <c r="AI23" s="78" t="b">
        <f t="shared" si="49"/>
        <v>0</v>
      </c>
      <c r="AJ23" s="78" t="b">
        <f t="shared" si="49"/>
        <v>0</v>
      </c>
      <c r="AK23" s="78" t="b">
        <f t="shared" si="49"/>
        <v>0</v>
      </c>
      <c r="AL23" s="78" t="b">
        <f t="shared" si="49"/>
        <v>0</v>
      </c>
      <c r="AM23" s="78" t="b">
        <f t="shared" si="49"/>
        <v>0</v>
      </c>
      <c r="AN23" s="78" t="b">
        <f t="shared" si="49"/>
        <v>0</v>
      </c>
      <c r="AO23" s="78" t="b">
        <f t="shared" si="49"/>
        <v>0</v>
      </c>
      <c r="AP23" s="78"/>
      <c r="AR23" s="69">
        <v>0.79166666666666696</v>
      </c>
      <c r="AS23" s="78">
        <f t="shared" ref="AS23:AU23" si="50">SUMIFS($AK:$AK,$O:$O,AS3)</f>
        <v>0</v>
      </c>
      <c r="AT23" s="78">
        <f t="shared" si="50"/>
        <v>0</v>
      </c>
      <c r="AU23" s="78">
        <f t="shared" si="50"/>
        <v>0</v>
      </c>
      <c r="AV23" s="78">
        <f>SUMIFS($AK:$AK,$O:$O,AV3)</f>
        <v>0</v>
      </c>
      <c r="AZ23">
        <f t="shared" si="12"/>
        <v>0</v>
      </c>
    </row>
    <row r="24" spans="4:52" x14ac:dyDescent="0.35">
      <c r="D24" s="96"/>
      <c r="E24" s="96"/>
      <c r="G24" s="77">
        <f t="shared" si="2"/>
        <v>0</v>
      </c>
      <c r="H24" s="78">
        <f t="shared" si="3"/>
        <v>0</v>
      </c>
      <c r="I24" s="77">
        <f t="shared" si="4"/>
        <v>0</v>
      </c>
      <c r="J24" s="78">
        <f t="shared" si="5"/>
        <v>0</v>
      </c>
      <c r="K24" s="78" t="str">
        <f t="shared" si="6"/>
        <v>1900-01-00 00:0:00</v>
      </c>
      <c r="L24" s="78" t="str">
        <f t="shared" si="7"/>
        <v>1900-01-00 00:0:00</v>
      </c>
      <c r="M24" s="79">
        <f t="shared" si="8"/>
        <v>0</v>
      </c>
      <c r="N24">
        <f t="shared" si="9"/>
        <v>1</v>
      </c>
      <c r="O24" t="str">
        <f>IFERROR(_xlfn.XLOOKUP(A24,HC!A:A,HC!C:C),"")</f>
        <v>Workforce</v>
      </c>
      <c r="R24" s="78" t="b">
        <f t="shared" ref="R24:AO24" si="51">IFERROR(IF($B24=$D$1,IF(AND($K24&lt;R$1,$L24&lt;R$1),"",IF(AND($K24&gt;S$1,$L24&gt;S$1),"",IF(AND($K24&lt;R$1,$L24&lt;=S$1),$L24-R$1,IF(AND($K24&gt;=R$1,$L24&gt;S$1),S$1-$K24,IF(AND($K24&gt;=R$1,$L24&lt;=S$1),$L24-$K24,IF(AND($K24&lt;R$1,$L24&gt;S$1),S$1-R$1,""))))))),"")</f>
        <v>0</v>
      </c>
      <c r="S24" s="78" t="b">
        <f t="shared" si="51"/>
        <v>0</v>
      </c>
      <c r="T24" s="78" t="b">
        <f t="shared" si="51"/>
        <v>0</v>
      </c>
      <c r="U24" s="78" t="b">
        <f t="shared" si="51"/>
        <v>0</v>
      </c>
      <c r="V24" s="78" t="b">
        <f t="shared" si="51"/>
        <v>0</v>
      </c>
      <c r="W24" s="78" t="b">
        <f t="shared" si="51"/>
        <v>0</v>
      </c>
      <c r="X24" s="78" t="b">
        <f t="shared" si="51"/>
        <v>0</v>
      </c>
      <c r="Y24" s="78" t="b">
        <f t="shared" si="51"/>
        <v>0</v>
      </c>
      <c r="Z24" s="78" t="b">
        <f t="shared" si="51"/>
        <v>0</v>
      </c>
      <c r="AA24" s="78" t="b">
        <f t="shared" si="51"/>
        <v>0</v>
      </c>
      <c r="AB24" s="78" t="b">
        <f t="shared" si="51"/>
        <v>0</v>
      </c>
      <c r="AC24" s="78" t="b">
        <f t="shared" si="51"/>
        <v>0</v>
      </c>
      <c r="AD24" s="78" t="b">
        <f t="shared" si="51"/>
        <v>0</v>
      </c>
      <c r="AE24" s="78" t="b">
        <f t="shared" si="51"/>
        <v>0</v>
      </c>
      <c r="AF24" s="78" t="b">
        <f t="shared" si="51"/>
        <v>0</v>
      </c>
      <c r="AG24" s="78" t="b">
        <f t="shared" si="51"/>
        <v>0</v>
      </c>
      <c r="AH24" s="78" t="b">
        <f t="shared" si="51"/>
        <v>0</v>
      </c>
      <c r="AI24" s="78" t="b">
        <f t="shared" si="51"/>
        <v>0</v>
      </c>
      <c r="AJ24" s="78" t="b">
        <f t="shared" si="51"/>
        <v>0</v>
      </c>
      <c r="AK24" s="78" t="b">
        <f t="shared" si="51"/>
        <v>0</v>
      </c>
      <c r="AL24" s="78" t="b">
        <f t="shared" si="51"/>
        <v>0</v>
      </c>
      <c r="AM24" s="78" t="b">
        <f t="shared" si="51"/>
        <v>0</v>
      </c>
      <c r="AN24" s="78" t="b">
        <f t="shared" si="51"/>
        <v>0</v>
      </c>
      <c r="AO24" s="78" t="b">
        <f t="shared" si="51"/>
        <v>0</v>
      </c>
      <c r="AP24" s="78"/>
      <c r="AR24" s="69">
        <v>0.83333333333333304</v>
      </c>
      <c r="AS24" s="78">
        <f t="shared" ref="AS24:AU24" si="52">SUMIFS($AL:$AL,$O:$O,AS3)</f>
        <v>0</v>
      </c>
      <c r="AT24" s="78">
        <f t="shared" si="52"/>
        <v>0</v>
      </c>
      <c r="AU24" s="78">
        <f t="shared" si="52"/>
        <v>0</v>
      </c>
      <c r="AV24" s="78">
        <f>SUMIFS($AL:$AL,$O:$O,AV3)</f>
        <v>0</v>
      </c>
      <c r="AZ24">
        <f t="shared" si="12"/>
        <v>0</v>
      </c>
    </row>
    <row r="25" spans="4:52" x14ac:dyDescent="0.35">
      <c r="D25" s="96"/>
      <c r="E25" s="96"/>
      <c r="G25" s="77">
        <f t="shared" si="2"/>
        <v>0</v>
      </c>
      <c r="H25" s="78">
        <f t="shared" si="3"/>
        <v>0</v>
      </c>
      <c r="I25" s="77">
        <f t="shared" si="4"/>
        <v>0</v>
      </c>
      <c r="J25" s="78">
        <f t="shared" si="5"/>
        <v>0</v>
      </c>
      <c r="K25" s="78" t="str">
        <f t="shared" si="6"/>
        <v>1900-01-00 00:0:00</v>
      </c>
      <c r="L25" s="78" t="str">
        <f t="shared" si="7"/>
        <v>1900-01-00 00:0:00</v>
      </c>
      <c r="M25" s="79">
        <f t="shared" si="8"/>
        <v>0</v>
      </c>
      <c r="N25">
        <f t="shared" si="9"/>
        <v>1</v>
      </c>
      <c r="O25" t="str">
        <f>IFERROR(_xlfn.XLOOKUP(A25,HC!A:A,HC!C:C),"")</f>
        <v>Workforce</v>
      </c>
      <c r="R25" s="78" t="b">
        <f t="shared" ref="R25:AO25" si="53">IFERROR(IF($B25=$D$1,IF(AND($K25&lt;R$1,$L25&lt;R$1),"",IF(AND($K25&gt;S$1,$L25&gt;S$1),"",IF(AND($K25&lt;R$1,$L25&lt;=S$1),$L25-R$1,IF(AND($K25&gt;=R$1,$L25&gt;S$1),S$1-$K25,IF(AND($K25&gt;=R$1,$L25&lt;=S$1),$L25-$K25,IF(AND($K25&lt;R$1,$L25&gt;S$1),S$1-R$1,""))))))),"")</f>
        <v>0</v>
      </c>
      <c r="S25" s="78" t="b">
        <f t="shared" si="53"/>
        <v>0</v>
      </c>
      <c r="T25" s="78" t="b">
        <f t="shared" si="53"/>
        <v>0</v>
      </c>
      <c r="U25" s="78" t="b">
        <f t="shared" si="53"/>
        <v>0</v>
      </c>
      <c r="V25" s="78" t="b">
        <f t="shared" si="53"/>
        <v>0</v>
      </c>
      <c r="W25" s="78" t="b">
        <f t="shared" si="53"/>
        <v>0</v>
      </c>
      <c r="X25" s="78" t="b">
        <f t="shared" si="53"/>
        <v>0</v>
      </c>
      <c r="Y25" s="78" t="b">
        <f t="shared" si="53"/>
        <v>0</v>
      </c>
      <c r="Z25" s="78" t="b">
        <f t="shared" si="53"/>
        <v>0</v>
      </c>
      <c r="AA25" s="78" t="b">
        <f t="shared" si="53"/>
        <v>0</v>
      </c>
      <c r="AB25" s="78" t="b">
        <f t="shared" si="53"/>
        <v>0</v>
      </c>
      <c r="AC25" s="78" t="b">
        <f t="shared" si="53"/>
        <v>0</v>
      </c>
      <c r="AD25" s="78" t="b">
        <f t="shared" si="53"/>
        <v>0</v>
      </c>
      <c r="AE25" s="78" t="b">
        <f t="shared" si="53"/>
        <v>0</v>
      </c>
      <c r="AF25" s="78" t="b">
        <f t="shared" si="53"/>
        <v>0</v>
      </c>
      <c r="AG25" s="78" t="b">
        <f t="shared" si="53"/>
        <v>0</v>
      </c>
      <c r="AH25" s="78" t="b">
        <f t="shared" si="53"/>
        <v>0</v>
      </c>
      <c r="AI25" s="78" t="b">
        <f t="shared" si="53"/>
        <v>0</v>
      </c>
      <c r="AJ25" s="78" t="b">
        <f t="shared" si="53"/>
        <v>0</v>
      </c>
      <c r="AK25" s="78" t="b">
        <f t="shared" si="53"/>
        <v>0</v>
      </c>
      <c r="AL25" s="78" t="b">
        <f t="shared" si="53"/>
        <v>0</v>
      </c>
      <c r="AM25" s="78" t="b">
        <f t="shared" si="53"/>
        <v>0</v>
      </c>
      <c r="AN25" s="78" t="b">
        <f t="shared" si="53"/>
        <v>0</v>
      </c>
      <c r="AO25" s="78" t="b">
        <f t="shared" si="53"/>
        <v>0</v>
      </c>
      <c r="AP25" s="78"/>
      <c r="AR25" s="69">
        <v>0.875</v>
      </c>
      <c r="AS25" s="78">
        <f t="shared" ref="AS25:AU25" si="54">SUMIFS($AM:$AM,$O:$O,AS3)</f>
        <v>0</v>
      </c>
      <c r="AT25" s="78">
        <f t="shared" si="54"/>
        <v>0</v>
      </c>
      <c r="AU25" s="78">
        <f t="shared" si="54"/>
        <v>0</v>
      </c>
      <c r="AV25" s="78">
        <f>SUMIFS($AM:$AM,$O:$O,AV3)</f>
        <v>0</v>
      </c>
      <c r="AZ25">
        <f t="shared" si="12"/>
        <v>0</v>
      </c>
    </row>
    <row r="26" spans="4:52" x14ac:dyDescent="0.35">
      <c r="D26" s="96"/>
      <c r="E26" s="96"/>
      <c r="G26" s="77">
        <f t="shared" si="2"/>
        <v>0</v>
      </c>
      <c r="H26" s="78">
        <f t="shared" si="3"/>
        <v>0</v>
      </c>
      <c r="I26" s="77">
        <f t="shared" si="4"/>
        <v>0</v>
      </c>
      <c r="J26" s="78">
        <f t="shared" si="5"/>
        <v>0</v>
      </c>
      <c r="K26" s="78" t="str">
        <f t="shared" si="6"/>
        <v>1900-01-00 00:0:00</v>
      </c>
      <c r="L26" s="78" t="str">
        <f t="shared" si="7"/>
        <v>1900-01-00 00:0:00</v>
      </c>
      <c r="M26" s="79">
        <f t="shared" si="8"/>
        <v>0</v>
      </c>
      <c r="N26">
        <f t="shared" si="9"/>
        <v>1</v>
      </c>
      <c r="O26" t="str">
        <f>IFERROR(_xlfn.XLOOKUP(A26,HC!A:A,HC!C:C),"")</f>
        <v>Workforce</v>
      </c>
      <c r="R26" s="78" t="b">
        <f t="shared" ref="R26:AO26" si="55">IFERROR(IF($B26=$D$1,IF(AND($K26&lt;R$1,$L26&lt;R$1),"",IF(AND($K26&gt;S$1,$L26&gt;S$1),"",IF(AND($K26&lt;R$1,$L26&lt;=S$1),$L26-R$1,IF(AND($K26&gt;=R$1,$L26&gt;S$1),S$1-$K26,IF(AND($K26&gt;=R$1,$L26&lt;=S$1),$L26-$K26,IF(AND($K26&lt;R$1,$L26&gt;S$1),S$1-R$1,""))))))),"")</f>
        <v>0</v>
      </c>
      <c r="S26" s="78" t="b">
        <f t="shared" si="55"/>
        <v>0</v>
      </c>
      <c r="T26" s="78" t="b">
        <f t="shared" si="55"/>
        <v>0</v>
      </c>
      <c r="U26" s="78" t="b">
        <f t="shared" si="55"/>
        <v>0</v>
      </c>
      <c r="V26" s="78" t="b">
        <f t="shared" si="55"/>
        <v>0</v>
      </c>
      <c r="W26" s="78" t="b">
        <f t="shared" si="55"/>
        <v>0</v>
      </c>
      <c r="X26" s="78" t="b">
        <f t="shared" si="55"/>
        <v>0</v>
      </c>
      <c r="Y26" s="78" t="b">
        <f t="shared" si="55"/>
        <v>0</v>
      </c>
      <c r="Z26" s="78" t="b">
        <f t="shared" si="55"/>
        <v>0</v>
      </c>
      <c r="AA26" s="78" t="b">
        <f t="shared" si="55"/>
        <v>0</v>
      </c>
      <c r="AB26" s="78" t="b">
        <f t="shared" si="55"/>
        <v>0</v>
      </c>
      <c r="AC26" s="78" t="b">
        <f t="shared" si="55"/>
        <v>0</v>
      </c>
      <c r="AD26" s="78" t="b">
        <f t="shared" si="55"/>
        <v>0</v>
      </c>
      <c r="AE26" s="78" t="b">
        <f t="shared" si="55"/>
        <v>0</v>
      </c>
      <c r="AF26" s="78" t="b">
        <f t="shared" si="55"/>
        <v>0</v>
      </c>
      <c r="AG26" s="78" t="b">
        <f t="shared" si="55"/>
        <v>0</v>
      </c>
      <c r="AH26" s="78" t="b">
        <f t="shared" si="55"/>
        <v>0</v>
      </c>
      <c r="AI26" s="78" t="b">
        <f t="shared" si="55"/>
        <v>0</v>
      </c>
      <c r="AJ26" s="78" t="b">
        <f t="shared" si="55"/>
        <v>0</v>
      </c>
      <c r="AK26" s="78" t="b">
        <f t="shared" si="55"/>
        <v>0</v>
      </c>
      <c r="AL26" s="78" t="b">
        <f t="shared" si="55"/>
        <v>0</v>
      </c>
      <c r="AM26" s="78" t="b">
        <f t="shared" si="55"/>
        <v>0</v>
      </c>
      <c r="AN26" s="78" t="b">
        <f t="shared" si="55"/>
        <v>0</v>
      </c>
      <c r="AO26" s="78" t="b">
        <f t="shared" si="55"/>
        <v>0</v>
      </c>
      <c r="AP26" s="78"/>
      <c r="AR26" s="69">
        <v>0.91666666666666696</v>
      </c>
      <c r="AS26" s="78">
        <f t="shared" ref="AS26:AU26" si="56">SUMIFS($AN:$AN,$O:$O,AS3)</f>
        <v>0</v>
      </c>
      <c r="AT26" s="78">
        <f t="shared" si="56"/>
        <v>0</v>
      </c>
      <c r="AU26" s="78">
        <f t="shared" si="56"/>
        <v>0</v>
      </c>
      <c r="AV26" s="78">
        <f>SUMIFS($AN:$AN,$O:$O,AV3)</f>
        <v>0</v>
      </c>
      <c r="AZ26">
        <f t="shared" si="12"/>
        <v>0</v>
      </c>
    </row>
    <row r="27" spans="4:52" x14ac:dyDescent="0.35">
      <c r="D27" s="96"/>
      <c r="E27" s="96"/>
      <c r="G27" s="77">
        <f t="shared" si="2"/>
        <v>0</v>
      </c>
      <c r="H27" s="78">
        <f t="shared" si="3"/>
        <v>0</v>
      </c>
      <c r="I27" s="77">
        <f t="shared" si="4"/>
        <v>0</v>
      </c>
      <c r="J27" s="78">
        <f t="shared" si="5"/>
        <v>0</v>
      </c>
      <c r="K27" s="78" t="str">
        <f t="shared" si="6"/>
        <v>1900-01-00 00:0:00</v>
      </c>
      <c r="L27" s="78" t="str">
        <f t="shared" si="7"/>
        <v>1900-01-00 00:0:00</v>
      </c>
      <c r="M27" s="79">
        <f t="shared" si="8"/>
        <v>0</v>
      </c>
      <c r="N27">
        <f t="shared" si="9"/>
        <v>1</v>
      </c>
      <c r="O27" t="str">
        <f>IFERROR(_xlfn.XLOOKUP(A27,HC!A:A,HC!C:C),"")</f>
        <v>Workforce</v>
      </c>
      <c r="R27" s="78" t="b">
        <f t="shared" ref="R27:AO27" si="57">IFERROR(IF($B27=$D$1,IF(AND($K27&lt;R$1,$L27&lt;R$1),"",IF(AND($K27&gt;S$1,$L27&gt;S$1),"",IF(AND($K27&lt;R$1,$L27&lt;=S$1),$L27-R$1,IF(AND($K27&gt;=R$1,$L27&gt;S$1),S$1-$K27,IF(AND($K27&gt;=R$1,$L27&lt;=S$1),$L27-$K27,IF(AND($K27&lt;R$1,$L27&gt;S$1),S$1-R$1,""))))))),"")</f>
        <v>0</v>
      </c>
      <c r="S27" s="78" t="b">
        <f t="shared" si="57"/>
        <v>0</v>
      </c>
      <c r="T27" s="78" t="b">
        <f t="shared" si="57"/>
        <v>0</v>
      </c>
      <c r="U27" s="78" t="b">
        <f t="shared" si="57"/>
        <v>0</v>
      </c>
      <c r="V27" s="78" t="b">
        <f t="shared" si="57"/>
        <v>0</v>
      </c>
      <c r="W27" s="78" t="b">
        <f t="shared" si="57"/>
        <v>0</v>
      </c>
      <c r="X27" s="78" t="b">
        <f t="shared" si="57"/>
        <v>0</v>
      </c>
      <c r="Y27" s="78" t="b">
        <f t="shared" si="57"/>
        <v>0</v>
      </c>
      <c r="Z27" s="78" t="b">
        <f t="shared" si="57"/>
        <v>0</v>
      </c>
      <c r="AA27" s="78" t="b">
        <f t="shared" si="57"/>
        <v>0</v>
      </c>
      <c r="AB27" s="78" t="b">
        <f t="shared" si="57"/>
        <v>0</v>
      </c>
      <c r="AC27" s="78" t="b">
        <f t="shared" si="57"/>
        <v>0</v>
      </c>
      <c r="AD27" s="78" t="b">
        <f t="shared" si="57"/>
        <v>0</v>
      </c>
      <c r="AE27" s="78" t="b">
        <f t="shared" si="57"/>
        <v>0</v>
      </c>
      <c r="AF27" s="78" t="b">
        <f t="shared" si="57"/>
        <v>0</v>
      </c>
      <c r="AG27" s="78" t="b">
        <f t="shared" si="57"/>
        <v>0</v>
      </c>
      <c r="AH27" s="78" t="b">
        <f t="shared" si="57"/>
        <v>0</v>
      </c>
      <c r="AI27" s="78" t="b">
        <f t="shared" si="57"/>
        <v>0</v>
      </c>
      <c r="AJ27" s="78" t="b">
        <f t="shared" si="57"/>
        <v>0</v>
      </c>
      <c r="AK27" s="78" t="b">
        <f t="shared" si="57"/>
        <v>0</v>
      </c>
      <c r="AL27" s="78" t="b">
        <f t="shared" si="57"/>
        <v>0</v>
      </c>
      <c r="AM27" s="78" t="b">
        <f t="shared" si="57"/>
        <v>0</v>
      </c>
      <c r="AN27" s="78" t="b">
        <f t="shared" si="57"/>
        <v>0</v>
      </c>
      <c r="AO27" s="78" t="b">
        <f t="shared" si="57"/>
        <v>0</v>
      </c>
      <c r="AP27" s="78"/>
      <c r="AR27" s="69">
        <v>0.95833333333333304</v>
      </c>
      <c r="AS27" s="78">
        <f t="shared" ref="AS27:AU27" si="58">SUMIFS($AO:$AO,$O:$O,AS3)</f>
        <v>0</v>
      </c>
      <c r="AT27" s="78">
        <f t="shared" si="58"/>
        <v>0</v>
      </c>
      <c r="AU27" s="78">
        <f t="shared" si="58"/>
        <v>0</v>
      </c>
      <c r="AV27" s="78">
        <f>SUMIFS($AO:$AO,$O:$O,AV3)</f>
        <v>0</v>
      </c>
      <c r="AZ27">
        <f t="shared" si="12"/>
        <v>0</v>
      </c>
    </row>
    <row r="28" spans="4:52" x14ac:dyDescent="0.35">
      <c r="D28" s="96"/>
      <c r="E28" s="96"/>
      <c r="G28" s="77">
        <f t="shared" si="2"/>
        <v>0</v>
      </c>
      <c r="H28" s="78">
        <f t="shared" si="3"/>
        <v>0</v>
      </c>
      <c r="I28" s="77">
        <f t="shared" si="4"/>
        <v>0</v>
      </c>
      <c r="J28" s="78">
        <f t="shared" si="5"/>
        <v>0</v>
      </c>
      <c r="K28" s="78" t="str">
        <f t="shared" si="6"/>
        <v>1900-01-00 00:0:00</v>
      </c>
      <c r="L28" s="78" t="str">
        <f t="shared" si="7"/>
        <v>1900-01-00 00:0:00</v>
      </c>
      <c r="M28" s="79">
        <f t="shared" si="8"/>
        <v>0</v>
      </c>
      <c r="N28">
        <f t="shared" si="9"/>
        <v>1</v>
      </c>
      <c r="O28" t="str">
        <f>IFERROR(_xlfn.XLOOKUP(A28,HC!A:A,HC!C:C),"")</f>
        <v>Workforce</v>
      </c>
      <c r="R28" s="78" t="b">
        <f t="shared" ref="R28:AO28" si="59">IFERROR(IF($B28=$D$1,IF(AND($K28&lt;R$1,$L28&lt;R$1),"",IF(AND($K28&gt;S$1,$L28&gt;S$1),"",IF(AND($K28&lt;R$1,$L28&lt;=S$1),$L28-R$1,IF(AND($K28&gt;=R$1,$L28&gt;S$1),S$1-$K28,IF(AND($K28&gt;=R$1,$L28&lt;=S$1),$L28-$K28,IF(AND($K28&lt;R$1,$L28&gt;S$1),S$1-R$1,""))))))),"")</f>
        <v>0</v>
      </c>
      <c r="S28" s="78" t="b">
        <f t="shared" si="59"/>
        <v>0</v>
      </c>
      <c r="T28" s="78" t="b">
        <f t="shared" si="59"/>
        <v>0</v>
      </c>
      <c r="U28" s="78" t="b">
        <f t="shared" si="59"/>
        <v>0</v>
      </c>
      <c r="V28" s="78" t="b">
        <f t="shared" si="59"/>
        <v>0</v>
      </c>
      <c r="W28" s="78" t="b">
        <f t="shared" si="59"/>
        <v>0</v>
      </c>
      <c r="X28" s="78" t="b">
        <f t="shared" si="59"/>
        <v>0</v>
      </c>
      <c r="Y28" s="78" t="b">
        <f t="shared" si="59"/>
        <v>0</v>
      </c>
      <c r="Z28" s="78" t="b">
        <f t="shared" si="59"/>
        <v>0</v>
      </c>
      <c r="AA28" s="78" t="b">
        <f t="shared" si="59"/>
        <v>0</v>
      </c>
      <c r="AB28" s="78" t="b">
        <f t="shared" si="59"/>
        <v>0</v>
      </c>
      <c r="AC28" s="78" t="b">
        <f t="shared" si="59"/>
        <v>0</v>
      </c>
      <c r="AD28" s="78" t="b">
        <f t="shared" si="59"/>
        <v>0</v>
      </c>
      <c r="AE28" s="78" t="b">
        <f t="shared" si="59"/>
        <v>0</v>
      </c>
      <c r="AF28" s="78" t="b">
        <f t="shared" si="59"/>
        <v>0</v>
      </c>
      <c r="AG28" s="78" t="b">
        <f t="shared" si="59"/>
        <v>0</v>
      </c>
      <c r="AH28" s="78" t="b">
        <f t="shared" si="59"/>
        <v>0</v>
      </c>
      <c r="AI28" s="78" t="b">
        <f t="shared" si="59"/>
        <v>0</v>
      </c>
      <c r="AJ28" s="78" t="b">
        <f t="shared" si="59"/>
        <v>0</v>
      </c>
      <c r="AK28" s="78" t="b">
        <f t="shared" si="59"/>
        <v>0</v>
      </c>
      <c r="AL28" s="78" t="b">
        <f t="shared" si="59"/>
        <v>0</v>
      </c>
      <c r="AM28" s="78" t="b">
        <f t="shared" si="59"/>
        <v>0</v>
      </c>
      <c r="AN28" s="78" t="b">
        <f t="shared" si="59"/>
        <v>0</v>
      </c>
      <c r="AO28" s="78" t="b">
        <f t="shared" si="59"/>
        <v>0</v>
      </c>
      <c r="AP28" s="78"/>
      <c r="AZ28">
        <f t="shared" si="12"/>
        <v>0</v>
      </c>
    </row>
    <row r="29" spans="4:52" x14ac:dyDescent="0.35">
      <c r="D29" s="96"/>
      <c r="E29" s="96"/>
      <c r="G29" s="77">
        <f t="shared" si="2"/>
        <v>0</v>
      </c>
      <c r="H29" s="78">
        <f t="shared" si="3"/>
        <v>0</v>
      </c>
      <c r="I29" s="77">
        <f t="shared" si="4"/>
        <v>0</v>
      </c>
      <c r="J29" s="78">
        <f t="shared" si="5"/>
        <v>0</v>
      </c>
      <c r="K29" s="78" t="str">
        <f t="shared" si="6"/>
        <v>1900-01-00 00:0:00</v>
      </c>
      <c r="L29" s="78" t="str">
        <f t="shared" si="7"/>
        <v>1900-01-00 00:0:00</v>
      </c>
      <c r="M29" s="79">
        <f t="shared" si="8"/>
        <v>0</v>
      </c>
      <c r="N29">
        <f t="shared" si="9"/>
        <v>1</v>
      </c>
      <c r="O29" t="str">
        <f>IFERROR(_xlfn.XLOOKUP(A29,HC!A:A,HC!C:C),"")</f>
        <v>Workforce</v>
      </c>
      <c r="R29" s="78" t="b">
        <f t="shared" ref="R29:AO29" si="60">IFERROR(IF($B29=$D$1,IF(AND($K29&lt;R$1,$L29&lt;R$1),"",IF(AND($K29&gt;S$1,$L29&gt;S$1),"",IF(AND($K29&lt;R$1,$L29&lt;=S$1),$L29-R$1,IF(AND($K29&gt;=R$1,$L29&gt;S$1),S$1-$K29,IF(AND($K29&gt;=R$1,$L29&lt;=S$1),$L29-$K29,IF(AND($K29&lt;R$1,$L29&gt;S$1),S$1-R$1,""))))))),"")</f>
        <v>0</v>
      </c>
      <c r="S29" s="78" t="b">
        <f t="shared" si="60"/>
        <v>0</v>
      </c>
      <c r="T29" s="78" t="b">
        <f t="shared" si="60"/>
        <v>0</v>
      </c>
      <c r="U29" s="78" t="b">
        <f t="shared" si="60"/>
        <v>0</v>
      </c>
      <c r="V29" s="78" t="b">
        <f t="shared" si="60"/>
        <v>0</v>
      </c>
      <c r="W29" s="78" t="b">
        <f t="shared" si="60"/>
        <v>0</v>
      </c>
      <c r="X29" s="78" t="b">
        <f t="shared" si="60"/>
        <v>0</v>
      </c>
      <c r="Y29" s="78" t="b">
        <f t="shared" si="60"/>
        <v>0</v>
      </c>
      <c r="Z29" s="78" t="b">
        <f t="shared" si="60"/>
        <v>0</v>
      </c>
      <c r="AA29" s="78" t="b">
        <f t="shared" si="60"/>
        <v>0</v>
      </c>
      <c r="AB29" s="78" t="b">
        <f t="shared" si="60"/>
        <v>0</v>
      </c>
      <c r="AC29" s="78" t="b">
        <f t="shared" si="60"/>
        <v>0</v>
      </c>
      <c r="AD29" s="78" t="b">
        <f t="shared" si="60"/>
        <v>0</v>
      </c>
      <c r="AE29" s="78" t="b">
        <f t="shared" si="60"/>
        <v>0</v>
      </c>
      <c r="AF29" s="78" t="b">
        <f t="shared" si="60"/>
        <v>0</v>
      </c>
      <c r="AG29" s="78" t="b">
        <f t="shared" si="60"/>
        <v>0</v>
      </c>
      <c r="AH29" s="78" t="b">
        <f t="shared" si="60"/>
        <v>0</v>
      </c>
      <c r="AI29" s="78" t="b">
        <f t="shared" si="60"/>
        <v>0</v>
      </c>
      <c r="AJ29" s="78" t="b">
        <f t="shared" si="60"/>
        <v>0</v>
      </c>
      <c r="AK29" s="78" t="b">
        <f t="shared" si="60"/>
        <v>0</v>
      </c>
      <c r="AL29" s="78" t="b">
        <f t="shared" si="60"/>
        <v>0</v>
      </c>
      <c r="AM29" s="78" t="b">
        <f t="shared" si="60"/>
        <v>0</v>
      </c>
      <c r="AN29" s="78" t="b">
        <f t="shared" si="60"/>
        <v>0</v>
      </c>
      <c r="AO29" s="78" t="b">
        <f t="shared" si="60"/>
        <v>0</v>
      </c>
      <c r="AP29" s="78"/>
      <c r="AZ29">
        <f t="shared" si="12"/>
        <v>0</v>
      </c>
    </row>
    <row r="30" spans="4:52" x14ac:dyDescent="0.35">
      <c r="D30" s="96"/>
      <c r="E30" s="96"/>
      <c r="G30" s="77">
        <f t="shared" si="2"/>
        <v>0</v>
      </c>
      <c r="H30" s="78">
        <f t="shared" si="3"/>
        <v>0</v>
      </c>
      <c r="I30" s="77">
        <f t="shared" si="4"/>
        <v>0</v>
      </c>
      <c r="J30" s="78">
        <f t="shared" si="5"/>
        <v>0</v>
      </c>
      <c r="K30" s="78" t="str">
        <f t="shared" si="6"/>
        <v>1900-01-00 00:0:00</v>
      </c>
      <c r="L30" s="78" t="str">
        <f t="shared" si="7"/>
        <v>1900-01-00 00:0:00</v>
      </c>
      <c r="M30" s="79">
        <f t="shared" si="8"/>
        <v>0</v>
      </c>
      <c r="N30">
        <f t="shared" si="9"/>
        <v>1</v>
      </c>
      <c r="O30" t="str">
        <f>IFERROR(_xlfn.XLOOKUP(A30,HC!A:A,HC!C:C),"")</f>
        <v>Workforce</v>
      </c>
      <c r="R30" s="78" t="b">
        <f t="shared" ref="R30:AO30" si="61">IFERROR(IF($B30=$D$1,IF(AND($K30&lt;R$1,$L30&lt;R$1),"",IF(AND($K30&gt;S$1,$L30&gt;S$1),"",IF(AND($K30&lt;R$1,$L30&lt;=S$1),$L30-R$1,IF(AND($K30&gt;=R$1,$L30&gt;S$1),S$1-$K30,IF(AND($K30&gt;=R$1,$L30&lt;=S$1),$L30-$K30,IF(AND($K30&lt;R$1,$L30&gt;S$1),S$1-R$1,""))))))),"")</f>
        <v>0</v>
      </c>
      <c r="S30" s="78" t="b">
        <f t="shared" si="61"/>
        <v>0</v>
      </c>
      <c r="T30" s="78" t="b">
        <f t="shared" si="61"/>
        <v>0</v>
      </c>
      <c r="U30" s="78" t="b">
        <f t="shared" si="61"/>
        <v>0</v>
      </c>
      <c r="V30" s="78" t="b">
        <f t="shared" si="61"/>
        <v>0</v>
      </c>
      <c r="W30" s="78" t="b">
        <f t="shared" si="61"/>
        <v>0</v>
      </c>
      <c r="X30" s="78" t="b">
        <f t="shared" si="61"/>
        <v>0</v>
      </c>
      <c r="Y30" s="78" t="b">
        <f t="shared" si="61"/>
        <v>0</v>
      </c>
      <c r="Z30" s="78" t="b">
        <f t="shared" si="61"/>
        <v>0</v>
      </c>
      <c r="AA30" s="78" t="b">
        <f t="shared" si="61"/>
        <v>0</v>
      </c>
      <c r="AB30" s="78" t="b">
        <f t="shared" si="61"/>
        <v>0</v>
      </c>
      <c r="AC30" s="78" t="b">
        <f t="shared" si="61"/>
        <v>0</v>
      </c>
      <c r="AD30" s="78" t="b">
        <f t="shared" si="61"/>
        <v>0</v>
      </c>
      <c r="AE30" s="78" t="b">
        <f t="shared" si="61"/>
        <v>0</v>
      </c>
      <c r="AF30" s="78" t="b">
        <f t="shared" si="61"/>
        <v>0</v>
      </c>
      <c r="AG30" s="78" t="b">
        <f t="shared" si="61"/>
        <v>0</v>
      </c>
      <c r="AH30" s="78" t="b">
        <f t="shared" si="61"/>
        <v>0</v>
      </c>
      <c r="AI30" s="78" t="b">
        <f t="shared" si="61"/>
        <v>0</v>
      </c>
      <c r="AJ30" s="78" t="b">
        <f t="shared" si="61"/>
        <v>0</v>
      </c>
      <c r="AK30" s="78" t="b">
        <f t="shared" si="61"/>
        <v>0</v>
      </c>
      <c r="AL30" s="78" t="b">
        <f t="shared" si="61"/>
        <v>0</v>
      </c>
      <c r="AM30" s="78" t="b">
        <f t="shared" si="61"/>
        <v>0</v>
      </c>
      <c r="AN30" s="78" t="b">
        <f t="shared" si="61"/>
        <v>0</v>
      </c>
      <c r="AO30" s="78" t="b">
        <f t="shared" si="61"/>
        <v>0</v>
      </c>
      <c r="AP30" s="78"/>
      <c r="AZ30">
        <f t="shared" si="12"/>
        <v>0</v>
      </c>
    </row>
    <row r="31" spans="4:52" x14ac:dyDescent="0.35">
      <c r="D31" s="96"/>
      <c r="E31" s="96"/>
      <c r="G31" s="77">
        <f t="shared" si="2"/>
        <v>0</v>
      </c>
      <c r="H31" s="78">
        <f t="shared" si="3"/>
        <v>0</v>
      </c>
      <c r="I31" s="77">
        <f t="shared" si="4"/>
        <v>0</v>
      </c>
      <c r="J31" s="78">
        <f t="shared" si="5"/>
        <v>0</v>
      </c>
      <c r="K31" s="78" t="str">
        <f t="shared" si="6"/>
        <v>1900-01-00 00:0:00</v>
      </c>
      <c r="L31" s="78" t="str">
        <f t="shared" si="7"/>
        <v>1900-01-00 00:0:00</v>
      </c>
      <c r="M31" s="79">
        <f t="shared" si="8"/>
        <v>0</v>
      </c>
      <c r="N31">
        <f t="shared" si="9"/>
        <v>1</v>
      </c>
      <c r="O31" t="str">
        <f>IFERROR(_xlfn.XLOOKUP(A31,HC!A:A,HC!C:C),"")</f>
        <v>Workforce</v>
      </c>
      <c r="R31" s="78" t="b">
        <f t="shared" ref="R31:AO31" si="62">IFERROR(IF($B31=$D$1,IF(AND($K31&lt;R$1,$L31&lt;R$1),"",IF(AND($K31&gt;S$1,$L31&gt;S$1),"",IF(AND($K31&lt;R$1,$L31&lt;=S$1),$L31-R$1,IF(AND($K31&gt;=R$1,$L31&gt;S$1),S$1-$K31,IF(AND($K31&gt;=R$1,$L31&lt;=S$1),$L31-$K31,IF(AND($K31&lt;R$1,$L31&gt;S$1),S$1-R$1,""))))))),"")</f>
        <v>0</v>
      </c>
      <c r="S31" s="78" t="b">
        <f t="shared" si="62"/>
        <v>0</v>
      </c>
      <c r="T31" s="78" t="b">
        <f t="shared" si="62"/>
        <v>0</v>
      </c>
      <c r="U31" s="78" t="b">
        <f t="shared" si="62"/>
        <v>0</v>
      </c>
      <c r="V31" s="78" t="b">
        <f t="shared" si="62"/>
        <v>0</v>
      </c>
      <c r="W31" s="78" t="b">
        <f t="shared" si="62"/>
        <v>0</v>
      </c>
      <c r="X31" s="78" t="b">
        <f t="shared" si="62"/>
        <v>0</v>
      </c>
      <c r="Y31" s="78" t="b">
        <f t="shared" si="62"/>
        <v>0</v>
      </c>
      <c r="Z31" s="78" t="b">
        <f t="shared" si="62"/>
        <v>0</v>
      </c>
      <c r="AA31" s="78" t="b">
        <f t="shared" si="62"/>
        <v>0</v>
      </c>
      <c r="AB31" s="78" t="b">
        <f t="shared" si="62"/>
        <v>0</v>
      </c>
      <c r="AC31" s="78" t="b">
        <f t="shared" si="62"/>
        <v>0</v>
      </c>
      <c r="AD31" s="78" t="b">
        <f t="shared" si="62"/>
        <v>0</v>
      </c>
      <c r="AE31" s="78" t="b">
        <f t="shared" si="62"/>
        <v>0</v>
      </c>
      <c r="AF31" s="78" t="b">
        <f t="shared" si="62"/>
        <v>0</v>
      </c>
      <c r="AG31" s="78" t="b">
        <f t="shared" si="62"/>
        <v>0</v>
      </c>
      <c r="AH31" s="78" t="b">
        <f t="shared" si="62"/>
        <v>0</v>
      </c>
      <c r="AI31" s="78" t="b">
        <f t="shared" si="62"/>
        <v>0</v>
      </c>
      <c r="AJ31" s="78" t="b">
        <f t="shared" si="62"/>
        <v>0</v>
      </c>
      <c r="AK31" s="78" t="b">
        <f t="shared" si="62"/>
        <v>0</v>
      </c>
      <c r="AL31" s="78" t="b">
        <f t="shared" si="62"/>
        <v>0</v>
      </c>
      <c r="AM31" s="78" t="b">
        <f t="shared" si="62"/>
        <v>0</v>
      </c>
      <c r="AN31" s="78" t="b">
        <f t="shared" si="62"/>
        <v>0</v>
      </c>
      <c r="AO31" s="78" t="b">
        <f t="shared" si="62"/>
        <v>0</v>
      </c>
      <c r="AP31" s="78"/>
      <c r="AZ31">
        <f t="shared" si="12"/>
        <v>0</v>
      </c>
    </row>
    <row r="32" spans="4:52" x14ac:dyDescent="0.35">
      <c r="D32" s="96"/>
      <c r="E32" s="96"/>
      <c r="G32" s="77">
        <f t="shared" si="2"/>
        <v>0</v>
      </c>
      <c r="H32" s="78">
        <f t="shared" si="3"/>
        <v>0</v>
      </c>
      <c r="I32" s="77">
        <f t="shared" si="4"/>
        <v>0</v>
      </c>
      <c r="J32" s="78">
        <f t="shared" si="5"/>
        <v>0</v>
      </c>
      <c r="K32" s="78" t="str">
        <f t="shared" si="6"/>
        <v>1900-01-00 00:0:00</v>
      </c>
      <c r="L32" s="78" t="str">
        <f t="shared" si="7"/>
        <v>1900-01-00 00:0:00</v>
      </c>
      <c r="M32" s="79">
        <f t="shared" si="8"/>
        <v>0</v>
      </c>
      <c r="N32">
        <f t="shared" si="9"/>
        <v>1</v>
      </c>
      <c r="O32" t="str">
        <f>IFERROR(_xlfn.XLOOKUP(A32,HC!A:A,HC!C:C),"")</f>
        <v>Workforce</v>
      </c>
      <c r="R32" s="78" t="b">
        <f t="shared" ref="R32:AO32" si="63">IFERROR(IF($B32=$D$1,IF(AND($K32&lt;R$1,$L32&lt;R$1),"",IF(AND($K32&gt;S$1,$L32&gt;S$1),"",IF(AND($K32&lt;R$1,$L32&lt;=S$1),$L32-R$1,IF(AND($K32&gt;=R$1,$L32&gt;S$1),S$1-$K32,IF(AND($K32&gt;=R$1,$L32&lt;=S$1),$L32-$K32,IF(AND($K32&lt;R$1,$L32&gt;S$1),S$1-R$1,""))))))),"")</f>
        <v>0</v>
      </c>
      <c r="S32" s="78" t="b">
        <f t="shared" si="63"/>
        <v>0</v>
      </c>
      <c r="T32" s="78" t="b">
        <f t="shared" si="63"/>
        <v>0</v>
      </c>
      <c r="U32" s="78" t="b">
        <f t="shared" si="63"/>
        <v>0</v>
      </c>
      <c r="V32" s="78" t="b">
        <f t="shared" si="63"/>
        <v>0</v>
      </c>
      <c r="W32" s="78" t="b">
        <f t="shared" si="63"/>
        <v>0</v>
      </c>
      <c r="X32" s="78" t="b">
        <f t="shared" si="63"/>
        <v>0</v>
      </c>
      <c r="Y32" s="78" t="b">
        <f t="shared" si="63"/>
        <v>0</v>
      </c>
      <c r="Z32" s="78" t="b">
        <f t="shared" si="63"/>
        <v>0</v>
      </c>
      <c r="AA32" s="78" t="b">
        <f t="shared" si="63"/>
        <v>0</v>
      </c>
      <c r="AB32" s="78" t="b">
        <f t="shared" si="63"/>
        <v>0</v>
      </c>
      <c r="AC32" s="78" t="b">
        <f t="shared" si="63"/>
        <v>0</v>
      </c>
      <c r="AD32" s="78" t="b">
        <f t="shared" si="63"/>
        <v>0</v>
      </c>
      <c r="AE32" s="78" t="b">
        <f t="shared" si="63"/>
        <v>0</v>
      </c>
      <c r="AF32" s="78" t="b">
        <f t="shared" si="63"/>
        <v>0</v>
      </c>
      <c r="AG32" s="78" t="b">
        <f t="shared" si="63"/>
        <v>0</v>
      </c>
      <c r="AH32" s="78" t="b">
        <f t="shared" si="63"/>
        <v>0</v>
      </c>
      <c r="AI32" s="78" t="b">
        <f t="shared" si="63"/>
        <v>0</v>
      </c>
      <c r="AJ32" s="78" t="b">
        <f t="shared" si="63"/>
        <v>0</v>
      </c>
      <c r="AK32" s="78" t="b">
        <f t="shared" si="63"/>
        <v>0</v>
      </c>
      <c r="AL32" s="78" t="b">
        <f t="shared" si="63"/>
        <v>0</v>
      </c>
      <c r="AM32" s="78" t="b">
        <f t="shared" si="63"/>
        <v>0</v>
      </c>
      <c r="AN32" s="78" t="b">
        <f t="shared" si="63"/>
        <v>0</v>
      </c>
      <c r="AO32" s="78" t="b">
        <f t="shared" si="63"/>
        <v>0</v>
      </c>
      <c r="AP32" s="78"/>
      <c r="AZ32">
        <f t="shared" si="12"/>
        <v>0</v>
      </c>
    </row>
    <row r="33" spans="4:52" x14ac:dyDescent="0.35">
      <c r="D33" s="96"/>
      <c r="E33" s="96"/>
      <c r="G33" s="77">
        <f t="shared" si="2"/>
        <v>0</v>
      </c>
      <c r="H33" s="78">
        <f t="shared" si="3"/>
        <v>0</v>
      </c>
      <c r="I33" s="77">
        <f t="shared" si="4"/>
        <v>0</v>
      </c>
      <c r="J33" s="78">
        <f t="shared" si="5"/>
        <v>0</v>
      </c>
      <c r="K33" s="78" t="str">
        <f t="shared" si="6"/>
        <v>1900-01-00 00:0:00</v>
      </c>
      <c r="L33" s="78" t="str">
        <f t="shared" si="7"/>
        <v>1900-01-00 00:0:00</v>
      </c>
      <c r="M33" s="79">
        <f t="shared" si="8"/>
        <v>0</v>
      </c>
      <c r="N33">
        <f t="shared" si="9"/>
        <v>1</v>
      </c>
      <c r="O33" t="str">
        <f>IFERROR(_xlfn.XLOOKUP(A33,HC!A:A,HC!C:C),"")</f>
        <v>Workforce</v>
      </c>
      <c r="R33" s="78" t="b">
        <f t="shared" ref="R33:AO33" si="64">IFERROR(IF($B33=$D$1,IF(AND($K33&lt;R$1,$L33&lt;R$1),"",IF(AND($K33&gt;S$1,$L33&gt;S$1),"",IF(AND($K33&lt;R$1,$L33&lt;=S$1),$L33-R$1,IF(AND($K33&gt;=R$1,$L33&gt;S$1),S$1-$K33,IF(AND($K33&gt;=R$1,$L33&lt;=S$1),$L33-$K33,IF(AND($K33&lt;R$1,$L33&gt;S$1),S$1-R$1,""))))))),"")</f>
        <v>0</v>
      </c>
      <c r="S33" s="78" t="b">
        <f t="shared" si="64"/>
        <v>0</v>
      </c>
      <c r="T33" s="78" t="b">
        <f t="shared" si="64"/>
        <v>0</v>
      </c>
      <c r="U33" s="78" t="b">
        <f t="shared" si="64"/>
        <v>0</v>
      </c>
      <c r="V33" s="78" t="b">
        <f t="shared" si="64"/>
        <v>0</v>
      </c>
      <c r="W33" s="78" t="b">
        <f t="shared" si="64"/>
        <v>0</v>
      </c>
      <c r="X33" s="78" t="b">
        <f t="shared" si="64"/>
        <v>0</v>
      </c>
      <c r="Y33" s="78" t="b">
        <f t="shared" si="64"/>
        <v>0</v>
      </c>
      <c r="Z33" s="78" t="b">
        <f t="shared" si="64"/>
        <v>0</v>
      </c>
      <c r="AA33" s="78" t="b">
        <f t="shared" si="64"/>
        <v>0</v>
      </c>
      <c r="AB33" s="78" t="b">
        <f t="shared" si="64"/>
        <v>0</v>
      </c>
      <c r="AC33" s="78" t="b">
        <f t="shared" si="64"/>
        <v>0</v>
      </c>
      <c r="AD33" s="78" t="b">
        <f t="shared" si="64"/>
        <v>0</v>
      </c>
      <c r="AE33" s="78" t="b">
        <f t="shared" si="64"/>
        <v>0</v>
      </c>
      <c r="AF33" s="78" t="b">
        <f t="shared" si="64"/>
        <v>0</v>
      </c>
      <c r="AG33" s="78" t="b">
        <f t="shared" si="64"/>
        <v>0</v>
      </c>
      <c r="AH33" s="78" t="b">
        <f t="shared" si="64"/>
        <v>0</v>
      </c>
      <c r="AI33" s="78" t="b">
        <f t="shared" si="64"/>
        <v>0</v>
      </c>
      <c r="AJ33" s="78" t="b">
        <f t="shared" si="64"/>
        <v>0</v>
      </c>
      <c r="AK33" s="78" t="b">
        <f t="shared" si="64"/>
        <v>0</v>
      </c>
      <c r="AL33" s="78" t="b">
        <f t="shared" si="64"/>
        <v>0</v>
      </c>
      <c r="AM33" s="78" t="b">
        <f t="shared" si="64"/>
        <v>0</v>
      </c>
      <c r="AN33" s="78" t="b">
        <f t="shared" si="64"/>
        <v>0</v>
      </c>
      <c r="AO33" s="78" t="b">
        <f t="shared" si="64"/>
        <v>0</v>
      </c>
      <c r="AP33" s="78"/>
      <c r="AZ33">
        <f t="shared" si="12"/>
        <v>0</v>
      </c>
    </row>
    <row r="34" spans="4:52" x14ac:dyDescent="0.35">
      <c r="D34" s="96"/>
      <c r="E34" s="96"/>
      <c r="G34" s="77">
        <f t="shared" si="2"/>
        <v>0</v>
      </c>
      <c r="H34" s="78">
        <f t="shared" si="3"/>
        <v>0</v>
      </c>
      <c r="I34" s="77">
        <f t="shared" si="4"/>
        <v>0</v>
      </c>
      <c r="J34" s="78">
        <f t="shared" si="5"/>
        <v>0</v>
      </c>
      <c r="K34" s="78" t="str">
        <f t="shared" si="6"/>
        <v>1900-01-00 00:0:00</v>
      </c>
      <c r="L34" s="78" t="str">
        <f t="shared" si="7"/>
        <v>1900-01-00 00:0:00</v>
      </c>
      <c r="M34" s="79">
        <f t="shared" si="8"/>
        <v>0</v>
      </c>
      <c r="N34">
        <f t="shared" si="9"/>
        <v>1</v>
      </c>
      <c r="O34" t="str">
        <f>IFERROR(_xlfn.XLOOKUP(A34,HC!A:A,HC!C:C),"")</f>
        <v>Workforce</v>
      </c>
      <c r="R34" s="78" t="b">
        <f t="shared" ref="R34:AO34" si="65">IFERROR(IF($B34=$D$1,IF(AND($K34&lt;R$1,$L34&lt;R$1),"",IF(AND($K34&gt;S$1,$L34&gt;S$1),"",IF(AND($K34&lt;R$1,$L34&lt;=S$1),$L34-R$1,IF(AND($K34&gt;=R$1,$L34&gt;S$1),S$1-$K34,IF(AND($K34&gt;=R$1,$L34&lt;=S$1),$L34-$K34,IF(AND($K34&lt;R$1,$L34&gt;S$1),S$1-R$1,""))))))),"")</f>
        <v>0</v>
      </c>
      <c r="S34" s="78" t="b">
        <f t="shared" si="65"/>
        <v>0</v>
      </c>
      <c r="T34" s="78" t="b">
        <f t="shared" si="65"/>
        <v>0</v>
      </c>
      <c r="U34" s="78" t="b">
        <f t="shared" si="65"/>
        <v>0</v>
      </c>
      <c r="V34" s="78" t="b">
        <f t="shared" si="65"/>
        <v>0</v>
      </c>
      <c r="W34" s="78" t="b">
        <f t="shared" si="65"/>
        <v>0</v>
      </c>
      <c r="X34" s="78" t="b">
        <f t="shared" si="65"/>
        <v>0</v>
      </c>
      <c r="Y34" s="78" t="b">
        <f t="shared" si="65"/>
        <v>0</v>
      </c>
      <c r="Z34" s="78" t="b">
        <f t="shared" si="65"/>
        <v>0</v>
      </c>
      <c r="AA34" s="78" t="b">
        <f t="shared" si="65"/>
        <v>0</v>
      </c>
      <c r="AB34" s="78" t="b">
        <f t="shared" si="65"/>
        <v>0</v>
      </c>
      <c r="AC34" s="78" t="b">
        <f t="shared" si="65"/>
        <v>0</v>
      </c>
      <c r="AD34" s="78" t="b">
        <f t="shared" si="65"/>
        <v>0</v>
      </c>
      <c r="AE34" s="78" t="b">
        <f t="shared" si="65"/>
        <v>0</v>
      </c>
      <c r="AF34" s="78" t="b">
        <f t="shared" si="65"/>
        <v>0</v>
      </c>
      <c r="AG34" s="78" t="b">
        <f t="shared" si="65"/>
        <v>0</v>
      </c>
      <c r="AH34" s="78" t="b">
        <f t="shared" si="65"/>
        <v>0</v>
      </c>
      <c r="AI34" s="78" t="b">
        <f t="shared" si="65"/>
        <v>0</v>
      </c>
      <c r="AJ34" s="78" t="b">
        <f t="shared" si="65"/>
        <v>0</v>
      </c>
      <c r="AK34" s="78" t="b">
        <f t="shared" si="65"/>
        <v>0</v>
      </c>
      <c r="AL34" s="78" t="b">
        <f t="shared" si="65"/>
        <v>0</v>
      </c>
      <c r="AM34" s="78" t="b">
        <f t="shared" si="65"/>
        <v>0</v>
      </c>
      <c r="AN34" s="78" t="b">
        <f t="shared" si="65"/>
        <v>0</v>
      </c>
      <c r="AO34" s="78" t="b">
        <f t="shared" si="65"/>
        <v>0</v>
      </c>
      <c r="AP34" s="78"/>
      <c r="AZ34">
        <f t="shared" si="12"/>
        <v>0</v>
      </c>
    </row>
    <row r="35" spans="4:52" x14ac:dyDescent="0.35">
      <c r="D35" s="96"/>
      <c r="E35" s="96"/>
      <c r="G35" s="77">
        <f t="shared" si="2"/>
        <v>0</v>
      </c>
      <c r="H35" s="78">
        <f t="shared" si="3"/>
        <v>0</v>
      </c>
      <c r="I35" s="77">
        <f t="shared" si="4"/>
        <v>0</v>
      </c>
      <c r="J35" s="78">
        <f t="shared" si="5"/>
        <v>0</v>
      </c>
      <c r="K35" s="78" t="str">
        <f t="shared" si="6"/>
        <v>1900-01-00 00:0:00</v>
      </c>
      <c r="L35" s="78" t="str">
        <f t="shared" si="7"/>
        <v>1900-01-00 00:0:00</v>
      </c>
      <c r="M35" s="79">
        <f t="shared" si="8"/>
        <v>0</v>
      </c>
      <c r="N35">
        <f t="shared" si="9"/>
        <v>1</v>
      </c>
      <c r="O35" t="str">
        <f>IFERROR(_xlfn.XLOOKUP(A35,HC!A:A,HC!C:C),"")</f>
        <v>Workforce</v>
      </c>
      <c r="R35" s="78" t="b">
        <f t="shared" ref="R35:AO35" si="66">IFERROR(IF($B35=$D$1,IF(AND($K35&lt;R$1,$L35&lt;R$1),"",IF(AND($K35&gt;S$1,$L35&gt;S$1),"",IF(AND($K35&lt;R$1,$L35&lt;=S$1),$L35-R$1,IF(AND($K35&gt;=R$1,$L35&gt;S$1),S$1-$K35,IF(AND($K35&gt;=R$1,$L35&lt;=S$1),$L35-$K35,IF(AND($K35&lt;R$1,$L35&gt;S$1),S$1-R$1,""))))))),"")</f>
        <v>0</v>
      </c>
      <c r="S35" s="78" t="b">
        <f t="shared" si="66"/>
        <v>0</v>
      </c>
      <c r="T35" s="78" t="b">
        <f t="shared" si="66"/>
        <v>0</v>
      </c>
      <c r="U35" s="78" t="b">
        <f t="shared" si="66"/>
        <v>0</v>
      </c>
      <c r="V35" s="78" t="b">
        <f t="shared" si="66"/>
        <v>0</v>
      </c>
      <c r="W35" s="78" t="b">
        <f t="shared" si="66"/>
        <v>0</v>
      </c>
      <c r="X35" s="78" t="b">
        <f t="shared" si="66"/>
        <v>0</v>
      </c>
      <c r="Y35" s="78" t="b">
        <f t="shared" si="66"/>
        <v>0</v>
      </c>
      <c r="Z35" s="78" t="b">
        <f t="shared" si="66"/>
        <v>0</v>
      </c>
      <c r="AA35" s="78" t="b">
        <f t="shared" si="66"/>
        <v>0</v>
      </c>
      <c r="AB35" s="78" t="b">
        <f t="shared" si="66"/>
        <v>0</v>
      </c>
      <c r="AC35" s="78" t="b">
        <f t="shared" si="66"/>
        <v>0</v>
      </c>
      <c r="AD35" s="78" t="b">
        <f t="shared" si="66"/>
        <v>0</v>
      </c>
      <c r="AE35" s="78" t="b">
        <f t="shared" si="66"/>
        <v>0</v>
      </c>
      <c r="AF35" s="78" t="b">
        <f t="shared" si="66"/>
        <v>0</v>
      </c>
      <c r="AG35" s="78" t="b">
        <f t="shared" si="66"/>
        <v>0</v>
      </c>
      <c r="AH35" s="78" t="b">
        <f t="shared" si="66"/>
        <v>0</v>
      </c>
      <c r="AI35" s="78" t="b">
        <f t="shared" si="66"/>
        <v>0</v>
      </c>
      <c r="AJ35" s="78" t="b">
        <f t="shared" si="66"/>
        <v>0</v>
      </c>
      <c r="AK35" s="78" t="b">
        <f t="shared" si="66"/>
        <v>0</v>
      </c>
      <c r="AL35" s="78" t="b">
        <f t="shared" si="66"/>
        <v>0</v>
      </c>
      <c r="AM35" s="78" t="b">
        <f t="shared" si="66"/>
        <v>0</v>
      </c>
      <c r="AN35" s="78" t="b">
        <f t="shared" si="66"/>
        <v>0</v>
      </c>
      <c r="AO35" s="78" t="b">
        <f t="shared" si="66"/>
        <v>0</v>
      </c>
      <c r="AP35" s="78"/>
      <c r="AZ35">
        <f t="shared" si="12"/>
        <v>0</v>
      </c>
    </row>
    <row r="36" spans="4:52" x14ac:dyDescent="0.35">
      <c r="D36" s="96"/>
      <c r="E36" s="96"/>
      <c r="G36" s="77">
        <f t="shared" si="2"/>
        <v>0</v>
      </c>
      <c r="H36" s="78">
        <f t="shared" si="3"/>
        <v>0</v>
      </c>
      <c r="I36" s="77">
        <f t="shared" si="4"/>
        <v>0</v>
      </c>
      <c r="J36" s="78">
        <f t="shared" si="5"/>
        <v>0</v>
      </c>
      <c r="K36" s="78" t="str">
        <f t="shared" si="6"/>
        <v>1900-01-00 00:0:00</v>
      </c>
      <c r="L36" s="78" t="str">
        <f t="shared" si="7"/>
        <v>1900-01-00 00:0:00</v>
      </c>
      <c r="M36" s="79">
        <f t="shared" si="8"/>
        <v>0</v>
      </c>
      <c r="N36">
        <f t="shared" si="9"/>
        <v>1</v>
      </c>
      <c r="O36" t="str">
        <f>IFERROR(_xlfn.XLOOKUP(A36,HC!A:A,HC!C:C),"")</f>
        <v>Workforce</v>
      </c>
      <c r="R36" s="78" t="b">
        <f t="shared" ref="R36:AO36" si="67">IFERROR(IF($B36=$D$1,IF(AND($K36&lt;R$1,$L36&lt;R$1),"",IF(AND($K36&gt;S$1,$L36&gt;S$1),"",IF(AND($K36&lt;R$1,$L36&lt;=S$1),$L36-R$1,IF(AND($K36&gt;=R$1,$L36&gt;S$1),S$1-$K36,IF(AND($K36&gt;=R$1,$L36&lt;=S$1),$L36-$K36,IF(AND($K36&lt;R$1,$L36&gt;S$1),S$1-R$1,""))))))),"")</f>
        <v>0</v>
      </c>
      <c r="S36" s="78" t="b">
        <f t="shared" si="67"/>
        <v>0</v>
      </c>
      <c r="T36" s="78" t="b">
        <f t="shared" si="67"/>
        <v>0</v>
      </c>
      <c r="U36" s="78" t="b">
        <f t="shared" si="67"/>
        <v>0</v>
      </c>
      <c r="V36" s="78" t="b">
        <f t="shared" si="67"/>
        <v>0</v>
      </c>
      <c r="W36" s="78" t="b">
        <f t="shared" si="67"/>
        <v>0</v>
      </c>
      <c r="X36" s="78" t="b">
        <f t="shared" si="67"/>
        <v>0</v>
      </c>
      <c r="Y36" s="78" t="b">
        <f t="shared" si="67"/>
        <v>0</v>
      </c>
      <c r="Z36" s="78" t="b">
        <f t="shared" si="67"/>
        <v>0</v>
      </c>
      <c r="AA36" s="78" t="b">
        <f t="shared" si="67"/>
        <v>0</v>
      </c>
      <c r="AB36" s="78" t="b">
        <f t="shared" si="67"/>
        <v>0</v>
      </c>
      <c r="AC36" s="78" t="b">
        <f t="shared" si="67"/>
        <v>0</v>
      </c>
      <c r="AD36" s="78" t="b">
        <f t="shared" si="67"/>
        <v>0</v>
      </c>
      <c r="AE36" s="78" t="b">
        <f t="shared" si="67"/>
        <v>0</v>
      </c>
      <c r="AF36" s="78" t="b">
        <f t="shared" si="67"/>
        <v>0</v>
      </c>
      <c r="AG36" s="78" t="b">
        <f t="shared" si="67"/>
        <v>0</v>
      </c>
      <c r="AH36" s="78" t="b">
        <f t="shared" si="67"/>
        <v>0</v>
      </c>
      <c r="AI36" s="78" t="b">
        <f t="shared" si="67"/>
        <v>0</v>
      </c>
      <c r="AJ36" s="78" t="b">
        <f t="shared" si="67"/>
        <v>0</v>
      </c>
      <c r="AK36" s="78" t="b">
        <f t="shared" si="67"/>
        <v>0</v>
      </c>
      <c r="AL36" s="78" t="b">
        <f t="shared" si="67"/>
        <v>0</v>
      </c>
      <c r="AM36" s="78" t="b">
        <f t="shared" si="67"/>
        <v>0</v>
      </c>
      <c r="AN36" s="78" t="b">
        <f t="shared" si="67"/>
        <v>0</v>
      </c>
      <c r="AO36" s="78" t="b">
        <f t="shared" si="67"/>
        <v>0</v>
      </c>
      <c r="AP36" s="78"/>
      <c r="AZ36">
        <f t="shared" si="12"/>
        <v>0</v>
      </c>
    </row>
    <row r="37" spans="4:52" x14ac:dyDescent="0.35">
      <c r="D37" s="96"/>
      <c r="E37" s="96"/>
      <c r="G37" s="77">
        <f t="shared" si="2"/>
        <v>0</v>
      </c>
      <c r="H37" s="78">
        <f t="shared" si="3"/>
        <v>0</v>
      </c>
      <c r="I37" s="77">
        <f t="shared" si="4"/>
        <v>0</v>
      </c>
      <c r="J37" s="78">
        <f t="shared" si="5"/>
        <v>0</v>
      </c>
      <c r="K37" s="78" t="str">
        <f t="shared" si="6"/>
        <v>1900-01-00 00:0:00</v>
      </c>
      <c r="L37" s="78" t="str">
        <f t="shared" si="7"/>
        <v>1900-01-00 00:0:00</v>
      </c>
      <c r="M37" s="79">
        <f t="shared" si="8"/>
        <v>0</v>
      </c>
      <c r="N37">
        <f t="shared" si="9"/>
        <v>1</v>
      </c>
      <c r="O37" t="str">
        <f>IFERROR(_xlfn.XLOOKUP(A37,HC!A:A,HC!C:C),"")</f>
        <v>Workforce</v>
      </c>
      <c r="R37" s="78" t="b">
        <f t="shared" ref="R37:AO37" si="68">IFERROR(IF($B37=$D$1,IF(AND($K37&lt;R$1,$L37&lt;R$1),"",IF(AND($K37&gt;S$1,$L37&gt;S$1),"",IF(AND($K37&lt;R$1,$L37&lt;=S$1),$L37-R$1,IF(AND($K37&gt;=R$1,$L37&gt;S$1),S$1-$K37,IF(AND($K37&gt;=R$1,$L37&lt;=S$1),$L37-$K37,IF(AND($K37&lt;R$1,$L37&gt;S$1),S$1-R$1,""))))))),"")</f>
        <v>0</v>
      </c>
      <c r="S37" s="78" t="b">
        <f t="shared" si="68"/>
        <v>0</v>
      </c>
      <c r="T37" s="78" t="b">
        <f t="shared" si="68"/>
        <v>0</v>
      </c>
      <c r="U37" s="78" t="b">
        <f t="shared" si="68"/>
        <v>0</v>
      </c>
      <c r="V37" s="78" t="b">
        <f t="shared" si="68"/>
        <v>0</v>
      </c>
      <c r="W37" s="78" t="b">
        <f t="shared" si="68"/>
        <v>0</v>
      </c>
      <c r="X37" s="78" t="b">
        <f t="shared" si="68"/>
        <v>0</v>
      </c>
      <c r="Y37" s="78" t="b">
        <f t="shared" si="68"/>
        <v>0</v>
      </c>
      <c r="Z37" s="78" t="b">
        <f t="shared" si="68"/>
        <v>0</v>
      </c>
      <c r="AA37" s="78" t="b">
        <f t="shared" si="68"/>
        <v>0</v>
      </c>
      <c r="AB37" s="78" t="b">
        <f t="shared" si="68"/>
        <v>0</v>
      </c>
      <c r="AC37" s="78" t="b">
        <f t="shared" si="68"/>
        <v>0</v>
      </c>
      <c r="AD37" s="78" t="b">
        <f t="shared" si="68"/>
        <v>0</v>
      </c>
      <c r="AE37" s="78" t="b">
        <f t="shared" si="68"/>
        <v>0</v>
      </c>
      <c r="AF37" s="78" t="b">
        <f t="shared" si="68"/>
        <v>0</v>
      </c>
      <c r="AG37" s="78" t="b">
        <f t="shared" si="68"/>
        <v>0</v>
      </c>
      <c r="AH37" s="78" t="b">
        <f t="shared" si="68"/>
        <v>0</v>
      </c>
      <c r="AI37" s="78" t="b">
        <f t="shared" si="68"/>
        <v>0</v>
      </c>
      <c r="AJ37" s="78" t="b">
        <f t="shared" si="68"/>
        <v>0</v>
      </c>
      <c r="AK37" s="78" t="b">
        <f t="shared" si="68"/>
        <v>0</v>
      </c>
      <c r="AL37" s="78" t="b">
        <f t="shared" si="68"/>
        <v>0</v>
      </c>
      <c r="AM37" s="78" t="b">
        <f t="shared" si="68"/>
        <v>0</v>
      </c>
      <c r="AN37" s="78" t="b">
        <f t="shared" si="68"/>
        <v>0</v>
      </c>
      <c r="AO37" s="78" t="b">
        <f t="shared" si="68"/>
        <v>0</v>
      </c>
      <c r="AP37" s="78"/>
      <c r="AZ37">
        <f t="shared" si="12"/>
        <v>0</v>
      </c>
    </row>
    <row r="38" spans="4:52" x14ac:dyDescent="0.35">
      <c r="D38" s="96"/>
      <c r="E38" s="96"/>
      <c r="G38" s="77">
        <f t="shared" si="2"/>
        <v>0</v>
      </c>
      <c r="H38" s="78">
        <f t="shared" si="3"/>
        <v>0</v>
      </c>
      <c r="I38" s="77">
        <f t="shared" si="4"/>
        <v>0</v>
      </c>
      <c r="J38" s="78">
        <f t="shared" si="5"/>
        <v>0</v>
      </c>
      <c r="K38" s="78" t="str">
        <f t="shared" si="6"/>
        <v>1900-01-00 00:0:00</v>
      </c>
      <c r="L38" s="78" t="str">
        <f t="shared" si="7"/>
        <v>1900-01-00 00:0:00</v>
      </c>
      <c r="M38" s="79">
        <f t="shared" si="8"/>
        <v>0</v>
      </c>
      <c r="N38">
        <f t="shared" si="9"/>
        <v>1</v>
      </c>
      <c r="O38" t="str">
        <f>IFERROR(_xlfn.XLOOKUP(A38,HC!A:A,HC!C:C),"")</f>
        <v>Workforce</v>
      </c>
      <c r="R38" s="78" t="b">
        <f t="shared" ref="R38:AO38" si="69">IFERROR(IF($B38=$D$1,IF(AND($K38&lt;R$1,$L38&lt;R$1),"",IF(AND($K38&gt;S$1,$L38&gt;S$1),"",IF(AND($K38&lt;R$1,$L38&lt;=S$1),$L38-R$1,IF(AND($K38&gt;=R$1,$L38&gt;S$1),S$1-$K38,IF(AND($K38&gt;=R$1,$L38&lt;=S$1),$L38-$K38,IF(AND($K38&lt;R$1,$L38&gt;S$1),S$1-R$1,""))))))),"")</f>
        <v>0</v>
      </c>
      <c r="S38" s="78" t="b">
        <f t="shared" si="69"/>
        <v>0</v>
      </c>
      <c r="T38" s="78" t="b">
        <f t="shared" si="69"/>
        <v>0</v>
      </c>
      <c r="U38" s="78" t="b">
        <f t="shared" si="69"/>
        <v>0</v>
      </c>
      <c r="V38" s="78" t="b">
        <f t="shared" si="69"/>
        <v>0</v>
      </c>
      <c r="W38" s="78" t="b">
        <f t="shared" si="69"/>
        <v>0</v>
      </c>
      <c r="X38" s="78" t="b">
        <f t="shared" si="69"/>
        <v>0</v>
      </c>
      <c r="Y38" s="78" t="b">
        <f t="shared" si="69"/>
        <v>0</v>
      </c>
      <c r="Z38" s="78" t="b">
        <f t="shared" si="69"/>
        <v>0</v>
      </c>
      <c r="AA38" s="78" t="b">
        <f t="shared" si="69"/>
        <v>0</v>
      </c>
      <c r="AB38" s="78" t="b">
        <f t="shared" si="69"/>
        <v>0</v>
      </c>
      <c r="AC38" s="78" t="b">
        <f t="shared" si="69"/>
        <v>0</v>
      </c>
      <c r="AD38" s="78" t="b">
        <f t="shared" si="69"/>
        <v>0</v>
      </c>
      <c r="AE38" s="78" t="b">
        <f t="shared" si="69"/>
        <v>0</v>
      </c>
      <c r="AF38" s="78" t="b">
        <f t="shared" si="69"/>
        <v>0</v>
      </c>
      <c r="AG38" s="78" t="b">
        <f t="shared" si="69"/>
        <v>0</v>
      </c>
      <c r="AH38" s="78" t="b">
        <f t="shared" si="69"/>
        <v>0</v>
      </c>
      <c r="AI38" s="78" t="b">
        <f t="shared" si="69"/>
        <v>0</v>
      </c>
      <c r="AJ38" s="78" t="b">
        <f t="shared" si="69"/>
        <v>0</v>
      </c>
      <c r="AK38" s="78" t="b">
        <f t="shared" si="69"/>
        <v>0</v>
      </c>
      <c r="AL38" s="78" t="b">
        <f t="shared" si="69"/>
        <v>0</v>
      </c>
      <c r="AM38" s="78" t="b">
        <f t="shared" si="69"/>
        <v>0</v>
      </c>
      <c r="AN38" s="78" t="b">
        <f t="shared" si="69"/>
        <v>0</v>
      </c>
      <c r="AO38" s="78" t="b">
        <f t="shared" si="69"/>
        <v>0</v>
      </c>
      <c r="AP38" s="78"/>
      <c r="AZ38">
        <f t="shared" si="12"/>
        <v>0</v>
      </c>
    </row>
    <row r="39" spans="4:52" x14ac:dyDescent="0.35">
      <c r="D39" s="96"/>
      <c r="E39" s="96"/>
      <c r="G39" s="77">
        <f t="shared" si="2"/>
        <v>0</v>
      </c>
      <c r="H39" s="78">
        <f t="shared" si="3"/>
        <v>0</v>
      </c>
      <c r="I39" s="77">
        <f t="shared" si="4"/>
        <v>0</v>
      </c>
      <c r="J39" s="78">
        <f t="shared" si="5"/>
        <v>0</v>
      </c>
      <c r="K39" s="78" t="str">
        <f t="shared" si="6"/>
        <v>1900-01-00 00:0:00</v>
      </c>
      <c r="L39" s="78" t="str">
        <f t="shared" si="7"/>
        <v>1900-01-00 00:0:00</v>
      </c>
      <c r="M39" s="79">
        <f t="shared" si="8"/>
        <v>0</v>
      </c>
      <c r="N39">
        <f t="shared" si="9"/>
        <v>1</v>
      </c>
      <c r="O39" t="str">
        <f>IFERROR(_xlfn.XLOOKUP(A39,HC!A:A,HC!C:C),"")</f>
        <v>Workforce</v>
      </c>
      <c r="R39" s="78" t="b">
        <f t="shared" ref="R39:AO39" si="70">IFERROR(IF($B39=$D$1,IF(AND($K39&lt;R$1,$L39&lt;R$1),"",IF(AND($K39&gt;S$1,$L39&gt;S$1),"",IF(AND($K39&lt;R$1,$L39&lt;=S$1),$L39-R$1,IF(AND($K39&gt;=R$1,$L39&gt;S$1),S$1-$K39,IF(AND($K39&gt;=R$1,$L39&lt;=S$1),$L39-$K39,IF(AND($K39&lt;R$1,$L39&gt;S$1),S$1-R$1,""))))))),"")</f>
        <v>0</v>
      </c>
      <c r="S39" s="78" t="b">
        <f t="shared" si="70"/>
        <v>0</v>
      </c>
      <c r="T39" s="78" t="b">
        <f t="shared" si="70"/>
        <v>0</v>
      </c>
      <c r="U39" s="78" t="b">
        <f t="shared" si="70"/>
        <v>0</v>
      </c>
      <c r="V39" s="78" t="b">
        <f t="shared" si="70"/>
        <v>0</v>
      </c>
      <c r="W39" s="78" t="b">
        <f t="shared" si="70"/>
        <v>0</v>
      </c>
      <c r="X39" s="78" t="b">
        <f t="shared" si="70"/>
        <v>0</v>
      </c>
      <c r="Y39" s="78" t="b">
        <f t="shared" si="70"/>
        <v>0</v>
      </c>
      <c r="Z39" s="78" t="b">
        <f t="shared" si="70"/>
        <v>0</v>
      </c>
      <c r="AA39" s="78" t="b">
        <f t="shared" si="70"/>
        <v>0</v>
      </c>
      <c r="AB39" s="78" t="b">
        <f t="shared" si="70"/>
        <v>0</v>
      </c>
      <c r="AC39" s="78" t="b">
        <f t="shared" si="70"/>
        <v>0</v>
      </c>
      <c r="AD39" s="78" t="b">
        <f t="shared" si="70"/>
        <v>0</v>
      </c>
      <c r="AE39" s="78" t="b">
        <f t="shared" si="70"/>
        <v>0</v>
      </c>
      <c r="AF39" s="78" t="b">
        <f t="shared" si="70"/>
        <v>0</v>
      </c>
      <c r="AG39" s="78" t="b">
        <f t="shared" si="70"/>
        <v>0</v>
      </c>
      <c r="AH39" s="78" t="b">
        <f t="shared" si="70"/>
        <v>0</v>
      </c>
      <c r="AI39" s="78" t="b">
        <f t="shared" si="70"/>
        <v>0</v>
      </c>
      <c r="AJ39" s="78" t="b">
        <f t="shared" si="70"/>
        <v>0</v>
      </c>
      <c r="AK39" s="78" t="b">
        <f t="shared" si="70"/>
        <v>0</v>
      </c>
      <c r="AL39" s="78" t="b">
        <f t="shared" si="70"/>
        <v>0</v>
      </c>
      <c r="AM39" s="78" t="b">
        <f t="shared" si="70"/>
        <v>0</v>
      </c>
      <c r="AN39" s="78" t="b">
        <f t="shared" si="70"/>
        <v>0</v>
      </c>
      <c r="AO39" s="78" t="b">
        <f t="shared" si="70"/>
        <v>0</v>
      </c>
      <c r="AP39" s="78"/>
      <c r="AZ39">
        <f t="shared" si="12"/>
        <v>0</v>
      </c>
    </row>
    <row r="40" spans="4:52" x14ac:dyDescent="0.35">
      <c r="D40" s="96"/>
      <c r="E40" s="96"/>
      <c r="G40" s="77">
        <f t="shared" si="2"/>
        <v>0</v>
      </c>
      <c r="H40" s="78">
        <f t="shared" si="3"/>
        <v>0</v>
      </c>
      <c r="I40" s="77">
        <f t="shared" si="4"/>
        <v>0</v>
      </c>
      <c r="J40" s="78">
        <f t="shared" si="5"/>
        <v>0</v>
      </c>
      <c r="K40" s="78" t="str">
        <f t="shared" si="6"/>
        <v>1900-01-00 00:0:00</v>
      </c>
      <c r="L40" s="78" t="str">
        <f t="shared" si="7"/>
        <v>1900-01-00 00:0:00</v>
      </c>
      <c r="M40" s="79">
        <f t="shared" si="8"/>
        <v>0</v>
      </c>
      <c r="N40">
        <f t="shared" si="9"/>
        <v>1</v>
      </c>
      <c r="O40" t="str">
        <f>IFERROR(_xlfn.XLOOKUP(A40,HC!A:A,HC!C:C),"")</f>
        <v>Workforce</v>
      </c>
      <c r="R40" s="78" t="b">
        <f t="shared" ref="R40:AO40" si="71">IFERROR(IF($B40=$D$1,IF(AND($K40&lt;R$1,$L40&lt;R$1),"",IF(AND($K40&gt;S$1,$L40&gt;S$1),"",IF(AND($K40&lt;R$1,$L40&lt;=S$1),$L40-R$1,IF(AND($K40&gt;=R$1,$L40&gt;S$1),S$1-$K40,IF(AND($K40&gt;=R$1,$L40&lt;=S$1),$L40-$K40,IF(AND($K40&lt;R$1,$L40&gt;S$1),S$1-R$1,""))))))),"")</f>
        <v>0</v>
      </c>
      <c r="S40" s="78" t="b">
        <f t="shared" si="71"/>
        <v>0</v>
      </c>
      <c r="T40" s="78" t="b">
        <f t="shared" si="71"/>
        <v>0</v>
      </c>
      <c r="U40" s="78" t="b">
        <f t="shared" si="71"/>
        <v>0</v>
      </c>
      <c r="V40" s="78" t="b">
        <f t="shared" si="71"/>
        <v>0</v>
      </c>
      <c r="W40" s="78" t="b">
        <f t="shared" si="71"/>
        <v>0</v>
      </c>
      <c r="X40" s="78" t="b">
        <f t="shared" si="71"/>
        <v>0</v>
      </c>
      <c r="Y40" s="78" t="b">
        <f t="shared" si="71"/>
        <v>0</v>
      </c>
      <c r="Z40" s="78" t="b">
        <f t="shared" si="71"/>
        <v>0</v>
      </c>
      <c r="AA40" s="78" t="b">
        <f t="shared" si="71"/>
        <v>0</v>
      </c>
      <c r="AB40" s="78" t="b">
        <f t="shared" si="71"/>
        <v>0</v>
      </c>
      <c r="AC40" s="78" t="b">
        <f t="shared" si="71"/>
        <v>0</v>
      </c>
      <c r="AD40" s="78" t="b">
        <f t="shared" si="71"/>
        <v>0</v>
      </c>
      <c r="AE40" s="78" t="b">
        <f t="shared" si="71"/>
        <v>0</v>
      </c>
      <c r="AF40" s="78" t="b">
        <f t="shared" si="71"/>
        <v>0</v>
      </c>
      <c r="AG40" s="78" t="b">
        <f t="shared" si="71"/>
        <v>0</v>
      </c>
      <c r="AH40" s="78" t="b">
        <f t="shared" si="71"/>
        <v>0</v>
      </c>
      <c r="AI40" s="78" t="b">
        <f t="shared" si="71"/>
        <v>0</v>
      </c>
      <c r="AJ40" s="78" t="b">
        <f t="shared" si="71"/>
        <v>0</v>
      </c>
      <c r="AK40" s="78" t="b">
        <f t="shared" si="71"/>
        <v>0</v>
      </c>
      <c r="AL40" s="78" t="b">
        <f t="shared" si="71"/>
        <v>0</v>
      </c>
      <c r="AM40" s="78" t="b">
        <f t="shared" si="71"/>
        <v>0</v>
      </c>
      <c r="AN40" s="78" t="b">
        <f t="shared" si="71"/>
        <v>0</v>
      </c>
      <c r="AO40" s="78" t="b">
        <f t="shared" si="71"/>
        <v>0</v>
      </c>
      <c r="AP40" s="78"/>
      <c r="AZ40">
        <f t="shared" si="12"/>
        <v>0</v>
      </c>
    </row>
    <row r="41" spans="4:52" x14ac:dyDescent="0.35">
      <c r="D41" s="96"/>
      <c r="E41" s="96"/>
      <c r="G41" s="77">
        <f t="shared" si="2"/>
        <v>0</v>
      </c>
      <c r="H41" s="78">
        <f t="shared" si="3"/>
        <v>0</v>
      </c>
      <c r="I41" s="77">
        <f t="shared" si="4"/>
        <v>0</v>
      </c>
      <c r="J41" s="78">
        <f t="shared" si="5"/>
        <v>0</v>
      </c>
      <c r="K41" s="78" t="str">
        <f t="shared" si="6"/>
        <v>1900-01-00 00:0:00</v>
      </c>
      <c r="L41" s="78" t="str">
        <f t="shared" si="7"/>
        <v>1900-01-00 00:0:00</v>
      </c>
      <c r="M41" s="79">
        <f t="shared" si="8"/>
        <v>0</v>
      </c>
      <c r="N41">
        <f t="shared" si="9"/>
        <v>1</v>
      </c>
      <c r="O41" t="str">
        <f>IFERROR(_xlfn.XLOOKUP(A41,HC!A:A,HC!C:C),"")</f>
        <v>Workforce</v>
      </c>
      <c r="R41" s="78" t="b">
        <f t="shared" ref="R41:AO41" si="72">IFERROR(IF($B41=$D$1,IF(AND($K41&lt;R$1,$L41&lt;R$1),"",IF(AND($K41&gt;S$1,$L41&gt;S$1),"",IF(AND($K41&lt;R$1,$L41&lt;=S$1),$L41-R$1,IF(AND($K41&gt;=R$1,$L41&gt;S$1),S$1-$K41,IF(AND($K41&gt;=R$1,$L41&lt;=S$1),$L41-$K41,IF(AND($K41&lt;R$1,$L41&gt;S$1),S$1-R$1,""))))))),"")</f>
        <v>0</v>
      </c>
      <c r="S41" s="78" t="b">
        <f t="shared" si="72"/>
        <v>0</v>
      </c>
      <c r="T41" s="78" t="b">
        <f t="shared" si="72"/>
        <v>0</v>
      </c>
      <c r="U41" s="78" t="b">
        <f t="shared" si="72"/>
        <v>0</v>
      </c>
      <c r="V41" s="78" t="b">
        <f t="shared" si="72"/>
        <v>0</v>
      </c>
      <c r="W41" s="78" t="b">
        <f t="shared" si="72"/>
        <v>0</v>
      </c>
      <c r="X41" s="78" t="b">
        <f t="shared" si="72"/>
        <v>0</v>
      </c>
      <c r="Y41" s="78" t="b">
        <f t="shared" si="72"/>
        <v>0</v>
      </c>
      <c r="Z41" s="78" t="b">
        <f t="shared" si="72"/>
        <v>0</v>
      </c>
      <c r="AA41" s="78" t="b">
        <f t="shared" si="72"/>
        <v>0</v>
      </c>
      <c r="AB41" s="78" t="b">
        <f t="shared" si="72"/>
        <v>0</v>
      </c>
      <c r="AC41" s="78" t="b">
        <f t="shared" si="72"/>
        <v>0</v>
      </c>
      <c r="AD41" s="78" t="b">
        <f t="shared" si="72"/>
        <v>0</v>
      </c>
      <c r="AE41" s="78" t="b">
        <f t="shared" si="72"/>
        <v>0</v>
      </c>
      <c r="AF41" s="78" t="b">
        <f t="shared" si="72"/>
        <v>0</v>
      </c>
      <c r="AG41" s="78" t="b">
        <f t="shared" si="72"/>
        <v>0</v>
      </c>
      <c r="AH41" s="78" t="b">
        <f t="shared" si="72"/>
        <v>0</v>
      </c>
      <c r="AI41" s="78" t="b">
        <f t="shared" si="72"/>
        <v>0</v>
      </c>
      <c r="AJ41" s="78" t="b">
        <f t="shared" si="72"/>
        <v>0</v>
      </c>
      <c r="AK41" s="78" t="b">
        <f t="shared" si="72"/>
        <v>0</v>
      </c>
      <c r="AL41" s="78" t="b">
        <f t="shared" si="72"/>
        <v>0</v>
      </c>
      <c r="AM41" s="78" t="b">
        <f t="shared" si="72"/>
        <v>0</v>
      </c>
      <c r="AN41" s="78" t="b">
        <f t="shared" si="72"/>
        <v>0</v>
      </c>
      <c r="AO41" s="78" t="b">
        <f t="shared" si="72"/>
        <v>0</v>
      </c>
      <c r="AP41" s="78"/>
      <c r="AZ41">
        <f t="shared" si="12"/>
        <v>0</v>
      </c>
    </row>
    <row r="42" spans="4:52" x14ac:dyDescent="0.35">
      <c r="D42" s="96"/>
      <c r="E42" s="96"/>
      <c r="G42" s="77">
        <f t="shared" si="2"/>
        <v>0</v>
      </c>
      <c r="H42" s="78">
        <f t="shared" si="3"/>
        <v>0</v>
      </c>
      <c r="I42" s="77">
        <f t="shared" si="4"/>
        <v>0</v>
      </c>
      <c r="J42" s="78">
        <f t="shared" si="5"/>
        <v>0</v>
      </c>
      <c r="K42" s="78" t="str">
        <f t="shared" si="6"/>
        <v>1900-01-00 00:0:00</v>
      </c>
      <c r="L42" s="78" t="str">
        <f t="shared" si="7"/>
        <v>1900-01-00 00:0:00</v>
      </c>
      <c r="M42" s="79">
        <f t="shared" si="8"/>
        <v>0</v>
      </c>
      <c r="N42">
        <f t="shared" si="9"/>
        <v>1</v>
      </c>
      <c r="O42" t="str">
        <f>IFERROR(_xlfn.XLOOKUP(A42,HC!A:A,HC!C:C),"")</f>
        <v>Workforce</v>
      </c>
      <c r="R42" s="78" t="b">
        <f t="shared" ref="R42:AO42" si="73">IFERROR(IF($B42=$D$1,IF(AND($K42&lt;R$1,$L42&lt;R$1),"",IF(AND($K42&gt;S$1,$L42&gt;S$1),"",IF(AND($K42&lt;R$1,$L42&lt;=S$1),$L42-R$1,IF(AND($K42&gt;=R$1,$L42&gt;S$1),S$1-$K42,IF(AND($K42&gt;=R$1,$L42&lt;=S$1),$L42-$K42,IF(AND($K42&lt;R$1,$L42&gt;S$1),S$1-R$1,""))))))),"")</f>
        <v>0</v>
      </c>
      <c r="S42" s="78" t="b">
        <f t="shared" si="73"/>
        <v>0</v>
      </c>
      <c r="T42" s="78" t="b">
        <f t="shared" si="73"/>
        <v>0</v>
      </c>
      <c r="U42" s="78" t="b">
        <f t="shared" si="73"/>
        <v>0</v>
      </c>
      <c r="V42" s="78" t="b">
        <f t="shared" si="73"/>
        <v>0</v>
      </c>
      <c r="W42" s="78" t="b">
        <f t="shared" si="73"/>
        <v>0</v>
      </c>
      <c r="X42" s="78" t="b">
        <f t="shared" si="73"/>
        <v>0</v>
      </c>
      <c r="Y42" s="78" t="b">
        <f t="shared" si="73"/>
        <v>0</v>
      </c>
      <c r="Z42" s="78" t="b">
        <f t="shared" si="73"/>
        <v>0</v>
      </c>
      <c r="AA42" s="78" t="b">
        <f t="shared" si="73"/>
        <v>0</v>
      </c>
      <c r="AB42" s="78" t="b">
        <f t="shared" si="73"/>
        <v>0</v>
      </c>
      <c r="AC42" s="78" t="b">
        <f t="shared" si="73"/>
        <v>0</v>
      </c>
      <c r="AD42" s="78" t="b">
        <f t="shared" si="73"/>
        <v>0</v>
      </c>
      <c r="AE42" s="78" t="b">
        <f t="shared" si="73"/>
        <v>0</v>
      </c>
      <c r="AF42" s="78" t="b">
        <f t="shared" si="73"/>
        <v>0</v>
      </c>
      <c r="AG42" s="78" t="b">
        <f t="shared" si="73"/>
        <v>0</v>
      </c>
      <c r="AH42" s="78" t="b">
        <f t="shared" si="73"/>
        <v>0</v>
      </c>
      <c r="AI42" s="78" t="b">
        <f t="shared" si="73"/>
        <v>0</v>
      </c>
      <c r="AJ42" s="78" t="b">
        <f t="shared" si="73"/>
        <v>0</v>
      </c>
      <c r="AK42" s="78" t="b">
        <f t="shared" si="73"/>
        <v>0</v>
      </c>
      <c r="AL42" s="78" t="b">
        <f t="shared" si="73"/>
        <v>0</v>
      </c>
      <c r="AM42" s="78" t="b">
        <f t="shared" si="73"/>
        <v>0</v>
      </c>
      <c r="AN42" s="78" t="b">
        <f t="shared" si="73"/>
        <v>0</v>
      </c>
      <c r="AO42" s="78" t="b">
        <f t="shared" si="73"/>
        <v>0</v>
      </c>
      <c r="AP42" s="78"/>
      <c r="AZ42">
        <f t="shared" si="12"/>
        <v>0</v>
      </c>
    </row>
    <row r="43" spans="4:52" x14ac:dyDescent="0.35">
      <c r="D43" s="96"/>
      <c r="E43" s="96"/>
      <c r="G43" s="77">
        <f t="shared" si="2"/>
        <v>0</v>
      </c>
      <c r="H43" s="78">
        <f t="shared" si="3"/>
        <v>0</v>
      </c>
      <c r="I43" s="77">
        <f t="shared" si="4"/>
        <v>0</v>
      </c>
      <c r="J43" s="78">
        <f t="shared" si="5"/>
        <v>0</v>
      </c>
      <c r="K43" s="78" t="str">
        <f t="shared" si="6"/>
        <v>1900-01-00 00:0:00</v>
      </c>
      <c r="L43" s="78" t="str">
        <f t="shared" si="7"/>
        <v>1900-01-00 00:0:00</v>
      </c>
      <c r="M43" s="79">
        <f t="shared" si="8"/>
        <v>0</v>
      </c>
      <c r="N43">
        <f t="shared" si="9"/>
        <v>1</v>
      </c>
      <c r="O43" t="str">
        <f>IFERROR(_xlfn.XLOOKUP(A43,HC!A:A,HC!C:C),"")</f>
        <v>Workforce</v>
      </c>
      <c r="R43" s="78" t="b">
        <f t="shared" ref="R43:AO43" si="74">IFERROR(IF($B43=$D$1,IF(AND($K43&lt;R$1,$L43&lt;R$1),"",IF(AND($K43&gt;S$1,$L43&gt;S$1),"",IF(AND($K43&lt;R$1,$L43&lt;=S$1),$L43-R$1,IF(AND($K43&gt;=R$1,$L43&gt;S$1),S$1-$K43,IF(AND($K43&gt;=R$1,$L43&lt;=S$1),$L43-$K43,IF(AND($K43&lt;R$1,$L43&gt;S$1),S$1-R$1,""))))))),"")</f>
        <v>0</v>
      </c>
      <c r="S43" s="78" t="b">
        <f t="shared" si="74"/>
        <v>0</v>
      </c>
      <c r="T43" s="78" t="b">
        <f t="shared" si="74"/>
        <v>0</v>
      </c>
      <c r="U43" s="78" t="b">
        <f t="shared" si="74"/>
        <v>0</v>
      </c>
      <c r="V43" s="78" t="b">
        <f t="shared" si="74"/>
        <v>0</v>
      </c>
      <c r="W43" s="78" t="b">
        <f t="shared" si="74"/>
        <v>0</v>
      </c>
      <c r="X43" s="78" t="b">
        <f t="shared" si="74"/>
        <v>0</v>
      </c>
      <c r="Y43" s="78" t="b">
        <f t="shared" si="74"/>
        <v>0</v>
      </c>
      <c r="Z43" s="78" t="b">
        <f t="shared" si="74"/>
        <v>0</v>
      </c>
      <c r="AA43" s="78" t="b">
        <f t="shared" si="74"/>
        <v>0</v>
      </c>
      <c r="AB43" s="78" t="b">
        <f t="shared" si="74"/>
        <v>0</v>
      </c>
      <c r="AC43" s="78" t="b">
        <f t="shared" si="74"/>
        <v>0</v>
      </c>
      <c r="AD43" s="78" t="b">
        <f t="shared" si="74"/>
        <v>0</v>
      </c>
      <c r="AE43" s="78" t="b">
        <f t="shared" si="74"/>
        <v>0</v>
      </c>
      <c r="AF43" s="78" t="b">
        <f t="shared" si="74"/>
        <v>0</v>
      </c>
      <c r="AG43" s="78" t="b">
        <f t="shared" si="74"/>
        <v>0</v>
      </c>
      <c r="AH43" s="78" t="b">
        <f t="shared" si="74"/>
        <v>0</v>
      </c>
      <c r="AI43" s="78" t="b">
        <f t="shared" si="74"/>
        <v>0</v>
      </c>
      <c r="AJ43" s="78" t="b">
        <f t="shared" si="74"/>
        <v>0</v>
      </c>
      <c r="AK43" s="78" t="b">
        <f t="shared" si="74"/>
        <v>0</v>
      </c>
      <c r="AL43" s="78" t="b">
        <f t="shared" si="74"/>
        <v>0</v>
      </c>
      <c r="AM43" s="78" t="b">
        <f t="shared" si="74"/>
        <v>0</v>
      </c>
      <c r="AN43" s="78" t="b">
        <f t="shared" si="74"/>
        <v>0</v>
      </c>
      <c r="AO43" s="78" t="b">
        <f t="shared" si="74"/>
        <v>0</v>
      </c>
      <c r="AP43" s="78"/>
      <c r="AZ43">
        <f t="shared" si="12"/>
        <v>0</v>
      </c>
    </row>
    <row r="44" spans="4:52" x14ac:dyDescent="0.35">
      <c r="D44" s="96"/>
      <c r="E44" s="96"/>
      <c r="G44" s="77">
        <f t="shared" si="2"/>
        <v>0</v>
      </c>
      <c r="H44" s="78">
        <f t="shared" si="3"/>
        <v>0</v>
      </c>
      <c r="I44" s="77">
        <f t="shared" si="4"/>
        <v>0</v>
      </c>
      <c r="J44" s="78">
        <f t="shared" si="5"/>
        <v>0</v>
      </c>
      <c r="K44" s="78" t="str">
        <f t="shared" si="6"/>
        <v>1900-01-00 00:0:00</v>
      </c>
      <c r="L44" s="78" t="str">
        <f t="shared" si="7"/>
        <v>1900-01-00 00:0:00</v>
      </c>
      <c r="M44" s="79">
        <f t="shared" si="8"/>
        <v>0</v>
      </c>
      <c r="N44">
        <f t="shared" si="9"/>
        <v>1</v>
      </c>
      <c r="O44" t="str">
        <f>IFERROR(_xlfn.XLOOKUP(A44,HC!A:A,HC!C:C),"")</f>
        <v>Workforce</v>
      </c>
      <c r="R44" s="78" t="b">
        <f t="shared" ref="R44:AO44" si="75">IFERROR(IF($B44=$D$1,IF(AND($K44&lt;R$1,$L44&lt;R$1),"",IF(AND($K44&gt;S$1,$L44&gt;S$1),"",IF(AND($K44&lt;R$1,$L44&lt;=S$1),$L44-R$1,IF(AND($K44&gt;=R$1,$L44&gt;S$1),S$1-$K44,IF(AND($K44&gt;=R$1,$L44&lt;=S$1),$L44-$K44,IF(AND($K44&lt;R$1,$L44&gt;S$1),S$1-R$1,""))))))),"")</f>
        <v>0</v>
      </c>
      <c r="S44" s="78" t="b">
        <f t="shared" si="75"/>
        <v>0</v>
      </c>
      <c r="T44" s="78" t="b">
        <f t="shared" si="75"/>
        <v>0</v>
      </c>
      <c r="U44" s="78" t="b">
        <f t="shared" si="75"/>
        <v>0</v>
      </c>
      <c r="V44" s="78" t="b">
        <f t="shared" si="75"/>
        <v>0</v>
      </c>
      <c r="W44" s="78" t="b">
        <f t="shared" si="75"/>
        <v>0</v>
      </c>
      <c r="X44" s="78" t="b">
        <f t="shared" si="75"/>
        <v>0</v>
      </c>
      <c r="Y44" s="78" t="b">
        <f t="shared" si="75"/>
        <v>0</v>
      </c>
      <c r="Z44" s="78" t="b">
        <f t="shared" si="75"/>
        <v>0</v>
      </c>
      <c r="AA44" s="78" t="b">
        <f t="shared" si="75"/>
        <v>0</v>
      </c>
      <c r="AB44" s="78" t="b">
        <f t="shared" si="75"/>
        <v>0</v>
      </c>
      <c r="AC44" s="78" t="b">
        <f t="shared" si="75"/>
        <v>0</v>
      </c>
      <c r="AD44" s="78" t="b">
        <f t="shared" si="75"/>
        <v>0</v>
      </c>
      <c r="AE44" s="78" t="b">
        <f t="shared" si="75"/>
        <v>0</v>
      </c>
      <c r="AF44" s="78" t="b">
        <f t="shared" si="75"/>
        <v>0</v>
      </c>
      <c r="AG44" s="78" t="b">
        <f t="shared" si="75"/>
        <v>0</v>
      </c>
      <c r="AH44" s="78" t="b">
        <f t="shared" si="75"/>
        <v>0</v>
      </c>
      <c r="AI44" s="78" t="b">
        <f t="shared" si="75"/>
        <v>0</v>
      </c>
      <c r="AJ44" s="78" t="b">
        <f t="shared" si="75"/>
        <v>0</v>
      </c>
      <c r="AK44" s="78" t="b">
        <f t="shared" si="75"/>
        <v>0</v>
      </c>
      <c r="AL44" s="78" t="b">
        <f t="shared" si="75"/>
        <v>0</v>
      </c>
      <c r="AM44" s="78" t="b">
        <f t="shared" si="75"/>
        <v>0</v>
      </c>
      <c r="AN44" s="78" t="b">
        <f t="shared" si="75"/>
        <v>0</v>
      </c>
      <c r="AO44" s="78" t="b">
        <f t="shared" si="75"/>
        <v>0</v>
      </c>
      <c r="AP44" s="78"/>
      <c r="AZ44">
        <f t="shared" si="12"/>
        <v>0</v>
      </c>
    </row>
    <row r="45" spans="4:52" x14ac:dyDescent="0.35">
      <c r="D45" s="96"/>
      <c r="E45" s="96"/>
      <c r="G45" s="77">
        <f t="shared" si="2"/>
        <v>0</v>
      </c>
      <c r="H45" s="78">
        <f t="shared" si="3"/>
        <v>0</v>
      </c>
      <c r="I45" s="77">
        <f t="shared" si="4"/>
        <v>0</v>
      </c>
      <c r="J45" s="78">
        <f t="shared" si="5"/>
        <v>0</v>
      </c>
      <c r="K45" s="78" t="str">
        <f t="shared" si="6"/>
        <v>1900-01-00 00:0:00</v>
      </c>
      <c r="L45" s="78" t="str">
        <f t="shared" si="7"/>
        <v>1900-01-00 00:0:00</v>
      </c>
      <c r="M45" s="79">
        <f t="shared" si="8"/>
        <v>0</v>
      </c>
      <c r="N45">
        <f t="shared" si="9"/>
        <v>1</v>
      </c>
      <c r="O45" t="str">
        <f>IFERROR(_xlfn.XLOOKUP(A45,HC!A:A,HC!C:C),"")</f>
        <v>Workforce</v>
      </c>
      <c r="R45" s="78" t="b">
        <f t="shared" ref="R45:AO45" si="76">IFERROR(IF($B45=$D$1,IF(AND($K45&lt;R$1,$L45&lt;R$1),"",IF(AND($K45&gt;S$1,$L45&gt;S$1),"",IF(AND($K45&lt;R$1,$L45&lt;=S$1),$L45-R$1,IF(AND($K45&gt;=R$1,$L45&gt;S$1),S$1-$K45,IF(AND($K45&gt;=R$1,$L45&lt;=S$1),$L45-$K45,IF(AND($K45&lt;R$1,$L45&gt;S$1),S$1-R$1,""))))))),"")</f>
        <v>0</v>
      </c>
      <c r="S45" s="78" t="b">
        <f t="shared" si="76"/>
        <v>0</v>
      </c>
      <c r="T45" s="78" t="b">
        <f t="shared" si="76"/>
        <v>0</v>
      </c>
      <c r="U45" s="78" t="b">
        <f t="shared" si="76"/>
        <v>0</v>
      </c>
      <c r="V45" s="78" t="b">
        <f t="shared" si="76"/>
        <v>0</v>
      </c>
      <c r="W45" s="78" t="b">
        <f t="shared" si="76"/>
        <v>0</v>
      </c>
      <c r="X45" s="78" t="b">
        <f t="shared" si="76"/>
        <v>0</v>
      </c>
      <c r="Y45" s="78" t="b">
        <f t="shared" si="76"/>
        <v>0</v>
      </c>
      <c r="Z45" s="78" t="b">
        <f t="shared" si="76"/>
        <v>0</v>
      </c>
      <c r="AA45" s="78" t="b">
        <f t="shared" si="76"/>
        <v>0</v>
      </c>
      <c r="AB45" s="78" t="b">
        <f t="shared" si="76"/>
        <v>0</v>
      </c>
      <c r="AC45" s="78" t="b">
        <f t="shared" si="76"/>
        <v>0</v>
      </c>
      <c r="AD45" s="78" t="b">
        <f t="shared" si="76"/>
        <v>0</v>
      </c>
      <c r="AE45" s="78" t="b">
        <f t="shared" si="76"/>
        <v>0</v>
      </c>
      <c r="AF45" s="78" t="b">
        <f t="shared" si="76"/>
        <v>0</v>
      </c>
      <c r="AG45" s="78" t="b">
        <f t="shared" si="76"/>
        <v>0</v>
      </c>
      <c r="AH45" s="78" t="b">
        <f t="shared" si="76"/>
        <v>0</v>
      </c>
      <c r="AI45" s="78" t="b">
        <f t="shared" si="76"/>
        <v>0</v>
      </c>
      <c r="AJ45" s="78" t="b">
        <f t="shared" si="76"/>
        <v>0</v>
      </c>
      <c r="AK45" s="78" t="b">
        <f t="shared" si="76"/>
        <v>0</v>
      </c>
      <c r="AL45" s="78" t="b">
        <f t="shared" si="76"/>
        <v>0</v>
      </c>
      <c r="AM45" s="78" t="b">
        <f t="shared" si="76"/>
        <v>0</v>
      </c>
      <c r="AN45" s="78" t="b">
        <f t="shared" si="76"/>
        <v>0</v>
      </c>
      <c r="AO45" s="78" t="b">
        <f t="shared" si="76"/>
        <v>0</v>
      </c>
      <c r="AP45" s="78"/>
      <c r="AZ45">
        <f t="shared" si="12"/>
        <v>0</v>
      </c>
    </row>
    <row r="46" spans="4:52" x14ac:dyDescent="0.35">
      <c r="D46" s="96"/>
      <c r="E46" s="96"/>
      <c r="G46" s="77">
        <f t="shared" si="2"/>
        <v>0</v>
      </c>
      <c r="H46" s="78">
        <f t="shared" si="3"/>
        <v>0</v>
      </c>
      <c r="I46" s="77">
        <f t="shared" si="4"/>
        <v>0</v>
      </c>
      <c r="J46" s="78">
        <f t="shared" si="5"/>
        <v>0</v>
      </c>
      <c r="K46" s="78" t="str">
        <f t="shared" si="6"/>
        <v>1900-01-00 00:0:00</v>
      </c>
      <c r="L46" s="78" t="str">
        <f t="shared" si="7"/>
        <v>1900-01-00 00:0:00</v>
      </c>
      <c r="M46" s="79">
        <f t="shared" si="8"/>
        <v>0</v>
      </c>
      <c r="N46">
        <f t="shared" si="9"/>
        <v>1</v>
      </c>
      <c r="O46" t="str">
        <f>IFERROR(_xlfn.XLOOKUP(A46,HC!A:A,HC!C:C),"")</f>
        <v>Workforce</v>
      </c>
      <c r="R46" s="78" t="b">
        <f t="shared" ref="R46:AO46" si="77">IFERROR(IF($B46=$D$1,IF(AND($K46&lt;R$1,$L46&lt;R$1),"",IF(AND($K46&gt;S$1,$L46&gt;S$1),"",IF(AND($K46&lt;R$1,$L46&lt;=S$1),$L46-R$1,IF(AND($K46&gt;=R$1,$L46&gt;S$1),S$1-$K46,IF(AND($K46&gt;=R$1,$L46&lt;=S$1),$L46-$K46,IF(AND($K46&lt;R$1,$L46&gt;S$1),S$1-R$1,""))))))),"")</f>
        <v>0</v>
      </c>
      <c r="S46" s="78" t="b">
        <f t="shared" si="77"/>
        <v>0</v>
      </c>
      <c r="T46" s="78" t="b">
        <f t="shared" si="77"/>
        <v>0</v>
      </c>
      <c r="U46" s="78" t="b">
        <f t="shared" si="77"/>
        <v>0</v>
      </c>
      <c r="V46" s="78" t="b">
        <f t="shared" si="77"/>
        <v>0</v>
      </c>
      <c r="W46" s="78" t="b">
        <f t="shared" si="77"/>
        <v>0</v>
      </c>
      <c r="X46" s="78" t="b">
        <f t="shared" si="77"/>
        <v>0</v>
      </c>
      <c r="Y46" s="78" t="b">
        <f t="shared" si="77"/>
        <v>0</v>
      </c>
      <c r="Z46" s="78" t="b">
        <f t="shared" si="77"/>
        <v>0</v>
      </c>
      <c r="AA46" s="78" t="b">
        <f t="shared" si="77"/>
        <v>0</v>
      </c>
      <c r="AB46" s="78" t="b">
        <f t="shared" si="77"/>
        <v>0</v>
      </c>
      <c r="AC46" s="78" t="b">
        <f t="shared" si="77"/>
        <v>0</v>
      </c>
      <c r="AD46" s="78" t="b">
        <f t="shared" si="77"/>
        <v>0</v>
      </c>
      <c r="AE46" s="78" t="b">
        <f t="shared" si="77"/>
        <v>0</v>
      </c>
      <c r="AF46" s="78" t="b">
        <f t="shared" si="77"/>
        <v>0</v>
      </c>
      <c r="AG46" s="78" t="b">
        <f t="shared" si="77"/>
        <v>0</v>
      </c>
      <c r="AH46" s="78" t="b">
        <f t="shared" si="77"/>
        <v>0</v>
      </c>
      <c r="AI46" s="78" t="b">
        <f t="shared" si="77"/>
        <v>0</v>
      </c>
      <c r="AJ46" s="78" t="b">
        <f t="shared" si="77"/>
        <v>0</v>
      </c>
      <c r="AK46" s="78" t="b">
        <f t="shared" si="77"/>
        <v>0</v>
      </c>
      <c r="AL46" s="78" t="b">
        <f t="shared" si="77"/>
        <v>0</v>
      </c>
      <c r="AM46" s="78" t="b">
        <f t="shared" si="77"/>
        <v>0</v>
      </c>
      <c r="AN46" s="78" t="b">
        <f t="shared" si="77"/>
        <v>0</v>
      </c>
      <c r="AO46" s="78" t="b">
        <f t="shared" si="77"/>
        <v>0</v>
      </c>
      <c r="AP46" s="78"/>
      <c r="AZ46">
        <f t="shared" si="12"/>
        <v>0</v>
      </c>
    </row>
    <row r="47" spans="4:52" x14ac:dyDescent="0.35">
      <c r="D47" s="96"/>
      <c r="E47" s="96"/>
      <c r="G47" s="77">
        <f t="shared" si="2"/>
        <v>0</v>
      </c>
      <c r="H47" s="78">
        <f t="shared" si="3"/>
        <v>0</v>
      </c>
      <c r="I47" s="77">
        <f t="shared" si="4"/>
        <v>0</v>
      </c>
      <c r="J47" s="78">
        <f t="shared" si="5"/>
        <v>0</v>
      </c>
      <c r="K47" s="78" t="str">
        <f t="shared" si="6"/>
        <v>1900-01-00 00:0:00</v>
      </c>
      <c r="L47" s="78" t="str">
        <f t="shared" si="7"/>
        <v>1900-01-00 00:0:00</v>
      </c>
      <c r="M47" s="79">
        <f t="shared" si="8"/>
        <v>0</v>
      </c>
      <c r="N47">
        <f t="shared" si="9"/>
        <v>1</v>
      </c>
      <c r="O47" t="str">
        <f>IFERROR(_xlfn.XLOOKUP(A47,HC!A:A,HC!C:C),"")</f>
        <v>Workforce</v>
      </c>
      <c r="R47" s="78" t="b">
        <f t="shared" ref="R47:AO47" si="78">IFERROR(IF($B47=$D$1,IF(AND($K47&lt;R$1,$L47&lt;R$1),"",IF(AND($K47&gt;S$1,$L47&gt;S$1),"",IF(AND($K47&lt;R$1,$L47&lt;=S$1),$L47-R$1,IF(AND($K47&gt;=R$1,$L47&gt;S$1),S$1-$K47,IF(AND($K47&gt;=R$1,$L47&lt;=S$1),$L47-$K47,IF(AND($K47&lt;R$1,$L47&gt;S$1),S$1-R$1,""))))))),"")</f>
        <v>0</v>
      </c>
      <c r="S47" s="78" t="b">
        <f t="shared" si="78"/>
        <v>0</v>
      </c>
      <c r="T47" s="78" t="b">
        <f t="shared" si="78"/>
        <v>0</v>
      </c>
      <c r="U47" s="78" t="b">
        <f t="shared" si="78"/>
        <v>0</v>
      </c>
      <c r="V47" s="78" t="b">
        <f t="shared" si="78"/>
        <v>0</v>
      </c>
      <c r="W47" s="78" t="b">
        <f t="shared" si="78"/>
        <v>0</v>
      </c>
      <c r="X47" s="78" t="b">
        <f t="shared" si="78"/>
        <v>0</v>
      </c>
      <c r="Y47" s="78" t="b">
        <f t="shared" si="78"/>
        <v>0</v>
      </c>
      <c r="Z47" s="78" t="b">
        <f t="shared" si="78"/>
        <v>0</v>
      </c>
      <c r="AA47" s="78" t="b">
        <f t="shared" si="78"/>
        <v>0</v>
      </c>
      <c r="AB47" s="78" t="b">
        <f t="shared" si="78"/>
        <v>0</v>
      </c>
      <c r="AC47" s="78" t="b">
        <f t="shared" si="78"/>
        <v>0</v>
      </c>
      <c r="AD47" s="78" t="b">
        <f t="shared" si="78"/>
        <v>0</v>
      </c>
      <c r="AE47" s="78" t="b">
        <f t="shared" si="78"/>
        <v>0</v>
      </c>
      <c r="AF47" s="78" t="b">
        <f t="shared" si="78"/>
        <v>0</v>
      </c>
      <c r="AG47" s="78" t="b">
        <f t="shared" si="78"/>
        <v>0</v>
      </c>
      <c r="AH47" s="78" t="b">
        <f t="shared" si="78"/>
        <v>0</v>
      </c>
      <c r="AI47" s="78" t="b">
        <f t="shared" si="78"/>
        <v>0</v>
      </c>
      <c r="AJ47" s="78" t="b">
        <f t="shared" si="78"/>
        <v>0</v>
      </c>
      <c r="AK47" s="78" t="b">
        <f t="shared" si="78"/>
        <v>0</v>
      </c>
      <c r="AL47" s="78" t="b">
        <f t="shared" si="78"/>
        <v>0</v>
      </c>
      <c r="AM47" s="78" t="b">
        <f t="shared" si="78"/>
        <v>0</v>
      </c>
      <c r="AN47" s="78" t="b">
        <f t="shared" si="78"/>
        <v>0</v>
      </c>
      <c r="AO47" s="78" t="b">
        <f t="shared" si="78"/>
        <v>0</v>
      </c>
      <c r="AP47" s="78"/>
      <c r="AZ47">
        <f t="shared" si="12"/>
        <v>0</v>
      </c>
    </row>
    <row r="48" spans="4:52" x14ac:dyDescent="0.35">
      <c r="D48" s="96"/>
      <c r="E48" s="96"/>
      <c r="G48" s="77">
        <f t="shared" si="2"/>
        <v>0</v>
      </c>
      <c r="H48" s="78">
        <f t="shared" si="3"/>
        <v>0</v>
      </c>
      <c r="I48" s="77">
        <f t="shared" si="4"/>
        <v>0</v>
      </c>
      <c r="J48" s="78">
        <f t="shared" si="5"/>
        <v>0</v>
      </c>
      <c r="K48" s="78" t="str">
        <f t="shared" si="6"/>
        <v>1900-01-00 00:0:00</v>
      </c>
      <c r="L48" s="78" t="str">
        <f t="shared" si="7"/>
        <v>1900-01-00 00:0:00</v>
      </c>
      <c r="M48" s="79">
        <f t="shared" si="8"/>
        <v>0</v>
      </c>
      <c r="N48">
        <f t="shared" si="9"/>
        <v>1</v>
      </c>
      <c r="O48" t="str">
        <f>IFERROR(_xlfn.XLOOKUP(A48,HC!A:A,HC!C:C),"")</f>
        <v>Workforce</v>
      </c>
      <c r="R48" s="78" t="b">
        <f t="shared" ref="R48:AO48" si="79">IFERROR(IF($B48=$D$1,IF(AND($K48&lt;R$1,$L48&lt;R$1),"",IF(AND($K48&gt;S$1,$L48&gt;S$1),"",IF(AND($K48&lt;R$1,$L48&lt;=S$1),$L48-R$1,IF(AND($K48&gt;=R$1,$L48&gt;S$1),S$1-$K48,IF(AND($K48&gt;=R$1,$L48&lt;=S$1),$L48-$K48,IF(AND($K48&lt;R$1,$L48&gt;S$1),S$1-R$1,""))))))),"")</f>
        <v>0</v>
      </c>
      <c r="S48" s="78" t="b">
        <f t="shared" si="79"/>
        <v>0</v>
      </c>
      <c r="T48" s="78" t="b">
        <f t="shared" si="79"/>
        <v>0</v>
      </c>
      <c r="U48" s="78" t="b">
        <f t="shared" si="79"/>
        <v>0</v>
      </c>
      <c r="V48" s="78" t="b">
        <f t="shared" si="79"/>
        <v>0</v>
      </c>
      <c r="W48" s="78" t="b">
        <f t="shared" si="79"/>
        <v>0</v>
      </c>
      <c r="X48" s="78" t="b">
        <f t="shared" si="79"/>
        <v>0</v>
      </c>
      <c r="Y48" s="78" t="b">
        <f t="shared" si="79"/>
        <v>0</v>
      </c>
      <c r="Z48" s="78" t="b">
        <f t="shared" si="79"/>
        <v>0</v>
      </c>
      <c r="AA48" s="78" t="b">
        <f t="shared" si="79"/>
        <v>0</v>
      </c>
      <c r="AB48" s="78" t="b">
        <f t="shared" si="79"/>
        <v>0</v>
      </c>
      <c r="AC48" s="78" t="b">
        <f t="shared" si="79"/>
        <v>0</v>
      </c>
      <c r="AD48" s="78" t="b">
        <f t="shared" si="79"/>
        <v>0</v>
      </c>
      <c r="AE48" s="78" t="b">
        <f t="shared" si="79"/>
        <v>0</v>
      </c>
      <c r="AF48" s="78" t="b">
        <f t="shared" si="79"/>
        <v>0</v>
      </c>
      <c r="AG48" s="78" t="b">
        <f t="shared" si="79"/>
        <v>0</v>
      </c>
      <c r="AH48" s="78" t="b">
        <f t="shared" si="79"/>
        <v>0</v>
      </c>
      <c r="AI48" s="78" t="b">
        <f t="shared" si="79"/>
        <v>0</v>
      </c>
      <c r="AJ48" s="78" t="b">
        <f t="shared" si="79"/>
        <v>0</v>
      </c>
      <c r="AK48" s="78" t="b">
        <f t="shared" si="79"/>
        <v>0</v>
      </c>
      <c r="AL48" s="78" t="b">
        <f t="shared" si="79"/>
        <v>0</v>
      </c>
      <c r="AM48" s="78" t="b">
        <f t="shared" si="79"/>
        <v>0</v>
      </c>
      <c r="AN48" s="78" t="b">
        <f t="shared" si="79"/>
        <v>0</v>
      </c>
      <c r="AO48" s="78" t="b">
        <f t="shared" si="79"/>
        <v>0</v>
      </c>
      <c r="AP48" s="78"/>
      <c r="AZ48">
        <f t="shared" si="12"/>
        <v>0</v>
      </c>
    </row>
    <row r="49" spans="4:52" x14ac:dyDescent="0.35">
      <c r="D49" s="96"/>
      <c r="E49" s="96"/>
      <c r="G49" s="77">
        <f t="shared" si="2"/>
        <v>0</v>
      </c>
      <c r="H49" s="78">
        <f t="shared" si="3"/>
        <v>0</v>
      </c>
      <c r="I49" s="77">
        <f t="shared" si="4"/>
        <v>0</v>
      </c>
      <c r="J49" s="78">
        <f t="shared" si="5"/>
        <v>0</v>
      </c>
      <c r="K49" s="78" t="str">
        <f t="shared" si="6"/>
        <v>1900-01-00 00:0:00</v>
      </c>
      <c r="L49" s="78" t="str">
        <f t="shared" si="7"/>
        <v>1900-01-00 00:0:00</v>
      </c>
      <c r="M49" s="79">
        <f t="shared" si="8"/>
        <v>0</v>
      </c>
      <c r="N49">
        <f t="shared" si="9"/>
        <v>1</v>
      </c>
      <c r="O49" t="str">
        <f>IFERROR(_xlfn.XLOOKUP(A49,HC!A:A,HC!C:C),"")</f>
        <v>Workforce</v>
      </c>
      <c r="R49" s="78" t="b">
        <f t="shared" ref="R49:AO49" si="80">IFERROR(IF($B49=$D$1,IF(AND($K49&lt;R$1,$L49&lt;R$1),"",IF(AND($K49&gt;S$1,$L49&gt;S$1),"",IF(AND($K49&lt;R$1,$L49&lt;=S$1),$L49-R$1,IF(AND($K49&gt;=R$1,$L49&gt;S$1),S$1-$K49,IF(AND($K49&gt;=R$1,$L49&lt;=S$1),$L49-$K49,IF(AND($K49&lt;R$1,$L49&gt;S$1),S$1-R$1,""))))))),"")</f>
        <v>0</v>
      </c>
      <c r="S49" s="78" t="b">
        <f t="shared" si="80"/>
        <v>0</v>
      </c>
      <c r="T49" s="78" t="b">
        <f t="shared" si="80"/>
        <v>0</v>
      </c>
      <c r="U49" s="78" t="b">
        <f t="shared" si="80"/>
        <v>0</v>
      </c>
      <c r="V49" s="78" t="b">
        <f t="shared" si="80"/>
        <v>0</v>
      </c>
      <c r="W49" s="78" t="b">
        <f t="shared" si="80"/>
        <v>0</v>
      </c>
      <c r="X49" s="78" t="b">
        <f t="shared" si="80"/>
        <v>0</v>
      </c>
      <c r="Y49" s="78" t="b">
        <f t="shared" si="80"/>
        <v>0</v>
      </c>
      <c r="Z49" s="78" t="b">
        <f t="shared" si="80"/>
        <v>0</v>
      </c>
      <c r="AA49" s="78" t="b">
        <f t="shared" si="80"/>
        <v>0</v>
      </c>
      <c r="AB49" s="78" t="b">
        <f t="shared" si="80"/>
        <v>0</v>
      </c>
      <c r="AC49" s="78" t="b">
        <f t="shared" si="80"/>
        <v>0</v>
      </c>
      <c r="AD49" s="78" t="b">
        <f t="shared" si="80"/>
        <v>0</v>
      </c>
      <c r="AE49" s="78" t="b">
        <f t="shared" si="80"/>
        <v>0</v>
      </c>
      <c r="AF49" s="78" t="b">
        <f t="shared" si="80"/>
        <v>0</v>
      </c>
      <c r="AG49" s="78" t="b">
        <f t="shared" si="80"/>
        <v>0</v>
      </c>
      <c r="AH49" s="78" t="b">
        <f t="shared" si="80"/>
        <v>0</v>
      </c>
      <c r="AI49" s="78" t="b">
        <f t="shared" si="80"/>
        <v>0</v>
      </c>
      <c r="AJ49" s="78" t="b">
        <f t="shared" si="80"/>
        <v>0</v>
      </c>
      <c r="AK49" s="78" t="b">
        <f t="shared" si="80"/>
        <v>0</v>
      </c>
      <c r="AL49" s="78" t="b">
        <f t="shared" si="80"/>
        <v>0</v>
      </c>
      <c r="AM49" s="78" t="b">
        <f t="shared" si="80"/>
        <v>0</v>
      </c>
      <c r="AN49" s="78" t="b">
        <f t="shared" si="80"/>
        <v>0</v>
      </c>
      <c r="AO49" s="78" t="b">
        <f t="shared" si="80"/>
        <v>0</v>
      </c>
      <c r="AP49" s="78"/>
      <c r="AZ49">
        <f t="shared" si="12"/>
        <v>0</v>
      </c>
    </row>
    <row r="50" spans="4:52" x14ac:dyDescent="0.35">
      <c r="D50" s="96"/>
      <c r="E50" s="96"/>
      <c r="G50" s="77">
        <f t="shared" si="2"/>
        <v>0</v>
      </c>
      <c r="H50" s="78">
        <f t="shared" si="3"/>
        <v>0</v>
      </c>
      <c r="I50" s="77">
        <f t="shared" si="4"/>
        <v>0</v>
      </c>
      <c r="J50" s="78">
        <f t="shared" si="5"/>
        <v>0</v>
      </c>
      <c r="K50" s="78" t="str">
        <f t="shared" si="6"/>
        <v>1900-01-00 00:0:00</v>
      </c>
      <c r="L50" s="78" t="str">
        <f t="shared" si="7"/>
        <v>1900-01-00 00:0:00</v>
      </c>
      <c r="M50" s="79">
        <f t="shared" si="8"/>
        <v>0</v>
      </c>
      <c r="N50">
        <f t="shared" si="9"/>
        <v>1</v>
      </c>
      <c r="O50" t="str">
        <f>IFERROR(_xlfn.XLOOKUP(A50,HC!A:A,HC!C:C),"")</f>
        <v>Workforce</v>
      </c>
      <c r="R50" s="78" t="b">
        <f t="shared" ref="R50:AO50" si="81">IFERROR(IF($B50=$D$1,IF(AND($K50&lt;R$1,$L50&lt;R$1),"",IF(AND($K50&gt;S$1,$L50&gt;S$1),"",IF(AND($K50&lt;R$1,$L50&lt;=S$1),$L50-R$1,IF(AND($K50&gt;=R$1,$L50&gt;S$1),S$1-$K50,IF(AND($K50&gt;=R$1,$L50&lt;=S$1),$L50-$K50,IF(AND($K50&lt;R$1,$L50&gt;S$1),S$1-R$1,""))))))),"")</f>
        <v>0</v>
      </c>
      <c r="S50" s="78" t="b">
        <f t="shared" si="81"/>
        <v>0</v>
      </c>
      <c r="T50" s="78" t="b">
        <f t="shared" si="81"/>
        <v>0</v>
      </c>
      <c r="U50" s="78" t="b">
        <f t="shared" si="81"/>
        <v>0</v>
      </c>
      <c r="V50" s="78" t="b">
        <f t="shared" si="81"/>
        <v>0</v>
      </c>
      <c r="W50" s="78" t="b">
        <f t="shared" si="81"/>
        <v>0</v>
      </c>
      <c r="X50" s="78" t="b">
        <f t="shared" si="81"/>
        <v>0</v>
      </c>
      <c r="Y50" s="78" t="b">
        <f t="shared" si="81"/>
        <v>0</v>
      </c>
      <c r="Z50" s="78" t="b">
        <f t="shared" si="81"/>
        <v>0</v>
      </c>
      <c r="AA50" s="78" t="b">
        <f t="shared" si="81"/>
        <v>0</v>
      </c>
      <c r="AB50" s="78" t="b">
        <f t="shared" si="81"/>
        <v>0</v>
      </c>
      <c r="AC50" s="78" t="b">
        <f t="shared" si="81"/>
        <v>0</v>
      </c>
      <c r="AD50" s="78" t="b">
        <f t="shared" si="81"/>
        <v>0</v>
      </c>
      <c r="AE50" s="78" t="b">
        <f t="shared" si="81"/>
        <v>0</v>
      </c>
      <c r="AF50" s="78" t="b">
        <f t="shared" si="81"/>
        <v>0</v>
      </c>
      <c r="AG50" s="78" t="b">
        <f t="shared" si="81"/>
        <v>0</v>
      </c>
      <c r="AH50" s="78" t="b">
        <f t="shared" si="81"/>
        <v>0</v>
      </c>
      <c r="AI50" s="78" t="b">
        <f t="shared" si="81"/>
        <v>0</v>
      </c>
      <c r="AJ50" s="78" t="b">
        <f t="shared" si="81"/>
        <v>0</v>
      </c>
      <c r="AK50" s="78" t="b">
        <f t="shared" si="81"/>
        <v>0</v>
      </c>
      <c r="AL50" s="78" t="b">
        <f t="shared" si="81"/>
        <v>0</v>
      </c>
      <c r="AM50" s="78" t="b">
        <f t="shared" si="81"/>
        <v>0</v>
      </c>
      <c r="AN50" s="78" t="b">
        <f t="shared" si="81"/>
        <v>0</v>
      </c>
      <c r="AO50" s="78" t="b">
        <f t="shared" si="81"/>
        <v>0</v>
      </c>
      <c r="AP50" s="78"/>
      <c r="AZ50">
        <f t="shared" si="12"/>
        <v>0</v>
      </c>
    </row>
    <row r="51" spans="4:52" x14ac:dyDescent="0.35">
      <c r="D51" s="96"/>
      <c r="E51" s="96"/>
      <c r="G51" s="77">
        <f t="shared" si="2"/>
        <v>0</v>
      </c>
      <c r="H51" s="78">
        <f t="shared" si="3"/>
        <v>0</v>
      </c>
      <c r="I51" s="77">
        <f t="shared" si="4"/>
        <v>0</v>
      </c>
      <c r="J51" s="78">
        <f t="shared" si="5"/>
        <v>0</v>
      </c>
      <c r="K51" s="78" t="str">
        <f t="shared" si="6"/>
        <v>1900-01-00 00:0:00</v>
      </c>
      <c r="L51" s="78" t="str">
        <f t="shared" si="7"/>
        <v>1900-01-00 00:0:00</v>
      </c>
      <c r="M51" s="79">
        <f t="shared" si="8"/>
        <v>0</v>
      </c>
      <c r="N51">
        <f t="shared" si="9"/>
        <v>1</v>
      </c>
      <c r="O51" t="str">
        <f>IFERROR(_xlfn.XLOOKUP(A51,HC!A:A,HC!C:C),"")</f>
        <v>Workforce</v>
      </c>
      <c r="R51" s="78" t="b">
        <f t="shared" ref="R51:AO51" si="82">IFERROR(IF($B51=$D$1,IF(AND($K51&lt;R$1,$L51&lt;R$1),"",IF(AND($K51&gt;S$1,$L51&gt;S$1),"",IF(AND($K51&lt;R$1,$L51&lt;=S$1),$L51-R$1,IF(AND($K51&gt;=R$1,$L51&gt;S$1),S$1-$K51,IF(AND($K51&gt;=R$1,$L51&lt;=S$1),$L51-$K51,IF(AND($K51&lt;R$1,$L51&gt;S$1),S$1-R$1,""))))))),"")</f>
        <v>0</v>
      </c>
      <c r="S51" s="78" t="b">
        <f t="shared" si="82"/>
        <v>0</v>
      </c>
      <c r="T51" s="78" t="b">
        <f t="shared" si="82"/>
        <v>0</v>
      </c>
      <c r="U51" s="78" t="b">
        <f t="shared" si="82"/>
        <v>0</v>
      </c>
      <c r="V51" s="78" t="b">
        <f t="shared" si="82"/>
        <v>0</v>
      </c>
      <c r="W51" s="78" t="b">
        <f t="shared" si="82"/>
        <v>0</v>
      </c>
      <c r="X51" s="78" t="b">
        <f t="shared" si="82"/>
        <v>0</v>
      </c>
      <c r="Y51" s="78" t="b">
        <f t="shared" si="82"/>
        <v>0</v>
      </c>
      <c r="Z51" s="78" t="b">
        <f t="shared" si="82"/>
        <v>0</v>
      </c>
      <c r="AA51" s="78" t="b">
        <f t="shared" si="82"/>
        <v>0</v>
      </c>
      <c r="AB51" s="78" t="b">
        <f t="shared" si="82"/>
        <v>0</v>
      </c>
      <c r="AC51" s="78" t="b">
        <f t="shared" si="82"/>
        <v>0</v>
      </c>
      <c r="AD51" s="78" t="b">
        <f t="shared" si="82"/>
        <v>0</v>
      </c>
      <c r="AE51" s="78" t="b">
        <f t="shared" si="82"/>
        <v>0</v>
      </c>
      <c r="AF51" s="78" t="b">
        <f t="shared" si="82"/>
        <v>0</v>
      </c>
      <c r="AG51" s="78" t="b">
        <f t="shared" si="82"/>
        <v>0</v>
      </c>
      <c r="AH51" s="78" t="b">
        <f t="shared" si="82"/>
        <v>0</v>
      </c>
      <c r="AI51" s="78" t="b">
        <f t="shared" si="82"/>
        <v>0</v>
      </c>
      <c r="AJ51" s="78" t="b">
        <f t="shared" si="82"/>
        <v>0</v>
      </c>
      <c r="AK51" s="78" t="b">
        <f t="shared" si="82"/>
        <v>0</v>
      </c>
      <c r="AL51" s="78" t="b">
        <f t="shared" si="82"/>
        <v>0</v>
      </c>
      <c r="AM51" s="78" t="b">
        <f t="shared" si="82"/>
        <v>0</v>
      </c>
      <c r="AN51" s="78" t="b">
        <f t="shared" si="82"/>
        <v>0</v>
      </c>
      <c r="AO51" s="78" t="b">
        <f t="shared" si="82"/>
        <v>0</v>
      </c>
      <c r="AP51" s="78"/>
      <c r="AZ51">
        <f t="shared" si="12"/>
        <v>0</v>
      </c>
    </row>
    <row r="52" spans="4:52" x14ac:dyDescent="0.35">
      <c r="D52" s="96"/>
      <c r="E52" s="96"/>
      <c r="G52" s="77">
        <f t="shared" si="2"/>
        <v>0</v>
      </c>
      <c r="H52" s="78">
        <f t="shared" si="3"/>
        <v>0</v>
      </c>
      <c r="I52" s="77">
        <f t="shared" si="4"/>
        <v>0</v>
      </c>
      <c r="J52" s="78">
        <f t="shared" si="5"/>
        <v>0</v>
      </c>
      <c r="K52" s="78" t="str">
        <f t="shared" si="6"/>
        <v>1900-01-00 00:0:00</v>
      </c>
      <c r="L52" s="78" t="str">
        <f t="shared" si="7"/>
        <v>1900-01-00 00:0:00</v>
      </c>
      <c r="M52" s="79">
        <f t="shared" si="8"/>
        <v>0</v>
      </c>
      <c r="N52">
        <f t="shared" si="9"/>
        <v>1</v>
      </c>
      <c r="O52" t="str">
        <f>IFERROR(_xlfn.XLOOKUP(A52,HC!A:A,HC!C:C),"")</f>
        <v>Workforce</v>
      </c>
      <c r="R52" s="78" t="b">
        <f t="shared" ref="R52:AO52" si="83">IFERROR(IF($B52=$D$1,IF(AND($K52&lt;R$1,$L52&lt;R$1),"",IF(AND($K52&gt;S$1,$L52&gt;S$1),"",IF(AND($K52&lt;R$1,$L52&lt;=S$1),$L52-R$1,IF(AND($K52&gt;=R$1,$L52&gt;S$1),S$1-$K52,IF(AND($K52&gt;=R$1,$L52&lt;=S$1),$L52-$K52,IF(AND($K52&lt;R$1,$L52&gt;S$1),S$1-R$1,""))))))),"")</f>
        <v>0</v>
      </c>
      <c r="S52" s="78" t="b">
        <f t="shared" si="83"/>
        <v>0</v>
      </c>
      <c r="T52" s="78" t="b">
        <f t="shared" si="83"/>
        <v>0</v>
      </c>
      <c r="U52" s="78" t="b">
        <f t="shared" si="83"/>
        <v>0</v>
      </c>
      <c r="V52" s="78" t="b">
        <f t="shared" si="83"/>
        <v>0</v>
      </c>
      <c r="W52" s="78" t="b">
        <f t="shared" si="83"/>
        <v>0</v>
      </c>
      <c r="X52" s="78" t="b">
        <f t="shared" si="83"/>
        <v>0</v>
      </c>
      <c r="Y52" s="78" t="b">
        <f t="shared" si="83"/>
        <v>0</v>
      </c>
      <c r="Z52" s="78" t="b">
        <f t="shared" si="83"/>
        <v>0</v>
      </c>
      <c r="AA52" s="78" t="b">
        <f t="shared" si="83"/>
        <v>0</v>
      </c>
      <c r="AB52" s="78" t="b">
        <f t="shared" si="83"/>
        <v>0</v>
      </c>
      <c r="AC52" s="78" t="b">
        <f t="shared" si="83"/>
        <v>0</v>
      </c>
      <c r="AD52" s="78" t="b">
        <f t="shared" si="83"/>
        <v>0</v>
      </c>
      <c r="AE52" s="78" t="b">
        <f t="shared" si="83"/>
        <v>0</v>
      </c>
      <c r="AF52" s="78" t="b">
        <f t="shared" si="83"/>
        <v>0</v>
      </c>
      <c r="AG52" s="78" t="b">
        <f t="shared" si="83"/>
        <v>0</v>
      </c>
      <c r="AH52" s="78" t="b">
        <f t="shared" si="83"/>
        <v>0</v>
      </c>
      <c r="AI52" s="78" t="b">
        <f t="shared" si="83"/>
        <v>0</v>
      </c>
      <c r="AJ52" s="78" t="b">
        <f t="shared" si="83"/>
        <v>0</v>
      </c>
      <c r="AK52" s="78" t="b">
        <f t="shared" si="83"/>
        <v>0</v>
      </c>
      <c r="AL52" s="78" t="b">
        <f t="shared" si="83"/>
        <v>0</v>
      </c>
      <c r="AM52" s="78" t="b">
        <f t="shared" si="83"/>
        <v>0</v>
      </c>
      <c r="AN52" s="78" t="b">
        <f t="shared" si="83"/>
        <v>0</v>
      </c>
      <c r="AO52" s="78" t="b">
        <f t="shared" si="83"/>
        <v>0</v>
      </c>
      <c r="AP52" s="78"/>
      <c r="AZ52">
        <f t="shared" si="12"/>
        <v>0</v>
      </c>
    </row>
    <row r="53" spans="4:52" x14ac:dyDescent="0.35">
      <c r="D53" s="96"/>
      <c r="E53" s="96"/>
      <c r="G53" s="77">
        <f t="shared" si="2"/>
        <v>0</v>
      </c>
      <c r="H53" s="78">
        <f t="shared" si="3"/>
        <v>0</v>
      </c>
      <c r="I53" s="77">
        <f t="shared" si="4"/>
        <v>0</v>
      </c>
      <c r="J53" s="78">
        <f t="shared" si="5"/>
        <v>0</v>
      </c>
      <c r="K53" s="78" t="str">
        <f t="shared" si="6"/>
        <v>1900-01-00 00:0:00</v>
      </c>
      <c r="L53" s="78" t="str">
        <f t="shared" si="7"/>
        <v>1900-01-00 00:0:00</v>
      </c>
      <c r="M53" s="79">
        <f t="shared" si="8"/>
        <v>0</v>
      </c>
      <c r="N53">
        <f t="shared" si="9"/>
        <v>1</v>
      </c>
      <c r="O53" t="str">
        <f>IFERROR(_xlfn.XLOOKUP(A53,HC!A:A,HC!C:C),"")</f>
        <v>Workforce</v>
      </c>
      <c r="R53" s="78" t="b">
        <f t="shared" ref="R53:AO53" si="84">IFERROR(IF($B53=$D$1,IF(AND($K53&lt;R$1,$L53&lt;R$1),"",IF(AND($K53&gt;S$1,$L53&gt;S$1),"",IF(AND($K53&lt;R$1,$L53&lt;=S$1),$L53-R$1,IF(AND($K53&gt;=R$1,$L53&gt;S$1),S$1-$K53,IF(AND($K53&gt;=R$1,$L53&lt;=S$1),$L53-$K53,IF(AND($K53&lt;R$1,$L53&gt;S$1),S$1-R$1,""))))))),"")</f>
        <v>0</v>
      </c>
      <c r="S53" s="78" t="b">
        <f t="shared" si="84"/>
        <v>0</v>
      </c>
      <c r="T53" s="78" t="b">
        <f t="shared" si="84"/>
        <v>0</v>
      </c>
      <c r="U53" s="78" t="b">
        <f t="shared" si="84"/>
        <v>0</v>
      </c>
      <c r="V53" s="78" t="b">
        <f t="shared" si="84"/>
        <v>0</v>
      </c>
      <c r="W53" s="78" t="b">
        <f t="shared" si="84"/>
        <v>0</v>
      </c>
      <c r="X53" s="78" t="b">
        <f t="shared" si="84"/>
        <v>0</v>
      </c>
      <c r="Y53" s="78" t="b">
        <f t="shared" si="84"/>
        <v>0</v>
      </c>
      <c r="Z53" s="78" t="b">
        <f t="shared" si="84"/>
        <v>0</v>
      </c>
      <c r="AA53" s="78" t="b">
        <f t="shared" si="84"/>
        <v>0</v>
      </c>
      <c r="AB53" s="78" t="b">
        <f t="shared" si="84"/>
        <v>0</v>
      </c>
      <c r="AC53" s="78" t="b">
        <f t="shared" si="84"/>
        <v>0</v>
      </c>
      <c r="AD53" s="78" t="b">
        <f t="shared" si="84"/>
        <v>0</v>
      </c>
      <c r="AE53" s="78" t="b">
        <f t="shared" si="84"/>
        <v>0</v>
      </c>
      <c r="AF53" s="78" t="b">
        <f t="shared" si="84"/>
        <v>0</v>
      </c>
      <c r="AG53" s="78" t="b">
        <f t="shared" si="84"/>
        <v>0</v>
      </c>
      <c r="AH53" s="78" t="b">
        <f t="shared" si="84"/>
        <v>0</v>
      </c>
      <c r="AI53" s="78" t="b">
        <f t="shared" si="84"/>
        <v>0</v>
      </c>
      <c r="AJ53" s="78" t="b">
        <f t="shared" si="84"/>
        <v>0</v>
      </c>
      <c r="AK53" s="78" t="b">
        <f t="shared" si="84"/>
        <v>0</v>
      </c>
      <c r="AL53" s="78" t="b">
        <f t="shared" si="84"/>
        <v>0</v>
      </c>
      <c r="AM53" s="78" t="b">
        <f t="shared" si="84"/>
        <v>0</v>
      </c>
      <c r="AN53" s="78" t="b">
        <f t="shared" si="84"/>
        <v>0</v>
      </c>
      <c r="AO53" s="78" t="b">
        <f t="shared" si="84"/>
        <v>0</v>
      </c>
      <c r="AP53" s="78"/>
      <c r="AZ53">
        <f t="shared" si="12"/>
        <v>0</v>
      </c>
    </row>
    <row r="54" spans="4:52" x14ac:dyDescent="0.35">
      <c r="D54" s="96"/>
      <c r="E54" s="96"/>
      <c r="G54" s="77">
        <f t="shared" si="2"/>
        <v>0</v>
      </c>
      <c r="H54" s="78">
        <f t="shared" si="3"/>
        <v>0</v>
      </c>
      <c r="I54" s="77">
        <f t="shared" si="4"/>
        <v>0</v>
      </c>
      <c r="J54" s="78">
        <f t="shared" si="5"/>
        <v>0</v>
      </c>
      <c r="K54" s="78" t="str">
        <f t="shared" si="6"/>
        <v>1900-01-00 00:0:00</v>
      </c>
      <c r="L54" s="78" t="str">
        <f t="shared" si="7"/>
        <v>1900-01-00 00:0:00</v>
      </c>
      <c r="M54" s="79">
        <f t="shared" si="8"/>
        <v>0</v>
      </c>
      <c r="N54">
        <f t="shared" si="9"/>
        <v>1</v>
      </c>
      <c r="O54" t="str">
        <f>IFERROR(_xlfn.XLOOKUP(A54,HC!A:A,HC!C:C),"")</f>
        <v>Workforce</v>
      </c>
      <c r="R54" s="78" t="b">
        <f t="shared" ref="R54:AO54" si="85">IFERROR(IF($B54=$D$1,IF(AND($K54&lt;R$1,$L54&lt;R$1),"",IF(AND($K54&gt;S$1,$L54&gt;S$1),"",IF(AND($K54&lt;R$1,$L54&lt;=S$1),$L54-R$1,IF(AND($K54&gt;=R$1,$L54&gt;S$1),S$1-$K54,IF(AND($K54&gt;=R$1,$L54&lt;=S$1),$L54-$K54,IF(AND($K54&lt;R$1,$L54&gt;S$1),S$1-R$1,""))))))),"")</f>
        <v>0</v>
      </c>
      <c r="S54" s="78" t="b">
        <f t="shared" si="85"/>
        <v>0</v>
      </c>
      <c r="T54" s="78" t="b">
        <f t="shared" si="85"/>
        <v>0</v>
      </c>
      <c r="U54" s="78" t="b">
        <f t="shared" si="85"/>
        <v>0</v>
      </c>
      <c r="V54" s="78" t="b">
        <f t="shared" si="85"/>
        <v>0</v>
      </c>
      <c r="W54" s="78" t="b">
        <f t="shared" si="85"/>
        <v>0</v>
      </c>
      <c r="X54" s="78" t="b">
        <f t="shared" si="85"/>
        <v>0</v>
      </c>
      <c r="Y54" s="78" t="b">
        <f t="shared" si="85"/>
        <v>0</v>
      </c>
      <c r="Z54" s="78" t="b">
        <f t="shared" si="85"/>
        <v>0</v>
      </c>
      <c r="AA54" s="78" t="b">
        <f t="shared" si="85"/>
        <v>0</v>
      </c>
      <c r="AB54" s="78" t="b">
        <f t="shared" si="85"/>
        <v>0</v>
      </c>
      <c r="AC54" s="78" t="b">
        <f t="shared" si="85"/>
        <v>0</v>
      </c>
      <c r="AD54" s="78" t="b">
        <f t="shared" si="85"/>
        <v>0</v>
      </c>
      <c r="AE54" s="78" t="b">
        <f t="shared" si="85"/>
        <v>0</v>
      </c>
      <c r="AF54" s="78" t="b">
        <f t="shared" si="85"/>
        <v>0</v>
      </c>
      <c r="AG54" s="78" t="b">
        <f t="shared" si="85"/>
        <v>0</v>
      </c>
      <c r="AH54" s="78" t="b">
        <f t="shared" si="85"/>
        <v>0</v>
      </c>
      <c r="AI54" s="78" t="b">
        <f t="shared" si="85"/>
        <v>0</v>
      </c>
      <c r="AJ54" s="78" t="b">
        <f t="shared" si="85"/>
        <v>0</v>
      </c>
      <c r="AK54" s="78" t="b">
        <f t="shared" si="85"/>
        <v>0</v>
      </c>
      <c r="AL54" s="78" t="b">
        <f t="shared" si="85"/>
        <v>0</v>
      </c>
      <c r="AM54" s="78" t="b">
        <f t="shared" si="85"/>
        <v>0</v>
      </c>
      <c r="AN54" s="78" t="b">
        <f t="shared" si="85"/>
        <v>0</v>
      </c>
      <c r="AO54" s="78" t="b">
        <f t="shared" si="85"/>
        <v>0</v>
      </c>
      <c r="AP54" s="78"/>
      <c r="AZ54">
        <f t="shared" si="12"/>
        <v>0</v>
      </c>
    </row>
    <row r="55" spans="4:52" x14ac:dyDescent="0.35">
      <c r="D55" s="96"/>
      <c r="E55" s="96"/>
      <c r="G55" s="77">
        <f t="shared" si="2"/>
        <v>0</v>
      </c>
      <c r="H55" s="78">
        <f t="shared" si="3"/>
        <v>0</v>
      </c>
      <c r="I55" s="77">
        <f t="shared" si="4"/>
        <v>0</v>
      </c>
      <c r="J55" s="78">
        <f t="shared" si="5"/>
        <v>0</v>
      </c>
      <c r="K55" s="78" t="str">
        <f t="shared" si="6"/>
        <v>1900-01-00 00:0:00</v>
      </c>
      <c r="L55" s="78" t="str">
        <f t="shared" si="7"/>
        <v>1900-01-00 00:0:00</v>
      </c>
      <c r="M55" s="79">
        <f t="shared" si="8"/>
        <v>0</v>
      </c>
      <c r="N55">
        <f t="shared" si="9"/>
        <v>1</v>
      </c>
      <c r="O55" t="str">
        <f>IFERROR(_xlfn.XLOOKUP(A55,HC!A:A,HC!C:C),"")</f>
        <v>Workforce</v>
      </c>
      <c r="R55" s="78" t="b">
        <f t="shared" ref="R55:AO55" si="86">IFERROR(IF($B55=$D$1,IF(AND($K55&lt;R$1,$L55&lt;R$1),"",IF(AND($K55&gt;S$1,$L55&gt;S$1),"",IF(AND($K55&lt;R$1,$L55&lt;=S$1),$L55-R$1,IF(AND($K55&gt;=R$1,$L55&gt;S$1),S$1-$K55,IF(AND($K55&gt;=R$1,$L55&lt;=S$1),$L55-$K55,IF(AND($K55&lt;R$1,$L55&gt;S$1),S$1-R$1,""))))))),"")</f>
        <v>0</v>
      </c>
      <c r="S55" s="78" t="b">
        <f t="shared" si="86"/>
        <v>0</v>
      </c>
      <c r="T55" s="78" t="b">
        <f t="shared" si="86"/>
        <v>0</v>
      </c>
      <c r="U55" s="78" t="b">
        <f t="shared" si="86"/>
        <v>0</v>
      </c>
      <c r="V55" s="78" t="b">
        <f t="shared" si="86"/>
        <v>0</v>
      </c>
      <c r="W55" s="78" t="b">
        <f t="shared" si="86"/>
        <v>0</v>
      </c>
      <c r="X55" s="78" t="b">
        <f t="shared" si="86"/>
        <v>0</v>
      </c>
      <c r="Y55" s="78" t="b">
        <f t="shared" si="86"/>
        <v>0</v>
      </c>
      <c r="Z55" s="78" t="b">
        <f t="shared" si="86"/>
        <v>0</v>
      </c>
      <c r="AA55" s="78" t="b">
        <f t="shared" si="86"/>
        <v>0</v>
      </c>
      <c r="AB55" s="78" t="b">
        <f t="shared" si="86"/>
        <v>0</v>
      </c>
      <c r="AC55" s="78" t="b">
        <f t="shared" si="86"/>
        <v>0</v>
      </c>
      <c r="AD55" s="78" t="b">
        <f t="shared" si="86"/>
        <v>0</v>
      </c>
      <c r="AE55" s="78" t="b">
        <f t="shared" si="86"/>
        <v>0</v>
      </c>
      <c r="AF55" s="78" t="b">
        <f t="shared" si="86"/>
        <v>0</v>
      </c>
      <c r="AG55" s="78" t="b">
        <f t="shared" si="86"/>
        <v>0</v>
      </c>
      <c r="AH55" s="78" t="b">
        <f t="shared" si="86"/>
        <v>0</v>
      </c>
      <c r="AI55" s="78" t="b">
        <f t="shared" si="86"/>
        <v>0</v>
      </c>
      <c r="AJ55" s="78" t="b">
        <f t="shared" si="86"/>
        <v>0</v>
      </c>
      <c r="AK55" s="78" t="b">
        <f t="shared" si="86"/>
        <v>0</v>
      </c>
      <c r="AL55" s="78" t="b">
        <f t="shared" si="86"/>
        <v>0</v>
      </c>
      <c r="AM55" s="78" t="b">
        <f t="shared" si="86"/>
        <v>0</v>
      </c>
      <c r="AN55" s="78" t="b">
        <f t="shared" si="86"/>
        <v>0</v>
      </c>
      <c r="AO55" s="78" t="b">
        <f t="shared" si="86"/>
        <v>0</v>
      </c>
      <c r="AP55" s="78"/>
      <c r="AZ55">
        <f t="shared" si="12"/>
        <v>0</v>
      </c>
    </row>
    <row r="56" spans="4:52" x14ac:dyDescent="0.35">
      <c r="D56" s="96"/>
      <c r="E56" s="96"/>
      <c r="G56" s="77">
        <f t="shared" si="2"/>
        <v>0</v>
      </c>
      <c r="H56" s="78">
        <f t="shared" si="3"/>
        <v>0</v>
      </c>
      <c r="I56" s="77">
        <f t="shared" si="4"/>
        <v>0</v>
      </c>
      <c r="J56" s="78">
        <f t="shared" si="5"/>
        <v>0</v>
      </c>
      <c r="K56" s="78" t="str">
        <f t="shared" si="6"/>
        <v>1900-01-00 00:0:00</v>
      </c>
      <c r="L56" s="78" t="str">
        <f t="shared" si="7"/>
        <v>1900-01-00 00:0:00</v>
      </c>
      <c r="M56" s="79">
        <f t="shared" si="8"/>
        <v>0</v>
      </c>
      <c r="N56">
        <f t="shared" si="9"/>
        <v>1</v>
      </c>
      <c r="O56" t="str">
        <f>IFERROR(_xlfn.XLOOKUP(A56,HC!A:A,HC!C:C),"")</f>
        <v>Workforce</v>
      </c>
      <c r="R56" s="78" t="b">
        <f t="shared" ref="R56:AO56" si="87">IFERROR(IF($B56=$D$1,IF(AND($K56&lt;R$1,$L56&lt;R$1),"",IF(AND($K56&gt;S$1,$L56&gt;S$1),"",IF(AND($K56&lt;R$1,$L56&lt;=S$1),$L56-R$1,IF(AND($K56&gt;=R$1,$L56&gt;S$1),S$1-$K56,IF(AND($K56&gt;=R$1,$L56&lt;=S$1),$L56-$K56,IF(AND($K56&lt;R$1,$L56&gt;S$1),S$1-R$1,""))))))),"")</f>
        <v>0</v>
      </c>
      <c r="S56" s="78" t="b">
        <f t="shared" si="87"/>
        <v>0</v>
      </c>
      <c r="T56" s="78" t="b">
        <f t="shared" si="87"/>
        <v>0</v>
      </c>
      <c r="U56" s="78" t="b">
        <f t="shared" si="87"/>
        <v>0</v>
      </c>
      <c r="V56" s="78" t="b">
        <f t="shared" si="87"/>
        <v>0</v>
      </c>
      <c r="W56" s="78" t="b">
        <f t="shared" si="87"/>
        <v>0</v>
      </c>
      <c r="X56" s="78" t="b">
        <f t="shared" si="87"/>
        <v>0</v>
      </c>
      <c r="Y56" s="78" t="b">
        <f t="shared" si="87"/>
        <v>0</v>
      </c>
      <c r="Z56" s="78" t="b">
        <f t="shared" si="87"/>
        <v>0</v>
      </c>
      <c r="AA56" s="78" t="b">
        <f t="shared" si="87"/>
        <v>0</v>
      </c>
      <c r="AB56" s="78" t="b">
        <f t="shared" si="87"/>
        <v>0</v>
      </c>
      <c r="AC56" s="78" t="b">
        <f t="shared" si="87"/>
        <v>0</v>
      </c>
      <c r="AD56" s="78" t="b">
        <f t="shared" si="87"/>
        <v>0</v>
      </c>
      <c r="AE56" s="78" t="b">
        <f t="shared" si="87"/>
        <v>0</v>
      </c>
      <c r="AF56" s="78" t="b">
        <f t="shared" si="87"/>
        <v>0</v>
      </c>
      <c r="AG56" s="78" t="b">
        <f t="shared" si="87"/>
        <v>0</v>
      </c>
      <c r="AH56" s="78" t="b">
        <f t="shared" si="87"/>
        <v>0</v>
      </c>
      <c r="AI56" s="78" t="b">
        <f t="shared" si="87"/>
        <v>0</v>
      </c>
      <c r="AJ56" s="78" t="b">
        <f t="shared" si="87"/>
        <v>0</v>
      </c>
      <c r="AK56" s="78" t="b">
        <f t="shared" si="87"/>
        <v>0</v>
      </c>
      <c r="AL56" s="78" t="b">
        <f t="shared" si="87"/>
        <v>0</v>
      </c>
      <c r="AM56" s="78" t="b">
        <f t="shared" si="87"/>
        <v>0</v>
      </c>
      <c r="AN56" s="78" t="b">
        <f t="shared" si="87"/>
        <v>0</v>
      </c>
      <c r="AO56" s="78" t="b">
        <f t="shared" si="87"/>
        <v>0</v>
      </c>
      <c r="AP56" s="78"/>
      <c r="AZ56">
        <f t="shared" si="12"/>
        <v>0</v>
      </c>
    </row>
    <row r="57" spans="4:52" x14ac:dyDescent="0.35">
      <c r="D57" s="96"/>
      <c r="E57" s="96"/>
      <c r="G57" s="77">
        <f t="shared" si="2"/>
        <v>0</v>
      </c>
      <c r="H57" s="78">
        <f t="shared" si="3"/>
        <v>0</v>
      </c>
      <c r="I57" s="77">
        <f t="shared" si="4"/>
        <v>0</v>
      </c>
      <c r="J57" s="78">
        <f t="shared" si="5"/>
        <v>0</v>
      </c>
      <c r="K57" s="78" t="str">
        <f t="shared" si="6"/>
        <v>1900-01-00 00:0:00</v>
      </c>
      <c r="L57" s="78" t="str">
        <f t="shared" si="7"/>
        <v>1900-01-00 00:0:00</v>
      </c>
      <c r="M57" s="79">
        <f t="shared" si="8"/>
        <v>0</v>
      </c>
      <c r="N57">
        <f t="shared" si="9"/>
        <v>1</v>
      </c>
      <c r="O57" t="str">
        <f>IFERROR(_xlfn.XLOOKUP(A57,HC!A:A,HC!C:C),"")</f>
        <v>Workforce</v>
      </c>
      <c r="R57" s="78" t="b">
        <f t="shared" ref="R57:AO57" si="88">IFERROR(IF($B57=$D$1,IF(AND($K57&lt;R$1,$L57&lt;R$1),"",IF(AND($K57&gt;S$1,$L57&gt;S$1),"",IF(AND($K57&lt;R$1,$L57&lt;=S$1),$L57-R$1,IF(AND($K57&gt;=R$1,$L57&gt;S$1),S$1-$K57,IF(AND($K57&gt;=R$1,$L57&lt;=S$1),$L57-$K57,IF(AND($K57&lt;R$1,$L57&gt;S$1),S$1-R$1,""))))))),"")</f>
        <v>0</v>
      </c>
      <c r="S57" s="78" t="b">
        <f t="shared" si="88"/>
        <v>0</v>
      </c>
      <c r="T57" s="78" t="b">
        <f t="shared" si="88"/>
        <v>0</v>
      </c>
      <c r="U57" s="78" t="b">
        <f t="shared" si="88"/>
        <v>0</v>
      </c>
      <c r="V57" s="78" t="b">
        <f t="shared" si="88"/>
        <v>0</v>
      </c>
      <c r="W57" s="78" t="b">
        <f t="shared" si="88"/>
        <v>0</v>
      </c>
      <c r="X57" s="78" t="b">
        <f t="shared" si="88"/>
        <v>0</v>
      </c>
      <c r="Y57" s="78" t="b">
        <f t="shared" si="88"/>
        <v>0</v>
      </c>
      <c r="Z57" s="78" t="b">
        <f t="shared" si="88"/>
        <v>0</v>
      </c>
      <c r="AA57" s="78" t="b">
        <f t="shared" si="88"/>
        <v>0</v>
      </c>
      <c r="AB57" s="78" t="b">
        <f t="shared" si="88"/>
        <v>0</v>
      </c>
      <c r="AC57" s="78" t="b">
        <f t="shared" si="88"/>
        <v>0</v>
      </c>
      <c r="AD57" s="78" t="b">
        <f t="shared" si="88"/>
        <v>0</v>
      </c>
      <c r="AE57" s="78" t="b">
        <f t="shared" si="88"/>
        <v>0</v>
      </c>
      <c r="AF57" s="78" t="b">
        <f t="shared" si="88"/>
        <v>0</v>
      </c>
      <c r="AG57" s="78" t="b">
        <f t="shared" si="88"/>
        <v>0</v>
      </c>
      <c r="AH57" s="78" t="b">
        <f t="shared" si="88"/>
        <v>0</v>
      </c>
      <c r="AI57" s="78" t="b">
        <f t="shared" si="88"/>
        <v>0</v>
      </c>
      <c r="AJ57" s="78" t="b">
        <f t="shared" si="88"/>
        <v>0</v>
      </c>
      <c r="AK57" s="78" t="b">
        <f t="shared" si="88"/>
        <v>0</v>
      </c>
      <c r="AL57" s="78" t="b">
        <f t="shared" si="88"/>
        <v>0</v>
      </c>
      <c r="AM57" s="78" t="b">
        <f t="shared" si="88"/>
        <v>0</v>
      </c>
      <c r="AN57" s="78" t="b">
        <f t="shared" si="88"/>
        <v>0</v>
      </c>
      <c r="AO57" s="78" t="b">
        <f t="shared" si="88"/>
        <v>0</v>
      </c>
      <c r="AP57" s="78"/>
      <c r="AZ57">
        <f t="shared" si="12"/>
        <v>0</v>
      </c>
    </row>
    <row r="58" spans="4:52" x14ac:dyDescent="0.35">
      <c r="D58" s="96"/>
      <c r="E58" s="96"/>
      <c r="G58" s="77">
        <f t="shared" si="2"/>
        <v>0</v>
      </c>
      <c r="H58" s="78">
        <f t="shared" si="3"/>
        <v>0</v>
      </c>
      <c r="I58" s="77">
        <f t="shared" si="4"/>
        <v>0</v>
      </c>
      <c r="J58" s="78">
        <f t="shared" si="5"/>
        <v>0</v>
      </c>
      <c r="K58" s="78" t="str">
        <f t="shared" si="6"/>
        <v>1900-01-00 00:0:00</v>
      </c>
      <c r="L58" s="78" t="str">
        <f t="shared" si="7"/>
        <v>1900-01-00 00:0:00</v>
      </c>
      <c r="M58" s="79">
        <f t="shared" si="8"/>
        <v>0</v>
      </c>
      <c r="N58">
        <f t="shared" si="9"/>
        <v>1</v>
      </c>
      <c r="O58" t="str">
        <f>IFERROR(_xlfn.XLOOKUP(A58,HC!A:A,HC!C:C),"")</f>
        <v>Workforce</v>
      </c>
      <c r="R58" s="78" t="b">
        <f t="shared" ref="R58:AO58" si="89">IFERROR(IF($B58=$D$1,IF(AND($K58&lt;R$1,$L58&lt;R$1),"",IF(AND($K58&gt;S$1,$L58&gt;S$1),"",IF(AND($K58&lt;R$1,$L58&lt;=S$1),$L58-R$1,IF(AND($K58&gt;=R$1,$L58&gt;S$1),S$1-$K58,IF(AND($K58&gt;=R$1,$L58&lt;=S$1),$L58-$K58,IF(AND($K58&lt;R$1,$L58&gt;S$1),S$1-R$1,""))))))),"")</f>
        <v>0</v>
      </c>
      <c r="S58" s="78" t="b">
        <f t="shared" si="89"/>
        <v>0</v>
      </c>
      <c r="T58" s="78" t="b">
        <f t="shared" si="89"/>
        <v>0</v>
      </c>
      <c r="U58" s="78" t="b">
        <f t="shared" si="89"/>
        <v>0</v>
      </c>
      <c r="V58" s="78" t="b">
        <f t="shared" si="89"/>
        <v>0</v>
      </c>
      <c r="W58" s="78" t="b">
        <f t="shared" si="89"/>
        <v>0</v>
      </c>
      <c r="X58" s="78" t="b">
        <f t="shared" si="89"/>
        <v>0</v>
      </c>
      <c r="Y58" s="78" t="b">
        <f t="shared" si="89"/>
        <v>0</v>
      </c>
      <c r="Z58" s="78" t="b">
        <f t="shared" si="89"/>
        <v>0</v>
      </c>
      <c r="AA58" s="78" t="b">
        <f t="shared" si="89"/>
        <v>0</v>
      </c>
      <c r="AB58" s="78" t="b">
        <f t="shared" si="89"/>
        <v>0</v>
      </c>
      <c r="AC58" s="78" t="b">
        <f t="shared" si="89"/>
        <v>0</v>
      </c>
      <c r="AD58" s="78" t="b">
        <f t="shared" si="89"/>
        <v>0</v>
      </c>
      <c r="AE58" s="78" t="b">
        <f t="shared" si="89"/>
        <v>0</v>
      </c>
      <c r="AF58" s="78" t="b">
        <f t="shared" si="89"/>
        <v>0</v>
      </c>
      <c r="AG58" s="78" t="b">
        <f t="shared" si="89"/>
        <v>0</v>
      </c>
      <c r="AH58" s="78" t="b">
        <f t="shared" si="89"/>
        <v>0</v>
      </c>
      <c r="AI58" s="78" t="b">
        <f t="shared" si="89"/>
        <v>0</v>
      </c>
      <c r="AJ58" s="78" t="b">
        <f t="shared" si="89"/>
        <v>0</v>
      </c>
      <c r="AK58" s="78" t="b">
        <f t="shared" si="89"/>
        <v>0</v>
      </c>
      <c r="AL58" s="78" t="b">
        <f t="shared" si="89"/>
        <v>0</v>
      </c>
      <c r="AM58" s="78" t="b">
        <f t="shared" si="89"/>
        <v>0</v>
      </c>
      <c r="AN58" s="78" t="b">
        <f t="shared" si="89"/>
        <v>0</v>
      </c>
      <c r="AO58" s="78" t="b">
        <f t="shared" si="89"/>
        <v>0</v>
      </c>
      <c r="AP58" s="78"/>
      <c r="AZ58">
        <f t="shared" si="12"/>
        <v>0</v>
      </c>
    </row>
    <row r="59" spans="4:52" x14ac:dyDescent="0.35">
      <c r="D59" s="96"/>
      <c r="E59" s="96"/>
      <c r="G59" s="77">
        <f t="shared" si="2"/>
        <v>0</v>
      </c>
      <c r="H59" s="78">
        <f t="shared" si="3"/>
        <v>0</v>
      </c>
      <c r="I59" s="77">
        <f t="shared" si="4"/>
        <v>0</v>
      </c>
      <c r="J59" s="78">
        <f t="shared" si="5"/>
        <v>0</v>
      </c>
      <c r="K59" s="78" t="str">
        <f t="shared" si="6"/>
        <v>1900-01-00 00:0:00</v>
      </c>
      <c r="L59" s="78" t="str">
        <f t="shared" si="7"/>
        <v>1900-01-00 00:0:00</v>
      </c>
      <c r="M59" s="79">
        <f t="shared" si="8"/>
        <v>0</v>
      </c>
      <c r="N59">
        <f t="shared" si="9"/>
        <v>1</v>
      </c>
      <c r="O59" t="str">
        <f>IFERROR(_xlfn.XLOOKUP(A59,HC!A:A,HC!C:C),"")</f>
        <v>Workforce</v>
      </c>
      <c r="R59" s="78" t="b">
        <f t="shared" ref="R59:AO59" si="90">IFERROR(IF($B59=$D$1,IF(AND($K59&lt;R$1,$L59&lt;R$1),"",IF(AND($K59&gt;S$1,$L59&gt;S$1),"",IF(AND($K59&lt;R$1,$L59&lt;=S$1),$L59-R$1,IF(AND($K59&gt;=R$1,$L59&gt;S$1),S$1-$K59,IF(AND($K59&gt;=R$1,$L59&lt;=S$1),$L59-$K59,IF(AND($K59&lt;R$1,$L59&gt;S$1),S$1-R$1,""))))))),"")</f>
        <v>0</v>
      </c>
      <c r="S59" s="78" t="b">
        <f t="shared" si="90"/>
        <v>0</v>
      </c>
      <c r="T59" s="78" t="b">
        <f t="shared" si="90"/>
        <v>0</v>
      </c>
      <c r="U59" s="78" t="b">
        <f t="shared" si="90"/>
        <v>0</v>
      </c>
      <c r="V59" s="78" t="b">
        <f t="shared" si="90"/>
        <v>0</v>
      </c>
      <c r="W59" s="78" t="b">
        <f t="shared" si="90"/>
        <v>0</v>
      </c>
      <c r="X59" s="78" t="b">
        <f t="shared" si="90"/>
        <v>0</v>
      </c>
      <c r="Y59" s="78" t="b">
        <f t="shared" si="90"/>
        <v>0</v>
      </c>
      <c r="Z59" s="78" t="b">
        <f t="shared" si="90"/>
        <v>0</v>
      </c>
      <c r="AA59" s="78" t="b">
        <f t="shared" si="90"/>
        <v>0</v>
      </c>
      <c r="AB59" s="78" t="b">
        <f t="shared" si="90"/>
        <v>0</v>
      </c>
      <c r="AC59" s="78" t="b">
        <f t="shared" si="90"/>
        <v>0</v>
      </c>
      <c r="AD59" s="78" t="b">
        <f t="shared" si="90"/>
        <v>0</v>
      </c>
      <c r="AE59" s="78" t="b">
        <f t="shared" si="90"/>
        <v>0</v>
      </c>
      <c r="AF59" s="78" t="b">
        <f t="shared" si="90"/>
        <v>0</v>
      </c>
      <c r="AG59" s="78" t="b">
        <f t="shared" si="90"/>
        <v>0</v>
      </c>
      <c r="AH59" s="78" t="b">
        <f t="shared" si="90"/>
        <v>0</v>
      </c>
      <c r="AI59" s="78" t="b">
        <f t="shared" si="90"/>
        <v>0</v>
      </c>
      <c r="AJ59" s="78" t="b">
        <f t="shared" si="90"/>
        <v>0</v>
      </c>
      <c r="AK59" s="78" t="b">
        <f t="shared" si="90"/>
        <v>0</v>
      </c>
      <c r="AL59" s="78" t="b">
        <f t="shared" si="90"/>
        <v>0</v>
      </c>
      <c r="AM59" s="78" t="b">
        <f t="shared" si="90"/>
        <v>0</v>
      </c>
      <c r="AN59" s="78" t="b">
        <f t="shared" si="90"/>
        <v>0</v>
      </c>
      <c r="AO59" s="78" t="b">
        <f t="shared" si="90"/>
        <v>0</v>
      </c>
      <c r="AP59" s="78"/>
      <c r="AZ59">
        <f t="shared" si="12"/>
        <v>0</v>
      </c>
    </row>
    <row r="60" spans="4:52" x14ac:dyDescent="0.35">
      <c r="D60" s="96"/>
      <c r="E60" s="96"/>
      <c r="G60" s="77">
        <f t="shared" si="2"/>
        <v>0</v>
      </c>
      <c r="H60" s="78">
        <f t="shared" si="3"/>
        <v>0</v>
      </c>
      <c r="I60" s="77">
        <f t="shared" si="4"/>
        <v>0</v>
      </c>
      <c r="J60" s="78">
        <f t="shared" si="5"/>
        <v>0</v>
      </c>
      <c r="K60" s="78" t="str">
        <f t="shared" si="6"/>
        <v>1900-01-00 00:0:00</v>
      </c>
      <c r="L60" s="78" t="str">
        <f t="shared" si="7"/>
        <v>1900-01-00 00:0:00</v>
      </c>
      <c r="M60" s="79">
        <f t="shared" si="8"/>
        <v>0</v>
      </c>
      <c r="N60">
        <f t="shared" si="9"/>
        <v>1</v>
      </c>
      <c r="O60" t="str">
        <f>IFERROR(_xlfn.XLOOKUP(A60,HC!A:A,HC!C:C),"")</f>
        <v>Workforce</v>
      </c>
      <c r="R60" s="78" t="b">
        <f t="shared" ref="R60:AO60" si="91">IFERROR(IF($B60=$D$1,IF(AND($K60&lt;R$1,$L60&lt;R$1),"",IF(AND($K60&gt;S$1,$L60&gt;S$1),"",IF(AND($K60&lt;R$1,$L60&lt;=S$1),$L60-R$1,IF(AND($K60&gt;=R$1,$L60&gt;S$1),S$1-$K60,IF(AND($K60&gt;=R$1,$L60&lt;=S$1),$L60-$K60,IF(AND($K60&lt;R$1,$L60&gt;S$1),S$1-R$1,""))))))),"")</f>
        <v>0</v>
      </c>
      <c r="S60" s="78" t="b">
        <f t="shared" si="91"/>
        <v>0</v>
      </c>
      <c r="T60" s="78" t="b">
        <f t="shared" si="91"/>
        <v>0</v>
      </c>
      <c r="U60" s="78" t="b">
        <f t="shared" si="91"/>
        <v>0</v>
      </c>
      <c r="V60" s="78" t="b">
        <f t="shared" si="91"/>
        <v>0</v>
      </c>
      <c r="W60" s="78" t="b">
        <f t="shared" si="91"/>
        <v>0</v>
      </c>
      <c r="X60" s="78" t="b">
        <f t="shared" si="91"/>
        <v>0</v>
      </c>
      <c r="Y60" s="78" t="b">
        <f t="shared" si="91"/>
        <v>0</v>
      </c>
      <c r="Z60" s="78" t="b">
        <f t="shared" si="91"/>
        <v>0</v>
      </c>
      <c r="AA60" s="78" t="b">
        <f t="shared" si="91"/>
        <v>0</v>
      </c>
      <c r="AB60" s="78" t="b">
        <f t="shared" si="91"/>
        <v>0</v>
      </c>
      <c r="AC60" s="78" t="b">
        <f t="shared" si="91"/>
        <v>0</v>
      </c>
      <c r="AD60" s="78" t="b">
        <f t="shared" si="91"/>
        <v>0</v>
      </c>
      <c r="AE60" s="78" t="b">
        <f t="shared" si="91"/>
        <v>0</v>
      </c>
      <c r="AF60" s="78" t="b">
        <f t="shared" si="91"/>
        <v>0</v>
      </c>
      <c r="AG60" s="78" t="b">
        <f t="shared" si="91"/>
        <v>0</v>
      </c>
      <c r="AH60" s="78" t="b">
        <f t="shared" si="91"/>
        <v>0</v>
      </c>
      <c r="AI60" s="78" t="b">
        <f t="shared" si="91"/>
        <v>0</v>
      </c>
      <c r="AJ60" s="78" t="b">
        <f t="shared" si="91"/>
        <v>0</v>
      </c>
      <c r="AK60" s="78" t="b">
        <f t="shared" si="91"/>
        <v>0</v>
      </c>
      <c r="AL60" s="78" t="b">
        <f t="shared" si="91"/>
        <v>0</v>
      </c>
      <c r="AM60" s="78" t="b">
        <f t="shared" si="91"/>
        <v>0</v>
      </c>
      <c r="AN60" s="78" t="b">
        <f t="shared" si="91"/>
        <v>0</v>
      </c>
      <c r="AO60" s="78" t="b">
        <f t="shared" si="91"/>
        <v>0</v>
      </c>
      <c r="AP60" s="78"/>
      <c r="AZ60">
        <f t="shared" si="12"/>
        <v>0</v>
      </c>
    </row>
    <row r="61" spans="4:52" x14ac:dyDescent="0.35">
      <c r="D61" s="96"/>
      <c r="E61" s="96"/>
      <c r="G61" s="77">
        <f t="shared" si="2"/>
        <v>0</v>
      </c>
      <c r="H61" s="78">
        <f t="shared" si="3"/>
        <v>0</v>
      </c>
      <c r="I61" s="77">
        <f t="shared" si="4"/>
        <v>0</v>
      </c>
      <c r="J61" s="78">
        <f t="shared" si="5"/>
        <v>0</v>
      </c>
      <c r="K61" s="78" t="str">
        <f t="shared" si="6"/>
        <v>1900-01-00 00:0:00</v>
      </c>
      <c r="L61" s="78" t="str">
        <f t="shared" si="7"/>
        <v>1900-01-00 00:0:00</v>
      </c>
      <c r="M61" s="79">
        <f t="shared" si="8"/>
        <v>0</v>
      </c>
      <c r="N61">
        <f t="shared" si="9"/>
        <v>1</v>
      </c>
      <c r="O61" t="str">
        <f>IFERROR(_xlfn.XLOOKUP(A61,HC!A:A,HC!C:C),"")</f>
        <v>Workforce</v>
      </c>
      <c r="R61" s="78" t="b">
        <f t="shared" ref="R61:AO61" si="92">IFERROR(IF($B61=$D$1,IF(AND($K61&lt;R$1,$L61&lt;R$1),"",IF(AND($K61&gt;S$1,$L61&gt;S$1),"",IF(AND($K61&lt;R$1,$L61&lt;=S$1),$L61-R$1,IF(AND($K61&gt;=R$1,$L61&gt;S$1),S$1-$K61,IF(AND($K61&gt;=R$1,$L61&lt;=S$1),$L61-$K61,IF(AND($K61&lt;R$1,$L61&gt;S$1),S$1-R$1,""))))))),"")</f>
        <v>0</v>
      </c>
      <c r="S61" s="78" t="b">
        <f t="shared" si="92"/>
        <v>0</v>
      </c>
      <c r="T61" s="78" t="b">
        <f t="shared" si="92"/>
        <v>0</v>
      </c>
      <c r="U61" s="78" t="b">
        <f t="shared" si="92"/>
        <v>0</v>
      </c>
      <c r="V61" s="78" t="b">
        <f t="shared" si="92"/>
        <v>0</v>
      </c>
      <c r="W61" s="78" t="b">
        <f t="shared" si="92"/>
        <v>0</v>
      </c>
      <c r="X61" s="78" t="b">
        <f t="shared" si="92"/>
        <v>0</v>
      </c>
      <c r="Y61" s="78" t="b">
        <f t="shared" si="92"/>
        <v>0</v>
      </c>
      <c r="Z61" s="78" t="b">
        <f t="shared" si="92"/>
        <v>0</v>
      </c>
      <c r="AA61" s="78" t="b">
        <f t="shared" si="92"/>
        <v>0</v>
      </c>
      <c r="AB61" s="78" t="b">
        <f t="shared" si="92"/>
        <v>0</v>
      </c>
      <c r="AC61" s="78" t="b">
        <f t="shared" si="92"/>
        <v>0</v>
      </c>
      <c r="AD61" s="78" t="b">
        <f t="shared" si="92"/>
        <v>0</v>
      </c>
      <c r="AE61" s="78" t="b">
        <f t="shared" si="92"/>
        <v>0</v>
      </c>
      <c r="AF61" s="78" t="b">
        <f t="shared" si="92"/>
        <v>0</v>
      </c>
      <c r="AG61" s="78" t="b">
        <f t="shared" si="92"/>
        <v>0</v>
      </c>
      <c r="AH61" s="78" t="b">
        <f t="shared" si="92"/>
        <v>0</v>
      </c>
      <c r="AI61" s="78" t="b">
        <f t="shared" si="92"/>
        <v>0</v>
      </c>
      <c r="AJ61" s="78" t="b">
        <f t="shared" si="92"/>
        <v>0</v>
      </c>
      <c r="AK61" s="78" t="b">
        <f t="shared" si="92"/>
        <v>0</v>
      </c>
      <c r="AL61" s="78" t="b">
        <f t="shared" si="92"/>
        <v>0</v>
      </c>
      <c r="AM61" s="78" t="b">
        <f t="shared" si="92"/>
        <v>0</v>
      </c>
      <c r="AN61" s="78" t="b">
        <f t="shared" si="92"/>
        <v>0</v>
      </c>
      <c r="AO61" s="78" t="b">
        <f t="shared" si="92"/>
        <v>0</v>
      </c>
      <c r="AP61" s="78"/>
      <c r="AZ61">
        <f t="shared" si="12"/>
        <v>0</v>
      </c>
    </row>
    <row r="62" spans="4:52" x14ac:dyDescent="0.35">
      <c r="D62" s="96"/>
      <c r="E62" s="96"/>
      <c r="G62" s="77">
        <f t="shared" si="2"/>
        <v>0</v>
      </c>
      <c r="H62" s="78">
        <f t="shared" si="3"/>
        <v>0</v>
      </c>
      <c r="I62" s="77">
        <f t="shared" si="4"/>
        <v>0</v>
      </c>
      <c r="J62" s="78">
        <f t="shared" si="5"/>
        <v>0</v>
      </c>
      <c r="K62" s="78" t="str">
        <f t="shared" si="6"/>
        <v>1900-01-00 00:0:00</v>
      </c>
      <c r="L62" s="78" t="str">
        <f t="shared" si="7"/>
        <v>1900-01-00 00:0:00</v>
      </c>
      <c r="M62" s="79">
        <f t="shared" si="8"/>
        <v>0</v>
      </c>
      <c r="N62">
        <f t="shared" si="9"/>
        <v>1</v>
      </c>
      <c r="O62" t="str">
        <f>IFERROR(_xlfn.XLOOKUP(A62,HC!A:A,HC!C:C),"")</f>
        <v>Workforce</v>
      </c>
      <c r="R62" s="78" t="b">
        <f t="shared" ref="R62:AO62" si="93">IFERROR(IF($B62=$D$1,IF(AND($K62&lt;R$1,$L62&lt;R$1),"",IF(AND($K62&gt;S$1,$L62&gt;S$1),"",IF(AND($K62&lt;R$1,$L62&lt;=S$1),$L62-R$1,IF(AND($K62&gt;=R$1,$L62&gt;S$1),S$1-$K62,IF(AND($K62&gt;=R$1,$L62&lt;=S$1),$L62-$K62,IF(AND($K62&lt;R$1,$L62&gt;S$1),S$1-R$1,""))))))),"")</f>
        <v>0</v>
      </c>
      <c r="S62" s="78" t="b">
        <f t="shared" si="93"/>
        <v>0</v>
      </c>
      <c r="T62" s="78" t="b">
        <f t="shared" si="93"/>
        <v>0</v>
      </c>
      <c r="U62" s="78" t="b">
        <f t="shared" si="93"/>
        <v>0</v>
      </c>
      <c r="V62" s="78" t="b">
        <f t="shared" si="93"/>
        <v>0</v>
      </c>
      <c r="W62" s="78" t="b">
        <f t="shared" si="93"/>
        <v>0</v>
      </c>
      <c r="X62" s="78" t="b">
        <f t="shared" si="93"/>
        <v>0</v>
      </c>
      <c r="Y62" s="78" t="b">
        <f t="shared" si="93"/>
        <v>0</v>
      </c>
      <c r="Z62" s="78" t="b">
        <f t="shared" si="93"/>
        <v>0</v>
      </c>
      <c r="AA62" s="78" t="b">
        <f t="shared" si="93"/>
        <v>0</v>
      </c>
      <c r="AB62" s="78" t="b">
        <f t="shared" si="93"/>
        <v>0</v>
      </c>
      <c r="AC62" s="78" t="b">
        <f t="shared" si="93"/>
        <v>0</v>
      </c>
      <c r="AD62" s="78" t="b">
        <f t="shared" si="93"/>
        <v>0</v>
      </c>
      <c r="AE62" s="78" t="b">
        <f t="shared" si="93"/>
        <v>0</v>
      </c>
      <c r="AF62" s="78" t="b">
        <f t="shared" si="93"/>
        <v>0</v>
      </c>
      <c r="AG62" s="78" t="b">
        <f t="shared" si="93"/>
        <v>0</v>
      </c>
      <c r="AH62" s="78" t="b">
        <f t="shared" si="93"/>
        <v>0</v>
      </c>
      <c r="AI62" s="78" t="b">
        <f t="shared" si="93"/>
        <v>0</v>
      </c>
      <c r="AJ62" s="78" t="b">
        <f t="shared" si="93"/>
        <v>0</v>
      </c>
      <c r="AK62" s="78" t="b">
        <f t="shared" si="93"/>
        <v>0</v>
      </c>
      <c r="AL62" s="78" t="b">
        <f t="shared" si="93"/>
        <v>0</v>
      </c>
      <c r="AM62" s="78" t="b">
        <f t="shared" si="93"/>
        <v>0</v>
      </c>
      <c r="AN62" s="78" t="b">
        <f t="shared" si="93"/>
        <v>0</v>
      </c>
      <c r="AO62" s="78" t="b">
        <f t="shared" si="93"/>
        <v>0</v>
      </c>
      <c r="AP62" s="78"/>
      <c r="AZ62">
        <f t="shared" si="12"/>
        <v>0</v>
      </c>
    </row>
    <row r="63" spans="4:52" x14ac:dyDescent="0.35">
      <c r="D63" s="96"/>
      <c r="E63" s="96"/>
      <c r="G63" s="77">
        <f t="shared" si="2"/>
        <v>0</v>
      </c>
      <c r="H63" s="78">
        <f t="shared" si="3"/>
        <v>0</v>
      </c>
      <c r="I63" s="77">
        <f t="shared" si="4"/>
        <v>0</v>
      </c>
      <c r="J63" s="78">
        <f t="shared" si="5"/>
        <v>0</v>
      </c>
      <c r="K63" s="78" t="str">
        <f t="shared" si="6"/>
        <v>1900-01-00 00:0:00</v>
      </c>
      <c r="L63" s="78" t="str">
        <f t="shared" si="7"/>
        <v>1900-01-00 00:0:00</v>
      </c>
      <c r="M63" s="79">
        <f t="shared" si="8"/>
        <v>0</v>
      </c>
      <c r="N63">
        <f t="shared" si="9"/>
        <v>1</v>
      </c>
      <c r="O63" t="str">
        <f>IFERROR(_xlfn.XLOOKUP(A63,HC!A:A,HC!C:C),"")</f>
        <v>Workforce</v>
      </c>
      <c r="R63" s="78" t="b">
        <f t="shared" ref="R63:AO63" si="94">IFERROR(IF($B63=$D$1,IF(AND($K63&lt;R$1,$L63&lt;R$1),"",IF(AND($K63&gt;S$1,$L63&gt;S$1),"",IF(AND($K63&lt;R$1,$L63&lt;=S$1),$L63-R$1,IF(AND($K63&gt;=R$1,$L63&gt;S$1),S$1-$K63,IF(AND($K63&gt;=R$1,$L63&lt;=S$1),$L63-$K63,IF(AND($K63&lt;R$1,$L63&gt;S$1),S$1-R$1,""))))))),"")</f>
        <v>0</v>
      </c>
      <c r="S63" s="78" t="b">
        <f t="shared" si="94"/>
        <v>0</v>
      </c>
      <c r="T63" s="78" t="b">
        <f t="shared" si="94"/>
        <v>0</v>
      </c>
      <c r="U63" s="78" t="b">
        <f t="shared" si="94"/>
        <v>0</v>
      </c>
      <c r="V63" s="78" t="b">
        <f t="shared" si="94"/>
        <v>0</v>
      </c>
      <c r="W63" s="78" t="b">
        <f t="shared" si="94"/>
        <v>0</v>
      </c>
      <c r="X63" s="78" t="b">
        <f t="shared" si="94"/>
        <v>0</v>
      </c>
      <c r="Y63" s="78" t="b">
        <f t="shared" si="94"/>
        <v>0</v>
      </c>
      <c r="Z63" s="78" t="b">
        <f t="shared" si="94"/>
        <v>0</v>
      </c>
      <c r="AA63" s="78" t="b">
        <f t="shared" si="94"/>
        <v>0</v>
      </c>
      <c r="AB63" s="78" t="b">
        <f t="shared" si="94"/>
        <v>0</v>
      </c>
      <c r="AC63" s="78" t="b">
        <f t="shared" si="94"/>
        <v>0</v>
      </c>
      <c r="AD63" s="78" t="b">
        <f t="shared" si="94"/>
        <v>0</v>
      </c>
      <c r="AE63" s="78" t="b">
        <f t="shared" si="94"/>
        <v>0</v>
      </c>
      <c r="AF63" s="78" t="b">
        <f t="shared" si="94"/>
        <v>0</v>
      </c>
      <c r="AG63" s="78" t="b">
        <f t="shared" si="94"/>
        <v>0</v>
      </c>
      <c r="AH63" s="78" t="b">
        <f t="shared" si="94"/>
        <v>0</v>
      </c>
      <c r="AI63" s="78" t="b">
        <f t="shared" si="94"/>
        <v>0</v>
      </c>
      <c r="AJ63" s="78" t="b">
        <f t="shared" si="94"/>
        <v>0</v>
      </c>
      <c r="AK63" s="78" t="b">
        <f t="shared" si="94"/>
        <v>0</v>
      </c>
      <c r="AL63" s="78" t="b">
        <f t="shared" si="94"/>
        <v>0</v>
      </c>
      <c r="AM63" s="78" t="b">
        <f t="shared" si="94"/>
        <v>0</v>
      </c>
      <c r="AN63" s="78" t="b">
        <f t="shared" si="94"/>
        <v>0</v>
      </c>
      <c r="AO63" s="78" t="b">
        <f t="shared" si="94"/>
        <v>0</v>
      </c>
      <c r="AP63" s="78"/>
      <c r="AZ63">
        <f t="shared" si="12"/>
        <v>0</v>
      </c>
    </row>
    <row r="64" spans="4:52" x14ac:dyDescent="0.35">
      <c r="D64" s="96"/>
      <c r="E64" s="96"/>
      <c r="G64" s="77">
        <f t="shared" si="2"/>
        <v>0</v>
      </c>
      <c r="H64" s="78">
        <f t="shared" si="3"/>
        <v>0</v>
      </c>
      <c r="I64" s="77">
        <f t="shared" si="4"/>
        <v>0</v>
      </c>
      <c r="J64" s="78">
        <f t="shared" si="5"/>
        <v>0</v>
      </c>
      <c r="K64" s="78" t="str">
        <f t="shared" si="6"/>
        <v>1900-01-00 00:0:00</v>
      </c>
      <c r="L64" s="78" t="str">
        <f t="shared" si="7"/>
        <v>1900-01-00 00:0:00</v>
      </c>
      <c r="M64" s="79">
        <f t="shared" si="8"/>
        <v>0</v>
      </c>
      <c r="N64">
        <f t="shared" si="9"/>
        <v>1</v>
      </c>
      <c r="O64" t="str">
        <f>IFERROR(_xlfn.XLOOKUP(A64,HC!A:A,HC!C:C),"")</f>
        <v>Workforce</v>
      </c>
      <c r="R64" s="78" t="b">
        <f t="shared" ref="R64:AO64" si="95">IFERROR(IF($B64=$D$1,IF(AND($K64&lt;R$1,$L64&lt;R$1),"",IF(AND($K64&gt;S$1,$L64&gt;S$1),"",IF(AND($K64&lt;R$1,$L64&lt;=S$1),$L64-R$1,IF(AND($K64&gt;=R$1,$L64&gt;S$1),S$1-$K64,IF(AND($K64&gt;=R$1,$L64&lt;=S$1),$L64-$K64,IF(AND($K64&lt;R$1,$L64&gt;S$1),S$1-R$1,""))))))),"")</f>
        <v>0</v>
      </c>
      <c r="S64" s="78" t="b">
        <f t="shared" si="95"/>
        <v>0</v>
      </c>
      <c r="T64" s="78" t="b">
        <f t="shared" si="95"/>
        <v>0</v>
      </c>
      <c r="U64" s="78" t="b">
        <f t="shared" si="95"/>
        <v>0</v>
      </c>
      <c r="V64" s="78" t="b">
        <f t="shared" si="95"/>
        <v>0</v>
      </c>
      <c r="W64" s="78" t="b">
        <f t="shared" si="95"/>
        <v>0</v>
      </c>
      <c r="X64" s="78" t="b">
        <f t="shared" si="95"/>
        <v>0</v>
      </c>
      <c r="Y64" s="78" t="b">
        <f t="shared" si="95"/>
        <v>0</v>
      </c>
      <c r="Z64" s="78" t="b">
        <f t="shared" si="95"/>
        <v>0</v>
      </c>
      <c r="AA64" s="78" t="b">
        <f t="shared" si="95"/>
        <v>0</v>
      </c>
      <c r="AB64" s="78" t="b">
        <f t="shared" si="95"/>
        <v>0</v>
      </c>
      <c r="AC64" s="78" t="b">
        <f t="shared" si="95"/>
        <v>0</v>
      </c>
      <c r="AD64" s="78" t="b">
        <f t="shared" si="95"/>
        <v>0</v>
      </c>
      <c r="AE64" s="78" t="b">
        <f t="shared" si="95"/>
        <v>0</v>
      </c>
      <c r="AF64" s="78" t="b">
        <f t="shared" si="95"/>
        <v>0</v>
      </c>
      <c r="AG64" s="78" t="b">
        <f t="shared" si="95"/>
        <v>0</v>
      </c>
      <c r="AH64" s="78" t="b">
        <f t="shared" si="95"/>
        <v>0</v>
      </c>
      <c r="AI64" s="78" t="b">
        <f t="shared" si="95"/>
        <v>0</v>
      </c>
      <c r="AJ64" s="78" t="b">
        <f t="shared" si="95"/>
        <v>0</v>
      </c>
      <c r="AK64" s="78" t="b">
        <f t="shared" si="95"/>
        <v>0</v>
      </c>
      <c r="AL64" s="78" t="b">
        <f t="shared" si="95"/>
        <v>0</v>
      </c>
      <c r="AM64" s="78" t="b">
        <f t="shared" si="95"/>
        <v>0</v>
      </c>
      <c r="AN64" s="78" t="b">
        <f t="shared" si="95"/>
        <v>0</v>
      </c>
      <c r="AO64" s="78" t="b">
        <f t="shared" si="95"/>
        <v>0</v>
      </c>
      <c r="AP64" s="78"/>
    </row>
    <row r="65" spans="4:42" x14ac:dyDescent="0.35">
      <c r="D65" s="96"/>
      <c r="E65" s="96"/>
      <c r="G65" s="77">
        <f t="shared" si="2"/>
        <v>0</v>
      </c>
      <c r="H65" s="78">
        <f t="shared" si="3"/>
        <v>0</v>
      </c>
      <c r="I65" s="77">
        <f t="shared" si="4"/>
        <v>0</v>
      </c>
      <c r="J65" s="78">
        <f t="shared" si="5"/>
        <v>0</v>
      </c>
      <c r="K65" s="78" t="str">
        <f t="shared" si="6"/>
        <v>1900-01-00 00:0:00</v>
      </c>
      <c r="L65" s="78" t="str">
        <f t="shared" si="7"/>
        <v>1900-01-00 00:0:00</v>
      </c>
      <c r="M65" s="79">
        <f t="shared" si="8"/>
        <v>0</v>
      </c>
      <c r="N65">
        <f t="shared" si="9"/>
        <v>1</v>
      </c>
      <c r="O65" t="str">
        <f>IFERROR(_xlfn.XLOOKUP(A65,HC!A:A,HC!C:C),"")</f>
        <v>Workforce</v>
      </c>
      <c r="R65" s="78" t="b">
        <f t="shared" ref="R65:AO65" si="96">IFERROR(IF($B65=$D$1,IF(AND($K65&lt;R$1,$L65&lt;R$1),"",IF(AND($K65&gt;S$1,$L65&gt;S$1),"",IF(AND($K65&lt;R$1,$L65&lt;=S$1),$L65-R$1,IF(AND($K65&gt;=R$1,$L65&gt;S$1),S$1-$K65,IF(AND($K65&gt;=R$1,$L65&lt;=S$1),$L65-$K65,IF(AND($K65&lt;R$1,$L65&gt;S$1),S$1-R$1,""))))))),"")</f>
        <v>0</v>
      </c>
      <c r="S65" s="78" t="b">
        <f t="shared" si="96"/>
        <v>0</v>
      </c>
      <c r="T65" s="78" t="b">
        <f t="shared" si="96"/>
        <v>0</v>
      </c>
      <c r="U65" s="78" t="b">
        <f t="shared" si="96"/>
        <v>0</v>
      </c>
      <c r="V65" s="78" t="b">
        <f t="shared" si="96"/>
        <v>0</v>
      </c>
      <c r="W65" s="78" t="b">
        <f t="shared" si="96"/>
        <v>0</v>
      </c>
      <c r="X65" s="78" t="b">
        <f t="shared" si="96"/>
        <v>0</v>
      </c>
      <c r="Y65" s="78" t="b">
        <f t="shared" si="96"/>
        <v>0</v>
      </c>
      <c r="Z65" s="78" t="b">
        <f t="shared" si="96"/>
        <v>0</v>
      </c>
      <c r="AA65" s="78" t="b">
        <f t="shared" si="96"/>
        <v>0</v>
      </c>
      <c r="AB65" s="78" t="b">
        <f t="shared" si="96"/>
        <v>0</v>
      </c>
      <c r="AC65" s="78" t="b">
        <f t="shared" si="96"/>
        <v>0</v>
      </c>
      <c r="AD65" s="78" t="b">
        <f t="shared" si="96"/>
        <v>0</v>
      </c>
      <c r="AE65" s="78" t="b">
        <f t="shared" si="96"/>
        <v>0</v>
      </c>
      <c r="AF65" s="78" t="b">
        <f t="shared" si="96"/>
        <v>0</v>
      </c>
      <c r="AG65" s="78" t="b">
        <f t="shared" si="96"/>
        <v>0</v>
      </c>
      <c r="AH65" s="78" t="b">
        <f t="shared" si="96"/>
        <v>0</v>
      </c>
      <c r="AI65" s="78" t="b">
        <f t="shared" si="96"/>
        <v>0</v>
      </c>
      <c r="AJ65" s="78" t="b">
        <f t="shared" si="96"/>
        <v>0</v>
      </c>
      <c r="AK65" s="78" t="b">
        <f t="shared" si="96"/>
        <v>0</v>
      </c>
      <c r="AL65" s="78" t="b">
        <f t="shared" si="96"/>
        <v>0</v>
      </c>
      <c r="AM65" s="78" t="b">
        <f t="shared" si="96"/>
        <v>0</v>
      </c>
      <c r="AN65" s="78" t="b">
        <f t="shared" si="96"/>
        <v>0</v>
      </c>
      <c r="AO65" s="78" t="b">
        <f t="shared" si="96"/>
        <v>0</v>
      </c>
      <c r="AP65" s="78"/>
    </row>
    <row r="66" spans="4:42" x14ac:dyDescent="0.35">
      <c r="D66" s="96"/>
      <c r="E66" s="96"/>
      <c r="G66" s="77">
        <f t="shared" si="2"/>
        <v>0</v>
      </c>
      <c r="H66" s="78">
        <f t="shared" si="3"/>
        <v>0</v>
      </c>
      <c r="I66" s="77">
        <f t="shared" si="4"/>
        <v>0</v>
      </c>
      <c r="J66" s="78">
        <f t="shared" si="5"/>
        <v>0</v>
      </c>
      <c r="K66" s="78" t="str">
        <f t="shared" si="6"/>
        <v>1900-01-00 00:0:00</v>
      </c>
      <c r="L66" s="78" t="str">
        <f t="shared" si="7"/>
        <v>1900-01-00 00:0:00</v>
      </c>
      <c r="M66" s="79">
        <f t="shared" si="8"/>
        <v>0</v>
      </c>
      <c r="N66">
        <f t="shared" si="9"/>
        <v>1</v>
      </c>
      <c r="O66" t="str">
        <f>IFERROR(_xlfn.XLOOKUP(A66,HC!A:A,HC!C:C),"")</f>
        <v>Workforce</v>
      </c>
      <c r="R66" s="78" t="b">
        <f t="shared" ref="R66:AO66" si="97">IFERROR(IF($B66=$D$1,IF(AND($K66&lt;R$1,$L66&lt;R$1),"",IF(AND($K66&gt;S$1,$L66&gt;S$1),"",IF(AND($K66&lt;R$1,$L66&lt;=S$1),$L66-R$1,IF(AND($K66&gt;=R$1,$L66&gt;S$1),S$1-$K66,IF(AND($K66&gt;=R$1,$L66&lt;=S$1),$L66-$K66,IF(AND($K66&lt;R$1,$L66&gt;S$1),S$1-R$1,""))))))),"")</f>
        <v>0</v>
      </c>
      <c r="S66" s="78" t="b">
        <f t="shared" si="97"/>
        <v>0</v>
      </c>
      <c r="T66" s="78" t="b">
        <f t="shared" si="97"/>
        <v>0</v>
      </c>
      <c r="U66" s="78" t="b">
        <f t="shared" si="97"/>
        <v>0</v>
      </c>
      <c r="V66" s="78" t="b">
        <f t="shared" si="97"/>
        <v>0</v>
      </c>
      <c r="W66" s="78" t="b">
        <f t="shared" si="97"/>
        <v>0</v>
      </c>
      <c r="X66" s="78" t="b">
        <f t="shared" si="97"/>
        <v>0</v>
      </c>
      <c r="Y66" s="78" t="b">
        <f t="shared" si="97"/>
        <v>0</v>
      </c>
      <c r="Z66" s="78" t="b">
        <f t="shared" si="97"/>
        <v>0</v>
      </c>
      <c r="AA66" s="78" t="b">
        <f t="shared" si="97"/>
        <v>0</v>
      </c>
      <c r="AB66" s="78" t="b">
        <f t="shared" si="97"/>
        <v>0</v>
      </c>
      <c r="AC66" s="78" t="b">
        <f t="shared" si="97"/>
        <v>0</v>
      </c>
      <c r="AD66" s="78" t="b">
        <f t="shared" si="97"/>
        <v>0</v>
      </c>
      <c r="AE66" s="78" t="b">
        <f t="shared" si="97"/>
        <v>0</v>
      </c>
      <c r="AF66" s="78" t="b">
        <f t="shared" si="97"/>
        <v>0</v>
      </c>
      <c r="AG66" s="78" t="b">
        <f t="shared" si="97"/>
        <v>0</v>
      </c>
      <c r="AH66" s="78" t="b">
        <f t="shared" si="97"/>
        <v>0</v>
      </c>
      <c r="AI66" s="78" t="b">
        <f t="shared" si="97"/>
        <v>0</v>
      </c>
      <c r="AJ66" s="78" t="b">
        <f t="shared" si="97"/>
        <v>0</v>
      </c>
      <c r="AK66" s="78" t="b">
        <f t="shared" si="97"/>
        <v>0</v>
      </c>
      <c r="AL66" s="78" t="b">
        <f t="shared" si="97"/>
        <v>0</v>
      </c>
      <c r="AM66" s="78" t="b">
        <f t="shared" si="97"/>
        <v>0</v>
      </c>
      <c r="AN66" s="78" t="b">
        <f t="shared" si="97"/>
        <v>0</v>
      </c>
      <c r="AO66" s="78" t="b">
        <f t="shared" si="97"/>
        <v>0</v>
      </c>
      <c r="AP66" s="78"/>
    </row>
    <row r="67" spans="4:42" x14ac:dyDescent="0.35">
      <c r="D67" s="96"/>
      <c r="E67" s="96"/>
      <c r="G67" s="77">
        <f t="shared" si="2"/>
        <v>0</v>
      </c>
      <c r="H67" s="78">
        <f t="shared" si="3"/>
        <v>0</v>
      </c>
      <c r="I67" s="77">
        <f t="shared" si="4"/>
        <v>0</v>
      </c>
      <c r="J67" s="78">
        <f t="shared" si="5"/>
        <v>0</v>
      </c>
      <c r="K67" s="78" t="str">
        <f t="shared" si="6"/>
        <v>1900-01-00 00:0:00</v>
      </c>
      <c r="L67" s="78" t="str">
        <f t="shared" si="7"/>
        <v>1900-01-00 00:0:00</v>
      </c>
      <c r="M67" s="79">
        <f t="shared" si="8"/>
        <v>0</v>
      </c>
      <c r="N67">
        <f t="shared" si="9"/>
        <v>1</v>
      </c>
      <c r="O67" t="str">
        <f>IFERROR(_xlfn.XLOOKUP(A67,HC!A:A,HC!C:C),"")</f>
        <v>Workforce</v>
      </c>
      <c r="R67" s="78" t="b">
        <f t="shared" ref="R67:AO67" si="98">IFERROR(IF($B67=$D$1,IF(AND($K67&lt;R$1,$L67&lt;R$1),"",IF(AND($K67&gt;S$1,$L67&gt;S$1),"",IF(AND($K67&lt;R$1,$L67&lt;=S$1),$L67-R$1,IF(AND($K67&gt;=R$1,$L67&gt;S$1),S$1-$K67,IF(AND($K67&gt;=R$1,$L67&lt;=S$1),$L67-$K67,IF(AND($K67&lt;R$1,$L67&gt;S$1),S$1-R$1,""))))))),"")</f>
        <v>0</v>
      </c>
      <c r="S67" s="78" t="b">
        <f t="shared" si="98"/>
        <v>0</v>
      </c>
      <c r="T67" s="78" t="b">
        <f t="shared" si="98"/>
        <v>0</v>
      </c>
      <c r="U67" s="78" t="b">
        <f t="shared" si="98"/>
        <v>0</v>
      </c>
      <c r="V67" s="78" t="b">
        <f t="shared" si="98"/>
        <v>0</v>
      </c>
      <c r="W67" s="78" t="b">
        <f t="shared" si="98"/>
        <v>0</v>
      </c>
      <c r="X67" s="78" t="b">
        <f t="shared" si="98"/>
        <v>0</v>
      </c>
      <c r="Y67" s="78" t="b">
        <f t="shared" si="98"/>
        <v>0</v>
      </c>
      <c r="Z67" s="78" t="b">
        <f t="shared" si="98"/>
        <v>0</v>
      </c>
      <c r="AA67" s="78" t="b">
        <f t="shared" si="98"/>
        <v>0</v>
      </c>
      <c r="AB67" s="78" t="b">
        <f t="shared" si="98"/>
        <v>0</v>
      </c>
      <c r="AC67" s="78" t="b">
        <f t="shared" si="98"/>
        <v>0</v>
      </c>
      <c r="AD67" s="78" t="b">
        <f t="shared" si="98"/>
        <v>0</v>
      </c>
      <c r="AE67" s="78" t="b">
        <f t="shared" si="98"/>
        <v>0</v>
      </c>
      <c r="AF67" s="78" t="b">
        <f t="shared" si="98"/>
        <v>0</v>
      </c>
      <c r="AG67" s="78" t="b">
        <f t="shared" si="98"/>
        <v>0</v>
      </c>
      <c r="AH67" s="78" t="b">
        <f t="shared" si="98"/>
        <v>0</v>
      </c>
      <c r="AI67" s="78" t="b">
        <f t="shared" si="98"/>
        <v>0</v>
      </c>
      <c r="AJ67" s="78" t="b">
        <f t="shared" si="98"/>
        <v>0</v>
      </c>
      <c r="AK67" s="78" t="b">
        <f t="shared" si="98"/>
        <v>0</v>
      </c>
      <c r="AL67" s="78" t="b">
        <f t="shared" si="98"/>
        <v>0</v>
      </c>
      <c r="AM67" s="78" t="b">
        <f t="shared" si="98"/>
        <v>0</v>
      </c>
      <c r="AN67" s="78" t="b">
        <f t="shared" si="98"/>
        <v>0</v>
      </c>
      <c r="AO67" s="78" t="b">
        <f t="shared" si="98"/>
        <v>0</v>
      </c>
      <c r="AP67" s="78"/>
    </row>
    <row r="68" spans="4:42" x14ac:dyDescent="0.35">
      <c r="D68" s="96"/>
      <c r="E68" s="96"/>
      <c r="G68" s="77">
        <f t="shared" ref="G68:G131" si="99">INT(D68)</f>
        <v>0</v>
      </c>
      <c r="H68" s="78">
        <f t="shared" ref="H68:H131" si="100">D68-G68</f>
        <v>0</v>
      </c>
      <c r="I68" s="77">
        <f t="shared" ref="I68:I131" si="101">INT(E68)</f>
        <v>0</v>
      </c>
      <c r="J68" s="78">
        <f t="shared" ref="J68:J131" si="102">E68-I68</f>
        <v>0</v>
      </c>
      <c r="K68" s="78" t="str">
        <f t="shared" ref="K68:K131" si="103">TEXT(G68+H68,"yyyy-mm-dd hh:m:ss")</f>
        <v>1900-01-00 00:0:00</v>
      </c>
      <c r="L68" s="78" t="str">
        <f t="shared" ref="L68:L131" si="104">TEXT(I68+J68,"yyyy-mm-dd hh:m:ss")</f>
        <v>1900-01-00 00:0:00</v>
      </c>
      <c r="M68" s="79">
        <f t="shared" ref="M68:M131" si="105">E68-D68</f>
        <v>0</v>
      </c>
      <c r="N68">
        <f t="shared" ref="N68:N131" si="106">IF(M68&lt;$BA$1,1,0)</f>
        <v>1</v>
      </c>
      <c r="O68" t="str">
        <f>IFERROR(_xlfn.XLOOKUP(A68,HC!A:A,HC!C:C),"")</f>
        <v>Workforce</v>
      </c>
      <c r="R68" s="78" t="b">
        <f t="shared" ref="R68:AO68" si="107">IFERROR(IF($B68=$D$1,IF(AND($K68&lt;R$1,$L68&lt;R$1),"",IF(AND($K68&gt;S$1,$L68&gt;S$1),"",IF(AND($K68&lt;R$1,$L68&lt;=S$1),$L68-R$1,IF(AND($K68&gt;=R$1,$L68&gt;S$1),S$1-$K68,IF(AND($K68&gt;=R$1,$L68&lt;=S$1),$L68-$K68,IF(AND($K68&lt;R$1,$L68&gt;S$1),S$1-R$1,""))))))),"")</f>
        <v>0</v>
      </c>
      <c r="S68" s="78" t="b">
        <f t="shared" si="107"/>
        <v>0</v>
      </c>
      <c r="T68" s="78" t="b">
        <f t="shared" si="107"/>
        <v>0</v>
      </c>
      <c r="U68" s="78" t="b">
        <f t="shared" si="107"/>
        <v>0</v>
      </c>
      <c r="V68" s="78" t="b">
        <f t="shared" si="107"/>
        <v>0</v>
      </c>
      <c r="W68" s="78" t="b">
        <f t="shared" si="107"/>
        <v>0</v>
      </c>
      <c r="X68" s="78" t="b">
        <f t="shared" si="107"/>
        <v>0</v>
      </c>
      <c r="Y68" s="78" t="b">
        <f t="shared" si="107"/>
        <v>0</v>
      </c>
      <c r="Z68" s="78" t="b">
        <f t="shared" si="107"/>
        <v>0</v>
      </c>
      <c r="AA68" s="78" t="b">
        <f t="shared" si="107"/>
        <v>0</v>
      </c>
      <c r="AB68" s="78" t="b">
        <f t="shared" si="107"/>
        <v>0</v>
      </c>
      <c r="AC68" s="78" t="b">
        <f t="shared" si="107"/>
        <v>0</v>
      </c>
      <c r="AD68" s="78" t="b">
        <f t="shared" si="107"/>
        <v>0</v>
      </c>
      <c r="AE68" s="78" t="b">
        <f t="shared" si="107"/>
        <v>0</v>
      </c>
      <c r="AF68" s="78" t="b">
        <f t="shared" si="107"/>
        <v>0</v>
      </c>
      <c r="AG68" s="78" t="b">
        <f t="shared" si="107"/>
        <v>0</v>
      </c>
      <c r="AH68" s="78" t="b">
        <f t="shared" si="107"/>
        <v>0</v>
      </c>
      <c r="AI68" s="78" t="b">
        <f t="shared" si="107"/>
        <v>0</v>
      </c>
      <c r="AJ68" s="78" t="b">
        <f t="shared" si="107"/>
        <v>0</v>
      </c>
      <c r="AK68" s="78" t="b">
        <f t="shared" si="107"/>
        <v>0</v>
      </c>
      <c r="AL68" s="78" t="b">
        <f t="shared" si="107"/>
        <v>0</v>
      </c>
      <c r="AM68" s="78" t="b">
        <f t="shared" si="107"/>
        <v>0</v>
      </c>
      <c r="AN68" s="78" t="b">
        <f t="shared" si="107"/>
        <v>0</v>
      </c>
      <c r="AO68" s="78" t="b">
        <f t="shared" si="107"/>
        <v>0</v>
      </c>
      <c r="AP68" s="78"/>
    </row>
    <row r="69" spans="4:42" x14ac:dyDescent="0.35">
      <c r="D69" s="96"/>
      <c r="E69" s="96"/>
      <c r="G69" s="77">
        <f t="shared" si="99"/>
        <v>0</v>
      </c>
      <c r="H69" s="78">
        <f t="shared" si="100"/>
        <v>0</v>
      </c>
      <c r="I69" s="77">
        <f t="shared" si="101"/>
        <v>0</v>
      </c>
      <c r="J69" s="78">
        <f t="shared" si="102"/>
        <v>0</v>
      </c>
      <c r="K69" s="78" t="str">
        <f t="shared" si="103"/>
        <v>1900-01-00 00:0:00</v>
      </c>
      <c r="L69" s="78" t="str">
        <f t="shared" si="104"/>
        <v>1900-01-00 00:0:00</v>
      </c>
      <c r="M69" s="79">
        <f t="shared" si="105"/>
        <v>0</v>
      </c>
      <c r="N69">
        <f t="shared" si="106"/>
        <v>1</v>
      </c>
      <c r="O69" t="str">
        <f>IFERROR(_xlfn.XLOOKUP(A69,HC!A:A,HC!C:C),"")</f>
        <v>Workforce</v>
      </c>
      <c r="R69" s="78" t="b">
        <f t="shared" ref="R69:AO69" si="108">IFERROR(IF($B69=$D$1,IF(AND($K69&lt;R$1,$L69&lt;R$1),"",IF(AND($K69&gt;S$1,$L69&gt;S$1),"",IF(AND($K69&lt;R$1,$L69&lt;=S$1),$L69-R$1,IF(AND($K69&gt;=R$1,$L69&gt;S$1),S$1-$K69,IF(AND($K69&gt;=R$1,$L69&lt;=S$1),$L69-$K69,IF(AND($K69&lt;R$1,$L69&gt;S$1),S$1-R$1,""))))))),"")</f>
        <v>0</v>
      </c>
      <c r="S69" s="78" t="b">
        <f t="shared" si="108"/>
        <v>0</v>
      </c>
      <c r="T69" s="78" t="b">
        <f t="shared" si="108"/>
        <v>0</v>
      </c>
      <c r="U69" s="78" t="b">
        <f t="shared" si="108"/>
        <v>0</v>
      </c>
      <c r="V69" s="78" t="b">
        <f t="shared" si="108"/>
        <v>0</v>
      </c>
      <c r="W69" s="78" t="b">
        <f t="shared" si="108"/>
        <v>0</v>
      </c>
      <c r="X69" s="78" t="b">
        <f t="shared" si="108"/>
        <v>0</v>
      </c>
      <c r="Y69" s="78" t="b">
        <f t="shared" si="108"/>
        <v>0</v>
      </c>
      <c r="Z69" s="78" t="b">
        <f t="shared" si="108"/>
        <v>0</v>
      </c>
      <c r="AA69" s="78" t="b">
        <f t="shared" si="108"/>
        <v>0</v>
      </c>
      <c r="AB69" s="78" t="b">
        <f t="shared" si="108"/>
        <v>0</v>
      </c>
      <c r="AC69" s="78" t="b">
        <f t="shared" si="108"/>
        <v>0</v>
      </c>
      <c r="AD69" s="78" t="b">
        <f t="shared" si="108"/>
        <v>0</v>
      </c>
      <c r="AE69" s="78" t="b">
        <f t="shared" si="108"/>
        <v>0</v>
      </c>
      <c r="AF69" s="78" t="b">
        <f t="shared" si="108"/>
        <v>0</v>
      </c>
      <c r="AG69" s="78" t="b">
        <f t="shared" si="108"/>
        <v>0</v>
      </c>
      <c r="AH69" s="78" t="b">
        <f t="shared" si="108"/>
        <v>0</v>
      </c>
      <c r="AI69" s="78" t="b">
        <f t="shared" si="108"/>
        <v>0</v>
      </c>
      <c r="AJ69" s="78" t="b">
        <f t="shared" si="108"/>
        <v>0</v>
      </c>
      <c r="AK69" s="78" t="b">
        <f t="shared" si="108"/>
        <v>0</v>
      </c>
      <c r="AL69" s="78" t="b">
        <f t="shared" si="108"/>
        <v>0</v>
      </c>
      <c r="AM69" s="78" t="b">
        <f t="shared" si="108"/>
        <v>0</v>
      </c>
      <c r="AN69" s="78" t="b">
        <f t="shared" si="108"/>
        <v>0</v>
      </c>
      <c r="AO69" s="78" t="b">
        <f t="shared" si="108"/>
        <v>0</v>
      </c>
      <c r="AP69" s="78"/>
    </row>
    <row r="70" spans="4:42" x14ac:dyDescent="0.35">
      <c r="D70" s="96"/>
      <c r="E70" s="96"/>
      <c r="G70" s="77">
        <f t="shared" si="99"/>
        <v>0</v>
      </c>
      <c r="H70" s="78">
        <f t="shared" si="100"/>
        <v>0</v>
      </c>
      <c r="I70" s="77">
        <f t="shared" si="101"/>
        <v>0</v>
      </c>
      <c r="J70" s="78">
        <f t="shared" si="102"/>
        <v>0</v>
      </c>
      <c r="K70" s="78" t="str">
        <f t="shared" si="103"/>
        <v>1900-01-00 00:0:00</v>
      </c>
      <c r="L70" s="78" t="str">
        <f t="shared" si="104"/>
        <v>1900-01-00 00:0:00</v>
      </c>
      <c r="M70" s="79">
        <f t="shared" si="105"/>
        <v>0</v>
      </c>
      <c r="N70">
        <f t="shared" si="106"/>
        <v>1</v>
      </c>
      <c r="O70" t="str">
        <f>IFERROR(_xlfn.XLOOKUP(A70,HC!A:A,HC!C:C),"")</f>
        <v>Workforce</v>
      </c>
      <c r="R70" s="78" t="b">
        <f t="shared" ref="R70:AO70" si="109">IFERROR(IF($B70=$D$1,IF(AND($K70&lt;R$1,$L70&lt;R$1),"",IF(AND($K70&gt;S$1,$L70&gt;S$1),"",IF(AND($K70&lt;R$1,$L70&lt;=S$1),$L70-R$1,IF(AND($K70&gt;=R$1,$L70&gt;S$1),S$1-$K70,IF(AND($K70&gt;=R$1,$L70&lt;=S$1),$L70-$K70,IF(AND($K70&lt;R$1,$L70&gt;S$1),S$1-R$1,""))))))),"")</f>
        <v>0</v>
      </c>
      <c r="S70" s="78" t="b">
        <f t="shared" si="109"/>
        <v>0</v>
      </c>
      <c r="T70" s="78" t="b">
        <f t="shared" si="109"/>
        <v>0</v>
      </c>
      <c r="U70" s="78" t="b">
        <f t="shared" si="109"/>
        <v>0</v>
      </c>
      <c r="V70" s="78" t="b">
        <f t="shared" si="109"/>
        <v>0</v>
      </c>
      <c r="W70" s="78" t="b">
        <f t="shared" si="109"/>
        <v>0</v>
      </c>
      <c r="X70" s="78" t="b">
        <f t="shared" si="109"/>
        <v>0</v>
      </c>
      <c r="Y70" s="78" t="b">
        <f t="shared" si="109"/>
        <v>0</v>
      </c>
      <c r="Z70" s="78" t="b">
        <f t="shared" si="109"/>
        <v>0</v>
      </c>
      <c r="AA70" s="78" t="b">
        <f t="shared" si="109"/>
        <v>0</v>
      </c>
      <c r="AB70" s="78" t="b">
        <f t="shared" si="109"/>
        <v>0</v>
      </c>
      <c r="AC70" s="78" t="b">
        <f t="shared" si="109"/>
        <v>0</v>
      </c>
      <c r="AD70" s="78" t="b">
        <f t="shared" si="109"/>
        <v>0</v>
      </c>
      <c r="AE70" s="78" t="b">
        <f t="shared" si="109"/>
        <v>0</v>
      </c>
      <c r="AF70" s="78" t="b">
        <f t="shared" si="109"/>
        <v>0</v>
      </c>
      <c r="AG70" s="78" t="b">
        <f t="shared" si="109"/>
        <v>0</v>
      </c>
      <c r="AH70" s="78" t="b">
        <f t="shared" si="109"/>
        <v>0</v>
      </c>
      <c r="AI70" s="78" t="b">
        <f t="shared" si="109"/>
        <v>0</v>
      </c>
      <c r="AJ70" s="78" t="b">
        <f t="shared" si="109"/>
        <v>0</v>
      </c>
      <c r="AK70" s="78" t="b">
        <f t="shared" si="109"/>
        <v>0</v>
      </c>
      <c r="AL70" s="78" t="b">
        <f t="shared" si="109"/>
        <v>0</v>
      </c>
      <c r="AM70" s="78" t="b">
        <f t="shared" si="109"/>
        <v>0</v>
      </c>
      <c r="AN70" s="78" t="b">
        <f t="shared" si="109"/>
        <v>0</v>
      </c>
      <c r="AO70" s="78" t="b">
        <f t="shared" si="109"/>
        <v>0</v>
      </c>
      <c r="AP70" s="78"/>
    </row>
    <row r="71" spans="4:42" x14ac:dyDescent="0.35">
      <c r="D71" s="96"/>
      <c r="E71" s="96"/>
      <c r="G71" s="77">
        <f t="shared" si="99"/>
        <v>0</v>
      </c>
      <c r="H71" s="78">
        <f t="shared" si="100"/>
        <v>0</v>
      </c>
      <c r="I71" s="77">
        <f t="shared" si="101"/>
        <v>0</v>
      </c>
      <c r="J71" s="78">
        <f t="shared" si="102"/>
        <v>0</v>
      </c>
      <c r="K71" s="78" t="str">
        <f t="shared" si="103"/>
        <v>1900-01-00 00:0:00</v>
      </c>
      <c r="L71" s="78" t="str">
        <f t="shared" si="104"/>
        <v>1900-01-00 00:0:00</v>
      </c>
      <c r="M71" s="79">
        <f t="shared" si="105"/>
        <v>0</v>
      </c>
      <c r="N71">
        <f t="shared" si="106"/>
        <v>1</v>
      </c>
      <c r="O71" t="str">
        <f>IFERROR(_xlfn.XLOOKUP(A71,HC!A:A,HC!C:C),"")</f>
        <v>Workforce</v>
      </c>
      <c r="R71" s="78" t="b">
        <f t="shared" ref="R71:AO71" si="110">IFERROR(IF($B71=$D$1,IF(AND($K71&lt;R$1,$L71&lt;R$1),"",IF(AND($K71&gt;S$1,$L71&gt;S$1),"",IF(AND($K71&lt;R$1,$L71&lt;=S$1),$L71-R$1,IF(AND($K71&gt;=R$1,$L71&gt;S$1),S$1-$K71,IF(AND($K71&gt;=R$1,$L71&lt;=S$1),$L71-$K71,IF(AND($K71&lt;R$1,$L71&gt;S$1),S$1-R$1,""))))))),"")</f>
        <v>0</v>
      </c>
      <c r="S71" s="78" t="b">
        <f t="shared" si="110"/>
        <v>0</v>
      </c>
      <c r="T71" s="78" t="b">
        <f t="shared" si="110"/>
        <v>0</v>
      </c>
      <c r="U71" s="78" t="b">
        <f t="shared" si="110"/>
        <v>0</v>
      </c>
      <c r="V71" s="78" t="b">
        <f t="shared" si="110"/>
        <v>0</v>
      </c>
      <c r="W71" s="78" t="b">
        <f t="shared" si="110"/>
        <v>0</v>
      </c>
      <c r="X71" s="78" t="b">
        <f t="shared" si="110"/>
        <v>0</v>
      </c>
      <c r="Y71" s="78" t="b">
        <f t="shared" si="110"/>
        <v>0</v>
      </c>
      <c r="Z71" s="78" t="b">
        <f t="shared" si="110"/>
        <v>0</v>
      </c>
      <c r="AA71" s="78" t="b">
        <f t="shared" si="110"/>
        <v>0</v>
      </c>
      <c r="AB71" s="78" t="b">
        <f t="shared" si="110"/>
        <v>0</v>
      </c>
      <c r="AC71" s="78" t="b">
        <f t="shared" si="110"/>
        <v>0</v>
      </c>
      <c r="AD71" s="78" t="b">
        <f t="shared" si="110"/>
        <v>0</v>
      </c>
      <c r="AE71" s="78" t="b">
        <f t="shared" si="110"/>
        <v>0</v>
      </c>
      <c r="AF71" s="78" t="b">
        <f t="shared" si="110"/>
        <v>0</v>
      </c>
      <c r="AG71" s="78" t="b">
        <f t="shared" si="110"/>
        <v>0</v>
      </c>
      <c r="AH71" s="78" t="b">
        <f t="shared" si="110"/>
        <v>0</v>
      </c>
      <c r="AI71" s="78" t="b">
        <f t="shared" si="110"/>
        <v>0</v>
      </c>
      <c r="AJ71" s="78" t="b">
        <f t="shared" si="110"/>
        <v>0</v>
      </c>
      <c r="AK71" s="78" t="b">
        <f t="shared" si="110"/>
        <v>0</v>
      </c>
      <c r="AL71" s="78" t="b">
        <f t="shared" si="110"/>
        <v>0</v>
      </c>
      <c r="AM71" s="78" t="b">
        <f t="shared" si="110"/>
        <v>0</v>
      </c>
      <c r="AN71" s="78" t="b">
        <f t="shared" si="110"/>
        <v>0</v>
      </c>
      <c r="AO71" s="78" t="b">
        <f t="shared" si="110"/>
        <v>0</v>
      </c>
      <c r="AP71" s="78"/>
    </row>
    <row r="72" spans="4:42" x14ac:dyDescent="0.35">
      <c r="D72" s="96"/>
      <c r="E72" s="96"/>
      <c r="G72" s="77">
        <f t="shared" si="99"/>
        <v>0</v>
      </c>
      <c r="H72" s="78">
        <f t="shared" si="100"/>
        <v>0</v>
      </c>
      <c r="I72" s="77">
        <f t="shared" si="101"/>
        <v>0</v>
      </c>
      <c r="J72" s="78">
        <f t="shared" si="102"/>
        <v>0</v>
      </c>
      <c r="K72" s="78" t="str">
        <f t="shared" si="103"/>
        <v>1900-01-00 00:0:00</v>
      </c>
      <c r="L72" s="78" t="str">
        <f t="shared" si="104"/>
        <v>1900-01-00 00:0:00</v>
      </c>
      <c r="M72" s="79">
        <f t="shared" si="105"/>
        <v>0</v>
      </c>
      <c r="N72">
        <f t="shared" si="106"/>
        <v>1</v>
      </c>
      <c r="O72" t="str">
        <f>IFERROR(_xlfn.XLOOKUP(A72,HC!A:A,HC!C:C),"")</f>
        <v>Workforce</v>
      </c>
      <c r="R72" s="78" t="b">
        <f t="shared" ref="R72:AO72" si="111">IFERROR(IF($B72=$D$1,IF(AND($K72&lt;R$1,$L72&lt;R$1),"",IF(AND($K72&gt;S$1,$L72&gt;S$1),"",IF(AND($K72&lt;R$1,$L72&lt;=S$1),$L72-R$1,IF(AND($K72&gt;=R$1,$L72&gt;S$1),S$1-$K72,IF(AND($K72&gt;=R$1,$L72&lt;=S$1),$L72-$K72,IF(AND($K72&lt;R$1,$L72&gt;S$1),S$1-R$1,""))))))),"")</f>
        <v>0</v>
      </c>
      <c r="S72" s="78" t="b">
        <f t="shared" si="111"/>
        <v>0</v>
      </c>
      <c r="T72" s="78" t="b">
        <f t="shared" si="111"/>
        <v>0</v>
      </c>
      <c r="U72" s="78" t="b">
        <f t="shared" si="111"/>
        <v>0</v>
      </c>
      <c r="V72" s="78" t="b">
        <f t="shared" si="111"/>
        <v>0</v>
      </c>
      <c r="W72" s="78" t="b">
        <f t="shared" si="111"/>
        <v>0</v>
      </c>
      <c r="X72" s="78" t="b">
        <f t="shared" si="111"/>
        <v>0</v>
      </c>
      <c r="Y72" s="78" t="b">
        <f t="shared" si="111"/>
        <v>0</v>
      </c>
      <c r="Z72" s="78" t="b">
        <f t="shared" si="111"/>
        <v>0</v>
      </c>
      <c r="AA72" s="78" t="b">
        <f t="shared" si="111"/>
        <v>0</v>
      </c>
      <c r="AB72" s="78" t="b">
        <f t="shared" si="111"/>
        <v>0</v>
      </c>
      <c r="AC72" s="78" t="b">
        <f t="shared" si="111"/>
        <v>0</v>
      </c>
      <c r="AD72" s="78" t="b">
        <f t="shared" si="111"/>
        <v>0</v>
      </c>
      <c r="AE72" s="78" t="b">
        <f t="shared" si="111"/>
        <v>0</v>
      </c>
      <c r="AF72" s="78" t="b">
        <f t="shared" si="111"/>
        <v>0</v>
      </c>
      <c r="AG72" s="78" t="b">
        <f t="shared" si="111"/>
        <v>0</v>
      </c>
      <c r="AH72" s="78" t="b">
        <f t="shared" si="111"/>
        <v>0</v>
      </c>
      <c r="AI72" s="78" t="b">
        <f t="shared" si="111"/>
        <v>0</v>
      </c>
      <c r="AJ72" s="78" t="b">
        <f t="shared" si="111"/>
        <v>0</v>
      </c>
      <c r="AK72" s="78" t="b">
        <f t="shared" si="111"/>
        <v>0</v>
      </c>
      <c r="AL72" s="78" t="b">
        <f t="shared" si="111"/>
        <v>0</v>
      </c>
      <c r="AM72" s="78" t="b">
        <f t="shared" si="111"/>
        <v>0</v>
      </c>
      <c r="AN72" s="78" t="b">
        <f t="shared" si="111"/>
        <v>0</v>
      </c>
      <c r="AO72" s="78" t="b">
        <f t="shared" si="111"/>
        <v>0</v>
      </c>
      <c r="AP72" s="78"/>
    </row>
    <row r="73" spans="4:42" x14ac:dyDescent="0.35">
      <c r="D73" s="96"/>
      <c r="E73" s="96"/>
      <c r="G73" s="77">
        <f t="shared" si="99"/>
        <v>0</v>
      </c>
      <c r="H73" s="78">
        <f t="shared" si="100"/>
        <v>0</v>
      </c>
      <c r="I73" s="77">
        <f t="shared" si="101"/>
        <v>0</v>
      </c>
      <c r="J73" s="78">
        <f t="shared" si="102"/>
        <v>0</v>
      </c>
      <c r="K73" s="78" t="str">
        <f t="shared" si="103"/>
        <v>1900-01-00 00:0:00</v>
      </c>
      <c r="L73" s="78" t="str">
        <f t="shared" si="104"/>
        <v>1900-01-00 00:0:00</v>
      </c>
      <c r="M73" s="79">
        <f t="shared" si="105"/>
        <v>0</v>
      </c>
      <c r="N73">
        <f t="shared" si="106"/>
        <v>1</v>
      </c>
      <c r="O73" t="str">
        <f>IFERROR(_xlfn.XLOOKUP(A73,HC!A:A,HC!C:C),"")</f>
        <v>Workforce</v>
      </c>
      <c r="R73" s="78" t="b">
        <f t="shared" ref="R73:AO73" si="112">IFERROR(IF($B73=$D$1,IF(AND($K73&lt;R$1,$L73&lt;R$1),"",IF(AND($K73&gt;S$1,$L73&gt;S$1),"",IF(AND($K73&lt;R$1,$L73&lt;=S$1),$L73-R$1,IF(AND($K73&gt;=R$1,$L73&gt;S$1),S$1-$K73,IF(AND($K73&gt;=R$1,$L73&lt;=S$1),$L73-$K73,IF(AND($K73&lt;R$1,$L73&gt;S$1),S$1-R$1,""))))))),"")</f>
        <v>0</v>
      </c>
      <c r="S73" s="78" t="b">
        <f t="shared" si="112"/>
        <v>0</v>
      </c>
      <c r="T73" s="78" t="b">
        <f t="shared" si="112"/>
        <v>0</v>
      </c>
      <c r="U73" s="78" t="b">
        <f t="shared" si="112"/>
        <v>0</v>
      </c>
      <c r="V73" s="78" t="b">
        <f t="shared" si="112"/>
        <v>0</v>
      </c>
      <c r="W73" s="78" t="b">
        <f t="shared" si="112"/>
        <v>0</v>
      </c>
      <c r="X73" s="78" t="b">
        <f t="shared" si="112"/>
        <v>0</v>
      </c>
      <c r="Y73" s="78" t="b">
        <f t="shared" si="112"/>
        <v>0</v>
      </c>
      <c r="Z73" s="78" t="b">
        <f t="shared" si="112"/>
        <v>0</v>
      </c>
      <c r="AA73" s="78" t="b">
        <f t="shared" si="112"/>
        <v>0</v>
      </c>
      <c r="AB73" s="78" t="b">
        <f t="shared" si="112"/>
        <v>0</v>
      </c>
      <c r="AC73" s="78" t="b">
        <f t="shared" si="112"/>
        <v>0</v>
      </c>
      <c r="AD73" s="78" t="b">
        <f t="shared" si="112"/>
        <v>0</v>
      </c>
      <c r="AE73" s="78" t="b">
        <f t="shared" si="112"/>
        <v>0</v>
      </c>
      <c r="AF73" s="78" t="b">
        <f t="shared" si="112"/>
        <v>0</v>
      </c>
      <c r="AG73" s="78" t="b">
        <f t="shared" si="112"/>
        <v>0</v>
      </c>
      <c r="AH73" s="78" t="b">
        <f t="shared" si="112"/>
        <v>0</v>
      </c>
      <c r="AI73" s="78" t="b">
        <f t="shared" si="112"/>
        <v>0</v>
      </c>
      <c r="AJ73" s="78" t="b">
        <f t="shared" si="112"/>
        <v>0</v>
      </c>
      <c r="AK73" s="78" t="b">
        <f t="shared" si="112"/>
        <v>0</v>
      </c>
      <c r="AL73" s="78" t="b">
        <f t="shared" si="112"/>
        <v>0</v>
      </c>
      <c r="AM73" s="78" t="b">
        <f t="shared" si="112"/>
        <v>0</v>
      </c>
      <c r="AN73" s="78" t="b">
        <f t="shared" si="112"/>
        <v>0</v>
      </c>
      <c r="AO73" s="78" t="b">
        <f t="shared" si="112"/>
        <v>0</v>
      </c>
      <c r="AP73" s="78"/>
    </row>
    <row r="74" spans="4:42" x14ac:dyDescent="0.35">
      <c r="D74" s="96"/>
      <c r="E74" s="96"/>
      <c r="G74" s="77">
        <f t="shared" si="99"/>
        <v>0</v>
      </c>
      <c r="H74" s="78">
        <f t="shared" si="100"/>
        <v>0</v>
      </c>
      <c r="I74" s="77">
        <f t="shared" si="101"/>
        <v>0</v>
      </c>
      <c r="J74" s="78">
        <f t="shared" si="102"/>
        <v>0</v>
      </c>
      <c r="K74" s="78" t="str">
        <f t="shared" si="103"/>
        <v>1900-01-00 00:0:00</v>
      </c>
      <c r="L74" s="78" t="str">
        <f t="shared" si="104"/>
        <v>1900-01-00 00:0:00</v>
      </c>
      <c r="M74" s="79">
        <f t="shared" si="105"/>
        <v>0</v>
      </c>
      <c r="N74">
        <f t="shared" si="106"/>
        <v>1</v>
      </c>
      <c r="O74" t="str">
        <f>IFERROR(_xlfn.XLOOKUP(A74,HC!A:A,HC!C:C),"")</f>
        <v>Workforce</v>
      </c>
      <c r="R74" s="78" t="b">
        <f t="shared" ref="R74:AO74" si="113">IFERROR(IF($B74=$D$1,IF(AND($K74&lt;R$1,$L74&lt;R$1),"",IF(AND($K74&gt;S$1,$L74&gt;S$1),"",IF(AND($K74&lt;R$1,$L74&lt;=S$1),$L74-R$1,IF(AND($K74&gt;=R$1,$L74&gt;S$1),S$1-$K74,IF(AND($K74&gt;=R$1,$L74&lt;=S$1),$L74-$K74,IF(AND($K74&lt;R$1,$L74&gt;S$1),S$1-R$1,""))))))),"")</f>
        <v>0</v>
      </c>
      <c r="S74" s="78" t="b">
        <f t="shared" si="113"/>
        <v>0</v>
      </c>
      <c r="T74" s="78" t="b">
        <f t="shared" si="113"/>
        <v>0</v>
      </c>
      <c r="U74" s="78" t="b">
        <f t="shared" si="113"/>
        <v>0</v>
      </c>
      <c r="V74" s="78" t="b">
        <f t="shared" si="113"/>
        <v>0</v>
      </c>
      <c r="W74" s="78" t="b">
        <f t="shared" si="113"/>
        <v>0</v>
      </c>
      <c r="X74" s="78" t="b">
        <f t="shared" si="113"/>
        <v>0</v>
      </c>
      <c r="Y74" s="78" t="b">
        <f t="shared" si="113"/>
        <v>0</v>
      </c>
      <c r="Z74" s="78" t="b">
        <f t="shared" si="113"/>
        <v>0</v>
      </c>
      <c r="AA74" s="78" t="b">
        <f t="shared" si="113"/>
        <v>0</v>
      </c>
      <c r="AB74" s="78" t="b">
        <f t="shared" si="113"/>
        <v>0</v>
      </c>
      <c r="AC74" s="78" t="b">
        <f t="shared" si="113"/>
        <v>0</v>
      </c>
      <c r="AD74" s="78" t="b">
        <f t="shared" si="113"/>
        <v>0</v>
      </c>
      <c r="AE74" s="78" t="b">
        <f t="shared" si="113"/>
        <v>0</v>
      </c>
      <c r="AF74" s="78" t="b">
        <f t="shared" si="113"/>
        <v>0</v>
      </c>
      <c r="AG74" s="78" t="b">
        <f t="shared" si="113"/>
        <v>0</v>
      </c>
      <c r="AH74" s="78" t="b">
        <f t="shared" si="113"/>
        <v>0</v>
      </c>
      <c r="AI74" s="78" t="b">
        <f t="shared" si="113"/>
        <v>0</v>
      </c>
      <c r="AJ74" s="78" t="b">
        <f t="shared" si="113"/>
        <v>0</v>
      </c>
      <c r="AK74" s="78" t="b">
        <f t="shared" si="113"/>
        <v>0</v>
      </c>
      <c r="AL74" s="78" t="b">
        <f t="shared" si="113"/>
        <v>0</v>
      </c>
      <c r="AM74" s="78" t="b">
        <f t="shared" si="113"/>
        <v>0</v>
      </c>
      <c r="AN74" s="78" t="b">
        <f t="shared" si="113"/>
        <v>0</v>
      </c>
      <c r="AO74" s="78" t="b">
        <f t="shared" si="113"/>
        <v>0</v>
      </c>
      <c r="AP74" s="78"/>
    </row>
    <row r="75" spans="4:42" x14ac:dyDescent="0.35">
      <c r="D75" s="96"/>
      <c r="E75" s="96"/>
      <c r="G75" s="77">
        <f t="shared" si="99"/>
        <v>0</v>
      </c>
      <c r="H75" s="78">
        <f t="shared" si="100"/>
        <v>0</v>
      </c>
      <c r="I75" s="77">
        <f t="shared" si="101"/>
        <v>0</v>
      </c>
      <c r="J75" s="78">
        <f t="shared" si="102"/>
        <v>0</v>
      </c>
      <c r="K75" s="78" t="str">
        <f t="shared" si="103"/>
        <v>1900-01-00 00:0:00</v>
      </c>
      <c r="L75" s="78" t="str">
        <f t="shared" si="104"/>
        <v>1900-01-00 00:0:00</v>
      </c>
      <c r="M75" s="79">
        <f t="shared" si="105"/>
        <v>0</v>
      </c>
      <c r="N75">
        <f t="shared" si="106"/>
        <v>1</v>
      </c>
      <c r="O75" t="str">
        <f>IFERROR(_xlfn.XLOOKUP(A75,HC!A:A,HC!C:C),"")</f>
        <v>Workforce</v>
      </c>
      <c r="R75" s="78" t="b">
        <f t="shared" ref="R75:AO75" si="114">IFERROR(IF($B75=$D$1,IF(AND($K75&lt;R$1,$L75&lt;R$1),"",IF(AND($K75&gt;S$1,$L75&gt;S$1),"",IF(AND($K75&lt;R$1,$L75&lt;=S$1),$L75-R$1,IF(AND($K75&gt;=R$1,$L75&gt;S$1),S$1-$K75,IF(AND($K75&gt;=R$1,$L75&lt;=S$1),$L75-$K75,IF(AND($K75&lt;R$1,$L75&gt;S$1),S$1-R$1,""))))))),"")</f>
        <v>0</v>
      </c>
      <c r="S75" s="78" t="b">
        <f t="shared" si="114"/>
        <v>0</v>
      </c>
      <c r="T75" s="78" t="b">
        <f t="shared" si="114"/>
        <v>0</v>
      </c>
      <c r="U75" s="78" t="b">
        <f t="shared" si="114"/>
        <v>0</v>
      </c>
      <c r="V75" s="78" t="b">
        <f t="shared" si="114"/>
        <v>0</v>
      </c>
      <c r="W75" s="78" t="b">
        <f t="shared" si="114"/>
        <v>0</v>
      </c>
      <c r="X75" s="78" t="b">
        <f t="shared" si="114"/>
        <v>0</v>
      </c>
      <c r="Y75" s="78" t="b">
        <f t="shared" si="114"/>
        <v>0</v>
      </c>
      <c r="Z75" s="78" t="b">
        <f t="shared" si="114"/>
        <v>0</v>
      </c>
      <c r="AA75" s="78" t="b">
        <f t="shared" si="114"/>
        <v>0</v>
      </c>
      <c r="AB75" s="78" t="b">
        <f t="shared" si="114"/>
        <v>0</v>
      </c>
      <c r="AC75" s="78" t="b">
        <f t="shared" si="114"/>
        <v>0</v>
      </c>
      <c r="AD75" s="78" t="b">
        <f t="shared" si="114"/>
        <v>0</v>
      </c>
      <c r="AE75" s="78" t="b">
        <f t="shared" si="114"/>
        <v>0</v>
      </c>
      <c r="AF75" s="78" t="b">
        <f t="shared" si="114"/>
        <v>0</v>
      </c>
      <c r="AG75" s="78" t="b">
        <f t="shared" si="114"/>
        <v>0</v>
      </c>
      <c r="AH75" s="78" t="b">
        <f t="shared" si="114"/>
        <v>0</v>
      </c>
      <c r="AI75" s="78" t="b">
        <f t="shared" si="114"/>
        <v>0</v>
      </c>
      <c r="AJ75" s="78" t="b">
        <f t="shared" si="114"/>
        <v>0</v>
      </c>
      <c r="AK75" s="78" t="b">
        <f t="shared" si="114"/>
        <v>0</v>
      </c>
      <c r="AL75" s="78" t="b">
        <f t="shared" si="114"/>
        <v>0</v>
      </c>
      <c r="AM75" s="78" t="b">
        <f t="shared" si="114"/>
        <v>0</v>
      </c>
      <c r="AN75" s="78" t="b">
        <f t="shared" si="114"/>
        <v>0</v>
      </c>
      <c r="AO75" s="78" t="b">
        <f t="shared" si="114"/>
        <v>0</v>
      </c>
      <c r="AP75" s="78"/>
    </row>
    <row r="76" spans="4:42" x14ac:dyDescent="0.35">
      <c r="D76" s="96"/>
      <c r="E76" s="96"/>
      <c r="G76" s="77">
        <f t="shared" si="99"/>
        <v>0</v>
      </c>
      <c r="H76" s="78">
        <f t="shared" si="100"/>
        <v>0</v>
      </c>
      <c r="I76" s="77">
        <f t="shared" si="101"/>
        <v>0</v>
      </c>
      <c r="J76" s="78">
        <f t="shared" si="102"/>
        <v>0</v>
      </c>
      <c r="K76" s="78" t="str">
        <f t="shared" si="103"/>
        <v>1900-01-00 00:0:00</v>
      </c>
      <c r="L76" s="78" t="str">
        <f t="shared" si="104"/>
        <v>1900-01-00 00:0:00</v>
      </c>
      <c r="M76" s="79">
        <f t="shared" si="105"/>
        <v>0</v>
      </c>
      <c r="N76">
        <f t="shared" si="106"/>
        <v>1</v>
      </c>
      <c r="O76" t="str">
        <f>IFERROR(_xlfn.XLOOKUP(A76,HC!A:A,HC!C:C),"")</f>
        <v>Workforce</v>
      </c>
      <c r="R76" s="78" t="b">
        <f t="shared" ref="R76:AO76" si="115">IFERROR(IF($B76=$D$1,IF(AND($K76&lt;R$1,$L76&lt;R$1),"",IF(AND($K76&gt;S$1,$L76&gt;S$1),"",IF(AND($K76&lt;R$1,$L76&lt;=S$1),$L76-R$1,IF(AND($K76&gt;=R$1,$L76&gt;S$1),S$1-$K76,IF(AND($K76&gt;=R$1,$L76&lt;=S$1),$L76-$K76,IF(AND($K76&lt;R$1,$L76&gt;S$1),S$1-R$1,""))))))),"")</f>
        <v>0</v>
      </c>
      <c r="S76" s="78" t="b">
        <f t="shared" si="115"/>
        <v>0</v>
      </c>
      <c r="T76" s="78" t="b">
        <f t="shared" si="115"/>
        <v>0</v>
      </c>
      <c r="U76" s="78" t="b">
        <f t="shared" si="115"/>
        <v>0</v>
      </c>
      <c r="V76" s="78" t="b">
        <f t="shared" si="115"/>
        <v>0</v>
      </c>
      <c r="W76" s="78" t="b">
        <f t="shared" si="115"/>
        <v>0</v>
      </c>
      <c r="X76" s="78" t="b">
        <f t="shared" si="115"/>
        <v>0</v>
      </c>
      <c r="Y76" s="78" t="b">
        <f t="shared" si="115"/>
        <v>0</v>
      </c>
      <c r="Z76" s="78" t="b">
        <f t="shared" si="115"/>
        <v>0</v>
      </c>
      <c r="AA76" s="78" t="b">
        <f t="shared" si="115"/>
        <v>0</v>
      </c>
      <c r="AB76" s="78" t="b">
        <f t="shared" si="115"/>
        <v>0</v>
      </c>
      <c r="AC76" s="78" t="b">
        <f t="shared" si="115"/>
        <v>0</v>
      </c>
      <c r="AD76" s="78" t="b">
        <f t="shared" si="115"/>
        <v>0</v>
      </c>
      <c r="AE76" s="78" t="b">
        <f t="shared" si="115"/>
        <v>0</v>
      </c>
      <c r="AF76" s="78" t="b">
        <f t="shared" si="115"/>
        <v>0</v>
      </c>
      <c r="AG76" s="78" t="b">
        <f t="shared" si="115"/>
        <v>0</v>
      </c>
      <c r="AH76" s="78" t="b">
        <f t="shared" si="115"/>
        <v>0</v>
      </c>
      <c r="AI76" s="78" t="b">
        <f t="shared" si="115"/>
        <v>0</v>
      </c>
      <c r="AJ76" s="78" t="b">
        <f t="shared" si="115"/>
        <v>0</v>
      </c>
      <c r="AK76" s="78" t="b">
        <f t="shared" si="115"/>
        <v>0</v>
      </c>
      <c r="AL76" s="78" t="b">
        <f t="shared" si="115"/>
        <v>0</v>
      </c>
      <c r="AM76" s="78" t="b">
        <f t="shared" si="115"/>
        <v>0</v>
      </c>
      <c r="AN76" s="78" t="b">
        <f t="shared" si="115"/>
        <v>0</v>
      </c>
      <c r="AO76" s="78" t="b">
        <f t="shared" si="115"/>
        <v>0</v>
      </c>
      <c r="AP76" s="78"/>
    </row>
    <row r="77" spans="4:42" x14ac:dyDescent="0.35">
      <c r="D77" s="96"/>
      <c r="E77" s="96"/>
      <c r="G77" s="77">
        <f t="shared" si="99"/>
        <v>0</v>
      </c>
      <c r="H77" s="78">
        <f t="shared" si="100"/>
        <v>0</v>
      </c>
      <c r="I77" s="77">
        <f t="shared" si="101"/>
        <v>0</v>
      </c>
      <c r="J77" s="78">
        <f t="shared" si="102"/>
        <v>0</v>
      </c>
      <c r="K77" s="78" t="str">
        <f t="shared" si="103"/>
        <v>1900-01-00 00:0:00</v>
      </c>
      <c r="L77" s="78" t="str">
        <f t="shared" si="104"/>
        <v>1900-01-00 00:0:00</v>
      </c>
      <c r="M77" s="79">
        <f t="shared" si="105"/>
        <v>0</v>
      </c>
      <c r="N77">
        <f t="shared" si="106"/>
        <v>1</v>
      </c>
      <c r="O77" t="str">
        <f>IFERROR(_xlfn.XLOOKUP(A77,HC!A:A,HC!C:C),"")</f>
        <v>Workforce</v>
      </c>
      <c r="R77" s="78" t="b">
        <f t="shared" ref="R77:AO77" si="116">IFERROR(IF($B77=$D$1,IF(AND($K77&lt;R$1,$L77&lt;R$1),"",IF(AND($K77&gt;S$1,$L77&gt;S$1),"",IF(AND($K77&lt;R$1,$L77&lt;=S$1),$L77-R$1,IF(AND($K77&gt;=R$1,$L77&gt;S$1),S$1-$K77,IF(AND($K77&gt;=R$1,$L77&lt;=S$1),$L77-$K77,IF(AND($K77&lt;R$1,$L77&gt;S$1),S$1-R$1,""))))))),"")</f>
        <v>0</v>
      </c>
      <c r="S77" s="78" t="b">
        <f t="shared" si="116"/>
        <v>0</v>
      </c>
      <c r="T77" s="78" t="b">
        <f t="shared" si="116"/>
        <v>0</v>
      </c>
      <c r="U77" s="78" t="b">
        <f t="shared" si="116"/>
        <v>0</v>
      </c>
      <c r="V77" s="78" t="b">
        <f t="shared" si="116"/>
        <v>0</v>
      </c>
      <c r="W77" s="78" t="b">
        <f t="shared" si="116"/>
        <v>0</v>
      </c>
      <c r="X77" s="78" t="b">
        <f t="shared" si="116"/>
        <v>0</v>
      </c>
      <c r="Y77" s="78" t="b">
        <f t="shared" si="116"/>
        <v>0</v>
      </c>
      <c r="Z77" s="78" t="b">
        <f t="shared" si="116"/>
        <v>0</v>
      </c>
      <c r="AA77" s="78" t="b">
        <f t="shared" si="116"/>
        <v>0</v>
      </c>
      <c r="AB77" s="78" t="b">
        <f t="shared" si="116"/>
        <v>0</v>
      </c>
      <c r="AC77" s="78" t="b">
        <f t="shared" si="116"/>
        <v>0</v>
      </c>
      <c r="AD77" s="78" t="b">
        <f t="shared" si="116"/>
        <v>0</v>
      </c>
      <c r="AE77" s="78" t="b">
        <f t="shared" si="116"/>
        <v>0</v>
      </c>
      <c r="AF77" s="78" t="b">
        <f t="shared" si="116"/>
        <v>0</v>
      </c>
      <c r="AG77" s="78" t="b">
        <f t="shared" si="116"/>
        <v>0</v>
      </c>
      <c r="AH77" s="78" t="b">
        <f t="shared" si="116"/>
        <v>0</v>
      </c>
      <c r="AI77" s="78" t="b">
        <f t="shared" si="116"/>
        <v>0</v>
      </c>
      <c r="AJ77" s="78" t="b">
        <f t="shared" si="116"/>
        <v>0</v>
      </c>
      <c r="AK77" s="78" t="b">
        <f t="shared" si="116"/>
        <v>0</v>
      </c>
      <c r="AL77" s="78" t="b">
        <f t="shared" si="116"/>
        <v>0</v>
      </c>
      <c r="AM77" s="78" t="b">
        <f t="shared" si="116"/>
        <v>0</v>
      </c>
      <c r="AN77" s="78" t="b">
        <f t="shared" si="116"/>
        <v>0</v>
      </c>
      <c r="AO77" s="78" t="b">
        <f t="shared" si="116"/>
        <v>0</v>
      </c>
      <c r="AP77" s="78"/>
    </row>
    <row r="78" spans="4:42" x14ac:dyDescent="0.35">
      <c r="D78" s="96"/>
      <c r="E78" s="96"/>
      <c r="G78" s="77">
        <f t="shared" si="99"/>
        <v>0</v>
      </c>
      <c r="H78" s="78">
        <f t="shared" si="100"/>
        <v>0</v>
      </c>
      <c r="I78" s="77">
        <f t="shared" si="101"/>
        <v>0</v>
      </c>
      <c r="J78" s="78">
        <f t="shared" si="102"/>
        <v>0</v>
      </c>
      <c r="K78" s="78" t="str">
        <f t="shared" si="103"/>
        <v>1900-01-00 00:0:00</v>
      </c>
      <c r="L78" s="78" t="str">
        <f t="shared" si="104"/>
        <v>1900-01-00 00:0:00</v>
      </c>
      <c r="M78" s="79">
        <f t="shared" si="105"/>
        <v>0</v>
      </c>
      <c r="N78">
        <f t="shared" si="106"/>
        <v>1</v>
      </c>
      <c r="O78" t="str">
        <f>IFERROR(_xlfn.XLOOKUP(A78,HC!A:A,HC!C:C),"")</f>
        <v>Workforce</v>
      </c>
      <c r="R78" s="78" t="b">
        <f t="shared" ref="R78:AO78" si="117">IFERROR(IF($B78=$D$1,IF(AND($K78&lt;R$1,$L78&lt;R$1),"",IF(AND($K78&gt;S$1,$L78&gt;S$1),"",IF(AND($K78&lt;R$1,$L78&lt;=S$1),$L78-R$1,IF(AND($K78&gt;=R$1,$L78&gt;S$1),S$1-$K78,IF(AND($K78&gt;=R$1,$L78&lt;=S$1),$L78-$K78,IF(AND($K78&lt;R$1,$L78&gt;S$1),S$1-R$1,""))))))),"")</f>
        <v>0</v>
      </c>
      <c r="S78" s="78" t="b">
        <f t="shared" si="117"/>
        <v>0</v>
      </c>
      <c r="T78" s="78" t="b">
        <f t="shared" si="117"/>
        <v>0</v>
      </c>
      <c r="U78" s="78" t="b">
        <f t="shared" si="117"/>
        <v>0</v>
      </c>
      <c r="V78" s="78" t="b">
        <f t="shared" si="117"/>
        <v>0</v>
      </c>
      <c r="W78" s="78" t="b">
        <f t="shared" si="117"/>
        <v>0</v>
      </c>
      <c r="X78" s="78" t="b">
        <f t="shared" si="117"/>
        <v>0</v>
      </c>
      <c r="Y78" s="78" t="b">
        <f t="shared" si="117"/>
        <v>0</v>
      </c>
      <c r="Z78" s="78" t="b">
        <f t="shared" si="117"/>
        <v>0</v>
      </c>
      <c r="AA78" s="78" t="b">
        <f t="shared" si="117"/>
        <v>0</v>
      </c>
      <c r="AB78" s="78" t="b">
        <f t="shared" si="117"/>
        <v>0</v>
      </c>
      <c r="AC78" s="78" t="b">
        <f t="shared" si="117"/>
        <v>0</v>
      </c>
      <c r="AD78" s="78" t="b">
        <f t="shared" si="117"/>
        <v>0</v>
      </c>
      <c r="AE78" s="78" t="b">
        <f t="shared" si="117"/>
        <v>0</v>
      </c>
      <c r="AF78" s="78" t="b">
        <f t="shared" si="117"/>
        <v>0</v>
      </c>
      <c r="AG78" s="78" t="b">
        <f t="shared" si="117"/>
        <v>0</v>
      </c>
      <c r="AH78" s="78" t="b">
        <f t="shared" si="117"/>
        <v>0</v>
      </c>
      <c r="AI78" s="78" t="b">
        <f t="shared" si="117"/>
        <v>0</v>
      </c>
      <c r="AJ78" s="78" t="b">
        <f t="shared" si="117"/>
        <v>0</v>
      </c>
      <c r="AK78" s="78" t="b">
        <f t="shared" si="117"/>
        <v>0</v>
      </c>
      <c r="AL78" s="78" t="b">
        <f t="shared" si="117"/>
        <v>0</v>
      </c>
      <c r="AM78" s="78" t="b">
        <f t="shared" si="117"/>
        <v>0</v>
      </c>
      <c r="AN78" s="78" t="b">
        <f t="shared" si="117"/>
        <v>0</v>
      </c>
      <c r="AO78" s="78" t="b">
        <f t="shared" si="117"/>
        <v>0</v>
      </c>
      <c r="AP78" s="78"/>
    </row>
    <row r="79" spans="4:42" x14ac:dyDescent="0.35">
      <c r="D79" s="96"/>
      <c r="E79" s="96"/>
      <c r="G79" s="77">
        <f t="shared" si="99"/>
        <v>0</v>
      </c>
      <c r="H79" s="78">
        <f t="shared" si="100"/>
        <v>0</v>
      </c>
      <c r="I79" s="77">
        <f t="shared" si="101"/>
        <v>0</v>
      </c>
      <c r="J79" s="78">
        <f t="shared" si="102"/>
        <v>0</v>
      </c>
      <c r="K79" s="78" t="str">
        <f t="shared" si="103"/>
        <v>1900-01-00 00:0:00</v>
      </c>
      <c r="L79" s="78" t="str">
        <f t="shared" si="104"/>
        <v>1900-01-00 00:0:00</v>
      </c>
      <c r="M79" s="79">
        <f t="shared" si="105"/>
        <v>0</v>
      </c>
      <c r="N79">
        <f t="shared" si="106"/>
        <v>1</v>
      </c>
      <c r="O79" t="str">
        <f>IFERROR(_xlfn.XLOOKUP(A79,HC!A:A,HC!C:C),"")</f>
        <v>Workforce</v>
      </c>
      <c r="R79" s="78" t="b">
        <f t="shared" ref="R79:AO79" si="118">IFERROR(IF($B79=$D$1,IF(AND($K79&lt;R$1,$L79&lt;R$1),"",IF(AND($K79&gt;S$1,$L79&gt;S$1),"",IF(AND($K79&lt;R$1,$L79&lt;=S$1),$L79-R$1,IF(AND($K79&gt;=R$1,$L79&gt;S$1),S$1-$K79,IF(AND($K79&gt;=R$1,$L79&lt;=S$1),$L79-$K79,IF(AND($K79&lt;R$1,$L79&gt;S$1),S$1-R$1,""))))))),"")</f>
        <v>0</v>
      </c>
      <c r="S79" s="78" t="b">
        <f t="shared" si="118"/>
        <v>0</v>
      </c>
      <c r="T79" s="78" t="b">
        <f t="shared" si="118"/>
        <v>0</v>
      </c>
      <c r="U79" s="78" t="b">
        <f t="shared" si="118"/>
        <v>0</v>
      </c>
      <c r="V79" s="78" t="b">
        <f t="shared" si="118"/>
        <v>0</v>
      </c>
      <c r="W79" s="78" t="b">
        <f t="shared" si="118"/>
        <v>0</v>
      </c>
      <c r="X79" s="78" t="b">
        <f t="shared" si="118"/>
        <v>0</v>
      </c>
      <c r="Y79" s="78" t="b">
        <f t="shared" si="118"/>
        <v>0</v>
      </c>
      <c r="Z79" s="78" t="b">
        <f t="shared" si="118"/>
        <v>0</v>
      </c>
      <c r="AA79" s="78" t="b">
        <f t="shared" si="118"/>
        <v>0</v>
      </c>
      <c r="AB79" s="78" t="b">
        <f t="shared" si="118"/>
        <v>0</v>
      </c>
      <c r="AC79" s="78" t="b">
        <f t="shared" si="118"/>
        <v>0</v>
      </c>
      <c r="AD79" s="78" t="b">
        <f t="shared" si="118"/>
        <v>0</v>
      </c>
      <c r="AE79" s="78" t="b">
        <f t="shared" si="118"/>
        <v>0</v>
      </c>
      <c r="AF79" s="78" t="b">
        <f t="shared" si="118"/>
        <v>0</v>
      </c>
      <c r="AG79" s="78" t="b">
        <f t="shared" si="118"/>
        <v>0</v>
      </c>
      <c r="AH79" s="78" t="b">
        <f t="shared" si="118"/>
        <v>0</v>
      </c>
      <c r="AI79" s="78" t="b">
        <f t="shared" si="118"/>
        <v>0</v>
      </c>
      <c r="AJ79" s="78" t="b">
        <f t="shared" si="118"/>
        <v>0</v>
      </c>
      <c r="AK79" s="78" t="b">
        <f t="shared" si="118"/>
        <v>0</v>
      </c>
      <c r="AL79" s="78" t="b">
        <f t="shared" si="118"/>
        <v>0</v>
      </c>
      <c r="AM79" s="78" t="b">
        <f t="shared" si="118"/>
        <v>0</v>
      </c>
      <c r="AN79" s="78" t="b">
        <f t="shared" si="118"/>
        <v>0</v>
      </c>
      <c r="AO79" s="78" t="b">
        <f t="shared" si="118"/>
        <v>0</v>
      </c>
      <c r="AP79" s="78"/>
    </row>
    <row r="80" spans="4:42" x14ac:dyDescent="0.35">
      <c r="D80" s="96"/>
      <c r="E80" s="96"/>
      <c r="G80" s="77">
        <f t="shared" si="99"/>
        <v>0</v>
      </c>
      <c r="H80" s="78">
        <f t="shared" si="100"/>
        <v>0</v>
      </c>
      <c r="I80" s="77">
        <f t="shared" si="101"/>
        <v>0</v>
      </c>
      <c r="J80" s="78">
        <f t="shared" si="102"/>
        <v>0</v>
      </c>
      <c r="K80" s="78" t="str">
        <f t="shared" si="103"/>
        <v>1900-01-00 00:0:00</v>
      </c>
      <c r="L80" s="78" t="str">
        <f t="shared" si="104"/>
        <v>1900-01-00 00:0:00</v>
      </c>
      <c r="M80" s="79">
        <f t="shared" si="105"/>
        <v>0</v>
      </c>
      <c r="N80">
        <f t="shared" si="106"/>
        <v>1</v>
      </c>
      <c r="O80" t="str">
        <f>IFERROR(_xlfn.XLOOKUP(A80,HC!A:A,HC!C:C),"")</f>
        <v>Workforce</v>
      </c>
      <c r="R80" s="78" t="b">
        <f t="shared" ref="R80:AO80" si="119">IFERROR(IF($B80=$D$1,IF(AND($K80&lt;R$1,$L80&lt;R$1),"",IF(AND($K80&gt;S$1,$L80&gt;S$1),"",IF(AND($K80&lt;R$1,$L80&lt;=S$1),$L80-R$1,IF(AND($K80&gt;=R$1,$L80&gt;S$1),S$1-$K80,IF(AND($K80&gt;=R$1,$L80&lt;=S$1),$L80-$K80,IF(AND($K80&lt;R$1,$L80&gt;S$1),S$1-R$1,""))))))),"")</f>
        <v>0</v>
      </c>
      <c r="S80" s="78" t="b">
        <f t="shared" si="119"/>
        <v>0</v>
      </c>
      <c r="T80" s="78" t="b">
        <f t="shared" si="119"/>
        <v>0</v>
      </c>
      <c r="U80" s="78" t="b">
        <f t="shared" si="119"/>
        <v>0</v>
      </c>
      <c r="V80" s="78" t="b">
        <f t="shared" si="119"/>
        <v>0</v>
      </c>
      <c r="W80" s="78" t="b">
        <f t="shared" si="119"/>
        <v>0</v>
      </c>
      <c r="X80" s="78" t="b">
        <f t="shared" si="119"/>
        <v>0</v>
      </c>
      <c r="Y80" s="78" t="b">
        <f t="shared" si="119"/>
        <v>0</v>
      </c>
      <c r="Z80" s="78" t="b">
        <f t="shared" si="119"/>
        <v>0</v>
      </c>
      <c r="AA80" s="78" t="b">
        <f t="shared" si="119"/>
        <v>0</v>
      </c>
      <c r="AB80" s="78" t="b">
        <f t="shared" si="119"/>
        <v>0</v>
      </c>
      <c r="AC80" s="78" t="b">
        <f t="shared" si="119"/>
        <v>0</v>
      </c>
      <c r="AD80" s="78" t="b">
        <f t="shared" si="119"/>
        <v>0</v>
      </c>
      <c r="AE80" s="78" t="b">
        <f t="shared" si="119"/>
        <v>0</v>
      </c>
      <c r="AF80" s="78" t="b">
        <f t="shared" si="119"/>
        <v>0</v>
      </c>
      <c r="AG80" s="78" t="b">
        <f t="shared" si="119"/>
        <v>0</v>
      </c>
      <c r="AH80" s="78" t="b">
        <f t="shared" si="119"/>
        <v>0</v>
      </c>
      <c r="AI80" s="78" t="b">
        <f t="shared" si="119"/>
        <v>0</v>
      </c>
      <c r="AJ80" s="78" t="b">
        <f t="shared" si="119"/>
        <v>0</v>
      </c>
      <c r="AK80" s="78" t="b">
        <f t="shared" si="119"/>
        <v>0</v>
      </c>
      <c r="AL80" s="78" t="b">
        <f t="shared" si="119"/>
        <v>0</v>
      </c>
      <c r="AM80" s="78" t="b">
        <f t="shared" si="119"/>
        <v>0</v>
      </c>
      <c r="AN80" s="78" t="b">
        <f t="shared" si="119"/>
        <v>0</v>
      </c>
      <c r="AO80" s="78" t="b">
        <f t="shared" si="119"/>
        <v>0</v>
      </c>
      <c r="AP80" s="78"/>
    </row>
    <row r="81" spans="4:42" x14ac:dyDescent="0.35">
      <c r="D81" s="96"/>
      <c r="E81" s="96"/>
      <c r="G81" s="77">
        <f t="shared" si="99"/>
        <v>0</v>
      </c>
      <c r="H81" s="78">
        <f t="shared" si="100"/>
        <v>0</v>
      </c>
      <c r="I81" s="77">
        <f t="shared" si="101"/>
        <v>0</v>
      </c>
      <c r="J81" s="78">
        <f t="shared" si="102"/>
        <v>0</v>
      </c>
      <c r="K81" s="78" t="str">
        <f t="shared" si="103"/>
        <v>1900-01-00 00:0:00</v>
      </c>
      <c r="L81" s="78" t="str">
        <f t="shared" si="104"/>
        <v>1900-01-00 00:0:00</v>
      </c>
      <c r="M81" s="79">
        <f t="shared" si="105"/>
        <v>0</v>
      </c>
      <c r="N81">
        <f t="shared" si="106"/>
        <v>1</v>
      </c>
      <c r="O81" t="str">
        <f>IFERROR(_xlfn.XLOOKUP(A81,HC!A:A,HC!C:C),"")</f>
        <v>Workforce</v>
      </c>
      <c r="R81" s="78" t="b">
        <f t="shared" ref="R81:AO81" si="120">IFERROR(IF($B81=$D$1,IF(AND($K81&lt;R$1,$L81&lt;R$1),"",IF(AND($K81&gt;S$1,$L81&gt;S$1),"",IF(AND($K81&lt;R$1,$L81&lt;=S$1),$L81-R$1,IF(AND($K81&gt;=R$1,$L81&gt;S$1),S$1-$K81,IF(AND($K81&gt;=R$1,$L81&lt;=S$1),$L81-$K81,IF(AND($K81&lt;R$1,$L81&gt;S$1),S$1-R$1,""))))))),"")</f>
        <v>0</v>
      </c>
      <c r="S81" s="78" t="b">
        <f t="shared" si="120"/>
        <v>0</v>
      </c>
      <c r="T81" s="78" t="b">
        <f t="shared" si="120"/>
        <v>0</v>
      </c>
      <c r="U81" s="78" t="b">
        <f t="shared" si="120"/>
        <v>0</v>
      </c>
      <c r="V81" s="78" t="b">
        <f t="shared" si="120"/>
        <v>0</v>
      </c>
      <c r="W81" s="78" t="b">
        <f t="shared" si="120"/>
        <v>0</v>
      </c>
      <c r="X81" s="78" t="b">
        <f t="shared" si="120"/>
        <v>0</v>
      </c>
      <c r="Y81" s="78" t="b">
        <f t="shared" si="120"/>
        <v>0</v>
      </c>
      <c r="Z81" s="78" t="b">
        <f t="shared" si="120"/>
        <v>0</v>
      </c>
      <c r="AA81" s="78" t="b">
        <f t="shared" si="120"/>
        <v>0</v>
      </c>
      <c r="AB81" s="78" t="b">
        <f t="shared" si="120"/>
        <v>0</v>
      </c>
      <c r="AC81" s="78" t="b">
        <f t="shared" si="120"/>
        <v>0</v>
      </c>
      <c r="AD81" s="78" t="b">
        <f t="shared" si="120"/>
        <v>0</v>
      </c>
      <c r="AE81" s="78" t="b">
        <f t="shared" si="120"/>
        <v>0</v>
      </c>
      <c r="AF81" s="78" t="b">
        <f t="shared" si="120"/>
        <v>0</v>
      </c>
      <c r="AG81" s="78" t="b">
        <f t="shared" si="120"/>
        <v>0</v>
      </c>
      <c r="AH81" s="78" t="b">
        <f t="shared" si="120"/>
        <v>0</v>
      </c>
      <c r="AI81" s="78" t="b">
        <f t="shared" si="120"/>
        <v>0</v>
      </c>
      <c r="AJ81" s="78" t="b">
        <f t="shared" si="120"/>
        <v>0</v>
      </c>
      <c r="AK81" s="78" t="b">
        <f t="shared" si="120"/>
        <v>0</v>
      </c>
      <c r="AL81" s="78" t="b">
        <f t="shared" si="120"/>
        <v>0</v>
      </c>
      <c r="AM81" s="78" t="b">
        <f t="shared" si="120"/>
        <v>0</v>
      </c>
      <c r="AN81" s="78" t="b">
        <f t="shared" si="120"/>
        <v>0</v>
      </c>
      <c r="AO81" s="78" t="b">
        <f t="shared" si="120"/>
        <v>0</v>
      </c>
      <c r="AP81" s="78"/>
    </row>
    <row r="82" spans="4:42" x14ac:dyDescent="0.35">
      <c r="D82" s="96"/>
      <c r="E82" s="96"/>
      <c r="G82" s="77">
        <f t="shared" si="99"/>
        <v>0</v>
      </c>
      <c r="H82" s="78">
        <f t="shared" si="100"/>
        <v>0</v>
      </c>
      <c r="I82" s="77">
        <f t="shared" si="101"/>
        <v>0</v>
      </c>
      <c r="J82" s="78">
        <f t="shared" si="102"/>
        <v>0</v>
      </c>
      <c r="K82" s="78" t="str">
        <f t="shared" si="103"/>
        <v>1900-01-00 00:0:00</v>
      </c>
      <c r="L82" s="78" t="str">
        <f t="shared" si="104"/>
        <v>1900-01-00 00:0:00</v>
      </c>
      <c r="M82" s="79">
        <f t="shared" si="105"/>
        <v>0</v>
      </c>
      <c r="N82">
        <f t="shared" si="106"/>
        <v>1</v>
      </c>
      <c r="O82" t="str">
        <f>IFERROR(_xlfn.XLOOKUP(A82,HC!A:A,HC!C:C),"")</f>
        <v>Workforce</v>
      </c>
      <c r="R82" s="78" t="b">
        <f t="shared" ref="R82:AO82" si="121">IFERROR(IF($B82=$D$1,IF(AND($K82&lt;R$1,$L82&lt;R$1),"",IF(AND($K82&gt;S$1,$L82&gt;S$1),"",IF(AND($K82&lt;R$1,$L82&lt;=S$1),$L82-R$1,IF(AND($K82&gt;=R$1,$L82&gt;S$1),S$1-$K82,IF(AND($K82&gt;=R$1,$L82&lt;=S$1),$L82-$K82,IF(AND($K82&lt;R$1,$L82&gt;S$1),S$1-R$1,""))))))),"")</f>
        <v>0</v>
      </c>
      <c r="S82" s="78" t="b">
        <f t="shared" si="121"/>
        <v>0</v>
      </c>
      <c r="T82" s="78" t="b">
        <f t="shared" si="121"/>
        <v>0</v>
      </c>
      <c r="U82" s="78" t="b">
        <f t="shared" si="121"/>
        <v>0</v>
      </c>
      <c r="V82" s="78" t="b">
        <f t="shared" si="121"/>
        <v>0</v>
      </c>
      <c r="W82" s="78" t="b">
        <f t="shared" si="121"/>
        <v>0</v>
      </c>
      <c r="X82" s="78" t="b">
        <f t="shared" si="121"/>
        <v>0</v>
      </c>
      <c r="Y82" s="78" t="b">
        <f t="shared" si="121"/>
        <v>0</v>
      </c>
      <c r="Z82" s="78" t="b">
        <f t="shared" si="121"/>
        <v>0</v>
      </c>
      <c r="AA82" s="78" t="b">
        <f t="shared" si="121"/>
        <v>0</v>
      </c>
      <c r="AB82" s="78" t="b">
        <f t="shared" si="121"/>
        <v>0</v>
      </c>
      <c r="AC82" s="78" t="b">
        <f t="shared" si="121"/>
        <v>0</v>
      </c>
      <c r="AD82" s="78" t="b">
        <f t="shared" si="121"/>
        <v>0</v>
      </c>
      <c r="AE82" s="78" t="b">
        <f t="shared" si="121"/>
        <v>0</v>
      </c>
      <c r="AF82" s="78" t="b">
        <f t="shared" si="121"/>
        <v>0</v>
      </c>
      <c r="AG82" s="78" t="b">
        <f t="shared" si="121"/>
        <v>0</v>
      </c>
      <c r="AH82" s="78" t="b">
        <f t="shared" si="121"/>
        <v>0</v>
      </c>
      <c r="AI82" s="78" t="b">
        <f t="shared" si="121"/>
        <v>0</v>
      </c>
      <c r="AJ82" s="78" t="b">
        <f t="shared" si="121"/>
        <v>0</v>
      </c>
      <c r="AK82" s="78" t="b">
        <f t="shared" si="121"/>
        <v>0</v>
      </c>
      <c r="AL82" s="78" t="b">
        <f t="shared" si="121"/>
        <v>0</v>
      </c>
      <c r="AM82" s="78" t="b">
        <f t="shared" si="121"/>
        <v>0</v>
      </c>
      <c r="AN82" s="78" t="b">
        <f t="shared" si="121"/>
        <v>0</v>
      </c>
      <c r="AO82" s="78" t="b">
        <f t="shared" si="121"/>
        <v>0</v>
      </c>
      <c r="AP82" s="78"/>
    </row>
    <row r="83" spans="4:42" x14ac:dyDescent="0.35">
      <c r="D83" s="96"/>
      <c r="E83" s="96"/>
      <c r="G83" s="77">
        <f t="shared" si="99"/>
        <v>0</v>
      </c>
      <c r="H83" s="78">
        <f t="shared" si="100"/>
        <v>0</v>
      </c>
      <c r="I83" s="77">
        <f t="shared" si="101"/>
        <v>0</v>
      </c>
      <c r="J83" s="78">
        <f t="shared" si="102"/>
        <v>0</v>
      </c>
      <c r="K83" s="78" t="str">
        <f t="shared" si="103"/>
        <v>1900-01-00 00:0:00</v>
      </c>
      <c r="L83" s="78" t="str">
        <f t="shared" si="104"/>
        <v>1900-01-00 00:0:00</v>
      </c>
      <c r="M83" s="79">
        <f t="shared" si="105"/>
        <v>0</v>
      </c>
      <c r="N83">
        <f t="shared" si="106"/>
        <v>1</v>
      </c>
      <c r="O83" t="str">
        <f>IFERROR(_xlfn.XLOOKUP(A83,HC!A:A,HC!C:C),"")</f>
        <v>Workforce</v>
      </c>
      <c r="R83" s="78" t="b">
        <f t="shared" ref="R83:AO83" si="122">IFERROR(IF($B83=$D$1,IF(AND($K83&lt;R$1,$L83&lt;R$1),"",IF(AND($K83&gt;S$1,$L83&gt;S$1),"",IF(AND($K83&lt;R$1,$L83&lt;=S$1),$L83-R$1,IF(AND($K83&gt;=R$1,$L83&gt;S$1),S$1-$K83,IF(AND($K83&gt;=R$1,$L83&lt;=S$1),$L83-$K83,IF(AND($K83&lt;R$1,$L83&gt;S$1),S$1-R$1,""))))))),"")</f>
        <v>0</v>
      </c>
      <c r="S83" s="78" t="b">
        <f t="shared" si="122"/>
        <v>0</v>
      </c>
      <c r="T83" s="78" t="b">
        <f t="shared" si="122"/>
        <v>0</v>
      </c>
      <c r="U83" s="78" t="b">
        <f t="shared" si="122"/>
        <v>0</v>
      </c>
      <c r="V83" s="78" t="b">
        <f t="shared" si="122"/>
        <v>0</v>
      </c>
      <c r="W83" s="78" t="b">
        <f t="shared" si="122"/>
        <v>0</v>
      </c>
      <c r="X83" s="78" t="b">
        <f t="shared" si="122"/>
        <v>0</v>
      </c>
      <c r="Y83" s="78" t="b">
        <f t="shared" si="122"/>
        <v>0</v>
      </c>
      <c r="Z83" s="78" t="b">
        <f t="shared" si="122"/>
        <v>0</v>
      </c>
      <c r="AA83" s="78" t="b">
        <f t="shared" si="122"/>
        <v>0</v>
      </c>
      <c r="AB83" s="78" t="b">
        <f t="shared" si="122"/>
        <v>0</v>
      </c>
      <c r="AC83" s="78" t="b">
        <f t="shared" si="122"/>
        <v>0</v>
      </c>
      <c r="AD83" s="78" t="b">
        <f t="shared" si="122"/>
        <v>0</v>
      </c>
      <c r="AE83" s="78" t="b">
        <f t="shared" si="122"/>
        <v>0</v>
      </c>
      <c r="AF83" s="78" t="b">
        <f t="shared" si="122"/>
        <v>0</v>
      </c>
      <c r="AG83" s="78" t="b">
        <f t="shared" si="122"/>
        <v>0</v>
      </c>
      <c r="AH83" s="78" t="b">
        <f t="shared" si="122"/>
        <v>0</v>
      </c>
      <c r="AI83" s="78" t="b">
        <f t="shared" si="122"/>
        <v>0</v>
      </c>
      <c r="AJ83" s="78" t="b">
        <f t="shared" si="122"/>
        <v>0</v>
      </c>
      <c r="AK83" s="78" t="b">
        <f t="shared" si="122"/>
        <v>0</v>
      </c>
      <c r="AL83" s="78" t="b">
        <f t="shared" si="122"/>
        <v>0</v>
      </c>
      <c r="AM83" s="78" t="b">
        <f t="shared" si="122"/>
        <v>0</v>
      </c>
      <c r="AN83" s="78" t="b">
        <f t="shared" si="122"/>
        <v>0</v>
      </c>
      <c r="AO83" s="78" t="b">
        <f t="shared" si="122"/>
        <v>0</v>
      </c>
      <c r="AP83" s="78"/>
    </row>
    <row r="84" spans="4:42" x14ac:dyDescent="0.35">
      <c r="D84" s="96"/>
      <c r="E84" s="96"/>
      <c r="G84" s="77">
        <f t="shared" si="99"/>
        <v>0</v>
      </c>
      <c r="H84" s="78">
        <f t="shared" si="100"/>
        <v>0</v>
      </c>
      <c r="I84" s="77">
        <f t="shared" si="101"/>
        <v>0</v>
      </c>
      <c r="J84" s="78">
        <f t="shared" si="102"/>
        <v>0</v>
      </c>
      <c r="K84" s="78" t="str">
        <f t="shared" si="103"/>
        <v>1900-01-00 00:0:00</v>
      </c>
      <c r="L84" s="78" t="str">
        <f t="shared" si="104"/>
        <v>1900-01-00 00:0:00</v>
      </c>
      <c r="M84" s="79">
        <f t="shared" si="105"/>
        <v>0</v>
      </c>
      <c r="N84">
        <f t="shared" si="106"/>
        <v>1</v>
      </c>
      <c r="O84" t="str">
        <f>IFERROR(_xlfn.XLOOKUP(A84,HC!A:A,HC!C:C),"")</f>
        <v>Workforce</v>
      </c>
      <c r="R84" s="78" t="b">
        <f t="shared" ref="R84:AO84" si="123">IFERROR(IF($B84=$D$1,IF(AND($K84&lt;R$1,$L84&lt;R$1),"",IF(AND($K84&gt;S$1,$L84&gt;S$1),"",IF(AND($K84&lt;R$1,$L84&lt;=S$1),$L84-R$1,IF(AND($K84&gt;=R$1,$L84&gt;S$1),S$1-$K84,IF(AND($K84&gt;=R$1,$L84&lt;=S$1),$L84-$K84,IF(AND($K84&lt;R$1,$L84&gt;S$1),S$1-R$1,""))))))),"")</f>
        <v>0</v>
      </c>
      <c r="S84" s="78" t="b">
        <f t="shared" si="123"/>
        <v>0</v>
      </c>
      <c r="T84" s="78" t="b">
        <f t="shared" si="123"/>
        <v>0</v>
      </c>
      <c r="U84" s="78" t="b">
        <f t="shared" si="123"/>
        <v>0</v>
      </c>
      <c r="V84" s="78" t="b">
        <f t="shared" si="123"/>
        <v>0</v>
      </c>
      <c r="W84" s="78" t="b">
        <f t="shared" si="123"/>
        <v>0</v>
      </c>
      <c r="X84" s="78" t="b">
        <f t="shared" si="123"/>
        <v>0</v>
      </c>
      <c r="Y84" s="78" t="b">
        <f t="shared" si="123"/>
        <v>0</v>
      </c>
      <c r="Z84" s="78" t="b">
        <f t="shared" si="123"/>
        <v>0</v>
      </c>
      <c r="AA84" s="78" t="b">
        <f t="shared" si="123"/>
        <v>0</v>
      </c>
      <c r="AB84" s="78" t="b">
        <f t="shared" si="123"/>
        <v>0</v>
      </c>
      <c r="AC84" s="78" t="b">
        <f t="shared" si="123"/>
        <v>0</v>
      </c>
      <c r="AD84" s="78" t="b">
        <f t="shared" si="123"/>
        <v>0</v>
      </c>
      <c r="AE84" s="78" t="b">
        <f t="shared" si="123"/>
        <v>0</v>
      </c>
      <c r="AF84" s="78" t="b">
        <f t="shared" si="123"/>
        <v>0</v>
      </c>
      <c r="AG84" s="78" t="b">
        <f t="shared" si="123"/>
        <v>0</v>
      </c>
      <c r="AH84" s="78" t="b">
        <f t="shared" si="123"/>
        <v>0</v>
      </c>
      <c r="AI84" s="78" t="b">
        <f t="shared" si="123"/>
        <v>0</v>
      </c>
      <c r="AJ84" s="78" t="b">
        <f t="shared" si="123"/>
        <v>0</v>
      </c>
      <c r="AK84" s="78" t="b">
        <f t="shared" si="123"/>
        <v>0</v>
      </c>
      <c r="AL84" s="78" t="b">
        <f t="shared" si="123"/>
        <v>0</v>
      </c>
      <c r="AM84" s="78" t="b">
        <f t="shared" si="123"/>
        <v>0</v>
      </c>
      <c r="AN84" s="78" t="b">
        <f t="shared" si="123"/>
        <v>0</v>
      </c>
      <c r="AO84" s="78" t="b">
        <f t="shared" si="123"/>
        <v>0</v>
      </c>
      <c r="AP84" s="78"/>
    </row>
    <row r="85" spans="4:42" x14ac:dyDescent="0.35">
      <c r="D85" s="96"/>
      <c r="E85" s="96"/>
      <c r="G85" s="77">
        <f t="shared" si="99"/>
        <v>0</v>
      </c>
      <c r="H85" s="78">
        <f t="shared" si="100"/>
        <v>0</v>
      </c>
      <c r="I85" s="77">
        <f t="shared" si="101"/>
        <v>0</v>
      </c>
      <c r="J85" s="78">
        <f t="shared" si="102"/>
        <v>0</v>
      </c>
      <c r="K85" s="78" t="str">
        <f t="shared" si="103"/>
        <v>1900-01-00 00:0:00</v>
      </c>
      <c r="L85" s="78" t="str">
        <f t="shared" si="104"/>
        <v>1900-01-00 00:0:00</v>
      </c>
      <c r="M85" s="79">
        <f t="shared" si="105"/>
        <v>0</v>
      </c>
      <c r="N85">
        <f t="shared" si="106"/>
        <v>1</v>
      </c>
      <c r="O85" t="str">
        <f>IFERROR(_xlfn.XLOOKUP(A85,HC!A:A,HC!C:C),"")</f>
        <v>Workforce</v>
      </c>
      <c r="R85" s="78" t="b">
        <f t="shared" ref="R85:AO85" si="124">IFERROR(IF($B85=$D$1,IF(AND($K85&lt;R$1,$L85&lt;R$1),"",IF(AND($K85&gt;S$1,$L85&gt;S$1),"",IF(AND($K85&lt;R$1,$L85&lt;=S$1),$L85-R$1,IF(AND($K85&gt;=R$1,$L85&gt;S$1),S$1-$K85,IF(AND($K85&gt;=R$1,$L85&lt;=S$1),$L85-$K85,IF(AND($K85&lt;R$1,$L85&gt;S$1),S$1-R$1,""))))))),"")</f>
        <v>0</v>
      </c>
      <c r="S85" s="78" t="b">
        <f t="shared" si="124"/>
        <v>0</v>
      </c>
      <c r="T85" s="78" t="b">
        <f t="shared" si="124"/>
        <v>0</v>
      </c>
      <c r="U85" s="78" t="b">
        <f t="shared" si="124"/>
        <v>0</v>
      </c>
      <c r="V85" s="78" t="b">
        <f t="shared" si="124"/>
        <v>0</v>
      </c>
      <c r="W85" s="78" t="b">
        <f t="shared" si="124"/>
        <v>0</v>
      </c>
      <c r="X85" s="78" t="b">
        <f t="shared" si="124"/>
        <v>0</v>
      </c>
      <c r="Y85" s="78" t="b">
        <f t="shared" si="124"/>
        <v>0</v>
      </c>
      <c r="Z85" s="78" t="b">
        <f t="shared" si="124"/>
        <v>0</v>
      </c>
      <c r="AA85" s="78" t="b">
        <f t="shared" si="124"/>
        <v>0</v>
      </c>
      <c r="AB85" s="78" t="b">
        <f t="shared" si="124"/>
        <v>0</v>
      </c>
      <c r="AC85" s="78" t="b">
        <f t="shared" si="124"/>
        <v>0</v>
      </c>
      <c r="AD85" s="78" t="b">
        <f t="shared" si="124"/>
        <v>0</v>
      </c>
      <c r="AE85" s="78" t="b">
        <f t="shared" si="124"/>
        <v>0</v>
      </c>
      <c r="AF85" s="78" t="b">
        <f t="shared" si="124"/>
        <v>0</v>
      </c>
      <c r="AG85" s="78" t="b">
        <f t="shared" si="124"/>
        <v>0</v>
      </c>
      <c r="AH85" s="78" t="b">
        <f t="shared" si="124"/>
        <v>0</v>
      </c>
      <c r="AI85" s="78" t="b">
        <f t="shared" si="124"/>
        <v>0</v>
      </c>
      <c r="AJ85" s="78" t="b">
        <f t="shared" si="124"/>
        <v>0</v>
      </c>
      <c r="AK85" s="78" t="b">
        <f t="shared" si="124"/>
        <v>0</v>
      </c>
      <c r="AL85" s="78" t="b">
        <f t="shared" si="124"/>
        <v>0</v>
      </c>
      <c r="AM85" s="78" t="b">
        <f t="shared" si="124"/>
        <v>0</v>
      </c>
      <c r="AN85" s="78" t="b">
        <f t="shared" si="124"/>
        <v>0</v>
      </c>
      <c r="AO85" s="78" t="b">
        <f t="shared" si="124"/>
        <v>0</v>
      </c>
      <c r="AP85" s="78"/>
    </row>
    <row r="86" spans="4:42" x14ac:dyDescent="0.35">
      <c r="D86" s="96"/>
      <c r="E86" s="96"/>
      <c r="G86" s="77">
        <f t="shared" si="99"/>
        <v>0</v>
      </c>
      <c r="H86" s="78">
        <f t="shared" si="100"/>
        <v>0</v>
      </c>
      <c r="I86" s="77">
        <f t="shared" si="101"/>
        <v>0</v>
      </c>
      <c r="J86" s="78">
        <f t="shared" si="102"/>
        <v>0</v>
      </c>
      <c r="K86" s="78" t="str">
        <f t="shared" si="103"/>
        <v>1900-01-00 00:0:00</v>
      </c>
      <c r="L86" s="78" t="str">
        <f t="shared" si="104"/>
        <v>1900-01-00 00:0:00</v>
      </c>
      <c r="M86" s="79">
        <f t="shared" si="105"/>
        <v>0</v>
      </c>
      <c r="N86">
        <f t="shared" si="106"/>
        <v>1</v>
      </c>
      <c r="O86" t="str">
        <f>IFERROR(_xlfn.XLOOKUP(A86,HC!A:A,HC!C:C),"")</f>
        <v>Workforce</v>
      </c>
      <c r="R86" s="78" t="b">
        <f t="shared" ref="R86:AO86" si="125">IFERROR(IF($B86=$D$1,IF(AND($K86&lt;R$1,$L86&lt;R$1),"",IF(AND($K86&gt;S$1,$L86&gt;S$1),"",IF(AND($K86&lt;R$1,$L86&lt;=S$1),$L86-R$1,IF(AND($K86&gt;=R$1,$L86&gt;S$1),S$1-$K86,IF(AND($K86&gt;=R$1,$L86&lt;=S$1),$L86-$K86,IF(AND($K86&lt;R$1,$L86&gt;S$1),S$1-R$1,""))))))),"")</f>
        <v>0</v>
      </c>
      <c r="S86" s="78" t="b">
        <f t="shared" si="125"/>
        <v>0</v>
      </c>
      <c r="T86" s="78" t="b">
        <f t="shared" si="125"/>
        <v>0</v>
      </c>
      <c r="U86" s="78" t="b">
        <f t="shared" si="125"/>
        <v>0</v>
      </c>
      <c r="V86" s="78" t="b">
        <f t="shared" si="125"/>
        <v>0</v>
      </c>
      <c r="W86" s="78" t="b">
        <f t="shared" si="125"/>
        <v>0</v>
      </c>
      <c r="X86" s="78" t="b">
        <f t="shared" si="125"/>
        <v>0</v>
      </c>
      <c r="Y86" s="78" t="b">
        <f t="shared" si="125"/>
        <v>0</v>
      </c>
      <c r="Z86" s="78" t="b">
        <f t="shared" si="125"/>
        <v>0</v>
      </c>
      <c r="AA86" s="78" t="b">
        <f t="shared" si="125"/>
        <v>0</v>
      </c>
      <c r="AB86" s="78" t="b">
        <f t="shared" si="125"/>
        <v>0</v>
      </c>
      <c r="AC86" s="78" t="b">
        <f t="shared" si="125"/>
        <v>0</v>
      </c>
      <c r="AD86" s="78" t="b">
        <f t="shared" si="125"/>
        <v>0</v>
      </c>
      <c r="AE86" s="78" t="b">
        <f t="shared" si="125"/>
        <v>0</v>
      </c>
      <c r="AF86" s="78" t="b">
        <f t="shared" si="125"/>
        <v>0</v>
      </c>
      <c r="AG86" s="78" t="b">
        <f t="shared" si="125"/>
        <v>0</v>
      </c>
      <c r="AH86" s="78" t="b">
        <f t="shared" si="125"/>
        <v>0</v>
      </c>
      <c r="AI86" s="78" t="b">
        <f t="shared" si="125"/>
        <v>0</v>
      </c>
      <c r="AJ86" s="78" t="b">
        <f t="shared" si="125"/>
        <v>0</v>
      </c>
      <c r="AK86" s="78" t="b">
        <f t="shared" si="125"/>
        <v>0</v>
      </c>
      <c r="AL86" s="78" t="b">
        <f t="shared" si="125"/>
        <v>0</v>
      </c>
      <c r="AM86" s="78" t="b">
        <f t="shared" si="125"/>
        <v>0</v>
      </c>
      <c r="AN86" s="78" t="b">
        <f t="shared" si="125"/>
        <v>0</v>
      </c>
      <c r="AO86" s="78" t="b">
        <f t="shared" si="125"/>
        <v>0</v>
      </c>
      <c r="AP86" s="78"/>
    </row>
    <row r="87" spans="4:42" x14ac:dyDescent="0.35">
      <c r="D87" s="96"/>
      <c r="E87" s="96"/>
      <c r="G87" s="77">
        <f t="shared" si="99"/>
        <v>0</v>
      </c>
      <c r="H87" s="78">
        <f t="shared" si="100"/>
        <v>0</v>
      </c>
      <c r="I87" s="77">
        <f t="shared" si="101"/>
        <v>0</v>
      </c>
      <c r="J87" s="78">
        <f t="shared" si="102"/>
        <v>0</v>
      </c>
      <c r="K87" s="78" t="str">
        <f t="shared" si="103"/>
        <v>1900-01-00 00:0:00</v>
      </c>
      <c r="L87" s="78" t="str">
        <f t="shared" si="104"/>
        <v>1900-01-00 00:0:00</v>
      </c>
      <c r="M87" s="79">
        <f t="shared" si="105"/>
        <v>0</v>
      </c>
      <c r="N87">
        <f t="shared" si="106"/>
        <v>1</v>
      </c>
      <c r="O87" t="str">
        <f>IFERROR(_xlfn.XLOOKUP(A87,HC!A:A,HC!C:C),"")</f>
        <v>Workforce</v>
      </c>
      <c r="R87" s="78" t="b">
        <f t="shared" ref="R87:AO87" si="126">IFERROR(IF($B87=$D$1,IF(AND($K87&lt;R$1,$L87&lt;R$1),"",IF(AND($K87&gt;S$1,$L87&gt;S$1),"",IF(AND($K87&lt;R$1,$L87&lt;=S$1),$L87-R$1,IF(AND($K87&gt;=R$1,$L87&gt;S$1),S$1-$K87,IF(AND($K87&gt;=R$1,$L87&lt;=S$1),$L87-$K87,IF(AND($K87&lt;R$1,$L87&gt;S$1),S$1-R$1,""))))))),"")</f>
        <v>0</v>
      </c>
      <c r="S87" s="78" t="b">
        <f t="shared" si="126"/>
        <v>0</v>
      </c>
      <c r="T87" s="78" t="b">
        <f t="shared" si="126"/>
        <v>0</v>
      </c>
      <c r="U87" s="78" t="b">
        <f t="shared" si="126"/>
        <v>0</v>
      </c>
      <c r="V87" s="78" t="b">
        <f t="shared" si="126"/>
        <v>0</v>
      </c>
      <c r="W87" s="78" t="b">
        <f t="shared" si="126"/>
        <v>0</v>
      </c>
      <c r="X87" s="78" t="b">
        <f t="shared" si="126"/>
        <v>0</v>
      </c>
      <c r="Y87" s="78" t="b">
        <f t="shared" si="126"/>
        <v>0</v>
      </c>
      <c r="Z87" s="78" t="b">
        <f t="shared" si="126"/>
        <v>0</v>
      </c>
      <c r="AA87" s="78" t="b">
        <f t="shared" si="126"/>
        <v>0</v>
      </c>
      <c r="AB87" s="78" t="b">
        <f t="shared" si="126"/>
        <v>0</v>
      </c>
      <c r="AC87" s="78" t="b">
        <f t="shared" si="126"/>
        <v>0</v>
      </c>
      <c r="AD87" s="78" t="b">
        <f t="shared" si="126"/>
        <v>0</v>
      </c>
      <c r="AE87" s="78" t="b">
        <f t="shared" si="126"/>
        <v>0</v>
      </c>
      <c r="AF87" s="78" t="b">
        <f t="shared" si="126"/>
        <v>0</v>
      </c>
      <c r="AG87" s="78" t="b">
        <f t="shared" si="126"/>
        <v>0</v>
      </c>
      <c r="AH87" s="78" t="b">
        <f t="shared" si="126"/>
        <v>0</v>
      </c>
      <c r="AI87" s="78" t="b">
        <f t="shared" si="126"/>
        <v>0</v>
      </c>
      <c r="AJ87" s="78" t="b">
        <f t="shared" si="126"/>
        <v>0</v>
      </c>
      <c r="AK87" s="78" t="b">
        <f t="shared" si="126"/>
        <v>0</v>
      </c>
      <c r="AL87" s="78" t="b">
        <f t="shared" si="126"/>
        <v>0</v>
      </c>
      <c r="AM87" s="78" t="b">
        <f t="shared" si="126"/>
        <v>0</v>
      </c>
      <c r="AN87" s="78" t="b">
        <f t="shared" si="126"/>
        <v>0</v>
      </c>
      <c r="AO87" s="78" t="b">
        <f t="shared" si="126"/>
        <v>0</v>
      </c>
      <c r="AP87" s="78"/>
    </row>
    <row r="88" spans="4:42" x14ac:dyDescent="0.35">
      <c r="D88" s="96"/>
      <c r="E88" s="96"/>
      <c r="G88" s="77">
        <f t="shared" si="99"/>
        <v>0</v>
      </c>
      <c r="H88" s="78">
        <f t="shared" si="100"/>
        <v>0</v>
      </c>
      <c r="I88" s="77">
        <f t="shared" si="101"/>
        <v>0</v>
      </c>
      <c r="J88" s="78">
        <f t="shared" si="102"/>
        <v>0</v>
      </c>
      <c r="K88" s="78" t="str">
        <f t="shared" si="103"/>
        <v>1900-01-00 00:0:00</v>
      </c>
      <c r="L88" s="78" t="str">
        <f t="shared" si="104"/>
        <v>1900-01-00 00:0:00</v>
      </c>
      <c r="M88" s="79">
        <f t="shared" si="105"/>
        <v>0</v>
      </c>
      <c r="N88">
        <f t="shared" si="106"/>
        <v>1</v>
      </c>
      <c r="O88" t="str">
        <f>IFERROR(_xlfn.XLOOKUP(A88,HC!A:A,HC!C:C),"")</f>
        <v>Workforce</v>
      </c>
      <c r="R88" s="78" t="b">
        <f t="shared" ref="R88:AO88" si="127">IFERROR(IF($B88=$D$1,IF(AND($K88&lt;R$1,$L88&lt;R$1),"",IF(AND($K88&gt;S$1,$L88&gt;S$1),"",IF(AND($K88&lt;R$1,$L88&lt;=S$1),$L88-R$1,IF(AND($K88&gt;=R$1,$L88&gt;S$1),S$1-$K88,IF(AND($K88&gt;=R$1,$L88&lt;=S$1),$L88-$K88,IF(AND($K88&lt;R$1,$L88&gt;S$1),S$1-R$1,""))))))),"")</f>
        <v>0</v>
      </c>
      <c r="S88" s="78" t="b">
        <f t="shared" si="127"/>
        <v>0</v>
      </c>
      <c r="T88" s="78" t="b">
        <f t="shared" si="127"/>
        <v>0</v>
      </c>
      <c r="U88" s="78" t="b">
        <f t="shared" si="127"/>
        <v>0</v>
      </c>
      <c r="V88" s="78" t="b">
        <f t="shared" si="127"/>
        <v>0</v>
      </c>
      <c r="W88" s="78" t="b">
        <f t="shared" si="127"/>
        <v>0</v>
      </c>
      <c r="X88" s="78" t="b">
        <f t="shared" si="127"/>
        <v>0</v>
      </c>
      <c r="Y88" s="78" t="b">
        <f t="shared" si="127"/>
        <v>0</v>
      </c>
      <c r="Z88" s="78" t="b">
        <f t="shared" si="127"/>
        <v>0</v>
      </c>
      <c r="AA88" s="78" t="b">
        <f t="shared" si="127"/>
        <v>0</v>
      </c>
      <c r="AB88" s="78" t="b">
        <f t="shared" si="127"/>
        <v>0</v>
      </c>
      <c r="AC88" s="78" t="b">
        <f t="shared" si="127"/>
        <v>0</v>
      </c>
      <c r="AD88" s="78" t="b">
        <f t="shared" si="127"/>
        <v>0</v>
      </c>
      <c r="AE88" s="78" t="b">
        <f t="shared" si="127"/>
        <v>0</v>
      </c>
      <c r="AF88" s="78" t="b">
        <f t="shared" si="127"/>
        <v>0</v>
      </c>
      <c r="AG88" s="78" t="b">
        <f t="shared" si="127"/>
        <v>0</v>
      </c>
      <c r="AH88" s="78" t="b">
        <f t="shared" si="127"/>
        <v>0</v>
      </c>
      <c r="AI88" s="78" t="b">
        <f t="shared" si="127"/>
        <v>0</v>
      </c>
      <c r="AJ88" s="78" t="b">
        <f t="shared" si="127"/>
        <v>0</v>
      </c>
      <c r="AK88" s="78" t="b">
        <f t="shared" si="127"/>
        <v>0</v>
      </c>
      <c r="AL88" s="78" t="b">
        <f t="shared" si="127"/>
        <v>0</v>
      </c>
      <c r="AM88" s="78" t="b">
        <f t="shared" si="127"/>
        <v>0</v>
      </c>
      <c r="AN88" s="78" t="b">
        <f t="shared" si="127"/>
        <v>0</v>
      </c>
      <c r="AO88" s="78" t="b">
        <f t="shared" si="127"/>
        <v>0</v>
      </c>
      <c r="AP88" s="78"/>
    </row>
    <row r="89" spans="4:42" x14ac:dyDescent="0.35">
      <c r="D89" s="96"/>
      <c r="E89" s="96"/>
      <c r="G89" s="77">
        <f t="shared" si="99"/>
        <v>0</v>
      </c>
      <c r="H89" s="78">
        <f t="shared" si="100"/>
        <v>0</v>
      </c>
      <c r="I89" s="77">
        <f t="shared" si="101"/>
        <v>0</v>
      </c>
      <c r="J89" s="78">
        <f t="shared" si="102"/>
        <v>0</v>
      </c>
      <c r="K89" s="78" t="str">
        <f t="shared" si="103"/>
        <v>1900-01-00 00:0:00</v>
      </c>
      <c r="L89" s="78" t="str">
        <f t="shared" si="104"/>
        <v>1900-01-00 00:0:00</v>
      </c>
      <c r="M89" s="79">
        <f t="shared" si="105"/>
        <v>0</v>
      </c>
      <c r="N89">
        <f t="shared" si="106"/>
        <v>1</v>
      </c>
      <c r="O89" t="str">
        <f>IFERROR(_xlfn.XLOOKUP(A89,HC!A:A,HC!C:C),"")</f>
        <v>Workforce</v>
      </c>
      <c r="R89" s="78" t="b">
        <f t="shared" ref="R89:AO89" si="128">IFERROR(IF($B89=$D$1,IF(AND($K89&lt;R$1,$L89&lt;R$1),"",IF(AND($K89&gt;S$1,$L89&gt;S$1),"",IF(AND($K89&lt;R$1,$L89&lt;=S$1),$L89-R$1,IF(AND($K89&gt;=R$1,$L89&gt;S$1),S$1-$K89,IF(AND($K89&gt;=R$1,$L89&lt;=S$1),$L89-$K89,IF(AND($K89&lt;R$1,$L89&gt;S$1),S$1-R$1,""))))))),"")</f>
        <v>0</v>
      </c>
      <c r="S89" s="78" t="b">
        <f t="shared" si="128"/>
        <v>0</v>
      </c>
      <c r="T89" s="78" t="b">
        <f t="shared" si="128"/>
        <v>0</v>
      </c>
      <c r="U89" s="78" t="b">
        <f t="shared" si="128"/>
        <v>0</v>
      </c>
      <c r="V89" s="78" t="b">
        <f t="shared" si="128"/>
        <v>0</v>
      </c>
      <c r="W89" s="78" t="b">
        <f t="shared" si="128"/>
        <v>0</v>
      </c>
      <c r="X89" s="78" t="b">
        <f t="shared" si="128"/>
        <v>0</v>
      </c>
      <c r="Y89" s="78" t="b">
        <f t="shared" si="128"/>
        <v>0</v>
      </c>
      <c r="Z89" s="78" t="b">
        <f t="shared" si="128"/>
        <v>0</v>
      </c>
      <c r="AA89" s="78" t="b">
        <f t="shared" si="128"/>
        <v>0</v>
      </c>
      <c r="AB89" s="78" t="b">
        <f t="shared" si="128"/>
        <v>0</v>
      </c>
      <c r="AC89" s="78" t="b">
        <f t="shared" si="128"/>
        <v>0</v>
      </c>
      <c r="AD89" s="78" t="b">
        <f t="shared" si="128"/>
        <v>0</v>
      </c>
      <c r="AE89" s="78" t="b">
        <f t="shared" si="128"/>
        <v>0</v>
      </c>
      <c r="AF89" s="78" t="b">
        <f t="shared" si="128"/>
        <v>0</v>
      </c>
      <c r="AG89" s="78" t="b">
        <f t="shared" si="128"/>
        <v>0</v>
      </c>
      <c r="AH89" s="78" t="b">
        <f t="shared" si="128"/>
        <v>0</v>
      </c>
      <c r="AI89" s="78" t="b">
        <f t="shared" si="128"/>
        <v>0</v>
      </c>
      <c r="AJ89" s="78" t="b">
        <f t="shared" si="128"/>
        <v>0</v>
      </c>
      <c r="AK89" s="78" t="b">
        <f t="shared" si="128"/>
        <v>0</v>
      </c>
      <c r="AL89" s="78" t="b">
        <f t="shared" si="128"/>
        <v>0</v>
      </c>
      <c r="AM89" s="78" t="b">
        <f t="shared" si="128"/>
        <v>0</v>
      </c>
      <c r="AN89" s="78" t="b">
        <f t="shared" si="128"/>
        <v>0</v>
      </c>
      <c r="AO89" s="78" t="b">
        <f t="shared" si="128"/>
        <v>0</v>
      </c>
      <c r="AP89" s="78"/>
    </row>
    <row r="90" spans="4:42" x14ac:dyDescent="0.35">
      <c r="D90" s="96"/>
      <c r="E90" s="96"/>
      <c r="G90" s="77">
        <f t="shared" si="99"/>
        <v>0</v>
      </c>
      <c r="H90" s="78">
        <f t="shared" si="100"/>
        <v>0</v>
      </c>
      <c r="I90" s="77">
        <f t="shared" si="101"/>
        <v>0</v>
      </c>
      <c r="J90" s="78">
        <f t="shared" si="102"/>
        <v>0</v>
      </c>
      <c r="K90" s="78" t="str">
        <f t="shared" si="103"/>
        <v>1900-01-00 00:0:00</v>
      </c>
      <c r="L90" s="78" t="str">
        <f t="shared" si="104"/>
        <v>1900-01-00 00:0:00</v>
      </c>
      <c r="M90" s="79">
        <f t="shared" si="105"/>
        <v>0</v>
      </c>
      <c r="N90">
        <f t="shared" si="106"/>
        <v>1</v>
      </c>
      <c r="O90" t="str">
        <f>IFERROR(_xlfn.XLOOKUP(A90,HC!A:A,HC!C:C),"")</f>
        <v>Workforce</v>
      </c>
      <c r="R90" s="78" t="b">
        <f t="shared" ref="R90:AO90" si="129">IFERROR(IF($B90=$D$1,IF(AND($K90&lt;R$1,$L90&lt;R$1),"",IF(AND($K90&gt;S$1,$L90&gt;S$1),"",IF(AND($K90&lt;R$1,$L90&lt;=S$1),$L90-R$1,IF(AND($K90&gt;=R$1,$L90&gt;S$1),S$1-$K90,IF(AND($K90&gt;=R$1,$L90&lt;=S$1),$L90-$K90,IF(AND($K90&lt;R$1,$L90&gt;S$1),S$1-R$1,""))))))),"")</f>
        <v>0</v>
      </c>
      <c r="S90" s="78" t="b">
        <f t="shared" si="129"/>
        <v>0</v>
      </c>
      <c r="T90" s="78" t="b">
        <f t="shared" si="129"/>
        <v>0</v>
      </c>
      <c r="U90" s="78" t="b">
        <f t="shared" si="129"/>
        <v>0</v>
      </c>
      <c r="V90" s="78" t="b">
        <f t="shared" si="129"/>
        <v>0</v>
      </c>
      <c r="W90" s="78" t="b">
        <f t="shared" si="129"/>
        <v>0</v>
      </c>
      <c r="X90" s="78" t="b">
        <f t="shared" si="129"/>
        <v>0</v>
      </c>
      <c r="Y90" s="78" t="b">
        <f t="shared" si="129"/>
        <v>0</v>
      </c>
      <c r="Z90" s="78" t="b">
        <f t="shared" si="129"/>
        <v>0</v>
      </c>
      <c r="AA90" s="78" t="b">
        <f t="shared" si="129"/>
        <v>0</v>
      </c>
      <c r="AB90" s="78" t="b">
        <f t="shared" si="129"/>
        <v>0</v>
      </c>
      <c r="AC90" s="78" t="b">
        <f t="shared" si="129"/>
        <v>0</v>
      </c>
      <c r="AD90" s="78" t="b">
        <f t="shared" si="129"/>
        <v>0</v>
      </c>
      <c r="AE90" s="78" t="b">
        <f t="shared" si="129"/>
        <v>0</v>
      </c>
      <c r="AF90" s="78" t="b">
        <f t="shared" si="129"/>
        <v>0</v>
      </c>
      <c r="AG90" s="78" t="b">
        <f t="shared" si="129"/>
        <v>0</v>
      </c>
      <c r="AH90" s="78" t="b">
        <f t="shared" si="129"/>
        <v>0</v>
      </c>
      <c r="AI90" s="78" t="b">
        <f t="shared" si="129"/>
        <v>0</v>
      </c>
      <c r="AJ90" s="78" t="b">
        <f t="shared" si="129"/>
        <v>0</v>
      </c>
      <c r="AK90" s="78" t="b">
        <f t="shared" si="129"/>
        <v>0</v>
      </c>
      <c r="AL90" s="78" t="b">
        <f t="shared" si="129"/>
        <v>0</v>
      </c>
      <c r="AM90" s="78" t="b">
        <f t="shared" si="129"/>
        <v>0</v>
      </c>
      <c r="AN90" s="78" t="b">
        <f t="shared" si="129"/>
        <v>0</v>
      </c>
      <c r="AO90" s="78" t="b">
        <f t="shared" si="129"/>
        <v>0</v>
      </c>
      <c r="AP90" s="78"/>
    </row>
    <row r="91" spans="4:42" x14ac:dyDescent="0.35">
      <c r="D91" s="96"/>
      <c r="E91" s="96"/>
      <c r="G91" s="77">
        <f t="shared" si="99"/>
        <v>0</v>
      </c>
      <c r="H91" s="78">
        <f t="shared" si="100"/>
        <v>0</v>
      </c>
      <c r="I91" s="77">
        <f t="shared" si="101"/>
        <v>0</v>
      </c>
      <c r="J91" s="78">
        <f t="shared" si="102"/>
        <v>0</v>
      </c>
      <c r="K91" s="78" t="str">
        <f t="shared" si="103"/>
        <v>1900-01-00 00:0:00</v>
      </c>
      <c r="L91" s="78" t="str">
        <f t="shared" si="104"/>
        <v>1900-01-00 00:0:00</v>
      </c>
      <c r="M91" s="79">
        <f t="shared" si="105"/>
        <v>0</v>
      </c>
      <c r="N91">
        <f t="shared" si="106"/>
        <v>1</v>
      </c>
      <c r="O91" t="str">
        <f>IFERROR(_xlfn.XLOOKUP(A91,HC!A:A,HC!C:C),"")</f>
        <v>Workforce</v>
      </c>
      <c r="R91" s="78" t="b">
        <f t="shared" ref="R91:AO91" si="130">IFERROR(IF($B91=$D$1,IF(AND($K91&lt;R$1,$L91&lt;R$1),"",IF(AND($K91&gt;S$1,$L91&gt;S$1),"",IF(AND($K91&lt;R$1,$L91&lt;=S$1),$L91-R$1,IF(AND($K91&gt;=R$1,$L91&gt;S$1),S$1-$K91,IF(AND($K91&gt;=R$1,$L91&lt;=S$1),$L91-$K91,IF(AND($K91&lt;R$1,$L91&gt;S$1),S$1-R$1,""))))))),"")</f>
        <v>0</v>
      </c>
      <c r="S91" s="78" t="b">
        <f t="shared" si="130"/>
        <v>0</v>
      </c>
      <c r="T91" s="78" t="b">
        <f t="shared" si="130"/>
        <v>0</v>
      </c>
      <c r="U91" s="78" t="b">
        <f t="shared" si="130"/>
        <v>0</v>
      </c>
      <c r="V91" s="78" t="b">
        <f t="shared" si="130"/>
        <v>0</v>
      </c>
      <c r="W91" s="78" t="b">
        <f t="shared" si="130"/>
        <v>0</v>
      </c>
      <c r="X91" s="78" t="b">
        <f t="shared" si="130"/>
        <v>0</v>
      </c>
      <c r="Y91" s="78" t="b">
        <f t="shared" si="130"/>
        <v>0</v>
      </c>
      <c r="Z91" s="78" t="b">
        <f t="shared" si="130"/>
        <v>0</v>
      </c>
      <c r="AA91" s="78" t="b">
        <f t="shared" si="130"/>
        <v>0</v>
      </c>
      <c r="AB91" s="78" t="b">
        <f t="shared" si="130"/>
        <v>0</v>
      </c>
      <c r="AC91" s="78" t="b">
        <f t="shared" si="130"/>
        <v>0</v>
      </c>
      <c r="AD91" s="78" t="b">
        <f t="shared" si="130"/>
        <v>0</v>
      </c>
      <c r="AE91" s="78" t="b">
        <f t="shared" si="130"/>
        <v>0</v>
      </c>
      <c r="AF91" s="78" t="b">
        <f t="shared" si="130"/>
        <v>0</v>
      </c>
      <c r="AG91" s="78" t="b">
        <f t="shared" si="130"/>
        <v>0</v>
      </c>
      <c r="AH91" s="78" t="b">
        <f t="shared" si="130"/>
        <v>0</v>
      </c>
      <c r="AI91" s="78" t="b">
        <f t="shared" si="130"/>
        <v>0</v>
      </c>
      <c r="AJ91" s="78" t="b">
        <f t="shared" si="130"/>
        <v>0</v>
      </c>
      <c r="AK91" s="78" t="b">
        <f t="shared" si="130"/>
        <v>0</v>
      </c>
      <c r="AL91" s="78" t="b">
        <f t="shared" si="130"/>
        <v>0</v>
      </c>
      <c r="AM91" s="78" t="b">
        <f t="shared" si="130"/>
        <v>0</v>
      </c>
      <c r="AN91" s="78" t="b">
        <f t="shared" si="130"/>
        <v>0</v>
      </c>
      <c r="AO91" s="78" t="b">
        <f t="shared" si="130"/>
        <v>0</v>
      </c>
      <c r="AP91" s="78"/>
    </row>
    <row r="92" spans="4:42" x14ac:dyDescent="0.35">
      <c r="D92" s="96"/>
      <c r="E92" s="96"/>
      <c r="G92" s="77">
        <f t="shared" si="99"/>
        <v>0</v>
      </c>
      <c r="H92" s="78">
        <f t="shared" si="100"/>
        <v>0</v>
      </c>
      <c r="I92" s="77">
        <f t="shared" si="101"/>
        <v>0</v>
      </c>
      <c r="J92" s="78">
        <f t="shared" si="102"/>
        <v>0</v>
      </c>
      <c r="K92" s="78" t="str">
        <f t="shared" si="103"/>
        <v>1900-01-00 00:0:00</v>
      </c>
      <c r="L92" s="78" t="str">
        <f t="shared" si="104"/>
        <v>1900-01-00 00:0:00</v>
      </c>
      <c r="M92" s="79">
        <f t="shared" si="105"/>
        <v>0</v>
      </c>
      <c r="N92">
        <f t="shared" si="106"/>
        <v>1</v>
      </c>
      <c r="O92" t="str">
        <f>IFERROR(_xlfn.XLOOKUP(A92,HC!A:A,HC!C:C),"")</f>
        <v>Workforce</v>
      </c>
      <c r="R92" s="78" t="b">
        <f t="shared" ref="R92:AO92" si="131">IFERROR(IF($B92=$D$1,IF(AND($K92&lt;R$1,$L92&lt;R$1),"",IF(AND($K92&gt;S$1,$L92&gt;S$1),"",IF(AND($K92&lt;R$1,$L92&lt;=S$1),$L92-R$1,IF(AND($K92&gt;=R$1,$L92&gt;S$1),S$1-$K92,IF(AND($K92&gt;=R$1,$L92&lt;=S$1),$L92-$K92,IF(AND($K92&lt;R$1,$L92&gt;S$1),S$1-R$1,""))))))),"")</f>
        <v>0</v>
      </c>
      <c r="S92" s="78" t="b">
        <f t="shared" si="131"/>
        <v>0</v>
      </c>
      <c r="T92" s="78" t="b">
        <f t="shared" si="131"/>
        <v>0</v>
      </c>
      <c r="U92" s="78" t="b">
        <f t="shared" si="131"/>
        <v>0</v>
      </c>
      <c r="V92" s="78" t="b">
        <f t="shared" si="131"/>
        <v>0</v>
      </c>
      <c r="W92" s="78" t="b">
        <f t="shared" si="131"/>
        <v>0</v>
      </c>
      <c r="X92" s="78" t="b">
        <f t="shared" si="131"/>
        <v>0</v>
      </c>
      <c r="Y92" s="78" t="b">
        <f t="shared" si="131"/>
        <v>0</v>
      </c>
      <c r="Z92" s="78" t="b">
        <f t="shared" si="131"/>
        <v>0</v>
      </c>
      <c r="AA92" s="78" t="b">
        <f t="shared" si="131"/>
        <v>0</v>
      </c>
      <c r="AB92" s="78" t="b">
        <f t="shared" si="131"/>
        <v>0</v>
      </c>
      <c r="AC92" s="78" t="b">
        <f t="shared" si="131"/>
        <v>0</v>
      </c>
      <c r="AD92" s="78" t="b">
        <f t="shared" si="131"/>
        <v>0</v>
      </c>
      <c r="AE92" s="78" t="b">
        <f t="shared" si="131"/>
        <v>0</v>
      </c>
      <c r="AF92" s="78" t="b">
        <f t="shared" si="131"/>
        <v>0</v>
      </c>
      <c r="AG92" s="78" t="b">
        <f t="shared" si="131"/>
        <v>0</v>
      </c>
      <c r="AH92" s="78" t="b">
        <f t="shared" si="131"/>
        <v>0</v>
      </c>
      <c r="AI92" s="78" t="b">
        <f t="shared" si="131"/>
        <v>0</v>
      </c>
      <c r="AJ92" s="78" t="b">
        <f t="shared" si="131"/>
        <v>0</v>
      </c>
      <c r="AK92" s="78" t="b">
        <f t="shared" si="131"/>
        <v>0</v>
      </c>
      <c r="AL92" s="78" t="b">
        <f t="shared" si="131"/>
        <v>0</v>
      </c>
      <c r="AM92" s="78" t="b">
        <f t="shared" si="131"/>
        <v>0</v>
      </c>
      <c r="AN92" s="78" t="b">
        <f t="shared" si="131"/>
        <v>0</v>
      </c>
      <c r="AO92" s="78" t="b">
        <f t="shared" si="131"/>
        <v>0</v>
      </c>
      <c r="AP92" s="78"/>
    </row>
    <row r="93" spans="4:42" x14ac:dyDescent="0.35">
      <c r="D93" s="96"/>
      <c r="E93" s="96"/>
      <c r="G93" s="77">
        <f t="shared" si="99"/>
        <v>0</v>
      </c>
      <c r="H93" s="78">
        <f t="shared" si="100"/>
        <v>0</v>
      </c>
      <c r="I93" s="77">
        <f t="shared" si="101"/>
        <v>0</v>
      </c>
      <c r="J93" s="78">
        <f t="shared" si="102"/>
        <v>0</v>
      </c>
      <c r="K93" s="78" t="str">
        <f t="shared" si="103"/>
        <v>1900-01-00 00:0:00</v>
      </c>
      <c r="L93" s="78" t="str">
        <f t="shared" si="104"/>
        <v>1900-01-00 00:0:00</v>
      </c>
      <c r="M93" s="79">
        <f t="shared" si="105"/>
        <v>0</v>
      </c>
      <c r="N93">
        <f t="shared" si="106"/>
        <v>1</v>
      </c>
      <c r="O93" t="str">
        <f>IFERROR(_xlfn.XLOOKUP(A93,HC!A:A,HC!C:C),"")</f>
        <v>Workforce</v>
      </c>
      <c r="R93" s="78" t="b">
        <f t="shared" ref="R93:AO93" si="132">IFERROR(IF($B93=$D$1,IF(AND($K93&lt;R$1,$L93&lt;R$1),"",IF(AND($K93&gt;S$1,$L93&gt;S$1),"",IF(AND($K93&lt;R$1,$L93&lt;=S$1),$L93-R$1,IF(AND($K93&gt;=R$1,$L93&gt;S$1),S$1-$K93,IF(AND($K93&gt;=R$1,$L93&lt;=S$1),$L93-$K93,IF(AND($K93&lt;R$1,$L93&gt;S$1),S$1-R$1,""))))))),"")</f>
        <v>0</v>
      </c>
      <c r="S93" s="78" t="b">
        <f t="shared" si="132"/>
        <v>0</v>
      </c>
      <c r="T93" s="78" t="b">
        <f t="shared" si="132"/>
        <v>0</v>
      </c>
      <c r="U93" s="78" t="b">
        <f t="shared" si="132"/>
        <v>0</v>
      </c>
      <c r="V93" s="78" t="b">
        <f t="shared" si="132"/>
        <v>0</v>
      </c>
      <c r="W93" s="78" t="b">
        <f t="shared" si="132"/>
        <v>0</v>
      </c>
      <c r="X93" s="78" t="b">
        <f t="shared" si="132"/>
        <v>0</v>
      </c>
      <c r="Y93" s="78" t="b">
        <f t="shared" si="132"/>
        <v>0</v>
      </c>
      <c r="Z93" s="78" t="b">
        <f t="shared" si="132"/>
        <v>0</v>
      </c>
      <c r="AA93" s="78" t="b">
        <f t="shared" si="132"/>
        <v>0</v>
      </c>
      <c r="AB93" s="78" t="b">
        <f t="shared" si="132"/>
        <v>0</v>
      </c>
      <c r="AC93" s="78" t="b">
        <f t="shared" si="132"/>
        <v>0</v>
      </c>
      <c r="AD93" s="78" t="b">
        <f t="shared" si="132"/>
        <v>0</v>
      </c>
      <c r="AE93" s="78" t="b">
        <f t="shared" si="132"/>
        <v>0</v>
      </c>
      <c r="AF93" s="78" t="b">
        <f t="shared" si="132"/>
        <v>0</v>
      </c>
      <c r="AG93" s="78" t="b">
        <f t="shared" si="132"/>
        <v>0</v>
      </c>
      <c r="AH93" s="78" t="b">
        <f t="shared" si="132"/>
        <v>0</v>
      </c>
      <c r="AI93" s="78" t="b">
        <f t="shared" si="132"/>
        <v>0</v>
      </c>
      <c r="AJ93" s="78" t="b">
        <f t="shared" si="132"/>
        <v>0</v>
      </c>
      <c r="AK93" s="78" t="b">
        <f t="shared" si="132"/>
        <v>0</v>
      </c>
      <c r="AL93" s="78" t="b">
        <f t="shared" si="132"/>
        <v>0</v>
      </c>
      <c r="AM93" s="78" t="b">
        <f t="shared" si="132"/>
        <v>0</v>
      </c>
      <c r="AN93" s="78" t="b">
        <f t="shared" si="132"/>
        <v>0</v>
      </c>
      <c r="AO93" s="78" t="b">
        <f t="shared" si="132"/>
        <v>0</v>
      </c>
      <c r="AP93" s="78"/>
    </row>
    <row r="94" spans="4:42" x14ac:dyDescent="0.35">
      <c r="D94" s="96"/>
      <c r="E94" s="96"/>
      <c r="G94" s="77">
        <f t="shared" si="99"/>
        <v>0</v>
      </c>
      <c r="H94" s="78">
        <f t="shared" si="100"/>
        <v>0</v>
      </c>
      <c r="I94" s="77">
        <f t="shared" si="101"/>
        <v>0</v>
      </c>
      <c r="J94" s="78">
        <f t="shared" si="102"/>
        <v>0</v>
      </c>
      <c r="K94" s="78" t="str">
        <f t="shared" si="103"/>
        <v>1900-01-00 00:0:00</v>
      </c>
      <c r="L94" s="78" t="str">
        <f t="shared" si="104"/>
        <v>1900-01-00 00:0:00</v>
      </c>
      <c r="M94" s="79">
        <f t="shared" si="105"/>
        <v>0</v>
      </c>
      <c r="N94">
        <f t="shared" si="106"/>
        <v>1</v>
      </c>
      <c r="O94" t="str">
        <f>IFERROR(_xlfn.XLOOKUP(A94,HC!A:A,HC!C:C),"")</f>
        <v>Workforce</v>
      </c>
      <c r="R94" s="78" t="b">
        <f t="shared" ref="R94:AO94" si="133">IFERROR(IF($B94=$D$1,IF(AND($K94&lt;R$1,$L94&lt;R$1),"",IF(AND($K94&gt;S$1,$L94&gt;S$1),"",IF(AND($K94&lt;R$1,$L94&lt;=S$1),$L94-R$1,IF(AND($K94&gt;=R$1,$L94&gt;S$1),S$1-$K94,IF(AND($K94&gt;=R$1,$L94&lt;=S$1),$L94-$K94,IF(AND($K94&lt;R$1,$L94&gt;S$1),S$1-R$1,""))))))),"")</f>
        <v>0</v>
      </c>
      <c r="S94" s="78" t="b">
        <f t="shared" si="133"/>
        <v>0</v>
      </c>
      <c r="T94" s="78" t="b">
        <f t="shared" si="133"/>
        <v>0</v>
      </c>
      <c r="U94" s="78" t="b">
        <f t="shared" si="133"/>
        <v>0</v>
      </c>
      <c r="V94" s="78" t="b">
        <f t="shared" si="133"/>
        <v>0</v>
      </c>
      <c r="W94" s="78" t="b">
        <f t="shared" si="133"/>
        <v>0</v>
      </c>
      <c r="X94" s="78" t="b">
        <f t="shared" si="133"/>
        <v>0</v>
      </c>
      <c r="Y94" s="78" t="b">
        <f t="shared" si="133"/>
        <v>0</v>
      </c>
      <c r="Z94" s="78" t="b">
        <f t="shared" si="133"/>
        <v>0</v>
      </c>
      <c r="AA94" s="78" t="b">
        <f t="shared" si="133"/>
        <v>0</v>
      </c>
      <c r="AB94" s="78" t="b">
        <f t="shared" si="133"/>
        <v>0</v>
      </c>
      <c r="AC94" s="78" t="b">
        <f t="shared" si="133"/>
        <v>0</v>
      </c>
      <c r="AD94" s="78" t="b">
        <f t="shared" si="133"/>
        <v>0</v>
      </c>
      <c r="AE94" s="78" t="b">
        <f t="shared" si="133"/>
        <v>0</v>
      </c>
      <c r="AF94" s="78" t="b">
        <f t="shared" si="133"/>
        <v>0</v>
      </c>
      <c r="AG94" s="78" t="b">
        <f t="shared" si="133"/>
        <v>0</v>
      </c>
      <c r="AH94" s="78" t="b">
        <f t="shared" si="133"/>
        <v>0</v>
      </c>
      <c r="AI94" s="78" t="b">
        <f t="shared" si="133"/>
        <v>0</v>
      </c>
      <c r="AJ94" s="78" t="b">
        <f t="shared" si="133"/>
        <v>0</v>
      </c>
      <c r="AK94" s="78" t="b">
        <f t="shared" si="133"/>
        <v>0</v>
      </c>
      <c r="AL94" s="78" t="b">
        <f t="shared" si="133"/>
        <v>0</v>
      </c>
      <c r="AM94" s="78" t="b">
        <f t="shared" si="133"/>
        <v>0</v>
      </c>
      <c r="AN94" s="78" t="b">
        <f t="shared" si="133"/>
        <v>0</v>
      </c>
      <c r="AO94" s="78" t="b">
        <f t="shared" si="133"/>
        <v>0</v>
      </c>
      <c r="AP94" s="78"/>
    </row>
    <row r="95" spans="4:42" x14ac:dyDescent="0.35">
      <c r="D95" s="96"/>
      <c r="E95" s="96"/>
      <c r="G95" s="77">
        <f t="shared" si="99"/>
        <v>0</v>
      </c>
      <c r="H95" s="78">
        <f t="shared" si="100"/>
        <v>0</v>
      </c>
      <c r="I95" s="77">
        <f t="shared" si="101"/>
        <v>0</v>
      </c>
      <c r="J95" s="78">
        <f t="shared" si="102"/>
        <v>0</v>
      </c>
      <c r="K95" s="78" t="str">
        <f t="shared" si="103"/>
        <v>1900-01-00 00:0:00</v>
      </c>
      <c r="L95" s="78" t="str">
        <f t="shared" si="104"/>
        <v>1900-01-00 00:0:00</v>
      </c>
      <c r="M95" s="79">
        <f t="shared" si="105"/>
        <v>0</v>
      </c>
      <c r="N95">
        <f t="shared" si="106"/>
        <v>1</v>
      </c>
      <c r="O95" t="str">
        <f>IFERROR(_xlfn.XLOOKUP(A95,HC!A:A,HC!C:C),"")</f>
        <v>Workforce</v>
      </c>
      <c r="R95" s="78" t="b">
        <f t="shared" ref="R95:AO95" si="134">IFERROR(IF($B95=$D$1,IF(AND($K95&lt;R$1,$L95&lt;R$1),"",IF(AND($K95&gt;S$1,$L95&gt;S$1),"",IF(AND($K95&lt;R$1,$L95&lt;=S$1),$L95-R$1,IF(AND($K95&gt;=R$1,$L95&gt;S$1),S$1-$K95,IF(AND($K95&gt;=R$1,$L95&lt;=S$1),$L95-$K95,IF(AND($K95&lt;R$1,$L95&gt;S$1),S$1-R$1,""))))))),"")</f>
        <v>0</v>
      </c>
      <c r="S95" s="78" t="b">
        <f t="shared" si="134"/>
        <v>0</v>
      </c>
      <c r="T95" s="78" t="b">
        <f t="shared" si="134"/>
        <v>0</v>
      </c>
      <c r="U95" s="78" t="b">
        <f t="shared" si="134"/>
        <v>0</v>
      </c>
      <c r="V95" s="78" t="b">
        <f t="shared" si="134"/>
        <v>0</v>
      </c>
      <c r="W95" s="78" t="b">
        <f t="shared" si="134"/>
        <v>0</v>
      </c>
      <c r="X95" s="78" t="b">
        <f t="shared" si="134"/>
        <v>0</v>
      </c>
      <c r="Y95" s="78" t="b">
        <f t="shared" si="134"/>
        <v>0</v>
      </c>
      <c r="Z95" s="78" t="b">
        <f t="shared" si="134"/>
        <v>0</v>
      </c>
      <c r="AA95" s="78" t="b">
        <f t="shared" si="134"/>
        <v>0</v>
      </c>
      <c r="AB95" s="78" t="b">
        <f t="shared" si="134"/>
        <v>0</v>
      </c>
      <c r="AC95" s="78" t="b">
        <f t="shared" si="134"/>
        <v>0</v>
      </c>
      <c r="AD95" s="78" t="b">
        <f t="shared" si="134"/>
        <v>0</v>
      </c>
      <c r="AE95" s="78" t="b">
        <f t="shared" si="134"/>
        <v>0</v>
      </c>
      <c r="AF95" s="78" t="b">
        <f t="shared" si="134"/>
        <v>0</v>
      </c>
      <c r="AG95" s="78" t="b">
        <f t="shared" si="134"/>
        <v>0</v>
      </c>
      <c r="AH95" s="78" t="b">
        <f t="shared" si="134"/>
        <v>0</v>
      </c>
      <c r="AI95" s="78" t="b">
        <f t="shared" si="134"/>
        <v>0</v>
      </c>
      <c r="AJ95" s="78" t="b">
        <f t="shared" si="134"/>
        <v>0</v>
      </c>
      <c r="AK95" s="78" t="b">
        <f t="shared" si="134"/>
        <v>0</v>
      </c>
      <c r="AL95" s="78" t="b">
        <f t="shared" si="134"/>
        <v>0</v>
      </c>
      <c r="AM95" s="78" t="b">
        <f t="shared" si="134"/>
        <v>0</v>
      </c>
      <c r="AN95" s="78" t="b">
        <f t="shared" si="134"/>
        <v>0</v>
      </c>
      <c r="AO95" s="78" t="b">
        <f t="shared" si="134"/>
        <v>0</v>
      </c>
      <c r="AP95" s="78"/>
    </row>
    <row r="96" spans="4:42" x14ac:dyDescent="0.35">
      <c r="D96" s="96"/>
      <c r="E96" s="96"/>
      <c r="G96" s="77">
        <f t="shared" si="99"/>
        <v>0</v>
      </c>
      <c r="H96" s="78">
        <f t="shared" si="100"/>
        <v>0</v>
      </c>
      <c r="I96" s="77">
        <f t="shared" si="101"/>
        <v>0</v>
      </c>
      <c r="J96" s="78">
        <f t="shared" si="102"/>
        <v>0</v>
      </c>
      <c r="K96" s="78" t="str">
        <f t="shared" si="103"/>
        <v>1900-01-00 00:0:00</v>
      </c>
      <c r="L96" s="78" t="str">
        <f t="shared" si="104"/>
        <v>1900-01-00 00:0:00</v>
      </c>
      <c r="M96" s="79">
        <f t="shared" si="105"/>
        <v>0</v>
      </c>
      <c r="N96">
        <f t="shared" si="106"/>
        <v>1</v>
      </c>
      <c r="O96" t="str">
        <f>IFERROR(_xlfn.XLOOKUP(A96,HC!A:A,HC!C:C),"")</f>
        <v>Workforce</v>
      </c>
      <c r="R96" s="78" t="b">
        <f t="shared" ref="R96:AO96" si="135">IFERROR(IF($B96=$D$1,IF(AND($K96&lt;R$1,$L96&lt;R$1),"",IF(AND($K96&gt;S$1,$L96&gt;S$1),"",IF(AND($K96&lt;R$1,$L96&lt;=S$1),$L96-R$1,IF(AND($K96&gt;=R$1,$L96&gt;S$1),S$1-$K96,IF(AND($K96&gt;=R$1,$L96&lt;=S$1),$L96-$K96,IF(AND($K96&lt;R$1,$L96&gt;S$1),S$1-R$1,""))))))),"")</f>
        <v>0</v>
      </c>
      <c r="S96" s="78" t="b">
        <f t="shared" si="135"/>
        <v>0</v>
      </c>
      <c r="T96" s="78" t="b">
        <f t="shared" si="135"/>
        <v>0</v>
      </c>
      <c r="U96" s="78" t="b">
        <f t="shared" si="135"/>
        <v>0</v>
      </c>
      <c r="V96" s="78" t="b">
        <f t="shared" si="135"/>
        <v>0</v>
      </c>
      <c r="W96" s="78" t="b">
        <f t="shared" si="135"/>
        <v>0</v>
      </c>
      <c r="X96" s="78" t="b">
        <f t="shared" si="135"/>
        <v>0</v>
      </c>
      <c r="Y96" s="78" t="b">
        <f t="shared" si="135"/>
        <v>0</v>
      </c>
      <c r="Z96" s="78" t="b">
        <f t="shared" si="135"/>
        <v>0</v>
      </c>
      <c r="AA96" s="78" t="b">
        <f t="shared" si="135"/>
        <v>0</v>
      </c>
      <c r="AB96" s="78" t="b">
        <f t="shared" si="135"/>
        <v>0</v>
      </c>
      <c r="AC96" s="78" t="b">
        <f t="shared" si="135"/>
        <v>0</v>
      </c>
      <c r="AD96" s="78" t="b">
        <f t="shared" si="135"/>
        <v>0</v>
      </c>
      <c r="AE96" s="78" t="b">
        <f t="shared" si="135"/>
        <v>0</v>
      </c>
      <c r="AF96" s="78" t="b">
        <f t="shared" si="135"/>
        <v>0</v>
      </c>
      <c r="AG96" s="78" t="b">
        <f t="shared" si="135"/>
        <v>0</v>
      </c>
      <c r="AH96" s="78" t="b">
        <f t="shared" si="135"/>
        <v>0</v>
      </c>
      <c r="AI96" s="78" t="b">
        <f t="shared" si="135"/>
        <v>0</v>
      </c>
      <c r="AJ96" s="78" t="b">
        <f t="shared" si="135"/>
        <v>0</v>
      </c>
      <c r="AK96" s="78" t="b">
        <f t="shared" si="135"/>
        <v>0</v>
      </c>
      <c r="AL96" s="78" t="b">
        <f t="shared" si="135"/>
        <v>0</v>
      </c>
      <c r="AM96" s="78" t="b">
        <f t="shared" si="135"/>
        <v>0</v>
      </c>
      <c r="AN96" s="78" t="b">
        <f t="shared" si="135"/>
        <v>0</v>
      </c>
      <c r="AO96" s="78" t="b">
        <f t="shared" si="135"/>
        <v>0</v>
      </c>
      <c r="AP96" s="78"/>
    </row>
    <row r="97" spans="4:42" x14ac:dyDescent="0.35">
      <c r="D97" s="96"/>
      <c r="E97" s="96"/>
      <c r="G97" s="77">
        <f t="shared" si="99"/>
        <v>0</v>
      </c>
      <c r="H97" s="78">
        <f t="shared" si="100"/>
        <v>0</v>
      </c>
      <c r="I97" s="77">
        <f t="shared" si="101"/>
        <v>0</v>
      </c>
      <c r="J97" s="78">
        <f t="shared" si="102"/>
        <v>0</v>
      </c>
      <c r="K97" s="78" t="str">
        <f t="shared" si="103"/>
        <v>1900-01-00 00:0:00</v>
      </c>
      <c r="L97" s="78" t="str">
        <f t="shared" si="104"/>
        <v>1900-01-00 00:0:00</v>
      </c>
      <c r="M97" s="79">
        <f t="shared" si="105"/>
        <v>0</v>
      </c>
      <c r="N97">
        <f t="shared" si="106"/>
        <v>1</v>
      </c>
      <c r="O97" t="str">
        <f>IFERROR(_xlfn.XLOOKUP(A97,HC!A:A,HC!C:C),"")</f>
        <v>Workforce</v>
      </c>
      <c r="R97" s="78" t="b">
        <f t="shared" ref="R97:AO97" si="136">IFERROR(IF($B97=$D$1,IF(AND($K97&lt;R$1,$L97&lt;R$1),"",IF(AND($K97&gt;S$1,$L97&gt;S$1),"",IF(AND($K97&lt;R$1,$L97&lt;=S$1),$L97-R$1,IF(AND($K97&gt;=R$1,$L97&gt;S$1),S$1-$K97,IF(AND($K97&gt;=R$1,$L97&lt;=S$1),$L97-$K97,IF(AND($K97&lt;R$1,$L97&gt;S$1),S$1-R$1,""))))))),"")</f>
        <v>0</v>
      </c>
      <c r="S97" s="78" t="b">
        <f t="shared" si="136"/>
        <v>0</v>
      </c>
      <c r="T97" s="78" t="b">
        <f t="shared" si="136"/>
        <v>0</v>
      </c>
      <c r="U97" s="78" t="b">
        <f t="shared" si="136"/>
        <v>0</v>
      </c>
      <c r="V97" s="78" t="b">
        <f t="shared" si="136"/>
        <v>0</v>
      </c>
      <c r="W97" s="78" t="b">
        <f t="shared" si="136"/>
        <v>0</v>
      </c>
      <c r="X97" s="78" t="b">
        <f t="shared" si="136"/>
        <v>0</v>
      </c>
      <c r="Y97" s="78" t="b">
        <f t="shared" si="136"/>
        <v>0</v>
      </c>
      <c r="Z97" s="78" t="b">
        <f t="shared" si="136"/>
        <v>0</v>
      </c>
      <c r="AA97" s="78" t="b">
        <f t="shared" si="136"/>
        <v>0</v>
      </c>
      <c r="AB97" s="78" t="b">
        <f t="shared" si="136"/>
        <v>0</v>
      </c>
      <c r="AC97" s="78" t="b">
        <f t="shared" si="136"/>
        <v>0</v>
      </c>
      <c r="AD97" s="78" t="b">
        <f t="shared" si="136"/>
        <v>0</v>
      </c>
      <c r="AE97" s="78" t="b">
        <f t="shared" si="136"/>
        <v>0</v>
      </c>
      <c r="AF97" s="78" t="b">
        <f t="shared" si="136"/>
        <v>0</v>
      </c>
      <c r="AG97" s="78" t="b">
        <f t="shared" si="136"/>
        <v>0</v>
      </c>
      <c r="AH97" s="78" t="b">
        <f t="shared" si="136"/>
        <v>0</v>
      </c>
      <c r="AI97" s="78" t="b">
        <f t="shared" si="136"/>
        <v>0</v>
      </c>
      <c r="AJ97" s="78" t="b">
        <f t="shared" si="136"/>
        <v>0</v>
      </c>
      <c r="AK97" s="78" t="b">
        <f t="shared" si="136"/>
        <v>0</v>
      </c>
      <c r="AL97" s="78" t="b">
        <f t="shared" si="136"/>
        <v>0</v>
      </c>
      <c r="AM97" s="78" t="b">
        <f t="shared" si="136"/>
        <v>0</v>
      </c>
      <c r="AN97" s="78" t="b">
        <f t="shared" si="136"/>
        <v>0</v>
      </c>
      <c r="AO97" s="78" t="b">
        <f t="shared" si="136"/>
        <v>0</v>
      </c>
      <c r="AP97" s="78"/>
    </row>
    <row r="98" spans="4:42" x14ac:dyDescent="0.35">
      <c r="D98" s="96"/>
      <c r="E98" s="96"/>
      <c r="G98" s="77">
        <f t="shared" si="99"/>
        <v>0</v>
      </c>
      <c r="H98" s="78">
        <f t="shared" si="100"/>
        <v>0</v>
      </c>
      <c r="I98" s="77">
        <f t="shared" si="101"/>
        <v>0</v>
      </c>
      <c r="J98" s="78">
        <f t="shared" si="102"/>
        <v>0</v>
      </c>
      <c r="K98" s="78" t="str">
        <f t="shared" si="103"/>
        <v>1900-01-00 00:0:00</v>
      </c>
      <c r="L98" s="78" t="str">
        <f t="shared" si="104"/>
        <v>1900-01-00 00:0:00</v>
      </c>
      <c r="M98" s="79">
        <f t="shared" si="105"/>
        <v>0</v>
      </c>
      <c r="N98">
        <f t="shared" si="106"/>
        <v>1</v>
      </c>
      <c r="O98" t="str">
        <f>IFERROR(_xlfn.XLOOKUP(A98,HC!A:A,HC!C:C),"")</f>
        <v>Workforce</v>
      </c>
      <c r="R98" s="78" t="b">
        <f t="shared" ref="R98:AO98" si="137">IFERROR(IF($B98=$D$1,IF(AND($K98&lt;R$1,$L98&lt;R$1),"",IF(AND($K98&gt;S$1,$L98&gt;S$1),"",IF(AND($K98&lt;R$1,$L98&lt;=S$1),$L98-R$1,IF(AND($K98&gt;=R$1,$L98&gt;S$1),S$1-$K98,IF(AND($K98&gt;=R$1,$L98&lt;=S$1),$L98-$K98,IF(AND($K98&lt;R$1,$L98&gt;S$1),S$1-R$1,""))))))),"")</f>
        <v>0</v>
      </c>
      <c r="S98" s="78" t="b">
        <f t="shared" si="137"/>
        <v>0</v>
      </c>
      <c r="T98" s="78" t="b">
        <f t="shared" si="137"/>
        <v>0</v>
      </c>
      <c r="U98" s="78" t="b">
        <f t="shared" si="137"/>
        <v>0</v>
      </c>
      <c r="V98" s="78" t="b">
        <f t="shared" si="137"/>
        <v>0</v>
      </c>
      <c r="W98" s="78" t="b">
        <f t="shared" si="137"/>
        <v>0</v>
      </c>
      <c r="X98" s="78" t="b">
        <f t="shared" si="137"/>
        <v>0</v>
      </c>
      <c r="Y98" s="78" t="b">
        <f t="shared" si="137"/>
        <v>0</v>
      </c>
      <c r="Z98" s="78" t="b">
        <f t="shared" si="137"/>
        <v>0</v>
      </c>
      <c r="AA98" s="78" t="b">
        <f t="shared" si="137"/>
        <v>0</v>
      </c>
      <c r="AB98" s="78" t="b">
        <f t="shared" si="137"/>
        <v>0</v>
      </c>
      <c r="AC98" s="78" t="b">
        <f t="shared" si="137"/>
        <v>0</v>
      </c>
      <c r="AD98" s="78" t="b">
        <f t="shared" si="137"/>
        <v>0</v>
      </c>
      <c r="AE98" s="78" t="b">
        <f t="shared" si="137"/>
        <v>0</v>
      </c>
      <c r="AF98" s="78" t="b">
        <f t="shared" si="137"/>
        <v>0</v>
      </c>
      <c r="AG98" s="78" t="b">
        <f t="shared" si="137"/>
        <v>0</v>
      </c>
      <c r="AH98" s="78" t="b">
        <f t="shared" si="137"/>
        <v>0</v>
      </c>
      <c r="AI98" s="78" t="b">
        <f t="shared" si="137"/>
        <v>0</v>
      </c>
      <c r="AJ98" s="78" t="b">
        <f t="shared" si="137"/>
        <v>0</v>
      </c>
      <c r="AK98" s="78" t="b">
        <f t="shared" si="137"/>
        <v>0</v>
      </c>
      <c r="AL98" s="78" t="b">
        <f t="shared" si="137"/>
        <v>0</v>
      </c>
      <c r="AM98" s="78" t="b">
        <f t="shared" si="137"/>
        <v>0</v>
      </c>
      <c r="AN98" s="78" t="b">
        <f t="shared" si="137"/>
        <v>0</v>
      </c>
      <c r="AO98" s="78" t="b">
        <f t="shared" si="137"/>
        <v>0</v>
      </c>
      <c r="AP98" s="78"/>
    </row>
    <row r="99" spans="4:42" x14ac:dyDescent="0.35">
      <c r="D99" s="96"/>
      <c r="E99" s="96"/>
      <c r="G99" s="77">
        <f t="shared" si="99"/>
        <v>0</v>
      </c>
      <c r="H99" s="78">
        <f t="shared" si="100"/>
        <v>0</v>
      </c>
      <c r="I99" s="77">
        <f t="shared" si="101"/>
        <v>0</v>
      </c>
      <c r="J99" s="78">
        <f t="shared" si="102"/>
        <v>0</v>
      </c>
      <c r="K99" s="78" t="str">
        <f t="shared" si="103"/>
        <v>1900-01-00 00:0:00</v>
      </c>
      <c r="L99" s="78" t="str">
        <f t="shared" si="104"/>
        <v>1900-01-00 00:0:00</v>
      </c>
      <c r="M99" s="79">
        <f t="shared" si="105"/>
        <v>0</v>
      </c>
      <c r="N99">
        <f t="shared" si="106"/>
        <v>1</v>
      </c>
      <c r="O99" t="str">
        <f>IFERROR(_xlfn.XLOOKUP(A99,HC!A:A,HC!C:C),"")</f>
        <v>Workforce</v>
      </c>
      <c r="R99" s="78" t="b">
        <f t="shared" ref="R99:AO99" si="138">IFERROR(IF($B99=$D$1,IF(AND($K99&lt;R$1,$L99&lt;R$1),"",IF(AND($K99&gt;S$1,$L99&gt;S$1),"",IF(AND($K99&lt;R$1,$L99&lt;=S$1),$L99-R$1,IF(AND($K99&gt;=R$1,$L99&gt;S$1),S$1-$K99,IF(AND($K99&gt;=R$1,$L99&lt;=S$1),$L99-$K99,IF(AND($K99&lt;R$1,$L99&gt;S$1),S$1-R$1,""))))))),"")</f>
        <v>0</v>
      </c>
      <c r="S99" s="78" t="b">
        <f t="shared" si="138"/>
        <v>0</v>
      </c>
      <c r="T99" s="78" t="b">
        <f t="shared" si="138"/>
        <v>0</v>
      </c>
      <c r="U99" s="78" t="b">
        <f t="shared" si="138"/>
        <v>0</v>
      </c>
      <c r="V99" s="78" t="b">
        <f t="shared" si="138"/>
        <v>0</v>
      </c>
      <c r="W99" s="78" t="b">
        <f t="shared" si="138"/>
        <v>0</v>
      </c>
      <c r="X99" s="78" t="b">
        <f t="shared" si="138"/>
        <v>0</v>
      </c>
      <c r="Y99" s="78" t="b">
        <f t="shared" si="138"/>
        <v>0</v>
      </c>
      <c r="Z99" s="78" t="b">
        <f t="shared" si="138"/>
        <v>0</v>
      </c>
      <c r="AA99" s="78" t="b">
        <f t="shared" si="138"/>
        <v>0</v>
      </c>
      <c r="AB99" s="78" t="b">
        <f t="shared" si="138"/>
        <v>0</v>
      </c>
      <c r="AC99" s="78" t="b">
        <f t="shared" si="138"/>
        <v>0</v>
      </c>
      <c r="AD99" s="78" t="b">
        <f t="shared" si="138"/>
        <v>0</v>
      </c>
      <c r="AE99" s="78" t="b">
        <f t="shared" si="138"/>
        <v>0</v>
      </c>
      <c r="AF99" s="78" t="b">
        <f t="shared" si="138"/>
        <v>0</v>
      </c>
      <c r="AG99" s="78" t="b">
        <f t="shared" si="138"/>
        <v>0</v>
      </c>
      <c r="AH99" s="78" t="b">
        <f t="shared" si="138"/>
        <v>0</v>
      </c>
      <c r="AI99" s="78" t="b">
        <f t="shared" si="138"/>
        <v>0</v>
      </c>
      <c r="AJ99" s="78" t="b">
        <f t="shared" si="138"/>
        <v>0</v>
      </c>
      <c r="AK99" s="78" t="b">
        <f t="shared" si="138"/>
        <v>0</v>
      </c>
      <c r="AL99" s="78" t="b">
        <f t="shared" si="138"/>
        <v>0</v>
      </c>
      <c r="AM99" s="78" t="b">
        <f t="shared" si="138"/>
        <v>0</v>
      </c>
      <c r="AN99" s="78" t="b">
        <f t="shared" si="138"/>
        <v>0</v>
      </c>
      <c r="AO99" s="78" t="b">
        <f t="shared" si="138"/>
        <v>0</v>
      </c>
      <c r="AP99" s="78"/>
    </row>
    <row r="100" spans="4:42" x14ac:dyDescent="0.35">
      <c r="D100" s="96"/>
      <c r="E100" s="96"/>
      <c r="G100" s="77">
        <f t="shared" si="99"/>
        <v>0</v>
      </c>
      <c r="H100" s="78">
        <f t="shared" si="100"/>
        <v>0</v>
      </c>
      <c r="I100" s="77">
        <f t="shared" si="101"/>
        <v>0</v>
      </c>
      <c r="J100" s="78">
        <f t="shared" si="102"/>
        <v>0</v>
      </c>
      <c r="K100" s="78" t="str">
        <f t="shared" si="103"/>
        <v>1900-01-00 00:0:00</v>
      </c>
      <c r="L100" s="78" t="str">
        <f t="shared" si="104"/>
        <v>1900-01-00 00:0:00</v>
      </c>
      <c r="M100" s="79">
        <f t="shared" si="105"/>
        <v>0</v>
      </c>
      <c r="N100">
        <f t="shared" si="106"/>
        <v>1</v>
      </c>
      <c r="O100" t="str">
        <f>IFERROR(_xlfn.XLOOKUP(A100,HC!A:A,HC!C:C),"")</f>
        <v>Workforce</v>
      </c>
      <c r="R100" s="78" t="b">
        <f t="shared" ref="R100:AO100" si="139">IFERROR(IF($B100=$D$1,IF(AND($K100&lt;R$1,$L100&lt;R$1),"",IF(AND($K100&gt;S$1,$L100&gt;S$1),"",IF(AND($K100&lt;R$1,$L100&lt;=S$1),$L100-R$1,IF(AND($K100&gt;=R$1,$L100&gt;S$1),S$1-$K100,IF(AND($K100&gt;=R$1,$L100&lt;=S$1),$L100-$K100,IF(AND($K100&lt;R$1,$L100&gt;S$1),S$1-R$1,""))))))),"")</f>
        <v>0</v>
      </c>
      <c r="S100" s="78" t="b">
        <f t="shared" si="139"/>
        <v>0</v>
      </c>
      <c r="T100" s="78" t="b">
        <f t="shared" si="139"/>
        <v>0</v>
      </c>
      <c r="U100" s="78" t="b">
        <f t="shared" si="139"/>
        <v>0</v>
      </c>
      <c r="V100" s="78" t="b">
        <f t="shared" si="139"/>
        <v>0</v>
      </c>
      <c r="W100" s="78" t="b">
        <f t="shared" si="139"/>
        <v>0</v>
      </c>
      <c r="X100" s="78" t="b">
        <f t="shared" si="139"/>
        <v>0</v>
      </c>
      <c r="Y100" s="78" t="b">
        <f t="shared" si="139"/>
        <v>0</v>
      </c>
      <c r="Z100" s="78" t="b">
        <f t="shared" si="139"/>
        <v>0</v>
      </c>
      <c r="AA100" s="78" t="b">
        <f t="shared" si="139"/>
        <v>0</v>
      </c>
      <c r="AB100" s="78" t="b">
        <f t="shared" si="139"/>
        <v>0</v>
      </c>
      <c r="AC100" s="78" t="b">
        <f t="shared" si="139"/>
        <v>0</v>
      </c>
      <c r="AD100" s="78" t="b">
        <f t="shared" si="139"/>
        <v>0</v>
      </c>
      <c r="AE100" s="78" t="b">
        <f t="shared" si="139"/>
        <v>0</v>
      </c>
      <c r="AF100" s="78" t="b">
        <f t="shared" si="139"/>
        <v>0</v>
      </c>
      <c r="AG100" s="78" t="b">
        <f t="shared" si="139"/>
        <v>0</v>
      </c>
      <c r="AH100" s="78" t="b">
        <f t="shared" si="139"/>
        <v>0</v>
      </c>
      <c r="AI100" s="78" t="b">
        <f t="shared" si="139"/>
        <v>0</v>
      </c>
      <c r="AJ100" s="78" t="b">
        <f t="shared" si="139"/>
        <v>0</v>
      </c>
      <c r="AK100" s="78" t="b">
        <f t="shared" si="139"/>
        <v>0</v>
      </c>
      <c r="AL100" s="78" t="b">
        <f t="shared" si="139"/>
        <v>0</v>
      </c>
      <c r="AM100" s="78" t="b">
        <f t="shared" si="139"/>
        <v>0</v>
      </c>
      <c r="AN100" s="78" t="b">
        <f t="shared" si="139"/>
        <v>0</v>
      </c>
      <c r="AO100" s="78" t="b">
        <f t="shared" si="139"/>
        <v>0</v>
      </c>
      <c r="AP100" s="78"/>
    </row>
    <row r="101" spans="4:42" x14ac:dyDescent="0.35">
      <c r="D101" s="96"/>
      <c r="E101" s="96"/>
      <c r="G101" s="77">
        <f t="shared" si="99"/>
        <v>0</v>
      </c>
      <c r="H101" s="78">
        <f t="shared" si="100"/>
        <v>0</v>
      </c>
      <c r="I101" s="77">
        <f t="shared" si="101"/>
        <v>0</v>
      </c>
      <c r="J101" s="78">
        <f t="shared" si="102"/>
        <v>0</v>
      </c>
      <c r="K101" s="78" t="str">
        <f t="shared" si="103"/>
        <v>1900-01-00 00:0:00</v>
      </c>
      <c r="L101" s="78" t="str">
        <f t="shared" si="104"/>
        <v>1900-01-00 00:0:00</v>
      </c>
      <c r="M101" s="79">
        <f t="shared" si="105"/>
        <v>0</v>
      </c>
      <c r="N101">
        <f t="shared" si="106"/>
        <v>1</v>
      </c>
      <c r="O101" t="str">
        <f>IFERROR(_xlfn.XLOOKUP(A101,HC!A:A,HC!C:C),"")</f>
        <v>Workforce</v>
      </c>
      <c r="R101" s="78" t="b">
        <f t="shared" ref="R101:AO101" si="140">IFERROR(IF($B101=$D$1,IF(AND($K101&lt;R$1,$L101&lt;R$1),"",IF(AND($K101&gt;S$1,$L101&gt;S$1),"",IF(AND($K101&lt;R$1,$L101&lt;=S$1),$L101-R$1,IF(AND($K101&gt;=R$1,$L101&gt;S$1),S$1-$K101,IF(AND($K101&gt;=R$1,$L101&lt;=S$1),$L101-$K101,IF(AND($K101&lt;R$1,$L101&gt;S$1),S$1-R$1,""))))))),"")</f>
        <v>0</v>
      </c>
      <c r="S101" s="78" t="b">
        <f t="shared" si="140"/>
        <v>0</v>
      </c>
      <c r="T101" s="78" t="b">
        <f t="shared" si="140"/>
        <v>0</v>
      </c>
      <c r="U101" s="78" t="b">
        <f t="shared" si="140"/>
        <v>0</v>
      </c>
      <c r="V101" s="78" t="b">
        <f t="shared" si="140"/>
        <v>0</v>
      </c>
      <c r="W101" s="78" t="b">
        <f t="shared" si="140"/>
        <v>0</v>
      </c>
      <c r="X101" s="78" t="b">
        <f t="shared" si="140"/>
        <v>0</v>
      </c>
      <c r="Y101" s="78" t="b">
        <f t="shared" si="140"/>
        <v>0</v>
      </c>
      <c r="Z101" s="78" t="b">
        <f t="shared" si="140"/>
        <v>0</v>
      </c>
      <c r="AA101" s="78" t="b">
        <f t="shared" si="140"/>
        <v>0</v>
      </c>
      <c r="AB101" s="78" t="b">
        <f t="shared" si="140"/>
        <v>0</v>
      </c>
      <c r="AC101" s="78" t="b">
        <f t="shared" si="140"/>
        <v>0</v>
      </c>
      <c r="AD101" s="78" t="b">
        <f t="shared" si="140"/>
        <v>0</v>
      </c>
      <c r="AE101" s="78" t="b">
        <f t="shared" si="140"/>
        <v>0</v>
      </c>
      <c r="AF101" s="78" t="b">
        <f t="shared" si="140"/>
        <v>0</v>
      </c>
      <c r="AG101" s="78" t="b">
        <f t="shared" si="140"/>
        <v>0</v>
      </c>
      <c r="AH101" s="78" t="b">
        <f t="shared" si="140"/>
        <v>0</v>
      </c>
      <c r="AI101" s="78" t="b">
        <f t="shared" si="140"/>
        <v>0</v>
      </c>
      <c r="AJ101" s="78" t="b">
        <f t="shared" si="140"/>
        <v>0</v>
      </c>
      <c r="AK101" s="78" t="b">
        <f t="shared" si="140"/>
        <v>0</v>
      </c>
      <c r="AL101" s="78" t="b">
        <f t="shared" si="140"/>
        <v>0</v>
      </c>
      <c r="AM101" s="78" t="b">
        <f t="shared" si="140"/>
        <v>0</v>
      </c>
      <c r="AN101" s="78" t="b">
        <f t="shared" si="140"/>
        <v>0</v>
      </c>
      <c r="AO101" s="78" t="b">
        <f t="shared" si="140"/>
        <v>0</v>
      </c>
      <c r="AP101" s="78"/>
    </row>
    <row r="102" spans="4:42" x14ac:dyDescent="0.35">
      <c r="D102" s="96"/>
      <c r="E102" s="96"/>
      <c r="G102" s="77">
        <f t="shared" si="99"/>
        <v>0</v>
      </c>
      <c r="H102" s="78">
        <f t="shared" si="100"/>
        <v>0</v>
      </c>
      <c r="I102" s="77">
        <f t="shared" si="101"/>
        <v>0</v>
      </c>
      <c r="J102" s="78">
        <f t="shared" si="102"/>
        <v>0</v>
      </c>
      <c r="K102" s="78" t="str">
        <f t="shared" si="103"/>
        <v>1900-01-00 00:0:00</v>
      </c>
      <c r="L102" s="78" t="str">
        <f t="shared" si="104"/>
        <v>1900-01-00 00:0:00</v>
      </c>
      <c r="M102" s="79">
        <f t="shared" si="105"/>
        <v>0</v>
      </c>
      <c r="N102">
        <f t="shared" si="106"/>
        <v>1</v>
      </c>
      <c r="O102" t="str">
        <f>IFERROR(_xlfn.XLOOKUP(A102,HC!A:A,HC!C:C),"")</f>
        <v>Workforce</v>
      </c>
      <c r="R102" s="78" t="b">
        <f t="shared" ref="R102:AO102" si="141">IFERROR(IF($B102=$D$1,IF(AND($K102&lt;R$1,$L102&lt;R$1),"",IF(AND($K102&gt;S$1,$L102&gt;S$1),"",IF(AND($K102&lt;R$1,$L102&lt;=S$1),$L102-R$1,IF(AND($K102&gt;=R$1,$L102&gt;S$1),S$1-$K102,IF(AND($K102&gt;=R$1,$L102&lt;=S$1),$L102-$K102,IF(AND($K102&lt;R$1,$L102&gt;S$1),S$1-R$1,""))))))),"")</f>
        <v>0</v>
      </c>
      <c r="S102" s="78" t="b">
        <f t="shared" si="141"/>
        <v>0</v>
      </c>
      <c r="T102" s="78" t="b">
        <f t="shared" si="141"/>
        <v>0</v>
      </c>
      <c r="U102" s="78" t="b">
        <f t="shared" si="141"/>
        <v>0</v>
      </c>
      <c r="V102" s="78" t="b">
        <f t="shared" si="141"/>
        <v>0</v>
      </c>
      <c r="W102" s="78" t="b">
        <f t="shared" si="141"/>
        <v>0</v>
      </c>
      <c r="X102" s="78" t="b">
        <f t="shared" si="141"/>
        <v>0</v>
      </c>
      <c r="Y102" s="78" t="b">
        <f t="shared" si="141"/>
        <v>0</v>
      </c>
      <c r="Z102" s="78" t="b">
        <f t="shared" si="141"/>
        <v>0</v>
      </c>
      <c r="AA102" s="78" t="b">
        <f t="shared" si="141"/>
        <v>0</v>
      </c>
      <c r="AB102" s="78" t="b">
        <f t="shared" si="141"/>
        <v>0</v>
      </c>
      <c r="AC102" s="78" t="b">
        <f t="shared" si="141"/>
        <v>0</v>
      </c>
      <c r="AD102" s="78" t="b">
        <f t="shared" si="141"/>
        <v>0</v>
      </c>
      <c r="AE102" s="78" t="b">
        <f t="shared" si="141"/>
        <v>0</v>
      </c>
      <c r="AF102" s="78" t="b">
        <f t="shared" si="141"/>
        <v>0</v>
      </c>
      <c r="AG102" s="78" t="b">
        <f t="shared" si="141"/>
        <v>0</v>
      </c>
      <c r="AH102" s="78" t="b">
        <f t="shared" si="141"/>
        <v>0</v>
      </c>
      <c r="AI102" s="78" t="b">
        <f t="shared" si="141"/>
        <v>0</v>
      </c>
      <c r="AJ102" s="78" t="b">
        <f t="shared" si="141"/>
        <v>0</v>
      </c>
      <c r="AK102" s="78" t="b">
        <f t="shared" si="141"/>
        <v>0</v>
      </c>
      <c r="AL102" s="78" t="b">
        <f t="shared" si="141"/>
        <v>0</v>
      </c>
      <c r="AM102" s="78" t="b">
        <f t="shared" si="141"/>
        <v>0</v>
      </c>
      <c r="AN102" s="78" t="b">
        <f t="shared" si="141"/>
        <v>0</v>
      </c>
      <c r="AO102" s="78" t="b">
        <f t="shared" si="141"/>
        <v>0</v>
      </c>
      <c r="AP102" s="78"/>
    </row>
    <row r="103" spans="4:42" x14ac:dyDescent="0.35">
      <c r="D103" s="96"/>
      <c r="E103" s="96"/>
      <c r="G103" s="77">
        <f t="shared" si="99"/>
        <v>0</v>
      </c>
      <c r="H103" s="78">
        <f t="shared" si="100"/>
        <v>0</v>
      </c>
      <c r="I103" s="77">
        <f t="shared" si="101"/>
        <v>0</v>
      </c>
      <c r="J103" s="78">
        <f t="shared" si="102"/>
        <v>0</v>
      </c>
      <c r="K103" s="78" t="str">
        <f t="shared" si="103"/>
        <v>1900-01-00 00:0:00</v>
      </c>
      <c r="L103" s="78" t="str">
        <f t="shared" si="104"/>
        <v>1900-01-00 00:0:00</v>
      </c>
      <c r="M103" s="79">
        <f t="shared" si="105"/>
        <v>0</v>
      </c>
      <c r="N103">
        <f t="shared" si="106"/>
        <v>1</v>
      </c>
      <c r="O103" t="str">
        <f>IFERROR(_xlfn.XLOOKUP(A103,HC!A:A,HC!C:C),"")</f>
        <v>Workforce</v>
      </c>
      <c r="R103" s="78" t="b">
        <f t="shared" ref="R103:AO103" si="142">IFERROR(IF($B103=$D$1,IF(AND($K103&lt;R$1,$L103&lt;R$1),"",IF(AND($K103&gt;S$1,$L103&gt;S$1),"",IF(AND($K103&lt;R$1,$L103&lt;=S$1),$L103-R$1,IF(AND($K103&gt;=R$1,$L103&gt;S$1),S$1-$K103,IF(AND($K103&gt;=R$1,$L103&lt;=S$1),$L103-$K103,IF(AND($K103&lt;R$1,$L103&gt;S$1),S$1-R$1,""))))))),"")</f>
        <v>0</v>
      </c>
      <c r="S103" s="78" t="b">
        <f t="shared" si="142"/>
        <v>0</v>
      </c>
      <c r="T103" s="78" t="b">
        <f t="shared" si="142"/>
        <v>0</v>
      </c>
      <c r="U103" s="78" t="b">
        <f t="shared" si="142"/>
        <v>0</v>
      </c>
      <c r="V103" s="78" t="b">
        <f t="shared" si="142"/>
        <v>0</v>
      </c>
      <c r="W103" s="78" t="b">
        <f t="shared" si="142"/>
        <v>0</v>
      </c>
      <c r="X103" s="78" t="b">
        <f t="shared" si="142"/>
        <v>0</v>
      </c>
      <c r="Y103" s="78" t="b">
        <f t="shared" si="142"/>
        <v>0</v>
      </c>
      <c r="Z103" s="78" t="b">
        <f t="shared" si="142"/>
        <v>0</v>
      </c>
      <c r="AA103" s="78" t="b">
        <f t="shared" si="142"/>
        <v>0</v>
      </c>
      <c r="AB103" s="78" t="b">
        <f t="shared" si="142"/>
        <v>0</v>
      </c>
      <c r="AC103" s="78" t="b">
        <f t="shared" si="142"/>
        <v>0</v>
      </c>
      <c r="AD103" s="78" t="b">
        <f t="shared" si="142"/>
        <v>0</v>
      </c>
      <c r="AE103" s="78" t="b">
        <f t="shared" si="142"/>
        <v>0</v>
      </c>
      <c r="AF103" s="78" t="b">
        <f t="shared" si="142"/>
        <v>0</v>
      </c>
      <c r="AG103" s="78" t="b">
        <f t="shared" si="142"/>
        <v>0</v>
      </c>
      <c r="AH103" s="78" t="b">
        <f t="shared" si="142"/>
        <v>0</v>
      </c>
      <c r="AI103" s="78" t="b">
        <f t="shared" si="142"/>
        <v>0</v>
      </c>
      <c r="AJ103" s="78" t="b">
        <f t="shared" si="142"/>
        <v>0</v>
      </c>
      <c r="AK103" s="78" t="b">
        <f t="shared" si="142"/>
        <v>0</v>
      </c>
      <c r="AL103" s="78" t="b">
        <f t="shared" si="142"/>
        <v>0</v>
      </c>
      <c r="AM103" s="78" t="b">
        <f t="shared" si="142"/>
        <v>0</v>
      </c>
      <c r="AN103" s="78" t="b">
        <f t="shared" si="142"/>
        <v>0</v>
      </c>
      <c r="AO103" s="78" t="b">
        <f t="shared" si="142"/>
        <v>0</v>
      </c>
      <c r="AP103" s="78"/>
    </row>
    <row r="104" spans="4:42" x14ac:dyDescent="0.35">
      <c r="D104" s="96"/>
      <c r="E104" s="96"/>
      <c r="G104" s="77">
        <f t="shared" si="99"/>
        <v>0</v>
      </c>
      <c r="H104" s="78">
        <f t="shared" si="100"/>
        <v>0</v>
      </c>
      <c r="I104" s="77">
        <f t="shared" si="101"/>
        <v>0</v>
      </c>
      <c r="J104" s="78">
        <f t="shared" si="102"/>
        <v>0</v>
      </c>
      <c r="K104" s="78" t="str">
        <f t="shared" si="103"/>
        <v>1900-01-00 00:0:00</v>
      </c>
      <c r="L104" s="78" t="str">
        <f t="shared" si="104"/>
        <v>1900-01-00 00:0:00</v>
      </c>
      <c r="M104" s="79">
        <f t="shared" si="105"/>
        <v>0</v>
      </c>
      <c r="N104">
        <f t="shared" si="106"/>
        <v>1</v>
      </c>
      <c r="O104" t="str">
        <f>IFERROR(_xlfn.XLOOKUP(A104,HC!A:A,HC!C:C),"")</f>
        <v>Workforce</v>
      </c>
      <c r="R104" s="78" t="b">
        <f t="shared" ref="R104:AO104" si="143">IFERROR(IF($B104=$D$1,IF(AND($K104&lt;R$1,$L104&lt;R$1),"",IF(AND($K104&gt;S$1,$L104&gt;S$1),"",IF(AND($K104&lt;R$1,$L104&lt;=S$1),$L104-R$1,IF(AND($K104&gt;=R$1,$L104&gt;S$1),S$1-$K104,IF(AND($K104&gt;=R$1,$L104&lt;=S$1),$L104-$K104,IF(AND($K104&lt;R$1,$L104&gt;S$1),S$1-R$1,""))))))),"")</f>
        <v>0</v>
      </c>
      <c r="S104" s="78" t="b">
        <f t="shared" si="143"/>
        <v>0</v>
      </c>
      <c r="T104" s="78" t="b">
        <f t="shared" si="143"/>
        <v>0</v>
      </c>
      <c r="U104" s="78" t="b">
        <f t="shared" si="143"/>
        <v>0</v>
      </c>
      <c r="V104" s="78" t="b">
        <f t="shared" si="143"/>
        <v>0</v>
      </c>
      <c r="W104" s="78" t="b">
        <f t="shared" si="143"/>
        <v>0</v>
      </c>
      <c r="X104" s="78" t="b">
        <f t="shared" si="143"/>
        <v>0</v>
      </c>
      <c r="Y104" s="78" t="b">
        <f t="shared" si="143"/>
        <v>0</v>
      </c>
      <c r="Z104" s="78" t="b">
        <f t="shared" si="143"/>
        <v>0</v>
      </c>
      <c r="AA104" s="78" t="b">
        <f t="shared" si="143"/>
        <v>0</v>
      </c>
      <c r="AB104" s="78" t="b">
        <f t="shared" si="143"/>
        <v>0</v>
      </c>
      <c r="AC104" s="78" t="b">
        <f t="shared" si="143"/>
        <v>0</v>
      </c>
      <c r="AD104" s="78" t="b">
        <f t="shared" si="143"/>
        <v>0</v>
      </c>
      <c r="AE104" s="78" t="b">
        <f t="shared" si="143"/>
        <v>0</v>
      </c>
      <c r="AF104" s="78" t="b">
        <f t="shared" si="143"/>
        <v>0</v>
      </c>
      <c r="AG104" s="78" t="b">
        <f t="shared" si="143"/>
        <v>0</v>
      </c>
      <c r="AH104" s="78" t="b">
        <f t="shared" si="143"/>
        <v>0</v>
      </c>
      <c r="AI104" s="78" t="b">
        <f t="shared" si="143"/>
        <v>0</v>
      </c>
      <c r="AJ104" s="78" t="b">
        <f t="shared" si="143"/>
        <v>0</v>
      </c>
      <c r="AK104" s="78" t="b">
        <f t="shared" si="143"/>
        <v>0</v>
      </c>
      <c r="AL104" s="78" t="b">
        <f t="shared" si="143"/>
        <v>0</v>
      </c>
      <c r="AM104" s="78" t="b">
        <f t="shared" si="143"/>
        <v>0</v>
      </c>
      <c r="AN104" s="78" t="b">
        <f t="shared" si="143"/>
        <v>0</v>
      </c>
      <c r="AO104" s="78" t="b">
        <f t="shared" si="143"/>
        <v>0</v>
      </c>
      <c r="AP104" s="78"/>
    </row>
    <row r="105" spans="4:42" x14ac:dyDescent="0.35">
      <c r="D105" s="96"/>
      <c r="E105" s="96"/>
      <c r="G105" s="77">
        <f t="shared" si="99"/>
        <v>0</v>
      </c>
      <c r="H105" s="78">
        <f t="shared" si="100"/>
        <v>0</v>
      </c>
      <c r="I105" s="77">
        <f t="shared" si="101"/>
        <v>0</v>
      </c>
      <c r="J105" s="78">
        <f t="shared" si="102"/>
        <v>0</v>
      </c>
      <c r="K105" s="78" t="str">
        <f t="shared" si="103"/>
        <v>1900-01-00 00:0:00</v>
      </c>
      <c r="L105" s="78" t="str">
        <f t="shared" si="104"/>
        <v>1900-01-00 00:0:00</v>
      </c>
      <c r="M105" s="79">
        <f t="shared" si="105"/>
        <v>0</v>
      </c>
      <c r="N105">
        <f t="shared" si="106"/>
        <v>1</v>
      </c>
      <c r="O105" t="str">
        <f>IFERROR(_xlfn.XLOOKUP(A105,HC!A:A,HC!C:C),"")</f>
        <v>Workforce</v>
      </c>
      <c r="R105" s="78" t="b">
        <f t="shared" ref="R105:AO105" si="144">IFERROR(IF($B105=$D$1,IF(AND($K105&lt;R$1,$L105&lt;R$1),"",IF(AND($K105&gt;S$1,$L105&gt;S$1),"",IF(AND($K105&lt;R$1,$L105&lt;=S$1),$L105-R$1,IF(AND($K105&gt;=R$1,$L105&gt;S$1),S$1-$K105,IF(AND($K105&gt;=R$1,$L105&lt;=S$1),$L105-$K105,IF(AND($K105&lt;R$1,$L105&gt;S$1),S$1-R$1,""))))))),"")</f>
        <v>0</v>
      </c>
      <c r="S105" s="78" t="b">
        <f t="shared" si="144"/>
        <v>0</v>
      </c>
      <c r="T105" s="78" t="b">
        <f t="shared" si="144"/>
        <v>0</v>
      </c>
      <c r="U105" s="78" t="b">
        <f t="shared" si="144"/>
        <v>0</v>
      </c>
      <c r="V105" s="78" t="b">
        <f t="shared" si="144"/>
        <v>0</v>
      </c>
      <c r="W105" s="78" t="b">
        <f t="shared" si="144"/>
        <v>0</v>
      </c>
      <c r="X105" s="78" t="b">
        <f t="shared" si="144"/>
        <v>0</v>
      </c>
      <c r="Y105" s="78" t="b">
        <f t="shared" si="144"/>
        <v>0</v>
      </c>
      <c r="Z105" s="78" t="b">
        <f t="shared" si="144"/>
        <v>0</v>
      </c>
      <c r="AA105" s="78" t="b">
        <f t="shared" si="144"/>
        <v>0</v>
      </c>
      <c r="AB105" s="78" t="b">
        <f t="shared" si="144"/>
        <v>0</v>
      </c>
      <c r="AC105" s="78" t="b">
        <f t="shared" si="144"/>
        <v>0</v>
      </c>
      <c r="AD105" s="78" t="b">
        <f t="shared" si="144"/>
        <v>0</v>
      </c>
      <c r="AE105" s="78" t="b">
        <f t="shared" si="144"/>
        <v>0</v>
      </c>
      <c r="AF105" s="78" t="b">
        <f t="shared" si="144"/>
        <v>0</v>
      </c>
      <c r="AG105" s="78" t="b">
        <f t="shared" si="144"/>
        <v>0</v>
      </c>
      <c r="AH105" s="78" t="b">
        <f t="shared" si="144"/>
        <v>0</v>
      </c>
      <c r="AI105" s="78" t="b">
        <f t="shared" si="144"/>
        <v>0</v>
      </c>
      <c r="AJ105" s="78" t="b">
        <f t="shared" si="144"/>
        <v>0</v>
      </c>
      <c r="AK105" s="78" t="b">
        <f t="shared" si="144"/>
        <v>0</v>
      </c>
      <c r="AL105" s="78" t="b">
        <f t="shared" si="144"/>
        <v>0</v>
      </c>
      <c r="AM105" s="78" t="b">
        <f t="shared" si="144"/>
        <v>0</v>
      </c>
      <c r="AN105" s="78" t="b">
        <f t="shared" si="144"/>
        <v>0</v>
      </c>
      <c r="AO105" s="78" t="b">
        <f t="shared" si="144"/>
        <v>0</v>
      </c>
      <c r="AP105" s="78"/>
    </row>
    <row r="106" spans="4:42" x14ac:dyDescent="0.35">
      <c r="D106" s="96"/>
      <c r="E106" s="96"/>
      <c r="G106" s="77">
        <f t="shared" si="99"/>
        <v>0</v>
      </c>
      <c r="H106" s="78">
        <f t="shared" si="100"/>
        <v>0</v>
      </c>
      <c r="I106" s="77">
        <f t="shared" si="101"/>
        <v>0</v>
      </c>
      <c r="J106" s="78">
        <f t="shared" si="102"/>
        <v>0</v>
      </c>
      <c r="K106" s="78" t="str">
        <f t="shared" si="103"/>
        <v>1900-01-00 00:0:00</v>
      </c>
      <c r="L106" s="78" t="str">
        <f t="shared" si="104"/>
        <v>1900-01-00 00:0:00</v>
      </c>
      <c r="M106" s="79">
        <f t="shared" si="105"/>
        <v>0</v>
      </c>
      <c r="N106">
        <f t="shared" si="106"/>
        <v>1</v>
      </c>
      <c r="O106" t="str">
        <f>IFERROR(_xlfn.XLOOKUP(A106,HC!A:A,HC!C:C),"")</f>
        <v>Workforce</v>
      </c>
      <c r="R106" s="78" t="b">
        <f t="shared" ref="R106:AO106" si="145">IFERROR(IF($B106=$D$1,IF(AND($K106&lt;R$1,$L106&lt;R$1),"",IF(AND($K106&gt;S$1,$L106&gt;S$1),"",IF(AND($K106&lt;R$1,$L106&lt;=S$1),$L106-R$1,IF(AND($K106&gt;=R$1,$L106&gt;S$1),S$1-$K106,IF(AND($K106&gt;=R$1,$L106&lt;=S$1),$L106-$K106,IF(AND($K106&lt;R$1,$L106&gt;S$1),S$1-R$1,""))))))),"")</f>
        <v>0</v>
      </c>
      <c r="S106" s="78" t="b">
        <f t="shared" si="145"/>
        <v>0</v>
      </c>
      <c r="T106" s="78" t="b">
        <f t="shared" si="145"/>
        <v>0</v>
      </c>
      <c r="U106" s="78" t="b">
        <f t="shared" si="145"/>
        <v>0</v>
      </c>
      <c r="V106" s="78" t="b">
        <f t="shared" si="145"/>
        <v>0</v>
      </c>
      <c r="W106" s="78" t="b">
        <f t="shared" si="145"/>
        <v>0</v>
      </c>
      <c r="X106" s="78" t="b">
        <f t="shared" si="145"/>
        <v>0</v>
      </c>
      <c r="Y106" s="78" t="b">
        <f t="shared" si="145"/>
        <v>0</v>
      </c>
      <c r="Z106" s="78" t="b">
        <f t="shared" si="145"/>
        <v>0</v>
      </c>
      <c r="AA106" s="78" t="b">
        <f t="shared" si="145"/>
        <v>0</v>
      </c>
      <c r="AB106" s="78" t="b">
        <f t="shared" si="145"/>
        <v>0</v>
      </c>
      <c r="AC106" s="78" t="b">
        <f t="shared" si="145"/>
        <v>0</v>
      </c>
      <c r="AD106" s="78" t="b">
        <f t="shared" si="145"/>
        <v>0</v>
      </c>
      <c r="AE106" s="78" t="b">
        <f t="shared" si="145"/>
        <v>0</v>
      </c>
      <c r="AF106" s="78" t="b">
        <f t="shared" si="145"/>
        <v>0</v>
      </c>
      <c r="AG106" s="78" t="b">
        <f t="shared" si="145"/>
        <v>0</v>
      </c>
      <c r="AH106" s="78" t="b">
        <f t="shared" si="145"/>
        <v>0</v>
      </c>
      <c r="AI106" s="78" t="b">
        <f t="shared" si="145"/>
        <v>0</v>
      </c>
      <c r="AJ106" s="78" t="b">
        <f t="shared" si="145"/>
        <v>0</v>
      </c>
      <c r="AK106" s="78" t="b">
        <f t="shared" si="145"/>
        <v>0</v>
      </c>
      <c r="AL106" s="78" t="b">
        <f t="shared" si="145"/>
        <v>0</v>
      </c>
      <c r="AM106" s="78" t="b">
        <f t="shared" si="145"/>
        <v>0</v>
      </c>
      <c r="AN106" s="78" t="b">
        <f t="shared" si="145"/>
        <v>0</v>
      </c>
      <c r="AO106" s="78" t="b">
        <f t="shared" si="145"/>
        <v>0</v>
      </c>
      <c r="AP106" s="78"/>
    </row>
    <row r="107" spans="4:42" x14ac:dyDescent="0.35">
      <c r="D107" s="96"/>
      <c r="E107" s="96"/>
      <c r="G107" s="77">
        <f t="shared" si="99"/>
        <v>0</v>
      </c>
      <c r="H107" s="78">
        <f t="shared" si="100"/>
        <v>0</v>
      </c>
      <c r="I107" s="77">
        <f t="shared" si="101"/>
        <v>0</v>
      </c>
      <c r="J107" s="78">
        <f t="shared" si="102"/>
        <v>0</v>
      </c>
      <c r="K107" s="78" t="str">
        <f t="shared" si="103"/>
        <v>1900-01-00 00:0:00</v>
      </c>
      <c r="L107" s="78" t="str">
        <f t="shared" si="104"/>
        <v>1900-01-00 00:0:00</v>
      </c>
      <c r="M107" s="79">
        <f t="shared" si="105"/>
        <v>0</v>
      </c>
      <c r="N107">
        <f t="shared" si="106"/>
        <v>1</v>
      </c>
      <c r="O107" t="str">
        <f>IFERROR(_xlfn.XLOOKUP(A107,HC!A:A,HC!C:C),"")</f>
        <v>Workforce</v>
      </c>
      <c r="R107" s="78" t="b">
        <f t="shared" ref="R107:AO107" si="146">IFERROR(IF($B107=$D$1,IF(AND($K107&lt;R$1,$L107&lt;R$1),"",IF(AND($K107&gt;S$1,$L107&gt;S$1),"",IF(AND($K107&lt;R$1,$L107&lt;=S$1),$L107-R$1,IF(AND($K107&gt;=R$1,$L107&gt;S$1),S$1-$K107,IF(AND($K107&gt;=R$1,$L107&lt;=S$1),$L107-$K107,IF(AND($K107&lt;R$1,$L107&gt;S$1),S$1-R$1,""))))))),"")</f>
        <v>0</v>
      </c>
      <c r="S107" s="78" t="b">
        <f t="shared" si="146"/>
        <v>0</v>
      </c>
      <c r="T107" s="78" t="b">
        <f t="shared" si="146"/>
        <v>0</v>
      </c>
      <c r="U107" s="78" t="b">
        <f t="shared" si="146"/>
        <v>0</v>
      </c>
      <c r="V107" s="78" t="b">
        <f t="shared" si="146"/>
        <v>0</v>
      </c>
      <c r="W107" s="78" t="b">
        <f t="shared" si="146"/>
        <v>0</v>
      </c>
      <c r="X107" s="78" t="b">
        <f t="shared" si="146"/>
        <v>0</v>
      </c>
      <c r="Y107" s="78" t="b">
        <f t="shared" si="146"/>
        <v>0</v>
      </c>
      <c r="Z107" s="78" t="b">
        <f t="shared" si="146"/>
        <v>0</v>
      </c>
      <c r="AA107" s="78" t="b">
        <f t="shared" si="146"/>
        <v>0</v>
      </c>
      <c r="AB107" s="78" t="b">
        <f t="shared" si="146"/>
        <v>0</v>
      </c>
      <c r="AC107" s="78" t="b">
        <f t="shared" si="146"/>
        <v>0</v>
      </c>
      <c r="AD107" s="78" t="b">
        <f t="shared" si="146"/>
        <v>0</v>
      </c>
      <c r="AE107" s="78" t="b">
        <f t="shared" si="146"/>
        <v>0</v>
      </c>
      <c r="AF107" s="78" t="b">
        <f t="shared" si="146"/>
        <v>0</v>
      </c>
      <c r="AG107" s="78" t="b">
        <f t="shared" si="146"/>
        <v>0</v>
      </c>
      <c r="AH107" s="78" t="b">
        <f t="shared" si="146"/>
        <v>0</v>
      </c>
      <c r="AI107" s="78" t="b">
        <f t="shared" si="146"/>
        <v>0</v>
      </c>
      <c r="AJ107" s="78" t="b">
        <f t="shared" si="146"/>
        <v>0</v>
      </c>
      <c r="AK107" s="78" t="b">
        <f t="shared" si="146"/>
        <v>0</v>
      </c>
      <c r="AL107" s="78" t="b">
        <f t="shared" si="146"/>
        <v>0</v>
      </c>
      <c r="AM107" s="78" t="b">
        <f t="shared" si="146"/>
        <v>0</v>
      </c>
      <c r="AN107" s="78" t="b">
        <f t="shared" si="146"/>
        <v>0</v>
      </c>
      <c r="AO107" s="78" t="b">
        <f t="shared" si="146"/>
        <v>0</v>
      </c>
      <c r="AP107" s="78"/>
    </row>
    <row r="108" spans="4:42" x14ac:dyDescent="0.35">
      <c r="D108" s="96"/>
      <c r="E108" s="96"/>
      <c r="G108" s="77">
        <f t="shared" si="99"/>
        <v>0</v>
      </c>
      <c r="H108" s="78">
        <f t="shared" si="100"/>
        <v>0</v>
      </c>
      <c r="I108" s="77">
        <f t="shared" si="101"/>
        <v>0</v>
      </c>
      <c r="J108" s="78">
        <f t="shared" si="102"/>
        <v>0</v>
      </c>
      <c r="K108" s="78" t="str">
        <f t="shared" si="103"/>
        <v>1900-01-00 00:0:00</v>
      </c>
      <c r="L108" s="78" t="str">
        <f t="shared" si="104"/>
        <v>1900-01-00 00:0:00</v>
      </c>
      <c r="M108" s="79">
        <f t="shared" si="105"/>
        <v>0</v>
      </c>
      <c r="N108">
        <f t="shared" si="106"/>
        <v>1</v>
      </c>
      <c r="O108" t="str">
        <f>IFERROR(_xlfn.XLOOKUP(A108,HC!A:A,HC!C:C),"")</f>
        <v>Workforce</v>
      </c>
      <c r="R108" s="78" t="b">
        <f t="shared" ref="R108:AO108" si="147">IFERROR(IF($B108=$D$1,IF(AND($K108&lt;R$1,$L108&lt;R$1),"",IF(AND($K108&gt;S$1,$L108&gt;S$1),"",IF(AND($K108&lt;R$1,$L108&lt;=S$1),$L108-R$1,IF(AND($K108&gt;=R$1,$L108&gt;S$1),S$1-$K108,IF(AND($K108&gt;=R$1,$L108&lt;=S$1),$L108-$K108,IF(AND($K108&lt;R$1,$L108&gt;S$1),S$1-R$1,""))))))),"")</f>
        <v>0</v>
      </c>
      <c r="S108" s="78" t="b">
        <f t="shared" si="147"/>
        <v>0</v>
      </c>
      <c r="T108" s="78" t="b">
        <f t="shared" si="147"/>
        <v>0</v>
      </c>
      <c r="U108" s="78" t="b">
        <f t="shared" si="147"/>
        <v>0</v>
      </c>
      <c r="V108" s="78" t="b">
        <f t="shared" si="147"/>
        <v>0</v>
      </c>
      <c r="W108" s="78" t="b">
        <f t="shared" si="147"/>
        <v>0</v>
      </c>
      <c r="X108" s="78" t="b">
        <f t="shared" si="147"/>
        <v>0</v>
      </c>
      <c r="Y108" s="78" t="b">
        <f t="shared" si="147"/>
        <v>0</v>
      </c>
      <c r="Z108" s="78" t="b">
        <f t="shared" si="147"/>
        <v>0</v>
      </c>
      <c r="AA108" s="78" t="b">
        <f t="shared" si="147"/>
        <v>0</v>
      </c>
      <c r="AB108" s="78" t="b">
        <f t="shared" si="147"/>
        <v>0</v>
      </c>
      <c r="AC108" s="78" t="b">
        <f t="shared" si="147"/>
        <v>0</v>
      </c>
      <c r="AD108" s="78" t="b">
        <f t="shared" si="147"/>
        <v>0</v>
      </c>
      <c r="AE108" s="78" t="b">
        <f t="shared" si="147"/>
        <v>0</v>
      </c>
      <c r="AF108" s="78" t="b">
        <f t="shared" si="147"/>
        <v>0</v>
      </c>
      <c r="AG108" s="78" t="b">
        <f t="shared" si="147"/>
        <v>0</v>
      </c>
      <c r="AH108" s="78" t="b">
        <f t="shared" si="147"/>
        <v>0</v>
      </c>
      <c r="AI108" s="78" t="b">
        <f t="shared" si="147"/>
        <v>0</v>
      </c>
      <c r="AJ108" s="78" t="b">
        <f t="shared" si="147"/>
        <v>0</v>
      </c>
      <c r="AK108" s="78" t="b">
        <f t="shared" si="147"/>
        <v>0</v>
      </c>
      <c r="AL108" s="78" t="b">
        <f t="shared" si="147"/>
        <v>0</v>
      </c>
      <c r="AM108" s="78" t="b">
        <f t="shared" si="147"/>
        <v>0</v>
      </c>
      <c r="AN108" s="78" t="b">
        <f t="shared" si="147"/>
        <v>0</v>
      </c>
      <c r="AO108" s="78" t="b">
        <f t="shared" si="147"/>
        <v>0</v>
      </c>
      <c r="AP108" s="78"/>
    </row>
    <row r="109" spans="4:42" x14ac:dyDescent="0.35">
      <c r="D109" s="96"/>
      <c r="E109" s="96"/>
      <c r="G109" s="77">
        <f t="shared" si="99"/>
        <v>0</v>
      </c>
      <c r="H109" s="78">
        <f t="shared" si="100"/>
        <v>0</v>
      </c>
      <c r="I109" s="77">
        <f t="shared" si="101"/>
        <v>0</v>
      </c>
      <c r="J109" s="78">
        <f t="shared" si="102"/>
        <v>0</v>
      </c>
      <c r="K109" s="78" t="str">
        <f t="shared" si="103"/>
        <v>1900-01-00 00:0:00</v>
      </c>
      <c r="L109" s="78" t="str">
        <f t="shared" si="104"/>
        <v>1900-01-00 00:0:00</v>
      </c>
      <c r="M109" s="79">
        <f t="shared" si="105"/>
        <v>0</v>
      </c>
      <c r="N109">
        <f t="shared" si="106"/>
        <v>1</v>
      </c>
      <c r="O109" t="str">
        <f>IFERROR(_xlfn.XLOOKUP(A109,HC!A:A,HC!C:C),"")</f>
        <v>Workforce</v>
      </c>
      <c r="R109" s="78" t="b">
        <f t="shared" ref="R109:AO109" si="148">IFERROR(IF($B109=$D$1,IF(AND($K109&lt;R$1,$L109&lt;R$1),"",IF(AND($K109&gt;S$1,$L109&gt;S$1),"",IF(AND($K109&lt;R$1,$L109&lt;=S$1),$L109-R$1,IF(AND($K109&gt;=R$1,$L109&gt;S$1),S$1-$K109,IF(AND($K109&gt;=R$1,$L109&lt;=S$1),$L109-$K109,IF(AND($K109&lt;R$1,$L109&gt;S$1),S$1-R$1,""))))))),"")</f>
        <v>0</v>
      </c>
      <c r="S109" s="78" t="b">
        <f t="shared" si="148"/>
        <v>0</v>
      </c>
      <c r="T109" s="78" t="b">
        <f t="shared" si="148"/>
        <v>0</v>
      </c>
      <c r="U109" s="78" t="b">
        <f t="shared" si="148"/>
        <v>0</v>
      </c>
      <c r="V109" s="78" t="b">
        <f t="shared" si="148"/>
        <v>0</v>
      </c>
      <c r="W109" s="78" t="b">
        <f t="shared" si="148"/>
        <v>0</v>
      </c>
      <c r="X109" s="78" t="b">
        <f t="shared" si="148"/>
        <v>0</v>
      </c>
      <c r="Y109" s="78" t="b">
        <f t="shared" si="148"/>
        <v>0</v>
      </c>
      <c r="Z109" s="78" t="b">
        <f t="shared" si="148"/>
        <v>0</v>
      </c>
      <c r="AA109" s="78" t="b">
        <f t="shared" si="148"/>
        <v>0</v>
      </c>
      <c r="AB109" s="78" t="b">
        <f t="shared" si="148"/>
        <v>0</v>
      </c>
      <c r="AC109" s="78" t="b">
        <f t="shared" si="148"/>
        <v>0</v>
      </c>
      <c r="AD109" s="78" t="b">
        <f t="shared" si="148"/>
        <v>0</v>
      </c>
      <c r="AE109" s="78" t="b">
        <f t="shared" si="148"/>
        <v>0</v>
      </c>
      <c r="AF109" s="78" t="b">
        <f t="shared" si="148"/>
        <v>0</v>
      </c>
      <c r="AG109" s="78" t="b">
        <f t="shared" si="148"/>
        <v>0</v>
      </c>
      <c r="AH109" s="78" t="b">
        <f t="shared" si="148"/>
        <v>0</v>
      </c>
      <c r="AI109" s="78" t="b">
        <f t="shared" si="148"/>
        <v>0</v>
      </c>
      <c r="AJ109" s="78" t="b">
        <f t="shared" si="148"/>
        <v>0</v>
      </c>
      <c r="AK109" s="78" t="b">
        <f t="shared" si="148"/>
        <v>0</v>
      </c>
      <c r="AL109" s="78" t="b">
        <f t="shared" si="148"/>
        <v>0</v>
      </c>
      <c r="AM109" s="78" t="b">
        <f t="shared" si="148"/>
        <v>0</v>
      </c>
      <c r="AN109" s="78" t="b">
        <f t="shared" si="148"/>
        <v>0</v>
      </c>
      <c r="AO109" s="78" t="b">
        <f t="shared" si="148"/>
        <v>0</v>
      </c>
      <c r="AP109" s="78"/>
    </row>
    <row r="110" spans="4:42" x14ac:dyDescent="0.35">
      <c r="D110" s="96"/>
      <c r="E110" s="96"/>
      <c r="G110" s="77">
        <f t="shared" si="99"/>
        <v>0</v>
      </c>
      <c r="H110" s="78">
        <f t="shared" si="100"/>
        <v>0</v>
      </c>
      <c r="I110" s="77">
        <f t="shared" si="101"/>
        <v>0</v>
      </c>
      <c r="J110" s="78">
        <f t="shared" si="102"/>
        <v>0</v>
      </c>
      <c r="K110" s="78" t="str">
        <f t="shared" si="103"/>
        <v>1900-01-00 00:0:00</v>
      </c>
      <c r="L110" s="78" t="str">
        <f t="shared" si="104"/>
        <v>1900-01-00 00:0:00</v>
      </c>
      <c r="M110" s="79">
        <f t="shared" si="105"/>
        <v>0</v>
      </c>
      <c r="N110">
        <f t="shared" si="106"/>
        <v>1</v>
      </c>
      <c r="O110" t="str">
        <f>IFERROR(_xlfn.XLOOKUP(A110,HC!A:A,HC!C:C),"")</f>
        <v>Workforce</v>
      </c>
      <c r="R110" s="78" t="b">
        <f t="shared" ref="R110:AO110" si="149">IFERROR(IF($B110=$D$1,IF(AND($K110&lt;R$1,$L110&lt;R$1),"",IF(AND($K110&gt;S$1,$L110&gt;S$1),"",IF(AND($K110&lt;R$1,$L110&lt;=S$1),$L110-R$1,IF(AND($K110&gt;=R$1,$L110&gt;S$1),S$1-$K110,IF(AND($K110&gt;=R$1,$L110&lt;=S$1),$L110-$K110,IF(AND($K110&lt;R$1,$L110&gt;S$1),S$1-R$1,""))))))),"")</f>
        <v>0</v>
      </c>
      <c r="S110" s="78" t="b">
        <f t="shared" si="149"/>
        <v>0</v>
      </c>
      <c r="T110" s="78" t="b">
        <f t="shared" si="149"/>
        <v>0</v>
      </c>
      <c r="U110" s="78" t="b">
        <f t="shared" si="149"/>
        <v>0</v>
      </c>
      <c r="V110" s="78" t="b">
        <f t="shared" si="149"/>
        <v>0</v>
      </c>
      <c r="W110" s="78" t="b">
        <f t="shared" si="149"/>
        <v>0</v>
      </c>
      <c r="X110" s="78" t="b">
        <f t="shared" si="149"/>
        <v>0</v>
      </c>
      <c r="Y110" s="78" t="b">
        <f t="shared" si="149"/>
        <v>0</v>
      </c>
      <c r="Z110" s="78" t="b">
        <f t="shared" si="149"/>
        <v>0</v>
      </c>
      <c r="AA110" s="78" t="b">
        <f t="shared" si="149"/>
        <v>0</v>
      </c>
      <c r="AB110" s="78" t="b">
        <f t="shared" si="149"/>
        <v>0</v>
      </c>
      <c r="AC110" s="78" t="b">
        <f t="shared" si="149"/>
        <v>0</v>
      </c>
      <c r="AD110" s="78" t="b">
        <f t="shared" si="149"/>
        <v>0</v>
      </c>
      <c r="AE110" s="78" t="b">
        <f t="shared" si="149"/>
        <v>0</v>
      </c>
      <c r="AF110" s="78" t="b">
        <f t="shared" si="149"/>
        <v>0</v>
      </c>
      <c r="AG110" s="78" t="b">
        <f t="shared" si="149"/>
        <v>0</v>
      </c>
      <c r="AH110" s="78" t="b">
        <f t="shared" si="149"/>
        <v>0</v>
      </c>
      <c r="AI110" s="78" t="b">
        <f t="shared" si="149"/>
        <v>0</v>
      </c>
      <c r="AJ110" s="78" t="b">
        <f t="shared" si="149"/>
        <v>0</v>
      </c>
      <c r="AK110" s="78" t="b">
        <f t="shared" si="149"/>
        <v>0</v>
      </c>
      <c r="AL110" s="78" t="b">
        <f t="shared" si="149"/>
        <v>0</v>
      </c>
      <c r="AM110" s="78" t="b">
        <f t="shared" si="149"/>
        <v>0</v>
      </c>
      <c r="AN110" s="78" t="b">
        <f t="shared" si="149"/>
        <v>0</v>
      </c>
      <c r="AO110" s="78" t="b">
        <f t="shared" si="149"/>
        <v>0</v>
      </c>
      <c r="AP110" s="78"/>
    </row>
    <row r="111" spans="4:42" x14ac:dyDescent="0.35">
      <c r="D111" s="96"/>
      <c r="E111" s="96"/>
      <c r="G111" s="77">
        <f t="shared" si="99"/>
        <v>0</v>
      </c>
      <c r="H111" s="78">
        <f t="shared" si="100"/>
        <v>0</v>
      </c>
      <c r="I111" s="77">
        <f t="shared" si="101"/>
        <v>0</v>
      </c>
      <c r="J111" s="78">
        <f t="shared" si="102"/>
        <v>0</v>
      </c>
      <c r="K111" s="78" t="str">
        <f t="shared" si="103"/>
        <v>1900-01-00 00:0:00</v>
      </c>
      <c r="L111" s="78" t="str">
        <f t="shared" si="104"/>
        <v>1900-01-00 00:0:00</v>
      </c>
      <c r="M111" s="79">
        <f t="shared" si="105"/>
        <v>0</v>
      </c>
      <c r="N111">
        <f t="shared" si="106"/>
        <v>1</v>
      </c>
      <c r="O111" t="str">
        <f>IFERROR(_xlfn.XLOOKUP(A111,HC!A:A,HC!C:C),"")</f>
        <v>Workforce</v>
      </c>
      <c r="R111" s="78" t="b">
        <f t="shared" ref="R111:AO111" si="150">IFERROR(IF($B111=$D$1,IF(AND($K111&lt;R$1,$L111&lt;R$1),"",IF(AND($K111&gt;S$1,$L111&gt;S$1),"",IF(AND($K111&lt;R$1,$L111&lt;=S$1),$L111-R$1,IF(AND($K111&gt;=R$1,$L111&gt;S$1),S$1-$K111,IF(AND($K111&gt;=R$1,$L111&lt;=S$1),$L111-$K111,IF(AND($K111&lt;R$1,$L111&gt;S$1),S$1-R$1,""))))))),"")</f>
        <v>0</v>
      </c>
      <c r="S111" s="78" t="b">
        <f t="shared" si="150"/>
        <v>0</v>
      </c>
      <c r="T111" s="78" t="b">
        <f t="shared" si="150"/>
        <v>0</v>
      </c>
      <c r="U111" s="78" t="b">
        <f t="shared" si="150"/>
        <v>0</v>
      </c>
      <c r="V111" s="78" t="b">
        <f t="shared" si="150"/>
        <v>0</v>
      </c>
      <c r="W111" s="78" t="b">
        <f t="shared" si="150"/>
        <v>0</v>
      </c>
      <c r="X111" s="78" t="b">
        <f t="shared" si="150"/>
        <v>0</v>
      </c>
      <c r="Y111" s="78" t="b">
        <f t="shared" si="150"/>
        <v>0</v>
      </c>
      <c r="Z111" s="78" t="b">
        <f t="shared" si="150"/>
        <v>0</v>
      </c>
      <c r="AA111" s="78" t="b">
        <f t="shared" si="150"/>
        <v>0</v>
      </c>
      <c r="AB111" s="78" t="b">
        <f t="shared" si="150"/>
        <v>0</v>
      </c>
      <c r="AC111" s="78" t="b">
        <f t="shared" si="150"/>
        <v>0</v>
      </c>
      <c r="AD111" s="78" t="b">
        <f t="shared" si="150"/>
        <v>0</v>
      </c>
      <c r="AE111" s="78" t="b">
        <f t="shared" si="150"/>
        <v>0</v>
      </c>
      <c r="AF111" s="78" t="b">
        <f t="shared" si="150"/>
        <v>0</v>
      </c>
      <c r="AG111" s="78" t="b">
        <f t="shared" si="150"/>
        <v>0</v>
      </c>
      <c r="AH111" s="78" t="b">
        <f t="shared" si="150"/>
        <v>0</v>
      </c>
      <c r="AI111" s="78" t="b">
        <f t="shared" si="150"/>
        <v>0</v>
      </c>
      <c r="AJ111" s="78" t="b">
        <f t="shared" si="150"/>
        <v>0</v>
      </c>
      <c r="AK111" s="78" t="b">
        <f t="shared" si="150"/>
        <v>0</v>
      </c>
      <c r="AL111" s="78" t="b">
        <f t="shared" si="150"/>
        <v>0</v>
      </c>
      <c r="AM111" s="78" t="b">
        <f t="shared" si="150"/>
        <v>0</v>
      </c>
      <c r="AN111" s="78" t="b">
        <f t="shared" si="150"/>
        <v>0</v>
      </c>
      <c r="AO111" s="78" t="b">
        <f t="shared" si="150"/>
        <v>0</v>
      </c>
      <c r="AP111" s="78"/>
    </row>
    <row r="112" spans="4:42" x14ac:dyDescent="0.35">
      <c r="D112" s="96"/>
      <c r="E112" s="96"/>
      <c r="G112" s="77">
        <f t="shared" si="99"/>
        <v>0</v>
      </c>
      <c r="H112" s="78">
        <f t="shared" si="100"/>
        <v>0</v>
      </c>
      <c r="I112" s="77">
        <f t="shared" si="101"/>
        <v>0</v>
      </c>
      <c r="J112" s="78">
        <f t="shared" si="102"/>
        <v>0</v>
      </c>
      <c r="K112" s="78" t="str">
        <f t="shared" si="103"/>
        <v>1900-01-00 00:0:00</v>
      </c>
      <c r="L112" s="78" t="str">
        <f t="shared" si="104"/>
        <v>1900-01-00 00:0:00</v>
      </c>
      <c r="M112" s="79">
        <f t="shared" si="105"/>
        <v>0</v>
      </c>
      <c r="N112">
        <f t="shared" si="106"/>
        <v>1</v>
      </c>
      <c r="O112" t="str">
        <f>IFERROR(_xlfn.XLOOKUP(A112,HC!A:A,HC!C:C),"")</f>
        <v>Workforce</v>
      </c>
      <c r="R112" s="78" t="b">
        <f t="shared" ref="R112:AO112" si="151">IFERROR(IF($B112=$D$1,IF(AND($K112&lt;R$1,$L112&lt;R$1),"",IF(AND($K112&gt;S$1,$L112&gt;S$1),"",IF(AND($K112&lt;R$1,$L112&lt;=S$1),$L112-R$1,IF(AND($K112&gt;=R$1,$L112&gt;S$1),S$1-$K112,IF(AND($K112&gt;=R$1,$L112&lt;=S$1),$L112-$K112,IF(AND($K112&lt;R$1,$L112&gt;S$1),S$1-R$1,""))))))),"")</f>
        <v>0</v>
      </c>
      <c r="S112" s="78" t="b">
        <f t="shared" si="151"/>
        <v>0</v>
      </c>
      <c r="T112" s="78" t="b">
        <f t="shared" si="151"/>
        <v>0</v>
      </c>
      <c r="U112" s="78" t="b">
        <f t="shared" si="151"/>
        <v>0</v>
      </c>
      <c r="V112" s="78" t="b">
        <f t="shared" si="151"/>
        <v>0</v>
      </c>
      <c r="W112" s="78" t="b">
        <f t="shared" si="151"/>
        <v>0</v>
      </c>
      <c r="X112" s="78" t="b">
        <f t="shared" si="151"/>
        <v>0</v>
      </c>
      <c r="Y112" s="78" t="b">
        <f t="shared" si="151"/>
        <v>0</v>
      </c>
      <c r="Z112" s="78" t="b">
        <f t="shared" si="151"/>
        <v>0</v>
      </c>
      <c r="AA112" s="78" t="b">
        <f t="shared" si="151"/>
        <v>0</v>
      </c>
      <c r="AB112" s="78" t="b">
        <f t="shared" si="151"/>
        <v>0</v>
      </c>
      <c r="AC112" s="78" t="b">
        <f t="shared" si="151"/>
        <v>0</v>
      </c>
      <c r="AD112" s="78" t="b">
        <f t="shared" si="151"/>
        <v>0</v>
      </c>
      <c r="AE112" s="78" t="b">
        <f t="shared" si="151"/>
        <v>0</v>
      </c>
      <c r="AF112" s="78" t="b">
        <f t="shared" si="151"/>
        <v>0</v>
      </c>
      <c r="AG112" s="78" t="b">
        <f t="shared" si="151"/>
        <v>0</v>
      </c>
      <c r="AH112" s="78" t="b">
        <f t="shared" si="151"/>
        <v>0</v>
      </c>
      <c r="AI112" s="78" t="b">
        <f t="shared" si="151"/>
        <v>0</v>
      </c>
      <c r="AJ112" s="78" t="b">
        <f t="shared" si="151"/>
        <v>0</v>
      </c>
      <c r="AK112" s="78" t="b">
        <f t="shared" si="151"/>
        <v>0</v>
      </c>
      <c r="AL112" s="78" t="b">
        <f t="shared" si="151"/>
        <v>0</v>
      </c>
      <c r="AM112" s="78" t="b">
        <f t="shared" si="151"/>
        <v>0</v>
      </c>
      <c r="AN112" s="78" t="b">
        <f t="shared" si="151"/>
        <v>0</v>
      </c>
      <c r="AO112" s="78" t="b">
        <f t="shared" si="151"/>
        <v>0</v>
      </c>
      <c r="AP112" s="78"/>
    </row>
    <row r="113" spans="4:42" x14ac:dyDescent="0.35">
      <c r="D113" s="96"/>
      <c r="E113" s="96"/>
      <c r="G113" s="77">
        <f t="shared" si="99"/>
        <v>0</v>
      </c>
      <c r="H113" s="78">
        <f t="shared" si="100"/>
        <v>0</v>
      </c>
      <c r="I113" s="77">
        <f t="shared" si="101"/>
        <v>0</v>
      </c>
      <c r="J113" s="78">
        <f t="shared" si="102"/>
        <v>0</v>
      </c>
      <c r="K113" s="78" t="str">
        <f t="shared" si="103"/>
        <v>1900-01-00 00:0:00</v>
      </c>
      <c r="L113" s="78" t="str">
        <f t="shared" si="104"/>
        <v>1900-01-00 00:0:00</v>
      </c>
      <c r="M113" s="79">
        <f t="shared" si="105"/>
        <v>0</v>
      </c>
      <c r="N113">
        <f t="shared" si="106"/>
        <v>1</v>
      </c>
      <c r="O113" t="str">
        <f>IFERROR(_xlfn.XLOOKUP(A113,HC!A:A,HC!C:C),"")</f>
        <v>Workforce</v>
      </c>
      <c r="R113" s="78" t="b">
        <f t="shared" ref="R113:AO113" si="152">IFERROR(IF($B113=$D$1,IF(AND($K113&lt;R$1,$L113&lt;R$1),"",IF(AND($K113&gt;S$1,$L113&gt;S$1),"",IF(AND($K113&lt;R$1,$L113&lt;=S$1),$L113-R$1,IF(AND($K113&gt;=R$1,$L113&gt;S$1),S$1-$K113,IF(AND($K113&gt;=R$1,$L113&lt;=S$1),$L113-$K113,IF(AND($K113&lt;R$1,$L113&gt;S$1),S$1-R$1,""))))))),"")</f>
        <v>0</v>
      </c>
      <c r="S113" s="78" t="b">
        <f t="shared" si="152"/>
        <v>0</v>
      </c>
      <c r="T113" s="78" t="b">
        <f t="shared" si="152"/>
        <v>0</v>
      </c>
      <c r="U113" s="78" t="b">
        <f t="shared" si="152"/>
        <v>0</v>
      </c>
      <c r="V113" s="78" t="b">
        <f t="shared" si="152"/>
        <v>0</v>
      </c>
      <c r="W113" s="78" t="b">
        <f t="shared" si="152"/>
        <v>0</v>
      </c>
      <c r="X113" s="78" t="b">
        <f t="shared" si="152"/>
        <v>0</v>
      </c>
      <c r="Y113" s="78" t="b">
        <f t="shared" si="152"/>
        <v>0</v>
      </c>
      <c r="Z113" s="78" t="b">
        <f t="shared" si="152"/>
        <v>0</v>
      </c>
      <c r="AA113" s="78" t="b">
        <f t="shared" si="152"/>
        <v>0</v>
      </c>
      <c r="AB113" s="78" t="b">
        <f t="shared" si="152"/>
        <v>0</v>
      </c>
      <c r="AC113" s="78" t="b">
        <f t="shared" si="152"/>
        <v>0</v>
      </c>
      <c r="AD113" s="78" t="b">
        <f t="shared" si="152"/>
        <v>0</v>
      </c>
      <c r="AE113" s="78" t="b">
        <f t="shared" si="152"/>
        <v>0</v>
      </c>
      <c r="AF113" s="78" t="b">
        <f t="shared" si="152"/>
        <v>0</v>
      </c>
      <c r="AG113" s="78" t="b">
        <f t="shared" si="152"/>
        <v>0</v>
      </c>
      <c r="AH113" s="78" t="b">
        <f t="shared" si="152"/>
        <v>0</v>
      </c>
      <c r="AI113" s="78" t="b">
        <f t="shared" si="152"/>
        <v>0</v>
      </c>
      <c r="AJ113" s="78" t="b">
        <f t="shared" si="152"/>
        <v>0</v>
      </c>
      <c r="AK113" s="78" t="b">
        <f t="shared" si="152"/>
        <v>0</v>
      </c>
      <c r="AL113" s="78" t="b">
        <f t="shared" si="152"/>
        <v>0</v>
      </c>
      <c r="AM113" s="78" t="b">
        <f t="shared" si="152"/>
        <v>0</v>
      </c>
      <c r="AN113" s="78" t="b">
        <f t="shared" si="152"/>
        <v>0</v>
      </c>
      <c r="AO113" s="78" t="b">
        <f t="shared" si="152"/>
        <v>0</v>
      </c>
      <c r="AP113" s="78"/>
    </row>
    <row r="114" spans="4:42" x14ac:dyDescent="0.35">
      <c r="D114" s="96"/>
      <c r="E114" s="96"/>
      <c r="G114" s="77">
        <f t="shared" si="99"/>
        <v>0</v>
      </c>
      <c r="H114" s="78">
        <f t="shared" si="100"/>
        <v>0</v>
      </c>
      <c r="I114" s="77">
        <f t="shared" si="101"/>
        <v>0</v>
      </c>
      <c r="J114" s="78">
        <f t="shared" si="102"/>
        <v>0</v>
      </c>
      <c r="K114" s="78" t="str">
        <f t="shared" si="103"/>
        <v>1900-01-00 00:0:00</v>
      </c>
      <c r="L114" s="78" t="str">
        <f t="shared" si="104"/>
        <v>1900-01-00 00:0:00</v>
      </c>
      <c r="M114" s="79">
        <f t="shared" si="105"/>
        <v>0</v>
      </c>
      <c r="N114">
        <f t="shared" si="106"/>
        <v>1</v>
      </c>
      <c r="O114" t="str">
        <f>IFERROR(_xlfn.XLOOKUP(A114,HC!A:A,HC!C:C),"")</f>
        <v>Workforce</v>
      </c>
      <c r="R114" s="78" t="b">
        <f t="shared" ref="R114:AO114" si="153">IFERROR(IF($B114=$D$1,IF(AND($K114&lt;R$1,$L114&lt;R$1),"",IF(AND($K114&gt;S$1,$L114&gt;S$1),"",IF(AND($K114&lt;R$1,$L114&lt;=S$1),$L114-R$1,IF(AND($K114&gt;=R$1,$L114&gt;S$1),S$1-$K114,IF(AND($K114&gt;=R$1,$L114&lt;=S$1),$L114-$K114,IF(AND($K114&lt;R$1,$L114&gt;S$1),S$1-R$1,""))))))),"")</f>
        <v>0</v>
      </c>
      <c r="S114" s="78" t="b">
        <f t="shared" si="153"/>
        <v>0</v>
      </c>
      <c r="T114" s="78" t="b">
        <f t="shared" si="153"/>
        <v>0</v>
      </c>
      <c r="U114" s="78" t="b">
        <f t="shared" si="153"/>
        <v>0</v>
      </c>
      <c r="V114" s="78" t="b">
        <f t="shared" si="153"/>
        <v>0</v>
      </c>
      <c r="W114" s="78" t="b">
        <f t="shared" si="153"/>
        <v>0</v>
      </c>
      <c r="X114" s="78" t="b">
        <f t="shared" si="153"/>
        <v>0</v>
      </c>
      <c r="Y114" s="78" t="b">
        <f t="shared" si="153"/>
        <v>0</v>
      </c>
      <c r="Z114" s="78" t="b">
        <f t="shared" si="153"/>
        <v>0</v>
      </c>
      <c r="AA114" s="78" t="b">
        <f t="shared" si="153"/>
        <v>0</v>
      </c>
      <c r="AB114" s="78" t="b">
        <f t="shared" si="153"/>
        <v>0</v>
      </c>
      <c r="AC114" s="78" t="b">
        <f t="shared" si="153"/>
        <v>0</v>
      </c>
      <c r="AD114" s="78" t="b">
        <f t="shared" si="153"/>
        <v>0</v>
      </c>
      <c r="AE114" s="78" t="b">
        <f t="shared" si="153"/>
        <v>0</v>
      </c>
      <c r="AF114" s="78" t="b">
        <f t="shared" si="153"/>
        <v>0</v>
      </c>
      <c r="AG114" s="78" t="b">
        <f t="shared" si="153"/>
        <v>0</v>
      </c>
      <c r="AH114" s="78" t="b">
        <f t="shared" si="153"/>
        <v>0</v>
      </c>
      <c r="AI114" s="78" t="b">
        <f t="shared" si="153"/>
        <v>0</v>
      </c>
      <c r="AJ114" s="78" t="b">
        <f t="shared" si="153"/>
        <v>0</v>
      </c>
      <c r="AK114" s="78" t="b">
        <f t="shared" si="153"/>
        <v>0</v>
      </c>
      <c r="AL114" s="78" t="b">
        <f t="shared" si="153"/>
        <v>0</v>
      </c>
      <c r="AM114" s="78" t="b">
        <f t="shared" si="153"/>
        <v>0</v>
      </c>
      <c r="AN114" s="78" t="b">
        <f t="shared" si="153"/>
        <v>0</v>
      </c>
      <c r="AO114" s="78" t="b">
        <f t="shared" si="153"/>
        <v>0</v>
      </c>
      <c r="AP114" s="78"/>
    </row>
    <row r="115" spans="4:42" x14ac:dyDescent="0.35">
      <c r="D115" s="96"/>
      <c r="E115" s="96"/>
      <c r="G115" s="77">
        <f t="shared" si="99"/>
        <v>0</v>
      </c>
      <c r="H115" s="78">
        <f t="shared" si="100"/>
        <v>0</v>
      </c>
      <c r="I115" s="77">
        <f t="shared" si="101"/>
        <v>0</v>
      </c>
      <c r="J115" s="78">
        <f t="shared" si="102"/>
        <v>0</v>
      </c>
      <c r="K115" s="78" t="str">
        <f t="shared" si="103"/>
        <v>1900-01-00 00:0:00</v>
      </c>
      <c r="L115" s="78" t="str">
        <f t="shared" si="104"/>
        <v>1900-01-00 00:0:00</v>
      </c>
      <c r="M115" s="79">
        <f t="shared" si="105"/>
        <v>0</v>
      </c>
      <c r="N115">
        <f t="shared" si="106"/>
        <v>1</v>
      </c>
      <c r="O115" t="str">
        <f>IFERROR(_xlfn.XLOOKUP(A115,HC!A:A,HC!C:C),"")</f>
        <v>Workforce</v>
      </c>
      <c r="R115" s="78" t="b">
        <f t="shared" ref="R115:AO115" si="154">IFERROR(IF($B115=$D$1,IF(AND($K115&lt;R$1,$L115&lt;R$1),"",IF(AND($K115&gt;S$1,$L115&gt;S$1),"",IF(AND($K115&lt;R$1,$L115&lt;=S$1),$L115-R$1,IF(AND($K115&gt;=R$1,$L115&gt;S$1),S$1-$K115,IF(AND($K115&gt;=R$1,$L115&lt;=S$1),$L115-$K115,IF(AND($K115&lt;R$1,$L115&gt;S$1),S$1-R$1,""))))))),"")</f>
        <v>0</v>
      </c>
      <c r="S115" s="78" t="b">
        <f t="shared" si="154"/>
        <v>0</v>
      </c>
      <c r="T115" s="78" t="b">
        <f t="shared" si="154"/>
        <v>0</v>
      </c>
      <c r="U115" s="78" t="b">
        <f t="shared" si="154"/>
        <v>0</v>
      </c>
      <c r="V115" s="78" t="b">
        <f t="shared" si="154"/>
        <v>0</v>
      </c>
      <c r="W115" s="78" t="b">
        <f t="shared" si="154"/>
        <v>0</v>
      </c>
      <c r="X115" s="78" t="b">
        <f t="shared" si="154"/>
        <v>0</v>
      </c>
      <c r="Y115" s="78" t="b">
        <f t="shared" si="154"/>
        <v>0</v>
      </c>
      <c r="Z115" s="78" t="b">
        <f t="shared" si="154"/>
        <v>0</v>
      </c>
      <c r="AA115" s="78" t="b">
        <f t="shared" si="154"/>
        <v>0</v>
      </c>
      <c r="AB115" s="78" t="b">
        <f t="shared" si="154"/>
        <v>0</v>
      </c>
      <c r="AC115" s="78" t="b">
        <f t="shared" si="154"/>
        <v>0</v>
      </c>
      <c r="AD115" s="78" t="b">
        <f t="shared" si="154"/>
        <v>0</v>
      </c>
      <c r="AE115" s="78" t="b">
        <f t="shared" si="154"/>
        <v>0</v>
      </c>
      <c r="AF115" s="78" t="b">
        <f t="shared" si="154"/>
        <v>0</v>
      </c>
      <c r="AG115" s="78" t="b">
        <f t="shared" si="154"/>
        <v>0</v>
      </c>
      <c r="AH115" s="78" t="b">
        <f t="shared" si="154"/>
        <v>0</v>
      </c>
      <c r="AI115" s="78" t="b">
        <f t="shared" si="154"/>
        <v>0</v>
      </c>
      <c r="AJ115" s="78" t="b">
        <f t="shared" si="154"/>
        <v>0</v>
      </c>
      <c r="AK115" s="78" t="b">
        <f t="shared" si="154"/>
        <v>0</v>
      </c>
      <c r="AL115" s="78" t="b">
        <f t="shared" si="154"/>
        <v>0</v>
      </c>
      <c r="AM115" s="78" t="b">
        <f t="shared" si="154"/>
        <v>0</v>
      </c>
      <c r="AN115" s="78" t="b">
        <f t="shared" si="154"/>
        <v>0</v>
      </c>
      <c r="AO115" s="78" t="b">
        <f t="shared" si="154"/>
        <v>0</v>
      </c>
      <c r="AP115" s="78"/>
    </row>
    <row r="116" spans="4:42" x14ac:dyDescent="0.35">
      <c r="D116" s="96"/>
      <c r="E116" s="96"/>
      <c r="G116" s="77">
        <f t="shared" si="99"/>
        <v>0</v>
      </c>
      <c r="H116" s="78">
        <f t="shared" si="100"/>
        <v>0</v>
      </c>
      <c r="I116" s="77">
        <f t="shared" si="101"/>
        <v>0</v>
      </c>
      <c r="J116" s="78">
        <f t="shared" si="102"/>
        <v>0</v>
      </c>
      <c r="K116" s="78" t="str">
        <f t="shared" si="103"/>
        <v>1900-01-00 00:0:00</v>
      </c>
      <c r="L116" s="78" t="str">
        <f t="shared" si="104"/>
        <v>1900-01-00 00:0:00</v>
      </c>
      <c r="M116" s="79">
        <f t="shared" si="105"/>
        <v>0</v>
      </c>
      <c r="N116">
        <f t="shared" si="106"/>
        <v>1</v>
      </c>
      <c r="O116" t="str">
        <f>IFERROR(_xlfn.XLOOKUP(A116,HC!A:A,HC!C:C),"")</f>
        <v>Workforce</v>
      </c>
      <c r="R116" s="78" t="b">
        <f t="shared" ref="R116:AO116" si="155">IFERROR(IF($B116=$D$1,IF(AND($K116&lt;R$1,$L116&lt;R$1),"",IF(AND($K116&gt;S$1,$L116&gt;S$1),"",IF(AND($K116&lt;R$1,$L116&lt;=S$1),$L116-R$1,IF(AND($K116&gt;=R$1,$L116&gt;S$1),S$1-$K116,IF(AND($K116&gt;=R$1,$L116&lt;=S$1),$L116-$K116,IF(AND($K116&lt;R$1,$L116&gt;S$1),S$1-R$1,""))))))),"")</f>
        <v>0</v>
      </c>
      <c r="S116" s="78" t="b">
        <f t="shared" si="155"/>
        <v>0</v>
      </c>
      <c r="T116" s="78" t="b">
        <f t="shared" si="155"/>
        <v>0</v>
      </c>
      <c r="U116" s="78" t="b">
        <f t="shared" si="155"/>
        <v>0</v>
      </c>
      <c r="V116" s="78" t="b">
        <f t="shared" si="155"/>
        <v>0</v>
      </c>
      <c r="W116" s="78" t="b">
        <f t="shared" si="155"/>
        <v>0</v>
      </c>
      <c r="X116" s="78" t="b">
        <f t="shared" si="155"/>
        <v>0</v>
      </c>
      <c r="Y116" s="78" t="b">
        <f t="shared" si="155"/>
        <v>0</v>
      </c>
      <c r="Z116" s="78" t="b">
        <f t="shared" si="155"/>
        <v>0</v>
      </c>
      <c r="AA116" s="78" t="b">
        <f t="shared" si="155"/>
        <v>0</v>
      </c>
      <c r="AB116" s="78" t="b">
        <f t="shared" si="155"/>
        <v>0</v>
      </c>
      <c r="AC116" s="78" t="b">
        <f t="shared" si="155"/>
        <v>0</v>
      </c>
      <c r="AD116" s="78" t="b">
        <f t="shared" si="155"/>
        <v>0</v>
      </c>
      <c r="AE116" s="78" t="b">
        <f t="shared" si="155"/>
        <v>0</v>
      </c>
      <c r="AF116" s="78" t="b">
        <f t="shared" si="155"/>
        <v>0</v>
      </c>
      <c r="AG116" s="78" t="b">
        <f t="shared" si="155"/>
        <v>0</v>
      </c>
      <c r="AH116" s="78" t="b">
        <f t="shared" si="155"/>
        <v>0</v>
      </c>
      <c r="AI116" s="78" t="b">
        <f t="shared" si="155"/>
        <v>0</v>
      </c>
      <c r="AJ116" s="78" t="b">
        <f t="shared" si="155"/>
        <v>0</v>
      </c>
      <c r="AK116" s="78" t="b">
        <f t="shared" si="155"/>
        <v>0</v>
      </c>
      <c r="AL116" s="78" t="b">
        <f t="shared" si="155"/>
        <v>0</v>
      </c>
      <c r="AM116" s="78" t="b">
        <f t="shared" si="155"/>
        <v>0</v>
      </c>
      <c r="AN116" s="78" t="b">
        <f t="shared" si="155"/>
        <v>0</v>
      </c>
      <c r="AO116" s="78" t="b">
        <f t="shared" si="155"/>
        <v>0</v>
      </c>
      <c r="AP116" s="78"/>
    </row>
    <row r="117" spans="4:42" x14ac:dyDescent="0.35">
      <c r="D117" s="96"/>
      <c r="E117" s="96"/>
      <c r="G117" s="77">
        <f t="shared" si="99"/>
        <v>0</v>
      </c>
      <c r="H117" s="78">
        <f t="shared" si="100"/>
        <v>0</v>
      </c>
      <c r="I117" s="77">
        <f t="shared" si="101"/>
        <v>0</v>
      </c>
      <c r="J117" s="78">
        <f t="shared" si="102"/>
        <v>0</v>
      </c>
      <c r="K117" s="78" t="str">
        <f t="shared" si="103"/>
        <v>1900-01-00 00:0:00</v>
      </c>
      <c r="L117" s="78" t="str">
        <f t="shared" si="104"/>
        <v>1900-01-00 00:0:00</v>
      </c>
      <c r="M117" s="79">
        <f t="shared" si="105"/>
        <v>0</v>
      </c>
      <c r="N117">
        <f t="shared" si="106"/>
        <v>1</v>
      </c>
      <c r="O117" t="str">
        <f>IFERROR(_xlfn.XLOOKUP(A117,HC!A:A,HC!C:C),"")</f>
        <v>Workforce</v>
      </c>
      <c r="R117" s="78" t="b">
        <f t="shared" ref="R117:AO117" si="156">IFERROR(IF($B117=$D$1,IF(AND($K117&lt;R$1,$L117&lt;R$1),"",IF(AND($K117&gt;S$1,$L117&gt;S$1),"",IF(AND($K117&lt;R$1,$L117&lt;=S$1),$L117-R$1,IF(AND($K117&gt;=R$1,$L117&gt;S$1),S$1-$K117,IF(AND($K117&gt;=R$1,$L117&lt;=S$1),$L117-$K117,IF(AND($K117&lt;R$1,$L117&gt;S$1),S$1-R$1,""))))))),"")</f>
        <v>0</v>
      </c>
      <c r="S117" s="78" t="b">
        <f t="shared" si="156"/>
        <v>0</v>
      </c>
      <c r="T117" s="78" t="b">
        <f t="shared" si="156"/>
        <v>0</v>
      </c>
      <c r="U117" s="78" t="b">
        <f t="shared" si="156"/>
        <v>0</v>
      </c>
      <c r="V117" s="78" t="b">
        <f t="shared" si="156"/>
        <v>0</v>
      </c>
      <c r="W117" s="78" t="b">
        <f t="shared" si="156"/>
        <v>0</v>
      </c>
      <c r="X117" s="78" t="b">
        <f t="shared" si="156"/>
        <v>0</v>
      </c>
      <c r="Y117" s="78" t="b">
        <f t="shared" si="156"/>
        <v>0</v>
      </c>
      <c r="Z117" s="78" t="b">
        <f t="shared" si="156"/>
        <v>0</v>
      </c>
      <c r="AA117" s="78" t="b">
        <f t="shared" si="156"/>
        <v>0</v>
      </c>
      <c r="AB117" s="78" t="b">
        <f t="shared" si="156"/>
        <v>0</v>
      </c>
      <c r="AC117" s="78" t="b">
        <f t="shared" si="156"/>
        <v>0</v>
      </c>
      <c r="AD117" s="78" t="b">
        <f t="shared" si="156"/>
        <v>0</v>
      </c>
      <c r="AE117" s="78" t="b">
        <f t="shared" si="156"/>
        <v>0</v>
      </c>
      <c r="AF117" s="78" t="b">
        <f t="shared" si="156"/>
        <v>0</v>
      </c>
      <c r="AG117" s="78" t="b">
        <f t="shared" si="156"/>
        <v>0</v>
      </c>
      <c r="AH117" s="78" t="b">
        <f t="shared" si="156"/>
        <v>0</v>
      </c>
      <c r="AI117" s="78" t="b">
        <f t="shared" si="156"/>
        <v>0</v>
      </c>
      <c r="AJ117" s="78" t="b">
        <f t="shared" si="156"/>
        <v>0</v>
      </c>
      <c r="AK117" s="78" t="b">
        <f t="shared" si="156"/>
        <v>0</v>
      </c>
      <c r="AL117" s="78" t="b">
        <f t="shared" si="156"/>
        <v>0</v>
      </c>
      <c r="AM117" s="78" t="b">
        <f t="shared" si="156"/>
        <v>0</v>
      </c>
      <c r="AN117" s="78" t="b">
        <f t="shared" si="156"/>
        <v>0</v>
      </c>
      <c r="AO117" s="78" t="b">
        <f t="shared" si="156"/>
        <v>0</v>
      </c>
      <c r="AP117" s="78"/>
    </row>
    <row r="118" spans="4:42" x14ac:dyDescent="0.35">
      <c r="D118" s="96"/>
      <c r="E118" s="96"/>
      <c r="G118" s="77">
        <f t="shared" si="99"/>
        <v>0</v>
      </c>
      <c r="H118" s="78">
        <f t="shared" si="100"/>
        <v>0</v>
      </c>
      <c r="I118" s="77">
        <f t="shared" si="101"/>
        <v>0</v>
      </c>
      <c r="J118" s="78">
        <f t="shared" si="102"/>
        <v>0</v>
      </c>
      <c r="K118" s="78" t="str">
        <f t="shared" si="103"/>
        <v>1900-01-00 00:0:00</v>
      </c>
      <c r="L118" s="78" t="str">
        <f t="shared" si="104"/>
        <v>1900-01-00 00:0:00</v>
      </c>
      <c r="M118" s="79">
        <f t="shared" si="105"/>
        <v>0</v>
      </c>
      <c r="N118">
        <f t="shared" si="106"/>
        <v>1</v>
      </c>
      <c r="O118" t="str">
        <f>IFERROR(_xlfn.XLOOKUP(A118,HC!A:A,HC!C:C),"")</f>
        <v>Workforce</v>
      </c>
      <c r="R118" s="78" t="b">
        <f t="shared" ref="R118:AO118" si="157">IFERROR(IF($B118=$D$1,IF(AND($K118&lt;R$1,$L118&lt;R$1),"",IF(AND($K118&gt;S$1,$L118&gt;S$1),"",IF(AND($K118&lt;R$1,$L118&lt;=S$1),$L118-R$1,IF(AND($K118&gt;=R$1,$L118&gt;S$1),S$1-$K118,IF(AND($K118&gt;=R$1,$L118&lt;=S$1),$L118-$K118,IF(AND($K118&lt;R$1,$L118&gt;S$1),S$1-R$1,""))))))),"")</f>
        <v>0</v>
      </c>
      <c r="S118" s="78" t="b">
        <f t="shared" si="157"/>
        <v>0</v>
      </c>
      <c r="T118" s="78" t="b">
        <f t="shared" si="157"/>
        <v>0</v>
      </c>
      <c r="U118" s="78" t="b">
        <f t="shared" si="157"/>
        <v>0</v>
      </c>
      <c r="V118" s="78" t="b">
        <f t="shared" si="157"/>
        <v>0</v>
      </c>
      <c r="W118" s="78" t="b">
        <f t="shared" si="157"/>
        <v>0</v>
      </c>
      <c r="X118" s="78" t="b">
        <f t="shared" si="157"/>
        <v>0</v>
      </c>
      <c r="Y118" s="78" t="b">
        <f t="shared" si="157"/>
        <v>0</v>
      </c>
      <c r="Z118" s="78" t="b">
        <f t="shared" si="157"/>
        <v>0</v>
      </c>
      <c r="AA118" s="78" t="b">
        <f t="shared" si="157"/>
        <v>0</v>
      </c>
      <c r="AB118" s="78" t="b">
        <f t="shared" si="157"/>
        <v>0</v>
      </c>
      <c r="AC118" s="78" t="b">
        <f t="shared" si="157"/>
        <v>0</v>
      </c>
      <c r="AD118" s="78" t="b">
        <f t="shared" si="157"/>
        <v>0</v>
      </c>
      <c r="AE118" s="78" t="b">
        <f t="shared" si="157"/>
        <v>0</v>
      </c>
      <c r="AF118" s="78" t="b">
        <f t="shared" si="157"/>
        <v>0</v>
      </c>
      <c r="AG118" s="78" t="b">
        <f t="shared" si="157"/>
        <v>0</v>
      </c>
      <c r="AH118" s="78" t="b">
        <f t="shared" si="157"/>
        <v>0</v>
      </c>
      <c r="AI118" s="78" t="b">
        <f t="shared" si="157"/>
        <v>0</v>
      </c>
      <c r="AJ118" s="78" t="b">
        <f t="shared" si="157"/>
        <v>0</v>
      </c>
      <c r="AK118" s="78" t="b">
        <f t="shared" si="157"/>
        <v>0</v>
      </c>
      <c r="AL118" s="78" t="b">
        <f t="shared" si="157"/>
        <v>0</v>
      </c>
      <c r="AM118" s="78" t="b">
        <f t="shared" si="157"/>
        <v>0</v>
      </c>
      <c r="AN118" s="78" t="b">
        <f t="shared" si="157"/>
        <v>0</v>
      </c>
      <c r="AO118" s="78" t="b">
        <f t="shared" si="157"/>
        <v>0</v>
      </c>
      <c r="AP118" s="78"/>
    </row>
    <row r="119" spans="4:42" x14ac:dyDescent="0.35">
      <c r="D119" s="96"/>
      <c r="E119" s="96"/>
      <c r="G119" s="77">
        <f t="shared" si="99"/>
        <v>0</v>
      </c>
      <c r="H119" s="78">
        <f t="shared" si="100"/>
        <v>0</v>
      </c>
      <c r="I119" s="77">
        <f t="shared" si="101"/>
        <v>0</v>
      </c>
      <c r="J119" s="78">
        <f t="shared" si="102"/>
        <v>0</v>
      </c>
      <c r="K119" s="78" t="str">
        <f t="shared" si="103"/>
        <v>1900-01-00 00:0:00</v>
      </c>
      <c r="L119" s="78" t="str">
        <f t="shared" si="104"/>
        <v>1900-01-00 00:0:00</v>
      </c>
      <c r="M119" s="79">
        <f t="shared" si="105"/>
        <v>0</v>
      </c>
      <c r="N119">
        <f t="shared" si="106"/>
        <v>1</v>
      </c>
      <c r="O119" t="str">
        <f>IFERROR(_xlfn.XLOOKUP(A119,HC!A:A,HC!C:C),"")</f>
        <v>Workforce</v>
      </c>
      <c r="R119" s="78" t="b">
        <f t="shared" ref="R119:AO119" si="158">IFERROR(IF($B119=$D$1,IF(AND($K119&lt;R$1,$L119&lt;R$1),"",IF(AND($K119&gt;S$1,$L119&gt;S$1),"",IF(AND($K119&lt;R$1,$L119&lt;=S$1),$L119-R$1,IF(AND($K119&gt;=R$1,$L119&gt;S$1),S$1-$K119,IF(AND($K119&gt;=R$1,$L119&lt;=S$1),$L119-$K119,IF(AND($K119&lt;R$1,$L119&gt;S$1),S$1-R$1,""))))))),"")</f>
        <v>0</v>
      </c>
      <c r="S119" s="78" t="b">
        <f t="shared" si="158"/>
        <v>0</v>
      </c>
      <c r="T119" s="78" t="b">
        <f t="shared" si="158"/>
        <v>0</v>
      </c>
      <c r="U119" s="78" t="b">
        <f t="shared" si="158"/>
        <v>0</v>
      </c>
      <c r="V119" s="78" t="b">
        <f t="shared" si="158"/>
        <v>0</v>
      </c>
      <c r="W119" s="78" t="b">
        <f t="shared" si="158"/>
        <v>0</v>
      </c>
      <c r="X119" s="78" t="b">
        <f t="shared" si="158"/>
        <v>0</v>
      </c>
      <c r="Y119" s="78" t="b">
        <f t="shared" si="158"/>
        <v>0</v>
      </c>
      <c r="Z119" s="78" t="b">
        <f t="shared" si="158"/>
        <v>0</v>
      </c>
      <c r="AA119" s="78" t="b">
        <f t="shared" si="158"/>
        <v>0</v>
      </c>
      <c r="AB119" s="78" t="b">
        <f t="shared" si="158"/>
        <v>0</v>
      </c>
      <c r="AC119" s="78" t="b">
        <f t="shared" si="158"/>
        <v>0</v>
      </c>
      <c r="AD119" s="78" t="b">
        <f t="shared" si="158"/>
        <v>0</v>
      </c>
      <c r="AE119" s="78" t="b">
        <f t="shared" si="158"/>
        <v>0</v>
      </c>
      <c r="AF119" s="78" t="b">
        <f t="shared" si="158"/>
        <v>0</v>
      </c>
      <c r="AG119" s="78" t="b">
        <f t="shared" si="158"/>
        <v>0</v>
      </c>
      <c r="AH119" s="78" t="b">
        <f t="shared" si="158"/>
        <v>0</v>
      </c>
      <c r="AI119" s="78" t="b">
        <f t="shared" si="158"/>
        <v>0</v>
      </c>
      <c r="AJ119" s="78" t="b">
        <f t="shared" si="158"/>
        <v>0</v>
      </c>
      <c r="AK119" s="78" t="b">
        <f t="shared" si="158"/>
        <v>0</v>
      </c>
      <c r="AL119" s="78" t="b">
        <f t="shared" si="158"/>
        <v>0</v>
      </c>
      <c r="AM119" s="78" t="b">
        <f t="shared" si="158"/>
        <v>0</v>
      </c>
      <c r="AN119" s="78" t="b">
        <f t="shared" si="158"/>
        <v>0</v>
      </c>
      <c r="AO119" s="78" t="b">
        <f t="shared" si="158"/>
        <v>0</v>
      </c>
      <c r="AP119" s="78"/>
    </row>
    <row r="120" spans="4:42" x14ac:dyDescent="0.35">
      <c r="D120" s="96"/>
      <c r="E120" s="96"/>
      <c r="G120" s="77">
        <f t="shared" si="99"/>
        <v>0</v>
      </c>
      <c r="H120" s="78">
        <f t="shared" si="100"/>
        <v>0</v>
      </c>
      <c r="I120" s="77">
        <f t="shared" si="101"/>
        <v>0</v>
      </c>
      <c r="J120" s="78">
        <f t="shared" si="102"/>
        <v>0</v>
      </c>
      <c r="K120" s="78" t="str">
        <f t="shared" si="103"/>
        <v>1900-01-00 00:0:00</v>
      </c>
      <c r="L120" s="78" t="str">
        <f t="shared" si="104"/>
        <v>1900-01-00 00:0:00</v>
      </c>
      <c r="M120" s="79">
        <f t="shared" si="105"/>
        <v>0</v>
      </c>
      <c r="N120">
        <f t="shared" si="106"/>
        <v>1</v>
      </c>
      <c r="O120" t="str">
        <f>IFERROR(_xlfn.XLOOKUP(A120,HC!A:A,HC!C:C),"")</f>
        <v>Workforce</v>
      </c>
      <c r="R120" s="78" t="b">
        <f t="shared" ref="R120:AO120" si="159">IFERROR(IF($B120=$D$1,IF(AND($K120&lt;R$1,$L120&lt;R$1),"",IF(AND($K120&gt;S$1,$L120&gt;S$1),"",IF(AND($K120&lt;R$1,$L120&lt;=S$1),$L120-R$1,IF(AND($K120&gt;=R$1,$L120&gt;S$1),S$1-$K120,IF(AND($K120&gt;=R$1,$L120&lt;=S$1),$L120-$K120,IF(AND($K120&lt;R$1,$L120&gt;S$1),S$1-R$1,""))))))),"")</f>
        <v>0</v>
      </c>
      <c r="S120" s="78" t="b">
        <f t="shared" si="159"/>
        <v>0</v>
      </c>
      <c r="T120" s="78" t="b">
        <f t="shared" si="159"/>
        <v>0</v>
      </c>
      <c r="U120" s="78" t="b">
        <f t="shared" si="159"/>
        <v>0</v>
      </c>
      <c r="V120" s="78" t="b">
        <f t="shared" si="159"/>
        <v>0</v>
      </c>
      <c r="W120" s="78" t="b">
        <f t="shared" si="159"/>
        <v>0</v>
      </c>
      <c r="X120" s="78" t="b">
        <f t="shared" si="159"/>
        <v>0</v>
      </c>
      <c r="Y120" s="78" t="b">
        <f t="shared" si="159"/>
        <v>0</v>
      </c>
      <c r="Z120" s="78" t="b">
        <f t="shared" si="159"/>
        <v>0</v>
      </c>
      <c r="AA120" s="78" t="b">
        <f t="shared" si="159"/>
        <v>0</v>
      </c>
      <c r="AB120" s="78" t="b">
        <f t="shared" si="159"/>
        <v>0</v>
      </c>
      <c r="AC120" s="78" t="b">
        <f t="shared" si="159"/>
        <v>0</v>
      </c>
      <c r="AD120" s="78" t="b">
        <f t="shared" si="159"/>
        <v>0</v>
      </c>
      <c r="AE120" s="78" t="b">
        <f t="shared" si="159"/>
        <v>0</v>
      </c>
      <c r="AF120" s="78" t="b">
        <f t="shared" si="159"/>
        <v>0</v>
      </c>
      <c r="AG120" s="78" t="b">
        <f t="shared" si="159"/>
        <v>0</v>
      </c>
      <c r="AH120" s="78" t="b">
        <f t="shared" si="159"/>
        <v>0</v>
      </c>
      <c r="AI120" s="78" t="b">
        <f t="shared" si="159"/>
        <v>0</v>
      </c>
      <c r="AJ120" s="78" t="b">
        <f t="shared" si="159"/>
        <v>0</v>
      </c>
      <c r="AK120" s="78" t="b">
        <f t="shared" si="159"/>
        <v>0</v>
      </c>
      <c r="AL120" s="78" t="b">
        <f t="shared" si="159"/>
        <v>0</v>
      </c>
      <c r="AM120" s="78" t="b">
        <f t="shared" si="159"/>
        <v>0</v>
      </c>
      <c r="AN120" s="78" t="b">
        <f t="shared" si="159"/>
        <v>0</v>
      </c>
      <c r="AO120" s="78" t="b">
        <f t="shared" si="159"/>
        <v>0</v>
      </c>
      <c r="AP120" s="78"/>
    </row>
    <row r="121" spans="4:42" x14ac:dyDescent="0.35">
      <c r="D121" s="96"/>
      <c r="E121" s="96"/>
      <c r="G121" s="77">
        <f t="shared" si="99"/>
        <v>0</v>
      </c>
      <c r="H121" s="78">
        <f t="shared" si="100"/>
        <v>0</v>
      </c>
      <c r="I121" s="77">
        <f t="shared" si="101"/>
        <v>0</v>
      </c>
      <c r="J121" s="78">
        <f t="shared" si="102"/>
        <v>0</v>
      </c>
      <c r="K121" s="78" t="str">
        <f t="shared" si="103"/>
        <v>1900-01-00 00:0:00</v>
      </c>
      <c r="L121" s="78" t="str">
        <f t="shared" si="104"/>
        <v>1900-01-00 00:0:00</v>
      </c>
      <c r="M121" s="79">
        <f t="shared" si="105"/>
        <v>0</v>
      </c>
      <c r="N121">
        <f t="shared" si="106"/>
        <v>1</v>
      </c>
      <c r="O121" t="str">
        <f>IFERROR(_xlfn.XLOOKUP(A121,HC!A:A,HC!C:C),"")</f>
        <v>Workforce</v>
      </c>
      <c r="R121" s="78" t="b">
        <f t="shared" ref="R121:AO121" si="160">IFERROR(IF($B121=$D$1,IF(AND($K121&lt;R$1,$L121&lt;R$1),"",IF(AND($K121&gt;S$1,$L121&gt;S$1),"",IF(AND($K121&lt;R$1,$L121&lt;=S$1),$L121-R$1,IF(AND($K121&gt;=R$1,$L121&gt;S$1),S$1-$K121,IF(AND($K121&gt;=R$1,$L121&lt;=S$1),$L121-$K121,IF(AND($K121&lt;R$1,$L121&gt;S$1),S$1-R$1,""))))))),"")</f>
        <v>0</v>
      </c>
      <c r="S121" s="78" t="b">
        <f t="shared" si="160"/>
        <v>0</v>
      </c>
      <c r="T121" s="78" t="b">
        <f t="shared" si="160"/>
        <v>0</v>
      </c>
      <c r="U121" s="78" t="b">
        <f t="shared" si="160"/>
        <v>0</v>
      </c>
      <c r="V121" s="78" t="b">
        <f t="shared" si="160"/>
        <v>0</v>
      </c>
      <c r="W121" s="78" t="b">
        <f t="shared" si="160"/>
        <v>0</v>
      </c>
      <c r="X121" s="78" t="b">
        <f t="shared" si="160"/>
        <v>0</v>
      </c>
      <c r="Y121" s="78" t="b">
        <f t="shared" si="160"/>
        <v>0</v>
      </c>
      <c r="Z121" s="78" t="b">
        <f t="shared" si="160"/>
        <v>0</v>
      </c>
      <c r="AA121" s="78" t="b">
        <f t="shared" si="160"/>
        <v>0</v>
      </c>
      <c r="AB121" s="78" t="b">
        <f t="shared" si="160"/>
        <v>0</v>
      </c>
      <c r="AC121" s="78" t="b">
        <f t="shared" si="160"/>
        <v>0</v>
      </c>
      <c r="AD121" s="78" t="b">
        <f t="shared" si="160"/>
        <v>0</v>
      </c>
      <c r="AE121" s="78" t="b">
        <f t="shared" si="160"/>
        <v>0</v>
      </c>
      <c r="AF121" s="78" t="b">
        <f t="shared" si="160"/>
        <v>0</v>
      </c>
      <c r="AG121" s="78" t="b">
        <f t="shared" si="160"/>
        <v>0</v>
      </c>
      <c r="AH121" s="78" t="b">
        <f t="shared" si="160"/>
        <v>0</v>
      </c>
      <c r="AI121" s="78" t="b">
        <f t="shared" si="160"/>
        <v>0</v>
      </c>
      <c r="AJ121" s="78" t="b">
        <f t="shared" si="160"/>
        <v>0</v>
      </c>
      <c r="AK121" s="78" t="b">
        <f t="shared" si="160"/>
        <v>0</v>
      </c>
      <c r="AL121" s="78" t="b">
        <f t="shared" si="160"/>
        <v>0</v>
      </c>
      <c r="AM121" s="78" t="b">
        <f t="shared" si="160"/>
        <v>0</v>
      </c>
      <c r="AN121" s="78" t="b">
        <f t="shared" si="160"/>
        <v>0</v>
      </c>
      <c r="AO121" s="78" t="b">
        <f t="shared" si="160"/>
        <v>0</v>
      </c>
      <c r="AP121" s="78"/>
    </row>
    <row r="122" spans="4:42" x14ac:dyDescent="0.35">
      <c r="D122" s="96"/>
      <c r="E122" s="96"/>
      <c r="G122" s="77">
        <f t="shared" si="99"/>
        <v>0</v>
      </c>
      <c r="H122" s="78">
        <f t="shared" si="100"/>
        <v>0</v>
      </c>
      <c r="I122" s="77">
        <f t="shared" si="101"/>
        <v>0</v>
      </c>
      <c r="J122" s="78">
        <f t="shared" si="102"/>
        <v>0</v>
      </c>
      <c r="K122" s="78" t="str">
        <f t="shared" si="103"/>
        <v>1900-01-00 00:0:00</v>
      </c>
      <c r="L122" s="78" t="str">
        <f t="shared" si="104"/>
        <v>1900-01-00 00:0:00</v>
      </c>
      <c r="M122" s="79">
        <f t="shared" si="105"/>
        <v>0</v>
      </c>
      <c r="N122">
        <f t="shared" si="106"/>
        <v>1</v>
      </c>
      <c r="O122" t="str">
        <f>IFERROR(_xlfn.XLOOKUP(A122,HC!A:A,HC!C:C),"")</f>
        <v>Workforce</v>
      </c>
      <c r="R122" s="78" t="b">
        <f t="shared" ref="R122:AO122" si="161">IFERROR(IF($B122=$D$1,IF(AND($K122&lt;R$1,$L122&lt;R$1),"",IF(AND($K122&gt;S$1,$L122&gt;S$1),"",IF(AND($K122&lt;R$1,$L122&lt;=S$1),$L122-R$1,IF(AND($K122&gt;=R$1,$L122&gt;S$1),S$1-$K122,IF(AND($K122&gt;=R$1,$L122&lt;=S$1),$L122-$K122,IF(AND($K122&lt;R$1,$L122&gt;S$1),S$1-R$1,""))))))),"")</f>
        <v>0</v>
      </c>
      <c r="S122" s="78" t="b">
        <f t="shared" si="161"/>
        <v>0</v>
      </c>
      <c r="T122" s="78" t="b">
        <f t="shared" si="161"/>
        <v>0</v>
      </c>
      <c r="U122" s="78" t="b">
        <f t="shared" si="161"/>
        <v>0</v>
      </c>
      <c r="V122" s="78" t="b">
        <f t="shared" si="161"/>
        <v>0</v>
      </c>
      <c r="W122" s="78" t="b">
        <f t="shared" si="161"/>
        <v>0</v>
      </c>
      <c r="X122" s="78" t="b">
        <f t="shared" si="161"/>
        <v>0</v>
      </c>
      <c r="Y122" s="78" t="b">
        <f t="shared" si="161"/>
        <v>0</v>
      </c>
      <c r="Z122" s="78" t="b">
        <f t="shared" si="161"/>
        <v>0</v>
      </c>
      <c r="AA122" s="78" t="b">
        <f t="shared" si="161"/>
        <v>0</v>
      </c>
      <c r="AB122" s="78" t="b">
        <f t="shared" si="161"/>
        <v>0</v>
      </c>
      <c r="AC122" s="78" t="b">
        <f t="shared" si="161"/>
        <v>0</v>
      </c>
      <c r="AD122" s="78" t="b">
        <f t="shared" si="161"/>
        <v>0</v>
      </c>
      <c r="AE122" s="78" t="b">
        <f t="shared" si="161"/>
        <v>0</v>
      </c>
      <c r="AF122" s="78" t="b">
        <f t="shared" si="161"/>
        <v>0</v>
      </c>
      <c r="AG122" s="78" t="b">
        <f t="shared" si="161"/>
        <v>0</v>
      </c>
      <c r="AH122" s="78" t="b">
        <f t="shared" si="161"/>
        <v>0</v>
      </c>
      <c r="AI122" s="78" t="b">
        <f t="shared" si="161"/>
        <v>0</v>
      </c>
      <c r="AJ122" s="78" t="b">
        <f t="shared" si="161"/>
        <v>0</v>
      </c>
      <c r="AK122" s="78" t="b">
        <f t="shared" si="161"/>
        <v>0</v>
      </c>
      <c r="AL122" s="78" t="b">
        <f t="shared" si="161"/>
        <v>0</v>
      </c>
      <c r="AM122" s="78" t="b">
        <f t="shared" si="161"/>
        <v>0</v>
      </c>
      <c r="AN122" s="78" t="b">
        <f t="shared" si="161"/>
        <v>0</v>
      </c>
      <c r="AO122" s="78" t="b">
        <f t="shared" si="161"/>
        <v>0</v>
      </c>
      <c r="AP122" s="78"/>
    </row>
    <row r="123" spans="4:42" x14ac:dyDescent="0.35">
      <c r="D123" s="96"/>
      <c r="E123" s="96"/>
      <c r="G123" s="77">
        <f t="shared" si="99"/>
        <v>0</v>
      </c>
      <c r="H123" s="78">
        <f t="shared" si="100"/>
        <v>0</v>
      </c>
      <c r="I123" s="77">
        <f t="shared" si="101"/>
        <v>0</v>
      </c>
      <c r="J123" s="78">
        <f t="shared" si="102"/>
        <v>0</v>
      </c>
      <c r="K123" s="78" t="str">
        <f t="shared" si="103"/>
        <v>1900-01-00 00:0:00</v>
      </c>
      <c r="L123" s="78" t="str">
        <f t="shared" si="104"/>
        <v>1900-01-00 00:0:00</v>
      </c>
      <c r="M123" s="79">
        <f t="shared" si="105"/>
        <v>0</v>
      </c>
      <c r="N123">
        <f t="shared" si="106"/>
        <v>1</v>
      </c>
      <c r="O123" t="str">
        <f>IFERROR(_xlfn.XLOOKUP(A123,HC!A:A,HC!C:C),"")</f>
        <v>Workforce</v>
      </c>
      <c r="R123" s="78" t="b">
        <f t="shared" ref="R123:AO123" si="162">IFERROR(IF($B123=$D$1,IF(AND($K123&lt;R$1,$L123&lt;R$1),"",IF(AND($K123&gt;S$1,$L123&gt;S$1),"",IF(AND($K123&lt;R$1,$L123&lt;=S$1),$L123-R$1,IF(AND($K123&gt;=R$1,$L123&gt;S$1),S$1-$K123,IF(AND($K123&gt;=R$1,$L123&lt;=S$1),$L123-$K123,IF(AND($K123&lt;R$1,$L123&gt;S$1),S$1-R$1,""))))))),"")</f>
        <v>0</v>
      </c>
      <c r="S123" s="78" t="b">
        <f t="shared" si="162"/>
        <v>0</v>
      </c>
      <c r="T123" s="78" t="b">
        <f t="shared" si="162"/>
        <v>0</v>
      </c>
      <c r="U123" s="78" t="b">
        <f t="shared" si="162"/>
        <v>0</v>
      </c>
      <c r="V123" s="78" t="b">
        <f t="shared" si="162"/>
        <v>0</v>
      </c>
      <c r="W123" s="78" t="b">
        <f t="shared" si="162"/>
        <v>0</v>
      </c>
      <c r="X123" s="78" t="b">
        <f t="shared" si="162"/>
        <v>0</v>
      </c>
      <c r="Y123" s="78" t="b">
        <f t="shared" si="162"/>
        <v>0</v>
      </c>
      <c r="Z123" s="78" t="b">
        <f t="shared" si="162"/>
        <v>0</v>
      </c>
      <c r="AA123" s="78" t="b">
        <f t="shared" si="162"/>
        <v>0</v>
      </c>
      <c r="AB123" s="78" t="b">
        <f t="shared" si="162"/>
        <v>0</v>
      </c>
      <c r="AC123" s="78" t="b">
        <f t="shared" si="162"/>
        <v>0</v>
      </c>
      <c r="AD123" s="78" t="b">
        <f t="shared" si="162"/>
        <v>0</v>
      </c>
      <c r="AE123" s="78" t="b">
        <f t="shared" si="162"/>
        <v>0</v>
      </c>
      <c r="AF123" s="78" t="b">
        <f t="shared" si="162"/>
        <v>0</v>
      </c>
      <c r="AG123" s="78" t="b">
        <f t="shared" si="162"/>
        <v>0</v>
      </c>
      <c r="AH123" s="78" t="b">
        <f t="shared" si="162"/>
        <v>0</v>
      </c>
      <c r="AI123" s="78" t="b">
        <f t="shared" si="162"/>
        <v>0</v>
      </c>
      <c r="AJ123" s="78" t="b">
        <f t="shared" si="162"/>
        <v>0</v>
      </c>
      <c r="AK123" s="78" t="b">
        <f t="shared" si="162"/>
        <v>0</v>
      </c>
      <c r="AL123" s="78" t="b">
        <f t="shared" si="162"/>
        <v>0</v>
      </c>
      <c r="AM123" s="78" t="b">
        <f t="shared" si="162"/>
        <v>0</v>
      </c>
      <c r="AN123" s="78" t="b">
        <f t="shared" si="162"/>
        <v>0</v>
      </c>
      <c r="AO123" s="78" t="b">
        <f t="shared" si="162"/>
        <v>0</v>
      </c>
      <c r="AP123" s="78"/>
    </row>
    <row r="124" spans="4:42" x14ac:dyDescent="0.35">
      <c r="D124" s="96"/>
      <c r="E124" s="96"/>
      <c r="G124" s="77">
        <f t="shared" si="99"/>
        <v>0</v>
      </c>
      <c r="H124" s="78">
        <f t="shared" si="100"/>
        <v>0</v>
      </c>
      <c r="I124" s="77">
        <f t="shared" si="101"/>
        <v>0</v>
      </c>
      <c r="J124" s="78">
        <f t="shared" si="102"/>
        <v>0</v>
      </c>
      <c r="K124" s="78" t="str">
        <f t="shared" si="103"/>
        <v>1900-01-00 00:0:00</v>
      </c>
      <c r="L124" s="78" t="str">
        <f t="shared" si="104"/>
        <v>1900-01-00 00:0:00</v>
      </c>
      <c r="M124" s="79">
        <f t="shared" si="105"/>
        <v>0</v>
      </c>
      <c r="N124">
        <f t="shared" si="106"/>
        <v>1</v>
      </c>
      <c r="O124" t="str">
        <f>IFERROR(_xlfn.XLOOKUP(A124,HC!A:A,HC!C:C),"")</f>
        <v>Workforce</v>
      </c>
      <c r="R124" s="78" t="b">
        <f t="shared" ref="R124:AO124" si="163">IFERROR(IF($B124=$D$1,IF(AND($K124&lt;R$1,$L124&lt;R$1),"",IF(AND($K124&gt;S$1,$L124&gt;S$1),"",IF(AND($K124&lt;R$1,$L124&lt;=S$1),$L124-R$1,IF(AND($K124&gt;=R$1,$L124&gt;S$1),S$1-$K124,IF(AND($K124&gt;=R$1,$L124&lt;=S$1),$L124-$K124,IF(AND($K124&lt;R$1,$L124&gt;S$1),S$1-R$1,""))))))),"")</f>
        <v>0</v>
      </c>
      <c r="S124" s="78" t="b">
        <f t="shared" si="163"/>
        <v>0</v>
      </c>
      <c r="T124" s="78" t="b">
        <f t="shared" si="163"/>
        <v>0</v>
      </c>
      <c r="U124" s="78" t="b">
        <f t="shared" si="163"/>
        <v>0</v>
      </c>
      <c r="V124" s="78" t="b">
        <f t="shared" si="163"/>
        <v>0</v>
      </c>
      <c r="W124" s="78" t="b">
        <f t="shared" si="163"/>
        <v>0</v>
      </c>
      <c r="X124" s="78" t="b">
        <f t="shared" si="163"/>
        <v>0</v>
      </c>
      <c r="Y124" s="78" t="b">
        <f t="shared" si="163"/>
        <v>0</v>
      </c>
      <c r="Z124" s="78" t="b">
        <f t="shared" si="163"/>
        <v>0</v>
      </c>
      <c r="AA124" s="78" t="b">
        <f t="shared" si="163"/>
        <v>0</v>
      </c>
      <c r="AB124" s="78" t="b">
        <f t="shared" si="163"/>
        <v>0</v>
      </c>
      <c r="AC124" s="78" t="b">
        <f t="shared" si="163"/>
        <v>0</v>
      </c>
      <c r="AD124" s="78" t="b">
        <f t="shared" si="163"/>
        <v>0</v>
      </c>
      <c r="AE124" s="78" t="b">
        <f t="shared" si="163"/>
        <v>0</v>
      </c>
      <c r="AF124" s="78" t="b">
        <f t="shared" si="163"/>
        <v>0</v>
      </c>
      <c r="AG124" s="78" t="b">
        <f t="shared" si="163"/>
        <v>0</v>
      </c>
      <c r="AH124" s="78" t="b">
        <f t="shared" si="163"/>
        <v>0</v>
      </c>
      <c r="AI124" s="78" t="b">
        <f t="shared" si="163"/>
        <v>0</v>
      </c>
      <c r="AJ124" s="78" t="b">
        <f t="shared" si="163"/>
        <v>0</v>
      </c>
      <c r="AK124" s="78" t="b">
        <f t="shared" si="163"/>
        <v>0</v>
      </c>
      <c r="AL124" s="78" t="b">
        <f t="shared" si="163"/>
        <v>0</v>
      </c>
      <c r="AM124" s="78" t="b">
        <f t="shared" si="163"/>
        <v>0</v>
      </c>
      <c r="AN124" s="78" t="b">
        <f t="shared" si="163"/>
        <v>0</v>
      </c>
      <c r="AO124" s="78" t="b">
        <f t="shared" si="163"/>
        <v>0</v>
      </c>
      <c r="AP124" s="78"/>
    </row>
    <row r="125" spans="4:42" x14ac:dyDescent="0.35">
      <c r="D125" s="96"/>
      <c r="E125" s="96"/>
      <c r="G125" s="77">
        <f t="shared" si="99"/>
        <v>0</v>
      </c>
      <c r="H125" s="78">
        <f t="shared" si="100"/>
        <v>0</v>
      </c>
      <c r="I125" s="77">
        <f t="shared" si="101"/>
        <v>0</v>
      </c>
      <c r="J125" s="78">
        <f t="shared" si="102"/>
        <v>0</v>
      </c>
      <c r="K125" s="78" t="str">
        <f t="shared" si="103"/>
        <v>1900-01-00 00:0:00</v>
      </c>
      <c r="L125" s="78" t="str">
        <f t="shared" si="104"/>
        <v>1900-01-00 00:0:00</v>
      </c>
      <c r="M125" s="79">
        <f t="shared" si="105"/>
        <v>0</v>
      </c>
      <c r="N125">
        <f t="shared" si="106"/>
        <v>1</v>
      </c>
      <c r="O125" t="str">
        <f>IFERROR(_xlfn.XLOOKUP(A125,HC!A:A,HC!C:C),"")</f>
        <v>Workforce</v>
      </c>
      <c r="R125" s="78" t="b">
        <f t="shared" ref="R125:AO125" si="164">IFERROR(IF($B125=$D$1,IF(AND($K125&lt;R$1,$L125&lt;R$1),"",IF(AND($K125&gt;S$1,$L125&gt;S$1),"",IF(AND($K125&lt;R$1,$L125&lt;=S$1),$L125-R$1,IF(AND($K125&gt;=R$1,$L125&gt;S$1),S$1-$K125,IF(AND($K125&gt;=R$1,$L125&lt;=S$1),$L125-$K125,IF(AND($K125&lt;R$1,$L125&gt;S$1),S$1-R$1,""))))))),"")</f>
        <v>0</v>
      </c>
      <c r="S125" s="78" t="b">
        <f t="shared" si="164"/>
        <v>0</v>
      </c>
      <c r="T125" s="78" t="b">
        <f t="shared" si="164"/>
        <v>0</v>
      </c>
      <c r="U125" s="78" t="b">
        <f t="shared" si="164"/>
        <v>0</v>
      </c>
      <c r="V125" s="78" t="b">
        <f t="shared" si="164"/>
        <v>0</v>
      </c>
      <c r="W125" s="78" t="b">
        <f t="shared" si="164"/>
        <v>0</v>
      </c>
      <c r="X125" s="78" t="b">
        <f t="shared" si="164"/>
        <v>0</v>
      </c>
      <c r="Y125" s="78" t="b">
        <f t="shared" si="164"/>
        <v>0</v>
      </c>
      <c r="Z125" s="78" t="b">
        <f t="shared" si="164"/>
        <v>0</v>
      </c>
      <c r="AA125" s="78" t="b">
        <f t="shared" si="164"/>
        <v>0</v>
      </c>
      <c r="AB125" s="78" t="b">
        <f t="shared" si="164"/>
        <v>0</v>
      </c>
      <c r="AC125" s="78" t="b">
        <f t="shared" si="164"/>
        <v>0</v>
      </c>
      <c r="AD125" s="78" t="b">
        <f t="shared" si="164"/>
        <v>0</v>
      </c>
      <c r="AE125" s="78" t="b">
        <f t="shared" si="164"/>
        <v>0</v>
      </c>
      <c r="AF125" s="78" t="b">
        <f t="shared" si="164"/>
        <v>0</v>
      </c>
      <c r="AG125" s="78" t="b">
        <f t="shared" si="164"/>
        <v>0</v>
      </c>
      <c r="AH125" s="78" t="b">
        <f t="shared" si="164"/>
        <v>0</v>
      </c>
      <c r="AI125" s="78" t="b">
        <f t="shared" si="164"/>
        <v>0</v>
      </c>
      <c r="AJ125" s="78" t="b">
        <f t="shared" si="164"/>
        <v>0</v>
      </c>
      <c r="AK125" s="78" t="b">
        <f t="shared" si="164"/>
        <v>0</v>
      </c>
      <c r="AL125" s="78" t="b">
        <f t="shared" si="164"/>
        <v>0</v>
      </c>
      <c r="AM125" s="78" t="b">
        <f t="shared" si="164"/>
        <v>0</v>
      </c>
      <c r="AN125" s="78" t="b">
        <f t="shared" si="164"/>
        <v>0</v>
      </c>
      <c r="AO125" s="78" t="b">
        <f t="shared" si="164"/>
        <v>0</v>
      </c>
      <c r="AP125" s="78"/>
    </row>
    <row r="126" spans="4:42" x14ac:dyDescent="0.35">
      <c r="D126" s="96"/>
      <c r="E126" s="96"/>
      <c r="G126" s="77">
        <f t="shared" si="99"/>
        <v>0</v>
      </c>
      <c r="H126" s="78">
        <f t="shared" si="100"/>
        <v>0</v>
      </c>
      <c r="I126" s="77">
        <f t="shared" si="101"/>
        <v>0</v>
      </c>
      <c r="J126" s="78">
        <f t="shared" si="102"/>
        <v>0</v>
      </c>
      <c r="K126" s="78" t="str">
        <f t="shared" si="103"/>
        <v>1900-01-00 00:0:00</v>
      </c>
      <c r="L126" s="78" t="str">
        <f t="shared" si="104"/>
        <v>1900-01-00 00:0:00</v>
      </c>
      <c r="M126" s="79">
        <f t="shared" si="105"/>
        <v>0</v>
      </c>
      <c r="N126">
        <f t="shared" si="106"/>
        <v>1</v>
      </c>
      <c r="O126" t="str">
        <f>IFERROR(_xlfn.XLOOKUP(A126,HC!A:A,HC!C:C),"")</f>
        <v>Workforce</v>
      </c>
      <c r="R126" s="78" t="b">
        <f t="shared" ref="R126:AO126" si="165">IFERROR(IF($B126=$D$1,IF(AND($K126&lt;R$1,$L126&lt;R$1),"",IF(AND($K126&gt;S$1,$L126&gt;S$1),"",IF(AND($K126&lt;R$1,$L126&lt;=S$1),$L126-R$1,IF(AND($K126&gt;=R$1,$L126&gt;S$1),S$1-$K126,IF(AND($K126&gt;=R$1,$L126&lt;=S$1),$L126-$K126,IF(AND($K126&lt;R$1,$L126&gt;S$1),S$1-R$1,""))))))),"")</f>
        <v>0</v>
      </c>
      <c r="S126" s="78" t="b">
        <f t="shared" si="165"/>
        <v>0</v>
      </c>
      <c r="T126" s="78" t="b">
        <f t="shared" si="165"/>
        <v>0</v>
      </c>
      <c r="U126" s="78" t="b">
        <f t="shared" si="165"/>
        <v>0</v>
      </c>
      <c r="V126" s="78" t="b">
        <f t="shared" si="165"/>
        <v>0</v>
      </c>
      <c r="W126" s="78" t="b">
        <f t="shared" si="165"/>
        <v>0</v>
      </c>
      <c r="X126" s="78" t="b">
        <f t="shared" si="165"/>
        <v>0</v>
      </c>
      <c r="Y126" s="78" t="b">
        <f t="shared" si="165"/>
        <v>0</v>
      </c>
      <c r="Z126" s="78" t="b">
        <f t="shared" si="165"/>
        <v>0</v>
      </c>
      <c r="AA126" s="78" t="b">
        <f t="shared" si="165"/>
        <v>0</v>
      </c>
      <c r="AB126" s="78" t="b">
        <f t="shared" si="165"/>
        <v>0</v>
      </c>
      <c r="AC126" s="78" t="b">
        <f t="shared" si="165"/>
        <v>0</v>
      </c>
      <c r="AD126" s="78" t="b">
        <f t="shared" si="165"/>
        <v>0</v>
      </c>
      <c r="AE126" s="78" t="b">
        <f t="shared" si="165"/>
        <v>0</v>
      </c>
      <c r="AF126" s="78" t="b">
        <f t="shared" si="165"/>
        <v>0</v>
      </c>
      <c r="AG126" s="78" t="b">
        <f t="shared" si="165"/>
        <v>0</v>
      </c>
      <c r="AH126" s="78" t="b">
        <f t="shared" si="165"/>
        <v>0</v>
      </c>
      <c r="AI126" s="78" t="b">
        <f t="shared" si="165"/>
        <v>0</v>
      </c>
      <c r="AJ126" s="78" t="b">
        <f t="shared" si="165"/>
        <v>0</v>
      </c>
      <c r="AK126" s="78" t="b">
        <f t="shared" si="165"/>
        <v>0</v>
      </c>
      <c r="AL126" s="78" t="b">
        <f t="shared" si="165"/>
        <v>0</v>
      </c>
      <c r="AM126" s="78" t="b">
        <f t="shared" si="165"/>
        <v>0</v>
      </c>
      <c r="AN126" s="78" t="b">
        <f t="shared" si="165"/>
        <v>0</v>
      </c>
      <c r="AO126" s="78" t="b">
        <f t="shared" si="165"/>
        <v>0</v>
      </c>
      <c r="AP126" s="78"/>
    </row>
    <row r="127" spans="4:42" x14ac:dyDescent="0.35">
      <c r="D127" s="96"/>
      <c r="E127" s="96"/>
      <c r="G127" s="77">
        <f t="shared" si="99"/>
        <v>0</v>
      </c>
      <c r="H127" s="78">
        <f t="shared" si="100"/>
        <v>0</v>
      </c>
      <c r="I127" s="77">
        <f t="shared" si="101"/>
        <v>0</v>
      </c>
      <c r="J127" s="78">
        <f t="shared" si="102"/>
        <v>0</v>
      </c>
      <c r="K127" s="78" t="str">
        <f t="shared" si="103"/>
        <v>1900-01-00 00:0:00</v>
      </c>
      <c r="L127" s="78" t="str">
        <f t="shared" si="104"/>
        <v>1900-01-00 00:0:00</v>
      </c>
      <c r="M127" s="79">
        <f t="shared" si="105"/>
        <v>0</v>
      </c>
      <c r="N127">
        <f t="shared" si="106"/>
        <v>1</v>
      </c>
      <c r="O127" t="str">
        <f>IFERROR(_xlfn.XLOOKUP(A127,HC!A:A,HC!C:C),"")</f>
        <v>Workforce</v>
      </c>
      <c r="R127" s="78" t="b">
        <f t="shared" ref="R127:AO127" si="166">IFERROR(IF($B127=$D$1,IF(AND($K127&lt;R$1,$L127&lt;R$1),"",IF(AND($K127&gt;S$1,$L127&gt;S$1),"",IF(AND($K127&lt;R$1,$L127&lt;=S$1),$L127-R$1,IF(AND($K127&gt;=R$1,$L127&gt;S$1),S$1-$K127,IF(AND($K127&gt;=R$1,$L127&lt;=S$1),$L127-$K127,IF(AND($K127&lt;R$1,$L127&gt;S$1),S$1-R$1,""))))))),"")</f>
        <v>0</v>
      </c>
      <c r="S127" s="78" t="b">
        <f t="shared" si="166"/>
        <v>0</v>
      </c>
      <c r="T127" s="78" t="b">
        <f t="shared" si="166"/>
        <v>0</v>
      </c>
      <c r="U127" s="78" t="b">
        <f t="shared" si="166"/>
        <v>0</v>
      </c>
      <c r="V127" s="78" t="b">
        <f t="shared" si="166"/>
        <v>0</v>
      </c>
      <c r="W127" s="78" t="b">
        <f t="shared" si="166"/>
        <v>0</v>
      </c>
      <c r="X127" s="78" t="b">
        <f t="shared" si="166"/>
        <v>0</v>
      </c>
      <c r="Y127" s="78" t="b">
        <f t="shared" si="166"/>
        <v>0</v>
      </c>
      <c r="Z127" s="78" t="b">
        <f t="shared" si="166"/>
        <v>0</v>
      </c>
      <c r="AA127" s="78" t="b">
        <f t="shared" si="166"/>
        <v>0</v>
      </c>
      <c r="AB127" s="78" t="b">
        <f t="shared" si="166"/>
        <v>0</v>
      </c>
      <c r="AC127" s="78" t="b">
        <f t="shared" si="166"/>
        <v>0</v>
      </c>
      <c r="AD127" s="78" t="b">
        <f t="shared" si="166"/>
        <v>0</v>
      </c>
      <c r="AE127" s="78" t="b">
        <f t="shared" si="166"/>
        <v>0</v>
      </c>
      <c r="AF127" s="78" t="b">
        <f t="shared" si="166"/>
        <v>0</v>
      </c>
      <c r="AG127" s="78" t="b">
        <f t="shared" si="166"/>
        <v>0</v>
      </c>
      <c r="AH127" s="78" t="b">
        <f t="shared" si="166"/>
        <v>0</v>
      </c>
      <c r="AI127" s="78" t="b">
        <f t="shared" si="166"/>
        <v>0</v>
      </c>
      <c r="AJ127" s="78" t="b">
        <f t="shared" si="166"/>
        <v>0</v>
      </c>
      <c r="AK127" s="78" t="b">
        <f t="shared" si="166"/>
        <v>0</v>
      </c>
      <c r="AL127" s="78" t="b">
        <f t="shared" si="166"/>
        <v>0</v>
      </c>
      <c r="AM127" s="78" t="b">
        <f t="shared" si="166"/>
        <v>0</v>
      </c>
      <c r="AN127" s="78" t="b">
        <f t="shared" si="166"/>
        <v>0</v>
      </c>
      <c r="AO127" s="78" t="b">
        <f t="shared" si="166"/>
        <v>0</v>
      </c>
      <c r="AP127" s="78"/>
    </row>
    <row r="128" spans="4:42" x14ac:dyDescent="0.35">
      <c r="D128" s="96"/>
      <c r="E128" s="96"/>
      <c r="G128" s="77">
        <f t="shared" si="99"/>
        <v>0</v>
      </c>
      <c r="H128" s="78">
        <f t="shared" si="100"/>
        <v>0</v>
      </c>
      <c r="I128" s="77">
        <f t="shared" si="101"/>
        <v>0</v>
      </c>
      <c r="J128" s="78">
        <f t="shared" si="102"/>
        <v>0</v>
      </c>
      <c r="K128" s="78" t="str">
        <f t="shared" si="103"/>
        <v>1900-01-00 00:0:00</v>
      </c>
      <c r="L128" s="78" t="str">
        <f t="shared" si="104"/>
        <v>1900-01-00 00:0:00</v>
      </c>
      <c r="M128" s="79">
        <f t="shared" si="105"/>
        <v>0</v>
      </c>
      <c r="N128">
        <f t="shared" si="106"/>
        <v>1</v>
      </c>
      <c r="O128" t="str">
        <f>IFERROR(_xlfn.XLOOKUP(A128,HC!A:A,HC!C:C),"")</f>
        <v>Workforce</v>
      </c>
      <c r="R128" s="78" t="b">
        <f t="shared" ref="R128:AO128" si="167">IFERROR(IF($B128=$D$1,IF(AND($K128&lt;R$1,$L128&lt;R$1),"",IF(AND($K128&gt;S$1,$L128&gt;S$1),"",IF(AND($K128&lt;R$1,$L128&lt;=S$1),$L128-R$1,IF(AND($K128&gt;=R$1,$L128&gt;S$1),S$1-$K128,IF(AND($K128&gt;=R$1,$L128&lt;=S$1),$L128-$K128,IF(AND($K128&lt;R$1,$L128&gt;S$1),S$1-R$1,""))))))),"")</f>
        <v>0</v>
      </c>
      <c r="S128" s="78" t="b">
        <f t="shared" si="167"/>
        <v>0</v>
      </c>
      <c r="T128" s="78" t="b">
        <f t="shared" si="167"/>
        <v>0</v>
      </c>
      <c r="U128" s="78" t="b">
        <f t="shared" si="167"/>
        <v>0</v>
      </c>
      <c r="V128" s="78" t="b">
        <f t="shared" si="167"/>
        <v>0</v>
      </c>
      <c r="W128" s="78" t="b">
        <f t="shared" si="167"/>
        <v>0</v>
      </c>
      <c r="X128" s="78" t="b">
        <f t="shared" si="167"/>
        <v>0</v>
      </c>
      <c r="Y128" s="78" t="b">
        <f t="shared" si="167"/>
        <v>0</v>
      </c>
      <c r="Z128" s="78" t="b">
        <f t="shared" si="167"/>
        <v>0</v>
      </c>
      <c r="AA128" s="78" t="b">
        <f t="shared" si="167"/>
        <v>0</v>
      </c>
      <c r="AB128" s="78" t="b">
        <f t="shared" si="167"/>
        <v>0</v>
      </c>
      <c r="AC128" s="78" t="b">
        <f t="shared" si="167"/>
        <v>0</v>
      </c>
      <c r="AD128" s="78" t="b">
        <f t="shared" si="167"/>
        <v>0</v>
      </c>
      <c r="AE128" s="78" t="b">
        <f t="shared" si="167"/>
        <v>0</v>
      </c>
      <c r="AF128" s="78" t="b">
        <f t="shared" si="167"/>
        <v>0</v>
      </c>
      <c r="AG128" s="78" t="b">
        <f t="shared" si="167"/>
        <v>0</v>
      </c>
      <c r="AH128" s="78" t="b">
        <f t="shared" si="167"/>
        <v>0</v>
      </c>
      <c r="AI128" s="78" t="b">
        <f t="shared" si="167"/>
        <v>0</v>
      </c>
      <c r="AJ128" s="78" t="b">
        <f t="shared" si="167"/>
        <v>0</v>
      </c>
      <c r="AK128" s="78" t="b">
        <f t="shared" si="167"/>
        <v>0</v>
      </c>
      <c r="AL128" s="78" t="b">
        <f t="shared" si="167"/>
        <v>0</v>
      </c>
      <c r="AM128" s="78" t="b">
        <f t="shared" si="167"/>
        <v>0</v>
      </c>
      <c r="AN128" s="78" t="b">
        <f t="shared" si="167"/>
        <v>0</v>
      </c>
      <c r="AO128" s="78" t="b">
        <f t="shared" si="167"/>
        <v>0</v>
      </c>
      <c r="AP128" s="78"/>
    </row>
    <row r="129" spans="4:42" x14ac:dyDescent="0.35">
      <c r="D129" s="96"/>
      <c r="E129" s="96"/>
      <c r="G129" s="77">
        <f t="shared" si="99"/>
        <v>0</v>
      </c>
      <c r="H129" s="78">
        <f t="shared" si="100"/>
        <v>0</v>
      </c>
      <c r="I129" s="77">
        <f t="shared" si="101"/>
        <v>0</v>
      </c>
      <c r="J129" s="78">
        <f t="shared" si="102"/>
        <v>0</v>
      </c>
      <c r="K129" s="78" t="str">
        <f t="shared" si="103"/>
        <v>1900-01-00 00:0:00</v>
      </c>
      <c r="L129" s="78" t="str">
        <f t="shared" si="104"/>
        <v>1900-01-00 00:0:00</v>
      </c>
      <c r="M129" s="79">
        <f t="shared" si="105"/>
        <v>0</v>
      </c>
      <c r="N129">
        <f t="shared" si="106"/>
        <v>1</v>
      </c>
      <c r="O129" t="str">
        <f>IFERROR(_xlfn.XLOOKUP(A129,HC!A:A,HC!C:C),"")</f>
        <v>Workforce</v>
      </c>
      <c r="R129" s="78" t="b">
        <f t="shared" ref="R129:AO129" si="168">IFERROR(IF($B129=$D$1,IF(AND($K129&lt;R$1,$L129&lt;R$1),"",IF(AND($K129&gt;S$1,$L129&gt;S$1),"",IF(AND($K129&lt;R$1,$L129&lt;=S$1),$L129-R$1,IF(AND($K129&gt;=R$1,$L129&gt;S$1),S$1-$K129,IF(AND($K129&gt;=R$1,$L129&lt;=S$1),$L129-$K129,IF(AND($K129&lt;R$1,$L129&gt;S$1),S$1-R$1,""))))))),"")</f>
        <v>0</v>
      </c>
      <c r="S129" s="78" t="b">
        <f t="shared" si="168"/>
        <v>0</v>
      </c>
      <c r="T129" s="78" t="b">
        <f t="shared" si="168"/>
        <v>0</v>
      </c>
      <c r="U129" s="78" t="b">
        <f t="shared" si="168"/>
        <v>0</v>
      </c>
      <c r="V129" s="78" t="b">
        <f t="shared" si="168"/>
        <v>0</v>
      </c>
      <c r="W129" s="78" t="b">
        <f t="shared" si="168"/>
        <v>0</v>
      </c>
      <c r="X129" s="78" t="b">
        <f t="shared" si="168"/>
        <v>0</v>
      </c>
      <c r="Y129" s="78" t="b">
        <f t="shared" si="168"/>
        <v>0</v>
      </c>
      <c r="Z129" s="78" t="b">
        <f t="shared" si="168"/>
        <v>0</v>
      </c>
      <c r="AA129" s="78" t="b">
        <f t="shared" si="168"/>
        <v>0</v>
      </c>
      <c r="AB129" s="78" t="b">
        <f t="shared" si="168"/>
        <v>0</v>
      </c>
      <c r="AC129" s="78" t="b">
        <f t="shared" si="168"/>
        <v>0</v>
      </c>
      <c r="AD129" s="78" t="b">
        <f t="shared" si="168"/>
        <v>0</v>
      </c>
      <c r="AE129" s="78" t="b">
        <f t="shared" si="168"/>
        <v>0</v>
      </c>
      <c r="AF129" s="78" t="b">
        <f t="shared" si="168"/>
        <v>0</v>
      </c>
      <c r="AG129" s="78" t="b">
        <f t="shared" si="168"/>
        <v>0</v>
      </c>
      <c r="AH129" s="78" t="b">
        <f t="shared" si="168"/>
        <v>0</v>
      </c>
      <c r="AI129" s="78" t="b">
        <f t="shared" si="168"/>
        <v>0</v>
      </c>
      <c r="AJ129" s="78" t="b">
        <f t="shared" si="168"/>
        <v>0</v>
      </c>
      <c r="AK129" s="78" t="b">
        <f t="shared" si="168"/>
        <v>0</v>
      </c>
      <c r="AL129" s="78" t="b">
        <f t="shared" si="168"/>
        <v>0</v>
      </c>
      <c r="AM129" s="78" t="b">
        <f t="shared" si="168"/>
        <v>0</v>
      </c>
      <c r="AN129" s="78" t="b">
        <f t="shared" si="168"/>
        <v>0</v>
      </c>
      <c r="AO129" s="78" t="b">
        <f t="shared" si="168"/>
        <v>0</v>
      </c>
      <c r="AP129" s="78"/>
    </row>
    <row r="130" spans="4:42" x14ac:dyDescent="0.35">
      <c r="D130" s="96"/>
      <c r="E130" s="96"/>
      <c r="G130" s="77">
        <f t="shared" si="99"/>
        <v>0</v>
      </c>
      <c r="H130" s="78">
        <f t="shared" si="100"/>
        <v>0</v>
      </c>
      <c r="I130" s="77">
        <f t="shared" si="101"/>
        <v>0</v>
      </c>
      <c r="J130" s="78">
        <f t="shared" si="102"/>
        <v>0</v>
      </c>
      <c r="K130" s="78" t="str">
        <f t="shared" si="103"/>
        <v>1900-01-00 00:0:00</v>
      </c>
      <c r="L130" s="78" t="str">
        <f t="shared" si="104"/>
        <v>1900-01-00 00:0:00</v>
      </c>
      <c r="M130" s="79">
        <f t="shared" si="105"/>
        <v>0</v>
      </c>
      <c r="N130">
        <f t="shared" si="106"/>
        <v>1</v>
      </c>
      <c r="O130" t="str">
        <f>IFERROR(_xlfn.XLOOKUP(A130,HC!A:A,HC!C:C),"")</f>
        <v>Workforce</v>
      </c>
      <c r="R130" s="78" t="b">
        <f t="shared" ref="R130:AO130" si="169">IFERROR(IF($B130=$D$1,IF(AND($K130&lt;R$1,$L130&lt;R$1),"",IF(AND($K130&gt;S$1,$L130&gt;S$1),"",IF(AND($K130&lt;R$1,$L130&lt;=S$1),$L130-R$1,IF(AND($K130&gt;=R$1,$L130&gt;S$1),S$1-$K130,IF(AND($K130&gt;=R$1,$L130&lt;=S$1),$L130-$K130,IF(AND($K130&lt;R$1,$L130&gt;S$1),S$1-R$1,""))))))),"")</f>
        <v>0</v>
      </c>
      <c r="S130" s="78" t="b">
        <f t="shared" si="169"/>
        <v>0</v>
      </c>
      <c r="T130" s="78" t="b">
        <f t="shared" si="169"/>
        <v>0</v>
      </c>
      <c r="U130" s="78" t="b">
        <f t="shared" si="169"/>
        <v>0</v>
      </c>
      <c r="V130" s="78" t="b">
        <f t="shared" si="169"/>
        <v>0</v>
      </c>
      <c r="W130" s="78" t="b">
        <f t="shared" si="169"/>
        <v>0</v>
      </c>
      <c r="X130" s="78" t="b">
        <f t="shared" si="169"/>
        <v>0</v>
      </c>
      <c r="Y130" s="78" t="b">
        <f t="shared" si="169"/>
        <v>0</v>
      </c>
      <c r="Z130" s="78" t="b">
        <f t="shared" si="169"/>
        <v>0</v>
      </c>
      <c r="AA130" s="78" t="b">
        <f t="shared" si="169"/>
        <v>0</v>
      </c>
      <c r="AB130" s="78" t="b">
        <f t="shared" si="169"/>
        <v>0</v>
      </c>
      <c r="AC130" s="78" t="b">
        <f t="shared" si="169"/>
        <v>0</v>
      </c>
      <c r="AD130" s="78" t="b">
        <f t="shared" si="169"/>
        <v>0</v>
      </c>
      <c r="AE130" s="78" t="b">
        <f t="shared" si="169"/>
        <v>0</v>
      </c>
      <c r="AF130" s="78" t="b">
        <f t="shared" si="169"/>
        <v>0</v>
      </c>
      <c r="AG130" s="78" t="b">
        <f t="shared" si="169"/>
        <v>0</v>
      </c>
      <c r="AH130" s="78" t="b">
        <f t="shared" si="169"/>
        <v>0</v>
      </c>
      <c r="AI130" s="78" t="b">
        <f t="shared" si="169"/>
        <v>0</v>
      </c>
      <c r="AJ130" s="78" t="b">
        <f t="shared" si="169"/>
        <v>0</v>
      </c>
      <c r="AK130" s="78" t="b">
        <f t="shared" si="169"/>
        <v>0</v>
      </c>
      <c r="AL130" s="78" t="b">
        <f t="shared" si="169"/>
        <v>0</v>
      </c>
      <c r="AM130" s="78" t="b">
        <f t="shared" si="169"/>
        <v>0</v>
      </c>
      <c r="AN130" s="78" t="b">
        <f t="shared" si="169"/>
        <v>0</v>
      </c>
      <c r="AO130" s="78" t="b">
        <f t="shared" si="169"/>
        <v>0</v>
      </c>
      <c r="AP130" s="78"/>
    </row>
    <row r="131" spans="4:42" x14ac:dyDescent="0.35">
      <c r="D131" s="96"/>
      <c r="E131" s="96"/>
      <c r="G131" s="77">
        <f t="shared" si="99"/>
        <v>0</v>
      </c>
      <c r="H131" s="78">
        <f t="shared" si="100"/>
        <v>0</v>
      </c>
      <c r="I131" s="77">
        <f t="shared" si="101"/>
        <v>0</v>
      </c>
      <c r="J131" s="78">
        <f t="shared" si="102"/>
        <v>0</v>
      </c>
      <c r="K131" s="78" t="str">
        <f t="shared" si="103"/>
        <v>1900-01-00 00:0:00</v>
      </c>
      <c r="L131" s="78" t="str">
        <f t="shared" si="104"/>
        <v>1900-01-00 00:0:00</v>
      </c>
      <c r="M131" s="79">
        <f t="shared" si="105"/>
        <v>0</v>
      </c>
      <c r="N131">
        <f t="shared" si="106"/>
        <v>1</v>
      </c>
      <c r="O131" t="str">
        <f>IFERROR(_xlfn.XLOOKUP(A131,HC!A:A,HC!C:C),"")</f>
        <v>Workforce</v>
      </c>
      <c r="R131" s="78" t="b">
        <f t="shared" ref="R131:AO131" si="170">IFERROR(IF($B131=$D$1,IF(AND($K131&lt;R$1,$L131&lt;R$1),"",IF(AND($K131&gt;S$1,$L131&gt;S$1),"",IF(AND($K131&lt;R$1,$L131&lt;=S$1),$L131-R$1,IF(AND($K131&gt;=R$1,$L131&gt;S$1),S$1-$K131,IF(AND($K131&gt;=R$1,$L131&lt;=S$1),$L131-$K131,IF(AND($K131&lt;R$1,$L131&gt;S$1),S$1-R$1,""))))))),"")</f>
        <v>0</v>
      </c>
      <c r="S131" s="78" t="b">
        <f t="shared" si="170"/>
        <v>0</v>
      </c>
      <c r="T131" s="78" t="b">
        <f t="shared" si="170"/>
        <v>0</v>
      </c>
      <c r="U131" s="78" t="b">
        <f t="shared" si="170"/>
        <v>0</v>
      </c>
      <c r="V131" s="78" t="b">
        <f t="shared" si="170"/>
        <v>0</v>
      </c>
      <c r="W131" s="78" t="b">
        <f t="shared" si="170"/>
        <v>0</v>
      </c>
      <c r="X131" s="78" t="b">
        <f t="shared" si="170"/>
        <v>0</v>
      </c>
      <c r="Y131" s="78" t="b">
        <f t="shared" si="170"/>
        <v>0</v>
      </c>
      <c r="Z131" s="78" t="b">
        <f t="shared" si="170"/>
        <v>0</v>
      </c>
      <c r="AA131" s="78" t="b">
        <f t="shared" si="170"/>
        <v>0</v>
      </c>
      <c r="AB131" s="78" t="b">
        <f t="shared" si="170"/>
        <v>0</v>
      </c>
      <c r="AC131" s="78" t="b">
        <f t="shared" si="170"/>
        <v>0</v>
      </c>
      <c r="AD131" s="78" t="b">
        <f t="shared" si="170"/>
        <v>0</v>
      </c>
      <c r="AE131" s="78" t="b">
        <f t="shared" si="170"/>
        <v>0</v>
      </c>
      <c r="AF131" s="78" t="b">
        <f t="shared" si="170"/>
        <v>0</v>
      </c>
      <c r="AG131" s="78" t="b">
        <f t="shared" si="170"/>
        <v>0</v>
      </c>
      <c r="AH131" s="78" t="b">
        <f t="shared" si="170"/>
        <v>0</v>
      </c>
      <c r="AI131" s="78" t="b">
        <f t="shared" si="170"/>
        <v>0</v>
      </c>
      <c r="AJ131" s="78" t="b">
        <f t="shared" si="170"/>
        <v>0</v>
      </c>
      <c r="AK131" s="78" t="b">
        <f t="shared" si="170"/>
        <v>0</v>
      </c>
      <c r="AL131" s="78" t="b">
        <f t="shared" si="170"/>
        <v>0</v>
      </c>
      <c r="AM131" s="78" t="b">
        <f t="shared" si="170"/>
        <v>0</v>
      </c>
      <c r="AN131" s="78" t="b">
        <f t="shared" si="170"/>
        <v>0</v>
      </c>
      <c r="AO131" s="78" t="b">
        <f t="shared" si="170"/>
        <v>0</v>
      </c>
      <c r="AP131" s="78"/>
    </row>
    <row r="132" spans="4:42" x14ac:dyDescent="0.35">
      <c r="D132" s="96"/>
      <c r="E132" s="96"/>
      <c r="G132" s="77">
        <f t="shared" ref="G132:G195" si="171">INT(D132)</f>
        <v>0</v>
      </c>
      <c r="H132" s="78">
        <f t="shared" ref="H132:H195" si="172">D132-G132</f>
        <v>0</v>
      </c>
      <c r="I132" s="77">
        <f t="shared" ref="I132:I195" si="173">INT(E132)</f>
        <v>0</v>
      </c>
      <c r="J132" s="78">
        <f t="shared" ref="J132:J195" si="174">E132-I132</f>
        <v>0</v>
      </c>
      <c r="K132" s="78" t="str">
        <f t="shared" ref="K132:K195" si="175">TEXT(G132+H132,"yyyy-mm-dd hh:m:ss")</f>
        <v>1900-01-00 00:0:00</v>
      </c>
      <c r="L132" s="78" t="str">
        <f t="shared" ref="L132:L195" si="176">TEXT(I132+J132,"yyyy-mm-dd hh:m:ss")</f>
        <v>1900-01-00 00:0:00</v>
      </c>
      <c r="M132" s="79">
        <f t="shared" ref="M132:M195" si="177">E132-D132</f>
        <v>0</v>
      </c>
      <c r="N132">
        <f t="shared" ref="N132:N195" si="178">IF(M132&lt;$BA$1,1,0)</f>
        <v>1</v>
      </c>
      <c r="O132" t="str">
        <f>IFERROR(_xlfn.XLOOKUP(A132,HC!A:A,HC!C:C),"")</f>
        <v>Workforce</v>
      </c>
      <c r="R132" s="78" t="b">
        <f t="shared" ref="R132:AO132" si="179">IFERROR(IF($B132=$D$1,IF(AND($K132&lt;R$1,$L132&lt;R$1),"",IF(AND($K132&gt;S$1,$L132&gt;S$1),"",IF(AND($K132&lt;R$1,$L132&lt;=S$1),$L132-R$1,IF(AND($K132&gt;=R$1,$L132&gt;S$1),S$1-$K132,IF(AND($K132&gt;=R$1,$L132&lt;=S$1),$L132-$K132,IF(AND($K132&lt;R$1,$L132&gt;S$1),S$1-R$1,""))))))),"")</f>
        <v>0</v>
      </c>
      <c r="S132" s="78" t="b">
        <f t="shared" si="179"/>
        <v>0</v>
      </c>
      <c r="T132" s="78" t="b">
        <f t="shared" si="179"/>
        <v>0</v>
      </c>
      <c r="U132" s="78" t="b">
        <f t="shared" si="179"/>
        <v>0</v>
      </c>
      <c r="V132" s="78" t="b">
        <f t="shared" si="179"/>
        <v>0</v>
      </c>
      <c r="W132" s="78" t="b">
        <f t="shared" si="179"/>
        <v>0</v>
      </c>
      <c r="X132" s="78" t="b">
        <f t="shared" si="179"/>
        <v>0</v>
      </c>
      <c r="Y132" s="78" t="b">
        <f t="shared" si="179"/>
        <v>0</v>
      </c>
      <c r="Z132" s="78" t="b">
        <f t="shared" si="179"/>
        <v>0</v>
      </c>
      <c r="AA132" s="78" t="b">
        <f t="shared" si="179"/>
        <v>0</v>
      </c>
      <c r="AB132" s="78" t="b">
        <f t="shared" si="179"/>
        <v>0</v>
      </c>
      <c r="AC132" s="78" t="b">
        <f t="shared" si="179"/>
        <v>0</v>
      </c>
      <c r="AD132" s="78" t="b">
        <f t="shared" si="179"/>
        <v>0</v>
      </c>
      <c r="AE132" s="78" t="b">
        <f t="shared" si="179"/>
        <v>0</v>
      </c>
      <c r="AF132" s="78" t="b">
        <f t="shared" si="179"/>
        <v>0</v>
      </c>
      <c r="AG132" s="78" t="b">
        <f t="shared" si="179"/>
        <v>0</v>
      </c>
      <c r="AH132" s="78" t="b">
        <f t="shared" si="179"/>
        <v>0</v>
      </c>
      <c r="AI132" s="78" t="b">
        <f t="shared" si="179"/>
        <v>0</v>
      </c>
      <c r="AJ132" s="78" t="b">
        <f t="shared" si="179"/>
        <v>0</v>
      </c>
      <c r="AK132" s="78" t="b">
        <f t="shared" si="179"/>
        <v>0</v>
      </c>
      <c r="AL132" s="78" t="b">
        <f t="shared" si="179"/>
        <v>0</v>
      </c>
      <c r="AM132" s="78" t="b">
        <f t="shared" si="179"/>
        <v>0</v>
      </c>
      <c r="AN132" s="78" t="b">
        <f t="shared" si="179"/>
        <v>0</v>
      </c>
      <c r="AO132" s="78" t="b">
        <f t="shared" si="179"/>
        <v>0</v>
      </c>
      <c r="AP132" s="78"/>
    </row>
    <row r="133" spans="4:42" x14ac:dyDescent="0.35">
      <c r="D133" s="96"/>
      <c r="E133" s="96"/>
      <c r="G133" s="77">
        <f t="shared" si="171"/>
        <v>0</v>
      </c>
      <c r="H133" s="78">
        <f t="shared" si="172"/>
        <v>0</v>
      </c>
      <c r="I133" s="77">
        <f t="shared" si="173"/>
        <v>0</v>
      </c>
      <c r="J133" s="78">
        <f t="shared" si="174"/>
        <v>0</v>
      </c>
      <c r="K133" s="78" t="str">
        <f t="shared" si="175"/>
        <v>1900-01-00 00:0:00</v>
      </c>
      <c r="L133" s="78" t="str">
        <f t="shared" si="176"/>
        <v>1900-01-00 00:0:00</v>
      </c>
      <c r="M133" s="79">
        <f t="shared" si="177"/>
        <v>0</v>
      </c>
      <c r="N133">
        <f t="shared" si="178"/>
        <v>1</v>
      </c>
      <c r="O133" t="str">
        <f>IFERROR(_xlfn.XLOOKUP(A133,HC!A:A,HC!C:C),"")</f>
        <v>Workforce</v>
      </c>
      <c r="R133" s="78" t="b">
        <f t="shared" ref="R133:AO133" si="180">IFERROR(IF($B133=$D$1,IF(AND($K133&lt;R$1,$L133&lt;R$1),"",IF(AND($K133&gt;S$1,$L133&gt;S$1),"",IF(AND($K133&lt;R$1,$L133&lt;=S$1),$L133-R$1,IF(AND($K133&gt;=R$1,$L133&gt;S$1),S$1-$K133,IF(AND($K133&gt;=R$1,$L133&lt;=S$1),$L133-$K133,IF(AND($K133&lt;R$1,$L133&gt;S$1),S$1-R$1,""))))))),"")</f>
        <v>0</v>
      </c>
      <c r="S133" s="78" t="b">
        <f t="shared" si="180"/>
        <v>0</v>
      </c>
      <c r="T133" s="78" t="b">
        <f t="shared" si="180"/>
        <v>0</v>
      </c>
      <c r="U133" s="78" t="b">
        <f t="shared" si="180"/>
        <v>0</v>
      </c>
      <c r="V133" s="78" t="b">
        <f t="shared" si="180"/>
        <v>0</v>
      </c>
      <c r="W133" s="78" t="b">
        <f t="shared" si="180"/>
        <v>0</v>
      </c>
      <c r="X133" s="78" t="b">
        <f t="shared" si="180"/>
        <v>0</v>
      </c>
      <c r="Y133" s="78" t="b">
        <f t="shared" si="180"/>
        <v>0</v>
      </c>
      <c r="Z133" s="78" t="b">
        <f t="shared" si="180"/>
        <v>0</v>
      </c>
      <c r="AA133" s="78" t="b">
        <f t="shared" si="180"/>
        <v>0</v>
      </c>
      <c r="AB133" s="78" t="b">
        <f t="shared" si="180"/>
        <v>0</v>
      </c>
      <c r="AC133" s="78" t="b">
        <f t="shared" si="180"/>
        <v>0</v>
      </c>
      <c r="AD133" s="78" t="b">
        <f t="shared" si="180"/>
        <v>0</v>
      </c>
      <c r="AE133" s="78" t="b">
        <f t="shared" si="180"/>
        <v>0</v>
      </c>
      <c r="AF133" s="78" t="b">
        <f t="shared" si="180"/>
        <v>0</v>
      </c>
      <c r="AG133" s="78" t="b">
        <f t="shared" si="180"/>
        <v>0</v>
      </c>
      <c r="AH133" s="78" t="b">
        <f t="shared" si="180"/>
        <v>0</v>
      </c>
      <c r="AI133" s="78" t="b">
        <f t="shared" si="180"/>
        <v>0</v>
      </c>
      <c r="AJ133" s="78" t="b">
        <f t="shared" si="180"/>
        <v>0</v>
      </c>
      <c r="AK133" s="78" t="b">
        <f t="shared" si="180"/>
        <v>0</v>
      </c>
      <c r="AL133" s="78" t="b">
        <f t="shared" si="180"/>
        <v>0</v>
      </c>
      <c r="AM133" s="78" t="b">
        <f t="shared" si="180"/>
        <v>0</v>
      </c>
      <c r="AN133" s="78" t="b">
        <f t="shared" si="180"/>
        <v>0</v>
      </c>
      <c r="AO133" s="78" t="b">
        <f t="shared" si="180"/>
        <v>0</v>
      </c>
      <c r="AP133" s="78"/>
    </row>
    <row r="134" spans="4:42" x14ac:dyDescent="0.35">
      <c r="D134" s="96"/>
      <c r="E134" s="96"/>
      <c r="G134" s="77">
        <f t="shared" si="171"/>
        <v>0</v>
      </c>
      <c r="H134" s="78">
        <f t="shared" si="172"/>
        <v>0</v>
      </c>
      <c r="I134" s="77">
        <f t="shared" si="173"/>
        <v>0</v>
      </c>
      <c r="J134" s="78">
        <f t="shared" si="174"/>
        <v>0</v>
      </c>
      <c r="K134" s="78" t="str">
        <f t="shared" si="175"/>
        <v>1900-01-00 00:0:00</v>
      </c>
      <c r="L134" s="78" t="str">
        <f t="shared" si="176"/>
        <v>1900-01-00 00:0:00</v>
      </c>
      <c r="M134" s="79">
        <f t="shared" si="177"/>
        <v>0</v>
      </c>
      <c r="N134">
        <f t="shared" si="178"/>
        <v>1</v>
      </c>
      <c r="O134" t="str">
        <f>IFERROR(_xlfn.XLOOKUP(A134,HC!A:A,HC!C:C),"")</f>
        <v>Workforce</v>
      </c>
      <c r="R134" s="78" t="b">
        <f t="shared" ref="R134:AO134" si="181">IFERROR(IF($B134=$D$1,IF(AND($K134&lt;R$1,$L134&lt;R$1),"",IF(AND($K134&gt;S$1,$L134&gt;S$1),"",IF(AND($K134&lt;R$1,$L134&lt;=S$1),$L134-R$1,IF(AND($K134&gt;=R$1,$L134&gt;S$1),S$1-$K134,IF(AND($K134&gt;=R$1,$L134&lt;=S$1),$L134-$K134,IF(AND($K134&lt;R$1,$L134&gt;S$1),S$1-R$1,""))))))),"")</f>
        <v>0</v>
      </c>
      <c r="S134" s="78" t="b">
        <f t="shared" si="181"/>
        <v>0</v>
      </c>
      <c r="T134" s="78" t="b">
        <f t="shared" si="181"/>
        <v>0</v>
      </c>
      <c r="U134" s="78" t="b">
        <f t="shared" si="181"/>
        <v>0</v>
      </c>
      <c r="V134" s="78" t="b">
        <f t="shared" si="181"/>
        <v>0</v>
      </c>
      <c r="W134" s="78" t="b">
        <f t="shared" si="181"/>
        <v>0</v>
      </c>
      <c r="X134" s="78" t="b">
        <f t="shared" si="181"/>
        <v>0</v>
      </c>
      <c r="Y134" s="78" t="b">
        <f t="shared" si="181"/>
        <v>0</v>
      </c>
      <c r="Z134" s="78" t="b">
        <f t="shared" si="181"/>
        <v>0</v>
      </c>
      <c r="AA134" s="78" t="b">
        <f t="shared" si="181"/>
        <v>0</v>
      </c>
      <c r="AB134" s="78" t="b">
        <f t="shared" si="181"/>
        <v>0</v>
      </c>
      <c r="AC134" s="78" t="b">
        <f t="shared" si="181"/>
        <v>0</v>
      </c>
      <c r="AD134" s="78" t="b">
        <f t="shared" si="181"/>
        <v>0</v>
      </c>
      <c r="AE134" s="78" t="b">
        <f t="shared" si="181"/>
        <v>0</v>
      </c>
      <c r="AF134" s="78" t="b">
        <f t="shared" si="181"/>
        <v>0</v>
      </c>
      <c r="AG134" s="78" t="b">
        <f t="shared" si="181"/>
        <v>0</v>
      </c>
      <c r="AH134" s="78" t="b">
        <f t="shared" si="181"/>
        <v>0</v>
      </c>
      <c r="AI134" s="78" t="b">
        <f t="shared" si="181"/>
        <v>0</v>
      </c>
      <c r="AJ134" s="78" t="b">
        <f t="shared" si="181"/>
        <v>0</v>
      </c>
      <c r="AK134" s="78" t="b">
        <f t="shared" si="181"/>
        <v>0</v>
      </c>
      <c r="AL134" s="78" t="b">
        <f t="shared" si="181"/>
        <v>0</v>
      </c>
      <c r="AM134" s="78" t="b">
        <f t="shared" si="181"/>
        <v>0</v>
      </c>
      <c r="AN134" s="78" t="b">
        <f t="shared" si="181"/>
        <v>0</v>
      </c>
      <c r="AO134" s="78" t="b">
        <f t="shared" si="181"/>
        <v>0</v>
      </c>
      <c r="AP134" s="78"/>
    </row>
    <row r="135" spans="4:42" x14ac:dyDescent="0.35">
      <c r="D135" s="96"/>
      <c r="E135" s="96"/>
      <c r="G135" s="77">
        <f t="shared" si="171"/>
        <v>0</v>
      </c>
      <c r="H135" s="78">
        <f t="shared" si="172"/>
        <v>0</v>
      </c>
      <c r="I135" s="77">
        <f t="shared" si="173"/>
        <v>0</v>
      </c>
      <c r="J135" s="78">
        <f t="shared" si="174"/>
        <v>0</v>
      </c>
      <c r="K135" s="78" t="str">
        <f t="shared" si="175"/>
        <v>1900-01-00 00:0:00</v>
      </c>
      <c r="L135" s="78" t="str">
        <f t="shared" si="176"/>
        <v>1900-01-00 00:0:00</v>
      </c>
      <c r="M135" s="79">
        <f t="shared" si="177"/>
        <v>0</v>
      </c>
      <c r="N135">
        <f t="shared" si="178"/>
        <v>1</v>
      </c>
      <c r="O135" t="str">
        <f>IFERROR(_xlfn.XLOOKUP(A135,HC!A:A,HC!C:C),"")</f>
        <v>Workforce</v>
      </c>
      <c r="R135" s="78" t="b">
        <f t="shared" ref="R135:AO135" si="182">IFERROR(IF($B135=$D$1,IF(AND($K135&lt;R$1,$L135&lt;R$1),"",IF(AND($K135&gt;S$1,$L135&gt;S$1),"",IF(AND($K135&lt;R$1,$L135&lt;=S$1),$L135-R$1,IF(AND($K135&gt;=R$1,$L135&gt;S$1),S$1-$K135,IF(AND($K135&gt;=R$1,$L135&lt;=S$1),$L135-$K135,IF(AND($K135&lt;R$1,$L135&gt;S$1),S$1-R$1,""))))))),"")</f>
        <v>0</v>
      </c>
      <c r="S135" s="78" t="b">
        <f t="shared" si="182"/>
        <v>0</v>
      </c>
      <c r="T135" s="78" t="b">
        <f t="shared" si="182"/>
        <v>0</v>
      </c>
      <c r="U135" s="78" t="b">
        <f t="shared" si="182"/>
        <v>0</v>
      </c>
      <c r="V135" s="78" t="b">
        <f t="shared" si="182"/>
        <v>0</v>
      </c>
      <c r="W135" s="78" t="b">
        <f t="shared" si="182"/>
        <v>0</v>
      </c>
      <c r="X135" s="78" t="b">
        <f t="shared" si="182"/>
        <v>0</v>
      </c>
      <c r="Y135" s="78" t="b">
        <f t="shared" si="182"/>
        <v>0</v>
      </c>
      <c r="Z135" s="78" t="b">
        <f t="shared" si="182"/>
        <v>0</v>
      </c>
      <c r="AA135" s="78" t="b">
        <f t="shared" si="182"/>
        <v>0</v>
      </c>
      <c r="AB135" s="78" t="b">
        <f t="shared" si="182"/>
        <v>0</v>
      </c>
      <c r="AC135" s="78" t="b">
        <f t="shared" si="182"/>
        <v>0</v>
      </c>
      <c r="AD135" s="78" t="b">
        <f t="shared" si="182"/>
        <v>0</v>
      </c>
      <c r="AE135" s="78" t="b">
        <f t="shared" si="182"/>
        <v>0</v>
      </c>
      <c r="AF135" s="78" t="b">
        <f t="shared" si="182"/>
        <v>0</v>
      </c>
      <c r="AG135" s="78" t="b">
        <f t="shared" si="182"/>
        <v>0</v>
      </c>
      <c r="AH135" s="78" t="b">
        <f t="shared" si="182"/>
        <v>0</v>
      </c>
      <c r="AI135" s="78" t="b">
        <f t="shared" si="182"/>
        <v>0</v>
      </c>
      <c r="AJ135" s="78" t="b">
        <f t="shared" si="182"/>
        <v>0</v>
      </c>
      <c r="AK135" s="78" t="b">
        <f t="shared" si="182"/>
        <v>0</v>
      </c>
      <c r="AL135" s="78" t="b">
        <f t="shared" si="182"/>
        <v>0</v>
      </c>
      <c r="AM135" s="78" t="b">
        <f t="shared" si="182"/>
        <v>0</v>
      </c>
      <c r="AN135" s="78" t="b">
        <f t="shared" si="182"/>
        <v>0</v>
      </c>
      <c r="AO135" s="78" t="b">
        <f t="shared" si="182"/>
        <v>0</v>
      </c>
      <c r="AP135" s="78"/>
    </row>
    <row r="136" spans="4:42" x14ac:dyDescent="0.35">
      <c r="D136" s="96"/>
      <c r="E136" s="96"/>
      <c r="G136" s="77">
        <f t="shared" si="171"/>
        <v>0</v>
      </c>
      <c r="H136" s="78">
        <f t="shared" si="172"/>
        <v>0</v>
      </c>
      <c r="I136" s="77">
        <f t="shared" si="173"/>
        <v>0</v>
      </c>
      <c r="J136" s="78">
        <f t="shared" si="174"/>
        <v>0</v>
      </c>
      <c r="K136" s="78" t="str">
        <f t="shared" si="175"/>
        <v>1900-01-00 00:0:00</v>
      </c>
      <c r="L136" s="78" t="str">
        <f t="shared" si="176"/>
        <v>1900-01-00 00:0:00</v>
      </c>
      <c r="M136" s="79">
        <f t="shared" si="177"/>
        <v>0</v>
      </c>
      <c r="N136">
        <f t="shared" si="178"/>
        <v>1</v>
      </c>
      <c r="O136" t="str">
        <f>IFERROR(_xlfn.XLOOKUP(A136,HC!A:A,HC!C:C),"")</f>
        <v>Workforce</v>
      </c>
      <c r="R136" s="78" t="b">
        <f t="shared" ref="R136:AO136" si="183">IFERROR(IF($B136=$D$1,IF(AND($K136&lt;R$1,$L136&lt;R$1),"",IF(AND($K136&gt;S$1,$L136&gt;S$1),"",IF(AND($K136&lt;R$1,$L136&lt;=S$1),$L136-R$1,IF(AND($K136&gt;=R$1,$L136&gt;S$1),S$1-$K136,IF(AND($K136&gt;=R$1,$L136&lt;=S$1),$L136-$K136,IF(AND($K136&lt;R$1,$L136&gt;S$1),S$1-R$1,""))))))),"")</f>
        <v>0</v>
      </c>
      <c r="S136" s="78" t="b">
        <f t="shared" si="183"/>
        <v>0</v>
      </c>
      <c r="T136" s="78" t="b">
        <f t="shared" si="183"/>
        <v>0</v>
      </c>
      <c r="U136" s="78" t="b">
        <f t="shared" si="183"/>
        <v>0</v>
      </c>
      <c r="V136" s="78" t="b">
        <f t="shared" si="183"/>
        <v>0</v>
      </c>
      <c r="W136" s="78" t="b">
        <f t="shared" si="183"/>
        <v>0</v>
      </c>
      <c r="X136" s="78" t="b">
        <f t="shared" si="183"/>
        <v>0</v>
      </c>
      <c r="Y136" s="78" t="b">
        <f t="shared" si="183"/>
        <v>0</v>
      </c>
      <c r="Z136" s="78" t="b">
        <f t="shared" si="183"/>
        <v>0</v>
      </c>
      <c r="AA136" s="78" t="b">
        <f t="shared" si="183"/>
        <v>0</v>
      </c>
      <c r="AB136" s="78" t="b">
        <f t="shared" si="183"/>
        <v>0</v>
      </c>
      <c r="AC136" s="78" t="b">
        <f t="shared" si="183"/>
        <v>0</v>
      </c>
      <c r="AD136" s="78" t="b">
        <f t="shared" si="183"/>
        <v>0</v>
      </c>
      <c r="AE136" s="78" t="b">
        <f t="shared" si="183"/>
        <v>0</v>
      </c>
      <c r="AF136" s="78" t="b">
        <f t="shared" si="183"/>
        <v>0</v>
      </c>
      <c r="AG136" s="78" t="b">
        <f t="shared" si="183"/>
        <v>0</v>
      </c>
      <c r="AH136" s="78" t="b">
        <f t="shared" si="183"/>
        <v>0</v>
      </c>
      <c r="AI136" s="78" t="b">
        <f t="shared" si="183"/>
        <v>0</v>
      </c>
      <c r="AJ136" s="78" t="b">
        <f t="shared" si="183"/>
        <v>0</v>
      </c>
      <c r="AK136" s="78" t="b">
        <f t="shared" si="183"/>
        <v>0</v>
      </c>
      <c r="AL136" s="78" t="b">
        <f t="shared" si="183"/>
        <v>0</v>
      </c>
      <c r="AM136" s="78" t="b">
        <f t="shared" si="183"/>
        <v>0</v>
      </c>
      <c r="AN136" s="78" t="b">
        <f t="shared" si="183"/>
        <v>0</v>
      </c>
      <c r="AO136" s="78" t="b">
        <f t="shared" si="183"/>
        <v>0</v>
      </c>
      <c r="AP136" s="78"/>
    </row>
    <row r="137" spans="4:42" x14ac:dyDescent="0.35">
      <c r="D137" s="96"/>
      <c r="E137" s="96"/>
      <c r="G137" s="77">
        <f t="shared" si="171"/>
        <v>0</v>
      </c>
      <c r="H137" s="78">
        <f t="shared" si="172"/>
        <v>0</v>
      </c>
      <c r="I137" s="77">
        <f t="shared" si="173"/>
        <v>0</v>
      </c>
      <c r="J137" s="78">
        <f t="shared" si="174"/>
        <v>0</v>
      </c>
      <c r="K137" s="78" t="str">
        <f t="shared" si="175"/>
        <v>1900-01-00 00:0:00</v>
      </c>
      <c r="L137" s="78" t="str">
        <f t="shared" si="176"/>
        <v>1900-01-00 00:0:00</v>
      </c>
      <c r="M137" s="79">
        <f t="shared" si="177"/>
        <v>0</v>
      </c>
      <c r="N137">
        <f t="shared" si="178"/>
        <v>1</v>
      </c>
      <c r="O137" t="str">
        <f>IFERROR(_xlfn.XLOOKUP(A137,HC!A:A,HC!C:C),"")</f>
        <v>Workforce</v>
      </c>
      <c r="R137" s="78" t="b">
        <f t="shared" ref="R137:AO137" si="184">IFERROR(IF($B137=$D$1,IF(AND($K137&lt;R$1,$L137&lt;R$1),"",IF(AND($K137&gt;S$1,$L137&gt;S$1),"",IF(AND($K137&lt;R$1,$L137&lt;=S$1),$L137-R$1,IF(AND($K137&gt;=R$1,$L137&gt;S$1),S$1-$K137,IF(AND($K137&gt;=R$1,$L137&lt;=S$1),$L137-$K137,IF(AND($K137&lt;R$1,$L137&gt;S$1),S$1-R$1,""))))))),"")</f>
        <v>0</v>
      </c>
      <c r="S137" s="78" t="b">
        <f t="shared" si="184"/>
        <v>0</v>
      </c>
      <c r="T137" s="78" t="b">
        <f t="shared" si="184"/>
        <v>0</v>
      </c>
      <c r="U137" s="78" t="b">
        <f t="shared" si="184"/>
        <v>0</v>
      </c>
      <c r="V137" s="78" t="b">
        <f t="shared" si="184"/>
        <v>0</v>
      </c>
      <c r="W137" s="78" t="b">
        <f t="shared" si="184"/>
        <v>0</v>
      </c>
      <c r="X137" s="78" t="b">
        <f t="shared" si="184"/>
        <v>0</v>
      </c>
      <c r="Y137" s="78" t="b">
        <f t="shared" si="184"/>
        <v>0</v>
      </c>
      <c r="Z137" s="78" t="b">
        <f t="shared" si="184"/>
        <v>0</v>
      </c>
      <c r="AA137" s="78" t="b">
        <f t="shared" si="184"/>
        <v>0</v>
      </c>
      <c r="AB137" s="78" t="b">
        <f t="shared" si="184"/>
        <v>0</v>
      </c>
      <c r="AC137" s="78" t="b">
        <f t="shared" si="184"/>
        <v>0</v>
      </c>
      <c r="AD137" s="78" t="b">
        <f t="shared" si="184"/>
        <v>0</v>
      </c>
      <c r="AE137" s="78" t="b">
        <f t="shared" si="184"/>
        <v>0</v>
      </c>
      <c r="AF137" s="78" t="b">
        <f t="shared" si="184"/>
        <v>0</v>
      </c>
      <c r="AG137" s="78" t="b">
        <f t="shared" si="184"/>
        <v>0</v>
      </c>
      <c r="AH137" s="78" t="b">
        <f t="shared" si="184"/>
        <v>0</v>
      </c>
      <c r="AI137" s="78" t="b">
        <f t="shared" si="184"/>
        <v>0</v>
      </c>
      <c r="AJ137" s="78" t="b">
        <f t="shared" si="184"/>
        <v>0</v>
      </c>
      <c r="AK137" s="78" t="b">
        <f t="shared" si="184"/>
        <v>0</v>
      </c>
      <c r="AL137" s="78" t="b">
        <f t="shared" si="184"/>
        <v>0</v>
      </c>
      <c r="AM137" s="78" t="b">
        <f t="shared" si="184"/>
        <v>0</v>
      </c>
      <c r="AN137" s="78" t="b">
        <f t="shared" si="184"/>
        <v>0</v>
      </c>
      <c r="AO137" s="78" t="b">
        <f t="shared" si="184"/>
        <v>0</v>
      </c>
      <c r="AP137" s="78"/>
    </row>
    <row r="138" spans="4:42" x14ac:dyDescent="0.35">
      <c r="D138" s="96"/>
      <c r="E138" s="96"/>
      <c r="G138" s="77">
        <f t="shared" si="171"/>
        <v>0</v>
      </c>
      <c r="H138" s="78">
        <f t="shared" si="172"/>
        <v>0</v>
      </c>
      <c r="I138" s="77">
        <f t="shared" si="173"/>
        <v>0</v>
      </c>
      <c r="J138" s="78">
        <f t="shared" si="174"/>
        <v>0</v>
      </c>
      <c r="K138" s="78" t="str">
        <f t="shared" si="175"/>
        <v>1900-01-00 00:0:00</v>
      </c>
      <c r="L138" s="78" t="str">
        <f t="shared" si="176"/>
        <v>1900-01-00 00:0:00</v>
      </c>
      <c r="M138" s="79">
        <f t="shared" si="177"/>
        <v>0</v>
      </c>
      <c r="N138">
        <f t="shared" si="178"/>
        <v>1</v>
      </c>
      <c r="O138" t="str">
        <f>IFERROR(_xlfn.XLOOKUP(A138,HC!A:A,HC!C:C),"")</f>
        <v>Workforce</v>
      </c>
      <c r="R138" s="78" t="b">
        <f t="shared" ref="R138:AO138" si="185">IFERROR(IF($B138=$D$1,IF(AND($K138&lt;R$1,$L138&lt;R$1),"",IF(AND($K138&gt;S$1,$L138&gt;S$1),"",IF(AND($K138&lt;R$1,$L138&lt;=S$1),$L138-R$1,IF(AND($K138&gt;=R$1,$L138&gt;S$1),S$1-$K138,IF(AND($K138&gt;=R$1,$L138&lt;=S$1),$L138-$K138,IF(AND($K138&lt;R$1,$L138&gt;S$1),S$1-R$1,""))))))),"")</f>
        <v>0</v>
      </c>
      <c r="S138" s="78" t="b">
        <f t="shared" si="185"/>
        <v>0</v>
      </c>
      <c r="T138" s="78" t="b">
        <f t="shared" si="185"/>
        <v>0</v>
      </c>
      <c r="U138" s="78" t="b">
        <f t="shared" si="185"/>
        <v>0</v>
      </c>
      <c r="V138" s="78" t="b">
        <f t="shared" si="185"/>
        <v>0</v>
      </c>
      <c r="W138" s="78" t="b">
        <f t="shared" si="185"/>
        <v>0</v>
      </c>
      <c r="X138" s="78" t="b">
        <f t="shared" si="185"/>
        <v>0</v>
      </c>
      <c r="Y138" s="78" t="b">
        <f t="shared" si="185"/>
        <v>0</v>
      </c>
      <c r="Z138" s="78" t="b">
        <f t="shared" si="185"/>
        <v>0</v>
      </c>
      <c r="AA138" s="78" t="b">
        <f t="shared" si="185"/>
        <v>0</v>
      </c>
      <c r="AB138" s="78" t="b">
        <f t="shared" si="185"/>
        <v>0</v>
      </c>
      <c r="AC138" s="78" t="b">
        <f t="shared" si="185"/>
        <v>0</v>
      </c>
      <c r="AD138" s="78" t="b">
        <f t="shared" si="185"/>
        <v>0</v>
      </c>
      <c r="AE138" s="78" t="b">
        <f t="shared" si="185"/>
        <v>0</v>
      </c>
      <c r="AF138" s="78" t="b">
        <f t="shared" si="185"/>
        <v>0</v>
      </c>
      <c r="AG138" s="78" t="b">
        <f t="shared" si="185"/>
        <v>0</v>
      </c>
      <c r="AH138" s="78" t="b">
        <f t="shared" si="185"/>
        <v>0</v>
      </c>
      <c r="AI138" s="78" t="b">
        <f t="shared" si="185"/>
        <v>0</v>
      </c>
      <c r="AJ138" s="78" t="b">
        <f t="shared" si="185"/>
        <v>0</v>
      </c>
      <c r="AK138" s="78" t="b">
        <f t="shared" si="185"/>
        <v>0</v>
      </c>
      <c r="AL138" s="78" t="b">
        <f t="shared" si="185"/>
        <v>0</v>
      </c>
      <c r="AM138" s="78" t="b">
        <f t="shared" si="185"/>
        <v>0</v>
      </c>
      <c r="AN138" s="78" t="b">
        <f t="shared" si="185"/>
        <v>0</v>
      </c>
      <c r="AO138" s="78" t="b">
        <f t="shared" si="185"/>
        <v>0</v>
      </c>
      <c r="AP138" s="78"/>
    </row>
    <row r="139" spans="4:42" x14ac:dyDescent="0.35">
      <c r="D139" s="96"/>
      <c r="E139" s="96"/>
      <c r="G139" s="77">
        <f t="shared" si="171"/>
        <v>0</v>
      </c>
      <c r="H139" s="78">
        <f t="shared" si="172"/>
        <v>0</v>
      </c>
      <c r="I139" s="77">
        <f t="shared" si="173"/>
        <v>0</v>
      </c>
      <c r="J139" s="78">
        <f t="shared" si="174"/>
        <v>0</v>
      </c>
      <c r="K139" s="78" t="str">
        <f t="shared" si="175"/>
        <v>1900-01-00 00:0:00</v>
      </c>
      <c r="L139" s="78" t="str">
        <f t="shared" si="176"/>
        <v>1900-01-00 00:0:00</v>
      </c>
      <c r="M139" s="79">
        <f t="shared" si="177"/>
        <v>0</v>
      </c>
      <c r="N139">
        <f t="shared" si="178"/>
        <v>1</v>
      </c>
      <c r="O139" t="str">
        <f>IFERROR(_xlfn.XLOOKUP(A139,HC!A:A,HC!C:C),"")</f>
        <v>Workforce</v>
      </c>
      <c r="R139" s="78" t="b">
        <f t="shared" ref="R139:AO139" si="186">IFERROR(IF($B139=$D$1,IF(AND($K139&lt;R$1,$L139&lt;R$1),"",IF(AND($K139&gt;S$1,$L139&gt;S$1),"",IF(AND($K139&lt;R$1,$L139&lt;=S$1),$L139-R$1,IF(AND($K139&gt;=R$1,$L139&gt;S$1),S$1-$K139,IF(AND($K139&gt;=R$1,$L139&lt;=S$1),$L139-$K139,IF(AND($K139&lt;R$1,$L139&gt;S$1),S$1-R$1,""))))))),"")</f>
        <v>0</v>
      </c>
      <c r="S139" s="78" t="b">
        <f t="shared" si="186"/>
        <v>0</v>
      </c>
      <c r="T139" s="78" t="b">
        <f t="shared" si="186"/>
        <v>0</v>
      </c>
      <c r="U139" s="78" t="b">
        <f t="shared" si="186"/>
        <v>0</v>
      </c>
      <c r="V139" s="78" t="b">
        <f t="shared" si="186"/>
        <v>0</v>
      </c>
      <c r="W139" s="78" t="b">
        <f t="shared" si="186"/>
        <v>0</v>
      </c>
      <c r="X139" s="78" t="b">
        <f t="shared" si="186"/>
        <v>0</v>
      </c>
      <c r="Y139" s="78" t="b">
        <f t="shared" si="186"/>
        <v>0</v>
      </c>
      <c r="Z139" s="78" t="b">
        <f t="shared" si="186"/>
        <v>0</v>
      </c>
      <c r="AA139" s="78" t="b">
        <f t="shared" si="186"/>
        <v>0</v>
      </c>
      <c r="AB139" s="78" t="b">
        <f t="shared" si="186"/>
        <v>0</v>
      </c>
      <c r="AC139" s="78" t="b">
        <f t="shared" si="186"/>
        <v>0</v>
      </c>
      <c r="AD139" s="78" t="b">
        <f t="shared" si="186"/>
        <v>0</v>
      </c>
      <c r="AE139" s="78" t="b">
        <f t="shared" si="186"/>
        <v>0</v>
      </c>
      <c r="AF139" s="78" t="b">
        <f t="shared" si="186"/>
        <v>0</v>
      </c>
      <c r="AG139" s="78" t="b">
        <f t="shared" si="186"/>
        <v>0</v>
      </c>
      <c r="AH139" s="78" t="b">
        <f t="shared" si="186"/>
        <v>0</v>
      </c>
      <c r="AI139" s="78" t="b">
        <f t="shared" si="186"/>
        <v>0</v>
      </c>
      <c r="AJ139" s="78" t="b">
        <f t="shared" si="186"/>
        <v>0</v>
      </c>
      <c r="AK139" s="78" t="b">
        <f t="shared" si="186"/>
        <v>0</v>
      </c>
      <c r="AL139" s="78" t="b">
        <f t="shared" si="186"/>
        <v>0</v>
      </c>
      <c r="AM139" s="78" t="b">
        <f t="shared" si="186"/>
        <v>0</v>
      </c>
      <c r="AN139" s="78" t="b">
        <f t="shared" si="186"/>
        <v>0</v>
      </c>
      <c r="AO139" s="78" t="b">
        <f t="shared" si="186"/>
        <v>0</v>
      </c>
      <c r="AP139" s="78"/>
    </row>
    <row r="140" spans="4:42" x14ac:dyDescent="0.35">
      <c r="D140" s="96"/>
      <c r="E140" s="96"/>
      <c r="G140" s="77">
        <f t="shared" si="171"/>
        <v>0</v>
      </c>
      <c r="H140" s="78">
        <f t="shared" si="172"/>
        <v>0</v>
      </c>
      <c r="I140" s="77">
        <f t="shared" si="173"/>
        <v>0</v>
      </c>
      <c r="J140" s="78">
        <f t="shared" si="174"/>
        <v>0</v>
      </c>
      <c r="K140" s="78" t="str">
        <f t="shared" si="175"/>
        <v>1900-01-00 00:0:00</v>
      </c>
      <c r="L140" s="78" t="str">
        <f t="shared" si="176"/>
        <v>1900-01-00 00:0:00</v>
      </c>
      <c r="M140" s="79">
        <f t="shared" si="177"/>
        <v>0</v>
      </c>
      <c r="N140">
        <f t="shared" si="178"/>
        <v>1</v>
      </c>
      <c r="O140" t="str">
        <f>IFERROR(_xlfn.XLOOKUP(A140,HC!A:A,HC!C:C),"")</f>
        <v>Workforce</v>
      </c>
      <c r="R140" s="78" t="b">
        <f t="shared" ref="R140:AO140" si="187">IFERROR(IF($B140=$D$1,IF(AND($K140&lt;R$1,$L140&lt;R$1),"",IF(AND($K140&gt;S$1,$L140&gt;S$1),"",IF(AND($K140&lt;R$1,$L140&lt;=S$1),$L140-R$1,IF(AND($K140&gt;=R$1,$L140&gt;S$1),S$1-$K140,IF(AND($K140&gt;=R$1,$L140&lt;=S$1),$L140-$K140,IF(AND($K140&lt;R$1,$L140&gt;S$1),S$1-R$1,""))))))),"")</f>
        <v>0</v>
      </c>
      <c r="S140" s="78" t="b">
        <f t="shared" si="187"/>
        <v>0</v>
      </c>
      <c r="T140" s="78" t="b">
        <f t="shared" si="187"/>
        <v>0</v>
      </c>
      <c r="U140" s="78" t="b">
        <f t="shared" si="187"/>
        <v>0</v>
      </c>
      <c r="V140" s="78" t="b">
        <f t="shared" si="187"/>
        <v>0</v>
      </c>
      <c r="W140" s="78" t="b">
        <f t="shared" si="187"/>
        <v>0</v>
      </c>
      <c r="X140" s="78" t="b">
        <f t="shared" si="187"/>
        <v>0</v>
      </c>
      <c r="Y140" s="78" t="b">
        <f t="shared" si="187"/>
        <v>0</v>
      </c>
      <c r="Z140" s="78" t="b">
        <f t="shared" si="187"/>
        <v>0</v>
      </c>
      <c r="AA140" s="78" t="b">
        <f t="shared" si="187"/>
        <v>0</v>
      </c>
      <c r="AB140" s="78" t="b">
        <f t="shared" si="187"/>
        <v>0</v>
      </c>
      <c r="AC140" s="78" t="b">
        <f t="shared" si="187"/>
        <v>0</v>
      </c>
      <c r="AD140" s="78" t="b">
        <f t="shared" si="187"/>
        <v>0</v>
      </c>
      <c r="AE140" s="78" t="b">
        <f t="shared" si="187"/>
        <v>0</v>
      </c>
      <c r="AF140" s="78" t="b">
        <f t="shared" si="187"/>
        <v>0</v>
      </c>
      <c r="AG140" s="78" t="b">
        <f t="shared" si="187"/>
        <v>0</v>
      </c>
      <c r="AH140" s="78" t="b">
        <f t="shared" si="187"/>
        <v>0</v>
      </c>
      <c r="AI140" s="78" t="b">
        <f t="shared" si="187"/>
        <v>0</v>
      </c>
      <c r="AJ140" s="78" t="b">
        <f t="shared" si="187"/>
        <v>0</v>
      </c>
      <c r="AK140" s="78" t="b">
        <f t="shared" si="187"/>
        <v>0</v>
      </c>
      <c r="AL140" s="78" t="b">
        <f t="shared" si="187"/>
        <v>0</v>
      </c>
      <c r="AM140" s="78" t="b">
        <f t="shared" si="187"/>
        <v>0</v>
      </c>
      <c r="AN140" s="78" t="b">
        <f t="shared" si="187"/>
        <v>0</v>
      </c>
      <c r="AO140" s="78" t="b">
        <f t="shared" si="187"/>
        <v>0</v>
      </c>
      <c r="AP140" s="78"/>
    </row>
    <row r="141" spans="4:42" x14ac:dyDescent="0.35">
      <c r="D141" s="96"/>
      <c r="E141" s="96"/>
      <c r="G141" s="77">
        <f t="shared" si="171"/>
        <v>0</v>
      </c>
      <c r="H141" s="78">
        <f t="shared" si="172"/>
        <v>0</v>
      </c>
      <c r="I141" s="77">
        <f t="shared" si="173"/>
        <v>0</v>
      </c>
      <c r="J141" s="78">
        <f t="shared" si="174"/>
        <v>0</v>
      </c>
      <c r="K141" s="78" t="str">
        <f t="shared" si="175"/>
        <v>1900-01-00 00:0:00</v>
      </c>
      <c r="L141" s="78" t="str">
        <f t="shared" si="176"/>
        <v>1900-01-00 00:0:00</v>
      </c>
      <c r="M141" s="79">
        <f t="shared" si="177"/>
        <v>0</v>
      </c>
      <c r="N141">
        <f t="shared" si="178"/>
        <v>1</v>
      </c>
      <c r="O141" t="str">
        <f>IFERROR(_xlfn.XLOOKUP(A141,HC!A:A,HC!C:C),"")</f>
        <v>Workforce</v>
      </c>
      <c r="R141" s="78" t="b">
        <f t="shared" ref="R141:AO141" si="188">IFERROR(IF($B141=$D$1,IF(AND($K141&lt;R$1,$L141&lt;R$1),"",IF(AND($K141&gt;S$1,$L141&gt;S$1),"",IF(AND($K141&lt;R$1,$L141&lt;=S$1),$L141-R$1,IF(AND($K141&gt;=R$1,$L141&gt;S$1),S$1-$K141,IF(AND($K141&gt;=R$1,$L141&lt;=S$1),$L141-$K141,IF(AND($K141&lt;R$1,$L141&gt;S$1),S$1-R$1,""))))))),"")</f>
        <v>0</v>
      </c>
      <c r="S141" s="78" t="b">
        <f t="shared" si="188"/>
        <v>0</v>
      </c>
      <c r="T141" s="78" t="b">
        <f t="shared" si="188"/>
        <v>0</v>
      </c>
      <c r="U141" s="78" t="b">
        <f t="shared" si="188"/>
        <v>0</v>
      </c>
      <c r="V141" s="78" t="b">
        <f t="shared" si="188"/>
        <v>0</v>
      </c>
      <c r="W141" s="78" t="b">
        <f t="shared" si="188"/>
        <v>0</v>
      </c>
      <c r="X141" s="78" t="b">
        <f t="shared" si="188"/>
        <v>0</v>
      </c>
      <c r="Y141" s="78" t="b">
        <f t="shared" si="188"/>
        <v>0</v>
      </c>
      <c r="Z141" s="78" t="b">
        <f t="shared" si="188"/>
        <v>0</v>
      </c>
      <c r="AA141" s="78" t="b">
        <f t="shared" si="188"/>
        <v>0</v>
      </c>
      <c r="AB141" s="78" t="b">
        <f t="shared" si="188"/>
        <v>0</v>
      </c>
      <c r="AC141" s="78" t="b">
        <f t="shared" si="188"/>
        <v>0</v>
      </c>
      <c r="AD141" s="78" t="b">
        <f t="shared" si="188"/>
        <v>0</v>
      </c>
      <c r="AE141" s="78" t="b">
        <f t="shared" si="188"/>
        <v>0</v>
      </c>
      <c r="AF141" s="78" t="b">
        <f t="shared" si="188"/>
        <v>0</v>
      </c>
      <c r="AG141" s="78" t="b">
        <f t="shared" si="188"/>
        <v>0</v>
      </c>
      <c r="AH141" s="78" t="b">
        <f t="shared" si="188"/>
        <v>0</v>
      </c>
      <c r="AI141" s="78" t="b">
        <f t="shared" si="188"/>
        <v>0</v>
      </c>
      <c r="AJ141" s="78" t="b">
        <f t="shared" si="188"/>
        <v>0</v>
      </c>
      <c r="AK141" s="78" t="b">
        <f t="shared" si="188"/>
        <v>0</v>
      </c>
      <c r="AL141" s="78" t="b">
        <f t="shared" si="188"/>
        <v>0</v>
      </c>
      <c r="AM141" s="78" t="b">
        <f t="shared" si="188"/>
        <v>0</v>
      </c>
      <c r="AN141" s="78" t="b">
        <f t="shared" si="188"/>
        <v>0</v>
      </c>
      <c r="AO141" s="78" t="b">
        <f t="shared" si="188"/>
        <v>0</v>
      </c>
      <c r="AP141" s="78"/>
    </row>
    <row r="142" spans="4:42" x14ac:dyDescent="0.35">
      <c r="D142" s="96"/>
      <c r="E142" s="96"/>
      <c r="G142" s="77">
        <f t="shared" si="171"/>
        <v>0</v>
      </c>
      <c r="H142" s="78">
        <f t="shared" si="172"/>
        <v>0</v>
      </c>
      <c r="I142" s="77">
        <f t="shared" si="173"/>
        <v>0</v>
      </c>
      <c r="J142" s="78">
        <f t="shared" si="174"/>
        <v>0</v>
      </c>
      <c r="K142" s="78" t="str">
        <f t="shared" si="175"/>
        <v>1900-01-00 00:0:00</v>
      </c>
      <c r="L142" s="78" t="str">
        <f t="shared" si="176"/>
        <v>1900-01-00 00:0:00</v>
      </c>
      <c r="M142" s="79">
        <f t="shared" si="177"/>
        <v>0</v>
      </c>
      <c r="N142">
        <f t="shared" si="178"/>
        <v>1</v>
      </c>
      <c r="O142" t="str">
        <f>IFERROR(_xlfn.XLOOKUP(A142,HC!A:A,HC!C:C),"")</f>
        <v>Workforce</v>
      </c>
      <c r="R142" s="78" t="b">
        <f t="shared" ref="R142:AO142" si="189">IFERROR(IF($B142=$D$1,IF(AND($K142&lt;R$1,$L142&lt;R$1),"",IF(AND($K142&gt;S$1,$L142&gt;S$1),"",IF(AND($K142&lt;R$1,$L142&lt;=S$1),$L142-R$1,IF(AND($K142&gt;=R$1,$L142&gt;S$1),S$1-$K142,IF(AND($K142&gt;=R$1,$L142&lt;=S$1),$L142-$K142,IF(AND($K142&lt;R$1,$L142&gt;S$1),S$1-R$1,""))))))),"")</f>
        <v>0</v>
      </c>
      <c r="S142" s="78" t="b">
        <f t="shared" si="189"/>
        <v>0</v>
      </c>
      <c r="T142" s="78" t="b">
        <f t="shared" si="189"/>
        <v>0</v>
      </c>
      <c r="U142" s="78" t="b">
        <f t="shared" si="189"/>
        <v>0</v>
      </c>
      <c r="V142" s="78" t="b">
        <f t="shared" si="189"/>
        <v>0</v>
      </c>
      <c r="W142" s="78" t="b">
        <f t="shared" si="189"/>
        <v>0</v>
      </c>
      <c r="X142" s="78" t="b">
        <f t="shared" si="189"/>
        <v>0</v>
      </c>
      <c r="Y142" s="78" t="b">
        <f t="shared" si="189"/>
        <v>0</v>
      </c>
      <c r="Z142" s="78" t="b">
        <f t="shared" si="189"/>
        <v>0</v>
      </c>
      <c r="AA142" s="78" t="b">
        <f t="shared" si="189"/>
        <v>0</v>
      </c>
      <c r="AB142" s="78" t="b">
        <f t="shared" si="189"/>
        <v>0</v>
      </c>
      <c r="AC142" s="78" t="b">
        <f t="shared" si="189"/>
        <v>0</v>
      </c>
      <c r="AD142" s="78" t="b">
        <f t="shared" si="189"/>
        <v>0</v>
      </c>
      <c r="AE142" s="78" t="b">
        <f t="shared" si="189"/>
        <v>0</v>
      </c>
      <c r="AF142" s="78" t="b">
        <f t="shared" si="189"/>
        <v>0</v>
      </c>
      <c r="AG142" s="78" t="b">
        <f t="shared" si="189"/>
        <v>0</v>
      </c>
      <c r="AH142" s="78" t="b">
        <f t="shared" si="189"/>
        <v>0</v>
      </c>
      <c r="AI142" s="78" t="b">
        <f t="shared" si="189"/>
        <v>0</v>
      </c>
      <c r="AJ142" s="78" t="b">
        <f t="shared" si="189"/>
        <v>0</v>
      </c>
      <c r="AK142" s="78" t="b">
        <f t="shared" si="189"/>
        <v>0</v>
      </c>
      <c r="AL142" s="78" t="b">
        <f t="shared" si="189"/>
        <v>0</v>
      </c>
      <c r="AM142" s="78" t="b">
        <f t="shared" si="189"/>
        <v>0</v>
      </c>
      <c r="AN142" s="78" t="b">
        <f t="shared" si="189"/>
        <v>0</v>
      </c>
      <c r="AO142" s="78" t="b">
        <f t="shared" si="189"/>
        <v>0</v>
      </c>
      <c r="AP142" s="78"/>
    </row>
    <row r="143" spans="4:42" x14ac:dyDescent="0.35">
      <c r="D143" s="96"/>
      <c r="E143" s="96"/>
      <c r="G143" s="77">
        <f t="shared" si="171"/>
        <v>0</v>
      </c>
      <c r="H143" s="78">
        <f t="shared" si="172"/>
        <v>0</v>
      </c>
      <c r="I143" s="77">
        <f t="shared" si="173"/>
        <v>0</v>
      </c>
      <c r="J143" s="78">
        <f t="shared" si="174"/>
        <v>0</v>
      </c>
      <c r="K143" s="78" t="str">
        <f t="shared" si="175"/>
        <v>1900-01-00 00:0:00</v>
      </c>
      <c r="L143" s="78" t="str">
        <f t="shared" si="176"/>
        <v>1900-01-00 00:0:00</v>
      </c>
      <c r="M143" s="79">
        <f t="shared" si="177"/>
        <v>0</v>
      </c>
      <c r="N143">
        <f t="shared" si="178"/>
        <v>1</v>
      </c>
      <c r="O143" t="str">
        <f>IFERROR(_xlfn.XLOOKUP(A143,HC!A:A,HC!C:C),"")</f>
        <v>Workforce</v>
      </c>
      <c r="R143" s="78" t="b">
        <f t="shared" ref="R143:AO143" si="190">IFERROR(IF($B143=$D$1,IF(AND($K143&lt;R$1,$L143&lt;R$1),"",IF(AND($K143&gt;S$1,$L143&gt;S$1),"",IF(AND($K143&lt;R$1,$L143&lt;=S$1),$L143-R$1,IF(AND($K143&gt;=R$1,$L143&gt;S$1),S$1-$K143,IF(AND($K143&gt;=R$1,$L143&lt;=S$1),$L143-$K143,IF(AND($K143&lt;R$1,$L143&gt;S$1),S$1-R$1,""))))))),"")</f>
        <v>0</v>
      </c>
      <c r="S143" s="78" t="b">
        <f t="shared" si="190"/>
        <v>0</v>
      </c>
      <c r="T143" s="78" t="b">
        <f t="shared" si="190"/>
        <v>0</v>
      </c>
      <c r="U143" s="78" t="b">
        <f t="shared" si="190"/>
        <v>0</v>
      </c>
      <c r="V143" s="78" t="b">
        <f t="shared" si="190"/>
        <v>0</v>
      </c>
      <c r="W143" s="78" t="b">
        <f t="shared" si="190"/>
        <v>0</v>
      </c>
      <c r="X143" s="78" t="b">
        <f t="shared" si="190"/>
        <v>0</v>
      </c>
      <c r="Y143" s="78" t="b">
        <f t="shared" si="190"/>
        <v>0</v>
      </c>
      <c r="Z143" s="78" t="b">
        <f t="shared" si="190"/>
        <v>0</v>
      </c>
      <c r="AA143" s="78" t="b">
        <f t="shared" si="190"/>
        <v>0</v>
      </c>
      <c r="AB143" s="78" t="b">
        <f t="shared" si="190"/>
        <v>0</v>
      </c>
      <c r="AC143" s="78" t="b">
        <f t="shared" si="190"/>
        <v>0</v>
      </c>
      <c r="AD143" s="78" t="b">
        <f t="shared" si="190"/>
        <v>0</v>
      </c>
      <c r="AE143" s="78" t="b">
        <f t="shared" si="190"/>
        <v>0</v>
      </c>
      <c r="AF143" s="78" t="b">
        <f t="shared" si="190"/>
        <v>0</v>
      </c>
      <c r="AG143" s="78" t="b">
        <f t="shared" si="190"/>
        <v>0</v>
      </c>
      <c r="AH143" s="78" t="b">
        <f t="shared" si="190"/>
        <v>0</v>
      </c>
      <c r="AI143" s="78" t="b">
        <f t="shared" si="190"/>
        <v>0</v>
      </c>
      <c r="AJ143" s="78" t="b">
        <f t="shared" si="190"/>
        <v>0</v>
      </c>
      <c r="AK143" s="78" t="b">
        <f t="shared" si="190"/>
        <v>0</v>
      </c>
      <c r="AL143" s="78" t="b">
        <f t="shared" si="190"/>
        <v>0</v>
      </c>
      <c r="AM143" s="78" t="b">
        <f t="shared" si="190"/>
        <v>0</v>
      </c>
      <c r="AN143" s="78" t="b">
        <f t="shared" si="190"/>
        <v>0</v>
      </c>
      <c r="AO143" s="78" t="b">
        <f t="shared" si="190"/>
        <v>0</v>
      </c>
      <c r="AP143" s="78"/>
    </row>
    <row r="144" spans="4:42" x14ac:dyDescent="0.35">
      <c r="D144" s="96"/>
      <c r="E144" s="96"/>
      <c r="G144" s="77">
        <f t="shared" si="171"/>
        <v>0</v>
      </c>
      <c r="H144" s="78">
        <f t="shared" si="172"/>
        <v>0</v>
      </c>
      <c r="I144" s="77">
        <f t="shared" si="173"/>
        <v>0</v>
      </c>
      <c r="J144" s="78">
        <f t="shared" si="174"/>
        <v>0</v>
      </c>
      <c r="K144" s="78" t="str">
        <f t="shared" si="175"/>
        <v>1900-01-00 00:0:00</v>
      </c>
      <c r="L144" s="78" t="str">
        <f t="shared" si="176"/>
        <v>1900-01-00 00:0:00</v>
      </c>
      <c r="M144" s="79">
        <f t="shared" si="177"/>
        <v>0</v>
      </c>
      <c r="N144">
        <f t="shared" si="178"/>
        <v>1</v>
      </c>
      <c r="O144" t="str">
        <f>IFERROR(_xlfn.XLOOKUP(A144,HC!A:A,HC!C:C),"")</f>
        <v>Workforce</v>
      </c>
      <c r="R144" s="78" t="b">
        <f t="shared" ref="R144:AO144" si="191">IFERROR(IF($B144=$D$1,IF(AND($K144&lt;R$1,$L144&lt;R$1),"",IF(AND($K144&gt;S$1,$L144&gt;S$1),"",IF(AND($K144&lt;R$1,$L144&lt;=S$1),$L144-R$1,IF(AND($K144&gt;=R$1,$L144&gt;S$1),S$1-$K144,IF(AND($K144&gt;=R$1,$L144&lt;=S$1),$L144-$K144,IF(AND($K144&lt;R$1,$L144&gt;S$1),S$1-R$1,""))))))),"")</f>
        <v>0</v>
      </c>
      <c r="S144" s="78" t="b">
        <f t="shared" si="191"/>
        <v>0</v>
      </c>
      <c r="T144" s="78" t="b">
        <f t="shared" si="191"/>
        <v>0</v>
      </c>
      <c r="U144" s="78" t="b">
        <f t="shared" si="191"/>
        <v>0</v>
      </c>
      <c r="V144" s="78" t="b">
        <f t="shared" si="191"/>
        <v>0</v>
      </c>
      <c r="W144" s="78" t="b">
        <f t="shared" si="191"/>
        <v>0</v>
      </c>
      <c r="X144" s="78" t="b">
        <f t="shared" si="191"/>
        <v>0</v>
      </c>
      <c r="Y144" s="78" t="b">
        <f t="shared" si="191"/>
        <v>0</v>
      </c>
      <c r="Z144" s="78" t="b">
        <f t="shared" si="191"/>
        <v>0</v>
      </c>
      <c r="AA144" s="78" t="b">
        <f t="shared" si="191"/>
        <v>0</v>
      </c>
      <c r="AB144" s="78" t="b">
        <f t="shared" si="191"/>
        <v>0</v>
      </c>
      <c r="AC144" s="78" t="b">
        <f t="shared" si="191"/>
        <v>0</v>
      </c>
      <c r="AD144" s="78" t="b">
        <f t="shared" si="191"/>
        <v>0</v>
      </c>
      <c r="AE144" s="78" t="b">
        <f t="shared" si="191"/>
        <v>0</v>
      </c>
      <c r="AF144" s="78" t="b">
        <f t="shared" si="191"/>
        <v>0</v>
      </c>
      <c r="AG144" s="78" t="b">
        <f t="shared" si="191"/>
        <v>0</v>
      </c>
      <c r="AH144" s="78" t="b">
        <f t="shared" si="191"/>
        <v>0</v>
      </c>
      <c r="AI144" s="78" t="b">
        <f t="shared" si="191"/>
        <v>0</v>
      </c>
      <c r="AJ144" s="78" t="b">
        <f t="shared" si="191"/>
        <v>0</v>
      </c>
      <c r="AK144" s="78" t="b">
        <f t="shared" si="191"/>
        <v>0</v>
      </c>
      <c r="AL144" s="78" t="b">
        <f t="shared" si="191"/>
        <v>0</v>
      </c>
      <c r="AM144" s="78" t="b">
        <f t="shared" si="191"/>
        <v>0</v>
      </c>
      <c r="AN144" s="78" t="b">
        <f t="shared" si="191"/>
        <v>0</v>
      </c>
      <c r="AO144" s="78" t="b">
        <f t="shared" si="191"/>
        <v>0</v>
      </c>
      <c r="AP144" s="78"/>
    </row>
    <row r="145" spans="4:42" x14ac:dyDescent="0.35">
      <c r="D145" s="96"/>
      <c r="E145" s="96"/>
      <c r="G145" s="77">
        <f t="shared" si="171"/>
        <v>0</v>
      </c>
      <c r="H145" s="78">
        <f t="shared" si="172"/>
        <v>0</v>
      </c>
      <c r="I145" s="77">
        <f t="shared" si="173"/>
        <v>0</v>
      </c>
      <c r="J145" s="78">
        <f t="shared" si="174"/>
        <v>0</v>
      </c>
      <c r="K145" s="78" t="str">
        <f t="shared" si="175"/>
        <v>1900-01-00 00:0:00</v>
      </c>
      <c r="L145" s="78" t="str">
        <f t="shared" si="176"/>
        <v>1900-01-00 00:0:00</v>
      </c>
      <c r="M145" s="79">
        <f t="shared" si="177"/>
        <v>0</v>
      </c>
      <c r="N145">
        <f t="shared" si="178"/>
        <v>1</v>
      </c>
      <c r="O145" t="str">
        <f>IFERROR(_xlfn.XLOOKUP(A145,HC!A:A,HC!C:C),"")</f>
        <v>Workforce</v>
      </c>
      <c r="R145" s="78" t="b">
        <f t="shared" ref="R145:AO145" si="192">IFERROR(IF($B145=$D$1,IF(AND($K145&lt;R$1,$L145&lt;R$1),"",IF(AND($K145&gt;S$1,$L145&gt;S$1),"",IF(AND($K145&lt;R$1,$L145&lt;=S$1),$L145-R$1,IF(AND($K145&gt;=R$1,$L145&gt;S$1),S$1-$K145,IF(AND($K145&gt;=R$1,$L145&lt;=S$1),$L145-$K145,IF(AND($K145&lt;R$1,$L145&gt;S$1),S$1-R$1,""))))))),"")</f>
        <v>0</v>
      </c>
      <c r="S145" s="78" t="b">
        <f t="shared" si="192"/>
        <v>0</v>
      </c>
      <c r="T145" s="78" t="b">
        <f t="shared" si="192"/>
        <v>0</v>
      </c>
      <c r="U145" s="78" t="b">
        <f t="shared" si="192"/>
        <v>0</v>
      </c>
      <c r="V145" s="78" t="b">
        <f t="shared" si="192"/>
        <v>0</v>
      </c>
      <c r="W145" s="78" t="b">
        <f t="shared" si="192"/>
        <v>0</v>
      </c>
      <c r="X145" s="78" t="b">
        <f t="shared" si="192"/>
        <v>0</v>
      </c>
      <c r="Y145" s="78" t="b">
        <f t="shared" si="192"/>
        <v>0</v>
      </c>
      <c r="Z145" s="78" t="b">
        <f t="shared" si="192"/>
        <v>0</v>
      </c>
      <c r="AA145" s="78" t="b">
        <f t="shared" si="192"/>
        <v>0</v>
      </c>
      <c r="AB145" s="78" t="b">
        <f t="shared" si="192"/>
        <v>0</v>
      </c>
      <c r="AC145" s="78" t="b">
        <f t="shared" si="192"/>
        <v>0</v>
      </c>
      <c r="AD145" s="78" t="b">
        <f t="shared" si="192"/>
        <v>0</v>
      </c>
      <c r="AE145" s="78" t="b">
        <f t="shared" si="192"/>
        <v>0</v>
      </c>
      <c r="AF145" s="78" t="b">
        <f t="shared" si="192"/>
        <v>0</v>
      </c>
      <c r="AG145" s="78" t="b">
        <f t="shared" si="192"/>
        <v>0</v>
      </c>
      <c r="AH145" s="78" t="b">
        <f t="shared" si="192"/>
        <v>0</v>
      </c>
      <c r="AI145" s="78" t="b">
        <f t="shared" si="192"/>
        <v>0</v>
      </c>
      <c r="AJ145" s="78" t="b">
        <f t="shared" si="192"/>
        <v>0</v>
      </c>
      <c r="AK145" s="78" t="b">
        <f t="shared" si="192"/>
        <v>0</v>
      </c>
      <c r="AL145" s="78" t="b">
        <f t="shared" si="192"/>
        <v>0</v>
      </c>
      <c r="AM145" s="78" t="b">
        <f t="shared" si="192"/>
        <v>0</v>
      </c>
      <c r="AN145" s="78" t="b">
        <f t="shared" si="192"/>
        <v>0</v>
      </c>
      <c r="AO145" s="78" t="b">
        <f t="shared" si="192"/>
        <v>0</v>
      </c>
      <c r="AP145" s="78"/>
    </row>
    <row r="146" spans="4:42" x14ac:dyDescent="0.35">
      <c r="D146" s="96"/>
      <c r="E146" s="96"/>
      <c r="G146" s="77">
        <f t="shared" si="171"/>
        <v>0</v>
      </c>
      <c r="H146" s="78">
        <f t="shared" si="172"/>
        <v>0</v>
      </c>
      <c r="I146" s="77">
        <f t="shared" si="173"/>
        <v>0</v>
      </c>
      <c r="J146" s="78">
        <f t="shared" si="174"/>
        <v>0</v>
      </c>
      <c r="K146" s="78" t="str">
        <f t="shared" si="175"/>
        <v>1900-01-00 00:0:00</v>
      </c>
      <c r="L146" s="78" t="str">
        <f t="shared" si="176"/>
        <v>1900-01-00 00:0:00</v>
      </c>
      <c r="M146" s="79">
        <f t="shared" si="177"/>
        <v>0</v>
      </c>
      <c r="N146">
        <f t="shared" si="178"/>
        <v>1</v>
      </c>
      <c r="O146" t="str">
        <f>IFERROR(_xlfn.XLOOKUP(A146,HC!A:A,HC!C:C),"")</f>
        <v>Workforce</v>
      </c>
      <c r="R146" s="78" t="b">
        <f t="shared" ref="R146:AO146" si="193">IFERROR(IF($B146=$D$1,IF(AND($K146&lt;R$1,$L146&lt;R$1),"",IF(AND($K146&gt;S$1,$L146&gt;S$1),"",IF(AND($K146&lt;R$1,$L146&lt;=S$1),$L146-R$1,IF(AND($K146&gt;=R$1,$L146&gt;S$1),S$1-$K146,IF(AND($K146&gt;=R$1,$L146&lt;=S$1),$L146-$K146,IF(AND($K146&lt;R$1,$L146&gt;S$1),S$1-R$1,""))))))),"")</f>
        <v>0</v>
      </c>
      <c r="S146" s="78" t="b">
        <f t="shared" si="193"/>
        <v>0</v>
      </c>
      <c r="T146" s="78" t="b">
        <f t="shared" si="193"/>
        <v>0</v>
      </c>
      <c r="U146" s="78" t="b">
        <f t="shared" si="193"/>
        <v>0</v>
      </c>
      <c r="V146" s="78" t="b">
        <f t="shared" si="193"/>
        <v>0</v>
      </c>
      <c r="W146" s="78" t="b">
        <f t="shared" si="193"/>
        <v>0</v>
      </c>
      <c r="X146" s="78" t="b">
        <f t="shared" si="193"/>
        <v>0</v>
      </c>
      <c r="Y146" s="78" t="b">
        <f t="shared" si="193"/>
        <v>0</v>
      </c>
      <c r="Z146" s="78" t="b">
        <f t="shared" si="193"/>
        <v>0</v>
      </c>
      <c r="AA146" s="78" t="b">
        <f t="shared" si="193"/>
        <v>0</v>
      </c>
      <c r="AB146" s="78" t="b">
        <f t="shared" si="193"/>
        <v>0</v>
      </c>
      <c r="AC146" s="78" t="b">
        <f t="shared" si="193"/>
        <v>0</v>
      </c>
      <c r="AD146" s="78" t="b">
        <f t="shared" si="193"/>
        <v>0</v>
      </c>
      <c r="AE146" s="78" t="b">
        <f t="shared" si="193"/>
        <v>0</v>
      </c>
      <c r="AF146" s="78" t="b">
        <f t="shared" si="193"/>
        <v>0</v>
      </c>
      <c r="AG146" s="78" t="b">
        <f t="shared" si="193"/>
        <v>0</v>
      </c>
      <c r="AH146" s="78" t="b">
        <f t="shared" si="193"/>
        <v>0</v>
      </c>
      <c r="AI146" s="78" t="b">
        <f t="shared" si="193"/>
        <v>0</v>
      </c>
      <c r="AJ146" s="78" t="b">
        <f t="shared" si="193"/>
        <v>0</v>
      </c>
      <c r="AK146" s="78" t="b">
        <f t="shared" si="193"/>
        <v>0</v>
      </c>
      <c r="AL146" s="78" t="b">
        <f t="shared" si="193"/>
        <v>0</v>
      </c>
      <c r="AM146" s="78" t="b">
        <f t="shared" si="193"/>
        <v>0</v>
      </c>
      <c r="AN146" s="78" t="b">
        <f t="shared" si="193"/>
        <v>0</v>
      </c>
      <c r="AO146" s="78" t="b">
        <f t="shared" si="193"/>
        <v>0</v>
      </c>
      <c r="AP146" s="78"/>
    </row>
    <row r="147" spans="4:42" x14ac:dyDescent="0.35">
      <c r="D147" s="96"/>
      <c r="E147" s="96"/>
      <c r="G147" s="77">
        <f t="shared" si="171"/>
        <v>0</v>
      </c>
      <c r="H147" s="78">
        <f t="shared" si="172"/>
        <v>0</v>
      </c>
      <c r="I147" s="77">
        <f t="shared" si="173"/>
        <v>0</v>
      </c>
      <c r="J147" s="78">
        <f t="shared" si="174"/>
        <v>0</v>
      </c>
      <c r="K147" s="78" t="str">
        <f t="shared" si="175"/>
        <v>1900-01-00 00:0:00</v>
      </c>
      <c r="L147" s="78" t="str">
        <f t="shared" si="176"/>
        <v>1900-01-00 00:0:00</v>
      </c>
      <c r="M147" s="79">
        <f t="shared" si="177"/>
        <v>0</v>
      </c>
      <c r="N147">
        <f t="shared" si="178"/>
        <v>1</v>
      </c>
      <c r="O147" t="str">
        <f>IFERROR(_xlfn.XLOOKUP(A147,HC!A:A,HC!C:C),"")</f>
        <v>Workforce</v>
      </c>
      <c r="R147" s="78" t="b">
        <f t="shared" ref="R147:AO147" si="194">IFERROR(IF($B147=$D$1,IF(AND($K147&lt;R$1,$L147&lt;R$1),"",IF(AND($K147&gt;S$1,$L147&gt;S$1),"",IF(AND($K147&lt;R$1,$L147&lt;=S$1),$L147-R$1,IF(AND($K147&gt;=R$1,$L147&gt;S$1),S$1-$K147,IF(AND($K147&gt;=R$1,$L147&lt;=S$1),$L147-$K147,IF(AND($K147&lt;R$1,$L147&gt;S$1),S$1-R$1,""))))))),"")</f>
        <v>0</v>
      </c>
      <c r="S147" s="78" t="b">
        <f t="shared" si="194"/>
        <v>0</v>
      </c>
      <c r="T147" s="78" t="b">
        <f t="shared" si="194"/>
        <v>0</v>
      </c>
      <c r="U147" s="78" t="b">
        <f t="shared" si="194"/>
        <v>0</v>
      </c>
      <c r="V147" s="78" t="b">
        <f t="shared" si="194"/>
        <v>0</v>
      </c>
      <c r="W147" s="78" t="b">
        <f t="shared" si="194"/>
        <v>0</v>
      </c>
      <c r="X147" s="78" t="b">
        <f t="shared" si="194"/>
        <v>0</v>
      </c>
      <c r="Y147" s="78" t="b">
        <f t="shared" si="194"/>
        <v>0</v>
      </c>
      <c r="Z147" s="78" t="b">
        <f t="shared" si="194"/>
        <v>0</v>
      </c>
      <c r="AA147" s="78" t="b">
        <f t="shared" si="194"/>
        <v>0</v>
      </c>
      <c r="AB147" s="78" t="b">
        <f t="shared" si="194"/>
        <v>0</v>
      </c>
      <c r="AC147" s="78" t="b">
        <f t="shared" si="194"/>
        <v>0</v>
      </c>
      <c r="AD147" s="78" t="b">
        <f t="shared" si="194"/>
        <v>0</v>
      </c>
      <c r="AE147" s="78" t="b">
        <f t="shared" si="194"/>
        <v>0</v>
      </c>
      <c r="AF147" s="78" t="b">
        <f t="shared" si="194"/>
        <v>0</v>
      </c>
      <c r="AG147" s="78" t="b">
        <f t="shared" si="194"/>
        <v>0</v>
      </c>
      <c r="AH147" s="78" t="b">
        <f t="shared" si="194"/>
        <v>0</v>
      </c>
      <c r="AI147" s="78" t="b">
        <f t="shared" si="194"/>
        <v>0</v>
      </c>
      <c r="AJ147" s="78" t="b">
        <f t="shared" si="194"/>
        <v>0</v>
      </c>
      <c r="AK147" s="78" t="b">
        <f t="shared" si="194"/>
        <v>0</v>
      </c>
      <c r="AL147" s="78" t="b">
        <f t="shared" si="194"/>
        <v>0</v>
      </c>
      <c r="AM147" s="78" t="b">
        <f t="shared" si="194"/>
        <v>0</v>
      </c>
      <c r="AN147" s="78" t="b">
        <f t="shared" si="194"/>
        <v>0</v>
      </c>
      <c r="AO147" s="78" t="b">
        <f t="shared" si="194"/>
        <v>0</v>
      </c>
      <c r="AP147" s="78"/>
    </row>
    <row r="148" spans="4:42" x14ac:dyDescent="0.35">
      <c r="D148" s="96"/>
      <c r="E148" s="96"/>
      <c r="G148" s="77">
        <f t="shared" si="171"/>
        <v>0</v>
      </c>
      <c r="H148" s="78">
        <f t="shared" si="172"/>
        <v>0</v>
      </c>
      <c r="I148" s="77">
        <f t="shared" si="173"/>
        <v>0</v>
      </c>
      <c r="J148" s="78">
        <f t="shared" si="174"/>
        <v>0</v>
      </c>
      <c r="K148" s="78" t="str">
        <f t="shared" si="175"/>
        <v>1900-01-00 00:0:00</v>
      </c>
      <c r="L148" s="78" t="str">
        <f t="shared" si="176"/>
        <v>1900-01-00 00:0:00</v>
      </c>
      <c r="M148" s="79">
        <f t="shared" si="177"/>
        <v>0</v>
      </c>
      <c r="N148">
        <f t="shared" si="178"/>
        <v>1</v>
      </c>
      <c r="O148" t="str">
        <f>IFERROR(_xlfn.XLOOKUP(A148,HC!A:A,HC!C:C),"")</f>
        <v>Workforce</v>
      </c>
      <c r="R148" s="78" t="b">
        <f t="shared" ref="R148:AO148" si="195">IFERROR(IF($B148=$D$1,IF(AND($K148&lt;R$1,$L148&lt;R$1),"",IF(AND($K148&gt;S$1,$L148&gt;S$1),"",IF(AND($K148&lt;R$1,$L148&lt;=S$1),$L148-R$1,IF(AND($K148&gt;=R$1,$L148&gt;S$1),S$1-$K148,IF(AND($K148&gt;=R$1,$L148&lt;=S$1),$L148-$K148,IF(AND($K148&lt;R$1,$L148&gt;S$1),S$1-R$1,""))))))),"")</f>
        <v>0</v>
      </c>
      <c r="S148" s="78" t="b">
        <f t="shared" si="195"/>
        <v>0</v>
      </c>
      <c r="T148" s="78" t="b">
        <f t="shared" si="195"/>
        <v>0</v>
      </c>
      <c r="U148" s="78" t="b">
        <f t="shared" si="195"/>
        <v>0</v>
      </c>
      <c r="V148" s="78" t="b">
        <f t="shared" si="195"/>
        <v>0</v>
      </c>
      <c r="W148" s="78" t="b">
        <f t="shared" si="195"/>
        <v>0</v>
      </c>
      <c r="X148" s="78" t="b">
        <f t="shared" si="195"/>
        <v>0</v>
      </c>
      <c r="Y148" s="78" t="b">
        <f t="shared" si="195"/>
        <v>0</v>
      </c>
      <c r="Z148" s="78" t="b">
        <f t="shared" si="195"/>
        <v>0</v>
      </c>
      <c r="AA148" s="78" t="b">
        <f t="shared" si="195"/>
        <v>0</v>
      </c>
      <c r="AB148" s="78" t="b">
        <f t="shared" si="195"/>
        <v>0</v>
      </c>
      <c r="AC148" s="78" t="b">
        <f t="shared" si="195"/>
        <v>0</v>
      </c>
      <c r="AD148" s="78" t="b">
        <f t="shared" si="195"/>
        <v>0</v>
      </c>
      <c r="AE148" s="78" t="b">
        <f t="shared" si="195"/>
        <v>0</v>
      </c>
      <c r="AF148" s="78" t="b">
        <f t="shared" si="195"/>
        <v>0</v>
      </c>
      <c r="AG148" s="78" t="b">
        <f t="shared" si="195"/>
        <v>0</v>
      </c>
      <c r="AH148" s="78" t="b">
        <f t="shared" si="195"/>
        <v>0</v>
      </c>
      <c r="AI148" s="78" t="b">
        <f t="shared" si="195"/>
        <v>0</v>
      </c>
      <c r="AJ148" s="78" t="b">
        <f t="shared" si="195"/>
        <v>0</v>
      </c>
      <c r="AK148" s="78" t="b">
        <f t="shared" si="195"/>
        <v>0</v>
      </c>
      <c r="AL148" s="78" t="b">
        <f t="shared" si="195"/>
        <v>0</v>
      </c>
      <c r="AM148" s="78" t="b">
        <f t="shared" si="195"/>
        <v>0</v>
      </c>
      <c r="AN148" s="78" t="b">
        <f t="shared" si="195"/>
        <v>0</v>
      </c>
      <c r="AO148" s="78" t="b">
        <f t="shared" si="195"/>
        <v>0</v>
      </c>
      <c r="AP148" s="78"/>
    </row>
    <row r="149" spans="4:42" x14ac:dyDescent="0.35">
      <c r="D149" s="96"/>
      <c r="E149" s="96"/>
      <c r="G149" s="77">
        <f t="shared" si="171"/>
        <v>0</v>
      </c>
      <c r="H149" s="78">
        <f t="shared" si="172"/>
        <v>0</v>
      </c>
      <c r="I149" s="77">
        <f t="shared" si="173"/>
        <v>0</v>
      </c>
      <c r="J149" s="78">
        <f t="shared" si="174"/>
        <v>0</v>
      </c>
      <c r="K149" s="78" t="str">
        <f t="shared" si="175"/>
        <v>1900-01-00 00:0:00</v>
      </c>
      <c r="L149" s="78" t="str">
        <f t="shared" si="176"/>
        <v>1900-01-00 00:0:00</v>
      </c>
      <c r="M149" s="79">
        <f t="shared" si="177"/>
        <v>0</v>
      </c>
      <c r="N149">
        <f t="shared" si="178"/>
        <v>1</v>
      </c>
      <c r="O149" t="str">
        <f>IFERROR(_xlfn.XLOOKUP(A149,HC!A:A,HC!C:C),"")</f>
        <v>Workforce</v>
      </c>
      <c r="R149" s="78" t="b">
        <f t="shared" ref="R149:AO149" si="196">IFERROR(IF($B149=$D$1,IF(AND($K149&lt;R$1,$L149&lt;R$1),"",IF(AND($K149&gt;S$1,$L149&gt;S$1),"",IF(AND($K149&lt;R$1,$L149&lt;=S$1),$L149-R$1,IF(AND($K149&gt;=R$1,$L149&gt;S$1),S$1-$K149,IF(AND($K149&gt;=R$1,$L149&lt;=S$1),$L149-$K149,IF(AND($K149&lt;R$1,$L149&gt;S$1),S$1-R$1,""))))))),"")</f>
        <v>0</v>
      </c>
      <c r="S149" s="78" t="b">
        <f t="shared" si="196"/>
        <v>0</v>
      </c>
      <c r="T149" s="78" t="b">
        <f t="shared" si="196"/>
        <v>0</v>
      </c>
      <c r="U149" s="78" t="b">
        <f t="shared" si="196"/>
        <v>0</v>
      </c>
      <c r="V149" s="78" t="b">
        <f t="shared" si="196"/>
        <v>0</v>
      </c>
      <c r="W149" s="78" t="b">
        <f t="shared" si="196"/>
        <v>0</v>
      </c>
      <c r="X149" s="78" t="b">
        <f t="shared" si="196"/>
        <v>0</v>
      </c>
      <c r="Y149" s="78" t="b">
        <f t="shared" si="196"/>
        <v>0</v>
      </c>
      <c r="Z149" s="78" t="b">
        <f t="shared" si="196"/>
        <v>0</v>
      </c>
      <c r="AA149" s="78" t="b">
        <f t="shared" si="196"/>
        <v>0</v>
      </c>
      <c r="AB149" s="78" t="b">
        <f t="shared" si="196"/>
        <v>0</v>
      </c>
      <c r="AC149" s="78" t="b">
        <f t="shared" si="196"/>
        <v>0</v>
      </c>
      <c r="AD149" s="78" t="b">
        <f t="shared" si="196"/>
        <v>0</v>
      </c>
      <c r="AE149" s="78" t="b">
        <f t="shared" si="196"/>
        <v>0</v>
      </c>
      <c r="AF149" s="78" t="b">
        <f t="shared" si="196"/>
        <v>0</v>
      </c>
      <c r="AG149" s="78" t="b">
        <f t="shared" si="196"/>
        <v>0</v>
      </c>
      <c r="AH149" s="78" t="b">
        <f t="shared" si="196"/>
        <v>0</v>
      </c>
      <c r="AI149" s="78" t="b">
        <f t="shared" si="196"/>
        <v>0</v>
      </c>
      <c r="AJ149" s="78" t="b">
        <f t="shared" si="196"/>
        <v>0</v>
      </c>
      <c r="AK149" s="78" t="b">
        <f t="shared" si="196"/>
        <v>0</v>
      </c>
      <c r="AL149" s="78" t="b">
        <f t="shared" si="196"/>
        <v>0</v>
      </c>
      <c r="AM149" s="78" t="b">
        <f t="shared" si="196"/>
        <v>0</v>
      </c>
      <c r="AN149" s="78" t="b">
        <f t="shared" si="196"/>
        <v>0</v>
      </c>
      <c r="AO149" s="78" t="b">
        <f t="shared" si="196"/>
        <v>0</v>
      </c>
      <c r="AP149" s="78"/>
    </row>
    <row r="150" spans="4:42" x14ac:dyDescent="0.35">
      <c r="D150" s="96"/>
      <c r="E150" s="96"/>
      <c r="G150" s="77">
        <f t="shared" si="171"/>
        <v>0</v>
      </c>
      <c r="H150" s="78">
        <f t="shared" si="172"/>
        <v>0</v>
      </c>
      <c r="I150" s="77">
        <f t="shared" si="173"/>
        <v>0</v>
      </c>
      <c r="J150" s="78">
        <f t="shared" si="174"/>
        <v>0</v>
      </c>
      <c r="K150" s="78" t="str">
        <f t="shared" si="175"/>
        <v>1900-01-00 00:0:00</v>
      </c>
      <c r="L150" s="78" t="str">
        <f t="shared" si="176"/>
        <v>1900-01-00 00:0:00</v>
      </c>
      <c r="M150" s="79">
        <f t="shared" si="177"/>
        <v>0</v>
      </c>
      <c r="N150">
        <f t="shared" si="178"/>
        <v>1</v>
      </c>
      <c r="O150" t="str">
        <f>IFERROR(_xlfn.XLOOKUP(A150,HC!A:A,HC!C:C),"")</f>
        <v>Workforce</v>
      </c>
      <c r="R150" s="78" t="b">
        <f t="shared" ref="R150:AO150" si="197">IFERROR(IF($B150=$D$1,IF(AND($K150&lt;R$1,$L150&lt;R$1),"",IF(AND($K150&gt;S$1,$L150&gt;S$1),"",IF(AND($K150&lt;R$1,$L150&lt;=S$1),$L150-R$1,IF(AND($K150&gt;=R$1,$L150&gt;S$1),S$1-$K150,IF(AND($K150&gt;=R$1,$L150&lt;=S$1),$L150-$K150,IF(AND($K150&lt;R$1,$L150&gt;S$1),S$1-R$1,""))))))),"")</f>
        <v>0</v>
      </c>
      <c r="S150" s="78" t="b">
        <f t="shared" si="197"/>
        <v>0</v>
      </c>
      <c r="T150" s="78" t="b">
        <f t="shared" si="197"/>
        <v>0</v>
      </c>
      <c r="U150" s="78" t="b">
        <f t="shared" si="197"/>
        <v>0</v>
      </c>
      <c r="V150" s="78" t="b">
        <f t="shared" si="197"/>
        <v>0</v>
      </c>
      <c r="W150" s="78" t="b">
        <f t="shared" si="197"/>
        <v>0</v>
      </c>
      <c r="X150" s="78" t="b">
        <f t="shared" si="197"/>
        <v>0</v>
      </c>
      <c r="Y150" s="78" t="b">
        <f t="shared" si="197"/>
        <v>0</v>
      </c>
      <c r="Z150" s="78" t="b">
        <f t="shared" si="197"/>
        <v>0</v>
      </c>
      <c r="AA150" s="78" t="b">
        <f t="shared" si="197"/>
        <v>0</v>
      </c>
      <c r="AB150" s="78" t="b">
        <f t="shared" si="197"/>
        <v>0</v>
      </c>
      <c r="AC150" s="78" t="b">
        <f t="shared" si="197"/>
        <v>0</v>
      </c>
      <c r="AD150" s="78" t="b">
        <f t="shared" si="197"/>
        <v>0</v>
      </c>
      <c r="AE150" s="78" t="b">
        <f t="shared" si="197"/>
        <v>0</v>
      </c>
      <c r="AF150" s="78" t="b">
        <f t="shared" si="197"/>
        <v>0</v>
      </c>
      <c r="AG150" s="78" t="b">
        <f t="shared" si="197"/>
        <v>0</v>
      </c>
      <c r="AH150" s="78" t="b">
        <f t="shared" si="197"/>
        <v>0</v>
      </c>
      <c r="AI150" s="78" t="b">
        <f t="shared" si="197"/>
        <v>0</v>
      </c>
      <c r="AJ150" s="78" t="b">
        <f t="shared" si="197"/>
        <v>0</v>
      </c>
      <c r="AK150" s="78" t="b">
        <f t="shared" si="197"/>
        <v>0</v>
      </c>
      <c r="AL150" s="78" t="b">
        <f t="shared" si="197"/>
        <v>0</v>
      </c>
      <c r="AM150" s="78" t="b">
        <f t="shared" si="197"/>
        <v>0</v>
      </c>
      <c r="AN150" s="78" t="b">
        <f t="shared" si="197"/>
        <v>0</v>
      </c>
      <c r="AO150" s="78" t="b">
        <f t="shared" si="197"/>
        <v>0</v>
      </c>
      <c r="AP150" s="78"/>
    </row>
    <row r="151" spans="4:42" x14ac:dyDescent="0.35">
      <c r="D151" s="96"/>
      <c r="E151" s="96"/>
      <c r="G151" s="77">
        <f t="shared" si="171"/>
        <v>0</v>
      </c>
      <c r="H151" s="78">
        <f t="shared" si="172"/>
        <v>0</v>
      </c>
      <c r="I151" s="77">
        <f t="shared" si="173"/>
        <v>0</v>
      </c>
      <c r="J151" s="78">
        <f t="shared" si="174"/>
        <v>0</v>
      </c>
      <c r="K151" s="78" t="str">
        <f t="shared" si="175"/>
        <v>1900-01-00 00:0:00</v>
      </c>
      <c r="L151" s="78" t="str">
        <f t="shared" si="176"/>
        <v>1900-01-00 00:0:00</v>
      </c>
      <c r="M151" s="79">
        <f t="shared" si="177"/>
        <v>0</v>
      </c>
      <c r="N151">
        <f t="shared" si="178"/>
        <v>1</v>
      </c>
      <c r="O151" t="str">
        <f>IFERROR(_xlfn.XLOOKUP(A151,HC!A:A,HC!C:C),"")</f>
        <v>Workforce</v>
      </c>
      <c r="R151" s="78" t="b">
        <f t="shared" ref="R151:AO151" si="198">IFERROR(IF($B151=$D$1,IF(AND($K151&lt;R$1,$L151&lt;R$1),"",IF(AND($K151&gt;S$1,$L151&gt;S$1),"",IF(AND($K151&lt;R$1,$L151&lt;=S$1),$L151-R$1,IF(AND($K151&gt;=R$1,$L151&gt;S$1),S$1-$K151,IF(AND($K151&gt;=R$1,$L151&lt;=S$1),$L151-$K151,IF(AND($K151&lt;R$1,$L151&gt;S$1),S$1-R$1,""))))))),"")</f>
        <v>0</v>
      </c>
      <c r="S151" s="78" t="b">
        <f t="shared" si="198"/>
        <v>0</v>
      </c>
      <c r="T151" s="78" t="b">
        <f t="shared" si="198"/>
        <v>0</v>
      </c>
      <c r="U151" s="78" t="b">
        <f t="shared" si="198"/>
        <v>0</v>
      </c>
      <c r="V151" s="78" t="b">
        <f t="shared" si="198"/>
        <v>0</v>
      </c>
      <c r="W151" s="78" t="b">
        <f t="shared" si="198"/>
        <v>0</v>
      </c>
      <c r="X151" s="78" t="b">
        <f t="shared" si="198"/>
        <v>0</v>
      </c>
      <c r="Y151" s="78" t="b">
        <f t="shared" si="198"/>
        <v>0</v>
      </c>
      <c r="Z151" s="78" t="b">
        <f t="shared" si="198"/>
        <v>0</v>
      </c>
      <c r="AA151" s="78" t="b">
        <f t="shared" si="198"/>
        <v>0</v>
      </c>
      <c r="AB151" s="78" t="b">
        <f t="shared" si="198"/>
        <v>0</v>
      </c>
      <c r="AC151" s="78" t="b">
        <f t="shared" si="198"/>
        <v>0</v>
      </c>
      <c r="AD151" s="78" t="b">
        <f t="shared" si="198"/>
        <v>0</v>
      </c>
      <c r="AE151" s="78" t="b">
        <f t="shared" si="198"/>
        <v>0</v>
      </c>
      <c r="AF151" s="78" t="b">
        <f t="shared" si="198"/>
        <v>0</v>
      </c>
      <c r="AG151" s="78" t="b">
        <f t="shared" si="198"/>
        <v>0</v>
      </c>
      <c r="AH151" s="78" t="b">
        <f t="shared" si="198"/>
        <v>0</v>
      </c>
      <c r="AI151" s="78" t="b">
        <f t="shared" si="198"/>
        <v>0</v>
      </c>
      <c r="AJ151" s="78" t="b">
        <f t="shared" si="198"/>
        <v>0</v>
      </c>
      <c r="AK151" s="78" t="b">
        <f t="shared" si="198"/>
        <v>0</v>
      </c>
      <c r="AL151" s="78" t="b">
        <f t="shared" si="198"/>
        <v>0</v>
      </c>
      <c r="AM151" s="78" t="b">
        <f t="shared" si="198"/>
        <v>0</v>
      </c>
      <c r="AN151" s="78" t="b">
        <f t="shared" si="198"/>
        <v>0</v>
      </c>
      <c r="AO151" s="78" t="b">
        <f t="shared" si="198"/>
        <v>0</v>
      </c>
      <c r="AP151" s="78"/>
    </row>
    <row r="152" spans="4:42" x14ac:dyDescent="0.35">
      <c r="D152" s="96"/>
      <c r="E152" s="96"/>
      <c r="G152" s="77">
        <f t="shared" si="171"/>
        <v>0</v>
      </c>
      <c r="H152" s="78">
        <f t="shared" si="172"/>
        <v>0</v>
      </c>
      <c r="I152" s="77">
        <f t="shared" si="173"/>
        <v>0</v>
      </c>
      <c r="J152" s="78">
        <f t="shared" si="174"/>
        <v>0</v>
      </c>
      <c r="K152" s="78" t="str">
        <f t="shared" si="175"/>
        <v>1900-01-00 00:0:00</v>
      </c>
      <c r="L152" s="78" t="str">
        <f t="shared" si="176"/>
        <v>1900-01-00 00:0:00</v>
      </c>
      <c r="M152" s="79">
        <f t="shared" si="177"/>
        <v>0</v>
      </c>
      <c r="N152">
        <f t="shared" si="178"/>
        <v>1</v>
      </c>
      <c r="O152" t="str">
        <f>IFERROR(_xlfn.XLOOKUP(A152,HC!A:A,HC!C:C),"")</f>
        <v>Workforce</v>
      </c>
      <c r="R152" s="78" t="b">
        <f t="shared" ref="R152:AO152" si="199">IFERROR(IF($B152=$D$1,IF(AND($K152&lt;R$1,$L152&lt;R$1),"",IF(AND($K152&gt;S$1,$L152&gt;S$1),"",IF(AND($K152&lt;R$1,$L152&lt;=S$1),$L152-R$1,IF(AND($K152&gt;=R$1,$L152&gt;S$1),S$1-$K152,IF(AND($K152&gt;=R$1,$L152&lt;=S$1),$L152-$K152,IF(AND($K152&lt;R$1,$L152&gt;S$1),S$1-R$1,""))))))),"")</f>
        <v>0</v>
      </c>
      <c r="S152" s="78" t="b">
        <f t="shared" si="199"/>
        <v>0</v>
      </c>
      <c r="T152" s="78" t="b">
        <f t="shared" si="199"/>
        <v>0</v>
      </c>
      <c r="U152" s="78" t="b">
        <f t="shared" si="199"/>
        <v>0</v>
      </c>
      <c r="V152" s="78" t="b">
        <f t="shared" si="199"/>
        <v>0</v>
      </c>
      <c r="W152" s="78" t="b">
        <f t="shared" si="199"/>
        <v>0</v>
      </c>
      <c r="X152" s="78" t="b">
        <f t="shared" si="199"/>
        <v>0</v>
      </c>
      <c r="Y152" s="78" t="b">
        <f t="shared" si="199"/>
        <v>0</v>
      </c>
      <c r="Z152" s="78" t="b">
        <f t="shared" si="199"/>
        <v>0</v>
      </c>
      <c r="AA152" s="78" t="b">
        <f t="shared" si="199"/>
        <v>0</v>
      </c>
      <c r="AB152" s="78" t="b">
        <f t="shared" si="199"/>
        <v>0</v>
      </c>
      <c r="AC152" s="78" t="b">
        <f t="shared" si="199"/>
        <v>0</v>
      </c>
      <c r="AD152" s="78" t="b">
        <f t="shared" si="199"/>
        <v>0</v>
      </c>
      <c r="AE152" s="78" t="b">
        <f t="shared" si="199"/>
        <v>0</v>
      </c>
      <c r="AF152" s="78" t="b">
        <f t="shared" si="199"/>
        <v>0</v>
      </c>
      <c r="AG152" s="78" t="b">
        <f t="shared" si="199"/>
        <v>0</v>
      </c>
      <c r="AH152" s="78" t="b">
        <f t="shared" si="199"/>
        <v>0</v>
      </c>
      <c r="AI152" s="78" t="b">
        <f t="shared" si="199"/>
        <v>0</v>
      </c>
      <c r="AJ152" s="78" t="b">
        <f t="shared" si="199"/>
        <v>0</v>
      </c>
      <c r="AK152" s="78" t="b">
        <f t="shared" si="199"/>
        <v>0</v>
      </c>
      <c r="AL152" s="78" t="b">
        <f t="shared" si="199"/>
        <v>0</v>
      </c>
      <c r="AM152" s="78" t="b">
        <f t="shared" si="199"/>
        <v>0</v>
      </c>
      <c r="AN152" s="78" t="b">
        <f t="shared" si="199"/>
        <v>0</v>
      </c>
      <c r="AO152" s="78" t="b">
        <f t="shared" si="199"/>
        <v>0</v>
      </c>
      <c r="AP152" s="78"/>
    </row>
    <row r="153" spans="4:42" x14ac:dyDescent="0.35">
      <c r="D153" s="96"/>
      <c r="E153" s="96"/>
      <c r="G153" s="77">
        <f t="shared" si="171"/>
        <v>0</v>
      </c>
      <c r="H153" s="78">
        <f t="shared" si="172"/>
        <v>0</v>
      </c>
      <c r="I153" s="77">
        <f t="shared" si="173"/>
        <v>0</v>
      </c>
      <c r="J153" s="78">
        <f t="shared" si="174"/>
        <v>0</v>
      </c>
      <c r="K153" s="78" t="str">
        <f t="shared" si="175"/>
        <v>1900-01-00 00:0:00</v>
      </c>
      <c r="L153" s="78" t="str">
        <f t="shared" si="176"/>
        <v>1900-01-00 00:0:00</v>
      </c>
      <c r="M153" s="79">
        <f t="shared" si="177"/>
        <v>0</v>
      </c>
      <c r="N153">
        <f t="shared" si="178"/>
        <v>1</v>
      </c>
      <c r="O153" t="str">
        <f>IFERROR(_xlfn.XLOOKUP(A153,HC!A:A,HC!C:C),"")</f>
        <v>Workforce</v>
      </c>
      <c r="R153" s="78" t="b">
        <f t="shared" ref="R153:AO153" si="200">IFERROR(IF($B153=$D$1,IF(AND($K153&lt;R$1,$L153&lt;R$1),"",IF(AND($K153&gt;S$1,$L153&gt;S$1),"",IF(AND($K153&lt;R$1,$L153&lt;=S$1),$L153-R$1,IF(AND($K153&gt;=R$1,$L153&gt;S$1),S$1-$K153,IF(AND($K153&gt;=R$1,$L153&lt;=S$1),$L153-$K153,IF(AND($K153&lt;R$1,$L153&gt;S$1),S$1-R$1,""))))))),"")</f>
        <v>0</v>
      </c>
      <c r="S153" s="78" t="b">
        <f t="shared" si="200"/>
        <v>0</v>
      </c>
      <c r="T153" s="78" t="b">
        <f t="shared" si="200"/>
        <v>0</v>
      </c>
      <c r="U153" s="78" t="b">
        <f t="shared" si="200"/>
        <v>0</v>
      </c>
      <c r="V153" s="78" t="b">
        <f t="shared" si="200"/>
        <v>0</v>
      </c>
      <c r="W153" s="78" t="b">
        <f t="shared" si="200"/>
        <v>0</v>
      </c>
      <c r="X153" s="78" t="b">
        <f t="shared" si="200"/>
        <v>0</v>
      </c>
      <c r="Y153" s="78" t="b">
        <f t="shared" si="200"/>
        <v>0</v>
      </c>
      <c r="Z153" s="78" t="b">
        <f t="shared" si="200"/>
        <v>0</v>
      </c>
      <c r="AA153" s="78" t="b">
        <f t="shared" si="200"/>
        <v>0</v>
      </c>
      <c r="AB153" s="78" t="b">
        <f t="shared" si="200"/>
        <v>0</v>
      </c>
      <c r="AC153" s="78" t="b">
        <f t="shared" si="200"/>
        <v>0</v>
      </c>
      <c r="AD153" s="78" t="b">
        <f t="shared" si="200"/>
        <v>0</v>
      </c>
      <c r="AE153" s="78" t="b">
        <f t="shared" si="200"/>
        <v>0</v>
      </c>
      <c r="AF153" s="78" t="b">
        <f t="shared" si="200"/>
        <v>0</v>
      </c>
      <c r="AG153" s="78" t="b">
        <f t="shared" si="200"/>
        <v>0</v>
      </c>
      <c r="AH153" s="78" t="b">
        <f t="shared" si="200"/>
        <v>0</v>
      </c>
      <c r="AI153" s="78" t="b">
        <f t="shared" si="200"/>
        <v>0</v>
      </c>
      <c r="AJ153" s="78" t="b">
        <f t="shared" si="200"/>
        <v>0</v>
      </c>
      <c r="AK153" s="78" t="b">
        <f t="shared" si="200"/>
        <v>0</v>
      </c>
      <c r="AL153" s="78" t="b">
        <f t="shared" si="200"/>
        <v>0</v>
      </c>
      <c r="AM153" s="78" t="b">
        <f t="shared" si="200"/>
        <v>0</v>
      </c>
      <c r="AN153" s="78" t="b">
        <f t="shared" si="200"/>
        <v>0</v>
      </c>
      <c r="AO153" s="78" t="b">
        <f t="shared" si="200"/>
        <v>0</v>
      </c>
      <c r="AP153" s="78"/>
    </row>
    <row r="154" spans="4:42" x14ac:dyDescent="0.35">
      <c r="D154" s="96"/>
      <c r="E154" s="96"/>
      <c r="G154" s="77">
        <f t="shared" si="171"/>
        <v>0</v>
      </c>
      <c r="H154" s="78">
        <f t="shared" si="172"/>
        <v>0</v>
      </c>
      <c r="I154" s="77">
        <f t="shared" si="173"/>
        <v>0</v>
      </c>
      <c r="J154" s="78">
        <f t="shared" si="174"/>
        <v>0</v>
      </c>
      <c r="K154" s="78" t="str">
        <f t="shared" si="175"/>
        <v>1900-01-00 00:0:00</v>
      </c>
      <c r="L154" s="78" t="str">
        <f t="shared" si="176"/>
        <v>1900-01-00 00:0:00</v>
      </c>
      <c r="M154" s="79">
        <f t="shared" si="177"/>
        <v>0</v>
      </c>
      <c r="N154">
        <f t="shared" si="178"/>
        <v>1</v>
      </c>
      <c r="O154" t="str">
        <f>IFERROR(_xlfn.XLOOKUP(A154,HC!A:A,HC!C:C),"")</f>
        <v>Workforce</v>
      </c>
      <c r="R154" s="78" t="b">
        <f t="shared" ref="R154:AO154" si="201">IFERROR(IF($B154=$D$1,IF(AND($K154&lt;R$1,$L154&lt;R$1),"",IF(AND($K154&gt;S$1,$L154&gt;S$1),"",IF(AND($K154&lt;R$1,$L154&lt;=S$1),$L154-R$1,IF(AND($K154&gt;=R$1,$L154&gt;S$1),S$1-$K154,IF(AND($K154&gt;=R$1,$L154&lt;=S$1),$L154-$K154,IF(AND($K154&lt;R$1,$L154&gt;S$1),S$1-R$1,""))))))),"")</f>
        <v>0</v>
      </c>
      <c r="S154" s="78" t="b">
        <f t="shared" si="201"/>
        <v>0</v>
      </c>
      <c r="T154" s="78" t="b">
        <f t="shared" si="201"/>
        <v>0</v>
      </c>
      <c r="U154" s="78" t="b">
        <f t="shared" si="201"/>
        <v>0</v>
      </c>
      <c r="V154" s="78" t="b">
        <f t="shared" si="201"/>
        <v>0</v>
      </c>
      <c r="W154" s="78" t="b">
        <f t="shared" si="201"/>
        <v>0</v>
      </c>
      <c r="X154" s="78" t="b">
        <f t="shared" si="201"/>
        <v>0</v>
      </c>
      <c r="Y154" s="78" t="b">
        <f t="shared" si="201"/>
        <v>0</v>
      </c>
      <c r="Z154" s="78" t="b">
        <f t="shared" si="201"/>
        <v>0</v>
      </c>
      <c r="AA154" s="78" t="b">
        <f t="shared" si="201"/>
        <v>0</v>
      </c>
      <c r="AB154" s="78" t="b">
        <f t="shared" si="201"/>
        <v>0</v>
      </c>
      <c r="AC154" s="78" t="b">
        <f t="shared" si="201"/>
        <v>0</v>
      </c>
      <c r="AD154" s="78" t="b">
        <f t="shared" si="201"/>
        <v>0</v>
      </c>
      <c r="AE154" s="78" t="b">
        <f t="shared" si="201"/>
        <v>0</v>
      </c>
      <c r="AF154" s="78" t="b">
        <f t="shared" si="201"/>
        <v>0</v>
      </c>
      <c r="AG154" s="78" t="b">
        <f t="shared" si="201"/>
        <v>0</v>
      </c>
      <c r="AH154" s="78" t="b">
        <f t="shared" si="201"/>
        <v>0</v>
      </c>
      <c r="AI154" s="78" t="b">
        <f t="shared" si="201"/>
        <v>0</v>
      </c>
      <c r="AJ154" s="78" t="b">
        <f t="shared" si="201"/>
        <v>0</v>
      </c>
      <c r="AK154" s="78" t="b">
        <f t="shared" si="201"/>
        <v>0</v>
      </c>
      <c r="AL154" s="78" t="b">
        <f t="shared" si="201"/>
        <v>0</v>
      </c>
      <c r="AM154" s="78" t="b">
        <f t="shared" si="201"/>
        <v>0</v>
      </c>
      <c r="AN154" s="78" t="b">
        <f t="shared" si="201"/>
        <v>0</v>
      </c>
      <c r="AO154" s="78" t="b">
        <f t="shared" si="201"/>
        <v>0</v>
      </c>
      <c r="AP154" s="78"/>
    </row>
    <row r="155" spans="4:42" x14ac:dyDescent="0.35">
      <c r="D155" s="96"/>
      <c r="E155" s="96"/>
      <c r="G155" s="77">
        <f t="shared" si="171"/>
        <v>0</v>
      </c>
      <c r="H155" s="78">
        <f t="shared" si="172"/>
        <v>0</v>
      </c>
      <c r="I155" s="77">
        <f t="shared" si="173"/>
        <v>0</v>
      </c>
      <c r="J155" s="78">
        <f t="shared" si="174"/>
        <v>0</v>
      </c>
      <c r="K155" s="78" t="str">
        <f t="shared" si="175"/>
        <v>1900-01-00 00:0:00</v>
      </c>
      <c r="L155" s="78" t="str">
        <f t="shared" si="176"/>
        <v>1900-01-00 00:0:00</v>
      </c>
      <c r="M155" s="79">
        <f t="shared" si="177"/>
        <v>0</v>
      </c>
      <c r="N155">
        <f t="shared" si="178"/>
        <v>1</v>
      </c>
      <c r="O155" t="str">
        <f>IFERROR(_xlfn.XLOOKUP(A155,HC!A:A,HC!C:C),"")</f>
        <v>Workforce</v>
      </c>
      <c r="R155" s="78" t="b">
        <f t="shared" ref="R155:AO155" si="202">IFERROR(IF($B155=$D$1,IF(AND($K155&lt;R$1,$L155&lt;R$1),"",IF(AND($K155&gt;S$1,$L155&gt;S$1),"",IF(AND($K155&lt;R$1,$L155&lt;=S$1),$L155-R$1,IF(AND($K155&gt;=R$1,$L155&gt;S$1),S$1-$K155,IF(AND($K155&gt;=R$1,$L155&lt;=S$1),$L155-$K155,IF(AND($K155&lt;R$1,$L155&gt;S$1),S$1-R$1,""))))))),"")</f>
        <v>0</v>
      </c>
      <c r="S155" s="78" t="b">
        <f t="shared" si="202"/>
        <v>0</v>
      </c>
      <c r="T155" s="78" t="b">
        <f t="shared" si="202"/>
        <v>0</v>
      </c>
      <c r="U155" s="78" t="b">
        <f t="shared" si="202"/>
        <v>0</v>
      </c>
      <c r="V155" s="78" t="b">
        <f t="shared" si="202"/>
        <v>0</v>
      </c>
      <c r="W155" s="78" t="b">
        <f t="shared" si="202"/>
        <v>0</v>
      </c>
      <c r="X155" s="78" t="b">
        <f t="shared" si="202"/>
        <v>0</v>
      </c>
      <c r="Y155" s="78" t="b">
        <f t="shared" si="202"/>
        <v>0</v>
      </c>
      <c r="Z155" s="78" t="b">
        <f t="shared" si="202"/>
        <v>0</v>
      </c>
      <c r="AA155" s="78" t="b">
        <f t="shared" si="202"/>
        <v>0</v>
      </c>
      <c r="AB155" s="78" t="b">
        <f t="shared" si="202"/>
        <v>0</v>
      </c>
      <c r="AC155" s="78" t="b">
        <f t="shared" si="202"/>
        <v>0</v>
      </c>
      <c r="AD155" s="78" t="b">
        <f t="shared" si="202"/>
        <v>0</v>
      </c>
      <c r="AE155" s="78" t="b">
        <f t="shared" si="202"/>
        <v>0</v>
      </c>
      <c r="AF155" s="78" t="b">
        <f t="shared" si="202"/>
        <v>0</v>
      </c>
      <c r="AG155" s="78" t="b">
        <f t="shared" si="202"/>
        <v>0</v>
      </c>
      <c r="AH155" s="78" t="b">
        <f t="shared" si="202"/>
        <v>0</v>
      </c>
      <c r="AI155" s="78" t="b">
        <f t="shared" si="202"/>
        <v>0</v>
      </c>
      <c r="AJ155" s="78" t="b">
        <f t="shared" si="202"/>
        <v>0</v>
      </c>
      <c r="AK155" s="78" t="b">
        <f t="shared" si="202"/>
        <v>0</v>
      </c>
      <c r="AL155" s="78" t="b">
        <f t="shared" si="202"/>
        <v>0</v>
      </c>
      <c r="AM155" s="78" t="b">
        <f t="shared" si="202"/>
        <v>0</v>
      </c>
      <c r="AN155" s="78" t="b">
        <f t="shared" si="202"/>
        <v>0</v>
      </c>
      <c r="AO155" s="78" t="b">
        <f t="shared" si="202"/>
        <v>0</v>
      </c>
      <c r="AP155" s="78"/>
    </row>
    <row r="156" spans="4:42" x14ac:dyDescent="0.35">
      <c r="D156" s="96"/>
      <c r="E156" s="96"/>
      <c r="G156" s="77">
        <f t="shared" si="171"/>
        <v>0</v>
      </c>
      <c r="H156" s="78">
        <f t="shared" si="172"/>
        <v>0</v>
      </c>
      <c r="I156" s="77">
        <f t="shared" si="173"/>
        <v>0</v>
      </c>
      <c r="J156" s="78">
        <f t="shared" si="174"/>
        <v>0</v>
      </c>
      <c r="K156" s="78" t="str">
        <f t="shared" si="175"/>
        <v>1900-01-00 00:0:00</v>
      </c>
      <c r="L156" s="78" t="str">
        <f t="shared" si="176"/>
        <v>1900-01-00 00:0:00</v>
      </c>
      <c r="M156" s="79">
        <f t="shared" si="177"/>
        <v>0</v>
      </c>
      <c r="N156">
        <f t="shared" si="178"/>
        <v>1</v>
      </c>
      <c r="O156" t="str">
        <f>IFERROR(_xlfn.XLOOKUP(A156,HC!A:A,HC!C:C),"")</f>
        <v>Workforce</v>
      </c>
      <c r="R156" s="78" t="b">
        <f t="shared" ref="R156:AO156" si="203">IFERROR(IF($B156=$D$1,IF(AND($K156&lt;R$1,$L156&lt;R$1),"",IF(AND($K156&gt;S$1,$L156&gt;S$1),"",IF(AND($K156&lt;R$1,$L156&lt;=S$1),$L156-R$1,IF(AND($K156&gt;=R$1,$L156&gt;S$1),S$1-$K156,IF(AND($K156&gt;=R$1,$L156&lt;=S$1),$L156-$K156,IF(AND($K156&lt;R$1,$L156&gt;S$1),S$1-R$1,""))))))),"")</f>
        <v>0</v>
      </c>
      <c r="S156" s="78" t="b">
        <f t="shared" si="203"/>
        <v>0</v>
      </c>
      <c r="T156" s="78" t="b">
        <f t="shared" si="203"/>
        <v>0</v>
      </c>
      <c r="U156" s="78" t="b">
        <f t="shared" si="203"/>
        <v>0</v>
      </c>
      <c r="V156" s="78" t="b">
        <f t="shared" si="203"/>
        <v>0</v>
      </c>
      <c r="W156" s="78" t="b">
        <f t="shared" si="203"/>
        <v>0</v>
      </c>
      <c r="X156" s="78" t="b">
        <f t="shared" si="203"/>
        <v>0</v>
      </c>
      <c r="Y156" s="78" t="b">
        <f t="shared" si="203"/>
        <v>0</v>
      </c>
      <c r="Z156" s="78" t="b">
        <f t="shared" si="203"/>
        <v>0</v>
      </c>
      <c r="AA156" s="78" t="b">
        <f t="shared" si="203"/>
        <v>0</v>
      </c>
      <c r="AB156" s="78" t="b">
        <f t="shared" si="203"/>
        <v>0</v>
      </c>
      <c r="AC156" s="78" t="b">
        <f t="shared" si="203"/>
        <v>0</v>
      </c>
      <c r="AD156" s="78" t="b">
        <f t="shared" si="203"/>
        <v>0</v>
      </c>
      <c r="AE156" s="78" t="b">
        <f t="shared" si="203"/>
        <v>0</v>
      </c>
      <c r="AF156" s="78" t="b">
        <f t="shared" si="203"/>
        <v>0</v>
      </c>
      <c r="AG156" s="78" t="b">
        <f t="shared" si="203"/>
        <v>0</v>
      </c>
      <c r="AH156" s="78" t="b">
        <f t="shared" si="203"/>
        <v>0</v>
      </c>
      <c r="AI156" s="78" t="b">
        <f t="shared" si="203"/>
        <v>0</v>
      </c>
      <c r="AJ156" s="78" t="b">
        <f t="shared" si="203"/>
        <v>0</v>
      </c>
      <c r="AK156" s="78" t="b">
        <f t="shared" si="203"/>
        <v>0</v>
      </c>
      <c r="AL156" s="78" t="b">
        <f t="shared" si="203"/>
        <v>0</v>
      </c>
      <c r="AM156" s="78" t="b">
        <f t="shared" si="203"/>
        <v>0</v>
      </c>
      <c r="AN156" s="78" t="b">
        <f t="shared" si="203"/>
        <v>0</v>
      </c>
      <c r="AO156" s="78" t="b">
        <f t="shared" si="203"/>
        <v>0</v>
      </c>
      <c r="AP156" s="78"/>
    </row>
    <row r="157" spans="4:42" x14ac:dyDescent="0.35">
      <c r="D157" s="96"/>
      <c r="E157" s="96"/>
      <c r="G157" s="77">
        <f t="shared" si="171"/>
        <v>0</v>
      </c>
      <c r="H157" s="78">
        <f t="shared" si="172"/>
        <v>0</v>
      </c>
      <c r="I157" s="77">
        <f t="shared" si="173"/>
        <v>0</v>
      </c>
      <c r="J157" s="78">
        <f t="shared" si="174"/>
        <v>0</v>
      </c>
      <c r="K157" s="78" t="str">
        <f t="shared" si="175"/>
        <v>1900-01-00 00:0:00</v>
      </c>
      <c r="L157" s="78" t="str">
        <f t="shared" si="176"/>
        <v>1900-01-00 00:0:00</v>
      </c>
      <c r="M157" s="79">
        <f t="shared" si="177"/>
        <v>0</v>
      </c>
      <c r="N157">
        <f t="shared" si="178"/>
        <v>1</v>
      </c>
      <c r="O157" t="str">
        <f>IFERROR(_xlfn.XLOOKUP(A157,HC!A:A,HC!C:C),"")</f>
        <v>Workforce</v>
      </c>
      <c r="R157" s="78" t="b">
        <f t="shared" ref="R157:AO157" si="204">IFERROR(IF($B157=$D$1,IF(AND($K157&lt;R$1,$L157&lt;R$1),"",IF(AND($K157&gt;S$1,$L157&gt;S$1),"",IF(AND($K157&lt;R$1,$L157&lt;=S$1),$L157-R$1,IF(AND($K157&gt;=R$1,$L157&gt;S$1),S$1-$K157,IF(AND($K157&gt;=R$1,$L157&lt;=S$1),$L157-$K157,IF(AND($K157&lt;R$1,$L157&gt;S$1),S$1-R$1,""))))))),"")</f>
        <v>0</v>
      </c>
      <c r="S157" s="78" t="b">
        <f t="shared" si="204"/>
        <v>0</v>
      </c>
      <c r="T157" s="78" t="b">
        <f t="shared" si="204"/>
        <v>0</v>
      </c>
      <c r="U157" s="78" t="b">
        <f t="shared" si="204"/>
        <v>0</v>
      </c>
      <c r="V157" s="78" t="b">
        <f t="shared" si="204"/>
        <v>0</v>
      </c>
      <c r="W157" s="78" t="b">
        <f t="shared" si="204"/>
        <v>0</v>
      </c>
      <c r="X157" s="78" t="b">
        <f t="shared" si="204"/>
        <v>0</v>
      </c>
      <c r="Y157" s="78" t="b">
        <f t="shared" si="204"/>
        <v>0</v>
      </c>
      <c r="Z157" s="78" t="b">
        <f t="shared" si="204"/>
        <v>0</v>
      </c>
      <c r="AA157" s="78" t="b">
        <f t="shared" si="204"/>
        <v>0</v>
      </c>
      <c r="AB157" s="78" t="b">
        <f t="shared" si="204"/>
        <v>0</v>
      </c>
      <c r="AC157" s="78" t="b">
        <f t="shared" si="204"/>
        <v>0</v>
      </c>
      <c r="AD157" s="78" t="b">
        <f t="shared" si="204"/>
        <v>0</v>
      </c>
      <c r="AE157" s="78" t="b">
        <f t="shared" si="204"/>
        <v>0</v>
      </c>
      <c r="AF157" s="78" t="b">
        <f t="shared" si="204"/>
        <v>0</v>
      </c>
      <c r="AG157" s="78" t="b">
        <f t="shared" si="204"/>
        <v>0</v>
      </c>
      <c r="AH157" s="78" t="b">
        <f t="shared" si="204"/>
        <v>0</v>
      </c>
      <c r="AI157" s="78" t="b">
        <f t="shared" si="204"/>
        <v>0</v>
      </c>
      <c r="AJ157" s="78" t="b">
        <f t="shared" si="204"/>
        <v>0</v>
      </c>
      <c r="AK157" s="78" t="b">
        <f t="shared" si="204"/>
        <v>0</v>
      </c>
      <c r="AL157" s="78" t="b">
        <f t="shared" si="204"/>
        <v>0</v>
      </c>
      <c r="AM157" s="78" t="b">
        <f t="shared" si="204"/>
        <v>0</v>
      </c>
      <c r="AN157" s="78" t="b">
        <f t="shared" si="204"/>
        <v>0</v>
      </c>
      <c r="AO157" s="78" t="b">
        <f t="shared" si="204"/>
        <v>0</v>
      </c>
      <c r="AP157" s="78"/>
    </row>
    <row r="158" spans="4:42" x14ac:dyDescent="0.35">
      <c r="D158" s="96"/>
      <c r="E158" s="96"/>
      <c r="G158" s="77">
        <f t="shared" si="171"/>
        <v>0</v>
      </c>
      <c r="H158" s="78">
        <f t="shared" si="172"/>
        <v>0</v>
      </c>
      <c r="I158" s="77">
        <f t="shared" si="173"/>
        <v>0</v>
      </c>
      <c r="J158" s="78">
        <f t="shared" si="174"/>
        <v>0</v>
      </c>
      <c r="K158" s="78" t="str">
        <f t="shared" si="175"/>
        <v>1900-01-00 00:0:00</v>
      </c>
      <c r="L158" s="78" t="str">
        <f t="shared" si="176"/>
        <v>1900-01-00 00:0:00</v>
      </c>
      <c r="M158" s="79">
        <f t="shared" si="177"/>
        <v>0</v>
      </c>
      <c r="N158">
        <f t="shared" si="178"/>
        <v>1</v>
      </c>
      <c r="O158" t="str">
        <f>IFERROR(_xlfn.XLOOKUP(A158,HC!A:A,HC!C:C),"")</f>
        <v>Workforce</v>
      </c>
      <c r="R158" s="78" t="b">
        <f t="shared" ref="R158:AO158" si="205">IFERROR(IF($B158=$D$1,IF(AND($K158&lt;R$1,$L158&lt;R$1),"",IF(AND($K158&gt;S$1,$L158&gt;S$1),"",IF(AND($K158&lt;R$1,$L158&lt;=S$1),$L158-R$1,IF(AND($K158&gt;=R$1,$L158&gt;S$1),S$1-$K158,IF(AND($K158&gt;=R$1,$L158&lt;=S$1),$L158-$K158,IF(AND($K158&lt;R$1,$L158&gt;S$1),S$1-R$1,""))))))),"")</f>
        <v>0</v>
      </c>
      <c r="S158" s="78" t="b">
        <f t="shared" si="205"/>
        <v>0</v>
      </c>
      <c r="T158" s="78" t="b">
        <f t="shared" si="205"/>
        <v>0</v>
      </c>
      <c r="U158" s="78" t="b">
        <f t="shared" si="205"/>
        <v>0</v>
      </c>
      <c r="V158" s="78" t="b">
        <f t="shared" si="205"/>
        <v>0</v>
      </c>
      <c r="W158" s="78" t="b">
        <f t="shared" si="205"/>
        <v>0</v>
      </c>
      <c r="X158" s="78" t="b">
        <f t="shared" si="205"/>
        <v>0</v>
      </c>
      <c r="Y158" s="78" t="b">
        <f t="shared" si="205"/>
        <v>0</v>
      </c>
      <c r="Z158" s="78" t="b">
        <f t="shared" si="205"/>
        <v>0</v>
      </c>
      <c r="AA158" s="78" t="b">
        <f t="shared" si="205"/>
        <v>0</v>
      </c>
      <c r="AB158" s="78" t="b">
        <f t="shared" si="205"/>
        <v>0</v>
      </c>
      <c r="AC158" s="78" t="b">
        <f t="shared" si="205"/>
        <v>0</v>
      </c>
      <c r="AD158" s="78" t="b">
        <f t="shared" si="205"/>
        <v>0</v>
      </c>
      <c r="AE158" s="78" t="b">
        <f t="shared" si="205"/>
        <v>0</v>
      </c>
      <c r="AF158" s="78" t="b">
        <f t="shared" si="205"/>
        <v>0</v>
      </c>
      <c r="AG158" s="78" t="b">
        <f t="shared" si="205"/>
        <v>0</v>
      </c>
      <c r="AH158" s="78" t="b">
        <f t="shared" si="205"/>
        <v>0</v>
      </c>
      <c r="AI158" s="78" t="b">
        <f t="shared" si="205"/>
        <v>0</v>
      </c>
      <c r="AJ158" s="78" t="b">
        <f t="shared" si="205"/>
        <v>0</v>
      </c>
      <c r="AK158" s="78" t="b">
        <f t="shared" si="205"/>
        <v>0</v>
      </c>
      <c r="AL158" s="78" t="b">
        <f t="shared" si="205"/>
        <v>0</v>
      </c>
      <c r="AM158" s="78" t="b">
        <f t="shared" si="205"/>
        <v>0</v>
      </c>
      <c r="AN158" s="78" t="b">
        <f t="shared" si="205"/>
        <v>0</v>
      </c>
      <c r="AO158" s="78" t="b">
        <f t="shared" si="205"/>
        <v>0</v>
      </c>
      <c r="AP158" s="78"/>
    </row>
    <row r="159" spans="4:42" x14ac:dyDescent="0.35">
      <c r="D159" s="96"/>
      <c r="E159" s="96"/>
      <c r="G159" s="77">
        <f t="shared" si="171"/>
        <v>0</v>
      </c>
      <c r="H159" s="78">
        <f t="shared" si="172"/>
        <v>0</v>
      </c>
      <c r="I159" s="77">
        <f t="shared" si="173"/>
        <v>0</v>
      </c>
      <c r="J159" s="78">
        <f t="shared" si="174"/>
        <v>0</v>
      </c>
      <c r="K159" s="78" t="str">
        <f t="shared" si="175"/>
        <v>1900-01-00 00:0:00</v>
      </c>
      <c r="L159" s="78" t="str">
        <f t="shared" si="176"/>
        <v>1900-01-00 00:0:00</v>
      </c>
      <c r="M159" s="79">
        <f t="shared" si="177"/>
        <v>0</v>
      </c>
      <c r="N159">
        <f t="shared" si="178"/>
        <v>1</v>
      </c>
      <c r="O159" t="str">
        <f>IFERROR(_xlfn.XLOOKUP(A159,HC!A:A,HC!C:C),"")</f>
        <v>Workforce</v>
      </c>
      <c r="R159" s="78" t="b">
        <f t="shared" ref="R159:AO159" si="206">IFERROR(IF($B159=$D$1,IF(AND($K159&lt;R$1,$L159&lt;R$1),"",IF(AND($K159&gt;S$1,$L159&gt;S$1),"",IF(AND($K159&lt;R$1,$L159&lt;=S$1),$L159-R$1,IF(AND($K159&gt;=R$1,$L159&gt;S$1),S$1-$K159,IF(AND($K159&gt;=R$1,$L159&lt;=S$1),$L159-$K159,IF(AND($K159&lt;R$1,$L159&gt;S$1),S$1-R$1,""))))))),"")</f>
        <v>0</v>
      </c>
      <c r="S159" s="78" t="b">
        <f t="shared" si="206"/>
        <v>0</v>
      </c>
      <c r="T159" s="78" t="b">
        <f t="shared" si="206"/>
        <v>0</v>
      </c>
      <c r="U159" s="78" t="b">
        <f t="shared" si="206"/>
        <v>0</v>
      </c>
      <c r="V159" s="78" t="b">
        <f t="shared" si="206"/>
        <v>0</v>
      </c>
      <c r="W159" s="78" t="b">
        <f t="shared" si="206"/>
        <v>0</v>
      </c>
      <c r="X159" s="78" t="b">
        <f t="shared" si="206"/>
        <v>0</v>
      </c>
      <c r="Y159" s="78" t="b">
        <f t="shared" si="206"/>
        <v>0</v>
      </c>
      <c r="Z159" s="78" t="b">
        <f t="shared" si="206"/>
        <v>0</v>
      </c>
      <c r="AA159" s="78" t="b">
        <f t="shared" si="206"/>
        <v>0</v>
      </c>
      <c r="AB159" s="78" t="b">
        <f t="shared" si="206"/>
        <v>0</v>
      </c>
      <c r="AC159" s="78" t="b">
        <f t="shared" si="206"/>
        <v>0</v>
      </c>
      <c r="AD159" s="78" t="b">
        <f t="shared" si="206"/>
        <v>0</v>
      </c>
      <c r="AE159" s="78" t="b">
        <f t="shared" si="206"/>
        <v>0</v>
      </c>
      <c r="AF159" s="78" t="b">
        <f t="shared" si="206"/>
        <v>0</v>
      </c>
      <c r="AG159" s="78" t="b">
        <f t="shared" si="206"/>
        <v>0</v>
      </c>
      <c r="AH159" s="78" t="b">
        <f t="shared" si="206"/>
        <v>0</v>
      </c>
      <c r="AI159" s="78" t="b">
        <f t="shared" si="206"/>
        <v>0</v>
      </c>
      <c r="AJ159" s="78" t="b">
        <f t="shared" si="206"/>
        <v>0</v>
      </c>
      <c r="AK159" s="78" t="b">
        <f t="shared" si="206"/>
        <v>0</v>
      </c>
      <c r="AL159" s="78" t="b">
        <f t="shared" si="206"/>
        <v>0</v>
      </c>
      <c r="AM159" s="78" t="b">
        <f t="shared" si="206"/>
        <v>0</v>
      </c>
      <c r="AN159" s="78" t="b">
        <f t="shared" si="206"/>
        <v>0</v>
      </c>
      <c r="AO159" s="78" t="b">
        <f t="shared" si="206"/>
        <v>0</v>
      </c>
      <c r="AP159" s="78"/>
    </row>
    <row r="160" spans="4:42" x14ac:dyDescent="0.35">
      <c r="D160" s="96"/>
      <c r="E160" s="96"/>
      <c r="G160" s="77">
        <f t="shared" si="171"/>
        <v>0</v>
      </c>
      <c r="H160" s="78">
        <f t="shared" si="172"/>
        <v>0</v>
      </c>
      <c r="I160" s="77">
        <f t="shared" si="173"/>
        <v>0</v>
      </c>
      <c r="J160" s="78">
        <f t="shared" si="174"/>
        <v>0</v>
      </c>
      <c r="K160" s="78" t="str">
        <f t="shared" si="175"/>
        <v>1900-01-00 00:0:00</v>
      </c>
      <c r="L160" s="78" t="str">
        <f t="shared" si="176"/>
        <v>1900-01-00 00:0:00</v>
      </c>
      <c r="M160" s="79">
        <f t="shared" si="177"/>
        <v>0</v>
      </c>
      <c r="N160">
        <f t="shared" si="178"/>
        <v>1</v>
      </c>
      <c r="O160" t="str">
        <f>IFERROR(_xlfn.XLOOKUP(A160,HC!A:A,HC!C:C),"")</f>
        <v>Workforce</v>
      </c>
      <c r="R160" s="78" t="b">
        <f t="shared" ref="R160:AO160" si="207">IFERROR(IF($B160=$D$1,IF(AND($K160&lt;R$1,$L160&lt;R$1),"",IF(AND($K160&gt;S$1,$L160&gt;S$1),"",IF(AND($K160&lt;R$1,$L160&lt;=S$1),$L160-R$1,IF(AND($K160&gt;=R$1,$L160&gt;S$1),S$1-$K160,IF(AND($K160&gt;=R$1,$L160&lt;=S$1),$L160-$K160,IF(AND($K160&lt;R$1,$L160&gt;S$1),S$1-R$1,""))))))),"")</f>
        <v>0</v>
      </c>
      <c r="S160" s="78" t="b">
        <f t="shared" si="207"/>
        <v>0</v>
      </c>
      <c r="T160" s="78" t="b">
        <f t="shared" si="207"/>
        <v>0</v>
      </c>
      <c r="U160" s="78" t="b">
        <f t="shared" si="207"/>
        <v>0</v>
      </c>
      <c r="V160" s="78" t="b">
        <f t="shared" si="207"/>
        <v>0</v>
      </c>
      <c r="W160" s="78" t="b">
        <f t="shared" si="207"/>
        <v>0</v>
      </c>
      <c r="X160" s="78" t="b">
        <f t="shared" si="207"/>
        <v>0</v>
      </c>
      <c r="Y160" s="78" t="b">
        <f t="shared" si="207"/>
        <v>0</v>
      </c>
      <c r="Z160" s="78" t="b">
        <f t="shared" si="207"/>
        <v>0</v>
      </c>
      <c r="AA160" s="78" t="b">
        <f t="shared" si="207"/>
        <v>0</v>
      </c>
      <c r="AB160" s="78" t="b">
        <f t="shared" si="207"/>
        <v>0</v>
      </c>
      <c r="AC160" s="78" t="b">
        <f t="shared" si="207"/>
        <v>0</v>
      </c>
      <c r="AD160" s="78" t="b">
        <f t="shared" si="207"/>
        <v>0</v>
      </c>
      <c r="AE160" s="78" t="b">
        <f t="shared" si="207"/>
        <v>0</v>
      </c>
      <c r="AF160" s="78" t="b">
        <f t="shared" si="207"/>
        <v>0</v>
      </c>
      <c r="AG160" s="78" t="b">
        <f t="shared" si="207"/>
        <v>0</v>
      </c>
      <c r="AH160" s="78" t="b">
        <f t="shared" si="207"/>
        <v>0</v>
      </c>
      <c r="AI160" s="78" t="b">
        <f t="shared" si="207"/>
        <v>0</v>
      </c>
      <c r="AJ160" s="78" t="b">
        <f t="shared" si="207"/>
        <v>0</v>
      </c>
      <c r="AK160" s="78" t="b">
        <f t="shared" si="207"/>
        <v>0</v>
      </c>
      <c r="AL160" s="78" t="b">
        <f t="shared" si="207"/>
        <v>0</v>
      </c>
      <c r="AM160" s="78" t="b">
        <f t="shared" si="207"/>
        <v>0</v>
      </c>
      <c r="AN160" s="78" t="b">
        <f t="shared" si="207"/>
        <v>0</v>
      </c>
      <c r="AO160" s="78" t="b">
        <f t="shared" si="207"/>
        <v>0</v>
      </c>
      <c r="AP160" s="78"/>
    </row>
    <row r="161" spans="4:42" x14ac:dyDescent="0.35">
      <c r="D161" s="96"/>
      <c r="E161" s="96"/>
      <c r="G161" s="77">
        <f t="shared" si="171"/>
        <v>0</v>
      </c>
      <c r="H161" s="78">
        <f t="shared" si="172"/>
        <v>0</v>
      </c>
      <c r="I161" s="77">
        <f t="shared" si="173"/>
        <v>0</v>
      </c>
      <c r="J161" s="78">
        <f t="shared" si="174"/>
        <v>0</v>
      </c>
      <c r="K161" s="78" t="str">
        <f t="shared" si="175"/>
        <v>1900-01-00 00:0:00</v>
      </c>
      <c r="L161" s="78" t="str">
        <f t="shared" si="176"/>
        <v>1900-01-00 00:0:00</v>
      </c>
      <c r="M161" s="79">
        <f t="shared" si="177"/>
        <v>0</v>
      </c>
      <c r="N161">
        <f t="shared" si="178"/>
        <v>1</v>
      </c>
      <c r="O161" t="str">
        <f>IFERROR(_xlfn.XLOOKUP(A161,HC!A:A,HC!C:C),"")</f>
        <v>Workforce</v>
      </c>
      <c r="R161" s="78" t="b">
        <f t="shared" ref="R161:AO161" si="208">IFERROR(IF($B161=$D$1,IF(AND($K161&lt;R$1,$L161&lt;R$1),"",IF(AND($K161&gt;S$1,$L161&gt;S$1),"",IF(AND($K161&lt;R$1,$L161&lt;=S$1),$L161-R$1,IF(AND($K161&gt;=R$1,$L161&gt;S$1),S$1-$K161,IF(AND($K161&gt;=R$1,$L161&lt;=S$1),$L161-$K161,IF(AND($K161&lt;R$1,$L161&gt;S$1),S$1-R$1,""))))))),"")</f>
        <v>0</v>
      </c>
      <c r="S161" s="78" t="b">
        <f t="shared" si="208"/>
        <v>0</v>
      </c>
      <c r="T161" s="78" t="b">
        <f t="shared" si="208"/>
        <v>0</v>
      </c>
      <c r="U161" s="78" t="b">
        <f t="shared" si="208"/>
        <v>0</v>
      </c>
      <c r="V161" s="78" t="b">
        <f t="shared" si="208"/>
        <v>0</v>
      </c>
      <c r="W161" s="78" t="b">
        <f t="shared" si="208"/>
        <v>0</v>
      </c>
      <c r="X161" s="78" t="b">
        <f t="shared" si="208"/>
        <v>0</v>
      </c>
      <c r="Y161" s="78" t="b">
        <f t="shared" si="208"/>
        <v>0</v>
      </c>
      <c r="Z161" s="78" t="b">
        <f t="shared" si="208"/>
        <v>0</v>
      </c>
      <c r="AA161" s="78" t="b">
        <f t="shared" si="208"/>
        <v>0</v>
      </c>
      <c r="AB161" s="78" t="b">
        <f t="shared" si="208"/>
        <v>0</v>
      </c>
      <c r="AC161" s="78" t="b">
        <f t="shared" si="208"/>
        <v>0</v>
      </c>
      <c r="AD161" s="78" t="b">
        <f t="shared" si="208"/>
        <v>0</v>
      </c>
      <c r="AE161" s="78" t="b">
        <f t="shared" si="208"/>
        <v>0</v>
      </c>
      <c r="AF161" s="78" t="b">
        <f t="shared" si="208"/>
        <v>0</v>
      </c>
      <c r="AG161" s="78" t="b">
        <f t="shared" si="208"/>
        <v>0</v>
      </c>
      <c r="AH161" s="78" t="b">
        <f t="shared" si="208"/>
        <v>0</v>
      </c>
      <c r="AI161" s="78" t="b">
        <f t="shared" si="208"/>
        <v>0</v>
      </c>
      <c r="AJ161" s="78" t="b">
        <f t="shared" si="208"/>
        <v>0</v>
      </c>
      <c r="AK161" s="78" t="b">
        <f t="shared" si="208"/>
        <v>0</v>
      </c>
      <c r="AL161" s="78" t="b">
        <f t="shared" si="208"/>
        <v>0</v>
      </c>
      <c r="AM161" s="78" t="b">
        <f t="shared" si="208"/>
        <v>0</v>
      </c>
      <c r="AN161" s="78" t="b">
        <f t="shared" si="208"/>
        <v>0</v>
      </c>
      <c r="AO161" s="78" t="b">
        <f t="shared" si="208"/>
        <v>0</v>
      </c>
      <c r="AP161" s="78"/>
    </row>
    <row r="162" spans="4:42" x14ac:dyDescent="0.35">
      <c r="D162" s="96"/>
      <c r="E162" s="96"/>
      <c r="G162" s="77">
        <f t="shared" si="171"/>
        <v>0</v>
      </c>
      <c r="H162" s="78">
        <f t="shared" si="172"/>
        <v>0</v>
      </c>
      <c r="I162" s="77">
        <f t="shared" si="173"/>
        <v>0</v>
      </c>
      <c r="J162" s="78">
        <f t="shared" si="174"/>
        <v>0</v>
      </c>
      <c r="K162" s="78" t="str">
        <f t="shared" si="175"/>
        <v>1900-01-00 00:0:00</v>
      </c>
      <c r="L162" s="78" t="str">
        <f t="shared" si="176"/>
        <v>1900-01-00 00:0:00</v>
      </c>
      <c r="M162" s="79">
        <f t="shared" si="177"/>
        <v>0</v>
      </c>
      <c r="N162">
        <f t="shared" si="178"/>
        <v>1</v>
      </c>
      <c r="O162" t="str">
        <f>IFERROR(_xlfn.XLOOKUP(A162,HC!A:A,HC!C:C),"")</f>
        <v>Workforce</v>
      </c>
      <c r="R162" s="78" t="b">
        <f t="shared" ref="R162:AO162" si="209">IFERROR(IF($B162=$D$1,IF(AND($K162&lt;R$1,$L162&lt;R$1),"",IF(AND($K162&gt;S$1,$L162&gt;S$1),"",IF(AND($K162&lt;R$1,$L162&lt;=S$1),$L162-R$1,IF(AND($K162&gt;=R$1,$L162&gt;S$1),S$1-$K162,IF(AND($K162&gt;=R$1,$L162&lt;=S$1),$L162-$K162,IF(AND($K162&lt;R$1,$L162&gt;S$1),S$1-R$1,""))))))),"")</f>
        <v>0</v>
      </c>
      <c r="S162" s="78" t="b">
        <f t="shared" si="209"/>
        <v>0</v>
      </c>
      <c r="T162" s="78" t="b">
        <f t="shared" si="209"/>
        <v>0</v>
      </c>
      <c r="U162" s="78" t="b">
        <f t="shared" si="209"/>
        <v>0</v>
      </c>
      <c r="V162" s="78" t="b">
        <f t="shared" si="209"/>
        <v>0</v>
      </c>
      <c r="W162" s="78" t="b">
        <f t="shared" si="209"/>
        <v>0</v>
      </c>
      <c r="X162" s="78" t="b">
        <f t="shared" si="209"/>
        <v>0</v>
      </c>
      <c r="Y162" s="78" t="b">
        <f t="shared" si="209"/>
        <v>0</v>
      </c>
      <c r="Z162" s="78" t="b">
        <f t="shared" si="209"/>
        <v>0</v>
      </c>
      <c r="AA162" s="78" t="b">
        <f t="shared" si="209"/>
        <v>0</v>
      </c>
      <c r="AB162" s="78" t="b">
        <f t="shared" si="209"/>
        <v>0</v>
      </c>
      <c r="AC162" s="78" t="b">
        <f t="shared" si="209"/>
        <v>0</v>
      </c>
      <c r="AD162" s="78" t="b">
        <f t="shared" si="209"/>
        <v>0</v>
      </c>
      <c r="AE162" s="78" t="b">
        <f t="shared" si="209"/>
        <v>0</v>
      </c>
      <c r="AF162" s="78" t="b">
        <f t="shared" si="209"/>
        <v>0</v>
      </c>
      <c r="AG162" s="78" t="b">
        <f t="shared" si="209"/>
        <v>0</v>
      </c>
      <c r="AH162" s="78" t="b">
        <f t="shared" si="209"/>
        <v>0</v>
      </c>
      <c r="AI162" s="78" t="b">
        <f t="shared" si="209"/>
        <v>0</v>
      </c>
      <c r="AJ162" s="78" t="b">
        <f t="shared" si="209"/>
        <v>0</v>
      </c>
      <c r="AK162" s="78" t="b">
        <f t="shared" si="209"/>
        <v>0</v>
      </c>
      <c r="AL162" s="78" t="b">
        <f t="shared" si="209"/>
        <v>0</v>
      </c>
      <c r="AM162" s="78" t="b">
        <f t="shared" si="209"/>
        <v>0</v>
      </c>
      <c r="AN162" s="78" t="b">
        <f t="shared" si="209"/>
        <v>0</v>
      </c>
      <c r="AO162" s="78" t="b">
        <f t="shared" si="209"/>
        <v>0</v>
      </c>
      <c r="AP162" s="78"/>
    </row>
    <row r="163" spans="4:42" x14ac:dyDescent="0.35">
      <c r="D163" s="96"/>
      <c r="E163" s="96"/>
      <c r="G163" s="77">
        <f t="shared" si="171"/>
        <v>0</v>
      </c>
      <c r="H163" s="78">
        <f t="shared" si="172"/>
        <v>0</v>
      </c>
      <c r="I163" s="77">
        <f t="shared" si="173"/>
        <v>0</v>
      </c>
      <c r="J163" s="78">
        <f t="shared" si="174"/>
        <v>0</v>
      </c>
      <c r="K163" s="78" t="str">
        <f t="shared" si="175"/>
        <v>1900-01-00 00:0:00</v>
      </c>
      <c r="L163" s="78" t="str">
        <f t="shared" si="176"/>
        <v>1900-01-00 00:0:00</v>
      </c>
      <c r="M163" s="79">
        <f t="shared" si="177"/>
        <v>0</v>
      </c>
      <c r="N163">
        <f t="shared" si="178"/>
        <v>1</v>
      </c>
      <c r="O163" t="str">
        <f>IFERROR(_xlfn.XLOOKUP(A163,HC!A:A,HC!C:C),"")</f>
        <v>Workforce</v>
      </c>
      <c r="R163" s="78" t="b">
        <f t="shared" ref="R163:AO163" si="210">IFERROR(IF($B163=$D$1,IF(AND($K163&lt;R$1,$L163&lt;R$1),"",IF(AND($K163&gt;S$1,$L163&gt;S$1),"",IF(AND($K163&lt;R$1,$L163&lt;=S$1),$L163-R$1,IF(AND($K163&gt;=R$1,$L163&gt;S$1),S$1-$K163,IF(AND($K163&gt;=R$1,$L163&lt;=S$1),$L163-$K163,IF(AND($K163&lt;R$1,$L163&gt;S$1),S$1-R$1,""))))))),"")</f>
        <v>0</v>
      </c>
      <c r="S163" s="78" t="b">
        <f t="shared" si="210"/>
        <v>0</v>
      </c>
      <c r="T163" s="78" t="b">
        <f t="shared" si="210"/>
        <v>0</v>
      </c>
      <c r="U163" s="78" t="b">
        <f t="shared" si="210"/>
        <v>0</v>
      </c>
      <c r="V163" s="78" t="b">
        <f t="shared" si="210"/>
        <v>0</v>
      </c>
      <c r="W163" s="78" t="b">
        <f t="shared" si="210"/>
        <v>0</v>
      </c>
      <c r="X163" s="78" t="b">
        <f t="shared" si="210"/>
        <v>0</v>
      </c>
      <c r="Y163" s="78" t="b">
        <f t="shared" si="210"/>
        <v>0</v>
      </c>
      <c r="Z163" s="78" t="b">
        <f t="shared" si="210"/>
        <v>0</v>
      </c>
      <c r="AA163" s="78" t="b">
        <f t="shared" si="210"/>
        <v>0</v>
      </c>
      <c r="AB163" s="78" t="b">
        <f t="shared" si="210"/>
        <v>0</v>
      </c>
      <c r="AC163" s="78" t="b">
        <f t="shared" si="210"/>
        <v>0</v>
      </c>
      <c r="AD163" s="78" t="b">
        <f t="shared" si="210"/>
        <v>0</v>
      </c>
      <c r="AE163" s="78" t="b">
        <f t="shared" si="210"/>
        <v>0</v>
      </c>
      <c r="AF163" s="78" t="b">
        <f t="shared" si="210"/>
        <v>0</v>
      </c>
      <c r="AG163" s="78" t="b">
        <f t="shared" si="210"/>
        <v>0</v>
      </c>
      <c r="AH163" s="78" t="b">
        <f t="shared" si="210"/>
        <v>0</v>
      </c>
      <c r="AI163" s="78" t="b">
        <f t="shared" si="210"/>
        <v>0</v>
      </c>
      <c r="AJ163" s="78" t="b">
        <f t="shared" si="210"/>
        <v>0</v>
      </c>
      <c r="AK163" s="78" t="b">
        <f t="shared" si="210"/>
        <v>0</v>
      </c>
      <c r="AL163" s="78" t="b">
        <f t="shared" si="210"/>
        <v>0</v>
      </c>
      <c r="AM163" s="78" t="b">
        <f t="shared" si="210"/>
        <v>0</v>
      </c>
      <c r="AN163" s="78" t="b">
        <f t="shared" si="210"/>
        <v>0</v>
      </c>
      <c r="AO163" s="78" t="b">
        <f t="shared" si="210"/>
        <v>0</v>
      </c>
      <c r="AP163" s="78"/>
    </row>
    <row r="164" spans="4:42" x14ac:dyDescent="0.35">
      <c r="D164" s="96"/>
      <c r="E164" s="96"/>
      <c r="G164" s="77">
        <f t="shared" si="171"/>
        <v>0</v>
      </c>
      <c r="H164" s="78">
        <f t="shared" si="172"/>
        <v>0</v>
      </c>
      <c r="I164" s="77">
        <f t="shared" si="173"/>
        <v>0</v>
      </c>
      <c r="J164" s="78">
        <f t="shared" si="174"/>
        <v>0</v>
      </c>
      <c r="K164" s="78" t="str">
        <f t="shared" si="175"/>
        <v>1900-01-00 00:0:00</v>
      </c>
      <c r="L164" s="78" t="str">
        <f t="shared" si="176"/>
        <v>1900-01-00 00:0:00</v>
      </c>
      <c r="M164" s="79">
        <f t="shared" si="177"/>
        <v>0</v>
      </c>
      <c r="N164">
        <f t="shared" si="178"/>
        <v>1</v>
      </c>
      <c r="O164" t="str">
        <f>IFERROR(_xlfn.XLOOKUP(A164,HC!A:A,HC!C:C),"")</f>
        <v>Workforce</v>
      </c>
      <c r="R164" s="78" t="b">
        <f t="shared" ref="R164:AO164" si="211">IFERROR(IF($B164=$D$1,IF(AND($K164&lt;R$1,$L164&lt;R$1),"",IF(AND($K164&gt;S$1,$L164&gt;S$1),"",IF(AND($K164&lt;R$1,$L164&lt;=S$1),$L164-R$1,IF(AND($K164&gt;=R$1,$L164&gt;S$1),S$1-$K164,IF(AND($K164&gt;=R$1,$L164&lt;=S$1),$L164-$K164,IF(AND($K164&lt;R$1,$L164&gt;S$1),S$1-R$1,""))))))),"")</f>
        <v>0</v>
      </c>
      <c r="S164" s="78" t="b">
        <f t="shared" si="211"/>
        <v>0</v>
      </c>
      <c r="T164" s="78" t="b">
        <f t="shared" si="211"/>
        <v>0</v>
      </c>
      <c r="U164" s="78" t="b">
        <f t="shared" si="211"/>
        <v>0</v>
      </c>
      <c r="V164" s="78" t="b">
        <f t="shared" si="211"/>
        <v>0</v>
      </c>
      <c r="W164" s="78" t="b">
        <f t="shared" si="211"/>
        <v>0</v>
      </c>
      <c r="X164" s="78" t="b">
        <f t="shared" si="211"/>
        <v>0</v>
      </c>
      <c r="Y164" s="78" t="b">
        <f t="shared" si="211"/>
        <v>0</v>
      </c>
      <c r="Z164" s="78" t="b">
        <f t="shared" si="211"/>
        <v>0</v>
      </c>
      <c r="AA164" s="78" t="b">
        <f t="shared" si="211"/>
        <v>0</v>
      </c>
      <c r="AB164" s="78" t="b">
        <f t="shared" si="211"/>
        <v>0</v>
      </c>
      <c r="AC164" s="78" t="b">
        <f t="shared" si="211"/>
        <v>0</v>
      </c>
      <c r="AD164" s="78" t="b">
        <f t="shared" si="211"/>
        <v>0</v>
      </c>
      <c r="AE164" s="78" t="b">
        <f t="shared" si="211"/>
        <v>0</v>
      </c>
      <c r="AF164" s="78" t="b">
        <f t="shared" si="211"/>
        <v>0</v>
      </c>
      <c r="AG164" s="78" t="b">
        <f t="shared" si="211"/>
        <v>0</v>
      </c>
      <c r="AH164" s="78" t="b">
        <f t="shared" si="211"/>
        <v>0</v>
      </c>
      <c r="AI164" s="78" t="b">
        <f t="shared" si="211"/>
        <v>0</v>
      </c>
      <c r="AJ164" s="78" t="b">
        <f t="shared" si="211"/>
        <v>0</v>
      </c>
      <c r="AK164" s="78" t="b">
        <f t="shared" si="211"/>
        <v>0</v>
      </c>
      <c r="AL164" s="78" t="b">
        <f t="shared" si="211"/>
        <v>0</v>
      </c>
      <c r="AM164" s="78" t="b">
        <f t="shared" si="211"/>
        <v>0</v>
      </c>
      <c r="AN164" s="78" t="b">
        <f t="shared" si="211"/>
        <v>0</v>
      </c>
      <c r="AO164" s="78" t="b">
        <f t="shared" si="211"/>
        <v>0</v>
      </c>
      <c r="AP164" s="78"/>
    </row>
    <row r="165" spans="4:42" x14ac:dyDescent="0.35">
      <c r="D165" s="96"/>
      <c r="E165" s="96"/>
      <c r="G165" s="77">
        <f t="shared" si="171"/>
        <v>0</v>
      </c>
      <c r="H165" s="78">
        <f t="shared" si="172"/>
        <v>0</v>
      </c>
      <c r="I165" s="77">
        <f t="shared" si="173"/>
        <v>0</v>
      </c>
      <c r="J165" s="78">
        <f t="shared" si="174"/>
        <v>0</v>
      </c>
      <c r="K165" s="78" t="str">
        <f t="shared" si="175"/>
        <v>1900-01-00 00:0:00</v>
      </c>
      <c r="L165" s="78" t="str">
        <f t="shared" si="176"/>
        <v>1900-01-00 00:0:00</v>
      </c>
      <c r="M165" s="79">
        <f t="shared" si="177"/>
        <v>0</v>
      </c>
      <c r="N165">
        <f t="shared" si="178"/>
        <v>1</v>
      </c>
      <c r="O165" t="str">
        <f>IFERROR(_xlfn.XLOOKUP(A165,HC!A:A,HC!C:C),"")</f>
        <v>Workforce</v>
      </c>
      <c r="R165" s="78" t="b">
        <f t="shared" ref="R165:AO165" si="212">IFERROR(IF($B165=$D$1,IF(AND($K165&lt;R$1,$L165&lt;R$1),"",IF(AND($K165&gt;S$1,$L165&gt;S$1),"",IF(AND($K165&lt;R$1,$L165&lt;=S$1),$L165-R$1,IF(AND($K165&gt;=R$1,$L165&gt;S$1),S$1-$K165,IF(AND($K165&gt;=R$1,$L165&lt;=S$1),$L165-$K165,IF(AND($K165&lt;R$1,$L165&gt;S$1),S$1-R$1,""))))))),"")</f>
        <v>0</v>
      </c>
      <c r="S165" s="78" t="b">
        <f t="shared" si="212"/>
        <v>0</v>
      </c>
      <c r="T165" s="78" t="b">
        <f t="shared" si="212"/>
        <v>0</v>
      </c>
      <c r="U165" s="78" t="b">
        <f t="shared" si="212"/>
        <v>0</v>
      </c>
      <c r="V165" s="78" t="b">
        <f t="shared" si="212"/>
        <v>0</v>
      </c>
      <c r="W165" s="78" t="b">
        <f t="shared" si="212"/>
        <v>0</v>
      </c>
      <c r="X165" s="78" t="b">
        <f t="shared" si="212"/>
        <v>0</v>
      </c>
      <c r="Y165" s="78" t="b">
        <f t="shared" si="212"/>
        <v>0</v>
      </c>
      <c r="Z165" s="78" t="b">
        <f t="shared" si="212"/>
        <v>0</v>
      </c>
      <c r="AA165" s="78" t="b">
        <f t="shared" si="212"/>
        <v>0</v>
      </c>
      <c r="AB165" s="78" t="b">
        <f t="shared" si="212"/>
        <v>0</v>
      </c>
      <c r="AC165" s="78" t="b">
        <f t="shared" si="212"/>
        <v>0</v>
      </c>
      <c r="AD165" s="78" t="b">
        <f t="shared" si="212"/>
        <v>0</v>
      </c>
      <c r="AE165" s="78" t="b">
        <f t="shared" si="212"/>
        <v>0</v>
      </c>
      <c r="AF165" s="78" t="b">
        <f t="shared" si="212"/>
        <v>0</v>
      </c>
      <c r="AG165" s="78" t="b">
        <f t="shared" si="212"/>
        <v>0</v>
      </c>
      <c r="AH165" s="78" t="b">
        <f t="shared" si="212"/>
        <v>0</v>
      </c>
      <c r="AI165" s="78" t="b">
        <f t="shared" si="212"/>
        <v>0</v>
      </c>
      <c r="AJ165" s="78" t="b">
        <f t="shared" si="212"/>
        <v>0</v>
      </c>
      <c r="AK165" s="78" t="b">
        <f t="shared" si="212"/>
        <v>0</v>
      </c>
      <c r="AL165" s="78" t="b">
        <f t="shared" si="212"/>
        <v>0</v>
      </c>
      <c r="AM165" s="78" t="b">
        <f t="shared" si="212"/>
        <v>0</v>
      </c>
      <c r="AN165" s="78" t="b">
        <f t="shared" si="212"/>
        <v>0</v>
      </c>
      <c r="AO165" s="78" t="b">
        <f t="shared" si="212"/>
        <v>0</v>
      </c>
      <c r="AP165" s="78"/>
    </row>
    <row r="166" spans="4:42" x14ac:dyDescent="0.35">
      <c r="D166" s="96"/>
      <c r="E166" s="96"/>
      <c r="G166" s="77">
        <f t="shared" si="171"/>
        <v>0</v>
      </c>
      <c r="H166" s="78">
        <f t="shared" si="172"/>
        <v>0</v>
      </c>
      <c r="I166" s="77">
        <f t="shared" si="173"/>
        <v>0</v>
      </c>
      <c r="J166" s="78">
        <f t="shared" si="174"/>
        <v>0</v>
      </c>
      <c r="K166" s="78" t="str">
        <f t="shared" si="175"/>
        <v>1900-01-00 00:0:00</v>
      </c>
      <c r="L166" s="78" t="str">
        <f t="shared" si="176"/>
        <v>1900-01-00 00:0:00</v>
      </c>
      <c r="M166" s="79">
        <f t="shared" si="177"/>
        <v>0</v>
      </c>
      <c r="N166">
        <f t="shared" si="178"/>
        <v>1</v>
      </c>
      <c r="O166" t="str">
        <f>IFERROR(_xlfn.XLOOKUP(A166,HC!A:A,HC!C:C),"")</f>
        <v>Workforce</v>
      </c>
      <c r="R166" s="78" t="b">
        <f t="shared" ref="R166:AO166" si="213">IFERROR(IF($B166=$D$1,IF(AND($K166&lt;R$1,$L166&lt;R$1),"",IF(AND($K166&gt;S$1,$L166&gt;S$1),"",IF(AND($K166&lt;R$1,$L166&lt;=S$1),$L166-R$1,IF(AND($K166&gt;=R$1,$L166&gt;S$1),S$1-$K166,IF(AND($K166&gt;=R$1,$L166&lt;=S$1),$L166-$K166,IF(AND($K166&lt;R$1,$L166&gt;S$1),S$1-R$1,""))))))),"")</f>
        <v>0</v>
      </c>
      <c r="S166" s="78" t="b">
        <f t="shared" si="213"/>
        <v>0</v>
      </c>
      <c r="T166" s="78" t="b">
        <f t="shared" si="213"/>
        <v>0</v>
      </c>
      <c r="U166" s="78" t="b">
        <f t="shared" si="213"/>
        <v>0</v>
      </c>
      <c r="V166" s="78" t="b">
        <f t="shared" si="213"/>
        <v>0</v>
      </c>
      <c r="W166" s="78" t="b">
        <f t="shared" si="213"/>
        <v>0</v>
      </c>
      <c r="X166" s="78" t="b">
        <f t="shared" si="213"/>
        <v>0</v>
      </c>
      <c r="Y166" s="78" t="b">
        <f t="shared" si="213"/>
        <v>0</v>
      </c>
      <c r="Z166" s="78" t="b">
        <f t="shared" si="213"/>
        <v>0</v>
      </c>
      <c r="AA166" s="78" t="b">
        <f t="shared" si="213"/>
        <v>0</v>
      </c>
      <c r="AB166" s="78" t="b">
        <f t="shared" si="213"/>
        <v>0</v>
      </c>
      <c r="AC166" s="78" t="b">
        <f t="shared" si="213"/>
        <v>0</v>
      </c>
      <c r="AD166" s="78" t="b">
        <f t="shared" si="213"/>
        <v>0</v>
      </c>
      <c r="AE166" s="78" t="b">
        <f t="shared" si="213"/>
        <v>0</v>
      </c>
      <c r="AF166" s="78" t="b">
        <f t="shared" si="213"/>
        <v>0</v>
      </c>
      <c r="AG166" s="78" t="b">
        <f t="shared" si="213"/>
        <v>0</v>
      </c>
      <c r="AH166" s="78" t="b">
        <f t="shared" si="213"/>
        <v>0</v>
      </c>
      <c r="AI166" s="78" t="b">
        <f t="shared" si="213"/>
        <v>0</v>
      </c>
      <c r="AJ166" s="78" t="b">
        <f t="shared" si="213"/>
        <v>0</v>
      </c>
      <c r="AK166" s="78" t="b">
        <f t="shared" si="213"/>
        <v>0</v>
      </c>
      <c r="AL166" s="78" t="b">
        <f t="shared" si="213"/>
        <v>0</v>
      </c>
      <c r="AM166" s="78" t="b">
        <f t="shared" si="213"/>
        <v>0</v>
      </c>
      <c r="AN166" s="78" t="b">
        <f t="shared" si="213"/>
        <v>0</v>
      </c>
      <c r="AO166" s="78" t="b">
        <f t="shared" si="213"/>
        <v>0</v>
      </c>
      <c r="AP166" s="78"/>
    </row>
    <row r="167" spans="4:42" x14ac:dyDescent="0.35">
      <c r="D167" s="96"/>
      <c r="E167" s="96"/>
      <c r="G167" s="77">
        <f t="shared" si="171"/>
        <v>0</v>
      </c>
      <c r="H167" s="78">
        <f t="shared" si="172"/>
        <v>0</v>
      </c>
      <c r="I167" s="77">
        <f t="shared" si="173"/>
        <v>0</v>
      </c>
      <c r="J167" s="78">
        <f t="shared" si="174"/>
        <v>0</v>
      </c>
      <c r="K167" s="78" t="str">
        <f t="shared" si="175"/>
        <v>1900-01-00 00:0:00</v>
      </c>
      <c r="L167" s="78" t="str">
        <f t="shared" si="176"/>
        <v>1900-01-00 00:0:00</v>
      </c>
      <c r="M167" s="79">
        <f t="shared" si="177"/>
        <v>0</v>
      </c>
      <c r="N167">
        <f t="shared" si="178"/>
        <v>1</v>
      </c>
      <c r="O167" t="str">
        <f>IFERROR(_xlfn.XLOOKUP(A167,HC!A:A,HC!C:C),"")</f>
        <v>Workforce</v>
      </c>
      <c r="R167" s="78" t="b">
        <f t="shared" ref="R167:AO167" si="214">IFERROR(IF($B167=$D$1,IF(AND($K167&lt;R$1,$L167&lt;R$1),"",IF(AND($K167&gt;S$1,$L167&gt;S$1),"",IF(AND($K167&lt;R$1,$L167&lt;=S$1),$L167-R$1,IF(AND($K167&gt;=R$1,$L167&gt;S$1),S$1-$K167,IF(AND($K167&gt;=R$1,$L167&lt;=S$1),$L167-$K167,IF(AND($K167&lt;R$1,$L167&gt;S$1),S$1-R$1,""))))))),"")</f>
        <v>0</v>
      </c>
      <c r="S167" s="78" t="b">
        <f t="shared" si="214"/>
        <v>0</v>
      </c>
      <c r="T167" s="78" t="b">
        <f t="shared" si="214"/>
        <v>0</v>
      </c>
      <c r="U167" s="78" t="b">
        <f t="shared" si="214"/>
        <v>0</v>
      </c>
      <c r="V167" s="78" t="b">
        <f t="shared" si="214"/>
        <v>0</v>
      </c>
      <c r="W167" s="78" t="b">
        <f t="shared" si="214"/>
        <v>0</v>
      </c>
      <c r="X167" s="78" t="b">
        <f t="shared" si="214"/>
        <v>0</v>
      </c>
      <c r="Y167" s="78" t="b">
        <f t="shared" si="214"/>
        <v>0</v>
      </c>
      <c r="Z167" s="78" t="b">
        <f t="shared" si="214"/>
        <v>0</v>
      </c>
      <c r="AA167" s="78" t="b">
        <f t="shared" si="214"/>
        <v>0</v>
      </c>
      <c r="AB167" s="78" t="b">
        <f t="shared" si="214"/>
        <v>0</v>
      </c>
      <c r="AC167" s="78" t="b">
        <f t="shared" si="214"/>
        <v>0</v>
      </c>
      <c r="AD167" s="78" t="b">
        <f t="shared" si="214"/>
        <v>0</v>
      </c>
      <c r="AE167" s="78" t="b">
        <f t="shared" si="214"/>
        <v>0</v>
      </c>
      <c r="AF167" s="78" t="b">
        <f t="shared" si="214"/>
        <v>0</v>
      </c>
      <c r="AG167" s="78" t="b">
        <f t="shared" si="214"/>
        <v>0</v>
      </c>
      <c r="AH167" s="78" t="b">
        <f t="shared" si="214"/>
        <v>0</v>
      </c>
      <c r="AI167" s="78" t="b">
        <f t="shared" si="214"/>
        <v>0</v>
      </c>
      <c r="AJ167" s="78" t="b">
        <f t="shared" si="214"/>
        <v>0</v>
      </c>
      <c r="AK167" s="78" t="b">
        <f t="shared" si="214"/>
        <v>0</v>
      </c>
      <c r="AL167" s="78" t="b">
        <f t="shared" si="214"/>
        <v>0</v>
      </c>
      <c r="AM167" s="78" t="b">
        <f t="shared" si="214"/>
        <v>0</v>
      </c>
      <c r="AN167" s="78" t="b">
        <f t="shared" si="214"/>
        <v>0</v>
      </c>
      <c r="AO167" s="78" t="b">
        <f t="shared" si="214"/>
        <v>0</v>
      </c>
      <c r="AP167" s="78"/>
    </row>
    <row r="168" spans="4:42" x14ac:dyDescent="0.35">
      <c r="D168" s="96"/>
      <c r="E168" s="96"/>
      <c r="G168" s="77">
        <f t="shared" si="171"/>
        <v>0</v>
      </c>
      <c r="H168" s="78">
        <f t="shared" si="172"/>
        <v>0</v>
      </c>
      <c r="I168" s="77">
        <f t="shared" si="173"/>
        <v>0</v>
      </c>
      <c r="J168" s="78">
        <f t="shared" si="174"/>
        <v>0</v>
      </c>
      <c r="K168" s="78" t="str">
        <f t="shared" si="175"/>
        <v>1900-01-00 00:0:00</v>
      </c>
      <c r="L168" s="78" t="str">
        <f t="shared" si="176"/>
        <v>1900-01-00 00:0:00</v>
      </c>
      <c r="M168" s="79">
        <f t="shared" si="177"/>
        <v>0</v>
      </c>
      <c r="N168">
        <f t="shared" si="178"/>
        <v>1</v>
      </c>
      <c r="O168" t="str">
        <f>IFERROR(_xlfn.XLOOKUP(A168,HC!A:A,HC!C:C),"")</f>
        <v>Workforce</v>
      </c>
      <c r="R168" s="78" t="b">
        <f t="shared" ref="R168:AO168" si="215">IFERROR(IF($B168=$D$1,IF(AND($K168&lt;R$1,$L168&lt;R$1),"",IF(AND($K168&gt;S$1,$L168&gt;S$1),"",IF(AND($K168&lt;R$1,$L168&lt;=S$1),$L168-R$1,IF(AND($K168&gt;=R$1,$L168&gt;S$1),S$1-$K168,IF(AND($K168&gt;=R$1,$L168&lt;=S$1),$L168-$K168,IF(AND($K168&lt;R$1,$L168&gt;S$1),S$1-R$1,""))))))),"")</f>
        <v>0</v>
      </c>
      <c r="S168" s="78" t="b">
        <f t="shared" si="215"/>
        <v>0</v>
      </c>
      <c r="T168" s="78" t="b">
        <f t="shared" si="215"/>
        <v>0</v>
      </c>
      <c r="U168" s="78" t="b">
        <f t="shared" si="215"/>
        <v>0</v>
      </c>
      <c r="V168" s="78" t="b">
        <f t="shared" si="215"/>
        <v>0</v>
      </c>
      <c r="W168" s="78" t="b">
        <f t="shared" si="215"/>
        <v>0</v>
      </c>
      <c r="X168" s="78" t="b">
        <f t="shared" si="215"/>
        <v>0</v>
      </c>
      <c r="Y168" s="78" t="b">
        <f t="shared" si="215"/>
        <v>0</v>
      </c>
      <c r="Z168" s="78" t="b">
        <f t="shared" si="215"/>
        <v>0</v>
      </c>
      <c r="AA168" s="78" t="b">
        <f t="shared" si="215"/>
        <v>0</v>
      </c>
      <c r="AB168" s="78" t="b">
        <f t="shared" si="215"/>
        <v>0</v>
      </c>
      <c r="AC168" s="78" t="b">
        <f t="shared" si="215"/>
        <v>0</v>
      </c>
      <c r="AD168" s="78" t="b">
        <f t="shared" si="215"/>
        <v>0</v>
      </c>
      <c r="AE168" s="78" t="b">
        <f t="shared" si="215"/>
        <v>0</v>
      </c>
      <c r="AF168" s="78" t="b">
        <f t="shared" si="215"/>
        <v>0</v>
      </c>
      <c r="AG168" s="78" t="b">
        <f t="shared" si="215"/>
        <v>0</v>
      </c>
      <c r="AH168" s="78" t="b">
        <f t="shared" si="215"/>
        <v>0</v>
      </c>
      <c r="AI168" s="78" t="b">
        <f t="shared" si="215"/>
        <v>0</v>
      </c>
      <c r="AJ168" s="78" t="b">
        <f t="shared" si="215"/>
        <v>0</v>
      </c>
      <c r="AK168" s="78" t="b">
        <f t="shared" si="215"/>
        <v>0</v>
      </c>
      <c r="AL168" s="78" t="b">
        <f t="shared" si="215"/>
        <v>0</v>
      </c>
      <c r="AM168" s="78" t="b">
        <f t="shared" si="215"/>
        <v>0</v>
      </c>
      <c r="AN168" s="78" t="b">
        <f t="shared" si="215"/>
        <v>0</v>
      </c>
      <c r="AO168" s="78" t="b">
        <f t="shared" si="215"/>
        <v>0</v>
      </c>
      <c r="AP168" s="78"/>
    </row>
    <row r="169" spans="4:42" x14ac:dyDescent="0.35">
      <c r="D169" s="96"/>
      <c r="E169" s="96"/>
      <c r="G169" s="77">
        <f t="shared" si="171"/>
        <v>0</v>
      </c>
      <c r="H169" s="78">
        <f t="shared" si="172"/>
        <v>0</v>
      </c>
      <c r="I169" s="77">
        <f t="shared" si="173"/>
        <v>0</v>
      </c>
      <c r="J169" s="78">
        <f t="shared" si="174"/>
        <v>0</v>
      </c>
      <c r="K169" s="78" t="str">
        <f t="shared" si="175"/>
        <v>1900-01-00 00:0:00</v>
      </c>
      <c r="L169" s="78" t="str">
        <f t="shared" si="176"/>
        <v>1900-01-00 00:0:00</v>
      </c>
      <c r="M169" s="79">
        <f t="shared" si="177"/>
        <v>0</v>
      </c>
      <c r="N169">
        <f t="shared" si="178"/>
        <v>1</v>
      </c>
      <c r="O169" t="str">
        <f>IFERROR(_xlfn.XLOOKUP(A169,HC!A:A,HC!C:C),"")</f>
        <v>Workforce</v>
      </c>
      <c r="R169" s="78" t="b">
        <f t="shared" ref="R169:AO169" si="216">IFERROR(IF($B169=$D$1,IF(AND($K169&lt;R$1,$L169&lt;R$1),"",IF(AND($K169&gt;S$1,$L169&gt;S$1),"",IF(AND($K169&lt;R$1,$L169&lt;=S$1),$L169-R$1,IF(AND($K169&gt;=R$1,$L169&gt;S$1),S$1-$K169,IF(AND($K169&gt;=R$1,$L169&lt;=S$1),$L169-$K169,IF(AND($K169&lt;R$1,$L169&gt;S$1),S$1-R$1,""))))))),"")</f>
        <v>0</v>
      </c>
      <c r="S169" s="78" t="b">
        <f t="shared" si="216"/>
        <v>0</v>
      </c>
      <c r="T169" s="78" t="b">
        <f t="shared" si="216"/>
        <v>0</v>
      </c>
      <c r="U169" s="78" t="b">
        <f t="shared" si="216"/>
        <v>0</v>
      </c>
      <c r="V169" s="78" t="b">
        <f t="shared" si="216"/>
        <v>0</v>
      </c>
      <c r="W169" s="78" t="b">
        <f t="shared" si="216"/>
        <v>0</v>
      </c>
      <c r="X169" s="78" t="b">
        <f t="shared" si="216"/>
        <v>0</v>
      </c>
      <c r="Y169" s="78" t="b">
        <f t="shared" si="216"/>
        <v>0</v>
      </c>
      <c r="Z169" s="78" t="b">
        <f t="shared" si="216"/>
        <v>0</v>
      </c>
      <c r="AA169" s="78" t="b">
        <f t="shared" si="216"/>
        <v>0</v>
      </c>
      <c r="AB169" s="78" t="b">
        <f t="shared" si="216"/>
        <v>0</v>
      </c>
      <c r="AC169" s="78" t="b">
        <f t="shared" si="216"/>
        <v>0</v>
      </c>
      <c r="AD169" s="78" t="b">
        <f t="shared" si="216"/>
        <v>0</v>
      </c>
      <c r="AE169" s="78" t="b">
        <f t="shared" si="216"/>
        <v>0</v>
      </c>
      <c r="AF169" s="78" t="b">
        <f t="shared" si="216"/>
        <v>0</v>
      </c>
      <c r="AG169" s="78" t="b">
        <f t="shared" si="216"/>
        <v>0</v>
      </c>
      <c r="AH169" s="78" t="b">
        <f t="shared" si="216"/>
        <v>0</v>
      </c>
      <c r="AI169" s="78" t="b">
        <f t="shared" si="216"/>
        <v>0</v>
      </c>
      <c r="AJ169" s="78" t="b">
        <f t="shared" si="216"/>
        <v>0</v>
      </c>
      <c r="AK169" s="78" t="b">
        <f t="shared" si="216"/>
        <v>0</v>
      </c>
      <c r="AL169" s="78" t="b">
        <f t="shared" si="216"/>
        <v>0</v>
      </c>
      <c r="AM169" s="78" t="b">
        <f t="shared" si="216"/>
        <v>0</v>
      </c>
      <c r="AN169" s="78" t="b">
        <f t="shared" si="216"/>
        <v>0</v>
      </c>
      <c r="AO169" s="78" t="b">
        <f t="shared" si="216"/>
        <v>0</v>
      </c>
      <c r="AP169" s="78"/>
    </row>
    <row r="170" spans="4:42" x14ac:dyDescent="0.35">
      <c r="D170" s="96"/>
      <c r="E170" s="96"/>
      <c r="G170" s="77">
        <f t="shared" si="171"/>
        <v>0</v>
      </c>
      <c r="H170" s="78">
        <f t="shared" si="172"/>
        <v>0</v>
      </c>
      <c r="I170" s="77">
        <f t="shared" si="173"/>
        <v>0</v>
      </c>
      <c r="J170" s="78">
        <f t="shared" si="174"/>
        <v>0</v>
      </c>
      <c r="K170" s="78" t="str">
        <f t="shared" si="175"/>
        <v>1900-01-00 00:0:00</v>
      </c>
      <c r="L170" s="78" t="str">
        <f t="shared" si="176"/>
        <v>1900-01-00 00:0:00</v>
      </c>
      <c r="M170" s="79">
        <f t="shared" si="177"/>
        <v>0</v>
      </c>
      <c r="N170">
        <f t="shared" si="178"/>
        <v>1</v>
      </c>
      <c r="O170" t="str">
        <f>IFERROR(_xlfn.XLOOKUP(A170,HC!A:A,HC!C:C),"")</f>
        <v>Workforce</v>
      </c>
      <c r="R170" s="78" t="b">
        <f t="shared" ref="R170:AO170" si="217">IFERROR(IF($B170=$D$1,IF(AND($K170&lt;R$1,$L170&lt;R$1),"",IF(AND($K170&gt;S$1,$L170&gt;S$1),"",IF(AND($K170&lt;R$1,$L170&lt;=S$1),$L170-R$1,IF(AND($K170&gt;=R$1,$L170&gt;S$1),S$1-$K170,IF(AND($K170&gt;=R$1,$L170&lt;=S$1),$L170-$K170,IF(AND($K170&lt;R$1,$L170&gt;S$1),S$1-R$1,""))))))),"")</f>
        <v>0</v>
      </c>
      <c r="S170" s="78" t="b">
        <f t="shared" si="217"/>
        <v>0</v>
      </c>
      <c r="T170" s="78" t="b">
        <f t="shared" si="217"/>
        <v>0</v>
      </c>
      <c r="U170" s="78" t="b">
        <f t="shared" si="217"/>
        <v>0</v>
      </c>
      <c r="V170" s="78" t="b">
        <f t="shared" si="217"/>
        <v>0</v>
      </c>
      <c r="W170" s="78" t="b">
        <f t="shared" si="217"/>
        <v>0</v>
      </c>
      <c r="X170" s="78" t="b">
        <f t="shared" si="217"/>
        <v>0</v>
      </c>
      <c r="Y170" s="78" t="b">
        <f t="shared" si="217"/>
        <v>0</v>
      </c>
      <c r="Z170" s="78" t="b">
        <f t="shared" si="217"/>
        <v>0</v>
      </c>
      <c r="AA170" s="78" t="b">
        <f t="shared" si="217"/>
        <v>0</v>
      </c>
      <c r="AB170" s="78" t="b">
        <f t="shared" si="217"/>
        <v>0</v>
      </c>
      <c r="AC170" s="78" t="b">
        <f t="shared" si="217"/>
        <v>0</v>
      </c>
      <c r="AD170" s="78" t="b">
        <f t="shared" si="217"/>
        <v>0</v>
      </c>
      <c r="AE170" s="78" t="b">
        <f t="shared" si="217"/>
        <v>0</v>
      </c>
      <c r="AF170" s="78" t="b">
        <f t="shared" si="217"/>
        <v>0</v>
      </c>
      <c r="AG170" s="78" t="b">
        <f t="shared" si="217"/>
        <v>0</v>
      </c>
      <c r="AH170" s="78" t="b">
        <f t="shared" si="217"/>
        <v>0</v>
      </c>
      <c r="AI170" s="78" t="b">
        <f t="shared" si="217"/>
        <v>0</v>
      </c>
      <c r="AJ170" s="78" t="b">
        <f t="shared" si="217"/>
        <v>0</v>
      </c>
      <c r="AK170" s="78" t="b">
        <f t="shared" si="217"/>
        <v>0</v>
      </c>
      <c r="AL170" s="78" t="b">
        <f t="shared" si="217"/>
        <v>0</v>
      </c>
      <c r="AM170" s="78" t="b">
        <f t="shared" si="217"/>
        <v>0</v>
      </c>
      <c r="AN170" s="78" t="b">
        <f t="shared" si="217"/>
        <v>0</v>
      </c>
      <c r="AO170" s="78" t="b">
        <f t="shared" si="217"/>
        <v>0</v>
      </c>
      <c r="AP170" s="78"/>
    </row>
    <row r="171" spans="4:42" x14ac:dyDescent="0.35">
      <c r="D171" s="96"/>
      <c r="E171" s="96"/>
      <c r="G171" s="77">
        <f t="shared" si="171"/>
        <v>0</v>
      </c>
      <c r="H171" s="78">
        <f t="shared" si="172"/>
        <v>0</v>
      </c>
      <c r="I171" s="77">
        <f t="shared" si="173"/>
        <v>0</v>
      </c>
      <c r="J171" s="78">
        <f t="shared" si="174"/>
        <v>0</v>
      </c>
      <c r="K171" s="78" t="str">
        <f t="shared" si="175"/>
        <v>1900-01-00 00:0:00</v>
      </c>
      <c r="L171" s="78" t="str">
        <f t="shared" si="176"/>
        <v>1900-01-00 00:0:00</v>
      </c>
      <c r="M171" s="79">
        <f t="shared" si="177"/>
        <v>0</v>
      </c>
      <c r="N171">
        <f t="shared" si="178"/>
        <v>1</v>
      </c>
      <c r="O171" t="str">
        <f>IFERROR(_xlfn.XLOOKUP(A171,HC!A:A,HC!C:C),"")</f>
        <v>Workforce</v>
      </c>
      <c r="R171" s="78" t="b">
        <f t="shared" ref="R171:AO171" si="218">IFERROR(IF($B171=$D$1,IF(AND($K171&lt;R$1,$L171&lt;R$1),"",IF(AND($K171&gt;S$1,$L171&gt;S$1),"",IF(AND($K171&lt;R$1,$L171&lt;=S$1),$L171-R$1,IF(AND($K171&gt;=R$1,$L171&gt;S$1),S$1-$K171,IF(AND($K171&gt;=R$1,$L171&lt;=S$1),$L171-$K171,IF(AND($K171&lt;R$1,$L171&gt;S$1),S$1-R$1,""))))))),"")</f>
        <v>0</v>
      </c>
      <c r="S171" s="78" t="b">
        <f t="shared" si="218"/>
        <v>0</v>
      </c>
      <c r="T171" s="78" t="b">
        <f t="shared" si="218"/>
        <v>0</v>
      </c>
      <c r="U171" s="78" t="b">
        <f t="shared" si="218"/>
        <v>0</v>
      </c>
      <c r="V171" s="78" t="b">
        <f t="shared" si="218"/>
        <v>0</v>
      </c>
      <c r="W171" s="78" t="b">
        <f t="shared" si="218"/>
        <v>0</v>
      </c>
      <c r="X171" s="78" t="b">
        <f t="shared" si="218"/>
        <v>0</v>
      </c>
      <c r="Y171" s="78" t="b">
        <f t="shared" si="218"/>
        <v>0</v>
      </c>
      <c r="Z171" s="78" t="b">
        <f t="shared" si="218"/>
        <v>0</v>
      </c>
      <c r="AA171" s="78" t="b">
        <f t="shared" si="218"/>
        <v>0</v>
      </c>
      <c r="AB171" s="78" t="b">
        <f t="shared" si="218"/>
        <v>0</v>
      </c>
      <c r="AC171" s="78" t="b">
        <f t="shared" si="218"/>
        <v>0</v>
      </c>
      <c r="AD171" s="78" t="b">
        <f t="shared" si="218"/>
        <v>0</v>
      </c>
      <c r="AE171" s="78" t="b">
        <f t="shared" si="218"/>
        <v>0</v>
      </c>
      <c r="AF171" s="78" t="b">
        <f t="shared" si="218"/>
        <v>0</v>
      </c>
      <c r="AG171" s="78" t="b">
        <f t="shared" si="218"/>
        <v>0</v>
      </c>
      <c r="AH171" s="78" t="b">
        <f t="shared" si="218"/>
        <v>0</v>
      </c>
      <c r="AI171" s="78" t="b">
        <f t="shared" si="218"/>
        <v>0</v>
      </c>
      <c r="AJ171" s="78" t="b">
        <f t="shared" si="218"/>
        <v>0</v>
      </c>
      <c r="AK171" s="78" t="b">
        <f t="shared" si="218"/>
        <v>0</v>
      </c>
      <c r="AL171" s="78" t="b">
        <f t="shared" si="218"/>
        <v>0</v>
      </c>
      <c r="AM171" s="78" t="b">
        <f t="shared" si="218"/>
        <v>0</v>
      </c>
      <c r="AN171" s="78" t="b">
        <f t="shared" si="218"/>
        <v>0</v>
      </c>
      <c r="AO171" s="78" t="b">
        <f t="shared" si="218"/>
        <v>0</v>
      </c>
      <c r="AP171" s="78"/>
    </row>
    <row r="172" spans="4:42" x14ac:dyDescent="0.35">
      <c r="D172" s="96"/>
      <c r="E172" s="96"/>
      <c r="G172" s="77">
        <f t="shared" si="171"/>
        <v>0</v>
      </c>
      <c r="H172" s="78">
        <f t="shared" si="172"/>
        <v>0</v>
      </c>
      <c r="I172" s="77">
        <f t="shared" si="173"/>
        <v>0</v>
      </c>
      <c r="J172" s="78">
        <f t="shared" si="174"/>
        <v>0</v>
      </c>
      <c r="K172" s="78" t="str">
        <f t="shared" si="175"/>
        <v>1900-01-00 00:0:00</v>
      </c>
      <c r="L172" s="78" t="str">
        <f t="shared" si="176"/>
        <v>1900-01-00 00:0:00</v>
      </c>
      <c r="M172" s="79">
        <f t="shared" si="177"/>
        <v>0</v>
      </c>
      <c r="N172">
        <f t="shared" si="178"/>
        <v>1</v>
      </c>
      <c r="O172" t="str">
        <f>IFERROR(_xlfn.XLOOKUP(A172,HC!A:A,HC!C:C),"")</f>
        <v>Workforce</v>
      </c>
      <c r="R172" s="78" t="b">
        <f t="shared" ref="R172:AO172" si="219">IFERROR(IF($B172=$D$1,IF(AND($K172&lt;R$1,$L172&lt;R$1),"",IF(AND($K172&gt;S$1,$L172&gt;S$1),"",IF(AND($K172&lt;R$1,$L172&lt;=S$1),$L172-R$1,IF(AND($K172&gt;=R$1,$L172&gt;S$1),S$1-$K172,IF(AND($K172&gt;=R$1,$L172&lt;=S$1),$L172-$K172,IF(AND($K172&lt;R$1,$L172&gt;S$1),S$1-R$1,""))))))),"")</f>
        <v>0</v>
      </c>
      <c r="S172" s="78" t="b">
        <f t="shared" si="219"/>
        <v>0</v>
      </c>
      <c r="T172" s="78" t="b">
        <f t="shared" si="219"/>
        <v>0</v>
      </c>
      <c r="U172" s="78" t="b">
        <f t="shared" si="219"/>
        <v>0</v>
      </c>
      <c r="V172" s="78" t="b">
        <f t="shared" si="219"/>
        <v>0</v>
      </c>
      <c r="W172" s="78" t="b">
        <f t="shared" si="219"/>
        <v>0</v>
      </c>
      <c r="X172" s="78" t="b">
        <f t="shared" si="219"/>
        <v>0</v>
      </c>
      <c r="Y172" s="78" t="b">
        <f t="shared" si="219"/>
        <v>0</v>
      </c>
      <c r="Z172" s="78" t="b">
        <f t="shared" si="219"/>
        <v>0</v>
      </c>
      <c r="AA172" s="78" t="b">
        <f t="shared" si="219"/>
        <v>0</v>
      </c>
      <c r="AB172" s="78" t="b">
        <f t="shared" si="219"/>
        <v>0</v>
      </c>
      <c r="AC172" s="78" t="b">
        <f t="shared" si="219"/>
        <v>0</v>
      </c>
      <c r="AD172" s="78" t="b">
        <f t="shared" si="219"/>
        <v>0</v>
      </c>
      <c r="AE172" s="78" t="b">
        <f t="shared" si="219"/>
        <v>0</v>
      </c>
      <c r="AF172" s="78" t="b">
        <f t="shared" si="219"/>
        <v>0</v>
      </c>
      <c r="AG172" s="78" t="b">
        <f t="shared" si="219"/>
        <v>0</v>
      </c>
      <c r="AH172" s="78" t="b">
        <f t="shared" si="219"/>
        <v>0</v>
      </c>
      <c r="AI172" s="78" t="b">
        <f t="shared" si="219"/>
        <v>0</v>
      </c>
      <c r="AJ172" s="78" t="b">
        <f t="shared" si="219"/>
        <v>0</v>
      </c>
      <c r="AK172" s="78" t="b">
        <f t="shared" si="219"/>
        <v>0</v>
      </c>
      <c r="AL172" s="78" t="b">
        <f t="shared" si="219"/>
        <v>0</v>
      </c>
      <c r="AM172" s="78" t="b">
        <f t="shared" si="219"/>
        <v>0</v>
      </c>
      <c r="AN172" s="78" t="b">
        <f t="shared" si="219"/>
        <v>0</v>
      </c>
      <c r="AO172" s="78" t="b">
        <f t="shared" si="219"/>
        <v>0</v>
      </c>
      <c r="AP172" s="78"/>
    </row>
    <row r="173" spans="4:42" x14ac:dyDescent="0.35">
      <c r="D173" s="96"/>
      <c r="E173" s="96"/>
      <c r="G173" s="77">
        <f t="shared" si="171"/>
        <v>0</v>
      </c>
      <c r="H173" s="78">
        <f t="shared" si="172"/>
        <v>0</v>
      </c>
      <c r="I173" s="77">
        <f t="shared" si="173"/>
        <v>0</v>
      </c>
      <c r="J173" s="78">
        <f t="shared" si="174"/>
        <v>0</v>
      </c>
      <c r="K173" s="78" t="str">
        <f t="shared" si="175"/>
        <v>1900-01-00 00:0:00</v>
      </c>
      <c r="L173" s="78" t="str">
        <f t="shared" si="176"/>
        <v>1900-01-00 00:0:00</v>
      </c>
      <c r="M173" s="79">
        <f t="shared" si="177"/>
        <v>0</v>
      </c>
      <c r="N173">
        <f t="shared" si="178"/>
        <v>1</v>
      </c>
      <c r="O173" t="str">
        <f>IFERROR(_xlfn.XLOOKUP(A173,HC!A:A,HC!C:C),"")</f>
        <v>Workforce</v>
      </c>
      <c r="R173" s="78" t="b">
        <f t="shared" ref="R173:AO173" si="220">IFERROR(IF($B173=$D$1,IF(AND($K173&lt;R$1,$L173&lt;R$1),"",IF(AND($K173&gt;S$1,$L173&gt;S$1),"",IF(AND($K173&lt;R$1,$L173&lt;=S$1),$L173-R$1,IF(AND($K173&gt;=R$1,$L173&gt;S$1),S$1-$K173,IF(AND($K173&gt;=R$1,$L173&lt;=S$1),$L173-$K173,IF(AND($K173&lt;R$1,$L173&gt;S$1),S$1-R$1,""))))))),"")</f>
        <v>0</v>
      </c>
      <c r="S173" s="78" t="b">
        <f t="shared" si="220"/>
        <v>0</v>
      </c>
      <c r="T173" s="78" t="b">
        <f t="shared" si="220"/>
        <v>0</v>
      </c>
      <c r="U173" s="78" t="b">
        <f t="shared" si="220"/>
        <v>0</v>
      </c>
      <c r="V173" s="78" t="b">
        <f t="shared" si="220"/>
        <v>0</v>
      </c>
      <c r="W173" s="78" t="b">
        <f t="shared" si="220"/>
        <v>0</v>
      </c>
      <c r="X173" s="78" t="b">
        <f t="shared" si="220"/>
        <v>0</v>
      </c>
      <c r="Y173" s="78" t="b">
        <f t="shared" si="220"/>
        <v>0</v>
      </c>
      <c r="Z173" s="78" t="b">
        <f t="shared" si="220"/>
        <v>0</v>
      </c>
      <c r="AA173" s="78" t="b">
        <f t="shared" si="220"/>
        <v>0</v>
      </c>
      <c r="AB173" s="78" t="b">
        <f t="shared" si="220"/>
        <v>0</v>
      </c>
      <c r="AC173" s="78" t="b">
        <f t="shared" si="220"/>
        <v>0</v>
      </c>
      <c r="AD173" s="78" t="b">
        <f t="shared" si="220"/>
        <v>0</v>
      </c>
      <c r="AE173" s="78" t="b">
        <f t="shared" si="220"/>
        <v>0</v>
      </c>
      <c r="AF173" s="78" t="b">
        <f t="shared" si="220"/>
        <v>0</v>
      </c>
      <c r="AG173" s="78" t="b">
        <f t="shared" si="220"/>
        <v>0</v>
      </c>
      <c r="AH173" s="78" t="b">
        <f t="shared" si="220"/>
        <v>0</v>
      </c>
      <c r="AI173" s="78" t="b">
        <f t="shared" si="220"/>
        <v>0</v>
      </c>
      <c r="AJ173" s="78" t="b">
        <f t="shared" si="220"/>
        <v>0</v>
      </c>
      <c r="AK173" s="78" t="b">
        <f t="shared" si="220"/>
        <v>0</v>
      </c>
      <c r="AL173" s="78" t="b">
        <f t="shared" si="220"/>
        <v>0</v>
      </c>
      <c r="AM173" s="78" t="b">
        <f t="shared" si="220"/>
        <v>0</v>
      </c>
      <c r="AN173" s="78" t="b">
        <f t="shared" si="220"/>
        <v>0</v>
      </c>
      <c r="AO173" s="78" t="b">
        <f t="shared" si="220"/>
        <v>0</v>
      </c>
      <c r="AP173" s="78"/>
    </row>
    <row r="174" spans="4:42" x14ac:dyDescent="0.35">
      <c r="D174" s="96"/>
      <c r="E174" s="96"/>
      <c r="G174" s="77">
        <f t="shared" si="171"/>
        <v>0</v>
      </c>
      <c r="H174" s="78">
        <f t="shared" si="172"/>
        <v>0</v>
      </c>
      <c r="I174" s="77">
        <f t="shared" si="173"/>
        <v>0</v>
      </c>
      <c r="J174" s="78">
        <f t="shared" si="174"/>
        <v>0</v>
      </c>
      <c r="K174" s="78" t="str">
        <f t="shared" si="175"/>
        <v>1900-01-00 00:0:00</v>
      </c>
      <c r="L174" s="78" t="str">
        <f t="shared" si="176"/>
        <v>1900-01-00 00:0:00</v>
      </c>
      <c r="M174" s="79">
        <f t="shared" si="177"/>
        <v>0</v>
      </c>
      <c r="N174">
        <f t="shared" si="178"/>
        <v>1</v>
      </c>
      <c r="O174" t="str">
        <f>IFERROR(_xlfn.XLOOKUP(A174,HC!A:A,HC!C:C),"")</f>
        <v>Workforce</v>
      </c>
      <c r="R174" s="78" t="b">
        <f t="shared" ref="R174:AO174" si="221">IFERROR(IF($B174=$D$1,IF(AND($K174&lt;R$1,$L174&lt;R$1),"",IF(AND($K174&gt;S$1,$L174&gt;S$1),"",IF(AND($K174&lt;R$1,$L174&lt;=S$1),$L174-R$1,IF(AND($K174&gt;=R$1,$L174&gt;S$1),S$1-$K174,IF(AND($K174&gt;=R$1,$L174&lt;=S$1),$L174-$K174,IF(AND($K174&lt;R$1,$L174&gt;S$1),S$1-R$1,""))))))),"")</f>
        <v>0</v>
      </c>
      <c r="S174" s="78" t="b">
        <f t="shared" si="221"/>
        <v>0</v>
      </c>
      <c r="T174" s="78" t="b">
        <f t="shared" si="221"/>
        <v>0</v>
      </c>
      <c r="U174" s="78" t="b">
        <f t="shared" si="221"/>
        <v>0</v>
      </c>
      <c r="V174" s="78" t="b">
        <f t="shared" si="221"/>
        <v>0</v>
      </c>
      <c r="W174" s="78" t="b">
        <f t="shared" si="221"/>
        <v>0</v>
      </c>
      <c r="X174" s="78" t="b">
        <f t="shared" si="221"/>
        <v>0</v>
      </c>
      <c r="Y174" s="78" t="b">
        <f t="shared" si="221"/>
        <v>0</v>
      </c>
      <c r="Z174" s="78" t="b">
        <f t="shared" si="221"/>
        <v>0</v>
      </c>
      <c r="AA174" s="78" t="b">
        <f t="shared" si="221"/>
        <v>0</v>
      </c>
      <c r="AB174" s="78" t="b">
        <f t="shared" si="221"/>
        <v>0</v>
      </c>
      <c r="AC174" s="78" t="b">
        <f t="shared" si="221"/>
        <v>0</v>
      </c>
      <c r="AD174" s="78" t="b">
        <f t="shared" si="221"/>
        <v>0</v>
      </c>
      <c r="AE174" s="78" t="b">
        <f t="shared" si="221"/>
        <v>0</v>
      </c>
      <c r="AF174" s="78" t="b">
        <f t="shared" si="221"/>
        <v>0</v>
      </c>
      <c r="AG174" s="78" t="b">
        <f t="shared" si="221"/>
        <v>0</v>
      </c>
      <c r="AH174" s="78" t="b">
        <f t="shared" si="221"/>
        <v>0</v>
      </c>
      <c r="AI174" s="78" t="b">
        <f t="shared" si="221"/>
        <v>0</v>
      </c>
      <c r="AJ174" s="78" t="b">
        <f t="shared" si="221"/>
        <v>0</v>
      </c>
      <c r="AK174" s="78" t="b">
        <f t="shared" si="221"/>
        <v>0</v>
      </c>
      <c r="AL174" s="78" t="b">
        <f t="shared" si="221"/>
        <v>0</v>
      </c>
      <c r="AM174" s="78" t="b">
        <f t="shared" si="221"/>
        <v>0</v>
      </c>
      <c r="AN174" s="78" t="b">
        <f t="shared" si="221"/>
        <v>0</v>
      </c>
      <c r="AO174" s="78" t="b">
        <f t="shared" si="221"/>
        <v>0</v>
      </c>
      <c r="AP174" s="78"/>
    </row>
    <row r="175" spans="4:42" x14ac:dyDescent="0.35">
      <c r="D175" s="96"/>
      <c r="E175" s="96"/>
      <c r="G175" s="77">
        <f t="shared" si="171"/>
        <v>0</v>
      </c>
      <c r="H175" s="78">
        <f t="shared" si="172"/>
        <v>0</v>
      </c>
      <c r="I175" s="77">
        <f t="shared" si="173"/>
        <v>0</v>
      </c>
      <c r="J175" s="78">
        <f t="shared" si="174"/>
        <v>0</v>
      </c>
      <c r="K175" s="78" t="str">
        <f t="shared" si="175"/>
        <v>1900-01-00 00:0:00</v>
      </c>
      <c r="L175" s="78" t="str">
        <f t="shared" si="176"/>
        <v>1900-01-00 00:0:00</v>
      </c>
      <c r="M175" s="79">
        <f t="shared" si="177"/>
        <v>0</v>
      </c>
      <c r="N175">
        <f t="shared" si="178"/>
        <v>1</v>
      </c>
      <c r="O175" t="str">
        <f>IFERROR(_xlfn.XLOOKUP(A175,HC!A:A,HC!C:C),"")</f>
        <v>Workforce</v>
      </c>
      <c r="R175" s="78" t="b">
        <f t="shared" ref="R175:AO175" si="222">IFERROR(IF($B175=$D$1,IF(AND($K175&lt;R$1,$L175&lt;R$1),"",IF(AND($K175&gt;S$1,$L175&gt;S$1),"",IF(AND($K175&lt;R$1,$L175&lt;=S$1),$L175-R$1,IF(AND($K175&gt;=R$1,$L175&gt;S$1),S$1-$K175,IF(AND($K175&gt;=R$1,$L175&lt;=S$1),$L175-$K175,IF(AND($K175&lt;R$1,$L175&gt;S$1),S$1-R$1,""))))))),"")</f>
        <v>0</v>
      </c>
      <c r="S175" s="78" t="b">
        <f t="shared" si="222"/>
        <v>0</v>
      </c>
      <c r="T175" s="78" t="b">
        <f t="shared" si="222"/>
        <v>0</v>
      </c>
      <c r="U175" s="78" t="b">
        <f t="shared" si="222"/>
        <v>0</v>
      </c>
      <c r="V175" s="78" t="b">
        <f t="shared" si="222"/>
        <v>0</v>
      </c>
      <c r="W175" s="78" t="b">
        <f t="shared" si="222"/>
        <v>0</v>
      </c>
      <c r="X175" s="78" t="b">
        <f t="shared" si="222"/>
        <v>0</v>
      </c>
      <c r="Y175" s="78" t="b">
        <f t="shared" si="222"/>
        <v>0</v>
      </c>
      <c r="Z175" s="78" t="b">
        <f t="shared" si="222"/>
        <v>0</v>
      </c>
      <c r="AA175" s="78" t="b">
        <f t="shared" si="222"/>
        <v>0</v>
      </c>
      <c r="AB175" s="78" t="b">
        <f t="shared" si="222"/>
        <v>0</v>
      </c>
      <c r="AC175" s="78" t="b">
        <f t="shared" si="222"/>
        <v>0</v>
      </c>
      <c r="AD175" s="78" t="b">
        <f t="shared" si="222"/>
        <v>0</v>
      </c>
      <c r="AE175" s="78" t="b">
        <f t="shared" si="222"/>
        <v>0</v>
      </c>
      <c r="AF175" s="78" t="b">
        <f t="shared" si="222"/>
        <v>0</v>
      </c>
      <c r="AG175" s="78" t="b">
        <f t="shared" si="222"/>
        <v>0</v>
      </c>
      <c r="AH175" s="78" t="b">
        <f t="shared" si="222"/>
        <v>0</v>
      </c>
      <c r="AI175" s="78" t="b">
        <f t="shared" si="222"/>
        <v>0</v>
      </c>
      <c r="AJ175" s="78" t="b">
        <f t="shared" si="222"/>
        <v>0</v>
      </c>
      <c r="AK175" s="78" t="b">
        <f t="shared" si="222"/>
        <v>0</v>
      </c>
      <c r="AL175" s="78" t="b">
        <f t="shared" si="222"/>
        <v>0</v>
      </c>
      <c r="AM175" s="78" t="b">
        <f t="shared" si="222"/>
        <v>0</v>
      </c>
      <c r="AN175" s="78" t="b">
        <f t="shared" si="222"/>
        <v>0</v>
      </c>
      <c r="AO175" s="78" t="b">
        <f t="shared" si="222"/>
        <v>0</v>
      </c>
      <c r="AP175" s="78"/>
    </row>
    <row r="176" spans="4:42" x14ac:dyDescent="0.35">
      <c r="D176" s="96"/>
      <c r="E176" s="96"/>
      <c r="G176" s="77">
        <f t="shared" si="171"/>
        <v>0</v>
      </c>
      <c r="H176" s="78">
        <f t="shared" si="172"/>
        <v>0</v>
      </c>
      <c r="I176" s="77">
        <f t="shared" si="173"/>
        <v>0</v>
      </c>
      <c r="J176" s="78">
        <f t="shared" si="174"/>
        <v>0</v>
      </c>
      <c r="K176" s="78" t="str">
        <f t="shared" si="175"/>
        <v>1900-01-00 00:0:00</v>
      </c>
      <c r="L176" s="78" t="str">
        <f t="shared" si="176"/>
        <v>1900-01-00 00:0:00</v>
      </c>
      <c r="M176" s="79">
        <f t="shared" si="177"/>
        <v>0</v>
      </c>
      <c r="N176">
        <f t="shared" si="178"/>
        <v>1</v>
      </c>
      <c r="O176" t="str">
        <f>IFERROR(_xlfn.XLOOKUP(A176,HC!A:A,HC!C:C),"")</f>
        <v>Workforce</v>
      </c>
      <c r="R176" s="78" t="b">
        <f t="shared" ref="R176:AO176" si="223">IFERROR(IF($B176=$D$1,IF(AND($K176&lt;R$1,$L176&lt;R$1),"",IF(AND($K176&gt;S$1,$L176&gt;S$1),"",IF(AND($K176&lt;R$1,$L176&lt;=S$1),$L176-R$1,IF(AND($K176&gt;=R$1,$L176&gt;S$1),S$1-$K176,IF(AND($K176&gt;=R$1,$L176&lt;=S$1),$L176-$K176,IF(AND($K176&lt;R$1,$L176&gt;S$1),S$1-R$1,""))))))),"")</f>
        <v>0</v>
      </c>
      <c r="S176" s="78" t="b">
        <f t="shared" si="223"/>
        <v>0</v>
      </c>
      <c r="T176" s="78" t="b">
        <f t="shared" si="223"/>
        <v>0</v>
      </c>
      <c r="U176" s="78" t="b">
        <f t="shared" si="223"/>
        <v>0</v>
      </c>
      <c r="V176" s="78" t="b">
        <f t="shared" si="223"/>
        <v>0</v>
      </c>
      <c r="W176" s="78" t="b">
        <f t="shared" si="223"/>
        <v>0</v>
      </c>
      <c r="X176" s="78" t="b">
        <f t="shared" si="223"/>
        <v>0</v>
      </c>
      <c r="Y176" s="78" t="b">
        <f t="shared" si="223"/>
        <v>0</v>
      </c>
      <c r="Z176" s="78" t="b">
        <f t="shared" si="223"/>
        <v>0</v>
      </c>
      <c r="AA176" s="78" t="b">
        <f t="shared" si="223"/>
        <v>0</v>
      </c>
      <c r="AB176" s="78" t="b">
        <f t="shared" si="223"/>
        <v>0</v>
      </c>
      <c r="AC176" s="78" t="b">
        <f t="shared" si="223"/>
        <v>0</v>
      </c>
      <c r="AD176" s="78" t="b">
        <f t="shared" si="223"/>
        <v>0</v>
      </c>
      <c r="AE176" s="78" t="b">
        <f t="shared" si="223"/>
        <v>0</v>
      </c>
      <c r="AF176" s="78" t="b">
        <f t="shared" si="223"/>
        <v>0</v>
      </c>
      <c r="AG176" s="78" t="b">
        <f t="shared" si="223"/>
        <v>0</v>
      </c>
      <c r="AH176" s="78" t="b">
        <f t="shared" si="223"/>
        <v>0</v>
      </c>
      <c r="AI176" s="78" t="b">
        <f t="shared" si="223"/>
        <v>0</v>
      </c>
      <c r="AJ176" s="78" t="b">
        <f t="shared" si="223"/>
        <v>0</v>
      </c>
      <c r="AK176" s="78" t="b">
        <f t="shared" si="223"/>
        <v>0</v>
      </c>
      <c r="AL176" s="78" t="b">
        <f t="shared" si="223"/>
        <v>0</v>
      </c>
      <c r="AM176" s="78" t="b">
        <f t="shared" si="223"/>
        <v>0</v>
      </c>
      <c r="AN176" s="78" t="b">
        <f t="shared" si="223"/>
        <v>0</v>
      </c>
      <c r="AO176" s="78" t="b">
        <f t="shared" si="223"/>
        <v>0</v>
      </c>
      <c r="AP176" s="78"/>
    </row>
    <row r="177" spans="4:42" x14ac:dyDescent="0.35">
      <c r="D177" s="96"/>
      <c r="E177" s="96"/>
      <c r="G177" s="77">
        <f t="shared" si="171"/>
        <v>0</v>
      </c>
      <c r="H177" s="78">
        <f t="shared" si="172"/>
        <v>0</v>
      </c>
      <c r="I177" s="77">
        <f t="shared" si="173"/>
        <v>0</v>
      </c>
      <c r="J177" s="78">
        <f t="shared" si="174"/>
        <v>0</v>
      </c>
      <c r="K177" s="78" t="str">
        <f t="shared" si="175"/>
        <v>1900-01-00 00:0:00</v>
      </c>
      <c r="L177" s="78" t="str">
        <f t="shared" si="176"/>
        <v>1900-01-00 00:0:00</v>
      </c>
      <c r="M177" s="79">
        <f t="shared" si="177"/>
        <v>0</v>
      </c>
      <c r="N177">
        <f t="shared" si="178"/>
        <v>1</v>
      </c>
      <c r="O177" t="str">
        <f>IFERROR(_xlfn.XLOOKUP(A177,HC!A:A,HC!C:C),"")</f>
        <v>Workforce</v>
      </c>
      <c r="R177" s="78" t="b">
        <f t="shared" ref="R177:AO177" si="224">IFERROR(IF($B177=$D$1,IF(AND($K177&lt;R$1,$L177&lt;R$1),"",IF(AND($K177&gt;S$1,$L177&gt;S$1),"",IF(AND($K177&lt;R$1,$L177&lt;=S$1),$L177-R$1,IF(AND($K177&gt;=R$1,$L177&gt;S$1),S$1-$K177,IF(AND($K177&gt;=R$1,$L177&lt;=S$1),$L177-$K177,IF(AND($K177&lt;R$1,$L177&gt;S$1),S$1-R$1,""))))))),"")</f>
        <v>0</v>
      </c>
      <c r="S177" s="78" t="b">
        <f t="shared" si="224"/>
        <v>0</v>
      </c>
      <c r="T177" s="78" t="b">
        <f t="shared" si="224"/>
        <v>0</v>
      </c>
      <c r="U177" s="78" t="b">
        <f t="shared" si="224"/>
        <v>0</v>
      </c>
      <c r="V177" s="78" t="b">
        <f t="shared" si="224"/>
        <v>0</v>
      </c>
      <c r="W177" s="78" t="b">
        <f t="shared" si="224"/>
        <v>0</v>
      </c>
      <c r="X177" s="78" t="b">
        <f t="shared" si="224"/>
        <v>0</v>
      </c>
      <c r="Y177" s="78" t="b">
        <f t="shared" si="224"/>
        <v>0</v>
      </c>
      <c r="Z177" s="78" t="b">
        <f t="shared" si="224"/>
        <v>0</v>
      </c>
      <c r="AA177" s="78" t="b">
        <f t="shared" si="224"/>
        <v>0</v>
      </c>
      <c r="AB177" s="78" t="b">
        <f t="shared" si="224"/>
        <v>0</v>
      </c>
      <c r="AC177" s="78" t="b">
        <f t="shared" si="224"/>
        <v>0</v>
      </c>
      <c r="AD177" s="78" t="b">
        <f t="shared" si="224"/>
        <v>0</v>
      </c>
      <c r="AE177" s="78" t="b">
        <f t="shared" si="224"/>
        <v>0</v>
      </c>
      <c r="AF177" s="78" t="b">
        <f t="shared" si="224"/>
        <v>0</v>
      </c>
      <c r="AG177" s="78" t="b">
        <f t="shared" si="224"/>
        <v>0</v>
      </c>
      <c r="AH177" s="78" t="b">
        <f t="shared" si="224"/>
        <v>0</v>
      </c>
      <c r="AI177" s="78" t="b">
        <f t="shared" si="224"/>
        <v>0</v>
      </c>
      <c r="AJ177" s="78" t="b">
        <f t="shared" si="224"/>
        <v>0</v>
      </c>
      <c r="AK177" s="78" t="b">
        <f t="shared" si="224"/>
        <v>0</v>
      </c>
      <c r="AL177" s="78" t="b">
        <f t="shared" si="224"/>
        <v>0</v>
      </c>
      <c r="AM177" s="78" t="b">
        <f t="shared" si="224"/>
        <v>0</v>
      </c>
      <c r="AN177" s="78" t="b">
        <f t="shared" si="224"/>
        <v>0</v>
      </c>
      <c r="AO177" s="78" t="b">
        <f t="shared" si="224"/>
        <v>0</v>
      </c>
      <c r="AP177" s="78"/>
    </row>
    <row r="178" spans="4:42" x14ac:dyDescent="0.35">
      <c r="D178" s="96"/>
      <c r="E178" s="96"/>
      <c r="G178" s="77">
        <f t="shared" si="171"/>
        <v>0</v>
      </c>
      <c r="H178" s="78">
        <f t="shared" si="172"/>
        <v>0</v>
      </c>
      <c r="I178" s="77">
        <f t="shared" si="173"/>
        <v>0</v>
      </c>
      <c r="J178" s="78">
        <f t="shared" si="174"/>
        <v>0</v>
      </c>
      <c r="K178" s="78" t="str">
        <f t="shared" si="175"/>
        <v>1900-01-00 00:0:00</v>
      </c>
      <c r="L178" s="78" t="str">
        <f t="shared" si="176"/>
        <v>1900-01-00 00:0:00</v>
      </c>
      <c r="M178" s="79">
        <f t="shared" si="177"/>
        <v>0</v>
      </c>
      <c r="N178">
        <f t="shared" si="178"/>
        <v>1</v>
      </c>
      <c r="O178" t="str">
        <f>IFERROR(_xlfn.XLOOKUP(A178,HC!A:A,HC!C:C),"")</f>
        <v>Workforce</v>
      </c>
      <c r="R178" s="78" t="b">
        <f t="shared" ref="R178:AO178" si="225">IFERROR(IF($B178=$D$1,IF(AND($K178&lt;R$1,$L178&lt;R$1),"",IF(AND($K178&gt;S$1,$L178&gt;S$1),"",IF(AND($K178&lt;R$1,$L178&lt;=S$1),$L178-R$1,IF(AND($K178&gt;=R$1,$L178&gt;S$1),S$1-$K178,IF(AND($K178&gt;=R$1,$L178&lt;=S$1),$L178-$K178,IF(AND($K178&lt;R$1,$L178&gt;S$1),S$1-R$1,""))))))),"")</f>
        <v>0</v>
      </c>
      <c r="S178" s="78" t="b">
        <f t="shared" si="225"/>
        <v>0</v>
      </c>
      <c r="T178" s="78" t="b">
        <f t="shared" si="225"/>
        <v>0</v>
      </c>
      <c r="U178" s="78" t="b">
        <f t="shared" si="225"/>
        <v>0</v>
      </c>
      <c r="V178" s="78" t="b">
        <f t="shared" si="225"/>
        <v>0</v>
      </c>
      <c r="W178" s="78" t="b">
        <f t="shared" si="225"/>
        <v>0</v>
      </c>
      <c r="X178" s="78" t="b">
        <f t="shared" si="225"/>
        <v>0</v>
      </c>
      <c r="Y178" s="78" t="b">
        <f t="shared" si="225"/>
        <v>0</v>
      </c>
      <c r="Z178" s="78" t="b">
        <f t="shared" si="225"/>
        <v>0</v>
      </c>
      <c r="AA178" s="78" t="b">
        <f t="shared" si="225"/>
        <v>0</v>
      </c>
      <c r="AB178" s="78" t="b">
        <f t="shared" si="225"/>
        <v>0</v>
      </c>
      <c r="AC178" s="78" t="b">
        <f t="shared" si="225"/>
        <v>0</v>
      </c>
      <c r="AD178" s="78" t="b">
        <f t="shared" si="225"/>
        <v>0</v>
      </c>
      <c r="AE178" s="78" t="b">
        <f t="shared" si="225"/>
        <v>0</v>
      </c>
      <c r="AF178" s="78" t="b">
        <f t="shared" si="225"/>
        <v>0</v>
      </c>
      <c r="AG178" s="78" t="b">
        <f t="shared" si="225"/>
        <v>0</v>
      </c>
      <c r="AH178" s="78" t="b">
        <f t="shared" si="225"/>
        <v>0</v>
      </c>
      <c r="AI178" s="78" t="b">
        <f t="shared" si="225"/>
        <v>0</v>
      </c>
      <c r="AJ178" s="78" t="b">
        <f t="shared" si="225"/>
        <v>0</v>
      </c>
      <c r="AK178" s="78" t="b">
        <f t="shared" si="225"/>
        <v>0</v>
      </c>
      <c r="AL178" s="78" t="b">
        <f t="shared" si="225"/>
        <v>0</v>
      </c>
      <c r="AM178" s="78" t="b">
        <f t="shared" si="225"/>
        <v>0</v>
      </c>
      <c r="AN178" s="78" t="b">
        <f t="shared" si="225"/>
        <v>0</v>
      </c>
      <c r="AO178" s="78" t="b">
        <f t="shared" si="225"/>
        <v>0</v>
      </c>
      <c r="AP178" s="78"/>
    </row>
    <row r="179" spans="4:42" x14ac:dyDescent="0.35">
      <c r="D179" s="96"/>
      <c r="E179" s="96"/>
      <c r="G179" s="77">
        <f t="shared" si="171"/>
        <v>0</v>
      </c>
      <c r="H179" s="78">
        <f t="shared" si="172"/>
        <v>0</v>
      </c>
      <c r="I179" s="77">
        <f t="shared" si="173"/>
        <v>0</v>
      </c>
      <c r="J179" s="78">
        <f t="shared" si="174"/>
        <v>0</v>
      </c>
      <c r="K179" s="78" t="str">
        <f t="shared" si="175"/>
        <v>1900-01-00 00:0:00</v>
      </c>
      <c r="L179" s="78" t="str">
        <f t="shared" si="176"/>
        <v>1900-01-00 00:0:00</v>
      </c>
      <c r="M179" s="79">
        <f t="shared" si="177"/>
        <v>0</v>
      </c>
      <c r="N179">
        <f t="shared" si="178"/>
        <v>1</v>
      </c>
      <c r="O179" t="str">
        <f>IFERROR(_xlfn.XLOOKUP(A179,HC!A:A,HC!C:C),"")</f>
        <v>Workforce</v>
      </c>
      <c r="R179" s="78" t="b">
        <f t="shared" ref="R179:AO179" si="226">IFERROR(IF($B179=$D$1,IF(AND($K179&lt;R$1,$L179&lt;R$1),"",IF(AND($K179&gt;S$1,$L179&gt;S$1),"",IF(AND($K179&lt;R$1,$L179&lt;=S$1),$L179-R$1,IF(AND($K179&gt;=R$1,$L179&gt;S$1),S$1-$K179,IF(AND($K179&gt;=R$1,$L179&lt;=S$1),$L179-$K179,IF(AND($K179&lt;R$1,$L179&gt;S$1),S$1-R$1,""))))))),"")</f>
        <v>0</v>
      </c>
      <c r="S179" s="78" t="b">
        <f t="shared" si="226"/>
        <v>0</v>
      </c>
      <c r="T179" s="78" t="b">
        <f t="shared" si="226"/>
        <v>0</v>
      </c>
      <c r="U179" s="78" t="b">
        <f t="shared" si="226"/>
        <v>0</v>
      </c>
      <c r="V179" s="78" t="b">
        <f t="shared" si="226"/>
        <v>0</v>
      </c>
      <c r="W179" s="78" t="b">
        <f t="shared" si="226"/>
        <v>0</v>
      </c>
      <c r="X179" s="78" t="b">
        <f t="shared" si="226"/>
        <v>0</v>
      </c>
      <c r="Y179" s="78" t="b">
        <f t="shared" si="226"/>
        <v>0</v>
      </c>
      <c r="Z179" s="78" t="b">
        <f t="shared" si="226"/>
        <v>0</v>
      </c>
      <c r="AA179" s="78" t="b">
        <f t="shared" si="226"/>
        <v>0</v>
      </c>
      <c r="AB179" s="78" t="b">
        <f t="shared" si="226"/>
        <v>0</v>
      </c>
      <c r="AC179" s="78" t="b">
        <f t="shared" si="226"/>
        <v>0</v>
      </c>
      <c r="AD179" s="78" t="b">
        <f t="shared" si="226"/>
        <v>0</v>
      </c>
      <c r="AE179" s="78" t="b">
        <f t="shared" si="226"/>
        <v>0</v>
      </c>
      <c r="AF179" s="78" t="b">
        <f t="shared" si="226"/>
        <v>0</v>
      </c>
      <c r="AG179" s="78" t="b">
        <f t="shared" si="226"/>
        <v>0</v>
      </c>
      <c r="AH179" s="78" t="b">
        <f t="shared" si="226"/>
        <v>0</v>
      </c>
      <c r="AI179" s="78" t="b">
        <f t="shared" si="226"/>
        <v>0</v>
      </c>
      <c r="AJ179" s="78" t="b">
        <f t="shared" si="226"/>
        <v>0</v>
      </c>
      <c r="AK179" s="78" t="b">
        <f t="shared" si="226"/>
        <v>0</v>
      </c>
      <c r="AL179" s="78" t="b">
        <f t="shared" si="226"/>
        <v>0</v>
      </c>
      <c r="AM179" s="78" t="b">
        <f t="shared" si="226"/>
        <v>0</v>
      </c>
      <c r="AN179" s="78" t="b">
        <f t="shared" si="226"/>
        <v>0</v>
      </c>
      <c r="AO179" s="78" t="b">
        <f t="shared" si="226"/>
        <v>0</v>
      </c>
      <c r="AP179" s="78"/>
    </row>
    <row r="180" spans="4:42" x14ac:dyDescent="0.35">
      <c r="D180" s="96"/>
      <c r="E180" s="96"/>
      <c r="G180" s="77">
        <f t="shared" si="171"/>
        <v>0</v>
      </c>
      <c r="H180" s="78">
        <f t="shared" si="172"/>
        <v>0</v>
      </c>
      <c r="I180" s="77">
        <f t="shared" si="173"/>
        <v>0</v>
      </c>
      <c r="J180" s="78">
        <f t="shared" si="174"/>
        <v>0</v>
      </c>
      <c r="K180" s="78" t="str">
        <f t="shared" si="175"/>
        <v>1900-01-00 00:0:00</v>
      </c>
      <c r="L180" s="78" t="str">
        <f t="shared" si="176"/>
        <v>1900-01-00 00:0:00</v>
      </c>
      <c r="M180" s="79">
        <f t="shared" si="177"/>
        <v>0</v>
      </c>
      <c r="N180">
        <f t="shared" si="178"/>
        <v>1</v>
      </c>
      <c r="O180" t="str">
        <f>IFERROR(_xlfn.XLOOKUP(A180,HC!A:A,HC!C:C),"")</f>
        <v>Workforce</v>
      </c>
      <c r="R180" s="78" t="b">
        <f t="shared" ref="R180:AO180" si="227">IFERROR(IF($B180=$D$1,IF(AND($K180&lt;R$1,$L180&lt;R$1),"",IF(AND($K180&gt;S$1,$L180&gt;S$1),"",IF(AND($K180&lt;R$1,$L180&lt;=S$1),$L180-R$1,IF(AND($K180&gt;=R$1,$L180&gt;S$1),S$1-$K180,IF(AND($K180&gt;=R$1,$L180&lt;=S$1),$L180-$K180,IF(AND($K180&lt;R$1,$L180&gt;S$1),S$1-R$1,""))))))),"")</f>
        <v>0</v>
      </c>
      <c r="S180" s="78" t="b">
        <f t="shared" si="227"/>
        <v>0</v>
      </c>
      <c r="T180" s="78" t="b">
        <f t="shared" si="227"/>
        <v>0</v>
      </c>
      <c r="U180" s="78" t="b">
        <f t="shared" si="227"/>
        <v>0</v>
      </c>
      <c r="V180" s="78" t="b">
        <f t="shared" si="227"/>
        <v>0</v>
      </c>
      <c r="W180" s="78" t="b">
        <f t="shared" si="227"/>
        <v>0</v>
      </c>
      <c r="X180" s="78" t="b">
        <f t="shared" si="227"/>
        <v>0</v>
      </c>
      <c r="Y180" s="78" t="b">
        <f t="shared" si="227"/>
        <v>0</v>
      </c>
      <c r="Z180" s="78" t="b">
        <f t="shared" si="227"/>
        <v>0</v>
      </c>
      <c r="AA180" s="78" t="b">
        <f t="shared" si="227"/>
        <v>0</v>
      </c>
      <c r="AB180" s="78" t="b">
        <f t="shared" si="227"/>
        <v>0</v>
      </c>
      <c r="AC180" s="78" t="b">
        <f t="shared" si="227"/>
        <v>0</v>
      </c>
      <c r="AD180" s="78" t="b">
        <f t="shared" si="227"/>
        <v>0</v>
      </c>
      <c r="AE180" s="78" t="b">
        <f t="shared" si="227"/>
        <v>0</v>
      </c>
      <c r="AF180" s="78" t="b">
        <f t="shared" si="227"/>
        <v>0</v>
      </c>
      <c r="AG180" s="78" t="b">
        <f t="shared" si="227"/>
        <v>0</v>
      </c>
      <c r="AH180" s="78" t="b">
        <f t="shared" si="227"/>
        <v>0</v>
      </c>
      <c r="AI180" s="78" t="b">
        <f t="shared" si="227"/>
        <v>0</v>
      </c>
      <c r="AJ180" s="78" t="b">
        <f t="shared" si="227"/>
        <v>0</v>
      </c>
      <c r="AK180" s="78" t="b">
        <f t="shared" si="227"/>
        <v>0</v>
      </c>
      <c r="AL180" s="78" t="b">
        <f t="shared" si="227"/>
        <v>0</v>
      </c>
      <c r="AM180" s="78" t="b">
        <f t="shared" si="227"/>
        <v>0</v>
      </c>
      <c r="AN180" s="78" t="b">
        <f t="shared" si="227"/>
        <v>0</v>
      </c>
      <c r="AO180" s="78" t="b">
        <f t="shared" si="227"/>
        <v>0</v>
      </c>
      <c r="AP180" s="78"/>
    </row>
    <row r="181" spans="4:42" x14ac:dyDescent="0.35">
      <c r="D181" s="96"/>
      <c r="E181" s="96"/>
      <c r="G181" s="77">
        <f t="shared" si="171"/>
        <v>0</v>
      </c>
      <c r="H181" s="78">
        <f t="shared" si="172"/>
        <v>0</v>
      </c>
      <c r="I181" s="77">
        <f t="shared" si="173"/>
        <v>0</v>
      </c>
      <c r="J181" s="78">
        <f t="shared" si="174"/>
        <v>0</v>
      </c>
      <c r="K181" s="78" t="str">
        <f t="shared" si="175"/>
        <v>1900-01-00 00:0:00</v>
      </c>
      <c r="L181" s="78" t="str">
        <f t="shared" si="176"/>
        <v>1900-01-00 00:0:00</v>
      </c>
      <c r="M181" s="79">
        <f t="shared" si="177"/>
        <v>0</v>
      </c>
      <c r="N181">
        <f t="shared" si="178"/>
        <v>1</v>
      </c>
      <c r="O181" t="str">
        <f>IFERROR(_xlfn.XLOOKUP(A181,HC!A:A,HC!C:C),"")</f>
        <v>Workforce</v>
      </c>
      <c r="R181" s="78" t="b">
        <f t="shared" ref="R181:AO181" si="228">IFERROR(IF($B181=$D$1,IF(AND($K181&lt;R$1,$L181&lt;R$1),"",IF(AND($K181&gt;S$1,$L181&gt;S$1),"",IF(AND($K181&lt;R$1,$L181&lt;=S$1),$L181-R$1,IF(AND($K181&gt;=R$1,$L181&gt;S$1),S$1-$K181,IF(AND($K181&gt;=R$1,$L181&lt;=S$1),$L181-$K181,IF(AND($K181&lt;R$1,$L181&gt;S$1),S$1-R$1,""))))))),"")</f>
        <v>0</v>
      </c>
      <c r="S181" s="78" t="b">
        <f t="shared" si="228"/>
        <v>0</v>
      </c>
      <c r="T181" s="78" t="b">
        <f t="shared" si="228"/>
        <v>0</v>
      </c>
      <c r="U181" s="78" t="b">
        <f t="shared" si="228"/>
        <v>0</v>
      </c>
      <c r="V181" s="78" t="b">
        <f t="shared" si="228"/>
        <v>0</v>
      </c>
      <c r="W181" s="78" t="b">
        <f t="shared" si="228"/>
        <v>0</v>
      </c>
      <c r="X181" s="78" t="b">
        <f t="shared" si="228"/>
        <v>0</v>
      </c>
      <c r="Y181" s="78" t="b">
        <f t="shared" si="228"/>
        <v>0</v>
      </c>
      <c r="Z181" s="78" t="b">
        <f t="shared" si="228"/>
        <v>0</v>
      </c>
      <c r="AA181" s="78" t="b">
        <f t="shared" si="228"/>
        <v>0</v>
      </c>
      <c r="AB181" s="78" t="b">
        <f t="shared" si="228"/>
        <v>0</v>
      </c>
      <c r="AC181" s="78" t="b">
        <f t="shared" si="228"/>
        <v>0</v>
      </c>
      <c r="AD181" s="78" t="b">
        <f t="shared" si="228"/>
        <v>0</v>
      </c>
      <c r="AE181" s="78" t="b">
        <f t="shared" si="228"/>
        <v>0</v>
      </c>
      <c r="AF181" s="78" t="b">
        <f t="shared" si="228"/>
        <v>0</v>
      </c>
      <c r="AG181" s="78" t="b">
        <f t="shared" si="228"/>
        <v>0</v>
      </c>
      <c r="AH181" s="78" t="b">
        <f t="shared" si="228"/>
        <v>0</v>
      </c>
      <c r="AI181" s="78" t="b">
        <f t="shared" si="228"/>
        <v>0</v>
      </c>
      <c r="AJ181" s="78" t="b">
        <f t="shared" si="228"/>
        <v>0</v>
      </c>
      <c r="AK181" s="78" t="b">
        <f t="shared" si="228"/>
        <v>0</v>
      </c>
      <c r="AL181" s="78" t="b">
        <f t="shared" si="228"/>
        <v>0</v>
      </c>
      <c r="AM181" s="78" t="b">
        <f t="shared" si="228"/>
        <v>0</v>
      </c>
      <c r="AN181" s="78" t="b">
        <f t="shared" si="228"/>
        <v>0</v>
      </c>
      <c r="AO181" s="78" t="b">
        <f t="shared" si="228"/>
        <v>0</v>
      </c>
      <c r="AP181" s="78"/>
    </row>
    <row r="182" spans="4:42" x14ac:dyDescent="0.35">
      <c r="D182" s="96"/>
      <c r="E182" s="96"/>
      <c r="G182" s="77">
        <f t="shared" si="171"/>
        <v>0</v>
      </c>
      <c r="H182" s="78">
        <f t="shared" si="172"/>
        <v>0</v>
      </c>
      <c r="I182" s="77">
        <f t="shared" si="173"/>
        <v>0</v>
      </c>
      <c r="J182" s="78">
        <f t="shared" si="174"/>
        <v>0</v>
      </c>
      <c r="K182" s="78" t="str">
        <f t="shared" si="175"/>
        <v>1900-01-00 00:0:00</v>
      </c>
      <c r="L182" s="78" t="str">
        <f t="shared" si="176"/>
        <v>1900-01-00 00:0:00</v>
      </c>
      <c r="M182" s="79">
        <f t="shared" si="177"/>
        <v>0</v>
      </c>
      <c r="N182">
        <f t="shared" si="178"/>
        <v>1</v>
      </c>
      <c r="O182" t="str">
        <f>IFERROR(_xlfn.XLOOKUP(A182,HC!A:A,HC!C:C),"")</f>
        <v>Workforce</v>
      </c>
      <c r="R182" s="78" t="b">
        <f t="shared" ref="R182:AO182" si="229">IFERROR(IF($B182=$D$1,IF(AND($K182&lt;R$1,$L182&lt;R$1),"",IF(AND($K182&gt;S$1,$L182&gt;S$1),"",IF(AND($K182&lt;R$1,$L182&lt;=S$1),$L182-R$1,IF(AND($K182&gt;=R$1,$L182&gt;S$1),S$1-$K182,IF(AND($K182&gt;=R$1,$L182&lt;=S$1),$L182-$K182,IF(AND($K182&lt;R$1,$L182&gt;S$1),S$1-R$1,""))))))),"")</f>
        <v>0</v>
      </c>
      <c r="S182" s="78" t="b">
        <f t="shared" si="229"/>
        <v>0</v>
      </c>
      <c r="T182" s="78" t="b">
        <f t="shared" si="229"/>
        <v>0</v>
      </c>
      <c r="U182" s="78" t="b">
        <f t="shared" si="229"/>
        <v>0</v>
      </c>
      <c r="V182" s="78" t="b">
        <f t="shared" si="229"/>
        <v>0</v>
      </c>
      <c r="W182" s="78" t="b">
        <f t="shared" si="229"/>
        <v>0</v>
      </c>
      <c r="X182" s="78" t="b">
        <f t="shared" si="229"/>
        <v>0</v>
      </c>
      <c r="Y182" s="78" t="b">
        <f t="shared" si="229"/>
        <v>0</v>
      </c>
      <c r="Z182" s="78" t="b">
        <f t="shared" si="229"/>
        <v>0</v>
      </c>
      <c r="AA182" s="78" t="b">
        <f t="shared" si="229"/>
        <v>0</v>
      </c>
      <c r="AB182" s="78" t="b">
        <f t="shared" si="229"/>
        <v>0</v>
      </c>
      <c r="AC182" s="78" t="b">
        <f t="shared" si="229"/>
        <v>0</v>
      </c>
      <c r="AD182" s="78" t="b">
        <f t="shared" si="229"/>
        <v>0</v>
      </c>
      <c r="AE182" s="78" t="b">
        <f t="shared" si="229"/>
        <v>0</v>
      </c>
      <c r="AF182" s="78" t="b">
        <f t="shared" si="229"/>
        <v>0</v>
      </c>
      <c r="AG182" s="78" t="b">
        <f t="shared" si="229"/>
        <v>0</v>
      </c>
      <c r="AH182" s="78" t="b">
        <f t="shared" si="229"/>
        <v>0</v>
      </c>
      <c r="AI182" s="78" t="b">
        <f t="shared" si="229"/>
        <v>0</v>
      </c>
      <c r="AJ182" s="78" t="b">
        <f t="shared" si="229"/>
        <v>0</v>
      </c>
      <c r="AK182" s="78" t="b">
        <f t="shared" si="229"/>
        <v>0</v>
      </c>
      <c r="AL182" s="78" t="b">
        <f t="shared" si="229"/>
        <v>0</v>
      </c>
      <c r="AM182" s="78" t="b">
        <f t="shared" si="229"/>
        <v>0</v>
      </c>
      <c r="AN182" s="78" t="b">
        <f t="shared" si="229"/>
        <v>0</v>
      </c>
      <c r="AO182" s="78" t="b">
        <f t="shared" si="229"/>
        <v>0</v>
      </c>
      <c r="AP182" s="78"/>
    </row>
    <row r="183" spans="4:42" x14ac:dyDescent="0.35">
      <c r="D183" s="96"/>
      <c r="E183" s="96"/>
      <c r="G183" s="77">
        <f t="shared" si="171"/>
        <v>0</v>
      </c>
      <c r="H183" s="78">
        <f t="shared" si="172"/>
        <v>0</v>
      </c>
      <c r="I183" s="77">
        <f t="shared" si="173"/>
        <v>0</v>
      </c>
      <c r="J183" s="78">
        <f t="shared" si="174"/>
        <v>0</v>
      </c>
      <c r="K183" s="78" t="str">
        <f t="shared" si="175"/>
        <v>1900-01-00 00:0:00</v>
      </c>
      <c r="L183" s="78" t="str">
        <f t="shared" si="176"/>
        <v>1900-01-00 00:0:00</v>
      </c>
      <c r="M183" s="79">
        <f t="shared" si="177"/>
        <v>0</v>
      </c>
      <c r="N183">
        <f t="shared" si="178"/>
        <v>1</v>
      </c>
      <c r="O183" t="str">
        <f>IFERROR(_xlfn.XLOOKUP(A183,HC!A:A,HC!C:C),"")</f>
        <v>Workforce</v>
      </c>
      <c r="R183" s="78" t="b">
        <f t="shared" ref="R183:AO183" si="230">IFERROR(IF($B183=$D$1,IF(AND($K183&lt;R$1,$L183&lt;R$1),"",IF(AND($K183&gt;S$1,$L183&gt;S$1),"",IF(AND($K183&lt;R$1,$L183&lt;=S$1),$L183-R$1,IF(AND($K183&gt;=R$1,$L183&gt;S$1),S$1-$K183,IF(AND($K183&gt;=R$1,$L183&lt;=S$1),$L183-$K183,IF(AND($K183&lt;R$1,$L183&gt;S$1),S$1-R$1,""))))))),"")</f>
        <v>0</v>
      </c>
      <c r="S183" s="78" t="b">
        <f t="shared" si="230"/>
        <v>0</v>
      </c>
      <c r="T183" s="78" t="b">
        <f t="shared" si="230"/>
        <v>0</v>
      </c>
      <c r="U183" s="78" t="b">
        <f t="shared" si="230"/>
        <v>0</v>
      </c>
      <c r="V183" s="78" t="b">
        <f t="shared" si="230"/>
        <v>0</v>
      </c>
      <c r="W183" s="78" t="b">
        <f t="shared" si="230"/>
        <v>0</v>
      </c>
      <c r="X183" s="78" t="b">
        <f t="shared" si="230"/>
        <v>0</v>
      </c>
      <c r="Y183" s="78" t="b">
        <f t="shared" si="230"/>
        <v>0</v>
      </c>
      <c r="Z183" s="78" t="b">
        <f t="shared" si="230"/>
        <v>0</v>
      </c>
      <c r="AA183" s="78" t="b">
        <f t="shared" si="230"/>
        <v>0</v>
      </c>
      <c r="AB183" s="78" t="b">
        <f t="shared" si="230"/>
        <v>0</v>
      </c>
      <c r="AC183" s="78" t="b">
        <f t="shared" si="230"/>
        <v>0</v>
      </c>
      <c r="AD183" s="78" t="b">
        <f t="shared" si="230"/>
        <v>0</v>
      </c>
      <c r="AE183" s="78" t="b">
        <f t="shared" si="230"/>
        <v>0</v>
      </c>
      <c r="AF183" s="78" t="b">
        <f t="shared" si="230"/>
        <v>0</v>
      </c>
      <c r="AG183" s="78" t="b">
        <f t="shared" si="230"/>
        <v>0</v>
      </c>
      <c r="AH183" s="78" t="b">
        <f t="shared" si="230"/>
        <v>0</v>
      </c>
      <c r="AI183" s="78" t="b">
        <f t="shared" si="230"/>
        <v>0</v>
      </c>
      <c r="AJ183" s="78" t="b">
        <f t="shared" si="230"/>
        <v>0</v>
      </c>
      <c r="AK183" s="78" t="b">
        <f t="shared" si="230"/>
        <v>0</v>
      </c>
      <c r="AL183" s="78" t="b">
        <f t="shared" si="230"/>
        <v>0</v>
      </c>
      <c r="AM183" s="78" t="b">
        <f t="shared" si="230"/>
        <v>0</v>
      </c>
      <c r="AN183" s="78" t="b">
        <f t="shared" si="230"/>
        <v>0</v>
      </c>
      <c r="AO183" s="78" t="b">
        <f t="shared" si="230"/>
        <v>0</v>
      </c>
      <c r="AP183" s="78"/>
    </row>
    <row r="184" spans="4:42" x14ac:dyDescent="0.35">
      <c r="D184" s="96"/>
      <c r="E184" s="96"/>
      <c r="G184" s="77">
        <f t="shared" si="171"/>
        <v>0</v>
      </c>
      <c r="H184" s="78">
        <f t="shared" si="172"/>
        <v>0</v>
      </c>
      <c r="I184" s="77">
        <f t="shared" si="173"/>
        <v>0</v>
      </c>
      <c r="J184" s="78">
        <f t="shared" si="174"/>
        <v>0</v>
      </c>
      <c r="K184" s="78" t="str">
        <f t="shared" si="175"/>
        <v>1900-01-00 00:0:00</v>
      </c>
      <c r="L184" s="78" t="str">
        <f t="shared" si="176"/>
        <v>1900-01-00 00:0:00</v>
      </c>
      <c r="M184" s="79">
        <f t="shared" si="177"/>
        <v>0</v>
      </c>
      <c r="N184">
        <f t="shared" si="178"/>
        <v>1</v>
      </c>
      <c r="O184" t="str">
        <f>IFERROR(_xlfn.XLOOKUP(A184,HC!A:A,HC!C:C),"")</f>
        <v>Workforce</v>
      </c>
      <c r="R184" s="78" t="b">
        <f t="shared" ref="R184:AO184" si="231">IFERROR(IF($B184=$D$1,IF(AND($K184&lt;R$1,$L184&lt;R$1),"",IF(AND($K184&gt;S$1,$L184&gt;S$1),"",IF(AND($K184&lt;R$1,$L184&lt;=S$1),$L184-R$1,IF(AND($K184&gt;=R$1,$L184&gt;S$1),S$1-$K184,IF(AND($K184&gt;=R$1,$L184&lt;=S$1),$L184-$K184,IF(AND($K184&lt;R$1,$L184&gt;S$1),S$1-R$1,""))))))),"")</f>
        <v>0</v>
      </c>
      <c r="S184" s="78" t="b">
        <f t="shared" si="231"/>
        <v>0</v>
      </c>
      <c r="T184" s="78" t="b">
        <f t="shared" si="231"/>
        <v>0</v>
      </c>
      <c r="U184" s="78" t="b">
        <f t="shared" si="231"/>
        <v>0</v>
      </c>
      <c r="V184" s="78" t="b">
        <f t="shared" si="231"/>
        <v>0</v>
      </c>
      <c r="W184" s="78" t="b">
        <f t="shared" si="231"/>
        <v>0</v>
      </c>
      <c r="X184" s="78" t="b">
        <f t="shared" si="231"/>
        <v>0</v>
      </c>
      <c r="Y184" s="78" t="b">
        <f t="shared" si="231"/>
        <v>0</v>
      </c>
      <c r="Z184" s="78" t="b">
        <f t="shared" si="231"/>
        <v>0</v>
      </c>
      <c r="AA184" s="78" t="b">
        <f t="shared" si="231"/>
        <v>0</v>
      </c>
      <c r="AB184" s="78" t="b">
        <f t="shared" si="231"/>
        <v>0</v>
      </c>
      <c r="AC184" s="78" t="b">
        <f t="shared" si="231"/>
        <v>0</v>
      </c>
      <c r="AD184" s="78" t="b">
        <f t="shared" si="231"/>
        <v>0</v>
      </c>
      <c r="AE184" s="78" t="b">
        <f t="shared" si="231"/>
        <v>0</v>
      </c>
      <c r="AF184" s="78" t="b">
        <f t="shared" si="231"/>
        <v>0</v>
      </c>
      <c r="AG184" s="78" t="b">
        <f t="shared" si="231"/>
        <v>0</v>
      </c>
      <c r="AH184" s="78" t="b">
        <f t="shared" si="231"/>
        <v>0</v>
      </c>
      <c r="AI184" s="78" t="b">
        <f t="shared" si="231"/>
        <v>0</v>
      </c>
      <c r="AJ184" s="78" t="b">
        <f t="shared" si="231"/>
        <v>0</v>
      </c>
      <c r="AK184" s="78" t="b">
        <f t="shared" si="231"/>
        <v>0</v>
      </c>
      <c r="AL184" s="78" t="b">
        <f t="shared" si="231"/>
        <v>0</v>
      </c>
      <c r="AM184" s="78" t="b">
        <f t="shared" si="231"/>
        <v>0</v>
      </c>
      <c r="AN184" s="78" t="b">
        <f t="shared" si="231"/>
        <v>0</v>
      </c>
      <c r="AO184" s="78" t="b">
        <f t="shared" si="231"/>
        <v>0</v>
      </c>
      <c r="AP184" s="78"/>
    </row>
    <row r="185" spans="4:42" x14ac:dyDescent="0.35">
      <c r="D185" s="96"/>
      <c r="E185" s="96"/>
      <c r="G185" s="77">
        <f t="shared" si="171"/>
        <v>0</v>
      </c>
      <c r="H185" s="78">
        <f t="shared" si="172"/>
        <v>0</v>
      </c>
      <c r="I185" s="77">
        <f t="shared" si="173"/>
        <v>0</v>
      </c>
      <c r="J185" s="78">
        <f t="shared" si="174"/>
        <v>0</v>
      </c>
      <c r="K185" s="78" t="str">
        <f t="shared" si="175"/>
        <v>1900-01-00 00:0:00</v>
      </c>
      <c r="L185" s="78" t="str">
        <f t="shared" si="176"/>
        <v>1900-01-00 00:0:00</v>
      </c>
      <c r="M185" s="79">
        <f t="shared" si="177"/>
        <v>0</v>
      </c>
      <c r="N185">
        <f t="shared" si="178"/>
        <v>1</v>
      </c>
      <c r="O185" t="str">
        <f>IFERROR(_xlfn.XLOOKUP(A185,HC!A:A,HC!C:C),"")</f>
        <v>Workforce</v>
      </c>
      <c r="R185" s="78" t="b">
        <f t="shared" ref="R185:AO185" si="232">IFERROR(IF($B185=$D$1,IF(AND($K185&lt;R$1,$L185&lt;R$1),"",IF(AND($K185&gt;S$1,$L185&gt;S$1),"",IF(AND($K185&lt;R$1,$L185&lt;=S$1),$L185-R$1,IF(AND($K185&gt;=R$1,$L185&gt;S$1),S$1-$K185,IF(AND($K185&gt;=R$1,$L185&lt;=S$1),$L185-$K185,IF(AND($K185&lt;R$1,$L185&gt;S$1),S$1-R$1,""))))))),"")</f>
        <v>0</v>
      </c>
      <c r="S185" s="78" t="b">
        <f t="shared" si="232"/>
        <v>0</v>
      </c>
      <c r="T185" s="78" t="b">
        <f t="shared" si="232"/>
        <v>0</v>
      </c>
      <c r="U185" s="78" t="b">
        <f t="shared" si="232"/>
        <v>0</v>
      </c>
      <c r="V185" s="78" t="b">
        <f t="shared" si="232"/>
        <v>0</v>
      </c>
      <c r="W185" s="78" t="b">
        <f t="shared" si="232"/>
        <v>0</v>
      </c>
      <c r="X185" s="78" t="b">
        <f t="shared" si="232"/>
        <v>0</v>
      </c>
      <c r="Y185" s="78" t="b">
        <f t="shared" si="232"/>
        <v>0</v>
      </c>
      <c r="Z185" s="78" t="b">
        <f t="shared" si="232"/>
        <v>0</v>
      </c>
      <c r="AA185" s="78" t="b">
        <f t="shared" si="232"/>
        <v>0</v>
      </c>
      <c r="AB185" s="78" t="b">
        <f t="shared" si="232"/>
        <v>0</v>
      </c>
      <c r="AC185" s="78" t="b">
        <f t="shared" si="232"/>
        <v>0</v>
      </c>
      <c r="AD185" s="78" t="b">
        <f t="shared" si="232"/>
        <v>0</v>
      </c>
      <c r="AE185" s="78" t="b">
        <f t="shared" si="232"/>
        <v>0</v>
      </c>
      <c r="AF185" s="78" t="b">
        <f t="shared" si="232"/>
        <v>0</v>
      </c>
      <c r="AG185" s="78" t="b">
        <f t="shared" si="232"/>
        <v>0</v>
      </c>
      <c r="AH185" s="78" t="b">
        <f t="shared" si="232"/>
        <v>0</v>
      </c>
      <c r="AI185" s="78" t="b">
        <f t="shared" si="232"/>
        <v>0</v>
      </c>
      <c r="AJ185" s="78" t="b">
        <f t="shared" si="232"/>
        <v>0</v>
      </c>
      <c r="AK185" s="78" t="b">
        <f t="shared" si="232"/>
        <v>0</v>
      </c>
      <c r="AL185" s="78" t="b">
        <f t="shared" si="232"/>
        <v>0</v>
      </c>
      <c r="AM185" s="78" t="b">
        <f t="shared" si="232"/>
        <v>0</v>
      </c>
      <c r="AN185" s="78" t="b">
        <f t="shared" si="232"/>
        <v>0</v>
      </c>
      <c r="AO185" s="78" t="b">
        <f t="shared" si="232"/>
        <v>0</v>
      </c>
      <c r="AP185" s="78"/>
    </row>
    <row r="186" spans="4:42" x14ac:dyDescent="0.35">
      <c r="D186" s="96"/>
      <c r="E186" s="96"/>
      <c r="G186" s="77">
        <f t="shared" si="171"/>
        <v>0</v>
      </c>
      <c r="H186" s="78">
        <f t="shared" si="172"/>
        <v>0</v>
      </c>
      <c r="I186" s="77">
        <f t="shared" si="173"/>
        <v>0</v>
      </c>
      <c r="J186" s="78">
        <f t="shared" si="174"/>
        <v>0</v>
      </c>
      <c r="K186" s="78" t="str">
        <f t="shared" si="175"/>
        <v>1900-01-00 00:0:00</v>
      </c>
      <c r="L186" s="78" t="str">
        <f t="shared" si="176"/>
        <v>1900-01-00 00:0:00</v>
      </c>
      <c r="M186" s="79">
        <f t="shared" si="177"/>
        <v>0</v>
      </c>
      <c r="N186">
        <f t="shared" si="178"/>
        <v>1</v>
      </c>
      <c r="O186" t="str">
        <f>IFERROR(_xlfn.XLOOKUP(A186,HC!A:A,HC!C:C),"")</f>
        <v>Workforce</v>
      </c>
      <c r="R186" s="78" t="b">
        <f t="shared" ref="R186:AO186" si="233">IFERROR(IF($B186=$D$1,IF(AND($K186&lt;R$1,$L186&lt;R$1),"",IF(AND($K186&gt;S$1,$L186&gt;S$1),"",IF(AND($K186&lt;R$1,$L186&lt;=S$1),$L186-R$1,IF(AND($K186&gt;=R$1,$L186&gt;S$1),S$1-$K186,IF(AND($K186&gt;=R$1,$L186&lt;=S$1),$L186-$K186,IF(AND($K186&lt;R$1,$L186&gt;S$1),S$1-R$1,""))))))),"")</f>
        <v>0</v>
      </c>
      <c r="S186" s="78" t="b">
        <f t="shared" si="233"/>
        <v>0</v>
      </c>
      <c r="T186" s="78" t="b">
        <f t="shared" si="233"/>
        <v>0</v>
      </c>
      <c r="U186" s="78" t="b">
        <f t="shared" si="233"/>
        <v>0</v>
      </c>
      <c r="V186" s="78" t="b">
        <f t="shared" si="233"/>
        <v>0</v>
      </c>
      <c r="W186" s="78" t="b">
        <f t="shared" si="233"/>
        <v>0</v>
      </c>
      <c r="X186" s="78" t="b">
        <f t="shared" si="233"/>
        <v>0</v>
      </c>
      <c r="Y186" s="78" t="b">
        <f t="shared" si="233"/>
        <v>0</v>
      </c>
      <c r="Z186" s="78" t="b">
        <f t="shared" si="233"/>
        <v>0</v>
      </c>
      <c r="AA186" s="78" t="b">
        <f t="shared" si="233"/>
        <v>0</v>
      </c>
      <c r="AB186" s="78" t="b">
        <f t="shared" si="233"/>
        <v>0</v>
      </c>
      <c r="AC186" s="78" t="b">
        <f t="shared" si="233"/>
        <v>0</v>
      </c>
      <c r="AD186" s="78" t="b">
        <f t="shared" si="233"/>
        <v>0</v>
      </c>
      <c r="AE186" s="78" t="b">
        <f t="shared" si="233"/>
        <v>0</v>
      </c>
      <c r="AF186" s="78" t="b">
        <f t="shared" si="233"/>
        <v>0</v>
      </c>
      <c r="AG186" s="78" t="b">
        <f t="shared" si="233"/>
        <v>0</v>
      </c>
      <c r="AH186" s="78" t="b">
        <f t="shared" si="233"/>
        <v>0</v>
      </c>
      <c r="AI186" s="78" t="b">
        <f t="shared" si="233"/>
        <v>0</v>
      </c>
      <c r="AJ186" s="78" t="b">
        <f t="shared" si="233"/>
        <v>0</v>
      </c>
      <c r="AK186" s="78" t="b">
        <f t="shared" si="233"/>
        <v>0</v>
      </c>
      <c r="AL186" s="78" t="b">
        <f t="shared" si="233"/>
        <v>0</v>
      </c>
      <c r="AM186" s="78" t="b">
        <f t="shared" si="233"/>
        <v>0</v>
      </c>
      <c r="AN186" s="78" t="b">
        <f t="shared" si="233"/>
        <v>0</v>
      </c>
      <c r="AO186" s="78" t="b">
        <f t="shared" si="233"/>
        <v>0</v>
      </c>
      <c r="AP186" s="78"/>
    </row>
    <row r="187" spans="4:42" x14ac:dyDescent="0.35">
      <c r="D187" s="96"/>
      <c r="E187" s="96"/>
      <c r="G187" s="77">
        <f t="shared" si="171"/>
        <v>0</v>
      </c>
      <c r="H187" s="78">
        <f t="shared" si="172"/>
        <v>0</v>
      </c>
      <c r="I187" s="77">
        <f t="shared" si="173"/>
        <v>0</v>
      </c>
      <c r="J187" s="78">
        <f t="shared" si="174"/>
        <v>0</v>
      </c>
      <c r="K187" s="78" t="str">
        <f t="shared" si="175"/>
        <v>1900-01-00 00:0:00</v>
      </c>
      <c r="L187" s="78" t="str">
        <f t="shared" si="176"/>
        <v>1900-01-00 00:0:00</v>
      </c>
      <c r="M187" s="79">
        <f t="shared" si="177"/>
        <v>0</v>
      </c>
      <c r="N187">
        <f t="shared" si="178"/>
        <v>1</v>
      </c>
      <c r="O187" t="str">
        <f>IFERROR(_xlfn.XLOOKUP(A187,HC!A:A,HC!C:C),"")</f>
        <v>Workforce</v>
      </c>
      <c r="R187" s="78" t="b">
        <f t="shared" ref="R187:AO187" si="234">IFERROR(IF($B187=$D$1,IF(AND($K187&lt;R$1,$L187&lt;R$1),"",IF(AND($K187&gt;S$1,$L187&gt;S$1),"",IF(AND($K187&lt;R$1,$L187&lt;=S$1),$L187-R$1,IF(AND($K187&gt;=R$1,$L187&gt;S$1),S$1-$K187,IF(AND($K187&gt;=R$1,$L187&lt;=S$1),$L187-$K187,IF(AND($K187&lt;R$1,$L187&gt;S$1),S$1-R$1,""))))))),"")</f>
        <v>0</v>
      </c>
      <c r="S187" s="78" t="b">
        <f t="shared" si="234"/>
        <v>0</v>
      </c>
      <c r="T187" s="78" t="b">
        <f t="shared" si="234"/>
        <v>0</v>
      </c>
      <c r="U187" s="78" t="b">
        <f t="shared" si="234"/>
        <v>0</v>
      </c>
      <c r="V187" s="78" t="b">
        <f t="shared" si="234"/>
        <v>0</v>
      </c>
      <c r="W187" s="78" t="b">
        <f t="shared" si="234"/>
        <v>0</v>
      </c>
      <c r="X187" s="78" t="b">
        <f t="shared" si="234"/>
        <v>0</v>
      </c>
      <c r="Y187" s="78" t="b">
        <f t="shared" si="234"/>
        <v>0</v>
      </c>
      <c r="Z187" s="78" t="b">
        <f t="shared" si="234"/>
        <v>0</v>
      </c>
      <c r="AA187" s="78" t="b">
        <f t="shared" si="234"/>
        <v>0</v>
      </c>
      <c r="AB187" s="78" t="b">
        <f t="shared" si="234"/>
        <v>0</v>
      </c>
      <c r="AC187" s="78" t="b">
        <f t="shared" si="234"/>
        <v>0</v>
      </c>
      <c r="AD187" s="78" t="b">
        <f t="shared" si="234"/>
        <v>0</v>
      </c>
      <c r="AE187" s="78" t="b">
        <f t="shared" si="234"/>
        <v>0</v>
      </c>
      <c r="AF187" s="78" t="b">
        <f t="shared" si="234"/>
        <v>0</v>
      </c>
      <c r="AG187" s="78" t="b">
        <f t="shared" si="234"/>
        <v>0</v>
      </c>
      <c r="AH187" s="78" t="b">
        <f t="shared" si="234"/>
        <v>0</v>
      </c>
      <c r="AI187" s="78" t="b">
        <f t="shared" si="234"/>
        <v>0</v>
      </c>
      <c r="AJ187" s="78" t="b">
        <f t="shared" si="234"/>
        <v>0</v>
      </c>
      <c r="AK187" s="78" t="b">
        <f t="shared" si="234"/>
        <v>0</v>
      </c>
      <c r="AL187" s="78" t="b">
        <f t="shared" si="234"/>
        <v>0</v>
      </c>
      <c r="AM187" s="78" t="b">
        <f t="shared" si="234"/>
        <v>0</v>
      </c>
      <c r="AN187" s="78" t="b">
        <f t="shared" si="234"/>
        <v>0</v>
      </c>
      <c r="AO187" s="78" t="b">
        <f t="shared" si="234"/>
        <v>0</v>
      </c>
      <c r="AP187" s="78"/>
    </row>
    <row r="188" spans="4:42" x14ac:dyDescent="0.35">
      <c r="D188" s="96"/>
      <c r="E188" s="96"/>
      <c r="G188" s="77">
        <f t="shared" si="171"/>
        <v>0</v>
      </c>
      <c r="H188" s="78">
        <f t="shared" si="172"/>
        <v>0</v>
      </c>
      <c r="I188" s="77">
        <f t="shared" si="173"/>
        <v>0</v>
      </c>
      <c r="J188" s="78">
        <f t="shared" si="174"/>
        <v>0</v>
      </c>
      <c r="K188" s="78" t="str">
        <f t="shared" si="175"/>
        <v>1900-01-00 00:0:00</v>
      </c>
      <c r="L188" s="78" t="str">
        <f t="shared" si="176"/>
        <v>1900-01-00 00:0:00</v>
      </c>
      <c r="M188" s="79">
        <f t="shared" si="177"/>
        <v>0</v>
      </c>
      <c r="N188">
        <f t="shared" si="178"/>
        <v>1</v>
      </c>
      <c r="O188" t="str">
        <f>IFERROR(_xlfn.XLOOKUP(A188,HC!A:A,HC!C:C),"")</f>
        <v>Workforce</v>
      </c>
      <c r="R188" s="78" t="b">
        <f t="shared" ref="R188:AO188" si="235">IFERROR(IF($B188=$D$1,IF(AND($K188&lt;R$1,$L188&lt;R$1),"",IF(AND($K188&gt;S$1,$L188&gt;S$1),"",IF(AND($K188&lt;R$1,$L188&lt;=S$1),$L188-R$1,IF(AND($K188&gt;=R$1,$L188&gt;S$1),S$1-$K188,IF(AND($K188&gt;=R$1,$L188&lt;=S$1),$L188-$K188,IF(AND($K188&lt;R$1,$L188&gt;S$1),S$1-R$1,""))))))),"")</f>
        <v>0</v>
      </c>
      <c r="S188" s="78" t="b">
        <f t="shared" si="235"/>
        <v>0</v>
      </c>
      <c r="T188" s="78" t="b">
        <f t="shared" si="235"/>
        <v>0</v>
      </c>
      <c r="U188" s="78" t="b">
        <f t="shared" si="235"/>
        <v>0</v>
      </c>
      <c r="V188" s="78" t="b">
        <f t="shared" si="235"/>
        <v>0</v>
      </c>
      <c r="W188" s="78" t="b">
        <f t="shared" si="235"/>
        <v>0</v>
      </c>
      <c r="X188" s="78" t="b">
        <f t="shared" si="235"/>
        <v>0</v>
      </c>
      <c r="Y188" s="78" t="b">
        <f t="shared" si="235"/>
        <v>0</v>
      </c>
      <c r="Z188" s="78" t="b">
        <f t="shared" si="235"/>
        <v>0</v>
      </c>
      <c r="AA188" s="78" t="b">
        <f t="shared" si="235"/>
        <v>0</v>
      </c>
      <c r="AB188" s="78" t="b">
        <f t="shared" si="235"/>
        <v>0</v>
      </c>
      <c r="AC188" s="78" t="b">
        <f t="shared" si="235"/>
        <v>0</v>
      </c>
      <c r="AD188" s="78" t="b">
        <f t="shared" si="235"/>
        <v>0</v>
      </c>
      <c r="AE188" s="78" t="b">
        <f t="shared" si="235"/>
        <v>0</v>
      </c>
      <c r="AF188" s="78" t="b">
        <f t="shared" si="235"/>
        <v>0</v>
      </c>
      <c r="AG188" s="78" t="b">
        <f t="shared" si="235"/>
        <v>0</v>
      </c>
      <c r="AH188" s="78" t="b">
        <f t="shared" si="235"/>
        <v>0</v>
      </c>
      <c r="AI188" s="78" t="b">
        <f t="shared" si="235"/>
        <v>0</v>
      </c>
      <c r="AJ188" s="78" t="b">
        <f t="shared" si="235"/>
        <v>0</v>
      </c>
      <c r="AK188" s="78" t="b">
        <f t="shared" si="235"/>
        <v>0</v>
      </c>
      <c r="AL188" s="78" t="b">
        <f t="shared" si="235"/>
        <v>0</v>
      </c>
      <c r="AM188" s="78" t="b">
        <f t="shared" si="235"/>
        <v>0</v>
      </c>
      <c r="AN188" s="78" t="b">
        <f t="shared" si="235"/>
        <v>0</v>
      </c>
      <c r="AO188" s="78" t="b">
        <f t="shared" si="235"/>
        <v>0</v>
      </c>
      <c r="AP188" s="78"/>
    </row>
    <row r="189" spans="4:42" x14ac:dyDescent="0.35">
      <c r="D189" s="96"/>
      <c r="E189" s="96"/>
      <c r="G189" s="77">
        <f t="shared" si="171"/>
        <v>0</v>
      </c>
      <c r="H189" s="78">
        <f t="shared" si="172"/>
        <v>0</v>
      </c>
      <c r="I189" s="77">
        <f t="shared" si="173"/>
        <v>0</v>
      </c>
      <c r="J189" s="78">
        <f t="shared" si="174"/>
        <v>0</v>
      </c>
      <c r="K189" s="78" t="str">
        <f t="shared" si="175"/>
        <v>1900-01-00 00:0:00</v>
      </c>
      <c r="L189" s="78" t="str">
        <f t="shared" si="176"/>
        <v>1900-01-00 00:0:00</v>
      </c>
      <c r="M189" s="79">
        <f t="shared" si="177"/>
        <v>0</v>
      </c>
      <c r="N189">
        <f t="shared" si="178"/>
        <v>1</v>
      </c>
      <c r="O189" t="str">
        <f>IFERROR(_xlfn.XLOOKUP(A189,HC!A:A,HC!C:C),"")</f>
        <v>Workforce</v>
      </c>
      <c r="R189" s="78" t="b">
        <f t="shared" ref="R189:AO189" si="236">IFERROR(IF($B189=$D$1,IF(AND($K189&lt;R$1,$L189&lt;R$1),"",IF(AND($K189&gt;S$1,$L189&gt;S$1),"",IF(AND($K189&lt;R$1,$L189&lt;=S$1),$L189-R$1,IF(AND($K189&gt;=R$1,$L189&gt;S$1),S$1-$K189,IF(AND($K189&gt;=R$1,$L189&lt;=S$1),$L189-$K189,IF(AND($K189&lt;R$1,$L189&gt;S$1),S$1-R$1,""))))))),"")</f>
        <v>0</v>
      </c>
      <c r="S189" s="78" t="b">
        <f t="shared" si="236"/>
        <v>0</v>
      </c>
      <c r="T189" s="78" t="b">
        <f t="shared" si="236"/>
        <v>0</v>
      </c>
      <c r="U189" s="78" t="b">
        <f t="shared" si="236"/>
        <v>0</v>
      </c>
      <c r="V189" s="78" t="b">
        <f t="shared" si="236"/>
        <v>0</v>
      </c>
      <c r="W189" s="78" t="b">
        <f t="shared" si="236"/>
        <v>0</v>
      </c>
      <c r="X189" s="78" t="b">
        <f t="shared" si="236"/>
        <v>0</v>
      </c>
      <c r="Y189" s="78" t="b">
        <f t="shared" si="236"/>
        <v>0</v>
      </c>
      <c r="Z189" s="78" t="b">
        <f t="shared" si="236"/>
        <v>0</v>
      </c>
      <c r="AA189" s="78" t="b">
        <f t="shared" si="236"/>
        <v>0</v>
      </c>
      <c r="AB189" s="78" t="b">
        <f t="shared" si="236"/>
        <v>0</v>
      </c>
      <c r="AC189" s="78" t="b">
        <f t="shared" si="236"/>
        <v>0</v>
      </c>
      <c r="AD189" s="78" t="b">
        <f t="shared" si="236"/>
        <v>0</v>
      </c>
      <c r="AE189" s="78" t="b">
        <f t="shared" si="236"/>
        <v>0</v>
      </c>
      <c r="AF189" s="78" t="b">
        <f t="shared" si="236"/>
        <v>0</v>
      </c>
      <c r="AG189" s="78" t="b">
        <f t="shared" si="236"/>
        <v>0</v>
      </c>
      <c r="AH189" s="78" t="b">
        <f t="shared" si="236"/>
        <v>0</v>
      </c>
      <c r="AI189" s="78" t="b">
        <f t="shared" si="236"/>
        <v>0</v>
      </c>
      <c r="AJ189" s="78" t="b">
        <f t="shared" si="236"/>
        <v>0</v>
      </c>
      <c r="AK189" s="78" t="b">
        <f t="shared" si="236"/>
        <v>0</v>
      </c>
      <c r="AL189" s="78" t="b">
        <f t="shared" si="236"/>
        <v>0</v>
      </c>
      <c r="AM189" s="78" t="b">
        <f t="shared" si="236"/>
        <v>0</v>
      </c>
      <c r="AN189" s="78" t="b">
        <f t="shared" si="236"/>
        <v>0</v>
      </c>
      <c r="AO189" s="78" t="b">
        <f t="shared" si="236"/>
        <v>0</v>
      </c>
      <c r="AP189" s="78"/>
    </row>
    <row r="190" spans="4:42" x14ac:dyDescent="0.35">
      <c r="D190" s="96"/>
      <c r="E190" s="96"/>
      <c r="G190" s="77">
        <f t="shared" si="171"/>
        <v>0</v>
      </c>
      <c r="H190" s="78">
        <f t="shared" si="172"/>
        <v>0</v>
      </c>
      <c r="I190" s="77">
        <f t="shared" si="173"/>
        <v>0</v>
      </c>
      <c r="J190" s="78">
        <f t="shared" si="174"/>
        <v>0</v>
      </c>
      <c r="K190" s="78" t="str">
        <f t="shared" si="175"/>
        <v>1900-01-00 00:0:00</v>
      </c>
      <c r="L190" s="78" t="str">
        <f t="shared" si="176"/>
        <v>1900-01-00 00:0:00</v>
      </c>
      <c r="M190" s="79">
        <f t="shared" si="177"/>
        <v>0</v>
      </c>
      <c r="N190">
        <f t="shared" si="178"/>
        <v>1</v>
      </c>
      <c r="O190" t="str">
        <f>IFERROR(_xlfn.XLOOKUP(A190,HC!A:A,HC!C:C),"")</f>
        <v>Workforce</v>
      </c>
      <c r="R190" s="78" t="b">
        <f t="shared" ref="R190:AO190" si="237">IFERROR(IF($B190=$D$1,IF(AND($K190&lt;R$1,$L190&lt;R$1),"",IF(AND($K190&gt;S$1,$L190&gt;S$1),"",IF(AND($K190&lt;R$1,$L190&lt;=S$1),$L190-R$1,IF(AND($K190&gt;=R$1,$L190&gt;S$1),S$1-$K190,IF(AND($K190&gt;=R$1,$L190&lt;=S$1),$L190-$K190,IF(AND($K190&lt;R$1,$L190&gt;S$1),S$1-R$1,""))))))),"")</f>
        <v>0</v>
      </c>
      <c r="S190" s="78" t="b">
        <f t="shared" si="237"/>
        <v>0</v>
      </c>
      <c r="T190" s="78" t="b">
        <f t="shared" si="237"/>
        <v>0</v>
      </c>
      <c r="U190" s="78" t="b">
        <f t="shared" si="237"/>
        <v>0</v>
      </c>
      <c r="V190" s="78" t="b">
        <f t="shared" si="237"/>
        <v>0</v>
      </c>
      <c r="W190" s="78" t="b">
        <f t="shared" si="237"/>
        <v>0</v>
      </c>
      <c r="X190" s="78" t="b">
        <f t="shared" si="237"/>
        <v>0</v>
      </c>
      <c r="Y190" s="78" t="b">
        <f t="shared" si="237"/>
        <v>0</v>
      </c>
      <c r="Z190" s="78" t="b">
        <f t="shared" si="237"/>
        <v>0</v>
      </c>
      <c r="AA190" s="78" t="b">
        <f t="shared" si="237"/>
        <v>0</v>
      </c>
      <c r="AB190" s="78" t="b">
        <f t="shared" si="237"/>
        <v>0</v>
      </c>
      <c r="AC190" s="78" t="b">
        <f t="shared" si="237"/>
        <v>0</v>
      </c>
      <c r="AD190" s="78" t="b">
        <f t="shared" si="237"/>
        <v>0</v>
      </c>
      <c r="AE190" s="78" t="b">
        <f t="shared" si="237"/>
        <v>0</v>
      </c>
      <c r="AF190" s="78" t="b">
        <f t="shared" si="237"/>
        <v>0</v>
      </c>
      <c r="AG190" s="78" t="b">
        <f t="shared" si="237"/>
        <v>0</v>
      </c>
      <c r="AH190" s="78" t="b">
        <f t="shared" si="237"/>
        <v>0</v>
      </c>
      <c r="AI190" s="78" t="b">
        <f t="shared" si="237"/>
        <v>0</v>
      </c>
      <c r="AJ190" s="78" t="b">
        <f t="shared" si="237"/>
        <v>0</v>
      </c>
      <c r="AK190" s="78" t="b">
        <f t="shared" si="237"/>
        <v>0</v>
      </c>
      <c r="AL190" s="78" t="b">
        <f t="shared" si="237"/>
        <v>0</v>
      </c>
      <c r="AM190" s="78" t="b">
        <f t="shared" si="237"/>
        <v>0</v>
      </c>
      <c r="AN190" s="78" t="b">
        <f t="shared" si="237"/>
        <v>0</v>
      </c>
      <c r="AO190" s="78" t="b">
        <f t="shared" si="237"/>
        <v>0</v>
      </c>
      <c r="AP190" s="78"/>
    </row>
    <row r="191" spans="4:42" x14ac:dyDescent="0.35">
      <c r="D191" s="96"/>
      <c r="E191" s="96"/>
      <c r="G191" s="77">
        <f t="shared" si="171"/>
        <v>0</v>
      </c>
      <c r="H191" s="78">
        <f t="shared" si="172"/>
        <v>0</v>
      </c>
      <c r="I191" s="77">
        <f t="shared" si="173"/>
        <v>0</v>
      </c>
      <c r="J191" s="78">
        <f t="shared" si="174"/>
        <v>0</v>
      </c>
      <c r="K191" s="78" t="str">
        <f t="shared" si="175"/>
        <v>1900-01-00 00:0:00</v>
      </c>
      <c r="L191" s="78" t="str">
        <f t="shared" si="176"/>
        <v>1900-01-00 00:0:00</v>
      </c>
      <c r="M191" s="79">
        <f t="shared" si="177"/>
        <v>0</v>
      </c>
      <c r="N191">
        <f t="shared" si="178"/>
        <v>1</v>
      </c>
      <c r="O191" t="str">
        <f>IFERROR(_xlfn.XLOOKUP(A191,HC!A:A,HC!C:C),"")</f>
        <v>Workforce</v>
      </c>
      <c r="R191" s="78" t="b">
        <f t="shared" ref="R191:AO191" si="238">IFERROR(IF($B191=$D$1,IF(AND($K191&lt;R$1,$L191&lt;R$1),"",IF(AND($K191&gt;S$1,$L191&gt;S$1),"",IF(AND($K191&lt;R$1,$L191&lt;=S$1),$L191-R$1,IF(AND($K191&gt;=R$1,$L191&gt;S$1),S$1-$K191,IF(AND($K191&gt;=R$1,$L191&lt;=S$1),$L191-$K191,IF(AND($K191&lt;R$1,$L191&gt;S$1),S$1-R$1,""))))))),"")</f>
        <v>0</v>
      </c>
      <c r="S191" s="78" t="b">
        <f t="shared" si="238"/>
        <v>0</v>
      </c>
      <c r="T191" s="78" t="b">
        <f t="shared" si="238"/>
        <v>0</v>
      </c>
      <c r="U191" s="78" t="b">
        <f t="shared" si="238"/>
        <v>0</v>
      </c>
      <c r="V191" s="78" t="b">
        <f t="shared" si="238"/>
        <v>0</v>
      </c>
      <c r="W191" s="78" t="b">
        <f t="shared" si="238"/>
        <v>0</v>
      </c>
      <c r="X191" s="78" t="b">
        <f t="shared" si="238"/>
        <v>0</v>
      </c>
      <c r="Y191" s="78" t="b">
        <f t="shared" si="238"/>
        <v>0</v>
      </c>
      <c r="Z191" s="78" t="b">
        <f t="shared" si="238"/>
        <v>0</v>
      </c>
      <c r="AA191" s="78" t="b">
        <f t="shared" si="238"/>
        <v>0</v>
      </c>
      <c r="AB191" s="78" t="b">
        <f t="shared" si="238"/>
        <v>0</v>
      </c>
      <c r="AC191" s="78" t="b">
        <f t="shared" si="238"/>
        <v>0</v>
      </c>
      <c r="AD191" s="78" t="b">
        <f t="shared" si="238"/>
        <v>0</v>
      </c>
      <c r="AE191" s="78" t="b">
        <f t="shared" si="238"/>
        <v>0</v>
      </c>
      <c r="AF191" s="78" t="b">
        <f t="shared" si="238"/>
        <v>0</v>
      </c>
      <c r="AG191" s="78" t="b">
        <f t="shared" si="238"/>
        <v>0</v>
      </c>
      <c r="AH191" s="78" t="b">
        <f t="shared" si="238"/>
        <v>0</v>
      </c>
      <c r="AI191" s="78" t="b">
        <f t="shared" si="238"/>
        <v>0</v>
      </c>
      <c r="AJ191" s="78" t="b">
        <f t="shared" si="238"/>
        <v>0</v>
      </c>
      <c r="AK191" s="78" t="b">
        <f t="shared" si="238"/>
        <v>0</v>
      </c>
      <c r="AL191" s="78" t="b">
        <f t="shared" si="238"/>
        <v>0</v>
      </c>
      <c r="AM191" s="78" t="b">
        <f t="shared" si="238"/>
        <v>0</v>
      </c>
      <c r="AN191" s="78" t="b">
        <f t="shared" si="238"/>
        <v>0</v>
      </c>
      <c r="AO191" s="78" t="b">
        <f t="shared" si="238"/>
        <v>0</v>
      </c>
      <c r="AP191" s="78"/>
    </row>
    <row r="192" spans="4:42" x14ac:dyDescent="0.35">
      <c r="D192" s="96"/>
      <c r="E192" s="96"/>
      <c r="G192" s="77">
        <f t="shared" si="171"/>
        <v>0</v>
      </c>
      <c r="H192" s="78">
        <f t="shared" si="172"/>
        <v>0</v>
      </c>
      <c r="I192" s="77">
        <f t="shared" si="173"/>
        <v>0</v>
      </c>
      <c r="J192" s="78">
        <f t="shared" si="174"/>
        <v>0</v>
      </c>
      <c r="K192" s="78" t="str">
        <f t="shared" si="175"/>
        <v>1900-01-00 00:0:00</v>
      </c>
      <c r="L192" s="78" t="str">
        <f t="shared" si="176"/>
        <v>1900-01-00 00:0:00</v>
      </c>
      <c r="M192" s="79">
        <f t="shared" si="177"/>
        <v>0</v>
      </c>
      <c r="N192">
        <f t="shared" si="178"/>
        <v>1</v>
      </c>
      <c r="O192" t="str">
        <f>IFERROR(_xlfn.XLOOKUP(A192,HC!A:A,HC!C:C),"")</f>
        <v>Workforce</v>
      </c>
      <c r="R192" s="78" t="b">
        <f t="shared" ref="R192:AO192" si="239">IFERROR(IF($B192=$D$1,IF(AND($K192&lt;R$1,$L192&lt;R$1),"",IF(AND($K192&gt;S$1,$L192&gt;S$1),"",IF(AND($K192&lt;R$1,$L192&lt;=S$1),$L192-R$1,IF(AND($K192&gt;=R$1,$L192&gt;S$1),S$1-$K192,IF(AND($K192&gt;=R$1,$L192&lt;=S$1),$L192-$K192,IF(AND($K192&lt;R$1,$L192&gt;S$1),S$1-R$1,""))))))),"")</f>
        <v>0</v>
      </c>
      <c r="S192" s="78" t="b">
        <f t="shared" si="239"/>
        <v>0</v>
      </c>
      <c r="T192" s="78" t="b">
        <f t="shared" si="239"/>
        <v>0</v>
      </c>
      <c r="U192" s="78" t="b">
        <f t="shared" si="239"/>
        <v>0</v>
      </c>
      <c r="V192" s="78" t="b">
        <f t="shared" si="239"/>
        <v>0</v>
      </c>
      <c r="W192" s="78" t="b">
        <f t="shared" si="239"/>
        <v>0</v>
      </c>
      <c r="X192" s="78" t="b">
        <f t="shared" si="239"/>
        <v>0</v>
      </c>
      <c r="Y192" s="78" t="b">
        <f t="shared" si="239"/>
        <v>0</v>
      </c>
      <c r="Z192" s="78" t="b">
        <f t="shared" si="239"/>
        <v>0</v>
      </c>
      <c r="AA192" s="78" t="b">
        <f t="shared" si="239"/>
        <v>0</v>
      </c>
      <c r="AB192" s="78" t="b">
        <f t="shared" si="239"/>
        <v>0</v>
      </c>
      <c r="AC192" s="78" t="b">
        <f t="shared" si="239"/>
        <v>0</v>
      </c>
      <c r="AD192" s="78" t="b">
        <f t="shared" si="239"/>
        <v>0</v>
      </c>
      <c r="AE192" s="78" t="b">
        <f t="shared" si="239"/>
        <v>0</v>
      </c>
      <c r="AF192" s="78" t="b">
        <f t="shared" si="239"/>
        <v>0</v>
      </c>
      <c r="AG192" s="78" t="b">
        <f t="shared" si="239"/>
        <v>0</v>
      </c>
      <c r="AH192" s="78" t="b">
        <f t="shared" si="239"/>
        <v>0</v>
      </c>
      <c r="AI192" s="78" t="b">
        <f t="shared" si="239"/>
        <v>0</v>
      </c>
      <c r="AJ192" s="78" t="b">
        <f t="shared" si="239"/>
        <v>0</v>
      </c>
      <c r="AK192" s="78" t="b">
        <f t="shared" si="239"/>
        <v>0</v>
      </c>
      <c r="AL192" s="78" t="b">
        <f t="shared" si="239"/>
        <v>0</v>
      </c>
      <c r="AM192" s="78" t="b">
        <f t="shared" si="239"/>
        <v>0</v>
      </c>
      <c r="AN192" s="78" t="b">
        <f t="shared" si="239"/>
        <v>0</v>
      </c>
      <c r="AO192" s="78" t="b">
        <f t="shared" si="239"/>
        <v>0</v>
      </c>
      <c r="AP192" s="78"/>
    </row>
    <row r="193" spans="4:42" x14ac:dyDescent="0.35">
      <c r="D193" s="96"/>
      <c r="E193" s="96"/>
      <c r="G193" s="77">
        <f t="shared" si="171"/>
        <v>0</v>
      </c>
      <c r="H193" s="78">
        <f t="shared" si="172"/>
        <v>0</v>
      </c>
      <c r="I193" s="77">
        <f t="shared" si="173"/>
        <v>0</v>
      </c>
      <c r="J193" s="78">
        <f t="shared" si="174"/>
        <v>0</v>
      </c>
      <c r="K193" s="78" t="str">
        <f t="shared" si="175"/>
        <v>1900-01-00 00:0:00</v>
      </c>
      <c r="L193" s="78" t="str">
        <f t="shared" si="176"/>
        <v>1900-01-00 00:0:00</v>
      </c>
      <c r="M193" s="79">
        <f t="shared" si="177"/>
        <v>0</v>
      </c>
      <c r="N193">
        <f t="shared" si="178"/>
        <v>1</v>
      </c>
      <c r="O193" t="str">
        <f>IFERROR(_xlfn.XLOOKUP(A193,HC!A:A,HC!C:C),"")</f>
        <v>Workforce</v>
      </c>
      <c r="R193" s="78" t="b">
        <f t="shared" ref="R193:AO193" si="240">IFERROR(IF($B193=$D$1,IF(AND($K193&lt;R$1,$L193&lt;R$1),"",IF(AND($K193&gt;S$1,$L193&gt;S$1),"",IF(AND($K193&lt;R$1,$L193&lt;=S$1),$L193-R$1,IF(AND($K193&gt;=R$1,$L193&gt;S$1),S$1-$K193,IF(AND($K193&gt;=R$1,$L193&lt;=S$1),$L193-$K193,IF(AND($K193&lt;R$1,$L193&gt;S$1),S$1-R$1,""))))))),"")</f>
        <v>0</v>
      </c>
      <c r="S193" s="78" t="b">
        <f t="shared" si="240"/>
        <v>0</v>
      </c>
      <c r="T193" s="78" t="b">
        <f t="shared" si="240"/>
        <v>0</v>
      </c>
      <c r="U193" s="78" t="b">
        <f t="shared" si="240"/>
        <v>0</v>
      </c>
      <c r="V193" s="78" t="b">
        <f t="shared" si="240"/>
        <v>0</v>
      </c>
      <c r="W193" s="78" t="b">
        <f t="shared" si="240"/>
        <v>0</v>
      </c>
      <c r="X193" s="78" t="b">
        <f t="shared" si="240"/>
        <v>0</v>
      </c>
      <c r="Y193" s="78" t="b">
        <f t="shared" si="240"/>
        <v>0</v>
      </c>
      <c r="Z193" s="78" t="b">
        <f t="shared" si="240"/>
        <v>0</v>
      </c>
      <c r="AA193" s="78" t="b">
        <f t="shared" si="240"/>
        <v>0</v>
      </c>
      <c r="AB193" s="78" t="b">
        <f t="shared" si="240"/>
        <v>0</v>
      </c>
      <c r="AC193" s="78" t="b">
        <f t="shared" si="240"/>
        <v>0</v>
      </c>
      <c r="AD193" s="78" t="b">
        <f t="shared" si="240"/>
        <v>0</v>
      </c>
      <c r="AE193" s="78" t="b">
        <f t="shared" si="240"/>
        <v>0</v>
      </c>
      <c r="AF193" s="78" t="b">
        <f t="shared" si="240"/>
        <v>0</v>
      </c>
      <c r="AG193" s="78" t="b">
        <f t="shared" si="240"/>
        <v>0</v>
      </c>
      <c r="AH193" s="78" t="b">
        <f t="shared" si="240"/>
        <v>0</v>
      </c>
      <c r="AI193" s="78" t="b">
        <f t="shared" si="240"/>
        <v>0</v>
      </c>
      <c r="AJ193" s="78" t="b">
        <f t="shared" si="240"/>
        <v>0</v>
      </c>
      <c r="AK193" s="78" t="b">
        <f t="shared" si="240"/>
        <v>0</v>
      </c>
      <c r="AL193" s="78" t="b">
        <f t="shared" si="240"/>
        <v>0</v>
      </c>
      <c r="AM193" s="78" t="b">
        <f t="shared" si="240"/>
        <v>0</v>
      </c>
      <c r="AN193" s="78" t="b">
        <f t="shared" si="240"/>
        <v>0</v>
      </c>
      <c r="AO193" s="78" t="b">
        <f t="shared" si="240"/>
        <v>0</v>
      </c>
      <c r="AP193" s="78"/>
    </row>
    <row r="194" spans="4:42" x14ac:dyDescent="0.35">
      <c r="D194" s="96"/>
      <c r="E194" s="96"/>
      <c r="G194" s="77">
        <f t="shared" si="171"/>
        <v>0</v>
      </c>
      <c r="H194" s="78">
        <f t="shared" si="172"/>
        <v>0</v>
      </c>
      <c r="I194" s="77">
        <f t="shared" si="173"/>
        <v>0</v>
      </c>
      <c r="J194" s="78">
        <f t="shared" si="174"/>
        <v>0</v>
      </c>
      <c r="K194" s="78" t="str">
        <f t="shared" si="175"/>
        <v>1900-01-00 00:0:00</v>
      </c>
      <c r="L194" s="78" t="str">
        <f t="shared" si="176"/>
        <v>1900-01-00 00:0:00</v>
      </c>
      <c r="M194" s="79">
        <f t="shared" si="177"/>
        <v>0</v>
      </c>
      <c r="N194">
        <f t="shared" si="178"/>
        <v>1</v>
      </c>
      <c r="O194" t="str">
        <f>IFERROR(_xlfn.XLOOKUP(A194,HC!A:A,HC!C:C),"")</f>
        <v>Workforce</v>
      </c>
      <c r="R194" s="78" t="b">
        <f t="shared" ref="R194:AO194" si="241">IFERROR(IF($B194=$D$1,IF(AND($K194&lt;R$1,$L194&lt;R$1),"",IF(AND($K194&gt;S$1,$L194&gt;S$1),"",IF(AND($K194&lt;R$1,$L194&lt;=S$1),$L194-R$1,IF(AND($K194&gt;=R$1,$L194&gt;S$1),S$1-$K194,IF(AND($K194&gt;=R$1,$L194&lt;=S$1),$L194-$K194,IF(AND($K194&lt;R$1,$L194&gt;S$1),S$1-R$1,""))))))),"")</f>
        <v>0</v>
      </c>
      <c r="S194" s="78" t="b">
        <f t="shared" si="241"/>
        <v>0</v>
      </c>
      <c r="T194" s="78" t="b">
        <f t="shared" si="241"/>
        <v>0</v>
      </c>
      <c r="U194" s="78" t="b">
        <f t="shared" si="241"/>
        <v>0</v>
      </c>
      <c r="V194" s="78" t="b">
        <f t="shared" si="241"/>
        <v>0</v>
      </c>
      <c r="W194" s="78" t="b">
        <f t="shared" si="241"/>
        <v>0</v>
      </c>
      <c r="X194" s="78" t="b">
        <f t="shared" si="241"/>
        <v>0</v>
      </c>
      <c r="Y194" s="78" t="b">
        <f t="shared" si="241"/>
        <v>0</v>
      </c>
      <c r="Z194" s="78" t="b">
        <f t="shared" si="241"/>
        <v>0</v>
      </c>
      <c r="AA194" s="78" t="b">
        <f t="shared" si="241"/>
        <v>0</v>
      </c>
      <c r="AB194" s="78" t="b">
        <f t="shared" si="241"/>
        <v>0</v>
      </c>
      <c r="AC194" s="78" t="b">
        <f t="shared" si="241"/>
        <v>0</v>
      </c>
      <c r="AD194" s="78" t="b">
        <f t="shared" si="241"/>
        <v>0</v>
      </c>
      <c r="AE194" s="78" t="b">
        <f t="shared" si="241"/>
        <v>0</v>
      </c>
      <c r="AF194" s="78" t="b">
        <f t="shared" si="241"/>
        <v>0</v>
      </c>
      <c r="AG194" s="78" t="b">
        <f t="shared" si="241"/>
        <v>0</v>
      </c>
      <c r="AH194" s="78" t="b">
        <f t="shared" si="241"/>
        <v>0</v>
      </c>
      <c r="AI194" s="78" t="b">
        <f t="shared" si="241"/>
        <v>0</v>
      </c>
      <c r="AJ194" s="78" t="b">
        <f t="shared" si="241"/>
        <v>0</v>
      </c>
      <c r="AK194" s="78" t="b">
        <f t="shared" si="241"/>
        <v>0</v>
      </c>
      <c r="AL194" s="78" t="b">
        <f t="shared" si="241"/>
        <v>0</v>
      </c>
      <c r="AM194" s="78" t="b">
        <f t="shared" si="241"/>
        <v>0</v>
      </c>
      <c r="AN194" s="78" t="b">
        <f t="shared" si="241"/>
        <v>0</v>
      </c>
      <c r="AO194" s="78" t="b">
        <f t="shared" si="241"/>
        <v>0</v>
      </c>
      <c r="AP194" s="78"/>
    </row>
    <row r="195" spans="4:42" x14ac:dyDescent="0.35">
      <c r="D195" s="96"/>
      <c r="E195" s="96"/>
      <c r="G195" s="77">
        <f t="shared" si="171"/>
        <v>0</v>
      </c>
      <c r="H195" s="78">
        <f t="shared" si="172"/>
        <v>0</v>
      </c>
      <c r="I195" s="77">
        <f t="shared" si="173"/>
        <v>0</v>
      </c>
      <c r="J195" s="78">
        <f t="shared" si="174"/>
        <v>0</v>
      </c>
      <c r="K195" s="78" t="str">
        <f t="shared" si="175"/>
        <v>1900-01-00 00:0:00</v>
      </c>
      <c r="L195" s="78" t="str">
        <f t="shared" si="176"/>
        <v>1900-01-00 00:0:00</v>
      </c>
      <c r="M195" s="79">
        <f t="shared" si="177"/>
        <v>0</v>
      </c>
      <c r="N195">
        <f t="shared" si="178"/>
        <v>1</v>
      </c>
      <c r="O195" t="str">
        <f>IFERROR(_xlfn.XLOOKUP(A195,HC!A:A,HC!C:C),"")</f>
        <v>Workforce</v>
      </c>
      <c r="R195" s="78" t="b">
        <f t="shared" ref="R195:AO195" si="242">IFERROR(IF($B195=$D$1,IF(AND($K195&lt;R$1,$L195&lt;R$1),"",IF(AND($K195&gt;S$1,$L195&gt;S$1),"",IF(AND($K195&lt;R$1,$L195&lt;=S$1),$L195-R$1,IF(AND($K195&gt;=R$1,$L195&gt;S$1),S$1-$K195,IF(AND($K195&gt;=R$1,$L195&lt;=S$1),$L195-$K195,IF(AND($K195&lt;R$1,$L195&gt;S$1),S$1-R$1,""))))))),"")</f>
        <v>0</v>
      </c>
      <c r="S195" s="78" t="b">
        <f t="shared" si="242"/>
        <v>0</v>
      </c>
      <c r="T195" s="78" t="b">
        <f t="shared" si="242"/>
        <v>0</v>
      </c>
      <c r="U195" s="78" t="b">
        <f t="shared" si="242"/>
        <v>0</v>
      </c>
      <c r="V195" s="78" t="b">
        <f t="shared" si="242"/>
        <v>0</v>
      </c>
      <c r="W195" s="78" t="b">
        <f t="shared" si="242"/>
        <v>0</v>
      </c>
      <c r="X195" s="78" t="b">
        <f t="shared" si="242"/>
        <v>0</v>
      </c>
      <c r="Y195" s="78" t="b">
        <f t="shared" si="242"/>
        <v>0</v>
      </c>
      <c r="Z195" s="78" t="b">
        <f t="shared" si="242"/>
        <v>0</v>
      </c>
      <c r="AA195" s="78" t="b">
        <f t="shared" si="242"/>
        <v>0</v>
      </c>
      <c r="AB195" s="78" t="b">
        <f t="shared" si="242"/>
        <v>0</v>
      </c>
      <c r="AC195" s="78" t="b">
        <f t="shared" si="242"/>
        <v>0</v>
      </c>
      <c r="AD195" s="78" t="b">
        <f t="shared" si="242"/>
        <v>0</v>
      </c>
      <c r="AE195" s="78" t="b">
        <f t="shared" si="242"/>
        <v>0</v>
      </c>
      <c r="AF195" s="78" t="b">
        <f t="shared" si="242"/>
        <v>0</v>
      </c>
      <c r="AG195" s="78" t="b">
        <f t="shared" si="242"/>
        <v>0</v>
      </c>
      <c r="AH195" s="78" t="b">
        <f t="shared" si="242"/>
        <v>0</v>
      </c>
      <c r="AI195" s="78" t="b">
        <f t="shared" si="242"/>
        <v>0</v>
      </c>
      <c r="AJ195" s="78" t="b">
        <f t="shared" si="242"/>
        <v>0</v>
      </c>
      <c r="AK195" s="78" t="b">
        <f t="shared" si="242"/>
        <v>0</v>
      </c>
      <c r="AL195" s="78" t="b">
        <f t="shared" si="242"/>
        <v>0</v>
      </c>
      <c r="AM195" s="78" t="b">
        <f t="shared" si="242"/>
        <v>0</v>
      </c>
      <c r="AN195" s="78" t="b">
        <f t="shared" si="242"/>
        <v>0</v>
      </c>
      <c r="AO195" s="78" t="b">
        <f t="shared" si="242"/>
        <v>0</v>
      </c>
      <c r="AP195" s="78"/>
    </row>
    <row r="196" spans="4:42" x14ac:dyDescent="0.35">
      <c r="D196" s="96"/>
      <c r="E196" s="96"/>
      <c r="G196" s="77">
        <f t="shared" ref="G196:G259" si="243">INT(D196)</f>
        <v>0</v>
      </c>
      <c r="H196" s="78">
        <f t="shared" ref="H196:H259" si="244">D196-G196</f>
        <v>0</v>
      </c>
      <c r="I196" s="77">
        <f t="shared" ref="I196:I259" si="245">INT(E196)</f>
        <v>0</v>
      </c>
      <c r="J196" s="78">
        <f t="shared" ref="J196:J259" si="246">E196-I196</f>
        <v>0</v>
      </c>
      <c r="K196" s="78" t="str">
        <f t="shared" ref="K196:K259" si="247">TEXT(G196+H196,"yyyy-mm-dd hh:m:ss")</f>
        <v>1900-01-00 00:0:00</v>
      </c>
      <c r="L196" s="78" t="str">
        <f t="shared" ref="L196:L259" si="248">TEXT(I196+J196,"yyyy-mm-dd hh:m:ss")</f>
        <v>1900-01-00 00:0:00</v>
      </c>
      <c r="M196" s="79">
        <f t="shared" ref="M196:M259" si="249">E196-D196</f>
        <v>0</v>
      </c>
      <c r="N196">
        <f t="shared" ref="N196:N259" si="250">IF(M196&lt;$BA$1,1,0)</f>
        <v>1</v>
      </c>
      <c r="O196" t="str">
        <f>IFERROR(_xlfn.XLOOKUP(A196,HC!A:A,HC!C:C),"")</f>
        <v>Workforce</v>
      </c>
      <c r="R196" s="78" t="b">
        <f t="shared" ref="R196:AO196" si="251">IFERROR(IF($B196=$D$1,IF(AND($K196&lt;R$1,$L196&lt;R$1),"",IF(AND($K196&gt;S$1,$L196&gt;S$1),"",IF(AND($K196&lt;R$1,$L196&lt;=S$1),$L196-R$1,IF(AND($K196&gt;=R$1,$L196&gt;S$1),S$1-$K196,IF(AND($K196&gt;=R$1,$L196&lt;=S$1),$L196-$K196,IF(AND($K196&lt;R$1,$L196&gt;S$1),S$1-R$1,""))))))),"")</f>
        <v>0</v>
      </c>
      <c r="S196" s="78" t="b">
        <f t="shared" si="251"/>
        <v>0</v>
      </c>
      <c r="T196" s="78" t="b">
        <f t="shared" si="251"/>
        <v>0</v>
      </c>
      <c r="U196" s="78" t="b">
        <f t="shared" si="251"/>
        <v>0</v>
      </c>
      <c r="V196" s="78" t="b">
        <f t="shared" si="251"/>
        <v>0</v>
      </c>
      <c r="W196" s="78" t="b">
        <f t="shared" si="251"/>
        <v>0</v>
      </c>
      <c r="X196" s="78" t="b">
        <f t="shared" si="251"/>
        <v>0</v>
      </c>
      <c r="Y196" s="78" t="b">
        <f t="shared" si="251"/>
        <v>0</v>
      </c>
      <c r="Z196" s="78" t="b">
        <f t="shared" si="251"/>
        <v>0</v>
      </c>
      <c r="AA196" s="78" t="b">
        <f t="shared" si="251"/>
        <v>0</v>
      </c>
      <c r="AB196" s="78" t="b">
        <f t="shared" si="251"/>
        <v>0</v>
      </c>
      <c r="AC196" s="78" t="b">
        <f t="shared" si="251"/>
        <v>0</v>
      </c>
      <c r="AD196" s="78" t="b">
        <f t="shared" si="251"/>
        <v>0</v>
      </c>
      <c r="AE196" s="78" t="b">
        <f t="shared" si="251"/>
        <v>0</v>
      </c>
      <c r="AF196" s="78" t="b">
        <f t="shared" si="251"/>
        <v>0</v>
      </c>
      <c r="AG196" s="78" t="b">
        <f t="shared" si="251"/>
        <v>0</v>
      </c>
      <c r="AH196" s="78" t="b">
        <f t="shared" si="251"/>
        <v>0</v>
      </c>
      <c r="AI196" s="78" t="b">
        <f t="shared" si="251"/>
        <v>0</v>
      </c>
      <c r="AJ196" s="78" t="b">
        <f t="shared" si="251"/>
        <v>0</v>
      </c>
      <c r="AK196" s="78" t="b">
        <f t="shared" si="251"/>
        <v>0</v>
      </c>
      <c r="AL196" s="78" t="b">
        <f t="shared" si="251"/>
        <v>0</v>
      </c>
      <c r="AM196" s="78" t="b">
        <f t="shared" si="251"/>
        <v>0</v>
      </c>
      <c r="AN196" s="78" t="b">
        <f t="shared" si="251"/>
        <v>0</v>
      </c>
      <c r="AO196" s="78" t="b">
        <f t="shared" si="251"/>
        <v>0</v>
      </c>
      <c r="AP196" s="78"/>
    </row>
    <row r="197" spans="4:42" x14ac:dyDescent="0.35">
      <c r="D197" s="96"/>
      <c r="E197" s="96"/>
      <c r="G197" s="77">
        <f t="shared" si="243"/>
        <v>0</v>
      </c>
      <c r="H197" s="78">
        <f t="shared" si="244"/>
        <v>0</v>
      </c>
      <c r="I197" s="77">
        <f t="shared" si="245"/>
        <v>0</v>
      </c>
      <c r="J197" s="78">
        <f t="shared" si="246"/>
        <v>0</v>
      </c>
      <c r="K197" s="78" t="str">
        <f t="shared" si="247"/>
        <v>1900-01-00 00:0:00</v>
      </c>
      <c r="L197" s="78" t="str">
        <f t="shared" si="248"/>
        <v>1900-01-00 00:0:00</v>
      </c>
      <c r="M197" s="79">
        <f t="shared" si="249"/>
        <v>0</v>
      </c>
      <c r="N197">
        <f t="shared" si="250"/>
        <v>1</v>
      </c>
      <c r="O197" t="str">
        <f>IFERROR(_xlfn.XLOOKUP(A197,HC!A:A,HC!C:C),"")</f>
        <v>Workforce</v>
      </c>
      <c r="R197" s="78" t="b">
        <f t="shared" ref="R197:AO197" si="252">IFERROR(IF($B197=$D$1,IF(AND($K197&lt;R$1,$L197&lt;R$1),"",IF(AND($K197&gt;S$1,$L197&gt;S$1),"",IF(AND($K197&lt;R$1,$L197&lt;=S$1),$L197-R$1,IF(AND($K197&gt;=R$1,$L197&gt;S$1),S$1-$K197,IF(AND($K197&gt;=R$1,$L197&lt;=S$1),$L197-$K197,IF(AND($K197&lt;R$1,$L197&gt;S$1),S$1-R$1,""))))))),"")</f>
        <v>0</v>
      </c>
      <c r="S197" s="78" t="b">
        <f t="shared" si="252"/>
        <v>0</v>
      </c>
      <c r="T197" s="78" t="b">
        <f t="shared" si="252"/>
        <v>0</v>
      </c>
      <c r="U197" s="78" t="b">
        <f t="shared" si="252"/>
        <v>0</v>
      </c>
      <c r="V197" s="78" t="b">
        <f t="shared" si="252"/>
        <v>0</v>
      </c>
      <c r="W197" s="78" t="b">
        <f t="shared" si="252"/>
        <v>0</v>
      </c>
      <c r="X197" s="78" t="b">
        <f t="shared" si="252"/>
        <v>0</v>
      </c>
      <c r="Y197" s="78" t="b">
        <f t="shared" si="252"/>
        <v>0</v>
      </c>
      <c r="Z197" s="78" t="b">
        <f t="shared" si="252"/>
        <v>0</v>
      </c>
      <c r="AA197" s="78" t="b">
        <f t="shared" si="252"/>
        <v>0</v>
      </c>
      <c r="AB197" s="78" t="b">
        <f t="shared" si="252"/>
        <v>0</v>
      </c>
      <c r="AC197" s="78" t="b">
        <f t="shared" si="252"/>
        <v>0</v>
      </c>
      <c r="AD197" s="78" t="b">
        <f t="shared" si="252"/>
        <v>0</v>
      </c>
      <c r="AE197" s="78" t="b">
        <f t="shared" si="252"/>
        <v>0</v>
      </c>
      <c r="AF197" s="78" t="b">
        <f t="shared" si="252"/>
        <v>0</v>
      </c>
      <c r="AG197" s="78" t="b">
        <f t="shared" si="252"/>
        <v>0</v>
      </c>
      <c r="AH197" s="78" t="b">
        <f t="shared" si="252"/>
        <v>0</v>
      </c>
      <c r="AI197" s="78" t="b">
        <f t="shared" si="252"/>
        <v>0</v>
      </c>
      <c r="AJ197" s="78" t="b">
        <f t="shared" si="252"/>
        <v>0</v>
      </c>
      <c r="AK197" s="78" t="b">
        <f t="shared" si="252"/>
        <v>0</v>
      </c>
      <c r="AL197" s="78" t="b">
        <f t="shared" si="252"/>
        <v>0</v>
      </c>
      <c r="AM197" s="78" t="b">
        <f t="shared" si="252"/>
        <v>0</v>
      </c>
      <c r="AN197" s="78" t="b">
        <f t="shared" si="252"/>
        <v>0</v>
      </c>
      <c r="AO197" s="78" t="b">
        <f t="shared" si="252"/>
        <v>0</v>
      </c>
      <c r="AP197" s="78"/>
    </row>
    <row r="198" spans="4:42" x14ac:dyDescent="0.35">
      <c r="D198" s="96"/>
      <c r="E198" s="96"/>
      <c r="G198" s="77">
        <f t="shared" si="243"/>
        <v>0</v>
      </c>
      <c r="H198" s="78">
        <f t="shared" si="244"/>
        <v>0</v>
      </c>
      <c r="I198" s="77">
        <f t="shared" si="245"/>
        <v>0</v>
      </c>
      <c r="J198" s="78">
        <f t="shared" si="246"/>
        <v>0</v>
      </c>
      <c r="K198" s="78" t="str">
        <f t="shared" si="247"/>
        <v>1900-01-00 00:0:00</v>
      </c>
      <c r="L198" s="78" t="str">
        <f t="shared" si="248"/>
        <v>1900-01-00 00:0:00</v>
      </c>
      <c r="M198" s="79">
        <f t="shared" si="249"/>
        <v>0</v>
      </c>
      <c r="N198">
        <f t="shared" si="250"/>
        <v>1</v>
      </c>
      <c r="O198" t="str">
        <f>IFERROR(_xlfn.XLOOKUP(A198,HC!A:A,HC!C:C),"")</f>
        <v>Workforce</v>
      </c>
      <c r="R198" s="78" t="b">
        <f t="shared" ref="R198:AO198" si="253">IFERROR(IF($B198=$D$1,IF(AND($K198&lt;R$1,$L198&lt;R$1),"",IF(AND($K198&gt;S$1,$L198&gt;S$1),"",IF(AND($K198&lt;R$1,$L198&lt;=S$1),$L198-R$1,IF(AND($K198&gt;=R$1,$L198&gt;S$1),S$1-$K198,IF(AND($K198&gt;=R$1,$L198&lt;=S$1),$L198-$K198,IF(AND($K198&lt;R$1,$L198&gt;S$1),S$1-R$1,""))))))),"")</f>
        <v>0</v>
      </c>
      <c r="S198" s="78" t="b">
        <f t="shared" si="253"/>
        <v>0</v>
      </c>
      <c r="T198" s="78" t="b">
        <f t="shared" si="253"/>
        <v>0</v>
      </c>
      <c r="U198" s="78" t="b">
        <f t="shared" si="253"/>
        <v>0</v>
      </c>
      <c r="V198" s="78" t="b">
        <f t="shared" si="253"/>
        <v>0</v>
      </c>
      <c r="W198" s="78" t="b">
        <f t="shared" si="253"/>
        <v>0</v>
      </c>
      <c r="X198" s="78" t="b">
        <f t="shared" si="253"/>
        <v>0</v>
      </c>
      <c r="Y198" s="78" t="b">
        <f t="shared" si="253"/>
        <v>0</v>
      </c>
      <c r="Z198" s="78" t="b">
        <f t="shared" si="253"/>
        <v>0</v>
      </c>
      <c r="AA198" s="78" t="b">
        <f t="shared" si="253"/>
        <v>0</v>
      </c>
      <c r="AB198" s="78" t="b">
        <f t="shared" si="253"/>
        <v>0</v>
      </c>
      <c r="AC198" s="78" t="b">
        <f t="shared" si="253"/>
        <v>0</v>
      </c>
      <c r="AD198" s="78" t="b">
        <f t="shared" si="253"/>
        <v>0</v>
      </c>
      <c r="AE198" s="78" t="b">
        <f t="shared" si="253"/>
        <v>0</v>
      </c>
      <c r="AF198" s="78" t="b">
        <f t="shared" si="253"/>
        <v>0</v>
      </c>
      <c r="AG198" s="78" t="b">
        <f t="shared" si="253"/>
        <v>0</v>
      </c>
      <c r="AH198" s="78" t="b">
        <f t="shared" si="253"/>
        <v>0</v>
      </c>
      <c r="AI198" s="78" t="b">
        <f t="shared" si="253"/>
        <v>0</v>
      </c>
      <c r="AJ198" s="78" t="b">
        <f t="shared" si="253"/>
        <v>0</v>
      </c>
      <c r="AK198" s="78" t="b">
        <f t="shared" si="253"/>
        <v>0</v>
      </c>
      <c r="AL198" s="78" t="b">
        <f t="shared" si="253"/>
        <v>0</v>
      </c>
      <c r="AM198" s="78" t="b">
        <f t="shared" si="253"/>
        <v>0</v>
      </c>
      <c r="AN198" s="78" t="b">
        <f t="shared" si="253"/>
        <v>0</v>
      </c>
      <c r="AO198" s="78" t="b">
        <f t="shared" si="253"/>
        <v>0</v>
      </c>
      <c r="AP198" s="78"/>
    </row>
    <row r="199" spans="4:42" x14ac:dyDescent="0.35">
      <c r="D199" s="96"/>
      <c r="E199" s="96"/>
      <c r="G199" s="77">
        <f t="shared" si="243"/>
        <v>0</v>
      </c>
      <c r="H199" s="78">
        <f t="shared" si="244"/>
        <v>0</v>
      </c>
      <c r="I199" s="77">
        <f t="shared" si="245"/>
        <v>0</v>
      </c>
      <c r="J199" s="78">
        <f t="shared" si="246"/>
        <v>0</v>
      </c>
      <c r="K199" s="78" t="str">
        <f t="shared" si="247"/>
        <v>1900-01-00 00:0:00</v>
      </c>
      <c r="L199" s="78" t="str">
        <f t="shared" si="248"/>
        <v>1900-01-00 00:0:00</v>
      </c>
      <c r="M199" s="79">
        <f t="shared" si="249"/>
        <v>0</v>
      </c>
      <c r="N199">
        <f t="shared" si="250"/>
        <v>1</v>
      </c>
      <c r="O199" t="str">
        <f>IFERROR(_xlfn.XLOOKUP(A199,HC!A:A,HC!C:C),"")</f>
        <v>Workforce</v>
      </c>
      <c r="R199" s="78" t="b">
        <f t="shared" ref="R199:AO199" si="254">IFERROR(IF($B199=$D$1,IF(AND($K199&lt;R$1,$L199&lt;R$1),"",IF(AND($K199&gt;S$1,$L199&gt;S$1),"",IF(AND($K199&lt;R$1,$L199&lt;=S$1),$L199-R$1,IF(AND($K199&gt;=R$1,$L199&gt;S$1),S$1-$K199,IF(AND($K199&gt;=R$1,$L199&lt;=S$1),$L199-$K199,IF(AND($K199&lt;R$1,$L199&gt;S$1),S$1-R$1,""))))))),"")</f>
        <v>0</v>
      </c>
      <c r="S199" s="78" t="b">
        <f t="shared" si="254"/>
        <v>0</v>
      </c>
      <c r="T199" s="78" t="b">
        <f t="shared" si="254"/>
        <v>0</v>
      </c>
      <c r="U199" s="78" t="b">
        <f t="shared" si="254"/>
        <v>0</v>
      </c>
      <c r="V199" s="78" t="b">
        <f t="shared" si="254"/>
        <v>0</v>
      </c>
      <c r="W199" s="78" t="b">
        <f t="shared" si="254"/>
        <v>0</v>
      </c>
      <c r="X199" s="78" t="b">
        <f t="shared" si="254"/>
        <v>0</v>
      </c>
      <c r="Y199" s="78" t="b">
        <f t="shared" si="254"/>
        <v>0</v>
      </c>
      <c r="Z199" s="78" t="b">
        <f t="shared" si="254"/>
        <v>0</v>
      </c>
      <c r="AA199" s="78" t="b">
        <f t="shared" si="254"/>
        <v>0</v>
      </c>
      <c r="AB199" s="78" t="b">
        <f t="shared" si="254"/>
        <v>0</v>
      </c>
      <c r="AC199" s="78" t="b">
        <f t="shared" si="254"/>
        <v>0</v>
      </c>
      <c r="AD199" s="78" t="b">
        <f t="shared" si="254"/>
        <v>0</v>
      </c>
      <c r="AE199" s="78" t="b">
        <f t="shared" si="254"/>
        <v>0</v>
      </c>
      <c r="AF199" s="78" t="b">
        <f t="shared" si="254"/>
        <v>0</v>
      </c>
      <c r="AG199" s="78" t="b">
        <f t="shared" si="254"/>
        <v>0</v>
      </c>
      <c r="AH199" s="78" t="b">
        <f t="shared" si="254"/>
        <v>0</v>
      </c>
      <c r="AI199" s="78" t="b">
        <f t="shared" si="254"/>
        <v>0</v>
      </c>
      <c r="AJ199" s="78" t="b">
        <f t="shared" si="254"/>
        <v>0</v>
      </c>
      <c r="AK199" s="78" t="b">
        <f t="shared" si="254"/>
        <v>0</v>
      </c>
      <c r="AL199" s="78" t="b">
        <f t="shared" si="254"/>
        <v>0</v>
      </c>
      <c r="AM199" s="78" t="b">
        <f t="shared" si="254"/>
        <v>0</v>
      </c>
      <c r="AN199" s="78" t="b">
        <f t="shared" si="254"/>
        <v>0</v>
      </c>
      <c r="AO199" s="78" t="b">
        <f t="shared" si="254"/>
        <v>0</v>
      </c>
      <c r="AP199" s="78"/>
    </row>
    <row r="200" spans="4:42" x14ac:dyDescent="0.35">
      <c r="D200" s="96"/>
      <c r="E200" s="96"/>
      <c r="G200" s="77">
        <f t="shared" si="243"/>
        <v>0</v>
      </c>
      <c r="H200" s="78">
        <f t="shared" si="244"/>
        <v>0</v>
      </c>
      <c r="I200" s="77">
        <f t="shared" si="245"/>
        <v>0</v>
      </c>
      <c r="J200" s="78">
        <f t="shared" si="246"/>
        <v>0</v>
      </c>
      <c r="K200" s="78" t="str">
        <f t="shared" si="247"/>
        <v>1900-01-00 00:0:00</v>
      </c>
      <c r="L200" s="78" t="str">
        <f t="shared" si="248"/>
        <v>1900-01-00 00:0:00</v>
      </c>
      <c r="M200" s="79">
        <f t="shared" si="249"/>
        <v>0</v>
      </c>
      <c r="N200">
        <f t="shared" si="250"/>
        <v>1</v>
      </c>
      <c r="O200" t="str">
        <f>IFERROR(_xlfn.XLOOKUP(A200,HC!A:A,HC!C:C),"")</f>
        <v>Workforce</v>
      </c>
      <c r="R200" s="78" t="b">
        <f t="shared" ref="R200:AO200" si="255">IFERROR(IF($B200=$D$1,IF(AND($K200&lt;R$1,$L200&lt;R$1),"",IF(AND($K200&gt;S$1,$L200&gt;S$1),"",IF(AND($K200&lt;R$1,$L200&lt;=S$1),$L200-R$1,IF(AND($K200&gt;=R$1,$L200&gt;S$1),S$1-$K200,IF(AND($K200&gt;=R$1,$L200&lt;=S$1),$L200-$K200,IF(AND($K200&lt;R$1,$L200&gt;S$1),S$1-R$1,""))))))),"")</f>
        <v>0</v>
      </c>
      <c r="S200" s="78" t="b">
        <f t="shared" si="255"/>
        <v>0</v>
      </c>
      <c r="T200" s="78" t="b">
        <f t="shared" si="255"/>
        <v>0</v>
      </c>
      <c r="U200" s="78" t="b">
        <f t="shared" si="255"/>
        <v>0</v>
      </c>
      <c r="V200" s="78" t="b">
        <f t="shared" si="255"/>
        <v>0</v>
      </c>
      <c r="W200" s="78" t="b">
        <f t="shared" si="255"/>
        <v>0</v>
      </c>
      <c r="X200" s="78" t="b">
        <f t="shared" si="255"/>
        <v>0</v>
      </c>
      <c r="Y200" s="78" t="b">
        <f t="shared" si="255"/>
        <v>0</v>
      </c>
      <c r="Z200" s="78" t="b">
        <f t="shared" si="255"/>
        <v>0</v>
      </c>
      <c r="AA200" s="78" t="b">
        <f t="shared" si="255"/>
        <v>0</v>
      </c>
      <c r="AB200" s="78" t="b">
        <f t="shared" si="255"/>
        <v>0</v>
      </c>
      <c r="AC200" s="78" t="b">
        <f t="shared" si="255"/>
        <v>0</v>
      </c>
      <c r="AD200" s="78" t="b">
        <f t="shared" si="255"/>
        <v>0</v>
      </c>
      <c r="AE200" s="78" t="b">
        <f t="shared" si="255"/>
        <v>0</v>
      </c>
      <c r="AF200" s="78" t="b">
        <f t="shared" si="255"/>
        <v>0</v>
      </c>
      <c r="AG200" s="78" t="b">
        <f t="shared" si="255"/>
        <v>0</v>
      </c>
      <c r="AH200" s="78" t="b">
        <f t="shared" si="255"/>
        <v>0</v>
      </c>
      <c r="AI200" s="78" t="b">
        <f t="shared" si="255"/>
        <v>0</v>
      </c>
      <c r="AJ200" s="78" t="b">
        <f t="shared" si="255"/>
        <v>0</v>
      </c>
      <c r="AK200" s="78" t="b">
        <f t="shared" si="255"/>
        <v>0</v>
      </c>
      <c r="AL200" s="78" t="b">
        <f t="shared" si="255"/>
        <v>0</v>
      </c>
      <c r="AM200" s="78" t="b">
        <f t="shared" si="255"/>
        <v>0</v>
      </c>
      <c r="AN200" s="78" t="b">
        <f t="shared" si="255"/>
        <v>0</v>
      </c>
      <c r="AO200" s="78" t="b">
        <f t="shared" si="255"/>
        <v>0</v>
      </c>
      <c r="AP200" s="78"/>
    </row>
    <row r="201" spans="4:42" x14ac:dyDescent="0.35">
      <c r="D201" s="96"/>
      <c r="E201" s="96"/>
      <c r="G201" s="77">
        <f t="shared" si="243"/>
        <v>0</v>
      </c>
      <c r="H201" s="78">
        <f t="shared" si="244"/>
        <v>0</v>
      </c>
      <c r="I201" s="77">
        <f t="shared" si="245"/>
        <v>0</v>
      </c>
      <c r="J201" s="78">
        <f t="shared" si="246"/>
        <v>0</v>
      </c>
      <c r="K201" s="78" t="str">
        <f t="shared" si="247"/>
        <v>1900-01-00 00:0:00</v>
      </c>
      <c r="L201" s="78" t="str">
        <f t="shared" si="248"/>
        <v>1900-01-00 00:0:00</v>
      </c>
      <c r="M201" s="79">
        <f t="shared" si="249"/>
        <v>0</v>
      </c>
      <c r="N201">
        <f t="shared" si="250"/>
        <v>1</v>
      </c>
      <c r="O201" t="str">
        <f>IFERROR(_xlfn.XLOOKUP(A201,HC!A:A,HC!C:C),"")</f>
        <v>Workforce</v>
      </c>
      <c r="R201" s="78" t="b">
        <f t="shared" ref="R201:AO201" si="256">IFERROR(IF($B201=$D$1,IF(AND($K201&lt;R$1,$L201&lt;R$1),"",IF(AND($K201&gt;S$1,$L201&gt;S$1),"",IF(AND($K201&lt;R$1,$L201&lt;=S$1),$L201-R$1,IF(AND($K201&gt;=R$1,$L201&gt;S$1),S$1-$K201,IF(AND($K201&gt;=R$1,$L201&lt;=S$1),$L201-$K201,IF(AND($K201&lt;R$1,$L201&gt;S$1),S$1-R$1,""))))))),"")</f>
        <v>0</v>
      </c>
      <c r="S201" s="78" t="b">
        <f t="shared" si="256"/>
        <v>0</v>
      </c>
      <c r="T201" s="78" t="b">
        <f t="shared" si="256"/>
        <v>0</v>
      </c>
      <c r="U201" s="78" t="b">
        <f t="shared" si="256"/>
        <v>0</v>
      </c>
      <c r="V201" s="78" t="b">
        <f t="shared" si="256"/>
        <v>0</v>
      </c>
      <c r="W201" s="78" t="b">
        <f t="shared" si="256"/>
        <v>0</v>
      </c>
      <c r="X201" s="78" t="b">
        <f t="shared" si="256"/>
        <v>0</v>
      </c>
      <c r="Y201" s="78" t="b">
        <f t="shared" si="256"/>
        <v>0</v>
      </c>
      <c r="Z201" s="78" t="b">
        <f t="shared" si="256"/>
        <v>0</v>
      </c>
      <c r="AA201" s="78" t="b">
        <f t="shared" si="256"/>
        <v>0</v>
      </c>
      <c r="AB201" s="78" t="b">
        <f t="shared" si="256"/>
        <v>0</v>
      </c>
      <c r="AC201" s="78" t="b">
        <f t="shared" si="256"/>
        <v>0</v>
      </c>
      <c r="AD201" s="78" t="b">
        <f t="shared" si="256"/>
        <v>0</v>
      </c>
      <c r="AE201" s="78" t="b">
        <f t="shared" si="256"/>
        <v>0</v>
      </c>
      <c r="AF201" s="78" t="b">
        <f t="shared" si="256"/>
        <v>0</v>
      </c>
      <c r="AG201" s="78" t="b">
        <f t="shared" si="256"/>
        <v>0</v>
      </c>
      <c r="AH201" s="78" t="b">
        <f t="shared" si="256"/>
        <v>0</v>
      </c>
      <c r="AI201" s="78" t="b">
        <f t="shared" si="256"/>
        <v>0</v>
      </c>
      <c r="AJ201" s="78" t="b">
        <f t="shared" si="256"/>
        <v>0</v>
      </c>
      <c r="AK201" s="78" t="b">
        <f t="shared" si="256"/>
        <v>0</v>
      </c>
      <c r="AL201" s="78" t="b">
        <f t="shared" si="256"/>
        <v>0</v>
      </c>
      <c r="AM201" s="78" t="b">
        <f t="shared" si="256"/>
        <v>0</v>
      </c>
      <c r="AN201" s="78" t="b">
        <f t="shared" si="256"/>
        <v>0</v>
      </c>
      <c r="AO201" s="78" t="b">
        <f t="shared" si="256"/>
        <v>0</v>
      </c>
      <c r="AP201" s="78"/>
    </row>
    <row r="202" spans="4:42" x14ac:dyDescent="0.35">
      <c r="D202" s="96"/>
      <c r="E202" s="96"/>
      <c r="G202" s="77">
        <f t="shared" si="243"/>
        <v>0</v>
      </c>
      <c r="H202" s="78">
        <f t="shared" si="244"/>
        <v>0</v>
      </c>
      <c r="I202" s="77">
        <f t="shared" si="245"/>
        <v>0</v>
      </c>
      <c r="J202" s="78">
        <f t="shared" si="246"/>
        <v>0</v>
      </c>
      <c r="K202" s="78" t="str">
        <f t="shared" si="247"/>
        <v>1900-01-00 00:0:00</v>
      </c>
      <c r="L202" s="78" t="str">
        <f t="shared" si="248"/>
        <v>1900-01-00 00:0:00</v>
      </c>
      <c r="M202" s="79">
        <f t="shared" si="249"/>
        <v>0</v>
      </c>
      <c r="N202">
        <f t="shared" si="250"/>
        <v>1</v>
      </c>
      <c r="O202" t="str">
        <f>IFERROR(_xlfn.XLOOKUP(A202,HC!A:A,HC!C:C),"")</f>
        <v>Workforce</v>
      </c>
      <c r="R202" s="78" t="b">
        <f t="shared" ref="R202:AO202" si="257">IFERROR(IF($B202=$D$1,IF(AND($K202&lt;R$1,$L202&lt;R$1),"",IF(AND($K202&gt;S$1,$L202&gt;S$1),"",IF(AND($K202&lt;R$1,$L202&lt;=S$1),$L202-R$1,IF(AND($K202&gt;=R$1,$L202&gt;S$1),S$1-$K202,IF(AND($K202&gt;=R$1,$L202&lt;=S$1),$L202-$K202,IF(AND($K202&lt;R$1,$L202&gt;S$1),S$1-R$1,""))))))),"")</f>
        <v>0</v>
      </c>
      <c r="S202" s="78" t="b">
        <f t="shared" si="257"/>
        <v>0</v>
      </c>
      <c r="T202" s="78" t="b">
        <f t="shared" si="257"/>
        <v>0</v>
      </c>
      <c r="U202" s="78" t="b">
        <f t="shared" si="257"/>
        <v>0</v>
      </c>
      <c r="V202" s="78" t="b">
        <f t="shared" si="257"/>
        <v>0</v>
      </c>
      <c r="W202" s="78" t="b">
        <f t="shared" si="257"/>
        <v>0</v>
      </c>
      <c r="X202" s="78" t="b">
        <f t="shared" si="257"/>
        <v>0</v>
      </c>
      <c r="Y202" s="78" t="b">
        <f t="shared" si="257"/>
        <v>0</v>
      </c>
      <c r="Z202" s="78" t="b">
        <f t="shared" si="257"/>
        <v>0</v>
      </c>
      <c r="AA202" s="78" t="b">
        <f t="shared" si="257"/>
        <v>0</v>
      </c>
      <c r="AB202" s="78" t="b">
        <f t="shared" si="257"/>
        <v>0</v>
      </c>
      <c r="AC202" s="78" t="b">
        <f t="shared" si="257"/>
        <v>0</v>
      </c>
      <c r="AD202" s="78" t="b">
        <f t="shared" si="257"/>
        <v>0</v>
      </c>
      <c r="AE202" s="78" t="b">
        <f t="shared" si="257"/>
        <v>0</v>
      </c>
      <c r="AF202" s="78" t="b">
        <f t="shared" si="257"/>
        <v>0</v>
      </c>
      <c r="AG202" s="78" t="b">
        <f t="shared" si="257"/>
        <v>0</v>
      </c>
      <c r="AH202" s="78" t="b">
        <f t="shared" si="257"/>
        <v>0</v>
      </c>
      <c r="AI202" s="78" t="b">
        <f t="shared" si="257"/>
        <v>0</v>
      </c>
      <c r="AJ202" s="78" t="b">
        <f t="shared" si="257"/>
        <v>0</v>
      </c>
      <c r="AK202" s="78" t="b">
        <f t="shared" si="257"/>
        <v>0</v>
      </c>
      <c r="AL202" s="78" t="b">
        <f t="shared" si="257"/>
        <v>0</v>
      </c>
      <c r="AM202" s="78" t="b">
        <f t="shared" si="257"/>
        <v>0</v>
      </c>
      <c r="AN202" s="78" t="b">
        <f t="shared" si="257"/>
        <v>0</v>
      </c>
      <c r="AO202" s="78" t="b">
        <f t="shared" si="257"/>
        <v>0</v>
      </c>
      <c r="AP202" s="78"/>
    </row>
    <row r="203" spans="4:42" x14ac:dyDescent="0.35">
      <c r="D203" s="96"/>
      <c r="E203" s="96"/>
      <c r="G203" s="77">
        <f t="shared" si="243"/>
        <v>0</v>
      </c>
      <c r="H203" s="78">
        <f t="shared" si="244"/>
        <v>0</v>
      </c>
      <c r="I203" s="77">
        <f t="shared" si="245"/>
        <v>0</v>
      </c>
      <c r="J203" s="78">
        <f t="shared" si="246"/>
        <v>0</v>
      </c>
      <c r="K203" s="78" t="str">
        <f t="shared" si="247"/>
        <v>1900-01-00 00:0:00</v>
      </c>
      <c r="L203" s="78" t="str">
        <f t="shared" si="248"/>
        <v>1900-01-00 00:0:00</v>
      </c>
      <c r="M203" s="79">
        <f t="shared" si="249"/>
        <v>0</v>
      </c>
      <c r="N203">
        <f t="shared" si="250"/>
        <v>1</v>
      </c>
      <c r="O203" t="str">
        <f>IFERROR(_xlfn.XLOOKUP(A203,HC!A:A,HC!C:C),"")</f>
        <v>Workforce</v>
      </c>
      <c r="R203" s="78" t="b">
        <f t="shared" ref="R203:AO203" si="258">IFERROR(IF($B203=$D$1,IF(AND($K203&lt;R$1,$L203&lt;R$1),"",IF(AND($K203&gt;S$1,$L203&gt;S$1),"",IF(AND($K203&lt;R$1,$L203&lt;=S$1),$L203-R$1,IF(AND($K203&gt;=R$1,$L203&gt;S$1),S$1-$K203,IF(AND($K203&gt;=R$1,$L203&lt;=S$1),$L203-$K203,IF(AND($K203&lt;R$1,$L203&gt;S$1),S$1-R$1,""))))))),"")</f>
        <v>0</v>
      </c>
      <c r="S203" s="78" t="b">
        <f t="shared" si="258"/>
        <v>0</v>
      </c>
      <c r="T203" s="78" t="b">
        <f t="shared" si="258"/>
        <v>0</v>
      </c>
      <c r="U203" s="78" t="b">
        <f t="shared" si="258"/>
        <v>0</v>
      </c>
      <c r="V203" s="78" t="b">
        <f t="shared" si="258"/>
        <v>0</v>
      </c>
      <c r="W203" s="78" t="b">
        <f t="shared" si="258"/>
        <v>0</v>
      </c>
      <c r="X203" s="78" t="b">
        <f t="shared" si="258"/>
        <v>0</v>
      </c>
      <c r="Y203" s="78" t="b">
        <f t="shared" si="258"/>
        <v>0</v>
      </c>
      <c r="Z203" s="78" t="b">
        <f t="shared" si="258"/>
        <v>0</v>
      </c>
      <c r="AA203" s="78" t="b">
        <f t="shared" si="258"/>
        <v>0</v>
      </c>
      <c r="AB203" s="78" t="b">
        <f t="shared" si="258"/>
        <v>0</v>
      </c>
      <c r="AC203" s="78" t="b">
        <f t="shared" si="258"/>
        <v>0</v>
      </c>
      <c r="AD203" s="78" t="b">
        <f t="shared" si="258"/>
        <v>0</v>
      </c>
      <c r="AE203" s="78" t="b">
        <f t="shared" si="258"/>
        <v>0</v>
      </c>
      <c r="AF203" s="78" t="b">
        <f t="shared" si="258"/>
        <v>0</v>
      </c>
      <c r="AG203" s="78" t="b">
        <f t="shared" si="258"/>
        <v>0</v>
      </c>
      <c r="AH203" s="78" t="b">
        <f t="shared" si="258"/>
        <v>0</v>
      </c>
      <c r="AI203" s="78" t="b">
        <f t="shared" si="258"/>
        <v>0</v>
      </c>
      <c r="AJ203" s="78" t="b">
        <f t="shared" si="258"/>
        <v>0</v>
      </c>
      <c r="AK203" s="78" t="b">
        <f t="shared" si="258"/>
        <v>0</v>
      </c>
      <c r="AL203" s="78" t="b">
        <f t="shared" si="258"/>
        <v>0</v>
      </c>
      <c r="AM203" s="78" t="b">
        <f t="shared" si="258"/>
        <v>0</v>
      </c>
      <c r="AN203" s="78" t="b">
        <f t="shared" si="258"/>
        <v>0</v>
      </c>
      <c r="AO203" s="78" t="b">
        <f t="shared" si="258"/>
        <v>0</v>
      </c>
      <c r="AP203" s="78"/>
    </row>
    <row r="204" spans="4:42" x14ac:dyDescent="0.35">
      <c r="D204" s="96"/>
      <c r="E204" s="96"/>
      <c r="G204" s="77">
        <f t="shared" si="243"/>
        <v>0</v>
      </c>
      <c r="H204" s="78">
        <f t="shared" si="244"/>
        <v>0</v>
      </c>
      <c r="I204" s="77">
        <f t="shared" si="245"/>
        <v>0</v>
      </c>
      <c r="J204" s="78">
        <f t="shared" si="246"/>
        <v>0</v>
      </c>
      <c r="K204" s="78" t="str">
        <f t="shared" si="247"/>
        <v>1900-01-00 00:0:00</v>
      </c>
      <c r="L204" s="78" t="str">
        <f t="shared" si="248"/>
        <v>1900-01-00 00:0:00</v>
      </c>
      <c r="M204" s="79">
        <f t="shared" si="249"/>
        <v>0</v>
      </c>
      <c r="N204">
        <f t="shared" si="250"/>
        <v>1</v>
      </c>
      <c r="O204" t="str">
        <f>IFERROR(_xlfn.XLOOKUP(A204,HC!A:A,HC!C:C),"")</f>
        <v>Workforce</v>
      </c>
      <c r="R204" s="78" t="b">
        <f t="shared" ref="R204:AO204" si="259">IFERROR(IF($B204=$D$1,IF(AND($K204&lt;R$1,$L204&lt;R$1),"",IF(AND($K204&gt;S$1,$L204&gt;S$1),"",IF(AND($K204&lt;R$1,$L204&lt;=S$1),$L204-R$1,IF(AND($K204&gt;=R$1,$L204&gt;S$1),S$1-$K204,IF(AND($K204&gt;=R$1,$L204&lt;=S$1),$L204-$K204,IF(AND($K204&lt;R$1,$L204&gt;S$1),S$1-R$1,""))))))),"")</f>
        <v>0</v>
      </c>
      <c r="S204" s="78" t="b">
        <f t="shared" si="259"/>
        <v>0</v>
      </c>
      <c r="T204" s="78" t="b">
        <f t="shared" si="259"/>
        <v>0</v>
      </c>
      <c r="U204" s="78" t="b">
        <f t="shared" si="259"/>
        <v>0</v>
      </c>
      <c r="V204" s="78" t="b">
        <f t="shared" si="259"/>
        <v>0</v>
      </c>
      <c r="W204" s="78" t="b">
        <f t="shared" si="259"/>
        <v>0</v>
      </c>
      <c r="X204" s="78" t="b">
        <f t="shared" si="259"/>
        <v>0</v>
      </c>
      <c r="Y204" s="78" t="b">
        <f t="shared" si="259"/>
        <v>0</v>
      </c>
      <c r="Z204" s="78" t="b">
        <f t="shared" si="259"/>
        <v>0</v>
      </c>
      <c r="AA204" s="78" t="b">
        <f t="shared" si="259"/>
        <v>0</v>
      </c>
      <c r="AB204" s="78" t="b">
        <f t="shared" si="259"/>
        <v>0</v>
      </c>
      <c r="AC204" s="78" t="b">
        <f t="shared" si="259"/>
        <v>0</v>
      </c>
      <c r="AD204" s="78" t="b">
        <f t="shared" si="259"/>
        <v>0</v>
      </c>
      <c r="AE204" s="78" t="b">
        <f t="shared" si="259"/>
        <v>0</v>
      </c>
      <c r="AF204" s="78" t="b">
        <f t="shared" si="259"/>
        <v>0</v>
      </c>
      <c r="AG204" s="78" t="b">
        <f t="shared" si="259"/>
        <v>0</v>
      </c>
      <c r="AH204" s="78" t="b">
        <f t="shared" si="259"/>
        <v>0</v>
      </c>
      <c r="AI204" s="78" t="b">
        <f t="shared" si="259"/>
        <v>0</v>
      </c>
      <c r="AJ204" s="78" t="b">
        <f t="shared" si="259"/>
        <v>0</v>
      </c>
      <c r="AK204" s="78" t="b">
        <f t="shared" si="259"/>
        <v>0</v>
      </c>
      <c r="AL204" s="78" t="b">
        <f t="shared" si="259"/>
        <v>0</v>
      </c>
      <c r="AM204" s="78" t="b">
        <f t="shared" si="259"/>
        <v>0</v>
      </c>
      <c r="AN204" s="78" t="b">
        <f t="shared" si="259"/>
        <v>0</v>
      </c>
      <c r="AO204" s="78" t="b">
        <f t="shared" si="259"/>
        <v>0</v>
      </c>
      <c r="AP204" s="78"/>
    </row>
    <row r="205" spans="4:42" x14ac:dyDescent="0.35">
      <c r="D205" s="96"/>
      <c r="E205" s="96"/>
      <c r="G205" s="77">
        <f t="shared" si="243"/>
        <v>0</v>
      </c>
      <c r="H205" s="78">
        <f t="shared" si="244"/>
        <v>0</v>
      </c>
      <c r="I205" s="77">
        <f t="shared" si="245"/>
        <v>0</v>
      </c>
      <c r="J205" s="78">
        <f t="shared" si="246"/>
        <v>0</v>
      </c>
      <c r="K205" s="78" t="str">
        <f t="shared" si="247"/>
        <v>1900-01-00 00:0:00</v>
      </c>
      <c r="L205" s="78" t="str">
        <f t="shared" si="248"/>
        <v>1900-01-00 00:0:00</v>
      </c>
      <c r="M205" s="79">
        <f t="shared" si="249"/>
        <v>0</v>
      </c>
      <c r="N205">
        <f t="shared" si="250"/>
        <v>1</v>
      </c>
      <c r="O205" t="str">
        <f>IFERROR(_xlfn.XLOOKUP(A205,HC!A:A,HC!C:C),"")</f>
        <v>Workforce</v>
      </c>
      <c r="R205" s="78" t="b">
        <f t="shared" ref="R205:AO205" si="260">IFERROR(IF($B205=$D$1,IF(AND($K205&lt;R$1,$L205&lt;R$1),"",IF(AND($K205&gt;S$1,$L205&gt;S$1),"",IF(AND($K205&lt;R$1,$L205&lt;=S$1),$L205-R$1,IF(AND($K205&gt;=R$1,$L205&gt;S$1),S$1-$K205,IF(AND($K205&gt;=R$1,$L205&lt;=S$1),$L205-$K205,IF(AND($K205&lt;R$1,$L205&gt;S$1),S$1-R$1,""))))))),"")</f>
        <v>0</v>
      </c>
      <c r="S205" s="78" t="b">
        <f t="shared" si="260"/>
        <v>0</v>
      </c>
      <c r="T205" s="78" t="b">
        <f t="shared" si="260"/>
        <v>0</v>
      </c>
      <c r="U205" s="78" t="b">
        <f t="shared" si="260"/>
        <v>0</v>
      </c>
      <c r="V205" s="78" t="b">
        <f t="shared" si="260"/>
        <v>0</v>
      </c>
      <c r="W205" s="78" t="b">
        <f t="shared" si="260"/>
        <v>0</v>
      </c>
      <c r="X205" s="78" t="b">
        <f t="shared" si="260"/>
        <v>0</v>
      </c>
      <c r="Y205" s="78" t="b">
        <f t="shared" si="260"/>
        <v>0</v>
      </c>
      <c r="Z205" s="78" t="b">
        <f t="shared" si="260"/>
        <v>0</v>
      </c>
      <c r="AA205" s="78" t="b">
        <f t="shared" si="260"/>
        <v>0</v>
      </c>
      <c r="AB205" s="78" t="b">
        <f t="shared" si="260"/>
        <v>0</v>
      </c>
      <c r="AC205" s="78" t="b">
        <f t="shared" si="260"/>
        <v>0</v>
      </c>
      <c r="AD205" s="78" t="b">
        <f t="shared" si="260"/>
        <v>0</v>
      </c>
      <c r="AE205" s="78" t="b">
        <f t="shared" si="260"/>
        <v>0</v>
      </c>
      <c r="AF205" s="78" t="b">
        <f t="shared" si="260"/>
        <v>0</v>
      </c>
      <c r="AG205" s="78" t="b">
        <f t="shared" si="260"/>
        <v>0</v>
      </c>
      <c r="AH205" s="78" t="b">
        <f t="shared" si="260"/>
        <v>0</v>
      </c>
      <c r="AI205" s="78" t="b">
        <f t="shared" si="260"/>
        <v>0</v>
      </c>
      <c r="AJ205" s="78" t="b">
        <f t="shared" si="260"/>
        <v>0</v>
      </c>
      <c r="AK205" s="78" t="b">
        <f t="shared" si="260"/>
        <v>0</v>
      </c>
      <c r="AL205" s="78" t="b">
        <f t="shared" si="260"/>
        <v>0</v>
      </c>
      <c r="AM205" s="78" t="b">
        <f t="shared" si="260"/>
        <v>0</v>
      </c>
      <c r="AN205" s="78" t="b">
        <f t="shared" si="260"/>
        <v>0</v>
      </c>
      <c r="AO205" s="78" t="b">
        <f t="shared" si="260"/>
        <v>0</v>
      </c>
      <c r="AP205" s="78"/>
    </row>
    <row r="206" spans="4:42" x14ac:dyDescent="0.35">
      <c r="D206" s="96"/>
      <c r="E206" s="96"/>
      <c r="G206" s="77">
        <f t="shared" si="243"/>
        <v>0</v>
      </c>
      <c r="H206" s="78">
        <f t="shared" si="244"/>
        <v>0</v>
      </c>
      <c r="I206" s="77">
        <f t="shared" si="245"/>
        <v>0</v>
      </c>
      <c r="J206" s="78">
        <f t="shared" si="246"/>
        <v>0</v>
      </c>
      <c r="K206" s="78" t="str">
        <f t="shared" si="247"/>
        <v>1900-01-00 00:0:00</v>
      </c>
      <c r="L206" s="78" t="str">
        <f t="shared" si="248"/>
        <v>1900-01-00 00:0:00</v>
      </c>
      <c r="M206" s="79">
        <f t="shared" si="249"/>
        <v>0</v>
      </c>
      <c r="N206">
        <f t="shared" si="250"/>
        <v>1</v>
      </c>
      <c r="O206" t="str">
        <f>IFERROR(_xlfn.XLOOKUP(A206,HC!A:A,HC!C:C),"")</f>
        <v>Workforce</v>
      </c>
      <c r="R206" s="78" t="b">
        <f t="shared" ref="R206:AO206" si="261">IFERROR(IF($B206=$D$1,IF(AND($K206&lt;R$1,$L206&lt;R$1),"",IF(AND($K206&gt;S$1,$L206&gt;S$1),"",IF(AND($K206&lt;R$1,$L206&lt;=S$1),$L206-R$1,IF(AND($K206&gt;=R$1,$L206&gt;S$1),S$1-$K206,IF(AND($K206&gt;=R$1,$L206&lt;=S$1),$L206-$K206,IF(AND($K206&lt;R$1,$L206&gt;S$1),S$1-R$1,""))))))),"")</f>
        <v>0</v>
      </c>
      <c r="S206" s="78" t="b">
        <f t="shared" si="261"/>
        <v>0</v>
      </c>
      <c r="T206" s="78" t="b">
        <f t="shared" si="261"/>
        <v>0</v>
      </c>
      <c r="U206" s="78" t="b">
        <f t="shared" si="261"/>
        <v>0</v>
      </c>
      <c r="V206" s="78" t="b">
        <f t="shared" si="261"/>
        <v>0</v>
      </c>
      <c r="W206" s="78" t="b">
        <f t="shared" si="261"/>
        <v>0</v>
      </c>
      <c r="X206" s="78" t="b">
        <f t="shared" si="261"/>
        <v>0</v>
      </c>
      <c r="Y206" s="78" t="b">
        <f t="shared" si="261"/>
        <v>0</v>
      </c>
      <c r="Z206" s="78" t="b">
        <f t="shared" si="261"/>
        <v>0</v>
      </c>
      <c r="AA206" s="78" t="b">
        <f t="shared" si="261"/>
        <v>0</v>
      </c>
      <c r="AB206" s="78" t="b">
        <f t="shared" si="261"/>
        <v>0</v>
      </c>
      <c r="AC206" s="78" t="b">
        <f t="shared" si="261"/>
        <v>0</v>
      </c>
      <c r="AD206" s="78" t="b">
        <f t="shared" si="261"/>
        <v>0</v>
      </c>
      <c r="AE206" s="78" t="b">
        <f t="shared" si="261"/>
        <v>0</v>
      </c>
      <c r="AF206" s="78" t="b">
        <f t="shared" si="261"/>
        <v>0</v>
      </c>
      <c r="AG206" s="78" t="b">
        <f t="shared" si="261"/>
        <v>0</v>
      </c>
      <c r="AH206" s="78" t="b">
        <f t="shared" si="261"/>
        <v>0</v>
      </c>
      <c r="AI206" s="78" t="b">
        <f t="shared" si="261"/>
        <v>0</v>
      </c>
      <c r="AJ206" s="78" t="b">
        <f t="shared" si="261"/>
        <v>0</v>
      </c>
      <c r="AK206" s="78" t="b">
        <f t="shared" si="261"/>
        <v>0</v>
      </c>
      <c r="AL206" s="78" t="b">
        <f t="shared" si="261"/>
        <v>0</v>
      </c>
      <c r="AM206" s="78" t="b">
        <f t="shared" si="261"/>
        <v>0</v>
      </c>
      <c r="AN206" s="78" t="b">
        <f t="shared" si="261"/>
        <v>0</v>
      </c>
      <c r="AO206" s="78" t="b">
        <f t="shared" si="261"/>
        <v>0</v>
      </c>
      <c r="AP206" s="78"/>
    </row>
    <row r="207" spans="4:42" x14ac:dyDescent="0.35">
      <c r="D207" s="96"/>
      <c r="E207" s="96"/>
      <c r="G207" s="77">
        <f t="shared" si="243"/>
        <v>0</v>
      </c>
      <c r="H207" s="78">
        <f t="shared" si="244"/>
        <v>0</v>
      </c>
      <c r="I207" s="77">
        <f t="shared" si="245"/>
        <v>0</v>
      </c>
      <c r="J207" s="78">
        <f t="shared" si="246"/>
        <v>0</v>
      </c>
      <c r="K207" s="78" t="str">
        <f t="shared" si="247"/>
        <v>1900-01-00 00:0:00</v>
      </c>
      <c r="L207" s="78" t="str">
        <f t="shared" si="248"/>
        <v>1900-01-00 00:0:00</v>
      </c>
      <c r="M207" s="79">
        <f t="shared" si="249"/>
        <v>0</v>
      </c>
      <c r="N207">
        <f t="shared" si="250"/>
        <v>1</v>
      </c>
      <c r="O207" t="str">
        <f>IFERROR(_xlfn.XLOOKUP(A207,HC!A:A,HC!C:C),"")</f>
        <v>Workforce</v>
      </c>
      <c r="R207" s="78" t="b">
        <f t="shared" ref="R207:AO207" si="262">IFERROR(IF($B207=$D$1,IF(AND($K207&lt;R$1,$L207&lt;R$1),"",IF(AND($K207&gt;S$1,$L207&gt;S$1),"",IF(AND($K207&lt;R$1,$L207&lt;=S$1),$L207-R$1,IF(AND($K207&gt;=R$1,$L207&gt;S$1),S$1-$K207,IF(AND($K207&gt;=R$1,$L207&lt;=S$1),$L207-$K207,IF(AND($K207&lt;R$1,$L207&gt;S$1),S$1-R$1,""))))))),"")</f>
        <v>0</v>
      </c>
      <c r="S207" s="78" t="b">
        <f t="shared" si="262"/>
        <v>0</v>
      </c>
      <c r="T207" s="78" t="b">
        <f t="shared" si="262"/>
        <v>0</v>
      </c>
      <c r="U207" s="78" t="b">
        <f t="shared" si="262"/>
        <v>0</v>
      </c>
      <c r="V207" s="78" t="b">
        <f t="shared" si="262"/>
        <v>0</v>
      </c>
      <c r="W207" s="78" t="b">
        <f t="shared" si="262"/>
        <v>0</v>
      </c>
      <c r="X207" s="78" t="b">
        <f t="shared" si="262"/>
        <v>0</v>
      </c>
      <c r="Y207" s="78" t="b">
        <f t="shared" si="262"/>
        <v>0</v>
      </c>
      <c r="Z207" s="78" t="b">
        <f t="shared" si="262"/>
        <v>0</v>
      </c>
      <c r="AA207" s="78" t="b">
        <f t="shared" si="262"/>
        <v>0</v>
      </c>
      <c r="AB207" s="78" t="b">
        <f t="shared" si="262"/>
        <v>0</v>
      </c>
      <c r="AC207" s="78" t="b">
        <f t="shared" si="262"/>
        <v>0</v>
      </c>
      <c r="AD207" s="78" t="b">
        <f t="shared" si="262"/>
        <v>0</v>
      </c>
      <c r="AE207" s="78" t="b">
        <f t="shared" si="262"/>
        <v>0</v>
      </c>
      <c r="AF207" s="78" t="b">
        <f t="shared" si="262"/>
        <v>0</v>
      </c>
      <c r="AG207" s="78" t="b">
        <f t="shared" si="262"/>
        <v>0</v>
      </c>
      <c r="AH207" s="78" t="b">
        <f t="shared" si="262"/>
        <v>0</v>
      </c>
      <c r="AI207" s="78" t="b">
        <f t="shared" si="262"/>
        <v>0</v>
      </c>
      <c r="AJ207" s="78" t="b">
        <f t="shared" si="262"/>
        <v>0</v>
      </c>
      <c r="AK207" s="78" t="b">
        <f t="shared" si="262"/>
        <v>0</v>
      </c>
      <c r="AL207" s="78" t="b">
        <f t="shared" si="262"/>
        <v>0</v>
      </c>
      <c r="AM207" s="78" t="b">
        <f t="shared" si="262"/>
        <v>0</v>
      </c>
      <c r="AN207" s="78" t="b">
        <f t="shared" si="262"/>
        <v>0</v>
      </c>
      <c r="AO207" s="78" t="b">
        <f t="shared" si="262"/>
        <v>0</v>
      </c>
      <c r="AP207" s="78"/>
    </row>
    <row r="208" spans="4:42" x14ac:dyDescent="0.35">
      <c r="D208" s="96"/>
      <c r="E208" s="96"/>
      <c r="G208" s="77">
        <f t="shared" si="243"/>
        <v>0</v>
      </c>
      <c r="H208" s="78">
        <f t="shared" si="244"/>
        <v>0</v>
      </c>
      <c r="I208" s="77">
        <f t="shared" si="245"/>
        <v>0</v>
      </c>
      <c r="J208" s="78">
        <f t="shared" si="246"/>
        <v>0</v>
      </c>
      <c r="K208" s="78" t="str">
        <f t="shared" si="247"/>
        <v>1900-01-00 00:0:00</v>
      </c>
      <c r="L208" s="78" t="str">
        <f t="shared" si="248"/>
        <v>1900-01-00 00:0:00</v>
      </c>
      <c r="M208" s="79">
        <f t="shared" si="249"/>
        <v>0</v>
      </c>
      <c r="N208">
        <f t="shared" si="250"/>
        <v>1</v>
      </c>
      <c r="O208" t="str">
        <f>IFERROR(_xlfn.XLOOKUP(A208,HC!A:A,HC!C:C),"")</f>
        <v>Workforce</v>
      </c>
      <c r="R208" s="78" t="b">
        <f t="shared" ref="R208:AO208" si="263">IFERROR(IF($B208=$D$1,IF(AND($K208&lt;R$1,$L208&lt;R$1),"",IF(AND($K208&gt;S$1,$L208&gt;S$1),"",IF(AND($K208&lt;R$1,$L208&lt;=S$1),$L208-R$1,IF(AND($K208&gt;=R$1,$L208&gt;S$1),S$1-$K208,IF(AND($K208&gt;=R$1,$L208&lt;=S$1),$L208-$K208,IF(AND($K208&lt;R$1,$L208&gt;S$1),S$1-R$1,""))))))),"")</f>
        <v>0</v>
      </c>
      <c r="S208" s="78" t="b">
        <f t="shared" si="263"/>
        <v>0</v>
      </c>
      <c r="T208" s="78" t="b">
        <f t="shared" si="263"/>
        <v>0</v>
      </c>
      <c r="U208" s="78" t="b">
        <f t="shared" si="263"/>
        <v>0</v>
      </c>
      <c r="V208" s="78" t="b">
        <f t="shared" si="263"/>
        <v>0</v>
      </c>
      <c r="W208" s="78" t="b">
        <f t="shared" si="263"/>
        <v>0</v>
      </c>
      <c r="X208" s="78" t="b">
        <f t="shared" si="263"/>
        <v>0</v>
      </c>
      <c r="Y208" s="78" t="b">
        <f t="shared" si="263"/>
        <v>0</v>
      </c>
      <c r="Z208" s="78" t="b">
        <f t="shared" si="263"/>
        <v>0</v>
      </c>
      <c r="AA208" s="78" t="b">
        <f t="shared" si="263"/>
        <v>0</v>
      </c>
      <c r="AB208" s="78" t="b">
        <f t="shared" si="263"/>
        <v>0</v>
      </c>
      <c r="AC208" s="78" t="b">
        <f t="shared" si="263"/>
        <v>0</v>
      </c>
      <c r="AD208" s="78" t="b">
        <f t="shared" si="263"/>
        <v>0</v>
      </c>
      <c r="AE208" s="78" t="b">
        <f t="shared" si="263"/>
        <v>0</v>
      </c>
      <c r="AF208" s="78" t="b">
        <f t="shared" si="263"/>
        <v>0</v>
      </c>
      <c r="AG208" s="78" t="b">
        <f t="shared" si="263"/>
        <v>0</v>
      </c>
      <c r="AH208" s="78" t="b">
        <f t="shared" si="263"/>
        <v>0</v>
      </c>
      <c r="AI208" s="78" t="b">
        <f t="shared" si="263"/>
        <v>0</v>
      </c>
      <c r="AJ208" s="78" t="b">
        <f t="shared" si="263"/>
        <v>0</v>
      </c>
      <c r="AK208" s="78" t="b">
        <f t="shared" si="263"/>
        <v>0</v>
      </c>
      <c r="AL208" s="78" t="b">
        <f t="shared" si="263"/>
        <v>0</v>
      </c>
      <c r="AM208" s="78" t="b">
        <f t="shared" si="263"/>
        <v>0</v>
      </c>
      <c r="AN208" s="78" t="b">
        <f t="shared" si="263"/>
        <v>0</v>
      </c>
      <c r="AO208" s="78" t="b">
        <f t="shared" si="263"/>
        <v>0</v>
      </c>
      <c r="AP208" s="78"/>
    </row>
    <row r="209" spans="4:42" x14ac:dyDescent="0.35">
      <c r="D209" s="96"/>
      <c r="E209" s="96"/>
      <c r="G209" s="77">
        <f t="shared" si="243"/>
        <v>0</v>
      </c>
      <c r="H209" s="78">
        <f t="shared" si="244"/>
        <v>0</v>
      </c>
      <c r="I209" s="77">
        <f t="shared" si="245"/>
        <v>0</v>
      </c>
      <c r="J209" s="78">
        <f t="shared" si="246"/>
        <v>0</v>
      </c>
      <c r="K209" s="78" t="str">
        <f t="shared" si="247"/>
        <v>1900-01-00 00:0:00</v>
      </c>
      <c r="L209" s="78" t="str">
        <f t="shared" si="248"/>
        <v>1900-01-00 00:0:00</v>
      </c>
      <c r="M209" s="79">
        <f t="shared" si="249"/>
        <v>0</v>
      </c>
      <c r="N209">
        <f t="shared" si="250"/>
        <v>1</v>
      </c>
      <c r="O209" t="str">
        <f>IFERROR(_xlfn.XLOOKUP(A209,HC!A:A,HC!C:C),"")</f>
        <v>Workforce</v>
      </c>
      <c r="R209" s="78" t="b">
        <f t="shared" ref="R209:AO209" si="264">IFERROR(IF($B209=$D$1,IF(AND($K209&lt;R$1,$L209&lt;R$1),"",IF(AND($K209&gt;S$1,$L209&gt;S$1),"",IF(AND($K209&lt;R$1,$L209&lt;=S$1),$L209-R$1,IF(AND($K209&gt;=R$1,$L209&gt;S$1),S$1-$K209,IF(AND($K209&gt;=R$1,$L209&lt;=S$1),$L209-$K209,IF(AND($K209&lt;R$1,$L209&gt;S$1),S$1-R$1,""))))))),"")</f>
        <v>0</v>
      </c>
      <c r="S209" s="78" t="b">
        <f t="shared" si="264"/>
        <v>0</v>
      </c>
      <c r="T209" s="78" t="b">
        <f t="shared" si="264"/>
        <v>0</v>
      </c>
      <c r="U209" s="78" t="b">
        <f t="shared" si="264"/>
        <v>0</v>
      </c>
      <c r="V209" s="78" t="b">
        <f t="shared" si="264"/>
        <v>0</v>
      </c>
      <c r="W209" s="78" t="b">
        <f t="shared" si="264"/>
        <v>0</v>
      </c>
      <c r="X209" s="78" t="b">
        <f t="shared" si="264"/>
        <v>0</v>
      </c>
      <c r="Y209" s="78" t="b">
        <f t="shared" si="264"/>
        <v>0</v>
      </c>
      <c r="Z209" s="78" t="b">
        <f t="shared" si="264"/>
        <v>0</v>
      </c>
      <c r="AA209" s="78" t="b">
        <f t="shared" si="264"/>
        <v>0</v>
      </c>
      <c r="AB209" s="78" t="b">
        <f t="shared" si="264"/>
        <v>0</v>
      </c>
      <c r="AC209" s="78" t="b">
        <f t="shared" si="264"/>
        <v>0</v>
      </c>
      <c r="AD209" s="78" t="b">
        <f t="shared" si="264"/>
        <v>0</v>
      </c>
      <c r="AE209" s="78" t="b">
        <f t="shared" si="264"/>
        <v>0</v>
      </c>
      <c r="AF209" s="78" t="b">
        <f t="shared" si="264"/>
        <v>0</v>
      </c>
      <c r="AG209" s="78" t="b">
        <f t="shared" si="264"/>
        <v>0</v>
      </c>
      <c r="AH209" s="78" t="b">
        <f t="shared" si="264"/>
        <v>0</v>
      </c>
      <c r="AI209" s="78" t="b">
        <f t="shared" si="264"/>
        <v>0</v>
      </c>
      <c r="AJ209" s="78" t="b">
        <f t="shared" si="264"/>
        <v>0</v>
      </c>
      <c r="AK209" s="78" t="b">
        <f t="shared" si="264"/>
        <v>0</v>
      </c>
      <c r="AL209" s="78" t="b">
        <f t="shared" si="264"/>
        <v>0</v>
      </c>
      <c r="AM209" s="78" t="b">
        <f t="shared" si="264"/>
        <v>0</v>
      </c>
      <c r="AN209" s="78" t="b">
        <f t="shared" si="264"/>
        <v>0</v>
      </c>
      <c r="AO209" s="78" t="b">
        <f t="shared" si="264"/>
        <v>0</v>
      </c>
      <c r="AP209" s="78"/>
    </row>
    <row r="210" spans="4:42" x14ac:dyDescent="0.35">
      <c r="D210" s="96"/>
      <c r="E210" s="96"/>
      <c r="G210" s="77">
        <f t="shared" si="243"/>
        <v>0</v>
      </c>
      <c r="H210" s="78">
        <f t="shared" si="244"/>
        <v>0</v>
      </c>
      <c r="I210" s="77">
        <f t="shared" si="245"/>
        <v>0</v>
      </c>
      <c r="J210" s="78">
        <f t="shared" si="246"/>
        <v>0</v>
      </c>
      <c r="K210" s="78" t="str">
        <f t="shared" si="247"/>
        <v>1900-01-00 00:0:00</v>
      </c>
      <c r="L210" s="78" t="str">
        <f t="shared" si="248"/>
        <v>1900-01-00 00:0:00</v>
      </c>
      <c r="M210" s="79">
        <f t="shared" si="249"/>
        <v>0</v>
      </c>
      <c r="N210">
        <f t="shared" si="250"/>
        <v>1</v>
      </c>
      <c r="O210" t="str">
        <f>IFERROR(_xlfn.XLOOKUP(A210,HC!A:A,HC!C:C),"")</f>
        <v>Workforce</v>
      </c>
      <c r="R210" s="78" t="b">
        <f t="shared" ref="R210:AO210" si="265">IFERROR(IF($B210=$D$1,IF(AND($K210&lt;R$1,$L210&lt;R$1),"",IF(AND($K210&gt;S$1,$L210&gt;S$1),"",IF(AND($K210&lt;R$1,$L210&lt;=S$1),$L210-R$1,IF(AND($K210&gt;=R$1,$L210&gt;S$1),S$1-$K210,IF(AND($K210&gt;=R$1,$L210&lt;=S$1),$L210-$K210,IF(AND($K210&lt;R$1,$L210&gt;S$1),S$1-R$1,""))))))),"")</f>
        <v>0</v>
      </c>
      <c r="S210" s="78" t="b">
        <f t="shared" si="265"/>
        <v>0</v>
      </c>
      <c r="T210" s="78" t="b">
        <f t="shared" si="265"/>
        <v>0</v>
      </c>
      <c r="U210" s="78" t="b">
        <f t="shared" si="265"/>
        <v>0</v>
      </c>
      <c r="V210" s="78" t="b">
        <f t="shared" si="265"/>
        <v>0</v>
      </c>
      <c r="W210" s="78" t="b">
        <f t="shared" si="265"/>
        <v>0</v>
      </c>
      <c r="X210" s="78" t="b">
        <f t="shared" si="265"/>
        <v>0</v>
      </c>
      <c r="Y210" s="78" t="b">
        <f t="shared" si="265"/>
        <v>0</v>
      </c>
      <c r="Z210" s="78" t="b">
        <f t="shared" si="265"/>
        <v>0</v>
      </c>
      <c r="AA210" s="78" t="b">
        <f t="shared" si="265"/>
        <v>0</v>
      </c>
      <c r="AB210" s="78" t="b">
        <f t="shared" si="265"/>
        <v>0</v>
      </c>
      <c r="AC210" s="78" t="b">
        <f t="shared" si="265"/>
        <v>0</v>
      </c>
      <c r="AD210" s="78" t="b">
        <f t="shared" si="265"/>
        <v>0</v>
      </c>
      <c r="AE210" s="78" t="b">
        <f t="shared" si="265"/>
        <v>0</v>
      </c>
      <c r="AF210" s="78" t="b">
        <f t="shared" si="265"/>
        <v>0</v>
      </c>
      <c r="AG210" s="78" t="b">
        <f t="shared" si="265"/>
        <v>0</v>
      </c>
      <c r="AH210" s="78" t="b">
        <f t="shared" si="265"/>
        <v>0</v>
      </c>
      <c r="AI210" s="78" t="b">
        <f t="shared" si="265"/>
        <v>0</v>
      </c>
      <c r="AJ210" s="78" t="b">
        <f t="shared" si="265"/>
        <v>0</v>
      </c>
      <c r="AK210" s="78" t="b">
        <f t="shared" si="265"/>
        <v>0</v>
      </c>
      <c r="AL210" s="78" t="b">
        <f t="shared" si="265"/>
        <v>0</v>
      </c>
      <c r="AM210" s="78" t="b">
        <f t="shared" si="265"/>
        <v>0</v>
      </c>
      <c r="AN210" s="78" t="b">
        <f t="shared" si="265"/>
        <v>0</v>
      </c>
      <c r="AO210" s="78" t="b">
        <f t="shared" si="265"/>
        <v>0</v>
      </c>
      <c r="AP210" s="78"/>
    </row>
    <row r="211" spans="4:42" x14ac:dyDescent="0.35">
      <c r="D211" s="96"/>
      <c r="E211" s="96"/>
      <c r="G211" s="77">
        <f t="shared" si="243"/>
        <v>0</v>
      </c>
      <c r="H211" s="78">
        <f t="shared" si="244"/>
        <v>0</v>
      </c>
      <c r="I211" s="77">
        <f t="shared" si="245"/>
        <v>0</v>
      </c>
      <c r="J211" s="78">
        <f t="shared" si="246"/>
        <v>0</v>
      </c>
      <c r="K211" s="78" t="str">
        <f t="shared" si="247"/>
        <v>1900-01-00 00:0:00</v>
      </c>
      <c r="L211" s="78" t="str">
        <f t="shared" si="248"/>
        <v>1900-01-00 00:0:00</v>
      </c>
      <c r="M211" s="79">
        <f t="shared" si="249"/>
        <v>0</v>
      </c>
      <c r="N211">
        <f t="shared" si="250"/>
        <v>1</v>
      </c>
      <c r="O211" t="str">
        <f>IFERROR(_xlfn.XLOOKUP(A211,HC!A:A,HC!C:C),"")</f>
        <v>Workforce</v>
      </c>
      <c r="R211" s="78" t="b">
        <f t="shared" ref="R211:AO211" si="266">IFERROR(IF($B211=$D$1,IF(AND($K211&lt;R$1,$L211&lt;R$1),"",IF(AND($K211&gt;S$1,$L211&gt;S$1),"",IF(AND($K211&lt;R$1,$L211&lt;=S$1),$L211-R$1,IF(AND($K211&gt;=R$1,$L211&gt;S$1),S$1-$K211,IF(AND($K211&gt;=R$1,$L211&lt;=S$1),$L211-$K211,IF(AND($K211&lt;R$1,$L211&gt;S$1),S$1-R$1,""))))))),"")</f>
        <v>0</v>
      </c>
      <c r="S211" s="78" t="b">
        <f t="shared" si="266"/>
        <v>0</v>
      </c>
      <c r="T211" s="78" t="b">
        <f t="shared" si="266"/>
        <v>0</v>
      </c>
      <c r="U211" s="78" t="b">
        <f t="shared" si="266"/>
        <v>0</v>
      </c>
      <c r="V211" s="78" t="b">
        <f t="shared" si="266"/>
        <v>0</v>
      </c>
      <c r="W211" s="78" t="b">
        <f t="shared" si="266"/>
        <v>0</v>
      </c>
      <c r="X211" s="78" t="b">
        <f t="shared" si="266"/>
        <v>0</v>
      </c>
      <c r="Y211" s="78" t="b">
        <f t="shared" si="266"/>
        <v>0</v>
      </c>
      <c r="Z211" s="78" t="b">
        <f t="shared" si="266"/>
        <v>0</v>
      </c>
      <c r="AA211" s="78" t="b">
        <f t="shared" si="266"/>
        <v>0</v>
      </c>
      <c r="AB211" s="78" t="b">
        <f t="shared" si="266"/>
        <v>0</v>
      </c>
      <c r="AC211" s="78" t="b">
        <f t="shared" si="266"/>
        <v>0</v>
      </c>
      <c r="AD211" s="78" t="b">
        <f t="shared" si="266"/>
        <v>0</v>
      </c>
      <c r="AE211" s="78" t="b">
        <f t="shared" si="266"/>
        <v>0</v>
      </c>
      <c r="AF211" s="78" t="b">
        <f t="shared" si="266"/>
        <v>0</v>
      </c>
      <c r="AG211" s="78" t="b">
        <f t="shared" si="266"/>
        <v>0</v>
      </c>
      <c r="AH211" s="78" t="b">
        <f t="shared" si="266"/>
        <v>0</v>
      </c>
      <c r="AI211" s="78" t="b">
        <f t="shared" si="266"/>
        <v>0</v>
      </c>
      <c r="AJ211" s="78" t="b">
        <f t="shared" si="266"/>
        <v>0</v>
      </c>
      <c r="AK211" s="78" t="b">
        <f t="shared" si="266"/>
        <v>0</v>
      </c>
      <c r="AL211" s="78" t="b">
        <f t="shared" si="266"/>
        <v>0</v>
      </c>
      <c r="AM211" s="78" t="b">
        <f t="shared" si="266"/>
        <v>0</v>
      </c>
      <c r="AN211" s="78" t="b">
        <f t="shared" si="266"/>
        <v>0</v>
      </c>
      <c r="AO211" s="78" t="b">
        <f t="shared" si="266"/>
        <v>0</v>
      </c>
      <c r="AP211" s="78"/>
    </row>
    <row r="212" spans="4:42" x14ac:dyDescent="0.35">
      <c r="D212" s="96"/>
      <c r="E212" s="96"/>
      <c r="G212" s="77">
        <f t="shared" si="243"/>
        <v>0</v>
      </c>
      <c r="H212" s="78">
        <f t="shared" si="244"/>
        <v>0</v>
      </c>
      <c r="I212" s="77">
        <f t="shared" si="245"/>
        <v>0</v>
      </c>
      <c r="J212" s="78">
        <f t="shared" si="246"/>
        <v>0</v>
      </c>
      <c r="K212" s="78" t="str">
        <f t="shared" si="247"/>
        <v>1900-01-00 00:0:00</v>
      </c>
      <c r="L212" s="78" t="str">
        <f t="shared" si="248"/>
        <v>1900-01-00 00:0:00</v>
      </c>
      <c r="M212" s="79">
        <f t="shared" si="249"/>
        <v>0</v>
      </c>
      <c r="N212">
        <f t="shared" si="250"/>
        <v>1</v>
      </c>
      <c r="O212" t="str">
        <f>IFERROR(_xlfn.XLOOKUP(A212,HC!A:A,HC!C:C),"")</f>
        <v>Workforce</v>
      </c>
      <c r="R212" s="78" t="b">
        <f t="shared" ref="R212:AO212" si="267">IFERROR(IF($B212=$D$1,IF(AND($K212&lt;R$1,$L212&lt;R$1),"",IF(AND($K212&gt;S$1,$L212&gt;S$1),"",IF(AND($K212&lt;R$1,$L212&lt;=S$1),$L212-R$1,IF(AND($K212&gt;=R$1,$L212&gt;S$1),S$1-$K212,IF(AND($K212&gt;=R$1,$L212&lt;=S$1),$L212-$K212,IF(AND($K212&lt;R$1,$L212&gt;S$1),S$1-R$1,""))))))),"")</f>
        <v>0</v>
      </c>
      <c r="S212" s="78" t="b">
        <f t="shared" si="267"/>
        <v>0</v>
      </c>
      <c r="T212" s="78" t="b">
        <f t="shared" si="267"/>
        <v>0</v>
      </c>
      <c r="U212" s="78" t="b">
        <f t="shared" si="267"/>
        <v>0</v>
      </c>
      <c r="V212" s="78" t="b">
        <f t="shared" si="267"/>
        <v>0</v>
      </c>
      <c r="W212" s="78" t="b">
        <f t="shared" si="267"/>
        <v>0</v>
      </c>
      <c r="X212" s="78" t="b">
        <f t="shared" si="267"/>
        <v>0</v>
      </c>
      <c r="Y212" s="78" t="b">
        <f t="shared" si="267"/>
        <v>0</v>
      </c>
      <c r="Z212" s="78" t="b">
        <f t="shared" si="267"/>
        <v>0</v>
      </c>
      <c r="AA212" s="78" t="b">
        <f t="shared" si="267"/>
        <v>0</v>
      </c>
      <c r="AB212" s="78" t="b">
        <f t="shared" si="267"/>
        <v>0</v>
      </c>
      <c r="AC212" s="78" t="b">
        <f t="shared" si="267"/>
        <v>0</v>
      </c>
      <c r="AD212" s="78" t="b">
        <f t="shared" si="267"/>
        <v>0</v>
      </c>
      <c r="AE212" s="78" t="b">
        <f t="shared" si="267"/>
        <v>0</v>
      </c>
      <c r="AF212" s="78" t="b">
        <f t="shared" si="267"/>
        <v>0</v>
      </c>
      <c r="AG212" s="78" t="b">
        <f t="shared" si="267"/>
        <v>0</v>
      </c>
      <c r="AH212" s="78" t="b">
        <f t="shared" si="267"/>
        <v>0</v>
      </c>
      <c r="AI212" s="78" t="b">
        <f t="shared" si="267"/>
        <v>0</v>
      </c>
      <c r="AJ212" s="78" t="b">
        <f t="shared" si="267"/>
        <v>0</v>
      </c>
      <c r="AK212" s="78" t="b">
        <f t="shared" si="267"/>
        <v>0</v>
      </c>
      <c r="AL212" s="78" t="b">
        <f t="shared" si="267"/>
        <v>0</v>
      </c>
      <c r="AM212" s="78" t="b">
        <f t="shared" si="267"/>
        <v>0</v>
      </c>
      <c r="AN212" s="78" t="b">
        <f t="shared" si="267"/>
        <v>0</v>
      </c>
      <c r="AO212" s="78" t="b">
        <f t="shared" si="267"/>
        <v>0</v>
      </c>
      <c r="AP212" s="78"/>
    </row>
    <row r="213" spans="4:42" x14ac:dyDescent="0.35">
      <c r="D213" s="96"/>
      <c r="E213" s="96"/>
      <c r="G213" s="77">
        <f t="shared" si="243"/>
        <v>0</v>
      </c>
      <c r="H213" s="78">
        <f t="shared" si="244"/>
        <v>0</v>
      </c>
      <c r="I213" s="77">
        <f t="shared" si="245"/>
        <v>0</v>
      </c>
      <c r="J213" s="78">
        <f t="shared" si="246"/>
        <v>0</v>
      </c>
      <c r="K213" s="78" t="str">
        <f t="shared" si="247"/>
        <v>1900-01-00 00:0:00</v>
      </c>
      <c r="L213" s="78" t="str">
        <f t="shared" si="248"/>
        <v>1900-01-00 00:0:00</v>
      </c>
      <c r="M213" s="79">
        <f t="shared" si="249"/>
        <v>0</v>
      </c>
      <c r="N213">
        <f t="shared" si="250"/>
        <v>1</v>
      </c>
      <c r="O213" t="str">
        <f>IFERROR(_xlfn.XLOOKUP(A213,HC!A:A,HC!C:C),"")</f>
        <v>Workforce</v>
      </c>
      <c r="R213" s="78" t="b">
        <f t="shared" ref="R213:AO213" si="268">IFERROR(IF($B213=$D$1,IF(AND($K213&lt;R$1,$L213&lt;R$1),"",IF(AND($K213&gt;S$1,$L213&gt;S$1),"",IF(AND($K213&lt;R$1,$L213&lt;=S$1),$L213-R$1,IF(AND($K213&gt;=R$1,$L213&gt;S$1),S$1-$K213,IF(AND($K213&gt;=R$1,$L213&lt;=S$1),$L213-$K213,IF(AND($K213&lt;R$1,$L213&gt;S$1),S$1-R$1,""))))))),"")</f>
        <v>0</v>
      </c>
      <c r="S213" s="78" t="b">
        <f t="shared" si="268"/>
        <v>0</v>
      </c>
      <c r="T213" s="78" t="b">
        <f t="shared" si="268"/>
        <v>0</v>
      </c>
      <c r="U213" s="78" t="b">
        <f t="shared" si="268"/>
        <v>0</v>
      </c>
      <c r="V213" s="78" t="b">
        <f t="shared" si="268"/>
        <v>0</v>
      </c>
      <c r="W213" s="78" t="b">
        <f t="shared" si="268"/>
        <v>0</v>
      </c>
      <c r="X213" s="78" t="b">
        <f t="shared" si="268"/>
        <v>0</v>
      </c>
      <c r="Y213" s="78" t="b">
        <f t="shared" si="268"/>
        <v>0</v>
      </c>
      <c r="Z213" s="78" t="b">
        <f t="shared" si="268"/>
        <v>0</v>
      </c>
      <c r="AA213" s="78" t="b">
        <f t="shared" si="268"/>
        <v>0</v>
      </c>
      <c r="AB213" s="78" t="b">
        <f t="shared" si="268"/>
        <v>0</v>
      </c>
      <c r="AC213" s="78" t="b">
        <f t="shared" si="268"/>
        <v>0</v>
      </c>
      <c r="AD213" s="78" t="b">
        <f t="shared" si="268"/>
        <v>0</v>
      </c>
      <c r="AE213" s="78" t="b">
        <f t="shared" si="268"/>
        <v>0</v>
      </c>
      <c r="AF213" s="78" t="b">
        <f t="shared" si="268"/>
        <v>0</v>
      </c>
      <c r="AG213" s="78" t="b">
        <f t="shared" si="268"/>
        <v>0</v>
      </c>
      <c r="AH213" s="78" t="b">
        <f t="shared" si="268"/>
        <v>0</v>
      </c>
      <c r="AI213" s="78" t="b">
        <f t="shared" si="268"/>
        <v>0</v>
      </c>
      <c r="AJ213" s="78" t="b">
        <f t="shared" si="268"/>
        <v>0</v>
      </c>
      <c r="AK213" s="78" t="b">
        <f t="shared" si="268"/>
        <v>0</v>
      </c>
      <c r="AL213" s="78" t="b">
        <f t="shared" si="268"/>
        <v>0</v>
      </c>
      <c r="AM213" s="78" t="b">
        <f t="shared" si="268"/>
        <v>0</v>
      </c>
      <c r="AN213" s="78" t="b">
        <f t="shared" si="268"/>
        <v>0</v>
      </c>
      <c r="AO213" s="78" t="b">
        <f t="shared" si="268"/>
        <v>0</v>
      </c>
      <c r="AP213" s="78"/>
    </row>
    <row r="214" spans="4:42" x14ac:dyDescent="0.35">
      <c r="D214" s="96"/>
      <c r="E214" s="96"/>
      <c r="G214" s="77">
        <f t="shared" si="243"/>
        <v>0</v>
      </c>
      <c r="H214" s="78">
        <f t="shared" si="244"/>
        <v>0</v>
      </c>
      <c r="I214" s="77">
        <f t="shared" si="245"/>
        <v>0</v>
      </c>
      <c r="J214" s="78">
        <f t="shared" si="246"/>
        <v>0</v>
      </c>
      <c r="K214" s="78" t="str">
        <f t="shared" si="247"/>
        <v>1900-01-00 00:0:00</v>
      </c>
      <c r="L214" s="78" t="str">
        <f t="shared" si="248"/>
        <v>1900-01-00 00:0:00</v>
      </c>
      <c r="M214" s="79">
        <f t="shared" si="249"/>
        <v>0</v>
      </c>
      <c r="N214">
        <f t="shared" si="250"/>
        <v>1</v>
      </c>
      <c r="O214" t="str">
        <f>IFERROR(_xlfn.XLOOKUP(A214,HC!A:A,HC!C:C),"")</f>
        <v>Workforce</v>
      </c>
      <c r="R214" s="78" t="b">
        <f t="shared" ref="R214:AO214" si="269">IFERROR(IF($B214=$D$1,IF(AND($K214&lt;R$1,$L214&lt;R$1),"",IF(AND($K214&gt;S$1,$L214&gt;S$1),"",IF(AND($K214&lt;R$1,$L214&lt;=S$1),$L214-R$1,IF(AND($K214&gt;=R$1,$L214&gt;S$1),S$1-$K214,IF(AND($K214&gt;=R$1,$L214&lt;=S$1),$L214-$K214,IF(AND($K214&lt;R$1,$L214&gt;S$1),S$1-R$1,""))))))),"")</f>
        <v>0</v>
      </c>
      <c r="S214" s="78" t="b">
        <f t="shared" si="269"/>
        <v>0</v>
      </c>
      <c r="T214" s="78" t="b">
        <f t="shared" si="269"/>
        <v>0</v>
      </c>
      <c r="U214" s="78" t="b">
        <f t="shared" si="269"/>
        <v>0</v>
      </c>
      <c r="V214" s="78" t="b">
        <f t="shared" si="269"/>
        <v>0</v>
      </c>
      <c r="W214" s="78" t="b">
        <f t="shared" si="269"/>
        <v>0</v>
      </c>
      <c r="X214" s="78" t="b">
        <f t="shared" si="269"/>
        <v>0</v>
      </c>
      <c r="Y214" s="78" t="b">
        <f t="shared" si="269"/>
        <v>0</v>
      </c>
      <c r="Z214" s="78" t="b">
        <f t="shared" si="269"/>
        <v>0</v>
      </c>
      <c r="AA214" s="78" t="b">
        <f t="shared" si="269"/>
        <v>0</v>
      </c>
      <c r="AB214" s="78" t="b">
        <f t="shared" si="269"/>
        <v>0</v>
      </c>
      <c r="AC214" s="78" t="b">
        <f t="shared" si="269"/>
        <v>0</v>
      </c>
      <c r="AD214" s="78" t="b">
        <f t="shared" si="269"/>
        <v>0</v>
      </c>
      <c r="AE214" s="78" t="b">
        <f t="shared" si="269"/>
        <v>0</v>
      </c>
      <c r="AF214" s="78" t="b">
        <f t="shared" si="269"/>
        <v>0</v>
      </c>
      <c r="AG214" s="78" t="b">
        <f t="shared" si="269"/>
        <v>0</v>
      </c>
      <c r="AH214" s="78" t="b">
        <f t="shared" si="269"/>
        <v>0</v>
      </c>
      <c r="AI214" s="78" t="b">
        <f t="shared" si="269"/>
        <v>0</v>
      </c>
      <c r="AJ214" s="78" t="b">
        <f t="shared" si="269"/>
        <v>0</v>
      </c>
      <c r="AK214" s="78" t="b">
        <f t="shared" si="269"/>
        <v>0</v>
      </c>
      <c r="AL214" s="78" t="b">
        <f t="shared" si="269"/>
        <v>0</v>
      </c>
      <c r="AM214" s="78" t="b">
        <f t="shared" si="269"/>
        <v>0</v>
      </c>
      <c r="AN214" s="78" t="b">
        <f t="shared" si="269"/>
        <v>0</v>
      </c>
      <c r="AO214" s="78" t="b">
        <f t="shared" si="269"/>
        <v>0</v>
      </c>
      <c r="AP214" s="78"/>
    </row>
    <row r="215" spans="4:42" x14ac:dyDescent="0.35">
      <c r="D215" s="96"/>
      <c r="E215" s="96"/>
      <c r="G215" s="77">
        <f t="shared" si="243"/>
        <v>0</v>
      </c>
      <c r="H215" s="78">
        <f t="shared" si="244"/>
        <v>0</v>
      </c>
      <c r="I215" s="77">
        <f t="shared" si="245"/>
        <v>0</v>
      </c>
      <c r="J215" s="78">
        <f t="shared" si="246"/>
        <v>0</v>
      </c>
      <c r="K215" s="78" t="str">
        <f t="shared" si="247"/>
        <v>1900-01-00 00:0:00</v>
      </c>
      <c r="L215" s="78" t="str">
        <f t="shared" si="248"/>
        <v>1900-01-00 00:0:00</v>
      </c>
      <c r="M215" s="79">
        <f t="shared" si="249"/>
        <v>0</v>
      </c>
      <c r="N215">
        <f t="shared" si="250"/>
        <v>1</v>
      </c>
      <c r="O215" t="str">
        <f>IFERROR(_xlfn.XLOOKUP(A215,HC!A:A,HC!C:C),"")</f>
        <v>Workforce</v>
      </c>
      <c r="R215" s="78" t="b">
        <f t="shared" ref="R215:AO215" si="270">IFERROR(IF($B215=$D$1,IF(AND($K215&lt;R$1,$L215&lt;R$1),"",IF(AND($K215&gt;S$1,$L215&gt;S$1),"",IF(AND($K215&lt;R$1,$L215&lt;=S$1),$L215-R$1,IF(AND($K215&gt;=R$1,$L215&gt;S$1),S$1-$K215,IF(AND($K215&gt;=R$1,$L215&lt;=S$1),$L215-$K215,IF(AND($K215&lt;R$1,$L215&gt;S$1),S$1-R$1,""))))))),"")</f>
        <v>0</v>
      </c>
      <c r="S215" s="78" t="b">
        <f t="shared" si="270"/>
        <v>0</v>
      </c>
      <c r="T215" s="78" t="b">
        <f t="shared" si="270"/>
        <v>0</v>
      </c>
      <c r="U215" s="78" t="b">
        <f t="shared" si="270"/>
        <v>0</v>
      </c>
      <c r="V215" s="78" t="b">
        <f t="shared" si="270"/>
        <v>0</v>
      </c>
      <c r="W215" s="78" t="b">
        <f t="shared" si="270"/>
        <v>0</v>
      </c>
      <c r="X215" s="78" t="b">
        <f t="shared" si="270"/>
        <v>0</v>
      </c>
      <c r="Y215" s="78" t="b">
        <f t="shared" si="270"/>
        <v>0</v>
      </c>
      <c r="Z215" s="78" t="b">
        <f t="shared" si="270"/>
        <v>0</v>
      </c>
      <c r="AA215" s="78" t="b">
        <f t="shared" si="270"/>
        <v>0</v>
      </c>
      <c r="AB215" s="78" t="b">
        <f t="shared" si="270"/>
        <v>0</v>
      </c>
      <c r="AC215" s="78" t="b">
        <f t="shared" si="270"/>
        <v>0</v>
      </c>
      <c r="AD215" s="78" t="b">
        <f t="shared" si="270"/>
        <v>0</v>
      </c>
      <c r="AE215" s="78" t="b">
        <f t="shared" si="270"/>
        <v>0</v>
      </c>
      <c r="AF215" s="78" t="b">
        <f t="shared" si="270"/>
        <v>0</v>
      </c>
      <c r="AG215" s="78" t="b">
        <f t="shared" si="270"/>
        <v>0</v>
      </c>
      <c r="AH215" s="78" t="b">
        <f t="shared" si="270"/>
        <v>0</v>
      </c>
      <c r="AI215" s="78" t="b">
        <f t="shared" si="270"/>
        <v>0</v>
      </c>
      <c r="AJ215" s="78" t="b">
        <f t="shared" si="270"/>
        <v>0</v>
      </c>
      <c r="AK215" s="78" t="b">
        <f t="shared" si="270"/>
        <v>0</v>
      </c>
      <c r="AL215" s="78" t="b">
        <f t="shared" si="270"/>
        <v>0</v>
      </c>
      <c r="AM215" s="78" t="b">
        <f t="shared" si="270"/>
        <v>0</v>
      </c>
      <c r="AN215" s="78" t="b">
        <f t="shared" si="270"/>
        <v>0</v>
      </c>
      <c r="AO215" s="78" t="b">
        <f t="shared" si="270"/>
        <v>0</v>
      </c>
      <c r="AP215" s="78"/>
    </row>
    <row r="216" spans="4:42" x14ac:dyDescent="0.35">
      <c r="D216" s="96"/>
      <c r="E216" s="96"/>
      <c r="G216" s="77">
        <f t="shared" si="243"/>
        <v>0</v>
      </c>
      <c r="H216" s="78">
        <f t="shared" si="244"/>
        <v>0</v>
      </c>
      <c r="I216" s="77">
        <f t="shared" si="245"/>
        <v>0</v>
      </c>
      <c r="J216" s="78">
        <f t="shared" si="246"/>
        <v>0</v>
      </c>
      <c r="K216" s="78" t="str">
        <f t="shared" si="247"/>
        <v>1900-01-00 00:0:00</v>
      </c>
      <c r="L216" s="78" t="str">
        <f t="shared" si="248"/>
        <v>1900-01-00 00:0:00</v>
      </c>
      <c r="M216" s="79">
        <f t="shared" si="249"/>
        <v>0</v>
      </c>
      <c r="N216">
        <f t="shared" si="250"/>
        <v>1</v>
      </c>
      <c r="O216" t="str">
        <f>IFERROR(_xlfn.XLOOKUP(A216,HC!A:A,HC!C:C),"")</f>
        <v>Workforce</v>
      </c>
      <c r="R216" s="78" t="b">
        <f t="shared" ref="R216:AO216" si="271">IFERROR(IF($B216=$D$1,IF(AND($K216&lt;R$1,$L216&lt;R$1),"",IF(AND($K216&gt;S$1,$L216&gt;S$1),"",IF(AND($K216&lt;R$1,$L216&lt;=S$1),$L216-R$1,IF(AND($K216&gt;=R$1,$L216&gt;S$1),S$1-$K216,IF(AND($K216&gt;=R$1,$L216&lt;=S$1),$L216-$K216,IF(AND($K216&lt;R$1,$L216&gt;S$1),S$1-R$1,""))))))),"")</f>
        <v>0</v>
      </c>
      <c r="S216" s="78" t="b">
        <f t="shared" si="271"/>
        <v>0</v>
      </c>
      <c r="T216" s="78" t="b">
        <f t="shared" si="271"/>
        <v>0</v>
      </c>
      <c r="U216" s="78" t="b">
        <f t="shared" si="271"/>
        <v>0</v>
      </c>
      <c r="V216" s="78" t="b">
        <f t="shared" si="271"/>
        <v>0</v>
      </c>
      <c r="W216" s="78" t="b">
        <f t="shared" si="271"/>
        <v>0</v>
      </c>
      <c r="X216" s="78" t="b">
        <f t="shared" si="271"/>
        <v>0</v>
      </c>
      <c r="Y216" s="78" t="b">
        <f t="shared" si="271"/>
        <v>0</v>
      </c>
      <c r="Z216" s="78" t="b">
        <f t="shared" si="271"/>
        <v>0</v>
      </c>
      <c r="AA216" s="78" t="b">
        <f t="shared" si="271"/>
        <v>0</v>
      </c>
      <c r="AB216" s="78" t="b">
        <f t="shared" si="271"/>
        <v>0</v>
      </c>
      <c r="AC216" s="78" t="b">
        <f t="shared" si="271"/>
        <v>0</v>
      </c>
      <c r="AD216" s="78" t="b">
        <f t="shared" si="271"/>
        <v>0</v>
      </c>
      <c r="AE216" s="78" t="b">
        <f t="shared" si="271"/>
        <v>0</v>
      </c>
      <c r="AF216" s="78" t="b">
        <f t="shared" si="271"/>
        <v>0</v>
      </c>
      <c r="AG216" s="78" t="b">
        <f t="shared" si="271"/>
        <v>0</v>
      </c>
      <c r="AH216" s="78" t="b">
        <f t="shared" si="271"/>
        <v>0</v>
      </c>
      <c r="AI216" s="78" t="b">
        <f t="shared" si="271"/>
        <v>0</v>
      </c>
      <c r="AJ216" s="78" t="b">
        <f t="shared" si="271"/>
        <v>0</v>
      </c>
      <c r="AK216" s="78" t="b">
        <f t="shared" si="271"/>
        <v>0</v>
      </c>
      <c r="AL216" s="78" t="b">
        <f t="shared" si="271"/>
        <v>0</v>
      </c>
      <c r="AM216" s="78" t="b">
        <f t="shared" si="271"/>
        <v>0</v>
      </c>
      <c r="AN216" s="78" t="b">
        <f t="shared" si="271"/>
        <v>0</v>
      </c>
      <c r="AO216" s="78" t="b">
        <f t="shared" si="271"/>
        <v>0</v>
      </c>
      <c r="AP216" s="78"/>
    </row>
    <row r="217" spans="4:42" x14ac:dyDescent="0.35">
      <c r="D217" s="96"/>
      <c r="E217" s="96"/>
      <c r="G217" s="77">
        <f t="shared" si="243"/>
        <v>0</v>
      </c>
      <c r="H217" s="78">
        <f t="shared" si="244"/>
        <v>0</v>
      </c>
      <c r="I217" s="77">
        <f t="shared" si="245"/>
        <v>0</v>
      </c>
      <c r="J217" s="78">
        <f t="shared" si="246"/>
        <v>0</v>
      </c>
      <c r="K217" s="78" t="str">
        <f t="shared" si="247"/>
        <v>1900-01-00 00:0:00</v>
      </c>
      <c r="L217" s="78" t="str">
        <f t="shared" si="248"/>
        <v>1900-01-00 00:0:00</v>
      </c>
      <c r="M217" s="79">
        <f t="shared" si="249"/>
        <v>0</v>
      </c>
      <c r="N217">
        <f t="shared" si="250"/>
        <v>1</v>
      </c>
      <c r="O217" t="str">
        <f>IFERROR(_xlfn.XLOOKUP(A217,HC!A:A,HC!C:C),"")</f>
        <v>Workforce</v>
      </c>
      <c r="R217" s="78" t="b">
        <f t="shared" ref="R217:AO217" si="272">IFERROR(IF($B217=$D$1,IF(AND($K217&lt;R$1,$L217&lt;R$1),"",IF(AND($K217&gt;S$1,$L217&gt;S$1),"",IF(AND($K217&lt;R$1,$L217&lt;=S$1),$L217-R$1,IF(AND($K217&gt;=R$1,$L217&gt;S$1),S$1-$K217,IF(AND($K217&gt;=R$1,$L217&lt;=S$1),$L217-$K217,IF(AND($K217&lt;R$1,$L217&gt;S$1),S$1-R$1,""))))))),"")</f>
        <v>0</v>
      </c>
      <c r="S217" s="78" t="b">
        <f t="shared" si="272"/>
        <v>0</v>
      </c>
      <c r="T217" s="78" t="b">
        <f t="shared" si="272"/>
        <v>0</v>
      </c>
      <c r="U217" s="78" t="b">
        <f t="shared" si="272"/>
        <v>0</v>
      </c>
      <c r="V217" s="78" t="b">
        <f t="shared" si="272"/>
        <v>0</v>
      </c>
      <c r="W217" s="78" t="b">
        <f t="shared" si="272"/>
        <v>0</v>
      </c>
      <c r="X217" s="78" t="b">
        <f t="shared" si="272"/>
        <v>0</v>
      </c>
      <c r="Y217" s="78" t="b">
        <f t="shared" si="272"/>
        <v>0</v>
      </c>
      <c r="Z217" s="78" t="b">
        <f t="shared" si="272"/>
        <v>0</v>
      </c>
      <c r="AA217" s="78" t="b">
        <f t="shared" si="272"/>
        <v>0</v>
      </c>
      <c r="AB217" s="78" t="b">
        <f t="shared" si="272"/>
        <v>0</v>
      </c>
      <c r="AC217" s="78" t="b">
        <f t="shared" si="272"/>
        <v>0</v>
      </c>
      <c r="AD217" s="78" t="b">
        <f t="shared" si="272"/>
        <v>0</v>
      </c>
      <c r="AE217" s="78" t="b">
        <f t="shared" si="272"/>
        <v>0</v>
      </c>
      <c r="AF217" s="78" t="b">
        <f t="shared" si="272"/>
        <v>0</v>
      </c>
      <c r="AG217" s="78" t="b">
        <f t="shared" si="272"/>
        <v>0</v>
      </c>
      <c r="AH217" s="78" t="b">
        <f t="shared" si="272"/>
        <v>0</v>
      </c>
      <c r="AI217" s="78" t="b">
        <f t="shared" si="272"/>
        <v>0</v>
      </c>
      <c r="AJ217" s="78" t="b">
        <f t="shared" si="272"/>
        <v>0</v>
      </c>
      <c r="AK217" s="78" t="b">
        <f t="shared" si="272"/>
        <v>0</v>
      </c>
      <c r="AL217" s="78" t="b">
        <f t="shared" si="272"/>
        <v>0</v>
      </c>
      <c r="AM217" s="78" t="b">
        <f t="shared" si="272"/>
        <v>0</v>
      </c>
      <c r="AN217" s="78" t="b">
        <f t="shared" si="272"/>
        <v>0</v>
      </c>
      <c r="AO217" s="78" t="b">
        <f t="shared" si="272"/>
        <v>0</v>
      </c>
      <c r="AP217" s="78"/>
    </row>
    <row r="218" spans="4:42" x14ac:dyDescent="0.35">
      <c r="D218" s="96"/>
      <c r="E218" s="96"/>
      <c r="G218" s="77">
        <f t="shared" si="243"/>
        <v>0</v>
      </c>
      <c r="H218" s="78">
        <f t="shared" si="244"/>
        <v>0</v>
      </c>
      <c r="I218" s="77">
        <f t="shared" si="245"/>
        <v>0</v>
      </c>
      <c r="J218" s="78">
        <f t="shared" si="246"/>
        <v>0</v>
      </c>
      <c r="K218" s="78" t="str">
        <f t="shared" si="247"/>
        <v>1900-01-00 00:0:00</v>
      </c>
      <c r="L218" s="78" t="str">
        <f t="shared" si="248"/>
        <v>1900-01-00 00:0:00</v>
      </c>
      <c r="M218" s="79">
        <f t="shared" si="249"/>
        <v>0</v>
      </c>
      <c r="N218">
        <f t="shared" si="250"/>
        <v>1</v>
      </c>
      <c r="O218" t="str">
        <f>IFERROR(_xlfn.XLOOKUP(A218,HC!A:A,HC!C:C),"")</f>
        <v>Workforce</v>
      </c>
      <c r="R218" s="78" t="b">
        <f t="shared" ref="R218:AO218" si="273">IFERROR(IF($B218=$D$1,IF(AND($K218&lt;R$1,$L218&lt;R$1),"",IF(AND($K218&gt;S$1,$L218&gt;S$1),"",IF(AND($K218&lt;R$1,$L218&lt;=S$1),$L218-R$1,IF(AND($K218&gt;=R$1,$L218&gt;S$1),S$1-$K218,IF(AND($K218&gt;=R$1,$L218&lt;=S$1),$L218-$K218,IF(AND($K218&lt;R$1,$L218&gt;S$1),S$1-R$1,""))))))),"")</f>
        <v>0</v>
      </c>
      <c r="S218" s="78" t="b">
        <f t="shared" si="273"/>
        <v>0</v>
      </c>
      <c r="T218" s="78" t="b">
        <f t="shared" si="273"/>
        <v>0</v>
      </c>
      <c r="U218" s="78" t="b">
        <f t="shared" si="273"/>
        <v>0</v>
      </c>
      <c r="V218" s="78" t="b">
        <f t="shared" si="273"/>
        <v>0</v>
      </c>
      <c r="W218" s="78" t="b">
        <f t="shared" si="273"/>
        <v>0</v>
      </c>
      <c r="X218" s="78" t="b">
        <f t="shared" si="273"/>
        <v>0</v>
      </c>
      <c r="Y218" s="78" t="b">
        <f t="shared" si="273"/>
        <v>0</v>
      </c>
      <c r="Z218" s="78" t="b">
        <f t="shared" si="273"/>
        <v>0</v>
      </c>
      <c r="AA218" s="78" t="b">
        <f t="shared" si="273"/>
        <v>0</v>
      </c>
      <c r="AB218" s="78" t="b">
        <f t="shared" si="273"/>
        <v>0</v>
      </c>
      <c r="AC218" s="78" t="b">
        <f t="shared" si="273"/>
        <v>0</v>
      </c>
      <c r="AD218" s="78" t="b">
        <f t="shared" si="273"/>
        <v>0</v>
      </c>
      <c r="AE218" s="78" t="b">
        <f t="shared" si="273"/>
        <v>0</v>
      </c>
      <c r="AF218" s="78" t="b">
        <f t="shared" si="273"/>
        <v>0</v>
      </c>
      <c r="AG218" s="78" t="b">
        <f t="shared" si="273"/>
        <v>0</v>
      </c>
      <c r="AH218" s="78" t="b">
        <f t="shared" si="273"/>
        <v>0</v>
      </c>
      <c r="AI218" s="78" t="b">
        <f t="shared" si="273"/>
        <v>0</v>
      </c>
      <c r="AJ218" s="78" t="b">
        <f t="shared" si="273"/>
        <v>0</v>
      </c>
      <c r="AK218" s="78" t="b">
        <f t="shared" si="273"/>
        <v>0</v>
      </c>
      <c r="AL218" s="78" t="b">
        <f t="shared" si="273"/>
        <v>0</v>
      </c>
      <c r="AM218" s="78" t="b">
        <f t="shared" si="273"/>
        <v>0</v>
      </c>
      <c r="AN218" s="78" t="b">
        <f t="shared" si="273"/>
        <v>0</v>
      </c>
      <c r="AO218" s="78" t="b">
        <f t="shared" si="273"/>
        <v>0</v>
      </c>
      <c r="AP218" s="78"/>
    </row>
    <row r="219" spans="4:42" x14ac:dyDescent="0.35">
      <c r="D219" s="96"/>
      <c r="E219" s="96"/>
      <c r="G219" s="77">
        <f t="shared" si="243"/>
        <v>0</v>
      </c>
      <c r="H219" s="78">
        <f t="shared" si="244"/>
        <v>0</v>
      </c>
      <c r="I219" s="77">
        <f t="shared" si="245"/>
        <v>0</v>
      </c>
      <c r="J219" s="78">
        <f t="shared" si="246"/>
        <v>0</v>
      </c>
      <c r="K219" s="78" t="str">
        <f t="shared" si="247"/>
        <v>1900-01-00 00:0:00</v>
      </c>
      <c r="L219" s="78" t="str">
        <f t="shared" si="248"/>
        <v>1900-01-00 00:0:00</v>
      </c>
      <c r="M219" s="79">
        <f t="shared" si="249"/>
        <v>0</v>
      </c>
      <c r="N219">
        <f t="shared" si="250"/>
        <v>1</v>
      </c>
      <c r="O219" t="str">
        <f>IFERROR(_xlfn.XLOOKUP(A219,HC!A:A,HC!C:C),"")</f>
        <v>Workforce</v>
      </c>
      <c r="R219" s="78" t="b">
        <f t="shared" ref="R219:AO219" si="274">IFERROR(IF($B219=$D$1,IF(AND($K219&lt;R$1,$L219&lt;R$1),"",IF(AND($K219&gt;S$1,$L219&gt;S$1),"",IF(AND($K219&lt;R$1,$L219&lt;=S$1),$L219-R$1,IF(AND($K219&gt;=R$1,$L219&gt;S$1),S$1-$K219,IF(AND($K219&gt;=R$1,$L219&lt;=S$1),$L219-$K219,IF(AND($K219&lt;R$1,$L219&gt;S$1),S$1-R$1,""))))))),"")</f>
        <v>0</v>
      </c>
      <c r="S219" s="78" t="b">
        <f t="shared" si="274"/>
        <v>0</v>
      </c>
      <c r="T219" s="78" t="b">
        <f t="shared" si="274"/>
        <v>0</v>
      </c>
      <c r="U219" s="78" t="b">
        <f t="shared" si="274"/>
        <v>0</v>
      </c>
      <c r="V219" s="78" t="b">
        <f t="shared" si="274"/>
        <v>0</v>
      </c>
      <c r="W219" s="78" t="b">
        <f t="shared" si="274"/>
        <v>0</v>
      </c>
      <c r="X219" s="78" t="b">
        <f t="shared" si="274"/>
        <v>0</v>
      </c>
      <c r="Y219" s="78" t="b">
        <f t="shared" si="274"/>
        <v>0</v>
      </c>
      <c r="Z219" s="78" t="b">
        <f t="shared" si="274"/>
        <v>0</v>
      </c>
      <c r="AA219" s="78" t="b">
        <f t="shared" si="274"/>
        <v>0</v>
      </c>
      <c r="AB219" s="78" t="b">
        <f t="shared" si="274"/>
        <v>0</v>
      </c>
      <c r="AC219" s="78" t="b">
        <f t="shared" si="274"/>
        <v>0</v>
      </c>
      <c r="AD219" s="78" t="b">
        <f t="shared" si="274"/>
        <v>0</v>
      </c>
      <c r="AE219" s="78" t="b">
        <f t="shared" si="274"/>
        <v>0</v>
      </c>
      <c r="AF219" s="78" t="b">
        <f t="shared" si="274"/>
        <v>0</v>
      </c>
      <c r="AG219" s="78" t="b">
        <f t="shared" si="274"/>
        <v>0</v>
      </c>
      <c r="AH219" s="78" t="b">
        <f t="shared" si="274"/>
        <v>0</v>
      </c>
      <c r="AI219" s="78" t="b">
        <f t="shared" si="274"/>
        <v>0</v>
      </c>
      <c r="AJ219" s="78" t="b">
        <f t="shared" si="274"/>
        <v>0</v>
      </c>
      <c r="AK219" s="78" t="b">
        <f t="shared" si="274"/>
        <v>0</v>
      </c>
      <c r="AL219" s="78" t="b">
        <f t="shared" si="274"/>
        <v>0</v>
      </c>
      <c r="AM219" s="78" t="b">
        <f t="shared" si="274"/>
        <v>0</v>
      </c>
      <c r="AN219" s="78" t="b">
        <f t="shared" si="274"/>
        <v>0</v>
      </c>
      <c r="AO219" s="78" t="b">
        <f t="shared" si="274"/>
        <v>0</v>
      </c>
      <c r="AP219" s="78"/>
    </row>
    <row r="220" spans="4:42" x14ac:dyDescent="0.35">
      <c r="D220" s="96"/>
      <c r="E220" s="96"/>
      <c r="G220" s="77">
        <f t="shared" si="243"/>
        <v>0</v>
      </c>
      <c r="H220" s="78">
        <f t="shared" si="244"/>
        <v>0</v>
      </c>
      <c r="I220" s="77">
        <f t="shared" si="245"/>
        <v>0</v>
      </c>
      <c r="J220" s="78">
        <f t="shared" si="246"/>
        <v>0</v>
      </c>
      <c r="K220" s="78" t="str">
        <f t="shared" si="247"/>
        <v>1900-01-00 00:0:00</v>
      </c>
      <c r="L220" s="78" t="str">
        <f t="shared" si="248"/>
        <v>1900-01-00 00:0:00</v>
      </c>
      <c r="M220" s="79">
        <f t="shared" si="249"/>
        <v>0</v>
      </c>
      <c r="N220">
        <f t="shared" si="250"/>
        <v>1</v>
      </c>
      <c r="O220" t="str">
        <f>IFERROR(_xlfn.XLOOKUP(A220,HC!A:A,HC!C:C),"")</f>
        <v>Workforce</v>
      </c>
      <c r="R220" s="78" t="b">
        <f t="shared" ref="R220:AO220" si="275">IFERROR(IF($B220=$D$1,IF(AND($K220&lt;R$1,$L220&lt;R$1),"",IF(AND($K220&gt;S$1,$L220&gt;S$1),"",IF(AND($K220&lt;R$1,$L220&lt;=S$1),$L220-R$1,IF(AND($K220&gt;=R$1,$L220&gt;S$1),S$1-$K220,IF(AND($K220&gt;=R$1,$L220&lt;=S$1),$L220-$K220,IF(AND($K220&lt;R$1,$L220&gt;S$1),S$1-R$1,""))))))),"")</f>
        <v>0</v>
      </c>
      <c r="S220" s="78" t="b">
        <f t="shared" si="275"/>
        <v>0</v>
      </c>
      <c r="T220" s="78" t="b">
        <f t="shared" si="275"/>
        <v>0</v>
      </c>
      <c r="U220" s="78" t="b">
        <f t="shared" si="275"/>
        <v>0</v>
      </c>
      <c r="V220" s="78" t="b">
        <f t="shared" si="275"/>
        <v>0</v>
      </c>
      <c r="W220" s="78" t="b">
        <f t="shared" si="275"/>
        <v>0</v>
      </c>
      <c r="X220" s="78" t="b">
        <f t="shared" si="275"/>
        <v>0</v>
      </c>
      <c r="Y220" s="78" t="b">
        <f t="shared" si="275"/>
        <v>0</v>
      </c>
      <c r="Z220" s="78" t="b">
        <f t="shared" si="275"/>
        <v>0</v>
      </c>
      <c r="AA220" s="78" t="b">
        <f t="shared" si="275"/>
        <v>0</v>
      </c>
      <c r="AB220" s="78" t="b">
        <f t="shared" si="275"/>
        <v>0</v>
      </c>
      <c r="AC220" s="78" t="b">
        <f t="shared" si="275"/>
        <v>0</v>
      </c>
      <c r="AD220" s="78" t="b">
        <f t="shared" si="275"/>
        <v>0</v>
      </c>
      <c r="AE220" s="78" t="b">
        <f t="shared" si="275"/>
        <v>0</v>
      </c>
      <c r="AF220" s="78" t="b">
        <f t="shared" si="275"/>
        <v>0</v>
      </c>
      <c r="AG220" s="78" t="b">
        <f t="shared" si="275"/>
        <v>0</v>
      </c>
      <c r="AH220" s="78" t="b">
        <f t="shared" si="275"/>
        <v>0</v>
      </c>
      <c r="AI220" s="78" t="b">
        <f t="shared" si="275"/>
        <v>0</v>
      </c>
      <c r="AJ220" s="78" t="b">
        <f t="shared" si="275"/>
        <v>0</v>
      </c>
      <c r="AK220" s="78" t="b">
        <f t="shared" si="275"/>
        <v>0</v>
      </c>
      <c r="AL220" s="78" t="b">
        <f t="shared" si="275"/>
        <v>0</v>
      </c>
      <c r="AM220" s="78" t="b">
        <f t="shared" si="275"/>
        <v>0</v>
      </c>
      <c r="AN220" s="78" t="b">
        <f t="shared" si="275"/>
        <v>0</v>
      </c>
      <c r="AO220" s="78" t="b">
        <f t="shared" si="275"/>
        <v>0</v>
      </c>
      <c r="AP220" s="78"/>
    </row>
    <row r="221" spans="4:42" x14ac:dyDescent="0.35">
      <c r="D221" s="96"/>
      <c r="E221" s="96"/>
      <c r="G221" s="77">
        <f t="shared" si="243"/>
        <v>0</v>
      </c>
      <c r="H221" s="78">
        <f t="shared" si="244"/>
        <v>0</v>
      </c>
      <c r="I221" s="77">
        <f t="shared" si="245"/>
        <v>0</v>
      </c>
      <c r="J221" s="78">
        <f t="shared" si="246"/>
        <v>0</v>
      </c>
      <c r="K221" s="78" t="str">
        <f t="shared" si="247"/>
        <v>1900-01-00 00:0:00</v>
      </c>
      <c r="L221" s="78" t="str">
        <f t="shared" si="248"/>
        <v>1900-01-00 00:0:00</v>
      </c>
      <c r="M221" s="79">
        <f t="shared" si="249"/>
        <v>0</v>
      </c>
      <c r="N221">
        <f t="shared" si="250"/>
        <v>1</v>
      </c>
      <c r="O221" t="str">
        <f>IFERROR(_xlfn.XLOOKUP(A221,HC!A:A,HC!C:C),"")</f>
        <v>Workforce</v>
      </c>
      <c r="R221" s="78" t="b">
        <f t="shared" ref="R221:AO221" si="276">IFERROR(IF($B221=$D$1,IF(AND($K221&lt;R$1,$L221&lt;R$1),"",IF(AND($K221&gt;S$1,$L221&gt;S$1),"",IF(AND($K221&lt;R$1,$L221&lt;=S$1),$L221-R$1,IF(AND($K221&gt;=R$1,$L221&gt;S$1),S$1-$K221,IF(AND($K221&gt;=R$1,$L221&lt;=S$1),$L221-$K221,IF(AND($K221&lt;R$1,$L221&gt;S$1),S$1-R$1,""))))))),"")</f>
        <v>0</v>
      </c>
      <c r="S221" s="78" t="b">
        <f t="shared" si="276"/>
        <v>0</v>
      </c>
      <c r="T221" s="78" t="b">
        <f t="shared" si="276"/>
        <v>0</v>
      </c>
      <c r="U221" s="78" t="b">
        <f t="shared" si="276"/>
        <v>0</v>
      </c>
      <c r="V221" s="78" t="b">
        <f t="shared" si="276"/>
        <v>0</v>
      </c>
      <c r="W221" s="78" t="b">
        <f t="shared" si="276"/>
        <v>0</v>
      </c>
      <c r="X221" s="78" t="b">
        <f t="shared" si="276"/>
        <v>0</v>
      </c>
      <c r="Y221" s="78" t="b">
        <f t="shared" si="276"/>
        <v>0</v>
      </c>
      <c r="Z221" s="78" t="b">
        <f t="shared" si="276"/>
        <v>0</v>
      </c>
      <c r="AA221" s="78" t="b">
        <f t="shared" si="276"/>
        <v>0</v>
      </c>
      <c r="AB221" s="78" t="b">
        <f t="shared" si="276"/>
        <v>0</v>
      </c>
      <c r="AC221" s="78" t="b">
        <f t="shared" si="276"/>
        <v>0</v>
      </c>
      <c r="AD221" s="78" t="b">
        <f t="shared" si="276"/>
        <v>0</v>
      </c>
      <c r="AE221" s="78" t="b">
        <f t="shared" si="276"/>
        <v>0</v>
      </c>
      <c r="AF221" s="78" t="b">
        <f t="shared" si="276"/>
        <v>0</v>
      </c>
      <c r="AG221" s="78" t="b">
        <f t="shared" si="276"/>
        <v>0</v>
      </c>
      <c r="AH221" s="78" t="b">
        <f t="shared" si="276"/>
        <v>0</v>
      </c>
      <c r="AI221" s="78" t="b">
        <f t="shared" si="276"/>
        <v>0</v>
      </c>
      <c r="AJ221" s="78" t="b">
        <f t="shared" si="276"/>
        <v>0</v>
      </c>
      <c r="AK221" s="78" t="b">
        <f t="shared" si="276"/>
        <v>0</v>
      </c>
      <c r="AL221" s="78" t="b">
        <f t="shared" si="276"/>
        <v>0</v>
      </c>
      <c r="AM221" s="78" t="b">
        <f t="shared" si="276"/>
        <v>0</v>
      </c>
      <c r="AN221" s="78" t="b">
        <f t="shared" si="276"/>
        <v>0</v>
      </c>
      <c r="AO221" s="78" t="b">
        <f t="shared" si="276"/>
        <v>0</v>
      </c>
      <c r="AP221" s="78"/>
    </row>
    <row r="222" spans="4:42" x14ac:dyDescent="0.35">
      <c r="D222" s="96"/>
      <c r="E222" s="96"/>
      <c r="G222" s="77">
        <f t="shared" si="243"/>
        <v>0</v>
      </c>
      <c r="H222" s="78">
        <f t="shared" si="244"/>
        <v>0</v>
      </c>
      <c r="I222" s="77">
        <f t="shared" si="245"/>
        <v>0</v>
      </c>
      <c r="J222" s="78">
        <f t="shared" si="246"/>
        <v>0</v>
      </c>
      <c r="K222" s="78" t="str">
        <f t="shared" si="247"/>
        <v>1900-01-00 00:0:00</v>
      </c>
      <c r="L222" s="78" t="str">
        <f t="shared" si="248"/>
        <v>1900-01-00 00:0:00</v>
      </c>
      <c r="M222" s="79">
        <f t="shared" si="249"/>
        <v>0</v>
      </c>
      <c r="N222">
        <f t="shared" si="250"/>
        <v>1</v>
      </c>
      <c r="O222" t="str">
        <f>IFERROR(_xlfn.XLOOKUP(A222,HC!A:A,HC!C:C),"")</f>
        <v>Workforce</v>
      </c>
      <c r="R222" s="78" t="b">
        <f t="shared" ref="R222:AO222" si="277">IFERROR(IF($B222=$D$1,IF(AND($K222&lt;R$1,$L222&lt;R$1),"",IF(AND($K222&gt;S$1,$L222&gt;S$1),"",IF(AND($K222&lt;R$1,$L222&lt;=S$1),$L222-R$1,IF(AND($K222&gt;=R$1,$L222&gt;S$1),S$1-$K222,IF(AND($K222&gt;=R$1,$L222&lt;=S$1),$L222-$K222,IF(AND($K222&lt;R$1,$L222&gt;S$1),S$1-R$1,""))))))),"")</f>
        <v>0</v>
      </c>
      <c r="S222" s="78" t="b">
        <f t="shared" si="277"/>
        <v>0</v>
      </c>
      <c r="T222" s="78" t="b">
        <f t="shared" si="277"/>
        <v>0</v>
      </c>
      <c r="U222" s="78" t="b">
        <f t="shared" si="277"/>
        <v>0</v>
      </c>
      <c r="V222" s="78" t="b">
        <f t="shared" si="277"/>
        <v>0</v>
      </c>
      <c r="W222" s="78" t="b">
        <f t="shared" si="277"/>
        <v>0</v>
      </c>
      <c r="X222" s="78" t="b">
        <f t="shared" si="277"/>
        <v>0</v>
      </c>
      <c r="Y222" s="78" t="b">
        <f t="shared" si="277"/>
        <v>0</v>
      </c>
      <c r="Z222" s="78" t="b">
        <f t="shared" si="277"/>
        <v>0</v>
      </c>
      <c r="AA222" s="78" t="b">
        <f t="shared" si="277"/>
        <v>0</v>
      </c>
      <c r="AB222" s="78" t="b">
        <f t="shared" si="277"/>
        <v>0</v>
      </c>
      <c r="AC222" s="78" t="b">
        <f t="shared" si="277"/>
        <v>0</v>
      </c>
      <c r="AD222" s="78" t="b">
        <f t="shared" si="277"/>
        <v>0</v>
      </c>
      <c r="AE222" s="78" t="b">
        <f t="shared" si="277"/>
        <v>0</v>
      </c>
      <c r="AF222" s="78" t="b">
        <f t="shared" si="277"/>
        <v>0</v>
      </c>
      <c r="AG222" s="78" t="b">
        <f t="shared" si="277"/>
        <v>0</v>
      </c>
      <c r="AH222" s="78" t="b">
        <f t="shared" si="277"/>
        <v>0</v>
      </c>
      <c r="AI222" s="78" t="b">
        <f t="shared" si="277"/>
        <v>0</v>
      </c>
      <c r="AJ222" s="78" t="b">
        <f t="shared" si="277"/>
        <v>0</v>
      </c>
      <c r="AK222" s="78" t="b">
        <f t="shared" si="277"/>
        <v>0</v>
      </c>
      <c r="AL222" s="78" t="b">
        <f t="shared" si="277"/>
        <v>0</v>
      </c>
      <c r="AM222" s="78" t="b">
        <f t="shared" si="277"/>
        <v>0</v>
      </c>
      <c r="AN222" s="78" t="b">
        <f t="shared" si="277"/>
        <v>0</v>
      </c>
      <c r="AO222" s="78" t="b">
        <f t="shared" si="277"/>
        <v>0</v>
      </c>
      <c r="AP222" s="78"/>
    </row>
    <row r="223" spans="4:42" x14ac:dyDescent="0.35">
      <c r="D223" s="96"/>
      <c r="E223" s="96"/>
      <c r="G223" s="77">
        <f t="shared" si="243"/>
        <v>0</v>
      </c>
      <c r="H223" s="78">
        <f t="shared" si="244"/>
        <v>0</v>
      </c>
      <c r="I223" s="77">
        <f t="shared" si="245"/>
        <v>0</v>
      </c>
      <c r="J223" s="78">
        <f t="shared" si="246"/>
        <v>0</v>
      </c>
      <c r="K223" s="78" t="str">
        <f t="shared" si="247"/>
        <v>1900-01-00 00:0:00</v>
      </c>
      <c r="L223" s="78" t="str">
        <f t="shared" si="248"/>
        <v>1900-01-00 00:0:00</v>
      </c>
      <c r="M223" s="79">
        <f t="shared" si="249"/>
        <v>0</v>
      </c>
      <c r="N223">
        <f t="shared" si="250"/>
        <v>1</v>
      </c>
      <c r="O223" t="str">
        <f>IFERROR(_xlfn.XLOOKUP(A223,HC!A:A,HC!C:C),"")</f>
        <v>Workforce</v>
      </c>
      <c r="R223" s="78" t="b">
        <f t="shared" ref="R223:AO223" si="278">IFERROR(IF($B223=$D$1,IF(AND($K223&lt;R$1,$L223&lt;R$1),"",IF(AND($K223&gt;S$1,$L223&gt;S$1),"",IF(AND($K223&lt;R$1,$L223&lt;=S$1),$L223-R$1,IF(AND($K223&gt;=R$1,$L223&gt;S$1),S$1-$K223,IF(AND($K223&gt;=R$1,$L223&lt;=S$1),$L223-$K223,IF(AND($K223&lt;R$1,$L223&gt;S$1),S$1-R$1,""))))))),"")</f>
        <v>0</v>
      </c>
      <c r="S223" s="78" t="b">
        <f t="shared" si="278"/>
        <v>0</v>
      </c>
      <c r="T223" s="78" t="b">
        <f t="shared" si="278"/>
        <v>0</v>
      </c>
      <c r="U223" s="78" t="b">
        <f t="shared" si="278"/>
        <v>0</v>
      </c>
      <c r="V223" s="78" t="b">
        <f t="shared" si="278"/>
        <v>0</v>
      </c>
      <c r="W223" s="78" t="b">
        <f t="shared" si="278"/>
        <v>0</v>
      </c>
      <c r="X223" s="78" t="b">
        <f t="shared" si="278"/>
        <v>0</v>
      </c>
      <c r="Y223" s="78" t="b">
        <f t="shared" si="278"/>
        <v>0</v>
      </c>
      <c r="Z223" s="78" t="b">
        <f t="shared" si="278"/>
        <v>0</v>
      </c>
      <c r="AA223" s="78" t="b">
        <f t="shared" si="278"/>
        <v>0</v>
      </c>
      <c r="AB223" s="78" t="b">
        <f t="shared" si="278"/>
        <v>0</v>
      </c>
      <c r="AC223" s="78" t="b">
        <f t="shared" si="278"/>
        <v>0</v>
      </c>
      <c r="AD223" s="78" t="b">
        <f t="shared" si="278"/>
        <v>0</v>
      </c>
      <c r="AE223" s="78" t="b">
        <f t="shared" si="278"/>
        <v>0</v>
      </c>
      <c r="AF223" s="78" t="b">
        <f t="shared" si="278"/>
        <v>0</v>
      </c>
      <c r="AG223" s="78" t="b">
        <f t="shared" si="278"/>
        <v>0</v>
      </c>
      <c r="AH223" s="78" t="b">
        <f t="shared" si="278"/>
        <v>0</v>
      </c>
      <c r="AI223" s="78" t="b">
        <f t="shared" si="278"/>
        <v>0</v>
      </c>
      <c r="AJ223" s="78" t="b">
        <f t="shared" si="278"/>
        <v>0</v>
      </c>
      <c r="AK223" s="78" t="b">
        <f t="shared" si="278"/>
        <v>0</v>
      </c>
      <c r="AL223" s="78" t="b">
        <f t="shared" si="278"/>
        <v>0</v>
      </c>
      <c r="AM223" s="78" t="b">
        <f t="shared" si="278"/>
        <v>0</v>
      </c>
      <c r="AN223" s="78" t="b">
        <f t="shared" si="278"/>
        <v>0</v>
      </c>
      <c r="AO223" s="78" t="b">
        <f t="shared" si="278"/>
        <v>0</v>
      </c>
      <c r="AP223" s="78"/>
    </row>
    <row r="224" spans="4:42" x14ac:dyDescent="0.35">
      <c r="D224" s="96"/>
      <c r="E224" s="96"/>
      <c r="G224" s="77">
        <f t="shared" si="243"/>
        <v>0</v>
      </c>
      <c r="H224" s="78">
        <f t="shared" si="244"/>
        <v>0</v>
      </c>
      <c r="I224" s="77">
        <f t="shared" si="245"/>
        <v>0</v>
      </c>
      <c r="J224" s="78">
        <f t="shared" si="246"/>
        <v>0</v>
      </c>
      <c r="K224" s="78" t="str">
        <f t="shared" si="247"/>
        <v>1900-01-00 00:0:00</v>
      </c>
      <c r="L224" s="78" t="str">
        <f t="shared" si="248"/>
        <v>1900-01-00 00:0:00</v>
      </c>
      <c r="M224" s="79">
        <f t="shared" si="249"/>
        <v>0</v>
      </c>
      <c r="N224">
        <f t="shared" si="250"/>
        <v>1</v>
      </c>
      <c r="O224" t="str">
        <f>IFERROR(_xlfn.XLOOKUP(A224,HC!A:A,HC!C:C),"")</f>
        <v>Workforce</v>
      </c>
      <c r="R224" s="78" t="b">
        <f t="shared" ref="R224:AO224" si="279">IFERROR(IF($B224=$D$1,IF(AND($K224&lt;R$1,$L224&lt;R$1),"",IF(AND($K224&gt;S$1,$L224&gt;S$1),"",IF(AND($K224&lt;R$1,$L224&lt;=S$1),$L224-R$1,IF(AND($K224&gt;=R$1,$L224&gt;S$1),S$1-$K224,IF(AND($K224&gt;=R$1,$L224&lt;=S$1),$L224-$K224,IF(AND($K224&lt;R$1,$L224&gt;S$1),S$1-R$1,""))))))),"")</f>
        <v>0</v>
      </c>
      <c r="S224" s="78" t="b">
        <f t="shared" si="279"/>
        <v>0</v>
      </c>
      <c r="T224" s="78" t="b">
        <f t="shared" si="279"/>
        <v>0</v>
      </c>
      <c r="U224" s="78" t="b">
        <f t="shared" si="279"/>
        <v>0</v>
      </c>
      <c r="V224" s="78" t="b">
        <f t="shared" si="279"/>
        <v>0</v>
      </c>
      <c r="W224" s="78" t="b">
        <f t="shared" si="279"/>
        <v>0</v>
      </c>
      <c r="X224" s="78" t="b">
        <f t="shared" si="279"/>
        <v>0</v>
      </c>
      <c r="Y224" s="78" t="b">
        <f t="shared" si="279"/>
        <v>0</v>
      </c>
      <c r="Z224" s="78" t="b">
        <f t="shared" si="279"/>
        <v>0</v>
      </c>
      <c r="AA224" s="78" t="b">
        <f t="shared" si="279"/>
        <v>0</v>
      </c>
      <c r="AB224" s="78" t="b">
        <f t="shared" si="279"/>
        <v>0</v>
      </c>
      <c r="AC224" s="78" t="b">
        <f t="shared" si="279"/>
        <v>0</v>
      </c>
      <c r="AD224" s="78" t="b">
        <f t="shared" si="279"/>
        <v>0</v>
      </c>
      <c r="AE224" s="78" t="b">
        <f t="shared" si="279"/>
        <v>0</v>
      </c>
      <c r="AF224" s="78" t="b">
        <f t="shared" si="279"/>
        <v>0</v>
      </c>
      <c r="AG224" s="78" t="b">
        <f t="shared" si="279"/>
        <v>0</v>
      </c>
      <c r="AH224" s="78" t="b">
        <f t="shared" si="279"/>
        <v>0</v>
      </c>
      <c r="AI224" s="78" t="b">
        <f t="shared" si="279"/>
        <v>0</v>
      </c>
      <c r="AJ224" s="78" t="b">
        <f t="shared" si="279"/>
        <v>0</v>
      </c>
      <c r="AK224" s="78" t="b">
        <f t="shared" si="279"/>
        <v>0</v>
      </c>
      <c r="AL224" s="78" t="b">
        <f t="shared" si="279"/>
        <v>0</v>
      </c>
      <c r="AM224" s="78" t="b">
        <f t="shared" si="279"/>
        <v>0</v>
      </c>
      <c r="AN224" s="78" t="b">
        <f t="shared" si="279"/>
        <v>0</v>
      </c>
      <c r="AO224" s="78" t="b">
        <f t="shared" si="279"/>
        <v>0</v>
      </c>
      <c r="AP224" s="78"/>
    </row>
    <row r="225" spans="4:42" x14ac:dyDescent="0.35">
      <c r="D225" s="96"/>
      <c r="E225" s="96"/>
      <c r="G225" s="77">
        <f t="shared" si="243"/>
        <v>0</v>
      </c>
      <c r="H225" s="78">
        <f t="shared" si="244"/>
        <v>0</v>
      </c>
      <c r="I225" s="77">
        <f t="shared" si="245"/>
        <v>0</v>
      </c>
      <c r="J225" s="78">
        <f t="shared" si="246"/>
        <v>0</v>
      </c>
      <c r="K225" s="78" t="str">
        <f t="shared" si="247"/>
        <v>1900-01-00 00:0:00</v>
      </c>
      <c r="L225" s="78" t="str">
        <f t="shared" si="248"/>
        <v>1900-01-00 00:0:00</v>
      </c>
      <c r="M225" s="79">
        <f t="shared" si="249"/>
        <v>0</v>
      </c>
      <c r="N225">
        <f t="shared" si="250"/>
        <v>1</v>
      </c>
      <c r="O225" t="str">
        <f>IFERROR(_xlfn.XLOOKUP(A225,HC!A:A,HC!C:C),"")</f>
        <v>Workforce</v>
      </c>
      <c r="R225" s="78" t="b">
        <f t="shared" ref="R225:AO225" si="280">IFERROR(IF($B225=$D$1,IF(AND($K225&lt;R$1,$L225&lt;R$1),"",IF(AND($K225&gt;S$1,$L225&gt;S$1),"",IF(AND($K225&lt;R$1,$L225&lt;=S$1),$L225-R$1,IF(AND($K225&gt;=R$1,$L225&gt;S$1),S$1-$K225,IF(AND($K225&gt;=R$1,$L225&lt;=S$1),$L225-$K225,IF(AND($K225&lt;R$1,$L225&gt;S$1),S$1-R$1,""))))))),"")</f>
        <v>0</v>
      </c>
      <c r="S225" s="78" t="b">
        <f t="shared" si="280"/>
        <v>0</v>
      </c>
      <c r="T225" s="78" t="b">
        <f t="shared" si="280"/>
        <v>0</v>
      </c>
      <c r="U225" s="78" t="b">
        <f t="shared" si="280"/>
        <v>0</v>
      </c>
      <c r="V225" s="78" t="b">
        <f t="shared" si="280"/>
        <v>0</v>
      </c>
      <c r="W225" s="78" t="b">
        <f t="shared" si="280"/>
        <v>0</v>
      </c>
      <c r="X225" s="78" t="b">
        <f t="shared" si="280"/>
        <v>0</v>
      </c>
      <c r="Y225" s="78" t="b">
        <f t="shared" si="280"/>
        <v>0</v>
      </c>
      <c r="Z225" s="78" t="b">
        <f t="shared" si="280"/>
        <v>0</v>
      </c>
      <c r="AA225" s="78" t="b">
        <f t="shared" si="280"/>
        <v>0</v>
      </c>
      <c r="AB225" s="78" t="b">
        <f t="shared" si="280"/>
        <v>0</v>
      </c>
      <c r="AC225" s="78" t="b">
        <f t="shared" si="280"/>
        <v>0</v>
      </c>
      <c r="AD225" s="78" t="b">
        <f t="shared" si="280"/>
        <v>0</v>
      </c>
      <c r="AE225" s="78" t="b">
        <f t="shared" si="280"/>
        <v>0</v>
      </c>
      <c r="AF225" s="78" t="b">
        <f t="shared" si="280"/>
        <v>0</v>
      </c>
      <c r="AG225" s="78" t="b">
        <f t="shared" si="280"/>
        <v>0</v>
      </c>
      <c r="AH225" s="78" t="b">
        <f t="shared" si="280"/>
        <v>0</v>
      </c>
      <c r="AI225" s="78" t="b">
        <f t="shared" si="280"/>
        <v>0</v>
      </c>
      <c r="AJ225" s="78" t="b">
        <f t="shared" si="280"/>
        <v>0</v>
      </c>
      <c r="AK225" s="78" t="b">
        <f t="shared" si="280"/>
        <v>0</v>
      </c>
      <c r="AL225" s="78" t="b">
        <f t="shared" si="280"/>
        <v>0</v>
      </c>
      <c r="AM225" s="78" t="b">
        <f t="shared" si="280"/>
        <v>0</v>
      </c>
      <c r="AN225" s="78" t="b">
        <f t="shared" si="280"/>
        <v>0</v>
      </c>
      <c r="AO225" s="78" t="b">
        <f t="shared" si="280"/>
        <v>0</v>
      </c>
      <c r="AP225" s="78"/>
    </row>
    <row r="226" spans="4:42" x14ac:dyDescent="0.35">
      <c r="D226" s="96"/>
      <c r="E226" s="96"/>
      <c r="G226" s="77">
        <f t="shared" si="243"/>
        <v>0</v>
      </c>
      <c r="H226" s="78">
        <f t="shared" si="244"/>
        <v>0</v>
      </c>
      <c r="I226" s="77">
        <f t="shared" si="245"/>
        <v>0</v>
      </c>
      <c r="J226" s="78">
        <f t="shared" si="246"/>
        <v>0</v>
      </c>
      <c r="K226" s="78" t="str">
        <f t="shared" si="247"/>
        <v>1900-01-00 00:0:00</v>
      </c>
      <c r="L226" s="78" t="str">
        <f t="shared" si="248"/>
        <v>1900-01-00 00:0:00</v>
      </c>
      <c r="M226" s="79">
        <f t="shared" si="249"/>
        <v>0</v>
      </c>
      <c r="N226">
        <f t="shared" si="250"/>
        <v>1</v>
      </c>
      <c r="O226" t="str">
        <f>IFERROR(_xlfn.XLOOKUP(A226,HC!A:A,HC!C:C),"")</f>
        <v>Workforce</v>
      </c>
      <c r="R226" s="78" t="b">
        <f t="shared" ref="R226:AO226" si="281">IFERROR(IF($B226=$D$1,IF(AND($K226&lt;R$1,$L226&lt;R$1),"",IF(AND($K226&gt;S$1,$L226&gt;S$1),"",IF(AND($K226&lt;R$1,$L226&lt;=S$1),$L226-R$1,IF(AND($K226&gt;=R$1,$L226&gt;S$1),S$1-$K226,IF(AND($K226&gt;=R$1,$L226&lt;=S$1),$L226-$K226,IF(AND($K226&lt;R$1,$L226&gt;S$1),S$1-R$1,""))))))),"")</f>
        <v>0</v>
      </c>
      <c r="S226" s="78" t="b">
        <f t="shared" si="281"/>
        <v>0</v>
      </c>
      <c r="T226" s="78" t="b">
        <f t="shared" si="281"/>
        <v>0</v>
      </c>
      <c r="U226" s="78" t="b">
        <f t="shared" si="281"/>
        <v>0</v>
      </c>
      <c r="V226" s="78" t="b">
        <f t="shared" si="281"/>
        <v>0</v>
      </c>
      <c r="W226" s="78" t="b">
        <f t="shared" si="281"/>
        <v>0</v>
      </c>
      <c r="X226" s="78" t="b">
        <f t="shared" si="281"/>
        <v>0</v>
      </c>
      <c r="Y226" s="78" t="b">
        <f t="shared" si="281"/>
        <v>0</v>
      </c>
      <c r="Z226" s="78" t="b">
        <f t="shared" si="281"/>
        <v>0</v>
      </c>
      <c r="AA226" s="78" t="b">
        <f t="shared" si="281"/>
        <v>0</v>
      </c>
      <c r="AB226" s="78" t="b">
        <f t="shared" si="281"/>
        <v>0</v>
      </c>
      <c r="AC226" s="78" t="b">
        <f t="shared" si="281"/>
        <v>0</v>
      </c>
      <c r="AD226" s="78" t="b">
        <f t="shared" si="281"/>
        <v>0</v>
      </c>
      <c r="AE226" s="78" t="b">
        <f t="shared" si="281"/>
        <v>0</v>
      </c>
      <c r="AF226" s="78" t="b">
        <f t="shared" si="281"/>
        <v>0</v>
      </c>
      <c r="AG226" s="78" t="b">
        <f t="shared" si="281"/>
        <v>0</v>
      </c>
      <c r="AH226" s="78" t="b">
        <f t="shared" si="281"/>
        <v>0</v>
      </c>
      <c r="AI226" s="78" t="b">
        <f t="shared" si="281"/>
        <v>0</v>
      </c>
      <c r="AJ226" s="78" t="b">
        <f t="shared" si="281"/>
        <v>0</v>
      </c>
      <c r="AK226" s="78" t="b">
        <f t="shared" si="281"/>
        <v>0</v>
      </c>
      <c r="AL226" s="78" t="b">
        <f t="shared" si="281"/>
        <v>0</v>
      </c>
      <c r="AM226" s="78" t="b">
        <f t="shared" si="281"/>
        <v>0</v>
      </c>
      <c r="AN226" s="78" t="b">
        <f t="shared" si="281"/>
        <v>0</v>
      </c>
      <c r="AO226" s="78" t="b">
        <f t="shared" si="281"/>
        <v>0</v>
      </c>
      <c r="AP226" s="78"/>
    </row>
    <row r="227" spans="4:42" x14ac:dyDescent="0.35">
      <c r="D227" s="96"/>
      <c r="E227" s="96"/>
      <c r="G227" s="77">
        <f t="shared" si="243"/>
        <v>0</v>
      </c>
      <c r="H227" s="78">
        <f t="shared" si="244"/>
        <v>0</v>
      </c>
      <c r="I227" s="77">
        <f t="shared" si="245"/>
        <v>0</v>
      </c>
      <c r="J227" s="78">
        <f t="shared" si="246"/>
        <v>0</v>
      </c>
      <c r="K227" s="78" t="str">
        <f t="shared" si="247"/>
        <v>1900-01-00 00:0:00</v>
      </c>
      <c r="L227" s="78" t="str">
        <f t="shared" si="248"/>
        <v>1900-01-00 00:0:00</v>
      </c>
      <c r="M227" s="79">
        <f t="shared" si="249"/>
        <v>0</v>
      </c>
      <c r="N227">
        <f t="shared" si="250"/>
        <v>1</v>
      </c>
      <c r="O227" t="str">
        <f>IFERROR(_xlfn.XLOOKUP(A227,HC!A:A,HC!C:C),"")</f>
        <v>Workforce</v>
      </c>
      <c r="R227" s="78" t="b">
        <f t="shared" ref="R227:AO227" si="282">IFERROR(IF($B227=$D$1,IF(AND($K227&lt;R$1,$L227&lt;R$1),"",IF(AND($K227&gt;S$1,$L227&gt;S$1),"",IF(AND($K227&lt;R$1,$L227&lt;=S$1),$L227-R$1,IF(AND($K227&gt;=R$1,$L227&gt;S$1),S$1-$K227,IF(AND($K227&gt;=R$1,$L227&lt;=S$1),$L227-$K227,IF(AND($K227&lt;R$1,$L227&gt;S$1),S$1-R$1,""))))))),"")</f>
        <v>0</v>
      </c>
      <c r="S227" s="78" t="b">
        <f t="shared" si="282"/>
        <v>0</v>
      </c>
      <c r="T227" s="78" t="b">
        <f t="shared" si="282"/>
        <v>0</v>
      </c>
      <c r="U227" s="78" t="b">
        <f t="shared" si="282"/>
        <v>0</v>
      </c>
      <c r="V227" s="78" t="b">
        <f t="shared" si="282"/>
        <v>0</v>
      </c>
      <c r="W227" s="78" t="b">
        <f t="shared" si="282"/>
        <v>0</v>
      </c>
      <c r="X227" s="78" t="b">
        <f t="shared" si="282"/>
        <v>0</v>
      </c>
      <c r="Y227" s="78" t="b">
        <f t="shared" si="282"/>
        <v>0</v>
      </c>
      <c r="Z227" s="78" t="b">
        <f t="shared" si="282"/>
        <v>0</v>
      </c>
      <c r="AA227" s="78" t="b">
        <f t="shared" si="282"/>
        <v>0</v>
      </c>
      <c r="AB227" s="78" t="b">
        <f t="shared" si="282"/>
        <v>0</v>
      </c>
      <c r="AC227" s="78" t="b">
        <f t="shared" si="282"/>
        <v>0</v>
      </c>
      <c r="AD227" s="78" t="b">
        <f t="shared" si="282"/>
        <v>0</v>
      </c>
      <c r="AE227" s="78" t="b">
        <f t="shared" si="282"/>
        <v>0</v>
      </c>
      <c r="AF227" s="78" t="b">
        <f t="shared" si="282"/>
        <v>0</v>
      </c>
      <c r="AG227" s="78" t="b">
        <f t="shared" si="282"/>
        <v>0</v>
      </c>
      <c r="AH227" s="78" t="b">
        <f t="shared" si="282"/>
        <v>0</v>
      </c>
      <c r="AI227" s="78" t="b">
        <f t="shared" si="282"/>
        <v>0</v>
      </c>
      <c r="AJ227" s="78" t="b">
        <f t="shared" si="282"/>
        <v>0</v>
      </c>
      <c r="AK227" s="78" t="b">
        <f t="shared" si="282"/>
        <v>0</v>
      </c>
      <c r="AL227" s="78" t="b">
        <f t="shared" si="282"/>
        <v>0</v>
      </c>
      <c r="AM227" s="78" t="b">
        <f t="shared" si="282"/>
        <v>0</v>
      </c>
      <c r="AN227" s="78" t="b">
        <f t="shared" si="282"/>
        <v>0</v>
      </c>
      <c r="AO227" s="78" t="b">
        <f t="shared" si="282"/>
        <v>0</v>
      </c>
      <c r="AP227" s="78"/>
    </row>
    <row r="228" spans="4:42" x14ac:dyDescent="0.35">
      <c r="D228" s="96"/>
      <c r="E228" s="96"/>
      <c r="G228" s="77">
        <f t="shared" si="243"/>
        <v>0</v>
      </c>
      <c r="H228" s="78">
        <f t="shared" si="244"/>
        <v>0</v>
      </c>
      <c r="I228" s="77">
        <f t="shared" si="245"/>
        <v>0</v>
      </c>
      <c r="J228" s="78">
        <f t="shared" si="246"/>
        <v>0</v>
      </c>
      <c r="K228" s="78" t="str">
        <f t="shared" si="247"/>
        <v>1900-01-00 00:0:00</v>
      </c>
      <c r="L228" s="78" t="str">
        <f t="shared" si="248"/>
        <v>1900-01-00 00:0:00</v>
      </c>
      <c r="M228" s="79">
        <f t="shared" si="249"/>
        <v>0</v>
      </c>
      <c r="N228">
        <f t="shared" si="250"/>
        <v>1</v>
      </c>
      <c r="O228" t="str">
        <f>IFERROR(_xlfn.XLOOKUP(A228,HC!A:A,HC!C:C),"")</f>
        <v>Workforce</v>
      </c>
      <c r="R228" s="78" t="b">
        <f t="shared" ref="R228:AO228" si="283">IFERROR(IF($B228=$D$1,IF(AND($K228&lt;R$1,$L228&lt;R$1),"",IF(AND($K228&gt;S$1,$L228&gt;S$1),"",IF(AND($K228&lt;R$1,$L228&lt;=S$1),$L228-R$1,IF(AND($K228&gt;=R$1,$L228&gt;S$1),S$1-$K228,IF(AND($K228&gt;=R$1,$L228&lt;=S$1),$L228-$K228,IF(AND($K228&lt;R$1,$L228&gt;S$1),S$1-R$1,""))))))),"")</f>
        <v>0</v>
      </c>
      <c r="S228" s="78" t="b">
        <f t="shared" si="283"/>
        <v>0</v>
      </c>
      <c r="T228" s="78" t="b">
        <f t="shared" si="283"/>
        <v>0</v>
      </c>
      <c r="U228" s="78" t="b">
        <f t="shared" si="283"/>
        <v>0</v>
      </c>
      <c r="V228" s="78" t="b">
        <f t="shared" si="283"/>
        <v>0</v>
      </c>
      <c r="W228" s="78" t="b">
        <f t="shared" si="283"/>
        <v>0</v>
      </c>
      <c r="X228" s="78" t="b">
        <f t="shared" si="283"/>
        <v>0</v>
      </c>
      <c r="Y228" s="78" t="b">
        <f t="shared" si="283"/>
        <v>0</v>
      </c>
      <c r="Z228" s="78" t="b">
        <f t="shared" si="283"/>
        <v>0</v>
      </c>
      <c r="AA228" s="78" t="b">
        <f t="shared" si="283"/>
        <v>0</v>
      </c>
      <c r="AB228" s="78" t="b">
        <f t="shared" si="283"/>
        <v>0</v>
      </c>
      <c r="AC228" s="78" t="b">
        <f t="shared" si="283"/>
        <v>0</v>
      </c>
      <c r="AD228" s="78" t="b">
        <f t="shared" si="283"/>
        <v>0</v>
      </c>
      <c r="AE228" s="78" t="b">
        <f t="shared" si="283"/>
        <v>0</v>
      </c>
      <c r="AF228" s="78" t="b">
        <f t="shared" si="283"/>
        <v>0</v>
      </c>
      <c r="AG228" s="78" t="b">
        <f t="shared" si="283"/>
        <v>0</v>
      </c>
      <c r="AH228" s="78" t="b">
        <f t="shared" si="283"/>
        <v>0</v>
      </c>
      <c r="AI228" s="78" t="b">
        <f t="shared" si="283"/>
        <v>0</v>
      </c>
      <c r="AJ228" s="78" t="b">
        <f t="shared" si="283"/>
        <v>0</v>
      </c>
      <c r="AK228" s="78" t="b">
        <f t="shared" si="283"/>
        <v>0</v>
      </c>
      <c r="AL228" s="78" t="b">
        <f t="shared" si="283"/>
        <v>0</v>
      </c>
      <c r="AM228" s="78" t="b">
        <f t="shared" si="283"/>
        <v>0</v>
      </c>
      <c r="AN228" s="78" t="b">
        <f t="shared" si="283"/>
        <v>0</v>
      </c>
      <c r="AO228" s="78" t="b">
        <f t="shared" si="283"/>
        <v>0</v>
      </c>
      <c r="AP228" s="78"/>
    </row>
    <row r="229" spans="4:42" x14ac:dyDescent="0.35">
      <c r="D229" s="96"/>
      <c r="E229" s="96"/>
      <c r="G229" s="77">
        <f t="shared" si="243"/>
        <v>0</v>
      </c>
      <c r="H229" s="78">
        <f t="shared" si="244"/>
        <v>0</v>
      </c>
      <c r="I229" s="77">
        <f t="shared" si="245"/>
        <v>0</v>
      </c>
      <c r="J229" s="78">
        <f t="shared" si="246"/>
        <v>0</v>
      </c>
      <c r="K229" s="78" t="str">
        <f t="shared" si="247"/>
        <v>1900-01-00 00:0:00</v>
      </c>
      <c r="L229" s="78" t="str">
        <f t="shared" si="248"/>
        <v>1900-01-00 00:0:00</v>
      </c>
      <c r="M229" s="79">
        <f t="shared" si="249"/>
        <v>0</v>
      </c>
      <c r="N229">
        <f t="shared" si="250"/>
        <v>1</v>
      </c>
      <c r="O229" t="str">
        <f>IFERROR(_xlfn.XLOOKUP(A229,HC!A:A,HC!C:C),"")</f>
        <v>Workforce</v>
      </c>
      <c r="R229" s="78" t="b">
        <f t="shared" ref="R229:AO229" si="284">IFERROR(IF($B229=$D$1,IF(AND($K229&lt;R$1,$L229&lt;R$1),"",IF(AND($K229&gt;S$1,$L229&gt;S$1),"",IF(AND($K229&lt;R$1,$L229&lt;=S$1),$L229-R$1,IF(AND($K229&gt;=R$1,$L229&gt;S$1),S$1-$K229,IF(AND($K229&gt;=R$1,$L229&lt;=S$1),$L229-$K229,IF(AND($K229&lt;R$1,$L229&gt;S$1),S$1-R$1,""))))))),"")</f>
        <v>0</v>
      </c>
      <c r="S229" s="78" t="b">
        <f t="shared" si="284"/>
        <v>0</v>
      </c>
      <c r="T229" s="78" t="b">
        <f t="shared" si="284"/>
        <v>0</v>
      </c>
      <c r="U229" s="78" t="b">
        <f t="shared" si="284"/>
        <v>0</v>
      </c>
      <c r="V229" s="78" t="b">
        <f t="shared" si="284"/>
        <v>0</v>
      </c>
      <c r="W229" s="78" t="b">
        <f t="shared" si="284"/>
        <v>0</v>
      </c>
      <c r="X229" s="78" t="b">
        <f t="shared" si="284"/>
        <v>0</v>
      </c>
      <c r="Y229" s="78" t="b">
        <f t="shared" si="284"/>
        <v>0</v>
      </c>
      <c r="Z229" s="78" t="b">
        <f t="shared" si="284"/>
        <v>0</v>
      </c>
      <c r="AA229" s="78" t="b">
        <f t="shared" si="284"/>
        <v>0</v>
      </c>
      <c r="AB229" s="78" t="b">
        <f t="shared" si="284"/>
        <v>0</v>
      </c>
      <c r="AC229" s="78" t="b">
        <f t="shared" si="284"/>
        <v>0</v>
      </c>
      <c r="AD229" s="78" t="b">
        <f t="shared" si="284"/>
        <v>0</v>
      </c>
      <c r="AE229" s="78" t="b">
        <f t="shared" si="284"/>
        <v>0</v>
      </c>
      <c r="AF229" s="78" t="b">
        <f t="shared" si="284"/>
        <v>0</v>
      </c>
      <c r="AG229" s="78" t="b">
        <f t="shared" si="284"/>
        <v>0</v>
      </c>
      <c r="AH229" s="78" t="b">
        <f t="shared" si="284"/>
        <v>0</v>
      </c>
      <c r="AI229" s="78" t="b">
        <f t="shared" si="284"/>
        <v>0</v>
      </c>
      <c r="AJ229" s="78" t="b">
        <f t="shared" si="284"/>
        <v>0</v>
      </c>
      <c r="AK229" s="78" t="b">
        <f t="shared" si="284"/>
        <v>0</v>
      </c>
      <c r="AL229" s="78" t="b">
        <f t="shared" si="284"/>
        <v>0</v>
      </c>
      <c r="AM229" s="78" t="b">
        <f t="shared" si="284"/>
        <v>0</v>
      </c>
      <c r="AN229" s="78" t="b">
        <f t="shared" si="284"/>
        <v>0</v>
      </c>
      <c r="AO229" s="78" t="b">
        <f t="shared" si="284"/>
        <v>0</v>
      </c>
      <c r="AP229" s="78"/>
    </row>
    <row r="230" spans="4:42" x14ac:dyDescent="0.35">
      <c r="D230" s="96"/>
      <c r="E230" s="96"/>
      <c r="G230" s="77">
        <f t="shared" si="243"/>
        <v>0</v>
      </c>
      <c r="H230" s="78">
        <f t="shared" si="244"/>
        <v>0</v>
      </c>
      <c r="I230" s="77">
        <f t="shared" si="245"/>
        <v>0</v>
      </c>
      <c r="J230" s="78">
        <f t="shared" si="246"/>
        <v>0</v>
      </c>
      <c r="K230" s="78" t="str">
        <f t="shared" si="247"/>
        <v>1900-01-00 00:0:00</v>
      </c>
      <c r="L230" s="78" t="str">
        <f t="shared" si="248"/>
        <v>1900-01-00 00:0:00</v>
      </c>
      <c r="M230" s="79">
        <f t="shared" si="249"/>
        <v>0</v>
      </c>
      <c r="N230">
        <f t="shared" si="250"/>
        <v>1</v>
      </c>
      <c r="O230" t="str">
        <f>IFERROR(_xlfn.XLOOKUP(A230,HC!A:A,HC!C:C),"")</f>
        <v>Workforce</v>
      </c>
      <c r="R230" s="78" t="b">
        <f t="shared" ref="R230:AO230" si="285">IFERROR(IF($B230=$D$1,IF(AND($K230&lt;R$1,$L230&lt;R$1),"",IF(AND($K230&gt;S$1,$L230&gt;S$1),"",IF(AND($K230&lt;R$1,$L230&lt;=S$1),$L230-R$1,IF(AND($K230&gt;=R$1,$L230&gt;S$1),S$1-$K230,IF(AND($K230&gt;=R$1,$L230&lt;=S$1),$L230-$K230,IF(AND($K230&lt;R$1,$L230&gt;S$1),S$1-R$1,""))))))),"")</f>
        <v>0</v>
      </c>
      <c r="S230" s="78" t="b">
        <f t="shared" si="285"/>
        <v>0</v>
      </c>
      <c r="T230" s="78" t="b">
        <f t="shared" si="285"/>
        <v>0</v>
      </c>
      <c r="U230" s="78" t="b">
        <f t="shared" si="285"/>
        <v>0</v>
      </c>
      <c r="V230" s="78" t="b">
        <f t="shared" si="285"/>
        <v>0</v>
      </c>
      <c r="W230" s="78" t="b">
        <f t="shared" si="285"/>
        <v>0</v>
      </c>
      <c r="X230" s="78" t="b">
        <f t="shared" si="285"/>
        <v>0</v>
      </c>
      <c r="Y230" s="78" t="b">
        <f t="shared" si="285"/>
        <v>0</v>
      </c>
      <c r="Z230" s="78" t="b">
        <f t="shared" si="285"/>
        <v>0</v>
      </c>
      <c r="AA230" s="78" t="b">
        <f t="shared" si="285"/>
        <v>0</v>
      </c>
      <c r="AB230" s="78" t="b">
        <f t="shared" si="285"/>
        <v>0</v>
      </c>
      <c r="AC230" s="78" t="b">
        <f t="shared" si="285"/>
        <v>0</v>
      </c>
      <c r="AD230" s="78" t="b">
        <f t="shared" si="285"/>
        <v>0</v>
      </c>
      <c r="AE230" s="78" t="b">
        <f t="shared" si="285"/>
        <v>0</v>
      </c>
      <c r="AF230" s="78" t="b">
        <f t="shared" si="285"/>
        <v>0</v>
      </c>
      <c r="AG230" s="78" t="b">
        <f t="shared" si="285"/>
        <v>0</v>
      </c>
      <c r="AH230" s="78" t="b">
        <f t="shared" si="285"/>
        <v>0</v>
      </c>
      <c r="AI230" s="78" t="b">
        <f t="shared" si="285"/>
        <v>0</v>
      </c>
      <c r="AJ230" s="78" t="b">
        <f t="shared" si="285"/>
        <v>0</v>
      </c>
      <c r="AK230" s="78" t="b">
        <f t="shared" si="285"/>
        <v>0</v>
      </c>
      <c r="AL230" s="78" t="b">
        <f t="shared" si="285"/>
        <v>0</v>
      </c>
      <c r="AM230" s="78" t="b">
        <f t="shared" si="285"/>
        <v>0</v>
      </c>
      <c r="AN230" s="78" t="b">
        <f t="shared" si="285"/>
        <v>0</v>
      </c>
      <c r="AO230" s="78" t="b">
        <f t="shared" si="285"/>
        <v>0</v>
      </c>
      <c r="AP230" s="78"/>
    </row>
    <row r="231" spans="4:42" x14ac:dyDescent="0.35">
      <c r="D231" s="96"/>
      <c r="E231" s="96"/>
      <c r="G231" s="77">
        <f t="shared" si="243"/>
        <v>0</v>
      </c>
      <c r="H231" s="78">
        <f t="shared" si="244"/>
        <v>0</v>
      </c>
      <c r="I231" s="77">
        <f t="shared" si="245"/>
        <v>0</v>
      </c>
      <c r="J231" s="78">
        <f t="shared" si="246"/>
        <v>0</v>
      </c>
      <c r="K231" s="78" t="str">
        <f t="shared" si="247"/>
        <v>1900-01-00 00:0:00</v>
      </c>
      <c r="L231" s="78" t="str">
        <f t="shared" si="248"/>
        <v>1900-01-00 00:0:00</v>
      </c>
      <c r="M231" s="79">
        <f t="shared" si="249"/>
        <v>0</v>
      </c>
      <c r="N231">
        <f t="shared" si="250"/>
        <v>1</v>
      </c>
      <c r="O231" t="str">
        <f>IFERROR(_xlfn.XLOOKUP(A231,HC!A:A,HC!C:C),"")</f>
        <v>Workforce</v>
      </c>
      <c r="R231" s="78" t="b">
        <f t="shared" ref="R231:AO231" si="286">IFERROR(IF($B231=$D$1,IF(AND($K231&lt;R$1,$L231&lt;R$1),"",IF(AND($K231&gt;S$1,$L231&gt;S$1),"",IF(AND($K231&lt;R$1,$L231&lt;=S$1),$L231-R$1,IF(AND($K231&gt;=R$1,$L231&gt;S$1),S$1-$K231,IF(AND($K231&gt;=R$1,$L231&lt;=S$1),$L231-$K231,IF(AND($K231&lt;R$1,$L231&gt;S$1),S$1-R$1,""))))))),"")</f>
        <v>0</v>
      </c>
      <c r="S231" s="78" t="b">
        <f t="shared" si="286"/>
        <v>0</v>
      </c>
      <c r="T231" s="78" t="b">
        <f t="shared" si="286"/>
        <v>0</v>
      </c>
      <c r="U231" s="78" t="b">
        <f t="shared" si="286"/>
        <v>0</v>
      </c>
      <c r="V231" s="78" t="b">
        <f t="shared" si="286"/>
        <v>0</v>
      </c>
      <c r="W231" s="78" t="b">
        <f t="shared" si="286"/>
        <v>0</v>
      </c>
      <c r="X231" s="78" t="b">
        <f t="shared" si="286"/>
        <v>0</v>
      </c>
      <c r="Y231" s="78" t="b">
        <f t="shared" si="286"/>
        <v>0</v>
      </c>
      <c r="Z231" s="78" t="b">
        <f t="shared" si="286"/>
        <v>0</v>
      </c>
      <c r="AA231" s="78" t="b">
        <f t="shared" si="286"/>
        <v>0</v>
      </c>
      <c r="AB231" s="78" t="b">
        <f t="shared" si="286"/>
        <v>0</v>
      </c>
      <c r="AC231" s="78" t="b">
        <f t="shared" si="286"/>
        <v>0</v>
      </c>
      <c r="AD231" s="78" t="b">
        <f t="shared" si="286"/>
        <v>0</v>
      </c>
      <c r="AE231" s="78" t="b">
        <f t="shared" si="286"/>
        <v>0</v>
      </c>
      <c r="AF231" s="78" t="b">
        <f t="shared" si="286"/>
        <v>0</v>
      </c>
      <c r="AG231" s="78" t="b">
        <f t="shared" si="286"/>
        <v>0</v>
      </c>
      <c r="AH231" s="78" t="b">
        <f t="shared" si="286"/>
        <v>0</v>
      </c>
      <c r="AI231" s="78" t="b">
        <f t="shared" si="286"/>
        <v>0</v>
      </c>
      <c r="AJ231" s="78" t="b">
        <f t="shared" si="286"/>
        <v>0</v>
      </c>
      <c r="AK231" s="78" t="b">
        <f t="shared" si="286"/>
        <v>0</v>
      </c>
      <c r="AL231" s="78" t="b">
        <f t="shared" si="286"/>
        <v>0</v>
      </c>
      <c r="AM231" s="78" t="b">
        <f t="shared" si="286"/>
        <v>0</v>
      </c>
      <c r="AN231" s="78" t="b">
        <f t="shared" si="286"/>
        <v>0</v>
      </c>
      <c r="AO231" s="78" t="b">
        <f t="shared" si="286"/>
        <v>0</v>
      </c>
      <c r="AP231" s="78"/>
    </row>
    <row r="232" spans="4:42" x14ac:dyDescent="0.35">
      <c r="D232" s="96"/>
      <c r="E232" s="96"/>
      <c r="G232" s="77">
        <f t="shared" si="243"/>
        <v>0</v>
      </c>
      <c r="H232" s="78">
        <f t="shared" si="244"/>
        <v>0</v>
      </c>
      <c r="I232" s="77">
        <f t="shared" si="245"/>
        <v>0</v>
      </c>
      <c r="J232" s="78">
        <f t="shared" si="246"/>
        <v>0</v>
      </c>
      <c r="K232" s="78" t="str">
        <f t="shared" si="247"/>
        <v>1900-01-00 00:0:00</v>
      </c>
      <c r="L232" s="78" t="str">
        <f t="shared" si="248"/>
        <v>1900-01-00 00:0:00</v>
      </c>
      <c r="M232" s="79">
        <f t="shared" si="249"/>
        <v>0</v>
      </c>
      <c r="N232">
        <f t="shared" si="250"/>
        <v>1</v>
      </c>
      <c r="O232" t="str">
        <f>IFERROR(_xlfn.XLOOKUP(A232,HC!A:A,HC!C:C),"")</f>
        <v>Workforce</v>
      </c>
      <c r="R232" s="78" t="b">
        <f t="shared" ref="R232:AO232" si="287">IFERROR(IF($B232=$D$1,IF(AND($K232&lt;R$1,$L232&lt;R$1),"",IF(AND($K232&gt;S$1,$L232&gt;S$1),"",IF(AND($K232&lt;R$1,$L232&lt;=S$1),$L232-R$1,IF(AND($K232&gt;=R$1,$L232&gt;S$1),S$1-$K232,IF(AND($K232&gt;=R$1,$L232&lt;=S$1),$L232-$K232,IF(AND($K232&lt;R$1,$L232&gt;S$1),S$1-R$1,""))))))),"")</f>
        <v>0</v>
      </c>
      <c r="S232" s="78" t="b">
        <f t="shared" si="287"/>
        <v>0</v>
      </c>
      <c r="T232" s="78" t="b">
        <f t="shared" si="287"/>
        <v>0</v>
      </c>
      <c r="U232" s="78" t="b">
        <f t="shared" si="287"/>
        <v>0</v>
      </c>
      <c r="V232" s="78" t="b">
        <f t="shared" si="287"/>
        <v>0</v>
      </c>
      <c r="W232" s="78" t="b">
        <f t="shared" si="287"/>
        <v>0</v>
      </c>
      <c r="X232" s="78" t="b">
        <f t="shared" si="287"/>
        <v>0</v>
      </c>
      <c r="Y232" s="78" t="b">
        <f t="shared" si="287"/>
        <v>0</v>
      </c>
      <c r="Z232" s="78" t="b">
        <f t="shared" si="287"/>
        <v>0</v>
      </c>
      <c r="AA232" s="78" t="b">
        <f t="shared" si="287"/>
        <v>0</v>
      </c>
      <c r="AB232" s="78" t="b">
        <f t="shared" si="287"/>
        <v>0</v>
      </c>
      <c r="AC232" s="78" t="b">
        <f t="shared" si="287"/>
        <v>0</v>
      </c>
      <c r="AD232" s="78" t="b">
        <f t="shared" si="287"/>
        <v>0</v>
      </c>
      <c r="AE232" s="78" t="b">
        <f t="shared" si="287"/>
        <v>0</v>
      </c>
      <c r="AF232" s="78" t="b">
        <f t="shared" si="287"/>
        <v>0</v>
      </c>
      <c r="AG232" s="78" t="b">
        <f t="shared" si="287"/>
        <v>0</v>
      </c>
      <c r="AH232" s="78" t="b">
        <f t="shared" si="287"/>
        <v>0</v>
      </c>
      <c r="AI232" s="78" t="b">
        <f t="shared" si="287"/>
        <v>0</v>
      </c>
      <c r="AJ232" s="78" t="b">
        <f t="shared" si="287"/>
        <v>0</v>
      </c>
      <c r="AK232" s="78" t="b">
        <f t="shared" si="287"/>
        <v>0</v>
      </c>
      <c r="AL232" s="78" t="b">
        <f t="shared" si="287"/>
        <v>0</v>
      </c>
      <c r="AM232" s="78" t="b">
        <f t="shared" si="287"/>
        <v>0</v>
      </c>
      <c r="AN232" s="78" t="b">
        <f t="shared" si="287"/>
        <v>0</v>
      </c>
      <c r="AO232" s="78" t="b">
        <f t="shared" si="287"/>
        <v>0</v>
      </c>
      <c r="AP232" s="78"/>
    </row>
    <row r="233" spans="4:42" x14ac:dyDescent="0.35">
      <c r="D233" s="96"/>
      <c r="E233" s="96"/>
      <c r="G233" s="77">
        <f t="shared" si="243"/>
        <v>0</v>
      </c>
      <c r="H233" s="78">
        <f t="shared" si="244"/>
        <v>0</v>
      </c>
      <c r="I233" s="77">
        <f t="shared" si="245"/>
        <v>0</v>
      </c>
      <c r="J233" s="78">
        <f t="shared" si="246"/>
        <v>0</v>
      </c>
      <c r="K233" s="78" t="str">
        <f t="shared" si="247"/>
        <v>1900-01-00 00:0:00</v>
      </c>
      <c r="L233" s="78" t="str">
        <f t="shared" si="248"/>
        <v>1900-01-00 00:0:00</v>
      </c>
      <c r="M233" s="79">
        <f t="shared" si="249"/>
        <v>0</v>
      </c>
      <c r="N233">
        <f t="shared" si="250"/>
        <v>1</v>
      </c>
      <c r="O233" t="str">
        <f>IFERROR(_xlfn.XLOOKUP(A233,HC!A:A,HC!C:C),"")</f>
        <v>Workforce</v>
      </c>
      <c r="R233" s="78" t="b">
        <f t="shared" ref="R233:AO233" si="288">IFERROR(IF($B233=$D$1,IF(AND($K233&lt;R$1,$L233&lt;R$1),"",IF(AND($K233&gt;S$1,$L233&gt;S$1),"",IF(AND($K233&lt;R$1,$L233&lt;=S$1),$L233-R$1,IF(AND($K233&gt;=R$1,$L233&gt;S$1),S$1-$K233,IF(AND($K233&gt;=R$1,$L233&lt;=S$1),$L233-$K233,IF(AND($K233&lt;R$1,$L233&gt;S$1),S$1-R$1,""))))))),"")</f>
        <v>0</v>
      </c>
      <c r="S233" s="78" t="b">
        <f t="shared" si="288"/>
        <v>0</v>
      </c>
      <c r="T233" s="78" t="b">
        <f t="shared" si="288"/>
        <v>0</v>
      </c>
      <c r="U233" s="78" t="b">
        <f t="shared" si="288"/>
        <v>0</v>
      </c>
      <c r="V233" s="78" t="b">
        <f t="shared" si="288"/>
        <v>0</v>
      </c>
      <c r="W233" s="78" t="b">
        <f t="shared" si="288"/>
        <v>0</v>
      </c>
      <c r="X233" s="78" t="b">
        <f t="shared" si="288"/>
        <v>0</v>
      </c>
      <c r="Y233" s="78" t="b">
        <f t="shared" si="288"/>
        <v>0</v>
      </c>
      <c r="Z233" s="78" t="b">
        <f t="shared" si="288"/>
        <v>0</v>
      </c>
      <c r="AA233" s="78" t="b">
        <f t="shared" si="288"/>
        <v>0</v>
      </c>
      <c r="AB233" s="78" t="b">
        <f t="shared" si="288"/>
        <v>0</v>
      </c>
      <c r="AC233" s="78" t="b">
        <f t="shared" si="288"/>
        <v>0</v>
      </c>
      <c r="AD233" s="78" t="b">
        <f t="shared" si="288"/>
        <v>0</v>
      </c>
      <c r="AE233" s="78" t="b">
        <f t="shared" si="288"/>
        <v>0</v>
      </c>
      <c r="AF233" s="78" t="b">
        <f t="shared" si="288"/>
        <v>0</v>
      </c>
      <c r="AG233" s="78" t="b">
        <f t="shared" si="288"/>
        <v>0</v>
      </c>
      <c r="AH233" s="78" t="b">
        <f t="shared" si="288"/>
        <v>0</v>
      </c>
      <c r="AI233" s="78" t="b">
        <f t="shared" si="288"/>
        <v>0</v>
      </c>
      <c r="AJ233" s="78" t="b">
        <f t="shared" si="288"/>
        <v>0</v>
      </c>
      <c r="AK233" s="78" t="b">
        <f t="shared" si="288"/>
        <v>0</v>
      </c>
      <c r="AL233" s="78" t="b">
        <f t="shared" si="288"/>
        <v>0</v>
      </c>
      <c r="AM233" s="78" t="b">
        <f t="shared" si="288"/>
        <v>0</v>
      </c>
      <c r="AN233" s="78" t="b">
        <f t="shared" si="288"/>
        <v>0</v>
      </c>
      <c r="AO233" s="78" t="b">
        <f t="shared" si="288"/>
        <v>0</v>
      </c>
      <c r="AP233" s="78"/>
    </row>
    <row r="234" spans="4:42" x14ac:dyDescent="0.35">
      <c r="D234" s="96"/>
      <c r="E234" s="96"/>
      <c r="G234" s="77">
        <f t="shared" si="243"/>
        <v>0</v>
      </c>
      <c r="H234" s="78">
        <f t="shared" si="244"/>
        <v>0</v>
      </c>
      <c r="I234" s="77">
        <f t="shared" si="245"/>
        <v>0</v>
      </c>
      <c r="J234" s="78">
        <f t="shared" si="246"/>
        <v>0</v>
      </c>
      <c r="K234" s="78" t="str">
        <f t="shared" si="247"/>
        <v>1900-01-00 00:0:00</v>
      </c>
      <c r="L234" s="78" t="str">
        <f t="shared" si="248"/>
        <v>1900-01-00 00:0:00</v>
      </c>
      <c r="M234" s="79">
        <f t="shared" si="249"/>
        <v>0</v>
      </c>
      <c r="N234">
        <f t="shared" si="250"/>
        <v>1</v>
      </c>
      <c r="O234" t="str">
        <f>IFERROR(_xlfn.XLOOKUP(A234,HC!A:A,HC!C:C),"")</f>
        <v>Workforce</v>
      </c>
      <c r="R234" s="78" t="b">
        <f t="shared" ref="R234:AO234" si="289">IFERROR(IF($B234=$D$1,IF(AND($K234&lt;R$1,$L234&lt;R$1),"",IF(AND($K234&gt;S$1,$L234&gt;S$1),"",IF(AND($K234&lt;R$1,$L234&lt;=S$1),$L234-R$1,IF(AND($K234&gt;=R$1,$L234&gt;S$1),S$1-$K234,IF(AND($K234&gt;=R$1,$L234&lt;=S$1),$L234-$K234,IF(AND($K234&lt;R$1,$L234&gt;S$1),S$1-R$1,""))))))),"")</f>
        <v>0</v>
      </c>
      <c r="S234" s="78" t="b">
        <f t="shared" si="289"/>
        <v>0</v>
      </c>
      <c r="T234" s="78" t="b">
        <f t="shared" si="289"/>
        <v>0</v>
      </c>
      <c r="U234" s="78" t="b">
        <f t="shared" si="289"/>
        <v>0</v>
      </c>
      <c r="V234" s="78" t="b">
        <f t="shared" si="289"/>
        <v>0</v>
      </c>
      <c r="W234" s="78" t="b">
        <f t="shared" si="289"/>
        <v>0</v>
      </c>
      <c r="X234" s="78" t="b">
        <f t="shared" si="289"/>
        <v>0</v>
      </c>
      <c r="Y234" s="78" t="b">
        <f t="shared" si="289"/>
        <v>0</v>
      </c>
      <c r="Z234" s="78" t="b">
        <f t="shared" si="289"/>
        <v>0</v>
      </c>
      <c r="AA234" s="78" t="b">
        <f t="shared" si="289"/>
        <v>0</v>
      </c>
      <c r="AB234" s="78" t="b">
        <f t="shared" si="289"/>
        <v>0</v>
      </c>
      <c r="AC234" s="78" t="b">
        <f t="shared" si="289"/>
        <v>0</v>
      </c>
      <c r="AD234" s="78" t="b">
        <f t="shared" si="289"/>
        <v>0</v>
      </c>
      <c r="AE234" s="78" t="b">
        <f t="shared" si="289"/>
        <v>0</v>
      </c>
      <c r="AF234" s="78" t="b">
        <f t="shared" si="289"/>
        <v>0</v>
      </c>
      <c r="AG234" s="78" t="b">
        <f t="shared" si="289"/>
        <v>0</v>
      </c>
      <c r="AH234" s="78" t="b">
        <f t="shared" si="289"/>
        <v>0</v>
      </c>
      <c r="AI234" s="78" t="b">
        <f t="shared" si="289"/>
        <v>0</v>
      </c>
      <c r="AJ234" s="78" t="b">
        <f t="shared" si="289"/>
        <v>0</v>
      </c>
      <c r="AK234" s="78" t="b">
        <f t="shared" si="289"/>
        <v>0</v>
      </c>
      <c r="AL234" s="78" t="b">
        <f t="shared" si="289"/>
        <v>0</v>
      </c>
      <c r="AM234" s="78" t="b">
        <f t="shared" si="289"/>
        <v>0</v>
      </c>
      <c r="AN234" s="78" t="b">
        <f t="shared" si="289"/>
        <v>0</v>
      </c>
      <c r="AO234" s="78" t="b">
        <f t="shared" si="289"/>
        <v>0</v>
      </c>
      <c r="AP234" s="78"/>
    </row>
    <row r="235" spans="4:42" x14ac:dyDescent="0.35">
      <c r="D235" s="96"/>
      <c r="E235" s="96"/>
      <c r="G235" s="77">
        <f t="shared" si="243"/>
        <v>0</v>
      </c>
      <c r="H235" s="78">
        <f t="shared" si="244"/>
        <v>0</v>
      </c>
      <c r="I235" s="77">
        <f t="shared" si="245"/>
        <v>0</v>
      </c>
      <c r="J235" s="78">
        <f t="shared" si="246"/>
        <v>0</v>
      </c>
      <c r="K235" s="78" t="str">
        <f t="shared" si="247"/>
        <v>1900-01-00 00:0:00</v>
      </c>
      <c r="L235" s="78" t="str">
        <f t="shared" si="248"/>
        <v>1900-01-00 00:0:00</v>
      </c>
      <c r="M235" s="79">
        <f t="shared" si="249"/>
        <v>0</v>
      </c>
      <c r="N235">
        <f t="shared" si="250"/>
        <v>1</v>
      </c>
      <c r="O235" t="str">
        <f>IFERROR(_xlfn.XLOOKUP(A235,HC!A:A,HC!C:C),"")</f>
        <v>Workforce</v>
      </c>
      <c r="R235" s="78" t="b">
        <f t="shared" ref="R235:AO235" si="290">IFERROR(IF($B235=$D$1,IF(AND($K235&lt;R$1,$L235&lt;R$1),"",IF(AND($K235&gt;S$1,$L235&gt;S$1),"",IF(AND($K235&lt;R$1,$L235&lt;=S$1),$L235-R$1,IF(AND($K235&gt;=R$1,$L235&gt;S$1),S$1-$K235,IF(AND($K235&gt;=R$1,$L235&lt;=S$1),$L235-$K235,IF(AND($K235&lt;R$1,$L235&gt;S$1),S$1-R$1,""))))))),"")</f>
        <v>0</v>
      </c>
      <c r="S235" s="78" t="b">
        <f t="shared" si="290"/>
        <v>0</v>
      </c>
      <c r="T235" s="78" t="b">
        <f t="shared" si="290"/>
        <v>0</v>
      </c>
      <c r="U235" s="78" t="b">
        <f t="shared" si="290"/>
        <v>0</v>
      </c>
      <c r="V235" s="78" t="b">
        <f t="shared" si="290"/>
        <v>0</v>
      </c>
      <c r="W235" s="78" t="b">
        <f t="shared" si="290"/>
        <v>0</v>
      </c>
      <c r="X235" s="78" t="b">
        <f t="shared" si="290"/>
        <v>0</v>
      </c>
      <c r="Y235" s="78" t="b">
        <f t="shared" si="290"/>
        <v>0</v>
      </c>
      <c r="Z235" s="78" t="b">
        <f t="shared" si="290"/>
        <v>0</v>
      </c>
      <c r="AA235" s="78" t="b">
        <f t="shared" si="290"/>
        <v>0</v>
      </c>
      <c r="AB235" s="78" t="b">
        <f t="shared" si="290"/>
        <v>0</v>
      </c>
      <c r="AC235" s="78" t="b">
        <f t="shared" si="290"/>
        <v>0</v>
      </c>
      <c r="AD235" s="78" t="b">
        <f t="shared" si="290"/>
        <v>0</v>
      </c>
      <c r="AE235" s="78" t="b">
        <f t="shared" si="290"/>
        <v>0</v>
      </c>
      <c r="AF235" s="78" t="b">
        <f t="shared" si="290"/>
        <v>0</v>
      </c>
      <c r="AG235" s="78" t="b">
        <f t="shared" si="290"/>
        <v>0</v>
      </c>
      <c r="AH235" s="78" t="b">
        <f t="shared" si="290"/>
        <v>0</v>
      </c>
      <c r="AI235" s="78" t="b">
        <f t="shared" si="290"/>
        <v>0</v>
      </c>
      <c r="AJ235" s="78" t="b">
        <f t="shared" si="290"/>
        <v>0</v>
      </c>
      <c r="AK235" s="78" t="b">
        <f t="shared" si="290"/>
        <v>0</v>
      </c>
      <c r="AL235" s="78" t="b">
        <f t="shared" si="290"/>
        <v>0</v>
      </c>
      <c r="AM235" s="78" t="b">
        <f t="shared" si="290"/>
        <v>0</v>
      </c>
      <c r="AN235" s="78" t="b">
        <f t="shared" si="290"/>
        <v>0</v>
      </c>
      <c r="AO235" s="78" t="b">
        <f t="shared" si="290"/>
        <v>0</v>
      </c>
      <c r="AP235" s="78"/>
    </row>
    <row r="236" spans="4:42" x14ac:dyDescent="0.35">
      <c r="D236" s="96"/>
      <c r="E236" s="96"/>
      <c r="G236" s="77">
        <f t="shared" si="243"/>
        <v>0</v>
      </c>
      <c r="H236" s="78">
        <f t="shared" si="244"/>
        <v>0</v>
      </c>
      <c r="I236" s="77">
        <f t="shared" si="245"/>
        <v>0</v>
      </c>
      <c r="J236" s="78">
        <f t="shared" si="246"/>
        <v>0</v>
      </c>
      <c r="K236" s="78" t="str">
        <f t="shared" si="247"/>
        <v>1900-01-00 00:0:00</v>
      </c>
      <c r="L236" s="78" t="str">
        <f t="shared" si="248"/>
        <v>1900-01-00 00:0:00</v>
      </c>
      <c r="M236" s="79">
        <f t="shared" si="249"/>
        <v>0</v>
      </c>
      <c r="N236">
        <f t="shared" si="250"/>
        <v>1</v>
      </c>
      <c r="O236" t="str">
        <f>IFERROR(_xlfn.XLOOKUP(A236,HC!A:A,HC!C:C),"")</f>
        <v>Workforce</v>
      </c>
      <c r="R236" s="78" t="b">
        <f t="shared" ref="R236:AO236" si="291">IFERROR(IF($B236=$D$1,IF(AND($K236&lt;R$1,$L236&lt;R$1),"",IF(AND($K236&gt;S$1,$L236&gt;S$1),"",IF(AND($K236&lt;R$1,$L236&lt;=S$1),$L236-R$1,IF(AND($K236&gt;=R$1,$L236&gt;S$1),S$1-$K236,IF(AND($K236&gt;=R$1,$L236&lt;=S$1),$L236-$K236,IF(AND($K236&lt;R$1,$L236&gt;S$1),S$1-R$1,""))))))),"")</f>
        <v>0</v>
      </c>
      <c r="S236" s="78" t="b">
        <f t="shared" si="291"/>
        <v>0</v>
      </c>
      <c r="T236" s="78" t="b">
        <f t="shared" si="291"/>
        <v>0</v>
      </c>
      <c r="U236" s="78" t="b">
        <f t="shared" si="291"/>
        <v>0</v>
      </c>
      <c r="V236" s="78" t="b">
        <f t="shared" si="291"/>
        <v>0</v>
      </c>
      <c r="W236" s="78" t="b">
        <f t="shared" si="291"/>
        <v>0</v>
      </c>
      <c r="X236" s="78" t="b">
        <f t="shared" si="291"/>
        <v>0</v>
      </c>
      <c r="Y236" s="78" t="b">
        <f t="shared" si="291"/>
        <v>0</v>
      </c>
      <c r="Z236" s="78" t="b">
        <f t="shared" si="291"/>
        <v>0</v>
      </c>
      <c r="AA236" s="78" t="b">
        <f t="shared" si="291"/>
        <v>0</v>
      </c>
      <c r="AB236" s="78" t="b">
        <f t="shared" si="291"/>
        <v>0</v>
      </c>
      <c r="AC236" s="78" t="b">
        <f t="shared" si="291"/>
        <v>0</v>
      </c>
      <c r="AD236" s="78" t="b">
        <f t="shared" si="291"/>
        <v>0</v>
      </c>
      <c r="AE236" s="78" t="b">
        <f t="shared" si="291"/>
        <v>0</v>
      </c>
      <c r="AF236" s="78" t="b">
        <f t="shared" si="291"/>
        <v>0</v>
      </c>
      <c r="AG236" s="78" t="b">
        <f t="shared" si="291"/>
        <v>0</v>
      </c>
      <c r="AH236" s="78" t="b">
        <f t="shared" si="291"/>
        <v>0</v>
      </c>
      <c r="AI236" s="78" t="b">
        <f t="shared" si="291"/>
        <v>0</v>
      </c>
      <c r="AJ236" s="78" t="b">
        <f t="shared" si="291"/>
        <v>0</v>
      </c>
      <c r="AK236" s="78" t="b">
        <f t="shared" si="291"/>
        <v>0</v>
      </c>
      <c r="AL236" s="78" t="b">
        <f t="shared" si="291"/>
        <v>0</v>
      </c>
      <c r="AM236" s="78" t="b">
        <f t="shared" si="291"/>
        <v>0</v>
      </c>
      <c r="AN236" s="78" t="b">
        <f t="shared" si="291"/>
        <v>0</v>
      </c>
      <c r="AO236" s="78" t="b">
        <f t="shared" si="291"/>
        <v>0</v>
      </c>
      <c r="AP236" s="78"/>
    </row>
    <row r="237" spans="4:42" x14ac:dyDescent="0.35">
      <c r="D237" s="96"/>
      <c r="E237" s="96"/>
      <c r="G237" s="77">
        <f t="shared" si="243"/>
        <v>0</v>
      </c>
      <c r="H237" s="78">
        <f t="shared" si="244"/>
        <v>0</v>
      </c>
      <c r="I237" s="77">
        <f t="shared" si="245"/>
        <v>0</v>
      </c>
      <c r="J237" s="78">
        <f t="shared" si="246"/>
        <v>0</v>
      </c>
      <c r="K237" s="78" t="str">
        <f t="shared" si="247"/>
        <v>1900-01-00 00:0:00</v>
      </c>
      <c r="L237" s="78" t="str">
        <f t="shared" si="248"/>
        <v>1900-01-00 00:0:00</v>
      </c>
      <c r="M237" s="79">
        <f t="shared" si="249"/>
        <v>0</v>
      </c>
      <c r="N237">
        <f t="shared" si="250"/>
        <v>1</v>
      </c>
      <c r="O237" t="str">
        <f>IFERROR(_xlfn.XLOOKUP(A237,HC!A:A,HC!C:C),"")</f>
        <v>Workforce</v>
      </c>
      <c r="R237" s="78" t="b">
        <f t="shared" ref="R237:AO237" si="292">IFERROR(IF($B237=$D$1,IF(AND($K237&lt;R$1,$L237&lt;R$1),"",IF(AND($K237&gt;S$1,$L237&gt;S$1),"",IF(AND($K237&lt;R$1,$L237&lt;=S$1),$L237-R$1,IF(AND($K237&gt;=R$1,$L237&gt;S$1),S$1-$K237,IF(AND($K237&gt;=R$1,$L237&lt;=S$1),$L237-$K237,IF(AND($K237&lt;R$1,$L237&gt;S$1),S$1-R$1,""))))))),"")</f>
        <v>0</v>
      </c>
      <c r="S237" s="78" t="b">
        <f t="shared" si="292"/>
        <v>0</v>
      </c>
      <c r="T237" s="78" t="b">
        <f t="shared" si="292"/>
        <v>0</v>
      </c>
      <c r="U237" s="78" t="b">
        <f t="shared" si="292"/>
        <v>0</v>
      </c>
      <c r="V237" s="78" t="b">
        <f t="shared" si="292"/>
        <v>0</v>
      </c>
      <c r="W237" s="78" t="b">
        <f t="shared" si="292"/>
        <v>0</v>
      </c>
      <c r="X237" s="78" t="b">
        <f t="shared" si="292"/>
        <v>0</v>
      </c>
      <c r="Y237" s="78" t="b">
        <f t="shared" si="292"/>
        <v>0</v>
      </c>
      <c r="Z237" s="78" t="b">
        <f t="shared" si="292"/>
        <v>0</v>
      </c>
      <c r="AA237" s="78" t="b">
        <f t="shared" si="292"/>
        <v>0</v>
      </c>
      <c r="AB237" s="78" t="b">
        <f t="shared" si="292"/>
        <v>0</v>
      </c>
      <c r="AC237" s="78" t="b">
        <f t="shared" si="292"/>
        <v>0</v>
      </c>
      <c r="AD237" s="78" t="b">
        <f t="shared" si="292"/>
        <v>0</v>
      </c>
      <c r="AE237" s="78" t="b">
        <f t="shared" si="292"/>
        <v>0</v>
      </c>
      <c r="AF237" s="78" t="b">
        <f t="shared" si="292"/>
        <v>0</v>
      </c>
      <c r="AG237" s="78" t="b">
        <f t="shared" si="292"/>
        <v>0</v>
      </c>
      <c r="AH237" s="78" t="b">
        <f t="shared" si="292"/>
        <v>0</v>
      </c>
      <c r="AI237" s="78" t="b">
        <f t="shared" si="292"/>
        <v>0</v>
      </c>
      <c r="AJ237" s="78" t="b">
        <f t="shared" si="292"/>
        <v>0</v>
      </c>
      <c r="AK237" s="78" t="b">
        <f t="shared" si="292"/>
        <v>0</v>
      </c>
      <c r="AL237" s="78" t="b">
        <f t="shared" si="292"/>
        <v>0</v>
      </c>
      <c r="AM237" s="78" t="b">
        <f t="shared" si="292"/>
        <v>0</v>
      </c>
      <c r="AN237" s="78" t="b">
        <f t="shared" si="292"/>
        <v>0</v>
      </c>
      <c r="AO237" s="78" t="b">
        <f t="shared" si="292"/>
        <v>0</v>
      </c>
      <c r="AP237" s="78"/>
    </row>
    <row r="238" spans="4:42" x14ac:dyDescent="0.35">
      <c r="D238" s="96"/>
      <c r="E238" s="96"/>
      <c r="G238" s="77">
        <f t="shared" si="243"/>
        <v>0</v>
      </c>
      <c r="H238" s="78">
        <f t="shared" si="244"/>
        <v>0</v>
      </c>
      <c r="I238" s="77">
        <f t="shared" si="245"/>
        <v>0</v>
      </c>
      <c r="J238" s="78">
        <f t="shared" si="246"/>
        <v>0</v>
      </c>
      <c r="K238" s="78" t="str">
        <f t="shared" si="247"/>
        <v>1900-01-00 00:0:00</v>
      </c>
      <c r="L238" s="78" t="str">
        <f t="shared" si="248"/>
        <v>1900-01-00 00:0:00</v>
      </c>
      <c r="M238" s="79">
        <f t="shared" si="249"/>
        <v>0</v>
      </c>
      <c r="N238">
        <f t="shared" si="250"/>
        <v>1</v>
      </c>
      <c r="O238" t="str">
        <f>IFERROR(_xlfn.XLOOKUP(A238,HC!A:A,HC!C:C),"")</f>
        <v>Workforce</v>
      </c>
      <c r="R238" s="78" t="b">
        <f t="shared" ref="R238:AO238" si="293">IFERROR(IF($B238=$D$1,IF(AND($K238&lt;R$1,$L238&lt;R$1),"",IF(AND($K238&gt;S$1,$L238&gt;S$1),"",IF(AND($K238&lt;R$1,$L238&lt;=S$1),$L238-R$1,IF(AND($K238&gt;=R$1,$L238&gt;S$1),S$1-$K238,IF(AND($K238&gt;=R$1,$L238&lt;=S$1),$L238-$K238,IF(AND($K238&lt;R$1,$L238&gt;S$1),S$1-R$1,""))))))),"")</f>
        <v>0</v>
      </c>
      <c r="S238" s="78" t="b">
        <f t="shared" si="293"/>
        <v>0</v>
      </c>
      <c r="T238" s="78" t="b">
        <f t="shared" si="293"/>
        <v>0</v>
      </c>
      <c r="U238" s="78" t="b">
        <f t="shared" si="293"/>
        <v>0</v>
      </c>
      <c r="V238" s="78" t="b">
        <f t="shared" si="293"/>
        <v>0</v>
      </c>
      <c r="W238" s="78" t="b">
        <f t="shared" si="293"/>
        <v>0</v>
      </c>
      <c r="X238" s="78" t="b">
        <f t="shared" si="293"/>
        <v>0</v>
      </c>
      <c r="Y238" s="78" t="b">
        <f t="shared" si="293"/>
        <v>0</v>
      </c>
      <c r="Z238" s="78" t="b">
        <f t="shared" si="293"/>
        <v>0</v>
      </c>
      <c r="AA238" s="78" t="b">
        <f t="shared" si="293"/>
        <v>0</v>
      </c>
      <c r="AB238" s="78" t="b">
        <f t="shared" si="293"/>
        <v>0</v>
      </c>
      <c r="AC238" s="78" t="b">
        <f t="shared" si="293"/>
        <v>0</v>
      </c>
      <c r="AD238" s="78" t="b">
        <f t="shared" si="293"/>
        <v>0</v>
      </c>
      <c r="AE238" s="78" t="b">
        <f t="shared" si="293"/>
        <v>0</v>
      </c>
      <c r="AF238" s="78" t="b">
        <f t="shared" si="293"/>
        <v>0</v>
      </c>
      <c r="AG238" s="78" t="b">
        <f t="shared" si="293"/>
        <v>0</v>
      </c>
      <c r="AH238" s="78" t="b">
        <f t="shared" si="293"/>
        <v>0</v>
      </c>
      <c r="AI238" s="78" t="b">
        <f t="shared" si="293"/>
        <v>0</v>
      </c>
      <c r="AJ238" s="78" t="b">
        <f t="shared" si="293"/>
        <v>0</v>
      </c>
      <c r="AK238" s="78" t="b">
        <f t="shared" si="293"/>
        <v>0</v>
      </c>
      <c r="AL238" s="78" t="b">
        <f t="shared" si="293"/>
        <v>0</v>
      </c>
      <c r="AM238" s="78" t="b">
        <f t="shared" si="293"/>
        <v>0</v>
      </c>
      <c r="AN238" s="78" t="b">
        <f t="shared" si="293"/>
        <v>0</v>
      </c>
      <c r="AO238" s="78" t="b">
        <f t="shared" si="293"/>
        <v>0</v>
      </c>
      <c r="AP238" s="78"/>
    </row>
    <row r="239" spans="4:42" x14ac:dyDescent="0.35">
      <c r="D239" s="96"/>
      <c r="E239" s="96"/>
      <c r="G239" s="77">
        <f t="shared" si="243"/>
        <v>0</v>
      </c>
      <c r="H239" s="78">
        <f t="shared" si="244"/>
        <v>0</v>
      </c>
      <c r="I239" s="77">
        <f t="shared" si="245"/>
        <v>0</v>
      </c>
      <c r="J239" s="78">
        <f t="shared" si="246"/>
        <v>0</v>
      </c>
      <c r="K239" s="78" t="str">
        <f t="shared" si="247"/>
        <v>1900-01-00 00:0:00</v>
      </c>
      <c r="L239" s="78" t="str">
        <f t="shared" si="248"/>
        <v>1900-01-00 00:0:00</v>
      </c>
      <c r="M239" s="79">
        <f t="shared" si="249"/>
        <v>0</v>
      </c>
      <c r="N239">
        <f t="shared" si="250"/>
        <v>1</v>
      </c>
      <c r="O239" t="str">
        <f>IFERROR(_xlfn.XLOOKUP(A239,HC!A:A,HC!C:C),"")</f>
        <v>Workforce</v>
      </c>
      <c r="R239" s="78" t="b">
        <f t="shared" ref="R239:AO239" si="294">IFERROR(IF($B239=$D$1,IF(AND($K239&lt;R$1,$L239&lt;R$1),"",IF(AND($K239&gt;S$1,$L239&gt;S$1),"",IF(AND($K239&lt;R$1,$L239&lt;=S$1),$L239-R$1,IF(AND($K239&gt;=R$1,$L239&gt;S$1),S$1-$K239,IF(AND($K239&gt;=R$1,$L239&lt;=S$1),$L239-$K239,IF(AND($K239&lt;R$1,$L239&gt;S$1),S$1-R$1,""))))))),"")</f>
        <v>0</v>
      </c>
      <c r="S239" s="78" t="b">
        <f t="shared" si="294"/>
        <v>0</v>
      </c>
      <c r="T239" s="78" t="b">
        <f t="shared" si="294"/>
        <v>0</v>
      </c>
      <c r="U239" s="78" t="b">
        <f t="shared" si="294"/>
        <v>0</v>
      </c>
      <c r="V239" s="78" t="b">
        <f t="shared" si="294"/>
        <v>0</v>
      </c>
      <c r="W239" s="78" t="b">
        <f t="shared" si="294"/>
        <v>0</v>
      </c>
      <c r="X239" s="78" t="b">
        <f t="shared" si="294"/>
        <v>0</v>
      </c>
      <c r="Y239" s="78" t="b">
        <f t="shared" si="294"/>
        <v>0</v>
      </c>
      <c r="Z239" s="78" t="b">
        <f t="shared" si="294"/>
        <v>0</v>
      </c>
      <c r="AA239" s="78" t="b">
        <f t="shared" si="294"/>
        <v>0</v>
      </c>
      <c r="AB239" s="78" t="b">
        <f t="shared" si="294"/>
        <v>0</v>
      </c>
      <c r="AC239" s="78" t="b">
        <f t="shared" si="294"/>
        <v>0</v>
      </c>
      <c r="AD239" s="78" t="b">
        <f t="shared" si="294"/>
        <v>0</v>
      </c>
      <c r="AE239" s="78" t="b">
        <f t="shared" si="294"/>
        <v>0</v>
      </c>
      <c r="AF239" s="78" t="b">
        <f t="shared" si="294"/>
        <v>0</v>
      </c>
      <c r="AG239" s="78" t="b">
        <f t="shared" si="294"/>
        <v>0</v>
      </c>
      <c r="AH239" s="78" t="b">
        <f t="shared" si="294"/>
        <v>0</v>
      </c>
      <c r="AI239" s="78" t="b">
        <f t="shared" si="294"/>
        <v>0</v>
      </c>
      <c r="AJ239" s="78" t="b">
        <f t="shared" si="294"/>
        <v>0</v>
      </c>
      <c r="AK239" s="78" t="b">
        <f t="shared" si="294"/>
        <v>0</v>
      </c>
      <c r="AL239" s="78" t="b">
        <f t="shared" si="294"/>
        <v>0</v>
      </c>
      <c r="AM239" s="78" t="b">
        <f t="shared" si="294"/>
        <v>0</v>
      </c>
      <c r="AN239" s="78" t="b">
        <f t="shared" si="294"/>
        <v>0</v>
      </c>
      <c r="AO239" s="78" t="b">
        <f t="shared" si="294"/>
        <v>0</v>
      </c>
      <c r="AP239" s="78"/>
    </row>
    <row r="240" spans="4:42" x14ac:dyDescent="0.35">
      <c r="D240" s="96"/>
      <c r="E240" s="96"/>
      <c r="G240" s="77">
        <f t="shared" si="243"/>
        <v>0</v>
      </c>
      <c r="H240" s="78">
        <f t="shared" si="244"/>
        <v>0</v>
      </c>
      <c r="I240" s="77">
        <f t="shared" si="245"/>
        <v>0</v>
      </c>
      <c r="J240" s="78">
        <f t="shared" si="246"/>
        <v>0</v>
      </c>
      <c r="K240" s="78" t="str">
        <f t="shared" si="247"/>
        <v>1900-01-00 00:0:00</v>
      </c>
      <c r="L240" s="78" t="str">
        <f t="shared" si="248"/>
        <v>1900-01-00 00:0:00</v>
      </c>
      <c r="M240" s="79">
        <f t="shared" si="249"/>
        <v>0</v>
      </c>
      <c r="N240">
        <f t="shared" si="250"/>
        <v>1</v>
      </c>
      <c r="O240" t="str">
        <f>IFERROR(_xlfn.XLOOKUP(A240,HC!A:A,HC!C:C),"")</f>
        <v>Workforce</v>
      </c>
      <c r="R240" s="78" t="b">
        <f t="shared" ref="R240:AO240" si="295">IFERROR(IF($B240=$D$1,IF(AND($K240&lt;R$1,$L240&lt;R$1),"",IF(AND($K240&gt;S$1,$L240&gt;S$1),"",IF(AND($K240&lt;R$1,$L240&lt;=S$1),$L240-R$1,IF(AND($K240&gt;=R$1,$L240&gt;S$1),S$1-$K240,IF(AND($K240&gt;=R$1,$L240&lt;=S$1),$L240-$K240,IF(AND($K240&lt;R$1,$L240&gt;S$1),S$1-R$1,""))))))),"")</f>
        <v>0</v>
      </c>
      <c r="S240" s="78" t="b">
        <f t="shared" si="295"/>
        <v>0</v>
      </c>
      <c r="T240" s="78" t="b">
        <f t="shared" si="295"/>
        <v>0</v>
      </c>
      <c r="U240" s="78" t="b">
        <f t="shared" si="295"/>
        <v>0</v>
      </c>
      <c r="V240" s="78" t="b">
        <f t="shared" si="295"/>
        <v>0</v>
      </c>
      <c r="W240" s="78" t="b">
        <f t="shared" si="295"/>
        <v>0</v>
      </c>
      <c r="X240" s="78" t="b">
        <f t="shared" si="295"/>
        <v>0</v>
      </c>
      <c r="Y240" s="78" t="b">
        <f t="shared" si="295"/>
        <v>0</v>
      </c>
      <c r="Z240" s="78" t="b">
        <f t="shared" si="295"/>
        <v>0</v>
      </c>
      <c r="AA240" s="78" t="b">
        <f t="shared" si="295"/>
        <v>0</v>
      </c>
      <c r="AB240" s="78" t="b">
        <f t="shared" si="295"/>
        <v>0</v>
      </c>
      <c r="AC240" s="78" t="b">
        <f t="shared" si="295"/>
        <v>0</v>
      </c>
      <c r="AD240" s="78" t="b">
        <f t="shared" si="295"/>
        <v>0</v>
      </c>
      <c r="AE240" s="78" t="b">
        <f t="shared" si="295"/>
        <v>0</v>
      </c>
      <c r="AF240" s="78" t="b">
        <f t="shared" si="295"/>
        <v>0</v>
      </c>
      <c r="AG240" s="78" t="b">
        <f t="shared" si="295"/>
        <v>0</v>
      </c>
      <c r="AH240" s="78" t="b">
        <f t="shared" si="295"/>
        <v>0</v>
      </c>
      <c r="AI240" s="78" t="b">
        <f t="shared" si="295"/>
        <v>0</v>
      </c>
      <c r="AJ240" s="78" t="b">
        <f t="shared" si="295"/>
        <v>0</v>
      </c>
      <c r="AK240" s="78" t="b">
        <f t="shared" si="295"/>
        <v>0</v>
      </c>
      <c r="AL240" s="78" t="b">
        <f t="shared" si="295"/>
        <v>0</v>
      </c>
      <c r="AM240" s="78" t="b">
        <f t="shared" si="295"/>
        <v>0</v>
      </c>
      <c r="AN240" s="78" t="b">
        <f t="shared" si="295"/>
        <v>0</v>
      </c>
      <c r="AO240" s="78" t="b">
        <f t="shared" si="295"/>
        <v>0</v>
      </c>
      <c r="AP240" s="78"/>
    </row>
    <row r="241" spans="4:42" x14ac:dyDescent="0.35">
      <c r="D241" s="96"/>
      <c r="E241" s="96"/>
      <c r="G241" s="77">
        <f t="shared" si="243"/>
        <v>0</v>
      </c>
      <c r="H241" s="78">
        <f t="shared" si="244"/>
        <v>0</v>
      </c>
      <c r="I241" s="77">
        <f t="shared" si="245"/>
        <v>0</v>
      </c>
      <c r="J241" s="78">
        <f t="shared" si="246"/>
        <v>0</v>
      </c>
      <c r="K241" s="78" t="str">
        <f t="shared" si="247"/>
        <v>1900-01-00 00:0:00</v>
      </c>
      <c r="L241" s="78" t="str">
        <f t="shared" si="248"/>
        <v>1900-01-00 00:0:00</v>
      </c>
      <c r="M241" s="79">
        <f t="shared" si="249"/>
        <v>0</v>
      </c>
      <c r="N241">
        <f t="shared" si="250"/>
        <v>1</v>
      </c>
      <c r="O241" t="str">
        <f>IFERROR(_xlfn.XLOOKUP(A241,HC!A:A,HC!C:C),"")</f>
        <v>Workforce</v>
      </c>
      <c r="R241" s="78" t="b">
        <f t="shared" ref="R241:AO241" si="296">IFERROR(IF($B241=$D$1,IF(AND($K241&lt;R$1,$L241&lt;R$1),"",IF(AND($K241&gt;S$1,$L241&gt;S$1),"",IF(AND($K241&lt;R$1,$L241&lt;=S$1),$L241-R$1,IF(AND($K241&gt;=R$1,$L241&gt;S$1),S$1-$K241,IF(AND($K241&gt;=R$1,$L241&lt;=S$1),$L241-$K241,IF(AND($K241&lt;R$1,$L241&gt;S$1),S$1-R$1,""))))))),"")</f>
        <v>0</v>
      </c>
      <c r="S241" s="78" t="b">
        <f t="shared" si="296"/>
        <v>0</v>
      </c>
      <c r="T241" s="78" t="b">
        <f t="shared" si="296"/>
        <v>0</v>
      </c>
      <c r="U241" s="78" t="b">
        <f t="shared" si="296"/>
        <v>0</v>
      </c>
      <c r="V241" s="78" t="b">
        <f t="shared" si="296"/>
        <v>0</v>
      </c>
      <c r="W241" s="78" t="b">
        <f t="shared" si="296"/>
        <v>0</v>
      </c>
      <c r="X241" s="78" t="b">
        <f t="shared" si="296"/>
        <v>0</v>
      </c>
      <c r="Y241" s="78" t="b">
        <f t="shared" si="296"/>
        <v>0</v>
      </c>
      <c r="Z241" s="78" t="b">
        <f t="shared" si="296"/>
        <v>0</v>
      </c>
      <c r="AA241" s="78" t="b">
        <f t="shared" si="296"/>
        <v>0</v>
      </c>
      <c r="AB241" s="78" t="b">
        <f t="shared" si="296"/>
        <v>0</v>
      </c>
      <c r="AC241" s="78" t="b">
        <f t="shared" si="296"/>
        <v>0</v>
      </c>
      <c r="AD241" s="78" t="b">
        <f t="shared" si="296"/>
        <v>0</v>
      </c>
      <c r="AE241" s="78" t="b">
        <f t="shared" si="296"/>
        <v>0</v>
      </c>
      <c r="AF241" s="78" t="b">
        <f t="shared" si="296"/>
        <v>0</v>
      </c>
      <c r="AG241" s="78" t="b">
        <f t="shared" si="296"/>
        <v>0</v>
      </c>
      <c r="AH241" s="78" t="b">
        <f t="shared" si="296"/>
        <v>0</v>
      </c>
      <c r="AI241" s="78" t="b">
        <f t="shared" si="296"/>
        <v>0</v>
      </c>
      <c r="AJ241" s="78" t="b">
        <f t="shared" si="296"/>
        <v>0</v>
      </c>
      <c r="AK241" s="78" t="b">
        <f t="shared" si="296"/>
        <v>0</v>
      </c>
      <c r="AL241" s="78" t="b">
        <f t="shared" si="296"/>
        <v>0</v>
      </c>
      <c r="AM241" s="78" t="b">
        <f t="shared" si="296"/>
        <v>0</v>
      </c>
      <c r="AN241" s="78" t="b">
        <f t="shared" si="296"/>
        <v>0</v>
      </c>
      <c r="AO241" s="78" t="b">
        <f t="shared" si="296"/>
        <v>0</v>
      </c>
      <c r="AP241" s="78"/>
    </row>
    <row r="242" spans="4:42" x14ac:dyDescent="0.35">
      <c r="D242" s="96"/>
      <c r="E242" s="96"/>
      <c r="G242" s="77">
        <f t="shared" si="243"/>
        <v>0</v>
      </c>
      <c r="H242" s="78">
        <f t="shared" si="244"/>
        <v>0</v>
      </c>
      <c r="I242" s="77">
        <f t="shared" si="245"/>
        <v>0</v>
      </c>
      <c r="J242" s="78">
        <f t="shared" si="246"/>
        <v>0</v>
      </c>
      <c r="K242" s="78" t="str">
        <f t="shared" si="247"/>
        <v>1900-01-00 00:0:00</v>
      </c>
      <c r="L242" s="78" t="str">
        <f t="shared" si="248"/>
        <v>1900-01-00 00:0:00</v>
      </c>
      <c r="M242" s="79">
        <f t="shared" si="249"/>
        <v>0</v>
      </c>
      <c r="N242">
        <f t="shared" si="250"/>
        <v>1</v>
      </c>
      <c r="O242" t="str">
        <f>IFERROR(_xlfn.XLOOKUP(A242,HC!A:A,HC!C:C),"")</f>
        <v>Workforce</v>
      </c>
      <c r="R242" s="78" t="b">
        <f t="shared" ref="R242:AO242" si="297">IFERROR(IF($B242=$D$1,IF(AND($K242&lt;R$1,$L242&lt;R$1),"",IF(AND($K242&gt;S$1,$L242&gt;S$1),"",IF(AND($K242&lt;R$1,$L242&lt;=S$1),$L242-R$1,IF(AND($K242&gt;=R$1,$L242&gt;S$1),S$1-$K242,IF(AND($K242&gt;=R$1,$L242&lt;=S$1),$L242-$K242,IF(AND($K242&lt;R$1,$L242&gt;S$1),S$1-R$1,""))))))),"")</f>
        <v>0</v>
      </c>
      <c r="S242" s="78" t="b">
        <f t="shared" si="297"/>
        <v>0</v>
      </c>
      <c r="T242" s="78" t="b">
        <f t="shared" si="297"/>
        <v>0</v>
      </c>
      <c r="U242" s="78" t="b">
        <f t="shared" si="297"/>
        <v>0</v>
      </c>
      <c r="V242" s="78" t="b">
        <f t="shared" si="297"/>
        <v>0</v>
      </c>
      <c r="W242" s="78" t="b">
        <f t="shared" si="297"/>
        <v>0</v>
      </c>
      <c r="X242" s="78" t="b">
        <f t="shared" si="297"/>
        <v>0</v>
      </c>
      <c r="Y242" s="78" t="b">
        <f t="shared" si="297"/>
        <v>0</v>
      </c>
      <c r="Z242" s="78" t="b">
        <f t="shared" si="297"/>
        <v>0</v>
      </c>
      <c r="AA242" s="78" t="b">
        <f t="shared" si="297"/>
        <v>0</v>
      </c>
      <c r="AB242" s="78" t="b">
        <f t="shared" si="297"/>
        <v>0</v>
      </c>
      <c r="AC242" s="78" t="b">
        <f t="shared" si="297"/>
        <v>0</v>
      </c>
      <c r="AD242" s="78" t="b">
        <f t="shared" si="297"/>
        <v>0</v>
      </c>
      <c r="AE242" s="78" t="b">
        <f t="shared" si="297"/>
        <v>0</v>
      </c>
      <c r="AF242" s="78" t="b">
        <f t="shared" si="297"/>
        <v>0</v>
      </c>
      <c r="AG242" s="78" t="b">
        <f t="shared" si="297"/>
        <v>0</v>
      </c>
      <c r="AH242" s="78" t="b">
        <f t="shared" si="297"/>
        <v>0</v>
      </c>
      <c r="AI242" s="78" t="b">
        <f t="shared" si="297"/>
        <v>0</v>
      </c>
      <c r="AJ242" s="78" t="b">
        <f t="shared" si="297"/>
        <v>0</v>
      </c>
      <c r="AK242" s="78" t="b">
        <f t="shared" si="297"/>
        <v>0</v>
      </c>
      <c r="AL242" s="78" t="b">
        <f t="shared" si="297"/>
        <v>0</v>
      </c>
      <c r="AM242" s="78" t="b">
        <f t="shared" si="297"/>
        <v>0</v>
      </c>
      <c r="AN242" s="78" t="b">
        <f t="shared" si="297"/>
        <v>0</v>
      </c>
      <c r="AO242" s="78" t="b">
        <f t="shared" si="297"/>
        <v>0</v>
      </c>
      <c r="AP242" s="78"/>
    </row>
    <row r="243" spans="4:42" x14ac:dyDescent="0.35">
      <c r="D243" s="96"/>
      <c r="E243" s="96"/>
      <c r="G243" s="77">
        <f t="shared" si="243"/>
        <v>0</v>
      </c>
      <c r="H243" s="78">
        <f t="shared" si="244"/>
        <v>0</v>
      </c>
      <c r="I243" s="77">
        <f t="shared" si="245"/>
        <v>0</v>
      </c>
      <c r="J243" s="78">
        <f t="shared" si="246"/>
        <v>0</v>
      </c>
      <c r="K243" s="78" t="str">
        <f t="shared" si="247"/>
        <v>1900-01-00 00:0:00</v>
      </c>
      <c r="L243" s="78" t="str">
        <f t="shared" si="248"/>
        <v>1900-01-00 00:0:00</v>
      </c>
      <c r="M243" s="79">
        <f t="shared" si="249"/>
        <v>0</v>
      </c>
      <c r="N243">
        <f t="shared" si="250"/>
        <v>1</v>
      </c>
      <c r="O243" t="str">
        <f>IFERROR(_xlfn.XLOOKUP(A243,HC!A:A,HC!C:C),"")</f>
        <v>Workforce</v>
      </c>
      <c r="R243" s="78" t="b">
        <f t="shared" ref="R243:AO243" si="298">IFERROR(IF($B243=$D$1,IF(AND($K243&lt;R$1,$L243&lt;R$1),"",IF(AND($K243&gt;S$1,$L243&gt;S$1),"",IF(AND($K243&lt;R$1,$L243&lt;=S$1),$L243-R$1,IF(AND($K243&gt;=R$1,$L243&gt;S$1),S$1-$K243,IF(AND($K243&gt;=R$1,$L243&lt;=S$1),$L243-$K243,IF(AND($K243&lt;R$1,$L243&gt;S$1),S$1-R$1,""))))))),"")</f>
        <v>0</v>
      </c>
      <c r="S243" s="78" t="b">
        <f t="shared" si="298"/>
        <v>0</v>
      </c>
      <c r="T243" s="78" t="b">
        <f t="shared" si="298"/>
        <v>0</v>
      </c>
      <c r="U243" s="78" t="b">
        <f t="shared" si="298"/>
        <v>0</v>
      </c>
      <c r="V243" s="78" t="b">
        <f t="shared" si="298"/>
        <v>0</v>
      </c>
      <c r="W243" s="78" t="b">
        <f t="shared" si="298"/>
        <v>0</v>
      </c>
      <c r="X243" s="78" t="b">
        <f t="shared" si="298"/>
        <v>0</v>
      </c>
      <c r="Y243" s="78" t="b">
        <f t="shared" si="298"/>
        <v>0</v>
      </c>
      <c r="Z243" s="78" t="b">
        <f t="shared" si="298"/>
        <v>0</v>
      </c>
      <c r="AA243" s="78" t="b">
        <f t="shared" si="298"/>
        <v>0</v>
      </c>
      <c r="AB243" s="78" t="b">
        <f t="shared" si="298"/>
        <v>0</v>
      </c>
      <c r="AC243" s="78" t="b">
        <f t="shared" si="298"/>
        <v>0</v>
      </c>
      <c r="AD243" s="78" t="b">
        <f t="shared" si="298"/>
        <v>0</v>
      </c>
      <c r="AE243" s="78" t="b">
        <f t="shared" si="298"/>
        <v>0</v>
      </c>
      <c r="AF243" s="78" t="b">
        <f t="shared" si="298"/>
        <v>0</v>
      </c>
      <c r="AG243" s="78" t="b">
        <f t="shared" si="298"/>
        <v>0</v>
      </c>
      <c r="AH243" s="78" t="b">
        <f t="shared" si="298"/>
        <v>0</v>
      </c>
      <c r="AI243" s="78" t="b">
        <f t="shared" si="298"/>
        <v>0</v>
      </c>
      <c r="AJ243" s="78" t="b">
        <f t="shared" si="298"/>
        <v>0</v>
      </c>
      <c r="AK243" s="78" t="b">
        <f t="shared" si="298"/>
        <v>0</v>
      </c>
      <c r="AL243" s="78" t="b">
        <f t="shared" si="298"/>
        <v>0</v>
      </c>
      <c r="AM243" s="78" t="b">
        <f t="shared" si="298"/>
        <v>0</v>
      </c>
      <c r="AN243" s="78" t="b">
        <f t="shared" si="298"/>
        <v>0</v>
      </c>
      <c r="AO243" s="78" t="b">
        <f t="shared" si="298"/>
        <v>0</v>
      </c>
      <c r="AP243" s="78"/>
    </row>
    <row r="244" spans="4:42" x14ac:dyDescent="0.35">
      <c r="D244" s="96"/>
      <c r="E244" s="96"/>
      <c r="G244" s="77">
        <f t="shared" si="243"/>
        <v>0</v>
      </c>
      <c r="H244" s="78">
        <f t="shared" si="244"/>
        <v>0</v>
      </c>
      <c r="I244" s="77">
        <f t="shared" si="245"/>
        <v>0</v>
      </c>
      <c r="J244" s="78">
        <f t="shared" si="246"/>
        <v>0</v>
      </c>
      <c r="K244" s="78" t="str">
        <f t="shared" si="247"/>
        <v>1900-01-00 00:0:00</v>
      </c>
      <c r="L244" s="78" t="str">
        <f t="shared" si="248"/>
        <v>1900-01-00 00:0:00</v>
      </c>
      <c r="M244" s="79">
        <f t="shared" si="249"/>
        <v>0</v>
      </c>
      <c r="N244">
        <f t="shared" si="250"/>
        <v>1</v>
      </c>
      <c r="O244" t="str">
        <f>IFERROR(_xlfn.XLOOKUP(A244,HC!A:A,HC!C:C),"")</f>
        <v>Workforce</v>
      </c>
      <c r="R244" s="78" t="b">
        <f t="shared" ref="R244:AO244" si="299">IFERROR(IF($B244=$D$1,IF(AND($K244&lt;R$1,$L244&lt;R$1),"",IF(AND($K244&gt;S$1,$L244&gt;S$1),"",IF(AND($K244&lt;R$1,$L244&lt;=S$1),$L244-R$1,IF(AND($K244&gt;=R$1,$L244&gt;S$1),S$1-$K244,IF(AND($K244&gt;=R$1,$L244&lt;=S$1),$L244-$K244,IF(AND($K244&lt;R$1,$L244&gt;S$1),S$1-R$1,""))))))),"")</f>
        <v>0</v>
      </c>
      <c r="S244" s="78" t="b">
        <f t="shared" si="299"/>
        <v>0</v>
      </c>
      <c r="T244" s="78" t="b">
        <f t="shared" si="299"/>
        <v>0</v>
      </c>
      <c r="U244" s="78" t="b">
        <f t="shared" si="299"/>
        <v>0</v>
      </c>
      <c r="V244" s="78" t="b">
        <f t="shared" si="299"/>
        <v>0</v>
      </c>
      <c r="W244" s="78" t="b">
        <f t="shared" si="299"/>
        <v>0</v>
      </c>
      <c r="X244" s="78" t="b">
        <f t="shared" si="299"/>
        <v>0</v>
      </c>
      <c r="Y244" s="78" t="b">
        <f t="shared" si="299"/>
        <v>0</v>
      </c>
      <c r="Z244" s="78" t="b">
        <f t="shared" si="299"/>
        <v>0</v>
      </c>
      <c r="AA244" s="78" t="b">
        <f t="shared" si="299"/>
        <v>0</v>
      </c>
      <c r="AB244" s="78" t="b">
        <f t="shared" si="299"/>
        <v>0</v>
      </c>
      <c r="AC244" s="78" t="b">
        <f t="shared" si="299"/>
        <v>0</v>
      </c>
      <c r="AD244" s="78" t="b">
        <f t="shared" si="299"/>
        <v>0</v>
      </c>
      <c r="AE244" s="78" t="b">
        <f t="shared" si="299"/>
        <v>0</v>
      </c>
      <c r="AF244" s="78" t="b">
        <f t="shared" si="299"/>
        <v>0</v>
      </c>
      <c r="AG244" s="78" t="b">
        <f t="shared" si="299"/>
        <v>0</v>
      </c>
      <c r="AH244" s="78" t="b">
        <f t="shared" si="299"/>
        <v>0</v>
      </c>
      <c r="AI244" s="78" t="b">
        <f t="shared" si="299"/>
        <v>0</v>
      </c>
      <c r="AJ244" s="78" t="b">
        <f t="shared" si="299"/>
        <v>0</v>
      </c>
      <c r="AK244" s="78" t="b">
        <f t="shared" si="299"/>
        <v>0</v>
      </c>
      <c r="AL244" s="78" t="b">
        <f t="shared" si="299"/>
        <v>0</v>
      </c>
      <c r="AM244" s="78" t="b">
        <f t="shared" si="299"/>
        <v>0</v>
      </c>
      <c r="AN244" s="78" t="b">
        <f t="shared" si="299"/>
        <v>0</v>
      </c>
      <c r="AO244" s="78" t="b">
        <f t="shared" si="299"/>
        <v>0</v>
      </c>
      <c r="AP244" s="78"/>
    </row>
    <row r="245" spans="4:42" x14ac:dyDescent="0.35">
      <c r="D245" s="96"/>
      <c r="E245" s="96"/>
      <c r="G245" s="77">
        <f t="shared" si="243"/>
        <v>0</v>
      </c>
      <c r="H245" s="78">
        <f t="shared" si="244"/>
        <v>0</v>
      </c>
      <c r="I245" s="77">
        <f t="shared" si="245"/>
        <v>0</v>
      </c>
      <c r="J245" s="78">
        <f t="shared" si="246"/>
        <v>0</v>
      </c>
      <c r="K245" s="78" t="str">
        <f t="shared" si="247"/>
        <v>1900-01-00 00:0:00</v>
      </c>
      <c r="L245" s="78" t="str">
        <f t="shared" si="248"/>
        <v>1900-01-00 00:0:00</v>
      </c>
      <c r="M245" s="79">
        <f t="shared" si="249"/>
        <v>0</v>
      </c>
      <c r="N245">
        <f t="shared" si="250"/>
        <v>1</v>
      </c>
      <c r="O245" t="str">
        <f>IFERROR(_xlfn.XLOOKUP(A245,HC!A:A,HC!C:C),"")</f>
        <v>Workforce</v>
      </c>
      <c r="R245" s="78" t="b">
        <f t="shared" ref="R245:AO245" si="300">IFERROR(IF($B245=$D$1,IF(AND($K245&lt;R$1,$L245&lt;R$1),"",IF(AND($K245&gt;S$1,$L245&gt;S$1),"",IF(AND($K245&lt;R$1,$L245&lt;=S$1),$L245-R$1,IF(AND($K245&gt;=R$1,$L245&gt;S$1),S$1-$K245,IF(AND($K245&gt;=R$1,$L245&lt;=S$1),$L245-$K245,IF(AND($K245&lt;R$1,$L245&gt;S$1),S$1-R$1,""))))))),"")</f>
        <v>0</v>
      </c>
      <c r="S245" s="78" t="b">
        <f t="shared" si="300"/>
        <v>0</v>
      </c>
      <c r="T245" s="78" t="b">
        <f t="shared" si="300"/>
        <v>0</v>
      </c>
      <c r="U245" s="78" t="b">
        <f t="shared" si="300"/>
        <v>0</v>
      </c>
      <c r="V245" s="78" t="b">
        <f t="shared" si="300"/>
        <v>0</v>
      </c>
      <c r="W245" s="78" t="b">
        <f t="shared" si="300"/>
        <v>0</v>
      </c>
      <c r="X245" s="78" t="b">
        <f t="shared" si="300"/>
        <v>0</v>
      </c>
      <c r="Y245" s="78" t="b">
        <f t="shared" si="300"/>
        <v>0</v>
      </c>
      <c r="Z245" s="78" t="b">
        <f t="shared" si="300"/>
        <v>0</v>
      </c>
      <c r="AA245" s="78" t="b">
        <f t="shared" si="300"/>
        <v>0</v>
      </c>
      <c r="AB245" s="78" t="b">
        <f t="shared" si="300"/>
        <v>0</v>
      </c>
      <c r="AC245" s="78" t="b">
        <f t="shared" si="300"/>
        <v>0</v>
      </c>
      <c r="AD245" s="78" t="b">
        <f t="shared" si="300"/>
        <v>0</v>
      </c>
      <c r="AE245" s="78" t="b">
        <f t="shared" si="300"/>
        <v>0</v>
      </c>
      <c r="AF245" s="78" t="b">
        <f t="shared" si="300"/>
        <v>0</v>
      </c>
      <c r="AG245" s="78" t="b">
        <f t="shared" si="300"/>
        <v>0</v>
      </c>
      <c r="AH245" s="78" t="b">
        <f t="shared" si="300"/>
        <v>0</v>
      </c>
      <c r="AI245" s="78" t="b">
        <f t="shared" si="300"/>
        <v>0</v>
      </c>
      <c r="AJ245" s="78" t="b">
        <f t="shared" si="300"/>
        <v>0</v>
      </c>
      <c r="AK245" s="78" t="b">
        <f t="shared" si="300"/>
        <v>0</v>
      </c>
      <c r="AL245" s="78" t="b">
        <f t="shared" si="300"/>
        <v>0</v>
      </c>
      <c r="AM245" s="78" t="b">
        <f t="shared" si="300"/>
        <v>0</v>
      </c>
      <c r="AN245" s="78" t="b">
        <f t="shared" si="300"/>
        <v>0</v>
      </c>
      <c r="AO245" s="78" t="b">
        <f t="shared" si="300"/>
        <v>0</v>
      </c>
      <c r="AP245" s="78"/>
    </row>
    <row r="246" spans="4:42" x14ac:dyDescent="0.35">
      <c r="D246" s="96"/>
      <c r="E246" s="96"/>
      <c r="G246" s="77">
        <f t="shared" si="243"/>
        <v>0</v>
      </c>
      <c r="H246" s="78">
        <f t="shared" si="244"/>
        <v>0</v>
      </c>
      <c r="I246" s="77">
        <f t="shared" si="245"/>
        <v>0</v>
      </c>
      <c r="J246" s="78">
        <f t="shared" si="246"/>
        <v>0</v>
      </c>
      <c r="K246" s="78" t="str">
        <f t="shared" si="247"/>
        <v>1900-01-00 00:0:00</v>
      </c>
      <c r="L246" s="78" t="str">
        <f t="shared" si="248"/>
        <v>1900-01-00 00:0:00</v>
      </c>
      <c r="M246" s="79">
        <f t="shared" si="249"/>
        <v>0</v>
      </c>
      <c r="N246">
        <f t="shared" si="250"/>
        <v>1</v>
      </c>
      <c r="O246" t="str">
        <f>IFERROR(_xlfn.XLOOKUP(A246,HC!A:A,HC!C:C),"")</f>
        <v>Workforce</v>
      </c>
      <c r="R246" s="78" t="b">
        <f t="shared" ref="R246:AO246" si="301">IFERROR(IF($B246=$D$1,IF(AND($K246&lt;R$1,$L246&lt;R$1),"",IF(AND($K246&gt;S$1,$L246&gt;S$1),"",IF(AND($K246&lt;R$1,$L246&lt;=S$1),$L246-R$1,IF(AND($K246&gt;=R$1,$L246&gt;S$1),S$1-$K246,IF(AND($K246&gt;=R$1,$L246&lt;=S$1),$L246-$K246,IF(AND($K246&lt;R$1,$L246&gt;S$1),S$1-R$1,""))))))),"")</f>
        <v>0</v>
      </c>
      <c r="S246" s="78" t="b">
        <f t="shared" si="301"/>
        <v>0</v>
      </c>
      <c r="T246" s="78" t="b">
        <f t="shared" si="301"/>
        <v>0</v>
      </c>
      <c r="U246" s="78" t="b">
        <f t="shared" si="301"/>
        <v>0</v>
      </c>
      <c r="V246" s="78" t="b">
        <f t="shared" si="301"/>
        <v>0</v>
      </c>
      <c r="W246" s="78" t="b">
        <f t="shared" si="301"/>
        <v>0</v>
      </c>
      <c r="X246" s="78" t="b">
        <f t="shared" si="301"/>
        <v>0</v>
      </c>
      <c r="Y246" s="78" t="b">
        <f t="shared" si="301"/>
        <v>0</v>
      </c>
      <c r="Z246" s="78" t="b">
        <f t="shared" si="301"/>
        <v>0</v>
      </c>
      <c r="AA246" s="78" t="b">
        <f t="shared" si="301"/>
        <v>0</v>
      </c>
      <c r="AB246" s="78" t="b">
        <f t="shared" si="301"/>
        <v>0</v>
      </c>
      <c r="AC246" s="78" t="b">
        <f t="shared" si="301"/>
        <v>0</v>
      </c>
      <c r="AD246" s="78" t="b">
        <f t="shared" si="301"/>
        <v>0</v>
      </c>
      <c r="AE246" s="78" t="b">
        <f t="shared" si="301"/>
        <v>0</v>
      </c>
      <c r="AF246" s="78" t="b">
        <f t="shared" si="301"/>
        <v>0</v>
      </c>
      <c r="AG246" s="78" t="b">
        <f t="shared" si="301"/>
        <v>0</v>
      </c>
      <c r="AH246" s="78" t="b">
        <f t="shared" si="301"/>
        <v>0</v>
      </c>
      <c r="AI246" s="78" t="b">
        <f t="shared" si="301"/>
        <v>0</v>
      </c>
      <c r="AJ246" s="78" t="b">
        <f t="shared" si="301"/>
        <v>0</v>
      </c>
      <c r="AK246" s="78" t="b">
        <f t="shared" si="301"/>
        <v>0</v>
      </c>
      <c r="AL246" s="78" t="b">
        <f t="shared" si="301"/>
        <v>0</v>
      </c>
      <c r="AM246" s="78" t="b">
        <f t="shared" si="301"/>
        <v>0</v>
      </c>
      <c r="AN246" s="78" t="b">
        <f t="shared" si="301"/>
        <v>0</v>
      </c>
      <c r="AO246" s="78" t="b">
        <f t="shared" si="301"/>
        <v>0</v>
      </c>
      <c r="AP246" s="78"/>
    </row>
    <row r="247" spans="4:42" x14ac:dyDescent="0.35">
      <c r="D247" s="96"/>
      <c r="E247" s="96"/>
      <c r="G247" s="77">
        <f t="shared" si="243"/>
        <v>0</v>
      </c>
      <c r="H247" s="78">
        <f t="shared" si="244"/>
        <v>0</v>
      </c>
      <c r="I247" s="77">
        <f t="shared" si="245"/>
        <v>0</v>
      </c>
      <c r="J247" s="78">
        <f t="shared" si="246"/>
        <v>0</v>
      </c>
      <c r="K247" s="78" t="str">
        <f t="shared" si="247"/>
        <v>1900-01-00 00:0:00</v>
      </c>
      <c r="L247" s="78" t="str">
        <f t="shared" si="248"/>
        <v>1900-01-00 00:0:00</v>
      </c>
      <c r="M247" s="79">
        <f t="shared" si="249"/>
        <v>0</v>
      </c>
      <c r="N247">
        <f t="shared" si="250"/>
        <v>1</v>
      </c>
      <c r="O247" t="str">
        <f>IFERROR(_xlfn.XLOOKUP(A247,HC!A:A,HC!C:C),"")</f>
        <v>Workforce</v>
      </c>
      <c r="R247" s="78" t="b">
        <f t="shared" ref="R247:AO247" si="302">IFERROR(IF($B247=$D$1,IF(AND($K247&lt;R$1,$L247&lt;R$1),"",IF(AND($K247&gt;S$1,$L247&gt;S$1),"",IF(AND($K247&lt;R$1,$L247&lt;=S$1),$L247-R$1,IF(AND($K247&gt;=R$1,$L247&gt;S$1),S$1-$K247,IF(AND($K247&gt;=R$1,$L247&lt;=S$1),$L247-$K247,IF(AND($K247&lt;R$1,$L247&gt;S$1),S$1-R$1,""))))))),"")</f>
        <v>0</v>
      </c>
      <c r="S247" s="78" t="b">
        <f t="shared" si="302"/>
        <v>0</v>
      </c>
      <c r="T247" s="78" t="b">
        <f t="shared" si="302"/>
        <v>0</v>
      </c>
      <c r="U247" s="78" t="b">
        <f t="shared" si="302"/>
        <v>0</v>
      </c>
      <c r="V247" s="78" t="b">
        <f t="shared" si="302"/>
        <v>0</v>
      </c>
      <c r="W247" s="78" t="b">
        <f t="shared" si="302"/>
        <v>0</v>
      </c>
      <c r="X247" s="78" t="b">
        <f t="shared" si="302"/>
        <v>0</v>
      </c>
      <c r="Y247" s="78" t="b">
        <f t="shared" si="302"/>
        <v>0</v>
      </c>
      <c r="Z247" s="78" t="b">
        <f t="shared" si="302"/>
        <v>0</v>
      </c>
      <c r="AA247" s="78" t="b">
        <f t="shared" si="302"/>
        <v>0</v>
      </c>
      <c r="AB247" s="78" t="b">
        <f t="shared" si="302"/>
        <v>0</v>
      </c>
      <c r="AC247" s="78" t="b">
        <f t="shared" si="302"/>
        <v>0</v>
      </c>
      <c r="AD247" s="78" t="b">
        <f t="shared" si="302"/>
        <v>0</v>
      </c>
      <c r="AE247" s="78" t="b">
        <f t="shared" si="302"/>
        <v>0</v>
      </c>
      <c r="AF247" s="78" t="b">
        <f t="shared" si="302"/>
        <v>0</v>
      </c>
      <c r="AG247" s="78" t="b">
        <f t="shared" si="302"/>
        <v>0</v>
      </c>
      <c r="AH247" s="78" t="b">
        <f t="shared" si="302"/>
        <v>0</v>
      </c>
      <c r="AI247" s="78" t="b">
        <f t="shared" si="302"/>
        <v>0</v>
      </c>
      <c r="AJ247" s="78" t="b">
        <f t="shared" si="302"/>
        <v>0</v>
      </c>
      <c r="AK247" s="78" t="b">
        <f t="shared" si="302"/>
        <v>0</v>
      </c>
      <c r="AL247" s="78" t="b">
        <f t="shared" si="302"/>
        <v>0</v>
      </c>
      <c r="AM247" s="78" t="b">
        <f t="shared" si="302"/>
        <v>0</v>
      </c>
      <c r="AN247" s="78" t="b">
        <f t="shared" si="302"/>
        <v>0</v>
      </c>
      <c r="AO247" s="78" t="b">
        <f t="shared" si="302"/>
        <v>0</v>
      </c>
      <c r="AP247" s="78"/>
    </row>
    <row r="248" spans="4:42" x14ac:dyDescent="0.35">
      <c r="D248" s="96"/>
      <c r="E248" s="96"/>
      <c r="G248" s="77">
        <f t="shared" si="243"/>
        <v>0</v>
      </c>
      <c r="H248" s="78">
        <f t="shared" si="244"/>
        <v>0</v>
      </c>
      <c r="I248" s="77">
        <f t="shared" si="245"/>
        <v>0</v>
      </c>
      <c r="J248" s="78">
        <f t="shared" si="246"/>
        <v>0</v>
      </c>
      <c r="K248" s="78" t="str">
        <f t="shared" si="247"/>
        <v>1900-01-00 00:0:00</v>
      </c>
      <c r="L248" s="78" t="str">
        <f t="shared" si="248"/>
        <v>1900-01-00 00:0:00</v>
      </c>
      <c r="M248" s="79">
        <f t="shared" si="249"/>
        <v>0</v>
      </c>
      <c r="N248">
        <f t="shared" si="250"/>
        <v>1</v>
      </c>
      <c r="O248" t="str">
        <f>IFERROR(_xlfn.XLOOKUP(A248,HC!A:A,HC!C:C),"")</f>
        <v>Workforce</v>
      </c>
      <c r="R248" s="78" t="b">
        <f t="shared" ref="R248:AO248" si="303">IFERROR(IF($B248=$D$1,IF(AND($K248&lt;R$1,$L248&lt;R$1),"",IF(AND($K248&gt;S$1,$L248&gt;S$1),"",IF(AND($K248&lt;R$1,$L248&lt;=S$1),$L248-R$1,IF(AND($K248&gt;=R$1,$L248&gt;S$1),S$1-$K248,IF(AND($K248&gt;=R$1,$L248&lt;=S$1),$L248-$K248,IF(AND($K248&lt;R$1,$L248&gt;S$1),S$1-R$1,""))))))),"")</f>
        <v>0</v>
      </c>
      <c r="S248" s="78" t="b">
        <f t="shared" si="303"/>
        <v>0</v>
      </c>
      <c r="T248" s="78" t="b">
        <f t="shared" si="303"/>
        <v>0</v>
      </c>
      <c r="U248" s="78" t="b">
        <f t="shared" si="303"/>
        <v>0</v>
      </c>
      <c r="V248" s="78" t="b">
        <f t="shared" si="303"/>
        <v>0</v>
      </c>
      <c r="W248" s="78" t="b">
        <f t="shared" si="303"/>
        <v>0</v>
      </c>
      <c r="X248" s="78" t="b">
        <f t="shared" si="303"/>
        <v>0</v>
      </c>
      <c r="Y248" s="78" t="b">
        <f t="shared" si="303"/>
        <v>0</v>
      </c>
      <c r="Z248" s="78" t="b">
        <f t="shared" si="303"/>
        <v>0</v>
      </c>
      <c r="AA248" s="78" t="b">
        <f t="shared" si="303"/>
        <v>0</v>
      </c>
      <c r="AB248" s="78" t="b">
        <f t="shared" si="303"/>
        <v>0</v>
      </c>
      <c r="AC248" s="78" t="b">
        <f t="shared" si="303"/>
        <v>0</v>
      </c>
      <c r="AD248" s="78" t="b">
        <f t="shared" si="303"/>
        <v>0</v>
      </c>
      <c r="AE248" s="78" t="b">
        <f t="shared" si="303"/>
        <v>0</v>
      </c>
      <c r="AF248" s="78" t="b">
        <f t="shared" si="303"/>
        <v>0</v>
      </c>
      <c r="AG248" s="78" t="b">
        <f t="shared" si="303"/>
        <v>0</v>
      </c>
      <c r="AH248" s="78" t="b">
        <f t="shared" si="303"/>
        <v>0</v>
      </c>
      <c r="AI248" s="78" t="b">
        <f t="shared" si="303"/>
        <v>0</v>
      </c>
      <c r="AJ248" s="78" t="b">
        <f t="shared" si="303"/>
        <v>0</v>
      </c>
      <c r="AK248" s="78" t="b">
        <f t="shared" si="303"/>
        <v>0</v>
      </c>
      <c r="AL248" s="78" t="b">
        <f t="shared" si="303"/>
        <v>0</v>
      </c>
      <c r="AM248" s="78" t="b">
        <f t="shared" si="303"/>
        <v>0</v>
      </c>
      <c r="AN248" s="78" t="b">
        <f t="shared" si="303"/>
        <v>0</v>
      </c>
      <c r="AO248" s="78" t="b">
        <f t="shared" si="303"/>
        <v>0</v>
      </c>
      <c r="AP248" s="78"/>
    </row>
    <row r="249" spans="4:42" x14ac:dyDescent="0.35">
      <c r="D249" s="96"/>
      <c r="E249" s="96"/>
      <c r="G249" s="77">
        <f t="shared" si="243"/>
        <v>0</v>
      </c>
      <c r="H249" s="78">
        <f t="shared" si="244"/>
        <v>0</v>
      </c>
      <c r="I249" s="77">
        <f t="shared" si="245"/>
        <v>0</v>
      </c>
      <c r="J249" s="78">
        <f t="shared" si="246"/>
        <v>0</v>
      </c>
      <c r="K249" s="78" t="str">
        <f t="shared" si="247"/>
        <v>1900-01-00 00:0:00</v>
      </c>
      <c r="L249" s="78" t="str">
        <f t="shared" si="248"/>
        <v>1900-01-00 00:0:00</v>
      </c>
      <c r="M249" s="79">
        <f t="shared" si="249"/>
        <v>0</v>
      </c>
      <c r="N249">
        <f t="shared" si="250"/>
        <v>1</v>
      </c>
      <c r="O249" t="str">
        <f>IFERROR(_xlfn.XLOOKUP(A249,HC!A:A,HC!C:C),"")</f>
        <v>Workforce</v>
      </c>
      <c r="R249" s="78" t="b">
        <f t="shared" ref="R249:AO249" si="304">IFERROR(IF($B249=$D$1,IF(AND($K249&lt;R$1,$L249&lt;R$1),"",IF(AND($K249&gt;S$1,$L249&gt;S$1),"",IF(AND($K249&lt;R$1,$L249&lt;=S$1),$L249-R$1,IF(AND($K249&gt;=R$1,$L249&gt;S$1),S$1-$K249,IF(AND($K249&gt;=R$1,$L249&lt;=S$1),$L249-$K249,IF(AND($K249&lt;R$1,$L249&gt;S$1),S$1-R$1,""))))))),"")</f>
        <v>0</v>
      </c>
      <c r="S249" s="78" t="b">
        <f t="shared" si="304"/>
        <v>0</v>
      </c>
      <c r="T249" s="78" t="b">
        <f t="shared" si="304"/>
        <v>0</v>
      </c>
      <c r="U249" s="78" t="b">
        <f t="shared" si="304"/>
        <v>0</v>
      </c>
      <c r="V249" s="78" t="b">
        <f t="shared" si="304"/>
        <v>0</v>
      </c>
      <c r="W249" s="78" t="b">
        <f t="shared" si="304"/>
        <v>0</v>
      </c>
      <c r="X249" s="78" t="b">
        <f t="shared" si="304"/>
        <v>0</v>
      </c>
      <c r="Y249" s="78" t="b">
        <f t="shared" si="304"/>
        <v>0</v>
      </c>
      <c r="Z249" s="78" t="b">
        <f t="shared" si="304"/>
        <v>0</v>
      </c>
      <c r="AA249" s="78" t="b">
        <f t="shared" si="304"/>
        <v>0</v>
      </c>
      <c r="AB249" s="78" t="b">
        <f t="shared" si="304"/>
        <v>0</v>
      </c>
      <c r="AC249" s="78" t="b">
        <f t="shared" si="304"/>
        <v>0</v>
      </c>
      <c r="AD249" s="78" t="b">
        <f t="shared" si="304"/>
        <v>0</v>
      </c>
      <c r="AE249" s="78" t="b">
        <f t="shared" si="304"/>
        <v>0</v>
      </c>
      <c r="AF249" s="78" t="b">
        <f t="shared" si="304"/>
        <v>0</v>
      </c>
      <c r="AG249" s="78" t="b">
        <f t="shared" si="304"/>
        <v>0</v>
      </c>
      <c r="AH249" s="78" t="b">
        <f t="shared" si="304"/>
        <v>0</v>
      </c>
      <c r="AI249" s="78" t="b">
        <f t="shared" si="304"/>
        <v>0</v>
      </c>
      <c r="AJ249" s="78" t="b">
        <f t="shared" si="304"/>
        <v>0</v>
      </c>
      <c r="AK249" s="78" t="b">
        <f t="shared" si="304"/>
        <v>0</v>
      </c>
      <c r="AL249" s="78" t="b">
        <f t="shared" si="304"/>
        <v>0</v>
      </c>
      <c r="AM249" s="78" t="b">
        <f t="shared" si="304"/>
        <v>0</v>
      </c>
      <c r="AN249" s="78" t="b">
        <f t="shared" si="304"/>
        <v>0</v>
      </c>
      <c r="AO249" s="78" t="b">
        <f t="shared" si="304"/>
        <v>0</v>
      </c>
      <c r="AP249" s="78"/>
    </row>
    <row r="250" spans="4:42" x14ac:dyDescent="0.35">
      <c r="D250" s="96"/>
      <c r="E250" s="96"/>
      <c r="G250" s="77">
        <f t="shared" si="243"/>
        <v>0</v>
      </c>
      <c r="H250" s="78">
        <f t="shared" si="244"/>
        <v>0</v>
      </c>
      <c r="I250" s="77">
        <f t="shared" si="245"/>
        <v>0</v>
      </c>
      <c r="J250" s="78">
        <f t="shared" si="246"/>
        <v>0</v>
      </c>
      <c r="K250" s="78" t="str">
        <f t="shared" si="247"/>
        <v>1900-01-00 00:0:00</v>
      </c>
      <c r="L250" s="78" t="str">
        <f t="shared" si="248"/>
        <v>1900-01-00 00:0:00</v>
      </c>
      <c r="M250" s="79">
        <f t="shared" si="249"/>
        <v>0</v>
      </c>
      <c r="N250">
        <f t="shared" si="250"/>
        <v>1</v>
      </c>
      <c r="O250" t="str">
        <f>IFERROR(_xlfn.XLOOKUP(A250,HC!A:A,HC!C:C),"")</f>
        <v>Workforce</v>
      </c>
      <c r="R250" s="78" t="b">
        <f t="shared" ref="R250:AO250" si="305">IFERROR(IF($B250=$D$1,IF(AND($K250&lt;R$1,$L250&lt;R$1),"",IF(AND($K250&gt;S$1,$L250&gt;S$1),"",IF(AND($K250&lt;R$1,$L250&lt;=S$1),$L250-R$1,IF(AND($K250&gt;=R$1,$L250&gt;S$1),S$1-$K250,IF(AND($K250&gt;=R$1,$L250&lt;=S$1),$L250-$K250,IF(AND($K250&lt;R$1,$L250&gt;S$1),S$1-R$1,""))))))),"")</f>
        <v>0</v>
      </c>
      <c r="S250" s="78" t="b">
        <f t="shared" si="305"/>
        <v>0</v>
      </c>
      <c r="T250" s="78" t="b">
        <f t="shared" si="305"/>
        <v>0</v>
      </c>
      <c r="U250" s="78" t="b">
        <f t="shared" si="305"/>
        <v>0</v>
      </c>
      <c r="V250" s="78" t="b">
        <f t="shared" si="305"/>
        <v>0</v>
      </c>
      <c r="W250" s="78" t="b">
        <f t="shared" si="305"/>
        <v>0</v>
      </c>
      <c r="X250" s="78" t="b">
        <f t="shared" si="305"/>
        <v>0</v>
      </c>
      <c r="Y250" s="78" t="b">
        <f t="shared" si="305"/>
        <v>0</v>
      </c>
      <c r="Z250" s="78" t="b">
        <f t="shared" si="305"/>
        <v>0</v>
      </c>
      <c r="AA250" s="78" t="b">
        <f t="shared" si="305"/>
        <v>0</v>
      </c>
      <c r="AB250" s="78" t="b">
        <f t="shared" si="305"/>
        <v>0</v>
      </c>
      <c r="AC250" s="78" t="b">
        <f t="shared" si="305"/>
        <v>0</v>
      </c>
      <c r="AD250" s="78" t="b">
        <f t="shared" si="305"/>
        <v>0</v>
      </c>
      <c r="AE250" s="78" t="b">
        <f t="shared" si="305"/>
        <v>0</v>
      </c>
      <c r="AF250" s="78" t="b">
        <f t="shared" si="305"/>
        <v>0</v>
      </c>
      <c r="AG250" s="78" t="b">
        <f t="shared" si="305"/>
        <v>0</v>
      </c>
      <c r="AH250" s="78" t="b">
        <f t="shared" si="305"/>
        <v>0</v>
      </c>
      <c r="AI250" s="78" t="b">
        <f t="shared" si="305"/>
        <v>0</v>
      </c>
      <c r="AJ250" s="78" t="b">
        <f t="shared" si="305"/>
        <v>0</v>
      </c>
      <c r="AK250" s="78" t="b">
        <f t="shared" si="305"/>
        <v>0</v>
      </c>
      <c r="AL250" s="78" t="b">
        <f t="shared" si="305"/>
        <v>0</v>
      </c>
      <c r="AM250" s="78" t="b">
        <f t="shared" si="305"/>
        <v>0</v>
      </c>
      <c r="AN250" s="78" t="b">
        <f t="shared" si="305"/>
        <v>0</v>
      </c>
      <c r="AO250" s="78" t="b">
        <f t="shared" si="305"/>
        <v>0</v>
      </c>
      <c r="AP250" s="78"/>
    </row>
    <row r="251" spans="4:42" x14ac:dyDescent="0.35">
      <c r="D251" s="96"/>
      <c r="E251" s="96"/>
      <c r="G251" s="77">
        <f t="shared" si="243"/>
        <v>0</v>
      </c>
      <c r="H251" s="78">
        <f t="shared" si="244"/>
        <v>0</v>
      </c>
      <c r="I251" s="77">
        <f t="shared" si="245"/>
        <v>0</v>
      </c>
      <c r="J251" s="78">
        <f t="shared" si="246"/>
        <v>0</v>
      </c>
      <c r="K251" s="78" t="str">
        <f t="shared" si="247"/>
        <v>1900-01-00 00:0:00</v>
      </c>
      <c r="L251" s="78" t="str">
        <f t="shared" si="248"/>
        <v>1900-01-00 00:0:00</v>
      </c>
      <c r="M251" s="79">
        <f t="shared" si="249"/>
        <v>0</v>
      </c>
      <c r="N251">
        <f t="shared" si="250"/>
        <v>1</v>
      </c>
      <c r="O251" t="str">
        <f>IFERROR(_xlfn.XLOOKUP(A251,HC!A:A,HC!C:C),"")</f>
        <v>Workforce</v>
      </c>
      <c r="R251" s="78" t="b">
        <f t="shared" ref="R251:AO251" si="306">IFERROR(IF($B251=$D$1,IF(AND($K251&lt;R$1,$L251&lt;R$1),"",IF(AND($K251&gt;S$1,$L251&gt;S$1),"",IF(AND($K251&lt;R$1,$L251&lt;=S$1),$L251-R$1,IF(AND($K251&gt;=R$1,$L251&gt;S$1),S$1-$K251,IF(AND($K251&gt;=R$1,$L251&lt;=S$1),$L251-$K251,IF(AND($K251&lt;R$1,$L251&gt;S$1),S$1-R$1,""))))))),"")</f>
        <v>0</v>
      </c>
      <c r="S251" s="78" t="b">
        <f t="shared" si="306"/>
        <v>0</v>
      </c>
      <c r="T251" s="78" t="b">
        <f t="shared" si="306"/>
        <v>0</v>
      </c>
      <c r="U251" s="78" t="b">
        <f t="shared" si="306"/>
        <v>0</v>
      </c>
      <c r="V251" s="78" t="b">
        <f t="shared" si="306"/>
        <v>0</v>
      </c>
      <c r="W251" s="78" t="b">
        <f t="shared" si="306"/>
        <v>0</v>
      </c>
      <c r="X251" s="78" t="b">
        <f t="shared" si="306"/>
        <v>0</v>
      </c>
      <c r="Y251" s="78" t="b">
        <f t="shared" si="306"/>
        <v>0</v>
      </c>
      <c r="Z251" s="78" t="b">
        <f t="shared" si="306"/>
        <v>0</v>
      </c>
      <c r="AA251" s="78" t="b">
        <f t="shared" si="306"/>
        <v>0</v>
      </c>
      <c r="AB251" s="78" t="b">
        <f t="shared" si="306"/>
        <v>0</v>
      </c>
      <c r="AC251" s="78" t="b">
        <f t="shared" si="306"/>
        <v>0</v>
      </c>
      <c r="AD251" s="78" t="b">
        <f t="shared" si="306"/>
        <v>0</v>
      </c>
      <c r="AE251" s="78" t="b">
        <f t="shared" si="306"/>
        <v>0</v>
      </c>
      <c r="AF251" s="78" t="b">
        <f t="shared" si="306"/>
        <v>0</v>
      </c>
      <c r="AG251" s="78" t="b">
        <f t="shared" si="306"/>
        <v>0</v>
      </c>
      <c r="AH251" s="78" t="b">
        <f t="shared" si="306"/>
        <v>0</v>
      </c>
      <c r="AI251" s="78" t="b">
        <f t="shared" si="306"/>
        <v>0</v>
      </c>
      <c r="AJ251" s="78" t="b">
        <f t="shared" si="306"/>
        <v>0</v>
      </c>
      <c r="AK251" s="78" t="b">
        <f t="shared" si="306"/>
        <v>0</v>
      </c>
      <c r="AL251" s="78" t="b">
        <f t="shared" si="306"/>
        <v>0</v>
      </c>
      <c r="AM251" s="78" t="b">
        <f t="shared" si="306"/>
        <v>0</v>
      </c>
      <c r="AN251" s="78" t="b">
        <f t="shared" si="306"/>
        <v>0</v>
      </c>
      <c r="AO251" s="78" t="b">
        <f t="shared" si="306"/>
        <v>0</v>
      </c>
      <c r="AP251" s="78"/>
    </row>
    <row r="252" spans="4:42" x14ac:dyDescent="0.35">
      <c r="D252" s="96"/>
      <c r="E252" s="96"/>
      <c r="G252" s="77">
        <f t="shared" si="243"/>
        <v>0</v>
      </c>
      <c r="H252" s="78">
        <f t="shared" si="244"/>
        <v>0</v>
      </c>
      <c r="I252" s="77">
        <f t="shared" si="245"/>
        <v>0</v>
      </c>
      <c r="J252" s="78">
        <f t="shared" si="246"/>
        <v>0</v>
      </c>
      <c r="K252" s="78" t="str">
        <f t="shared" si="247"/>
        <v>1900-01-00 00:0:00</v>
      </c>
      <c r="L252" s="78" t="str">
        <f t="shared" si="248"/>
        <v>1900-01-00 00:0:00</v>
      </c>
      <c r="M252" s="79">
        <f t="shared" si="249"/>
        <v>0</v>
      </c>
      <c r="N252">
        <f t="shared" si="250"/>
        <v>1</v>
      </c>
      <c r="O252" t="str">
        <f>IFERROR(_xlfn.XLOOKUP(A252,HC!A:A,HC!C:C),"")</f>
        <v>Workforce</v>
      </c>
      <c r="R252" s="78" t="b">
        <f t="shared" ref="R252:AO252" si="307">IFERROR(IF($B252=$D$1,IF(AND($K252&lt;R$1,$L252&lt;R$1),"",IF(AND($K252&gt;S$1,$L252&gt;S$1),"",IF(AND($K252&lt;R$1,$L252&lt;=S$1),$L252-R$1,IF(AND($K252&gt;=R$1,$L252&gt;S$1),S$1-$K252,IF(AND($K252&gt;=R$1,$L252&lt;=S$1),$L252-$K252,IF(AND($K252&lt;R$1,$L252&gt;S$1),S$1-R$1,""))))))),"")</f>
        <v>0</v>
      </c>
      <c r="S252" s="78" t="b">
        <f t="shared" si="307"/>
        <v>0</v>
      </c>
      <c r="T252" s="78" t="b">
        <f t="shared" si="307"/>
        <v>0</v>
      </c>
      <c r="U252" s="78" t="b">
        <f t="shared" si="307"/>
        <v>0</v>
      </c>
      <c r="V252" s="78" t="b">
        <f t="shared" si="307"/>
        <v>0</v>
      </c>
      <c r="W252" s="78" t="b">
        <f t="shared" si="307"/>
        <v>0</v>
      </c>
      <c r="X252" s="78" t="b">
        <f t="shared" si="307"/>
        <v>0</v>
      </c>
      <c r="Y252" s="78" t="b">
        <f t="shared" si="307"/>
        <v>0</v>
      </c>
      <c r="Z252" s="78" t="b">
        <f t="shared" si="307"/>
        <v>0</v>
      </c>
      <c r="AA252" s="78" t="b">
        <f t="shared" si="307"/>
        <v>0</v>
      </c>
      <c r="AB252" s="78" t="b">
        <f t="shared" si="307"/>
        <v>0</v>
      </c>
      <c r="AC252" s="78" t="b">
        <f t="shared" si="307"/>
        <v>0</v>
      </c>
      <c r="AD252" s="78" t="b">
        <f t="shared" si="307"/>
        <v>0</v>
      </c>
      <c r="AE252" s="78" t="b">
        <f t="shared" si="307"/>
        <v>0</v>
      </c>
      <c r="AF252" s="78" t="b">
        <f t="shared" si="307"/>
        <v>0</v>
      </c>
      <c r="AG252" s="78" t="b">
        <f t="shared" si="307"/>
        <v>0</v>
      </c>
      <c r="AH252" s="78" t="b">
        <f t="shared" si="307"/>
        <v>0</v>
      </c>
      <c r="AI252" s="78" t="b">
        <f t="shared" si="307"/>
        <v>0</v>
      </c>
      <c r="AJ252" s="78" t="b">
        <f t="shared" si="307"/>
        <v>0</v>
      </c>
      <c r="AK252" s="78" t="b">
        <f t="shared" si="307"/>
        <v>0</v>
      </c>
      <c r="AL252" s="78" t="b">
        <f t="shared" si="307"/>
        <v>0</v>
      </c>
      <c r="AM252" s="78" t="b">
        <f t="shared" si="307"/>
        <v>0</v>
      </c>
      <c r="AN252" s="78" t="b">
        <f t="shared" si="307"/>
        <v>0</v>
      </c>
      <c r="AO252" s="78" t="b">
        <f t="shared" si="307"/>
        <v>0</v>
      </c>
      <c r="AP252" s="78"/>
    </row>
    <row r="253" spans="4:42" x14ac:dyDescent="0.35">
      <c r="D253" s="96"/>
      <c r="E253" s="96"/>
      <c r="G253" s="77">
        <f t="shared" si="243"/>
        <v>0</v>
      </c>
      <c r="H253" s="78">
        <f t="shared" si="244"/>
        <v>0</v>
      </c>
      <c r="I253" s="77">
        <f t="shared" si="245"/>
        <v>0</v>
      </c>
      <c r="J253" s="78">
        <f t="shared" si="246"/>
        <v>0</v>
      </c>
      <c r="K253" s="78" t="str">
        <f t="shared" si="247"/>
        <v>1900-01-00 00:0:00</v>
      </c>
      <c r="L253" s="78" t="str">
        <f t="shared" si="248"/>
        <v>1900-01-00 00:0:00</v>
      </c>
      <c r="M253" s="79">
        <f t="shared" si="249"/>
        <v>0</v>
      </c>
      <c r="N253">
        <f t="shared" si="250"/>
        <v>1</v>
      </c>
      <c r="O253" t="str">
        <f>IFERROR(_xlfn.XLOOKUP(A253,HC!A:A,HC!C:C),"")</f>
        <v>Workforce</v>
      </c>
      <c r="R253" s="78" t="b">
        <f t="shared" ref="R253:AO253" si="308">IFERROR(IF($B253=$D$1,IF(AND($K253&lt;R$1,$L253&lt;R$1),"",IF(AND($K253&gt;S$1,$L253&gt;S$1),"",IF(AND($K253&lt;R$1,$L253&lt;=S$1),$L253-R$1,IF(AND($K253&gt;=R$1,$L253&gt;S$1),S$1-$K253,IF(AND($K253&gt;=R$1,$L253&lt;=S$1),$L253-$K253,IF(AND($K253&lt;R$1,$L253&gt;S$1),S$1-R$1,""))))))),"")</f>
        <v>0</v>
      </c>
      <c r="S253" s="78" t="b">
        <f t="shared" si="308"/>
        <v>0</v>
      </c>
      <c r="T253" s="78" t="b">
        <f t="shared" si="308"/>
        <v>0</v>
      </c>
      <c r="U253" s="78" t="b">
        <f t="shared" si="308"/>
        <v>0</v>
      </c>
      <c r="V253" s="78" t="b">
        <f t="shared" si="308"/>
        <v>0</v>
      </c>
      <c r="W253" s="78" t="b">
        <f t="shared" si="308"/>
        <v>0</v>
      </c>
      <c r="X253" s="78" t="b">
        <f t="shared" si="308"/>
        <v>0</v>
      </c>
      <c r="Y253" s="78" t="b">
        <f t="shared" si="308"/>
        <v>0</v>
      </c>
      <c r="Z253" s="78" t="b">
        <f t="shared" si="308"/>
        <v>0</v>
      </c>
      <c r="AA253" s="78" t="b">
        <f t="shared" si="308"/>
        <v>0</v>
      </c>
      <c r="AB253" s="78" t="b">
        <f t="shared" si="308"/>
        <v>0</v>
      </c>
      <c r="AC253" s="78" t="b">
        <f t="shared" si="308"/>
        <v>0</v>
      </c>
      <c r="AD253" s="78" t="b">
        <f t="shared" si="308"/>
        <v>0</v>
      </c>
      <c r="AE253" s="78" t="b">
        <f t="shared" si="308"/>
        <v>0</v>
      </c>
      <c r="AF253" s="78" t="b">
        <f t="shared" si="308"/>
        <v>0</v>
      </c>
      <c r="AG253" s="78" t="b">
        <f t="shared" si="308"/>
        <v>0</v>
      </c>
      <c r="AH253" s="78" t="b">
        <f t="shared" si="308"/>
        <v>0</v>
      </c>
      <c r="AI253" s="78" t="b">
        <f t="shared" si="308"/>
        <v>0</v>
      </c>
      <c r="AJ253" s="78" t="b">
        <f t="shared" si="308"/>
        <v>0</v>
      </c>
      <c r="AK253" s="78" t="b">
        <f t="shared" si="308"/>
        <v>0</v>
      </c>
      <c r="AL253" s="78" t="b">
        <f t="shared" si="308"/>
        <v>0</v>
      </c>
      <c r="AM253" s="78" t="b">
        <f t="shared" si="308"/>
        <v>0</v>
      </c>
      <c r="AN253" s="78" t="b">
        <f t="shared" si="308"/>
        <v>0</v>
      </c>
      <c r="AO253" s="78" t="b">
        <f t="shared" si="308"/>
        <v>0</v>
      </c>
      <c r="AP253" s="78"/>
    </row>
    <row r="254" spans="4:42" x14ac:dyDescent="0.35">
      <c r="D254" s="96"/>
      <c r="E254" s="96"/>
      <c r="G254" s="77">
        <f t="shared" si="243"/>
        <v>0</v>
      </c>
      <c r="H254" s="78">
        <f t="shared" si="244"/>
        <v>0</v>
      </c>
      <c r="I254" s="77">
        <f t="shared" si="245"/>
        <v>0</v>
      </c>
      <c r="J254" s="78">
        <f t="shared" si="246"/>
        <v>0</v>
      </c>
      <c r="K254" s="78" t="str">
        <f t="shared" si="247"/>
        <v>1900-01-00 00:0:00</v>
      </c>
      <c r="L254" s="78" t="str">
        <f t="shared" si="248"/>
        <v>1900-01-00 00:0:00</v>
      </c>
      <c r="M254" s="79">
        <f t="shared" si="249"/>
        <v>0</v>
      </c>
      <c r="N254">
        <f t="shared" si="250"/>
        <v>1</v>
      </c>
      <c r="O254" t="str">
        <f>IFERROR(_xlfn.XLOOKUP(A254,HC!A:A,HC!C:C),"")</f>
        <v>Workforce</v>
      </c>
      <c r="R254" s="78" t="b">
        <f t="shared" ref="R254:AO254" si="309">IFERROR(IF($B254=$D$1,IF(AND($K254&lt;R$1,$L254&lt;R$1),"",IF(AND($K254&gt;S$1,$L254&gt;S$1),"",IF(AND($K254&lt;R$1,$L254&lt;=S$1),$L254-R$1,IF(AND($K254&gt;=R$1,$L254&gt;S$1),S$1-$K254,IF(AND($K254&gt;=R$1,$L254&lt;=S$1),$L254-$K254,IF(AND($K254&lt;R$1,$L254&gt;S$1),S$1-R$1,""))))))),"")</f>
        <v>0</v>
      </c>
      <c r="S254" s="78" t="b">
        <f t="shared" si="309"/>
        <v>0</v>
      </c>
      <c r="T254" s="78" t="b">
        <f t="shared" si="309"/>
        <v>0</v>
      </c>
      <c r="U254" s="78" t="b">
        <f t="shared" si="309"/>
        <v>0</v>
      </c>
      <c r="V254" s="78" t="b">
        <f t="shared" si="309"/>
        <v>0</v>
      </c>
      <c r="W254" s="78" t="b">
        <f t="shared" si="309"/>
        <v>0</v>
      </c>
      <c r="X254" s="78" t="b">
        <f t="shared" si="309"/>
        <v>0</v>
      </c>
      <c r="Y254" s="78" t="b">
        <f t="shared" si="309"/>
        <v>0</v>
      </c>
      <c r="Z254" s="78" t="b">
        <f t="shared" si="309"/>
        <v>0</v>
      </c>
      <c r="AA254" s="78" t="b">
        <f t="shared" si="309"/>
        <v>0</v>
      </c>
      <c r="AB254" s="78" t="b">
        <f t="shared" si="309"/>
        <v>0</v>
      </c>
      <c r="AC254" s="78" t="b">
        <f t="shared" si="309"/>
        <v>0</v>
      </c>
      <c r="AD254" s="78" t="b">
        <f t="shared" si="309"/>
        <v>0</v>
      </c>
      <c r="AE254" s="78" t="b">
        <f t="shared" si="309"/>
        <v>0</v>
      </c>
      <c r="AF254" s="78" t="b">
        <f t="shared" si="309"/>
        <v>0</v>
      </c>
      <c r="AG254" s="78" t="b">
        <f t="shared" si="309"/>
        <v>0</v>
      </c>
      <c r="AH254" s="78" t="b">
        <f t="shared" si="309"/>
        <v>0</v>
      </c>
      <c r="AI254" s="78" t="b">
        <f t="shared" si="309"/>
        <v>0</v>
      </c>
      <c r="AJ254" s="78" t="b">
        <f t="shared" si="309"/>
        <v>0</v>
      </c>
      <c r="AK254" s="78" t="b">
        <f t="shared" si="309"/>
        <v>0</v>
      </c>
      <c r="AL254" s="78" t="b">
        <f t="shared" si="309"/>
        <v>0</v>
      </c>
      <c r="AM254" s="78" t="b">
        <f t="shared" si="309"/>
        <v>0</v>
      </c>
      <c r="AN254" s="78" t="b">
        <f t="shared" si="309"/>
        <v>0</v>
      </c>
      <c r="AO254" s="78" t="b">
        <f t="shared" si="309"/>
        <v>0</v>
      </c>
      <c r="AP254" s="78"/>
    </row>
    <row r="255" spans="4:42" x14ac:dyDescent="0.35">
      <c r="D255" s="96"/>
      <c r="E255" s="96"/>
      <c r="G255" s="77">
        <f t="shared" si="243"/>
        <v>0</v>
      </c>
      <c r="H255" s="78">
        <f t="shared" si="244"/>
        <v>0</v>
      </c>
      <c r="I255" s="77">
        <f t="shared" si="245"/>
        <v>0</v>
      </c>
      <c r="J255" s="78">
        <f t="shared" si="246"/>
        <v>0</v>
      </c>
      <c r="K255" s="78" t="str">
        <f t="shared" si="247"/>
        <v>1900-01-00 00:0:00</v>
      </c>
      <c r="L255" s="78" t="str">
        <f t="shared" si="248"/>
        <v>1900-01-00 00:0:00</v>
      </c>
      <c r="M255" s="79">
        <f t="shared" si="249"/>
        <v>0</v>
      </c>
      <c r="N255">
        <f t="shared" si="250"/>
        <v>1</v>
      </c>
      <c r="O255" t="str">
        <f>IFERROR(_xlfn.XLOOKUP(A255,HC!A:A,HC!C:C),"")</f>
        <v>Workforce</v>
      </c>
      <c r="R255" s="78" t="b">
        <f t="shared" ref="R255:AO255" si="310">IFERROR(IF($B255=$D$1,IF(AND($K255&lt;R$1,$L255&lt;R$1),"",IF(AND($K255&gt;S$1,$L255&gt;S$1),"",IF(AND($K255&lt;R$1,$L255&lt;=S$1),$L255-R$1,IF(AND($K255&gt;=R$1,$L255&gt;S$1),S$1-$K255,IF(AND($K255&gt;=R$1,$L255&lt;=S$1),$L255-$K255,IF(AND($K255&lt;R$1,$L255&gt;S$1),S$1-R$1,""))))))),"")</f>
        <v>0</v>
      </c>
      <c r="S255" s="78" t="b">
        <f t="shared" si="310"/>
        <v>0</v>
      </c>
      <c r="T255" s="78" t="b">
        <f t="shared" si="310"/>
        <v>0</v>
      </c>
      <c r="U255" s="78" t="b">
        <f t="shared" si="310"/>
        <v>0</v>
      </c>
      <c r="V255" s="78" t="b">
        <f t="shared" si="310"/>
        <v>0</v>
      </c>
      <c r="W255" s="78" t="b">
        <f t="shared" si="310"/>
        <v>0</v>
      </c>
      <c r="X255" s="78" t="b">
        <f t="shared" si="310"/>
        <v>0</v>
      </c>
      <c r="Y255" s="78" t="b">
        <f t="shared" si="310"/>
        <v>0</v>
      </c>
      <c r="Z255" s="78" t="b">
        <f t="shared" si="310"/>
        <v>0</v>
      </c>
      <c r="AA255" s="78" t="b">
        <f t="shared" si="310"/>
        <v>0</v>
      </c>
      <c r="AB255" s="78" t="b">
        <f t="shared" si="310"/>
        <v>0</v>
      </c>
      <c r="AC255" s="78" t="b">
        <f t="shared" si="310"/>
        <v>0</v>
      </c>
      <c r="AD255" s="78" t="b">
        <f t="shared" si="310"/>
        <v>0</v>
      </c>
      <c r="AE255" s="78" t="b">
        <f t="shared" si="310"/>
        <v>0</v>
      </c>
      <c r="AF255" s="78" t="b">
        <f t="shared" si="310"/>
        <v>0</v>
      </c>
      <c r="AG255" s="78" t="b">
        <f t="shared" si="310"/>
        <v>0</v>
      </c>
      <c r="AH255" s="78" t="b">
        <f t="shared" si="310"/>
        <v>0</v>
      </c>
      <c r="AI255" s="78" t="b">
        <f t="shared" si="310"/>
        <v>0</v>
      </c>
      <c r="AJ255" s="78" t="b">
        <f t="shared" si="310"/>
        <v>0</v>
      </c>
      <c r="AK255" s="78" t="b">
        <f t="shared" si="310"/>
        <v>0</v>
      </c>
      <c r="AL255" s="78" t="b">
        <f t="shared" si="310"/>
        <v>0</v>
      </c>
      <c r="AM255" s="78" t="b">
        <f t="shared" si="310"/>
        <v>0</v>
      </c>
      <c r="AN255" s="78" t="b">
        <f t="shared" si="310"/>
        <v>0</v>
      </c>
      <c r="AO255" s="78" t="b">
        <f t="shared" si="310"/>
        <v>0</v>
      </c>
      <c r="AP255" s="78"/>
    </row>
    <row r="256" spans="4:42" x14ac:dyDescent="0.35">
      <c r="D256" s="96"/>
      <c r="E256" s="96"/>
      <c r="G256" s="77">
        <f t="shared" si="243"/>
        <v>0</v>
      </c>
      <c r="H256" s="78">
        <f t="shared" si="244"/>
        <v>0</v>
      </c>
      <c r="I256" s="77">
        <f t="shared" si="245"/>
        <v>0</v>
      </c>
      <c r="J256" s="78">
        <f t="shared" si="246"/>
        <v>0</v>
      </c>
      <c r="K256" s="78" t="str">
        <f t="shared" si="247"/>
        <v>1900-01-00 00:0:00</v>
      </c>
      <c r="L256" s="78" t="str">
        <f t="shared" si="248"/>
        <v>1900-01-00 00:0:00</v>
      </c>
      <c r="M256" s="79">
        <f t="shared" si="249"/>
        <v>0</v>
      </c>
      <c r="N256">
        <f t="shared" si="250"/>
        <v>1</v>
      </c>
      <c r="O256" t="str">
        <f>IFERROR(_xlfn.XLOOKUP(A256,HC!A:A,HC!C:C),"")</f>
        <v>Workforce</v>
      </c>
      <c r="R256" s="78" t="b">
        <f t="shared" ref="R256:AO256" si="311">IFERROR(IF($B256=$D$1,IF(AND($K256&lt;R$1,$L256&lt;R$1),"",IF(AND($K256&gt;S$1,$L256&gt;S$1),"",IF(AND($K256&lt;R$1,$L256&lt;=S$1),$L256-R$1,IF(AND($K256&gt;=R$1,$L256&gt;S$1),S$1-$K256,IF(AND($K256&gt;=R$1,$L256&lt;=S$1),$L256-$K256,IF(AND($K256&lt;R$1,$L256&gt;S$1),S$1-R$1,""))))))),"")</f>
        <v>0</v>
      </c>
      <c r="S256" s="78" t="b">
        <f t="shared" si="311"/>
        <v>0</v>
      </c>
      <c r="T256" s="78" t="b">
        <f t="shared" si="311"/>
        <v>0</v>
      </c>
      <c r="U256" s="78" t="b">
        <f t="shared" si="311"/>
        <v>0</v>
      </c>
      <c r="V256" s="78" t="b">
        <f t="shared" si="311"/>
        <v>0</v>
      </c>
      <c r="W256" s="78" t="b">
        <f t="shared" si="311"/>
        <v>0</v>
      </c>
      <c r="X256" s="78" t="b">
        <f t="shared" si="311"/>
        <v>0</v>
      </c>
      <c r="Y256" s="78" t="b">
        <f t="shared" si="311"/>
        <v>0</v>
      </c>
      <c r="Z256" s="78" t="b">
        <f t="shared" si="311"/>
        <v>0</v>
      </c>
      <c r="AA256" s="78" t="b">
        <f t="shared" si="311"/>
        <v>0</v>
      </c>
      <c r="AB256" s="78" t="b">
        <f t="shared" si="311"/>
        <v>0</v>
      </c>
      <c r="AC256" s="78" t="b">
        <f t="shared" si="311"/>
        <v>0</v>
      </c>
      <c r="AD256" s="78" t="b">
        <f t="shared" si="311"/>
        <v>0</v>
      </c>
      <c r="AE256" s="78" t="b">
        <f t="shared" si="311"/>
        <v>0</v>
      </c>
      <c r="AF256" s="78" t="b">
        <f t="shared" si="311"/>
        <v>0</v>
      </c>
      <c r="AG256" s="78" t="b">
        <f t="shared" si="311"/>
        <v>0</v>
      </c>
      <c r="AH256" s="78" t="b">
        <f t="shared" si="311"/>
        <v>0</v>
      </c>
      <c r="AI256" s="78" t="b">
        <f t="shared" si="311"/>
        <v>0</v>
      </c>
      <c r="AJ256" s="78" t="b">
        <f t="shared" si="311"/>
        <v>0</v>
      </c>
      <c r="AK256" s="78" t="b">
        <f t="shared" si="311"/>
        <v>0</v>
      </c>
      <c r="AL256" s="78" t="b">
        <f t="shared" si="311"/>
        <v>0</v>
      </c>
      <c r="AM256" s="78" t="b">
        <f t="shared" si="311"/>
        <v>0</v>
      </c>
      <c r="AN256" s="78" t="b">
        <f t="shared" si="311"/>
        <v>0</v>
      </c>
      <c r="AO256" s="78" t="b">
        <f t="shared" si="311"/>
        <v>0</v>
      </c>
      <c r="AP256" s="78"/>
    </row>
    <row r="257" spans="4:42" x14ac:dyDescent="0.35">
      <c r="D257" s="96"/>
      <c r="E257" s="96"/>
      <c r="G257" s="77">
        <f t="shared" si="243"/>
        <v>0</v>
      </c>
      <c r="H257" s="78">
        <f t="shared" si="244"/>
        <v>0</v>
      </c>
      <c r="I257" s="77">
        <f t="shared" si="245"/>
        <v>0</v>
      </c>
      <c r="J257" s="78">
        <f t="shared" si="246"/>
        <v>0</v>
      </c>
      <c r="K257" s="78" t="str">
        <f t="shared" si="247"/>
        <v>1900-01-00 00:0:00</v>
      </c>
      <c r="L257" s="78" t="str">
        <f t="shared" si="248"/>
        <v>1900-01-00 00:0:00</v>
      </c>
      <c r="M257" s="79">
        <f t="shared" si="249"/>
        <v>0</v>
      </c>
      <c r="N257">
        <f t="shared" si="250"/>
        <v>1</v>
      </c>
      <c r="O257" t="str">
        <f>IFERROR(_xlfn.XLOOKUP(A257,HC!A:A,HC!C:C),"")</f>
        <v>Workforce</v>
      </c>
      <c r="R257" s="78" t="b">
        <f t="shared" ref="R257:AO257" si="312">IFERROR(IF($B257=$D$1,IF(AND($K257&lt;R$1,$L257&lt;R$1),"",IF(AND($K257&gt;S$1,$L257&gt;S$1),"",IF(AND($K257&lt;R$1,$L257&lt;=S$1),$L257-R$1,IF(AND($K257&gt;=R$1,$L257&gt;S$1),S$1-$K257,IF(AND($K257&gt;=R$1,$L257&lt;=S$1),$L257-$K257,IF(AND($K257&lt;R$1,$L257&gt;S$1),S$1-R$1,""))))))),"")</f>
        <v>0</v>
      </c>
      <c r="S257" s="78" t="b">
        <f t="shared" si="312"/>
        <v>0</v>
      </c>
      <c r="T257" s="78" t="b">
        <f t="shared" si="312"/>
        <v>0</v>
      </c>
      <c r="U257" s="78" t="b">
        <f t="shared" si="312"/>
        <v>0</v>
      </c>
      <c r="V257" s="78" t="b">
        <f t="shared" si="312"/>
        <v>0</v>
      </c>
      <c r="W257" s="78" t="b">
        <f t="shared" si="312"/>
        <v>0</v>
      </c>
      <c r="X257" s="78" t="b">
        <f t="shared" si="312"/>
        <v>0</v>
      </c>
      <c r="Y257" s="78" t="b">
        <f t="shared" si="312"/>
        <v>0</v>
      </c>
      <c r="Z257" s="78" t="b">
        <f t="shared" si="312"/>
        <v>0</v>
      </c>
      <c r="AA257" s="78" t="b">
        <f t="shared" si="312"/>
        <v>0</v>
      </c>
      <c r="AB257" s="78" t="b">
        <f t="shared" si="312"/>
        <v>0</v>
      </c>
      <c r="AC257" s="78" t="b">
        <f t="shared" si="312"/>
        <v>0</v>
      </c>
      <c r="AD257" s="78" t="b">
        <f t="shared" si="312"/>
        <v>0</v>
      </c>
      <c r="AE257" s="78" t="b">
        <f t="shared" si="312"/>
        <v>0</v>
      </c>
      <c r="AF257" s="78" t="b">
        <f t="shared" si="312"/>
        <v>0</v>
      </c>
      <c r="AG257" s="78" t="b">
        <f t="shared" si="312"/>
        <v>0</v>
      </c>
      <c r="AH257" s="78" t="b">
        <f t="shared" si="312"/>
        <v>0</v>
      </c>
      <c r="AI257" s="78" t="b">
        <f t="shared" si="312"/>
        <v>0</v>
      </c>
      <c r="AJ257" s="78" t="b">
        <f t="shared" si="312"/>
        <v>0</v>
      </c>
      <c r="AK257" s="78" t="b">
        <f t="shared" si="312"/>
        <v>0</v>
      </c>
      <c r="AL257" s="78" t="b">
        <f t="shared" si="312"/>
        <v>0</v>
      </c>
      <c r="AM257" s="78" t="b">
        <f t="shared" si="312"/>
        <v>0</v>
      </c>
      <c r="AN257" s="78" t="b">
        <f t="shared" si="312"/>
        <v>0</v>
      </c>
      <c r="AO257" s="78" t="b">
        <f t="shared" si="312"/>
        <v>0</v>
      </c>
      <c r="AP257" s="78"/>
    </row>
    <row r="258" spans="4:42" x14ac:dyDescent="0.35">
      <c r="D258" s="96"/>
      <c r="E258" s="96"/>
      <c r="G258" s="77">
        <f t="shared" si="243"/>
        <v>0</v>
      </c>
      <c r="H258" s="78">
        <f t="shared" si="244"/>
        <v>0</v>
      </c>
      <c r="I258" s="77">
        <f t="shared" si="245"/>
        <v>0</v>
      </c>
      <c r="J258" s="78">
        <f t="shared" si="246"/>
        <v>0</v>
      </c>
      <c r="K258" s="78" t="str">
        <f t="shared" si="247"/>
        <v>1900-01-00 00:0:00</v>
      </c>
      <c r="L258" s="78" t="str">
        <f t="shared" si="248"/>
        <v>1900-01-00 00:0:00</v>
      </c>
      <c r="M258" s="79">
        <f t="shared" si="249"/>
        <v>0</v>
      </c>
      <c r="N258">
        <f t="shared" si="250"/>
        <v>1</v>
      </c>
      <c r="O258" t="str">
        <f>IFERROR(_xlfn.XLOOKUP(A258,HC!A:A,HC!C:C),"")</f>
        <v>Workforce</v>
      </c>
      <c r="R258" s="78" t="b">
        <f t="shared" ref="R258:AO258" si="313">IFERROR(IF($B258=$D$1,IF(AND($K258&lt;R$1,$L258&lt;R$1),"",IF(AND($K258&gt;S$1,$L258&gt;S$1),"",IF(AND($K258&lt;R$1,$L258&lt;=S$1),$L258-R$1,IF(AND($K258&gt;=R$1,$L258&gt;S$1),S$1-$K258,IF(AND($K258&gt;=R$1,$L258&lt;=S$1),$L258-$K258,IF(AND($K258&lt;R$1,$L258&gt;S$1),S$1-R$1,""))))))),"")</f>
        <v>0</v>
      </c>
      <c r="S258" s="78" t="b">
        <f t="shared" si="313"/>
        <v>0</v>
      </c>
      <c r="T258" s="78" t="b">
        <f t="shared" si="313"/>
        <v>0</v>
      </c>
      <c r="U258" s="78" t="b">
        <f t="shared" si="313"/>
        <v>0</v>
      </c>
      <c r="V258" s="78" t="b">
        <f t="shared" si="313"/>
        <v>0</v>
      </c>
      <c r="W258" s="78" t="b">
        <f t="shared" si="313"/>
        <v>0</v>
      </c>
      <c r="X258" s="78" t="b">
        <f t="shared" si="313"/>
        <v>0</v>
      </c>
      <c r="Y258" s="78" t="b">
        <f t="shared" si="313"/>
        <v>0</v>
      </c>
      <c r="Z258" s="78" t="b">
        <f t="shared" si="313"/>
        <v>0</v>
      </c>
      <c r="AA258" s="78" t="b">
        <f t="shared" si="313"/>
        <v>0</v>
      </c>
      <c r="AB258" s="78" t="b">
        <f t="shared" si="313"/>
        <v>0</v>
      </c>
      <c r="AC258" s="78" t="b">
        <f t="shared" si="313"/>
        <v>0</v>
      </c>
      <c r="AD258" s="78" t="b">
        <f t="shared" si="313"/>
        <v>0</v>
      </c>
      <c r="AE258" s="78" t="b">
        <f t="shared" si="313"/>
        <v>0</v>
      </c>
      <c r="AF258" s="78" t="b">
        <f t="shared" si="313"/>
        <v>0</v>
      </c>
      <c r="AG258" s="78" t="b">
        <f t="shared" si="313"/>
        <v>0</v>
      </c>
      <c r="AH258" s="78" t="b">
        <f t="shared" si="313"/>
        <v>0</v>
      </c>
      <c r="AI258" s="78" t="b">
        <f t="shared" si="313"/>
        <v>0</v>
      </c>
      <c r="AJ258" s="78" t="b">
        <f t="shared" si="313"/>
        <v>0</v>
      </c>
      <c r="AK258" s="78" t="b">
        <f t="shared" si="313"/>
        <v>0</v>
      </c>
      <c r="AL258" s="78" t="b">
        <f t="shared" si="313"/>
        <v>0</v>
      </c>
      <c r="AM258" s="78" t="b">
        <f t="shared" si="313"/>
        <v>0</v>
      </c>
      <c r="AN258" s="78" t="b">
        <f t="shared" si="313"/>
        <v>0</v>
      </c>
      <c r="AO258" s="78" t="b">
        <f t="shared" si="313"/>
        <v>0</v>
      </c>
      <c r="AP258" s="78"/>
    </row>
    <row r="259" spans="4:42" x14ac:dyDescent="0.35">
      <c r="D259" s="96"/>
      <c r="E259" s="96"/>
      <c r="G259" s="77">
        <f t="shared" si="243"/>
        <v>0</v>
      </c>
      <c r="H259" s="78">
        <f t="shared" si="244"/>
        <v>0</v>
      </c>
      <c r="I259" s="77">
        <f t="shared" si="245"/>
        <v>0</v>
      </c>
      <c r="J259" s="78">
        <f t="shared" si="246"/>
        <v>0</v>
      </c>
      <c r="K259" s="78" t="str">
        <f t="shared" si="247"/>
        <v>1900-01-00 00:0:00</v>
      </c>
      <c r="L259" s="78" t="str">
        <f t="shared" si="248"/>
        <v>1900-01-00 00:0:00</v>
      </c>
      <c r="M259" s="79">
        <f t="shared" si="249"/>
        <v>0</v>
      </c>
      <c r="N259">
        <f t="shared" si="250"/>
        <v>1</v>
      </c>
      <c r="O259" t="str">
        <f>IFERROR(_xlfn.XLOOKUP(A259,HC!A:A,HC!C:C),"")</f>
        <v>Workforce</v>
      </c>
      <c r="R259" s="78" t="b">
        <f t="shared" ref="R259:AO259" si="314">IFERROR(IF($B259=$D$1,IF(AND($K259&lt;R$1,$L259&lt;R$1),"",IF(AND($K259&gt;S$1,$L259&gt;S$1),"",IF(AND($K259&lt;R$1,$L259&lt;=S$1),$L259-R$1,IF(AND($K259&gt;=R$1,$L259&gt;S$1),S$1-$K259,IF(AND($K259&gt;=R$1,$L259&lt;=S$1),$L259-$K259,IF(AND($K259&lt;R$1,$L259&gt;S$1),S$1-R$1,""))))))),"")</f>
        <v>0</v>
      </c>
      <c r="S259" s="78" t="b">
        <f t="shared" si="314"/>
        <v>0</v>
      </c>
      <c r="T259" s="78" t="b">
        <f t="shared" si="314"/>
        <v>0</v>
      </c>
      <c r="U259" s="78" t="b">
        <f t="shared" si="314"/>
        <v>0</v>
      </c>
      <c r="V259" s="78" t="b">
        <f t="shared" si="314"/>
        <v>0</v>
      </c>
      <c r="W259" s="78" t="b">
        <f t="shared" si="314"/>
        <v>0</v>
      </c>
      <c r="X259" s="78" t="b">
        <f t="shared" si="314"/>
        <v>0</v>
      </c>
      <c r="Y259" s="78" t="b">
        <f t="shared" si="314"/>
        <v>0</v>
      </c>
      <c r="Z259" s="78" t="b">
        <f t="shared" si="314"/>
        <v>0</v>
      </c>
      <c r="AA259" s="78" t="b">
        <f t="shared" si="314"/>
        <v>0</v>
      </c>
      <c r="AB259" s="78" t="b">
        <f t="shared" si="314"/>
        <v>0</v>
      </c>
      <c r="AC259" s="78" t="b">
        <f t="shared" si="314"/>
        <v>0</v>
      </c>
      <c r="AD259" s="78" t="b">
        <f t="shared" si="314"/>
        <v>0</v>
      </c>
      <c r="AE259" s="78" t="b">
        <f t="shared" si="314"/>
        <v>0</v>
      </c>
      <c r="AF259" s="78" t="b">
        <f t="shared" si="314"/>
        <v>0</v>
      </c>
      <c r="AG259" s="78" t="b">
        <f t="shared" si="314"/>
        <v>0</v>
      </c>
      <c r="AH259" s="78" t="b">
        <f t="shared" si="314"/>
        <v>0</v>
      </c>
      <c r="AI259" s="78" t="b">
        <f t="shared" si="314"/>
        <v>0</v>
      </c>
      <c r="AJ259" s="78" t="b">
        <f t="shared" si="314"/>
        <v>0</v>
      </c>
      <c r="AK259" s="78" t="b">
        <f t="shared" si="314"/>
        <v>0</v>
      </c>
      <c r="AL259" s="78" t="b">
        <f t="shared" si="314"/>
        <v>0</v>
      </c>
      <c r="AM259" s="78" t="b">
        <f t="shared" si="314"/>
        <v>0</v>
      </c>
      <c r="AN259" s="78" t="b">
        <f t="shared" si="314"/>
        <v>0</v>
      </c>
      <c r="AO259" s="78" t="b">
        <f t="shared" si="314"/>
        <v>0</v>
      </c>
      <c r="AP259" s="78"/>
    </row>
    <row r="260" spans="4:42" x14ac:dyDescent="0.35">
      <c r="D260" s="96"/>
      <c r="E260" s="96"/>
      <c r="G260" s="77">
        <f t="shared" ref="G260:G323" si="315">INT(D260)</f>
        <v>0</v>
      </c>
      <c r="H260" s="78">
        <f t="shared" ref="H260:H323" si="316">D260-G260</f>
        <v>0</v>
      </c>
      <c r="I260" s="77">
        <f t="shared" ref="I260:I323" si="317">INT(E260)</f>
        <v>0</v>
      </c>
      <c r="J260" s="78">
        <f t="shared" ref="J260:J323" si="318">E260-I260</f>
        <v>0</v>
      </c>
      <c r="K260" s="78" t="str">
        <f t="shared" ref="K260:K323" si="319">TEXT(G260+H260,"yyyy-mm-dd hh:m:ss")</f>
        <v>1900-01-00 00:0:00</v>
      </c>
      <c r="L260" s="78" t="str">
        <f t="shared" ref="L260:L323" si="320">TEXT(I260+J260,"yyyy-mm-dd hh:m:ss")</f>
        <v>1900-01-00 00:0:00</v>
      </c>
      <c r="M260" s="79">
        <f t="shared" ref="M260:M323" si="321">E260-D260</f>
        <v>0</v>
      </c>
      <c r="N260">
        <f t="shared" ref="N260:N323" si="322">IF(M260&lt;$BA$1,1,0)</f>
        <v>1</v>
      </c>
      <c r="O260" t="str">
        <f>IFERROR(_xlfn.XLOOKUP(A260,HC!A:A,HC!C:C),"")</f>
        <v>Workforce</v>
      </c>
      <c r="R260" s="78" t="b">
        <f t="shared" ref="R260:AO260" si="323">IFERROR(IF($B260=$D$1,IF(AND($K260&lt;R$1,$L260&lt;R$1),"",IF(AND($K260&gt;S$1,$L260&gt;S$1),"",IF(AND($K260&lt;R$1,$L260&lt;=S$1),$L260-R$1,IF(AND($K260&gt;=R$1,$L260&gt;S$1),S$1-$K260,IF(AND($K260&gt;=R$1,$L260&lt;=S$1),$L260-$K260,IF(AND($K260&lt;R$1,$L260&gt;S$1),S$1-R$1,""))))))),"")</f>
        <v>0</v>
      </c>
      <c r="S260" s="78" t="b">
        <f t="shared" si="323"/>
        <v>0</v>
      </c>
      <c r="T260" s="78" t="b">
        <f t="shared" si="323"/>
        <v>0</v>
      </c>
      <c r="U260" s="78" t="b">
        <f t="shared" si="323"/>
        <v>0</v>
      </c>
      <c r="V260" s="78" t="b">
        <f t="shared" si="323"/>
        <v>0</v>
      </c>
      <c r="W260" s="78" t="b">
        <f t="shared" si="323"/>
        <v>0</v>
      </c>
      <c r="X260" s="78" t="b">
        <f t="shared" si="323"/>
        <v>0</v>
      </c>
      <c r="Y260" s="78" t="b">
        <f t="shared" si="323"/>
        <v>0</v>
      </c>
      <c r="Z260" s="78" t="b">
        <f t="shared" si="323"/>
        <v>0</v>
      </c>
      <c r="AA260" s="78" t="b">
        <f t="shared" si="323"/>
        <v>0</v>
      </c>
      <c r="AB260" s="78" t="b">
        <f t="shared" si="323"/>
        <v>0</v>
      </c>
      <c r="AC260" s="78" t="b">
        <f t="shared" si="323"/>
        <v>0</v>
      </c>
      <c r="AD260" s="78" t="b">
        <f t="shared" si="323"/>
        <v>0</v>
      </c>
      <c r="AE260" s="78" t="b">
        <f t="shared" si="323"/>
        <v>0</v>
      </c>
      <c r="AF260" s="78" t="b">
        <f t="shared" si="323"/>
        <v>0</v>
      </c>
      <c r="AG260" s="78" t="b">
        <f t="shared" si="323"/>
        <v>0</v>
      </c>
      <c r="AH260" s="78" t="b">
        <f t="shared" si="323"/>
        <v>0</v>
      </c>
      <c r="AI260" s="78" t="b">
        <f t="shared" si="323"/>
        <v>0</v>
      </c>
      <c r="AJ260" s="78" t="b">
        <f t="shared" si="323"/>
        <v>0</v>
      </c>
      <c r="AK260" s="78" t="b">
        <f t="shared" si="323"/>
        <v>0</v>
      </c>
      <c r="AL260" s="78" t="b">
        <f t="shared" si="323"/>
        <v>0</v>
      </c>
      <c r="AM260" s="78" t="b">
        <f t="shared" si="323"/>
        <v>0</v>
      </c>
      <c r="AN260" s="78" t="b">
        <f t="shared" si="323"/>
        <v>0</v>
      </c>
      <c r="AO260" s="78" t="b">
        <f t="shared" si="323"/>
        <v>0</v>
      </c>
      <c r="AP260" s="78"/>
    </row>
    <row r="261" spans="4:42" x14ac:dyDescent="0.35">
      <c r="D261" s="96"/>
      <c r="E261" s="96"/>
      <c r="G261" s="77">
        <f t="shared" si="315"/>
        <v>0</v>
      </c>
      <c r="H261" s="78">
        <f t="shared" si="316"/>
        <v>0</v>
      </c>
      <c r="I261" s="77">
        <f t="shared" si="317"/>
        <v>0</v>
      </c>
      <c r="J261" s="78">
        <f t="shared" si="318"/>
        <v>0</v>
      </c>
      <c r="K261" s="78" t="str">
        <f t="shared" si="319"/>
        <v>1900-01-00 00:0:00</v>
      </c>
      <c r="L261" s="78" t="str">
        <f t="shared" si="320"/>
        <v>1900-01-00 00:0:00</v>
      </c>
      <c r="M261" s="79">
        <f t="shared" si="321"/>
        <v>0</v>
      </c>
      <c r="N261">
        <f t="shared" si="322"/>
        <v>1</v>
      </c>
      <c r="O261" t="str">
        <f>IFERROR(_xlfn.XLOOKUP(A261,HC!A:A,HC!C:C),"")</f>
        <v>Workforce</v>
      </c>
      <c r="R261" s="78" t="b">
        <f t="shared" ref="R261:AO261" si="324">IFERROR(IF($B261=$D$1,IF(AND($K261&lt;R$1,$L261&lt;R$1),"",IF(AND($K261&gt;S$1,$L261&gt;S$1),"",IF(AND($K261&lt;R$1,$L261&lt;=S$1),$L261-R$1,IF(AND($K261&gt;=R$1,$L261&gt;S$1),S$1-$K261,IF(AND($K261&gt;=R$1,$L261&lt;=S$1),$L261-$K261,IF(AND($K261&lt;R$1,$L261&gt;S$1),S$1-R$1,""))))))),"")</f>
        <v>0</v>
      </c>
      <c r="S261" s="78" t="b">
        <f t="shared" si="324"/>
        <v>0</v>
      </c>
      <c r="T261" s="78" t="b">
        <f t="shared" si="324"/>
        <v>0</v>
      </c>
      <c r="U261" s="78" t="b">
        <f t="shared" si="324"/>
        <v>0</v>
      </c>
      <c r="V261" s="78" t="b">
        <f t="shared" si="324"/>
        <v>0</v>
      </c>
      <c r="W261" s="78" t="b">
        <f t="shared" si="324"/>
        <v>0</v>
      </c>
      <c r="X261" s="78" t="b">
        <f t="shared" si="324"/>
        <v>0</v>
      </c>
      <c r="Y261" s="78" t="b">
        <f t="shared" si="324"/>
        <v>0</v>
      </c>
      <c r="Z261" s="78" t="b">
        <f t="shared" si="324"/>
        <v>0</v>
      </c>
      <c r="AA261" s="78" t="b">
        <f t="shared" si="324"/>
        <v>0</v>
      </c>
      <c r="AB261" s="78" t="b">
        <f t="shared" si="324"/>
        <v>0</v>
      </c>
      <c r="AC261" s="78" t="b">
        <f t="shared" si="324"/>
        <v>0</v>
      </c>
      <c r="AD261" s="78" t="b">
        <f t="shared" si="324"/>
        <v>0</v>
      </c>
      <c r="AE261" s="78" t="b">
        <f t="shared" si="324"/>
        <v>0</v>
      </c>
      <c r="AF261" s="78" t="b">
        <f t="shared" si="324"/>
        <v>0</v>
      </c>
      <c r="AG261" s="78" t="b">
        <f t="shared" si="324"/>
        <v>0</v>
      </c>
      <c r="AH261" s="78" t="b">
        <f t="shared" si="324"/>
        <v>0</v>
      </c>
      <c r="AI261" s="78" t="b">
        <f t="shared" si="324"/>
        <v>0</v>
      </c>
      <c r="AJ261" s="78" t="b">
        <f t="shared" si="324"/>
        <v>0</v>
      </c>
      <c r="AK261" s="78" t="b">
        <f t="shared" si="324"/>
        <v>0</v>
      </c>
      <c r="AL261" s="78" t="b">
        <f t="shared" si="324"/>
        <v>0</v>
      </c>
      <c r="AM261" s="78" t="b">
        <f t="shared" si="324"/>
        <v>0</v>
      </c>
      <c r="AN261" s="78" t="b">
        <f t="shared" si="324"/>
        <v>0</v>
      </c>
      <c r="AO261" s="78" t="b">
        <f t="shared" si="324"/>
        <v>0</v>
      </c>
      <c r="AP261" s="78"/>
    </row>
    <row r="262" spans="4:42" x14ac:dyDescent="0.35">
      <c r="D262" s="96"/>
      <c r="E262" s="96"/>
      <c r="G262" s="77">
        <f t="shared" si="315"/>
        <v>0</v>
      </c>
      <c r="H262" s="78">
        <f t="shared" si="316"/>
        <v>0</v>
      </c>
      <c r="I262" s="77">
        <f t="shared" si="317"/>
        <v>0</v>
      </c>
      <c r="J262" s="78">
        <f t="shared" si="318"/>
        <v>0</v>
      </c>
      <c r="K262" s="78" t="str">
        <f t="shared" si="319"/>
        <v>1900-01-00 00:0:00</v>
      </c>
      <c r="L262" s="78" t="str">
        <f t="shared" si="320"/>
        <v>1900-01-00 00:0:00</v>
      </c>
      <c r="M262" s="79">
        <f t="shared" si="321"/>
        <v>0</v>
      </c>
      <c r="N262">
        <f t="shared" si="322"/>
        <v>1</v>
      </c>
      <c r="O262" t="str">
        <f>IFERROR(_xlfn.XLOOKUP(A262,HC!A:A,HC!C:C),"")</f>
        <v>Workforce</v>
      </c>
      <c r="R262" s="78" t="b">
        <f t="shared" ref="R262:AO262" si="325">IFERROR(IF($B262=$D$1,IF(AND($K262&lt;R$1,$L262&lt;R$1),"",IF(AND($K262&gt;S$1,$L262&gt;S$1),"",IF(AND($K262&lt;R$1,$L262&lt;=S$1),$L262-R$1,IF(AND($K262&gt;=R$1,$L262&gt;S$1),S$1-$K262,IF(AND($K262&gt;=R$1,$L262&lt;=S$1),$L262-$K262,IF(AND($K262&lt;R$1,$L262&gt;S$1),S$1-R$1,""))))))),"")</f>
        <v>0</v>
      </c>
      <c r="S262" s="78" t="b">
        <f t="shared" si="325"/>
        <v>0</v>
      </c>
      <c r="T262" s="78" t="b">
        <f t="shared" si="325"/>
        <v>0</v>
      </c>
      <c r="U262" s="78" t="b">
        <f t="shared" si="325"/>
        <v>0</v>
      </c>
      <c r="V262" s="78" t="b">
        <f t="shared" si="325"/>
        <v>0</v>
      </c>
      <c r="W262" s="78" t="b">
        <f t="shared" si="325"/>
        <v>0</v>
      </c>
      <c r="X262" s="78" t="b">
        <f t="shared" si="325"/>
        <v>0</v>
      </c>
      <c r="Y262" s="78" t="b">
        <f t="shared" si="325"/>
        <v>0</v>
      </c>
      <c r="Z262" s="78" t="b">
        <f t="shared" si="325"/>
        <v>0</v>
      </c>
      <c r="AA262" s="78" t="b">
        <f t="shared" si="325"/>
        <v>0</v>
      </c>
      <c r="AB262" s="78" t="b">
        <f t="shared" si="325"/>
        <v>0</v>
      </c>
      <c r="AC262" s="78" t="b">
        <f t="shared" si="325"/>
        <v>0</v>
      </c>
      <c r="AD262" s="78" t="b">
        <f t="shared" si="325"/>
        <v>0</v>
      </c>
      <c r="AE262" s="78" t="b">
        <f t="shared" si="325"/>
        <v>0</v>
      </c>
      <c r="AF262" s="78" t="b">
        <f t="shared" si="325"/>
        <v>0</v>
      </c>
      <c r="AG262" s="78" t="b">
        <f t="shared" si="325"/>
        <v>0</v>
      </c>
      <c r="AH262" s="78" t="b">
        <f t="shared" si="325"/>
        <v>0</v>
      </c>
      <c r="AI262" s="78" t="b">
        <f t="shared" si="325"/>
        <v>0</v>
      </c>
      <c r="AJ262" s="78" t="b">
        <f t="shared" si="325"/>
        <v>0</v>
      </c>
      <c r="AK262" s="78" t="b">
        <f t="shared" si="325"/>
        <v>0</v>
      </c>
      <c r="AL262" s="78" t="b">
        <f t="shared" si="325"/>
        <v>0</v>
      </c>
      <c r="AM262" s="78" t="b">
        <f t="shared" si="325"/>
        <v>0</v>
      </c>
      <c r="AN262" s="78" t="b">
        <f t="shared" si="325"/>
        <v>0</v>
      </c>
      <c r="AO262" s="78" t="b">
        <f t="shared" si="325"/>
        <v>0</v>
      </c>
      <c r="AP262" s="78"/>
    </row>
    <row r="263" spans="4:42" x14ac:dyDescent="0.35">
      <c r="D263" s="96"/>
      <c r="E263" s="96"/>
      <c r="G263" s="77">
        <f t="shared" si="315"/>
        <v>0</v>
      </c>
      <c r="H263" s="78">
        <f t="shared" si="316"/>
        <v>0</v>
      </c>
      <c r="I263" s="77">
        <f t="shared" si="317"/>
        <v>0</v>
      </c>
      <c r="J263" s="78">
        <f t="shared" si="318"/>
        <v>0</v>
      </c>
      <c r="K263" s="78" t="str">
        <f t="shared" si="319"/>
        <v>1900-01-00 00:0:00</v>
      </c>
      <c r="L263" s="78" t="str">
        <f t="shared" si="320"/>
        <v>1900-01-00 00:0:00</v>
      </c>
      <c r="M263" s="79">
        <f t="shared" si="321"/>
        <v>0</v>
      </c>
      <c r="N263">
        <f t="shared" si="322"/>
        <v>1</v>
      </c>
      <c r="O263" t="str">
        <f>IFERROR(_xlfn.XLOOKUP(A263,HC!A:A,HC!C:C),"")</f>
        <v>Workforce</v>
      </c>
      <c r="R263" s="78" t="b">
        <f t="shared" ref="R263:AO263" si="326">IFERROR(IF($B263=$D$1,IF(AND($K263&lt;R$1,$L263&lt;R$1),"",IF(AND($K263&gt;S$1,$L263&gt;S$1),"",IF(AND($K263&lt;R$1,$L263&lt;=S$1),$L263-R$1,IF(AND($K263&gt;=R$1,$L263&gt;S$1),S$1-$K263,IF(AND($K263&gt;=R$1,$L263&lt;=S$1),$L263-$K263,IF(AND($K263&lt;R$1,$L263&gt;S$1),S$1-R$1,""))))))),"")</f>
        <v>0</v>
      </c>
      <c r="S263" s="78" t="b">
        <f t="shared" si="326"/>
        <v>0</v>
      </c>
      <c r="T263" s="78" t="b">
        <f t="shared" si="326"/>
        <v>0</v>
      </c>
      <c r="U263" s="78" t="b">
        <f t="shared" si="326"/>
        <v>0</v>
      </c>
      <c r="V263" s="78" t="b">
        <f t="shared" si="326"/>
        <v>0</v>
      </c>
      <c r="W263" s="78" t="b">
        <f t="shared" si="326"/>
        <v>0</v>
      </c>
      <c r="X263" s="78" t="b">
        <f t="shared" si="326"/>
        <v>0</v>
      </c>
      <c r="Y263" s="78" t="b">
        <f t="shared" si="326"/>
        <v>0</v>
      </c>
      <c r="Z263" s="78" t="b">
        <f t="shared" si="326"/>
        <v>0</v>
      </c>
      <c r="AA263" s="78" t="b">
        <f t="shared" si="326"/>
        <v>0</v>
      </c>
      <c r="AB263" s="78" t="b">
        <f t="shared" si="326"/>
        <v>0</v>
      </c>
      <c r="AC263" s="78" t="b">
        <f t="shared" si="326"/>
        <v>0</v>
      </c>
      <c r="AD263" s="78" t="b">
        <f t="shared" si="326"/>
        <v>0</v>
      </c>
      <c r="AE263" s="78" t="b">
        <f t="shared" si="326"/>
        <v>0</v>
      </c>
      <c r="AF263" s="78" t="b">
        <f t="shared" si="326"/>
        <v>0</v>
      </c>
      <c r="AG263" s="78" t="b">
        <f t="shared" si="326"/>
        <v>0</v>
      </c>
      <c r="AH263" s="78" t="b">
        <f t="shared" si="326"/>
        <v>0</v>
      </c>
      <c r="AI263" s="78" t="b">
        <f t="shared" si="326"/>
        <v>0</v>
      </c>
      <c r="AJ263" s="78" t="b">
        <f t="shared" si="326"/>
        <v>0</v>
      </c>
      <c r="AK263" s="78" t="b">
        <f t="shared" si="326"/>
        <v>0</v>
      </c>
      <c r="AL263" s="78" t="b">
        <f t="shared" si="326"/>
        <v>0</v>
      </c>
      <c r="AM263" s="78" t="b">
        <f t="shared" si="326"/>
        <v>0</v>
      </c>
      <c r="AN263" s="78" t="b">
        <f t="shared" si="326"/>
        <v>0</v>
      </c>
      <c r="AO263" s="78" t="b">
        <f t="shared" si="326"/>
        <v>0</v>
      </c>
      <c r="AP263" s="78"/>
    </row>
    <row r="264" spans="4:42" x14ac:dyDescent="0.35">
      <c r="D264" s="96"/>
      <c r="E264" s="96"/>
      <c r="G264" s="77">
        <f t="shared" si="315"/>
        <v>0</v>
      </c>
      <c r="H264" s="78">
        <f t="shared" si="316"/>
        <v>0</v>
      </c>
      <c r="I264" s="77">
        <f t="shared" si="317"/>
        <v>0</v>
      </c>
      <c r="J264" s="78">
        <f t="shared" si="318"/>
        <v>0</v>
      </c>
      <c r="K264" s="78" t="str">
        <f t="shared" si="319"/>
        <v>1900-01-00 00:0:00</v>
      </c>
      <c r="L264" s="78" t="str">
        <f t="shared" si="320"/>
        <v>1900-01-00 00:0:00</v>
      </c>
      <c r="M264" s="79">
        <f t="shared" si="321"/>
        <v>0</v>
      </c>
      <c r="N264">
        <f t="shared" si="322"/>
        <v>1</v>
      </c>
      <c r="O264" t="str">
        <f>IFERROR(_xlfn.XLOOKUP(A264,HC!A:A,HC!C:C),"")</f>
        <v>Workforce</v>
      </c>
      <c r="R264" s="78" t="b">
        <f t="shared" ref="R264:AO264" si="327">IFERROR(IF($B264=$D$1,IF(AND($K264&lt;R$1,$L264&lt;R$1),"",IF(AND($K264&gt;S$1,$L264&gt;S$1),"",IF(AND($K264&lt;R$1,$L264&lt;=S$1),$L264-R$1,IF(AND($K264&gt;=R$1,$L264&gt;S$1),S$1-$K264,IF(AND($K264&gt;=R$1,$L264&lt;=S$1),$L264-$K264,IF(AND($K264&lt;R$1,$L264&gt;S$1),S$1-R$1,""))))))),"")</f>
        <v>0</v>
      </c>
      <c r="S264" s="78" t="b">
        <f t="shared" si="327"/>
        <v>0</v>
      </c>
      <c r="T264" s="78" t="b">
        <f t="shared" si="327"/>
        <v>0</v>
      </c>
      <c r="U264" s="78" t="b">
        <f t="shared" si="327"/>
        <v>0</v>
      </c>
      <c r="V264" s="78" t="b">
        <f t="shared" si="327"/>
        <v>0</v>
      </c>
      <c r="W264" s="78" t="b">
        <f t="shared" si="327"/>
        <v>0</v>
      </c>
      <c r="X264" s="78" t="b">
        <f t="shared" si="327"/>
        <v>0</v>
      </c>
      <c r="Y264" s="78" t="b">
        <f t="shared" si="327"/>
        <v>0</v>
      </c>
      <c r="Z264" s="78" t="b">
        <f t="shared" si="327"/>
        <v>0</v>
      </c>
      <c r="AA264" s="78" t="b">
        <f t="shared" si="327"/>
        <v>0</v>
      </c>
      <c r="AB264" s="78" t="b">
        <f t="shared" si="327"/>
        <v>0</v>
      </c>
      <c r="AC264" s="78" t="b">
        <f t="shared" si="327"/>
        <v>0</v>
      </c>
      <c r="AD264" s="78" t="b">
        <f t="shared" si="327"/>
        <v>0</v>
      </c>
      <c r="AE264" s="78" t="b">
        <f t="shared" si="327"/>
        <v>0</v>
      </c>
      <c r="AF264" s="78" t="b">
        <f t="shared" si="327"/>
        <v>0</v>
      </c>
      <c r="AG264" s="78" t="b">
        <f t="shared" si="327"/>
        <v>0</v>
      </c>
      <c r="AH264" s="78" t="b">
        <f t="shared" si="327"/>
        <v>0</v>
      </c>
      <c r="AI264" s="78" t="b">
        <f t="shared" si="327"/>
        <v>0</v>
      </c>
      <c r="AJ264" s="78" t="b">
        <f t="shared" si="327"/>
        <v>0</v>
      </c>
      <c r="AK264" s="78" t="b">
        <f t="shared" si="327"/>
        <v>0</v>
      </c>
      <c r="AL264" s="78" t="b">
        <f t="shared" si="327"/>
        <v>0</v>
      </c>
      <c r="AM264" s="78" t="b">
        <f t="shared" si="327"/>
        <v>0</v>
      </c>
      <c r="AN264" s="78" t="b">
        <f t="shared" si="327"/>
        <v>0</v>
      </c>
      <c r="AO264" s="78" t="b">
        <f t="shared" si="327"/>
        <v>0</v>
      </c>
      <c r="AP264" s="78"/>
    </row>
    <row r="265" spans="4:42" x14ac:dyDescent="0.35">
      <c r="D265" s="96"/>
      <c r="E265" s="96"/>
      <c r="G265" s="77">
        <f t="shared" si="315"/>
        <v>0</v>
      </c>
      <c r="H265" s="78">
        <f t="shared" si="316"/>
        <v>0</v>
      </c>
      <c r="I265" s="77">
        <f t="shared" si="317"/>
        <v>0</v>
      </c>
      <c r="J265" s="78">
        <f t="shared" si="318"/>
        <v>0</v>
      </c>
      <c r="K265" s="78" t="str">
        <f t="shared" si="319"/>
        <v>1900-01-00 00:0:00</v>
      </c>
      <c r="L265" s="78" t="str">
        <f t="shared" si="320"/>
        <v>1900-01-00 00:0:00</v>
      </c>
      <c r="M265" s="79">
        <f t="shared" si="321"/>
        <v>0</v>
      </c>
      <c r="N265">
        <f t="shared" si="322"/>
        <v>1</v>
      </c>
      <c r="O265" t="str">
        <f>IFERROR(_xlfn.XLOOKUP(A265,HC!A:A,HC!C:C),"")</f>
        <v>Workforce</v>
      </c>
      <c r="R265" s="78" t="b">
        <f t="shared" ref="R265:AO265" si="328">IFERROR(IF($B265=$D$1,IF(AND($K265&lt;R$1,$L265&lt;R$1),"",IF(AND($K265&gt;S$1,$L265&gt;S$1),"",IF(AND($K265&lt;R$1,$L265&lt;=S$1),$L265-R$1,IF(AND($K265&gt;=R$1,$L265&gt;S$1),S$1-$K265,IF(AND($K265&gt;=R$1,$L265&lt;=S$1),$L265-$K265,IF(AND($K265&lt;R$1,$L265&gt;S$1),S$1-R$1,""))))))),"")</f>
        <v>0</v>
      </c>
      <c r="S265" s="78" t="b">
        <f t="shared" si="328"/>
        <v>0</v>
      </c>
      <c r="T265" s="78" t="b">
        <f t="shared" si="328"/>
        <v>0</v>
      </c>
      <c r="U265" s="78" t="b">
        <f t="shared" si="328"/>
        <v>0</v>
      </c>
      <c r="V265" s="78" t="b">
        <f t="shared" si="328"/>
        <v>0</v>
      </c>
      <c r="W265" s="78" t="b">
        <f t="shared" si="328"/>
        <v>0</v>
      </c>
      <c r="X265" s="78" t="b">
        <f t="shared" si="328"/>
        <v>0</v>
      </c>
      <c r="Y265" s="78" t="b">
        <f t="shared" si="328"/>
        <v>0</v>
      </c>
      <c r="Z265" s="78" t="b">
        <f t="shared" si="328"/>
        <v>0</v>
      </c>
      <c r="AA265" s="78" t="b">
        <f t="shared" si="328"/>
        <v>0</v>
      </c>
      <c r="AB265" s="78" t="b">
        <f t="shared" si="328"/>
        <v>0</v>
      </c>
      <c r="AC265" s="78" t="b">
        <f t="shared" si="328"/>
        <v>0</v>
      </c>
      <c r="AD265" s="78" t="b">
        <f t="shared" si="328"/>
        <v>0</v>
      </c>
      <c r="AE265" s="78" t="b">
        <f t="shared" si="328"/>
        <v>0</v>
      </c>
      <c r="AF265" s="78" t="b">
        <f t="shared" si="328"/>
        <v>0</v>
      </c>
      <c r="AG265" s="78" t="b">
        <f t="shared" si="328"/>
        <v>0</v>
      </c>
      <c r="AH265" s="78" t="b">
        <f t="shared" si="328"/>
        <v>0</v>
      </c>
      <c r="AI265" s="78" t="b">
        <f t="shared" si="328"/>
        <v>0</v>
      </c>
      <c r="AJ265" s="78" t="b">
        <f t="shared" si="328"/>
        <v>0</v>
      </c>
      <c r="AK265" s="78" t="b">
        <f t="shared" si="328"/>
        <v>0</v>
      </c>
      <c r="AL265" s="78" t="b">
        <f t="shared" si="328"/>
        <v>0</v>
      </c>
      <c r="AM265" s="78" t="b">
        <f t="shared" si="328"/>
        <v>0</v>
      </c>
      <c r="AN265" s="78" t="b">
        <f t="shared" si="328"/>
        <v>0</v>
      </c>
      <c r="AO265" s="78" t="b">
        <f t="shared" si="328"/>
        <v>0</v>
      </c>
      <c r="AP265" s="78"/>
    </row>
    <row r="266" spans="4:42" x14ac:dyDescent="0.35">
      <c r="D266" s="96"/>
      <c r="E266" s="96"/>
      <c r="G266" s="77">
        <f t="shared" si="315"/>
        <v>0</v>
      </c>
      <c r="H266" s="78">
        <f t="shared" si="316"/>
        <v>0</v>
      </c>
      <c r="I266" s="77">
        <f t="shared" si="317"/>
        <v>0</v>
      </c>
      <c r="J266" s="78">
        <f t="shared" si="318"/>
        <v>0</v>
      </c>
      <c r="K266" s="78" t="str">
        <f t="shared" si="319"/>
        <v>1900-01-00 00:0:00</v>
      </c>
      <c r="L266" s="78" t="str">
        <f t="shared" si="320"/>
        <v>1900-01-00 00:0:00</v>
      </c>
      <c r="M266" s="79">
        <f t="shared" si="321"/>
        <v>0</v>
      </c>
      <c r="N266">
        <f t="shared" si="322"/>
        <v>1</v>
      </c>
      <c r="O266" t="str">
        <f>IFERROR(_xlfn.XLOOKUP(A266,HC!A:A,HC!C:C),"")</f>
        <v>Workforce</v>
      </c>
      <c r="R266" s="78" t="b">
        <f t="shared" ref="R266:AO266" si="329">IFERROR(IF($B266=$D$1,IF(AND($K266&lt;R$1,$L266&lt;R$1),"",IF(AND($K266&gt;S$1,$L266&gt;S$1),"",IF(AND($K266&lt;R$1,$L266&lt;=S$1),$L266-R$1,IF(AND($K266&gt;=R$1,$L266&gt;S$1),S$1-$K266,IF(AND($K266&gt;=R$1,$L266&lt;=S$1),$L266-$K266,IF(AND($K266&lt;R$1,$L266&gt;S$1),S$1-R$1,""))))))),"")</f>
        <v>0</v>
      </c>
      <c r="S266" s="78" t="b">
        <f t="shared" si="329"/>
        <v>0</v>
      </c>
      <c r="T266" s="78" t="b">
        <f t="shared" si="329"/>
        <v>0</v>
      </c>
      <c r="U266" s="78" t="b">
        <f t="shared" si="329"/>
        <v>0</v>
      </c>
      <c r="V266" s="78" t="b">
        <f t="shared" si="329"/>
        <v>0</v>
      </c>
      <c r="W266" s="78" t="b">
        <f t="shared" si="329"/>
        <v>0</v>
      </c>
      <c r="X266" s="78" t="b">
        <f t="shared" si="329"/>
        <v>0</v>
      </c>
      <c r="Y266" s="78" t="b">
        <f t="shared" si="329"/>
        <v>0</v>
      </c>
      <c r="Z266" s="78" t="b">
        <f t="shared" si="329"/>
        <v>0</v>
      </c>
      <c r="AA266" s="78" t="b">
        <f t="shared" si="329"/>
        <v>0</v>
      </c>
      <c r="AB266" s="78" t="b">
        <f t="shared" si="329"/>
        <v>0</v>
      </c>
      <c r="AC266" s="78" t="b">
        <f t="shared" si="329"/>
        <v>0</v>
      </c>
      <c r="AD266" s="78" t="b">
        <f t="shared" si="329"/>
        <v>0</v>
      </c>
      <c r="AE266" s="78" t="b">
        <f t="shared" si="329"/>
        <v>0</v>
      </c>
      <c r="AF266" s="78" t="b">
        <f t="shared" si="329"/>
        <v>0</v>
      </c>
      <c r="AG266" s="78" t="b">
        <f t="shared" si="329"/>
        <v>0</v>
      </c>
      <c r="AH266" s="78" t="b">
        <f t="shared" si="329"/>
        <v>0</v>
      </c>
      <c r="AI266" s="78" t="b">
        <f t="shared" si="329"/>
        <v>0</v>
      </c>
      <c r="AJ266" s="78" t="b">
        <f t="shared" si="329"/>
        <v>0</v>
      </c>
      <c r="AK266" s="78" t="b">
        <f t="shared" si="329"/>
        <v>0</v>
      </c>
      <c r="AL266" s="78" t="b">
        <f t="shared" si="329"/>
        <v>0</v>
      </c>
      <c r="AM266" s="78" t="b">
        <f t="shared" si="329"/>
        <v>0</v>
      </c>
      <c r="AN266" s="78" t="b">
        <f t="shared" si="329"/>
        <v>0</v>
      </c>
      <c r="AO266" s="78" t="b">
        <f t="shared" si="329"/>
        <v>0</v>
      </c>
      <c r="AP266" s="78"/>
    </row>
    <row r="267" spans="4:42" x14ac:dyDescent="0.35">
      <c r="D267" s="96"/>
      <c r="E267" s="96"/>
      <c r="G267" s="77">
        <f t="shared" si="315"/>
        <v>0</v>
      </c>
      <c r="H267" s="78">
        <f t="shared" si="316"/>
        <v>0</v>
      </c>
      <c r="I267" s="77">
        <f t="shared" si="317"/>
        <v>0</v>
      </c>
      <c r="J267" s="78">
        <f t="shared" si="318"/>
        <v>0</v>
      </c>
      <c r="K267" s="78" t="str">
        <f t="shared" si="319"/>
        <v>1900-01-00 00:0:00</v>
      </c>
      <c r="L267" s="78" t="str">
        <f t="shared" si="320"/>
        <v>1900-01-00 00:0:00</v>
      </c>
      <c r="M267" s="79">
        <f t="shared" si="321"/>
        <v>0</v>
      </c>
      <c r="N267">
        <f t="shared" si="322"/>
        <v>1</v>
      </c>
      <c r="O267" t="str">
        <f>IFERROR(_xlfn.XLOOKUP(A267,HC!A:A,HC!C:C),"")</f>
        <v>Workforce</v>
      </c>
      <c r="R267" s="78" t="b">
        <f t="shared" ref="R267:AO267" si="330">IFERROR(IF($B267=$D$1,IF(AND($K267&lt;R$1,$L267&lt;R$1),"",IF(AND($K267&gt;S$1,$L267&gt;S$1),"",IF(AND($K267&lt;R$1,$L267&lt;=S$1),$L267-R$1,IF(AND($K267&gt;=R$1,$L267&gt;S$1),S$1-$K267,IF(AND($K267&gt;=R$1,$L267&lt;=S$1),$L267-$K267,IF(AND($K267&lt;R$1,$L267&gt;S$1),S$1-R$1,""))))))),"")</f>
        <v>0</v>
      </c>
      <c r="S267" s="78" t="b">
        <f t="shared" si="330"/>
        <v>0</v>
      </c>
      <c r="T267" s="78" t="b">
        <f t="shared" si="330"/>
        <v>0</v>
      </c>
      <c r="U267" s="78" t="b">
        <f t="shared" si="330"/>
        <v>0</v>
      </c>
      <c r="V267" s="78" t="b">
        <f t="shared" si="330"/>
        <v>0</v>
      </c>
      <c r="W267" s="78" t="b">
        <f t="shared" si="330"/>
        <v>0</v>
      </c>
      <c r="X267" s="78" t="b">
        <f t="shared" si="330"/>
        <v>0</v>
      </c>
      <c r="Y267" s="78" t="b">
        <f t="shared" si="330"/>
        <v>0</v>
      </c>
      <c r="Z267" s="78" t="b">
        <f t="shared" si="330"/>
        <v>0</v>
      </c>
      <c r="AA267" s="78" t="b">
        <f t="shared" si="330"/>
        <v>0</v>
      </c>
      <c r="AB267" s="78" t="b">
        <f t="shared" si="330"/>
        <v>0</v>
      </c>
      <c r="AC267" s="78" t="b">
        <f t="shared" si="330"/>
        <v>0</v>
      </c>
      <c r="AD267" s="78" t="b">
        <f t="shared" si="330"/>
        <v>0</v>
      </c>
      <c r="AE267" s="78" t="b">
        <f t="shared" si="330"/>
        <v>0</v>
      </c>
      <c r="AF267" s="78" t="b">
        <f t="shared" si="330"/>
        <v>0</v>
      </c>
      <c r="AG267" s="78" t="b">
        <f t="shared" si="330"/>
        <v>0</v>
      </c>
      <c r="AH267" s="78" t="b">
        <f t="shared" si="330"/>
        <v>0</v>
      </c>
      <c r="AI267" s="78" t="b">
        <f t="shared" si="330"/>
        <v>0</v>
      </c>
      <c r="AJ267" s="78" t="b">
        <f t="shared" si="330"/>
        <v>0</v>
      </c>
      <c r="AK267" s="78" t="b">
        <f t="shared" si="330"/>
        <v>0</v>
      </c>
      <c r="AL267" s="78" t="b">
        <f t="shared" si="330"/>
        <v>0</v>
      </c>
      <c r="AM267" s="78" t="b">
        <f t="shared" si="330"/>
        <v>0</v>
      </c>
      <c r="AN267" s="78" t="b">
        <f t="shared" si="330"/>
        <v>0</v>
      </c>
      <c r="AO267" s="78" t="b">
        <f t="shared" si="330"/>
        <v>0</v>
      </c>
      <c r="AP267" s="78"/>
    </row>
    <row r="268" spans="4:42" x14ac:dyDescent="0.35">
      <c r="D268" s="96"/>
      <c r="E268" s="96"/>
      <c r="G268" s="77">
        <f t="shared" si="315"/>
        <v>0</v>
      </c>
      <c r="H268" s="78">
        <f t="shared" si="316"/>
        <v>0</v>
      </c>
      <c r="I268" s="77">
        <f t="shared" si="317"/>
        <v>0</v>
      </c>
      <c r="J268" s="78">
        <f t="shared" si="318"/>
        <v>0</v>
      </c>
      <c r="K268" s="78" t="str">
        <f t="shared" si="319"/>
        <v>1900-01-00 00:0:00</v>
      </c>
      <c r="L268" s="78" t="str">
        <f t="shared" si="320"/>
        <v>1900-01-00 00:0:00</v>
      </c>
      <c r="M268" s="79">
        <f t="shared" si="321"/>
        <v>0</v>
      </c>
      <c r="N268">
        <f t="shared" si="322"/>
        <v>1</v>
      </c>
      <c r="O268" t="str">
        <f>IFERROR(_xlfn.XLOOKUP(A268,HC!A:A,HC!C:C),"")</f>
        <v>Workforce</v>
      </c>
      <c r="R268" s="78" t="b">
        <f t="shared" ref="R268:AO268" si="331">IFERROR(IF($B268=$D$1,IF(AND($K268&lt;R$1,$L268&lt;R$1),"",IF(AND($K268&gt;S$1,$L268&gt;S$1),"",IF(AND($K268&lt;R$1,$L268&lt;=S$1),$L268-R$1,IF(AND($K268&gt;=R$1,$L268&gt;S$1),S$1-$K268,IF(AND($K268&gt;=R$1,$L268&lt;=S$1),$L268-$K268,IF(AND($K268&lt;R$1,$L268&gt;S$1),S$1-R$1,""))))))),"")</f>
        <v>0</v>
      </c>
      <c r="S268" s="78" t="b">
        <f t="shared" si="331"/>
        <v>0</v>
      </c>
      <c r="T268" s="78" t="b">
        <f t="shared" si="331"/>
        <v>0</v>
      </c>
      <c r="U268" s="78" t="b">
        <f t="shared" si="331"/>
        <v>0</v>
      </c>
      <c r="V268" s="78" t="b">
        <f t="shared" si="331"/>
        <v>0</v>
      </c>
      <c r="W268" s="78" t="b">
        <f t="shared" si="331"/>
        <v>0</v>
      </c>
      <c r="X268" s="78" t="b">
        <f t="shared" si="331"/>
        <v>0</v>
      </c>
      <c r="Y268" s="78" t="b">
        <f t="shared" si="331"/>
        <v>0</v>
      </c>
      <c r="Z268" s="78" t="b">
        <f t="shared" si="331"/>
        <v>0</v>
      </c>
      <c r="AA268" s="78" t="b">
        <f t="shared" si="331"/>
        <v>0</v>
      </c>
      <c r="AB268" s="78" t="b">
        <f t="shared" si="331"/>
        <v>0</v>
      </c>
      <c r="AC268" s="78" t="b">
        <f t="shared" si="331"/>
        <v>0</v>
      </c>
      <c r="AD268" s="78" t="b">
        <f t="shared" si="331"/>
        <v>0</v>
      </c>
      <c r="AE268" s="78" t="b">
        <f t="shared" si="331"/>
        <v>0</v>
      </c>
      <c r="AF268" s="78" t="b">
        <f t="shared" si="331"/>
        <v>0</v>
      </c>
      <c r="AG268" s="78" t="b">
        <f t="shared" si="331"/>
        <v>0</v>
      </c>
      <c r="AH268" s="78" t="b">
        <f t="shared" si="331"/>
        <v>0</v>
      </c>
      <c r="AI268" s="78" t="b">
        <f t="shared" si="331"/>
        <v>0</v>
      </c>
      <c r="AJ268" s="78" t="b">
        <f t="shared" si="331"/>
        <v>0</v>
      </c>
      <c r="AK268" s="78" t="b">
        <f t="shared" si="331"/>
        <v>0</v>
      </c>
      <c r="AL268" s="78" t="b">
        <f t="shared" si="331"/>
        <v>0</v>
      </c>
      <c r="AM268" s="78" t="b">
        <f t="shared" si="331"/>
        <v>0</v>
      </c>
      <c r="AN268" s="78" t="b">
        <f t="shared" si="331"/>
        <v>0</v>
      </c>
      <c r="AO268" s="78" t="b">
        <f t="shared" si="331"/>
        <v>0</v>
      </c>
      <c r="AP268" s="78"/>
    </row>
    <row r="269" spans="4:42" x14ac:dyDescent="0.35">
      <c r="D269" s="96"/>
      <c r="E269" s="96"/>
      <c r="G269" s="77">
        <f t="shared" si="315"/>
        <v>0</v>
      </c>
      <c r="H269" s="78">
        <f t="shared" si="316"/>
        <v>0</v>
      </c>
      <c r="I269" s="77">
        <f t="shared" si="317"/>
        <v>0</v>
      </c>
      <c r="J269" s="78">
        <f t="shared" si="318"/>
        <v>0</v>
      </c>
      <c r="K269" s="78" t="str">
        <f t="shared" si="319"/>
        <v>1900-01-00 00:0:00</v>
      </c>
      <c r="L269" s="78" t="str">
        <f t="shared" si="320"/>
        <v>1900-01-00 00:0:00</v>
      </c>
      <c r="M269" s="79">
        <f t="shared" si="321"/>
        <v>0</v>
      </c>
      <c r="N269">
        <f t="shared" si="322"/>
        <v>1</v>
      </c>
      <c r="O269" t="str">
        <f>IFERROR(_xlfn.XLOOKUP(A269,HC!A:A,HC!C:C),"")</f>
        <v>Workforce</v>
      </c>
      <c r="R269" s="78" t="b">
        <f t="shared" ref="R269:AO269" si="332">IFERROR(IF($B269=$D$1,IF(AND($K269&lt;R$1,$L269&lt;R$1),"",IF(AND($K269&gt;S$1,$L269&gt;S$1),"",IF(AND($K269&lt;R$1,$L269&lt;=S$1),$L269-R$1,IF(AND($K269&gt;=R$1,$L269&gt;S$1),S$1-$K269,IF(AND($K269&gt;=R$1,$L269&lt;=S$1),$L269-$K269,IF(AND($K269&lt;R$1,$L269&gt;S$1),S$1-R$1,""))))))),"")</f>
        <v>0</v>
      </c>
      <c r="S269" s="78" t="b">
        <f t="shared" si="332"/>
        <v>0</v>
      </c>
      <c r="T269" s="78" t="b">
        <f t="shared" si="332"/>
        <v>0</v>
      </c>
      <c r="U269" s="78" t="b">
        <f t="shared" si="332"/>
        <v>0</v>
      </c>
      <c r="V269" s="78" t="b">
        <f t="shared" si="332"/>
        <v>0</v>
      </c>
      <c r="W269" s="78" t="b">
        <f t="shared" si="332"/>
        <v>0</v>
      </c>
      <c r="X269" s="78" t="b">
        <f t="shared" si="332"/>
        <v>0</v>
      </c>
      <c r="Y269" s="78" t="b">
        <f t="shared" si="332"/>
        <v>0</v>
      </c>
      <c r="Z269" s="78" t="b">
        <f t="shared" si="332"/>
        <v>0</v>
      </c>
      <c r="AA269" s="78" t="b">
        <f t="shared" si="332"/>
        <v>0</v>
      </c>
      <c r="AB269" s="78" t="b">
        <f t="shared" si="332"/>
        <v>0</v>
      </c>
      <c r="AC269" s="78" t="b">
        <f t="shared" si="332"/>
        <v>0</v>
      </c>
      <c r="AD269" s="78" t="b">
        <f t="shared" si="332"/>
        <v>0</v>
      </c>
      <c r="AE269" s="78" t="b">
        <f t="shared" si="332"/>
        <v>0</v>
      </c>
      <c r="AF269" s="78" t="b">
        <f t="shared" si="332"/>
        <v>0</v>
      </c>
      <c r="AG269" s="78" t="b">
        <f t="shared" si="332"/>
        <v>0</v>
      </c>
      <c r="AH269" s="78" t="b">
        <f t="shared" si="332"/>
        <v>0</v>
      </c>
      <c r="AI269" s="78" t="b">
        <f t="shared" si="332"/>
        <v>0</v>
      </c>
      <c r="AJ269" s="78" t="b">
        <f t="shared" si="332"/>
        <v>0</v>
      </c>
      <c r="AK269" s="78" t="b">
        <f t="shared" si="332"/>
        <v>0</v>
      </c>
      <c r="AL269" s="78" t="b">
        <f t="shared" si="332"/>
        <v>0</v>
      </c>
      <c r="AM269" s="78" t="b">
        <f t="shared" si="332"/>
        <v>0</v>
      </c>
      <c r="AN269" s="78" t="b">
        <f t="shared" si="332"/>
        <v>0</v>
      </c>
      <c r="AO269" s="78" t="b">
        <f t="shared" si="332"/>
        <v>0</v>
      </c>
      <c r="AP269" s="78"/>
    </row>
    <row r="270" spans="4:42" x14ac:dyDescent="0.35">
      <c r="D270" s="96"/>
      <c r="E270" s="96"/>
      <c r="G270" s="77">
        <f t="shared" si="315"/>
        <v>0</v>
      </c>
      <c r="H270" s="78">
        <f t="shared" si="316"/>
        <v>0</v>
      </c>
      <c r="I270" s="77">
        <f t="shared" si="317"/>
        <v>0</v>
      </c>
      <c r="J270" s="78">
        <f t="shared" si="318"/>
        <v>0</v>
      </c>
      <c r="K270" s="78" t="str">
        <f t="shared" si="319"/>
        <v>1900-01-00 00:0:00</v>
      </c>
      <c r="L270" s="78" t="str">
        <f t="shared" si="320"/>
        <v>1900-01-00 00:0:00</v>
      </c>
      <c r="M270" s="79">
        <f t="shared" si="321"/>
        <v>0</v>
      </c>
      <c r="N270">
        <f t="shared" si="322"/>
        <v>1</v>
      </c>
      <c r="O270" t="str">
        <f>IFERROR(_xlfn.XLOOKUP(A270,HC!A:A,HC!C:C),"")</f>
        <v>Workforce</v>
      </c>
      <c r="R270" s="78" t="b">
        <f t="shared" ref="R270:AO270" si="333">IFERROR(IF($B270=$D$1,IF(AND($K270&lt;R$1,$L270&lt;R$1),"",IF(AND($K270&gt;S$1,$L270&gt;S$1),"",IF(AND($K270&lt;R$1,$L270&lt;=S$1),$L270-R$1,IF(AND($K270&gt;=R$1,$L270&gt;S$1),S$1-$K270,IF(AND($K270&gt;=R$1,$L270&lt;=S$1),$L270-$K270,IF(AND($K270&lt;R$1,$L270&gt;S$1),S$1-R$1,""))))))),"")</f>
        <v>0</v>
      </c>
      <c r="S270" s="78" t="b">
        <f t="shared" si="333"/>
        <v>0</v>
      </c>
      <c r="T270" s="78" t="b">
        <f t="shared" si="333"/>
        <v>0</v>
      </c>
      <c r="U270" s="78" t="b">
        <f t="shared" si="333"/>
        <v>0</v>
      </c>
      <c r="V270" s="78" t="b">
        <f t="shared" si="333"/>
        <v>0</v>
      </c>
      <c r="W270" s="78" t="b">
        <f t="shared" si="333"/>
        <v>0</v>
      </c>
      <c r="X270" s="78" t="b">
        <f t="shared" si="333"/>
        <v>0</v>
      </c>
      <c r="Y270" s="78" t="b">
        <f t="shared" si="333"/>
        <v>0</v>
      </c>
      <c r="Z270" s="78" t="b">
        <f t="shared" si="333"/>
        <v>0</v>
      </c>
      <c r="AA270" s="78" t="b">
        <f t="shared" si="333"/>
        <v>0</v>
      </c>
      <c r="AB270" s="78" t="b">
        <f t="shared" si="333"/>
        <v>0</v>
      </c>
      <c r="AC270" s="78" t="b">
        <f t="shared" si="333"/>
        <v>0</v>
      </c>
      <c r="AD270" s="78" t="b">
        <f t="shared" si="333"/>
        <v>0</v>
      </c>
      <c r="AE270" s="78" t="b">
        <f t="shared" si="333"/>
        <v>0</v>
      </c>
      <c r="AF270" s="78" t="b">
        <f t="shared" si="333"/>
        <v>0</v>
      </c>
      <c r="AG270" s="78" t="b">
        <f t="shared" si="333"/>
        <v>0</v>
      </c>
      <c r="AH270" s="78" t="b">
        <f t="shared" si="333"/>
        <v>0</v>
      </c>
      <c r="AI270" s="78" t="b">
        <f t="shared" si="333"/>
        <v>0</v>
      </c>
      <c r="AJ270" s="78" t="b">
        <f t="shared" si="333"/>
        <v>0</v>
      </c>
      <c r="AK270" s="78" t="b">
        <f t="shared" si="333"/>
        <v>0</v>
      </c>
      <c r="AL270" s="78" t="b">
        <f t="shared" si="333"/>
        <v>0</v>
      </c>
      <c r="AM270" s="78" t="b">
        <f t="shared" si="333"/>
        <v>0</v>
      </c>
      <c r="AN270" s="78" t="b">
        <f t="shared" si="333"/>
        <v>0</v>
      </c>
      <c r="AO270" s="78" t="b">
        <f t="shared" si="333"/>
        <v>0</v>
      </c>
      <c r="AP270" s="78"/>
    </row>
    <row r="271" spans="4:42" x14ac:dyDescent="0.35">
      <c r="D271" s="96"/>
      <c r="E271" s="96"/>
      <c r="G271" s="77">
        <f t="shared" si="315"/>
        <v>0</v>
      </c>
      <c r="H271" s="78">
        <f t="shared" si="316"/>
        <v>0</v>
      </c>
      <c r="I271" s="77">
        <f t="shared" si="317"/>
        <v>0</v>
      </c>
      <c r="J271" s="78">
        <f t="shared" si="318"/>
        <v>0</v>
      </c>
      <c r="K271" s="78" t="str">
        <f t="shared" si="319"/>
        <v>1900-01-00 00:0:00</v>
      </c>
      <c r="L271" s="78" t="str">
        <f t="shared" si="320"/>
        <v>1900-01-00 00:0:00</v>
      </c>
      <c r="M271" s="79">
        <f t="shared" si="321"/>
        <v>0</v>
      </c>
      <c r="N271">
        <f t="shared" si="322"/>
        <v>1</v>
      </c>
      <c r="O271" t="str">
        <f>IFERROR(_xlfn.XLOOKUP(A271,HC!A:A,HC!C:C),"")</f>
        <v>Workforce</v>
      </c>
      <c r="R271" s="78" t="b">
        <f t="shared" ref="R271:AO271" si="334">IFERROR(IF($B271=$D$1,IF(AND($K271&lt;R$1,$L271&lt;R$1),"",IF(AND($K271&gt;S$1,$L271&gt;S$1),"",IF(AND($K271&lt;R$1,$L271&lt;=S$1),$L271-R$1,IF(AND($K271&gt;=R$1,$L271&gt;S$1),S$1-$K271,IF(AND($K271&gt;=R$1,$L271&lt;=S$1),$L271-$K271,IF(AND($K271&lt;R$1,$L271&gt;S$1),S$1-R$1,""))))))),"")</f>
        <v>0</v>
      </c>
      <c r="S271" s="78" t="b">
        <f t="shared" si="334"/>
        <v>0</v>
      </c>
      <c r="T271" s="78" t="b">
        <f t="shared" si="334"/>
        <v>0</v>
      </c>
      <c r="U271" s="78" t="b">
        <f t="shared" si="334"/>
        <v>0</v>
      </c>
      <c r="V271" s="78" t="b">
        <f t="shared" si="334"/>
        <v>0</v>
      </c>
      <c r="W271" s="78" t="b">
        <f t="shared" si="334"/>
        <v>0</v>
      </c>
      <c r="X271" s="78" t="b">
        <f t="shared" si="334"/>
        <v>0</v>
      </c>
      <c r="Y271" s="78" t="b">
        <f t="shared" si="334"/>
        <v>0</v>
      </c>
      <c r="Z271" s="78" t="b">
        <f t="shared" si="334"/>
        <v>0</v>
      </c>
      <c r="AA271" s="78" t="b">
        <f t="shared" si="334"/>
        <v>0</v>
      </c>
      <c r="AB271" s="78" t="b">
        <f t="shared" si="334"/>
        <v>0</v>
      </c>
      <c r="AC271" s="78" t="b">
        <f t="shared" si="334"/>
        <v>0</v>
      </c>
      <c r="AD271" s="78" t="b">
        <f t="shared" si="334"/>
        <v>0</v>
      </c>
      <c r="AE271" s="78" t="b">
        <f t="shared" si="334"/>
        <v>0</v>
      </c>
      <c r="AF271" s="78" t="b">
        <f t="shared" si="334"/>
        <v>0</v>
      </c>
      <c r="AG271" s="78" t="b">
        <f t="shared" si="334"/>
        <v>0</v>
      </c>
      <c r="AH271" s="78" t="b">
        <f t="shared" si="334"/>
        <v>0</v>
      </c>
      <c r="AI271" s="78" t="b">
        <f t="shared" si="334"/>
        <v>0</v>
      </c>
      <c r="AJ271" s="78" t="b">
        <f t="shared" si="334"/>
        <v>0</v>
      </c>
      <c r="AK271" s="78" t="b">
        <f t="shared" si="334"/>
        <v>0</v>
      </c>
      <c r="AL271" s="78" t="b">
        <f t="shared" si="334"/>
        <v>0</v>
      </c>
      <c r="AM271" s="78" t="b">
        <f t="shared" si="334"/>
        <v>0</v>
      </c>
      <c r="AN271" s="78" t="b">
        <f t="shared" si="334"/>
        <v>0</v>
      </c>
      <c r="AO271" s="78" t="b">
        <f t="shared" si="334"/>
        <v>0</v>
      </c>
      <c r="AP271" s="78"/>
    </row>
    <row r="272" spans="4:42" x14ac:dyDescent="0.35">
      <c r="D272" s="96"/>
      <c r="E272" s="96"/>
      <c r="G272" s="77">
        <f t="shared" si="315"/>
        <v>0</v>
      </c>
      <c r="H272" s="78">
        <f t="shared" si="316"/>
        <v>0</v>
      </c>
      <c r="I272" s="77">
        <f t="shared" si="317"/>
        <v>0</v>
      </c>
      <c r="J272" s="78">
        <f t="shared" si="318"/>
        <v>0</v>
      </c>
      <c r="K272" s="78" t="str">
        <f t="shared" si="319"/>
        <v>1900-01-00 00:0:00</v>
      </c>
      <c r="L272" s="78" t="str">
        <f t="shared" si="320"/>
        <v>1900-01-00 00:0:00</v>
      </c>
      <c r="M272" s="79">
        <f t="shared" si="321"/>
        <v>0</v>
      </c>
      <c r="N272">
        <f t="shared" si="322"/>
        <v>1</v>
      </c>
      <c r="O272" t="str">
        <f>IFERROR(_xlfn.XLOOKUP(A272,HC!A:A,HC!C:C),"")</f>
        <v>Workforce</v>
      </c>
      <c r="R272" s="78" t="b">
        <f t="shared" ref="R272:AO272" si="335">IFERROR(IF($B272=$D$1,IF(AND($K272&lt;R$1,$L272&lt;R$1),"",IF(AND($K272&gt;S$1,$L272&gt;S$1),"",IF(AND($K272&lt;R$1,$L272&lt;=S$1),$L272-R$1,IF(AND($K272&gt;=R$1,$L272&gt;S$1),S$1-$K272,IF(AND($K272&gt;=R$1,$L272&lt;=S$1),$L272-$K272,IF(AND($K272&lt;R$1,$L272&gt;S$1),S$1-R$1,""))))))),"")</f>
        <v>0</v>
      </c>
      <c r="S272" s="78" t="b">
        <f t="shared" si="335"/>
        <v>0</v>
      </c>
      <c r="T272" s="78" t="b">
        <f t="shared" si="335"/>
        <v>0</v>
      </c>
      <c r="U272" s="78" t="b">
        <f t="shared" si="335"/>
        <v>0</v>
      </c>
      <c r="V272" s="78" t="b">
        <f t="shared" si="335"/>
        <v>0</v>
      </c>
      <c r="W272" s="78" t="b">
        <f t="shared" si="335"/>
        <v>0</v>
      </c>
      <c r="X272" s="78" t="b">
        <f t="shared" si="335"/>
        <v>0</v>
      </c>
      <c r="Y272" s="78" t="b">
        <f t="shared" si="335"/>
        <v>0</v>
      </c>
      <c r="Z272" s="78" t="b">
        <f t="shared" si="335"/>
        <v>0</v>
      </c>
      <c r="AA272" s="78" t="b">
        <f t="shared" si="335"/>
        <v>0</v>
      </c>
      <c r="AB272" s="78" t="b">
        <f t="shared" si="335"/>
        <v>0</v>
      </c>
      <c r="AC272" s="78" t="b">
        <f t="shared" si="335"/>
        <v>0</v>
      </c>
      <c r="AD272" s="78" t="b">
        <f t="shared" si="335"/>
        <v>0</v>
      </c>
      <c r="AE272" s="78" t="b">
        <f t="shared" si="335"/>
        <v>0</v>
      </c>
      <c r="AF272" s="78" t="b">
        <f t="shared" si="335"/>
        <v>0</v>
      </c>
      <c r="AG272" s="78" t="b">
        <f t="shared" si="335"/>
        <v>0</v>
      </c>
      <c r="AH272" s="78" t="b">
        <f t="shared" si="335"/>
        <v>0</v>
      </c>
      <c r="AI272" s="78" t="b">
        <f t="shared" si="335"/>
        <v>0</v>
      </c>
      <c r="AJ272" s="78" t="b">
        <f t="shared" si="335"/>
        <v>0</v>
      </c>
      <c r="AK272" s="78" t="b">
        <f t="shared" si="335"/>
        <v>0</v>
      </c>
      <c r="AL272" s="78" t="b">
        <f t="shared" si="335"/>
        <v>0</v>
      </c>
      <c r="AM272" s="78" t="b">
        <f t="shared" si="335"/>
        <v>0</v>
      </c>
      <c r="AN272" s="78" t="b">
        <f t="shared" si="335"/>
        <v>0</v>
      </c>
      <c r="AO272" s="78" t="b">
        <f t="shared" si="335"/>
        <v>0</v>
      </c>
      <c r="AP272" s="78"/>
    </row>
    <row r="273" spans="4:42" x14ac:dyDescent="0.35">
      <c r="D273" s="96"/>
      <c r="E273" s="96"/>
      <c r="G273" s="77">
        <f t="shared" si="315"/>
        <v>0</v>
      </c>
      <c r="H273" s="78">
        <f t="shared" si="316"/>
        <v>0</v>
      </c>
      <c r="I273" s="77">
        <f t="shared" si="317"/>
        <v>0</v>
      </c>
      <c r="J273" s="78">
        <f t="shared" si="318"/>
        <v>0</v>
      </c>
      <c r="K273" s="78" t="str">
        <f t="shared" si="319"/>
        <v>1900-01-00 00:0:00</v>
      </c>
      <c r="L273" s="78" t="str">
        <f t="shared" si="320"/>
        <v>1900-01-00 00:0:00</v>
      </c>
      <c r="M273" s="79">
        <f t="shared" si="321"/>
        <v>0</v>
      </c>
      <c r="N273">
        <f t="shared" si="322"/>
        <v>1</v>
      </c>
      <c r="O273" t="str">
        <f>IFERROR(_xlfn.XLOOKUP(A273,HC!A:A,HC!C:C),"")</f>
        <v>Workforce</v>
      </c>
      <c r="R273" s="78" t="b">
        <f t="shared" ref="R273:AO273" si="336">IFERROR(IF($B273=$D$1,IF(AND($K273&lt;R$1,$L273&lt;R$1),"",IF(AND($K273&gt;S$1,$L273&gt;S$1),"",IF(AND($K273&lt;R$1,$L273&lt;=S$1),$L273-R$1,IF(AND($K273&gt;=R$1,$L273&gt;S$1),S$1-$K273,IF(AND($K273&gt;=R$1,$L273&lt;=S$1),$L273-$K273,IF(AND($K273&lt;R$1,$L273&gt;S$1),S$1-R$1,""))))))),"")</f>
        <v>0</v>
      </c>
      <c r="S273" s="78" t="b">
        <f t="shared" si="336"/>
        <v>0</v>
      </c>
      <c r="T273" s="78" t="b">
        <f t="shared" si="336"/>
        <v>0</v>
      </c>
      <c r="U273" s="78" t="b">
        <f t="shared" si="336"/>
        <v>0</v>
      </c>
      <c r="V273" s="78" t="b">
        <f t="shared" si="336"/>
        <v>0</v>
      </c>
      <c r="W273" s="78" t="b">
        <f t="shared" si="336"/>
        <v>0</v>
      </c>
      <c r="X273" s="78" t="b">
        <f t="shared" si="336"/>
        <v>0</v>
      </c>
      <c r="Y273" s="78" t="b">
        <f t="shared" si="336"/>
        <v>0</v>
      </c>
      <c r="Z273" s="78" t="b">
        <f t="shared" si="336"/>
        <v>0</v>
      </c>
      <c r="AA273" s="78" t="b">
        <f t="shared" si="336"/>
        <v>0</v>
      </c>
      <c r="AB273" s="78" t="b">
        <f t="shared" si="336"/>
        <v>0</v>
      </c>
      <c r="AC273" s="78" t="b">
        <f t="shared" si="336"/>
        <v>0</v>
      </c>
      <c r="AD273" s="78" t="b">
        <f t="shared" si="336"/>
        <v>0</v>
      </c>
      <c r="AE273" s="78" t="b">
        <f t="shared" si="336"/>
        <v>0</v>
      </c>
      <c r="AF273" s="78" t="b">
        <f t="shared" si="336"/>
        <v>0</v>
      </c>
      <c r="AG273" s="78" t="b">
        <f t="shared" si="336"/>
        <v>0</v>
      </c>
      <c r="AH273" s="78" t="b">
        <f t="shared" si="336"/>
        <v>0</v>
      </c>
      <c r="AI273" s="78" t="b">
        <f t="shared" si="336"/>
        <v>0</v>
      </c>
      <c r="AJ273" s="78" t="b">
        <f t="shared" si="336"/>
        <v>0</v>
      </c>
      <c r="AK273" s="78" t="b">
        <f t="shared" si="336"/>
        <v>0</v>
      </c>
      <c r="AL273" s="78" t="b">
        <f t="shared" si="336"/>
        <v>0</v>
      </c>
      <c r="AM273" s="78" t="b">
        <f t="shared" si="336"/>
        <v>0</v>
      </c>
      <c r="AN273" s="78" t="b">
        <f t="shared" si="336"/>
        <v>0</v>
      </c>
      <c r="AO273" s="78" t="b">
        <f t="shared" si="336"/>
        <v>0</v>
      </c>
      <c r="AP273" s="78"/>
    </row>
    <row r="274" spans="4:42" x14ac:dyDescent="0.35">
      <c r="D274" s="96"/>
      <c r="E274" s="96"/>
      <c r="G274" s="77">
        <f t="shared" si="315"/>
        <v>0</v>
      </c>
      <c r="H274" s="78">
        <f t="shared" si="316"/>
        <v>0</v>
      </c>
      <c r="I274" s="77">
        <f t="shared" si="317"/>
        <v>0</v>
      </c>
      <c r="J274" s="78">
        <f t="shared" si="318"/>
        <v>0</v>
      </c>
      <c r="K274" s="78" t="str">
        <f t="shared" si="319"/>
        <v>1900-01-00 00:0:00</v>
      </c>
      <c r="L274" s="78" t="str">
        <f t="shared" si="320"/>
        <v>1900-01-00 00:0:00</v>
      </c>
      <c r="M274" s="79">
        <f t="shared" si="321"/>
        <v>0</v>
      </c>
      <c r="N274">
        <f t="shared" si="322"/>
        <v>1</v>
      </c>
      <c r="O274" t="str">
        <f>IFERROR(_xlfn.XLOOKUP(A274,HC!A:A,HC!C:C),"")</f>
        <v>Workforce</v>
      </c>
      <c r="R274" s="78" t="b">
        <f t="shared" ref="R274:AO274" si="337">IFERROR(IF($B274=$D$1,IF(AND($K274&lt;R$1,$L274&lt;R$1),"",IF(AND($K274&gt;S$1,$L274&gt;S$1),"",IF(AND($K274&lt;R$1,$L274&lt;=S$1),$L274-R$1,IF(AND($K274&gt;=R$1,$L274&gt;S$1),S$1-$K274,IF(AND($K274&gt;=R$1,$L274&lt;=S$1),$L274-$K274,IF(AND($K274&lt;R$1,$L274&gt;S$1),S$1-R$1,""))))))),"")</f>
        <v>0</v>
      </c>
      <c r="S274" s="78" t="b">
        <f t="shared" si="337"/>
        <v>0</v>
      </c>
      <c r="T274" s="78" t="b">
        <f t="shared" si="337"/>
        <v>0</v>
      </c>
      <c r="U274" s="78" t="b">
        <f t="shared" si="337"/>
        <v>0</v>
      </c>
      <c r="V274" s="78" t="b">
        <f t="shared" si="337"/>
        <v>0</v>
      </c>
      <c r="W274" s="78" t="b">
        <f t="shared" si="337"/>
        <v>0</v>
      </c>
      <c r="X274" s="78" t="b">
        <f t="shared" si="337"/>
        <v>0</v>
      </c>
      <c r="Y274" s="78" t="b">
        <f t="shared" si="337"/>
        <v>0</v>
      </c>
      <c r="Z274" s="78" t="b">
        <f t="shared" si="337"/>
        <v>0</v>
      </c>
      <c r="AA274" s="78" t="b">
        <f t="shared" si="337"/>
        <v>0</v>
      </c>
      <c r="AB274" s="78" t="b">
        <f t="shared" si="337"/>
        <v>0</v>
      </c>
      <c r="AC274" s="78" t="b">
        <f t="shared" si="337"/>
        <v>0</v>
      </c>
      <c r="AD274" s="78" t="b">
        <f t="shared" si="337"/>
        <v>0</v>
      </c>
      <c r="AE274" s="78" t="b">
        <f t="shared" si="337"/>
        <v>0</v>
      </c>
      <c r="AF274" s="78" t="b">
        <f t="shared" si="337"/>
        <v>0</v>
      </c>
      <c r="AG274" s="78" t="b">
        <f t="shared" si="337"/>
        <v>0</v>
      </c>
      <c r="AH274" s="78" t="b">
        <f t="shared" si="337"/>
        <v>0</v>
      </c>
      <c r="AI274" s="78" t="b">
        <f t="shared" si="337"/>
        <v>0</v>
      </c>
      <c r="AJ274" s="78" t="b">
        <f t="shared" si="337"/>
        <v>0</v>
      </c>
      <c r="AK274" s="78" t="b">
        <f t="shared" si="337"/>
        <v>0</v>
      </c>
      <c r="AL274" s="78" t="b">
        <f t="shared" si="337"/>
        <v>0</v>
      </c>
      <c r="AM274" s="78" t="b">
        <f t="shared" si="337"/>
        <v>0</v>
      </c>
      <c r="AN274" s="78" t="b">
        <f t="shared" si="337"/>
        <v>0</v>
      </c>
      <c r="AO274" s="78" t="b">
        <f t="shared" si="337"/>
        <v>0</v>
      </c>
      <c r="AP274" s="78"/>
    </row>
    <row r="275" spans="4:42" x14ac:dyDescent="0.35">
      <c r="D275" s="96"/>
      <c r="E275" s="96"/>
      <c r="G275" s="77">
        <f t="shared" si="315"/>
        <v>0</v>
      </c>
      <c r="H275" s="78">
        <f t="shared" si="316"/>
        <v>0</v>
      </c>
      <c r="I275" s="77">
        <f t="shared" si="317"/>
        <v>0</v>
      </c>
      <c r="J275" s="78">
        <f t="shared" si="318"/>
        <v>0</v>
      </c>
      <c r="K275" s="78" t="str">
        <f t="shared" si="319"/>
        <v>1900-01-00 00:0:00</v>
      </c>
      <c r="L275" s="78" t="str">
        <f t="shared" si="320"/>
        <v>1900-01-00 00:0:00</v>
      </c>
      <c r="M275" s="79">
        <f t="shared" si="321"/>
        <v>0</v>
      </c>
      <c r="N275">
        <f t="shared" si="322"/>
        <v>1</v>
      </c>
      <c r="O275" t="str">
        <f>IFERROR(_xlfn.XLOOKUP(A275,HC!A:A,HC!C:C),"")</f>
        <v>Workforce</v>
      </c>
      <c r="R275" s="78" t="b">
        <f t="shared" ref="R275:AO275" si="338">IFERROR(IF($B275=$D$1,IF(AND($K275&lt;R$1,$L275&lt;R$1),"",IF(AND($K275&gt;S$1,$L275&gt;S$1),"",IF(AND($K275&lt;R$1,$L275&lt;=S$1),$L275-R$1,IF(AND($K275&gt;=R$1,$L275&gt;S$1),S$1-$K275,IF(AND($K275&gt;=R$1,$L275&lt;=S$1),$L275-$K275,IF(AND($K275&lt;R$1,$L275&gt;S$1),S$1-R$1,""))))))),"")</f>
        <v>0</v>
      </c>
      <c r="S275" s="78" t="b">
        <f t="shared" si="338"/>
        <v>0</v>
      </c>
      <c r="T275" s="78" t="b">
        <f t="shared" si="338"/>
        <v>0</v>
      </c>
      <c r="U275" s="78" t="b">
        <f t="shared" si="338"/>
        <v>0</v>
      </c>
      <c r="V275" s="78" t="b">
        <f t="shared" si="338"/>
        <v>0</v>
      </c>
      <c r="W275" s="78" t="b">
        <f t="shared" si="338"/>
        <v>0</v>
      </c>
      <c r="X275" s="78" t="b">
        <f t="shared" si="338"/>
        <v>0</v>
      </c>
      <c r="Y275" s="78" t="b">
        <f t="shared" si="338"/>
        <v>0</v>
      </c>
      <c r="Z275" s="78" t="b">
        <f t="shared" si="338"/>
        <v>0</v>
      </c>
      <c r="AA275" s="78" t="b">
        <f t="shared" si="338"/>
        <v>0</v>
      </c>
      <c r="AB275" s="78" t="b">
        <f t="shared" si="338"/>
        <v>0</v>
      </c>
      <c r="AC275" s="78" t="b">
        <f t="shared" si="338"/>
        <v>0</v>
      </c>
      <c r="AD275" s="78" t="b">
        <f t="shared" si="338"/>
        <v>0</v>
      </c>
      <c r="AE275" s="78" t="b">
        <f t="shared" si="338"/>
        <v>0</v>
      </c>
      <c r="AF275" s="78" t="b">
        <f t="shared" si="338"/>
        <v>0</v>
      </c>
      <c r="AG275" s="78" t="b">
        <f t="shared" si="338"/>
        <v>0</v>
      </c>
      <c r="AH275" s="78" t="b">
        <f t="shared" si="338"/>
        <v>0</v>
      </c>
      <c r="AI275" s="78" t="b">
        <f t="shared" si="338"/>
        <v>0</v>
      </c>
      <c r="AJ275" s="78" t="b">
        <f t="shared" si="338"/>
        <v>0</v>
      </c>
      <c r="AK275" s="78" t="b">
        <f t="shared" si="338"/>
        <v>0</v>
      </c>
      <c r="AL275" s="78" t="b">
        <f t="shared" si="338"/>
        <v>0</v>
      </c>
      <c r="AM275" s="78" t="b">
        <f t="shared" si="338"/>
        <v>0</v>
      </c>
      <c r="AN275" s="78" t="b">
        <f t="shared" si="338"/>
        <v>0</v>
      </c>
      <c r="AO275" s="78" t="b">
        <f t="shared" si="338"/>
        <v>0</v>
      </c>
      <c r="AP275" s="78"/>
    </row>
    <row r="276" spans="4:42" x14ac:dyDescent="0.35">
      <c r="D276" s="96"/>
      <c r="E276" s="96"/>
      <c r="G276" s="77">
        <f t="shared" si="315"/>
        <v>0</v>
      </c>
      <c r="H276" s="78">
        <f t="shared" si="316"/>
        <v>0</v>
      </c>
      <c r="I276" s="77">
        <f t="shared" si="317"/>
        <v>0</v>
      </c>
      <c r="J276" s="78">
        <f t="shared" si="318"/>
        <v>0</v>
      </c>
      <c r="K276" s="78" t="str">
        <f t="shared" si="319"/>
        <v>1900-01-00 00:0:00</v>
      </c>
      <c r="L276" s="78" t="str">
        <f t="shared" si="320"/>
        <v>1900-01-00 00:0:00</v>
      </c>
      <c r="M276" s="79">
        <f t="shared" si="321"/>
        <v>0</v>
      </c>
      <c r="N276">
        <f t="shared" si="322"/>
        <v>1</v>
      </c>
      <c r="O276" t="str">
        <f>IFERROR(_xlfn.XLOOKUP(A276,HC!A:A,HC!C:C),"")</f>
        <v>Workforce</v>
      </c>
      <c r="R276" s="78" t="b">
        <f t="shared" ref="R276:AO276" si="339">IFERROR(IF($B276=$D$1,IF(AND($K276&lt;R$1,$L276&lt;R$1),"",IF(AND($K276&gt;S$1,$L276&gt;S$1),"",IF(AND($K276&lt;R$1,$L276&lt;=S$1),$L276-R$1,IF(AND($K276&gt;=R$1,$L276&gt;S$1),S$1-$K276,IF(AND($K276&gt;=R$1,$L276&lt;=S$1),$L276-$K276,IF(AND($K276&lt;R$1,$L276&gt;S$1),S$1-R$1,""))))))),"")</f>
        <v>0</v>
      </c>
      <c r="S276" s="78" t="b">
        <f t="shared" si="339"/>
        <v>0</v>
      </c>
      <c r="T276" s="78" t="b">
        <f t="shared" si="339"/>
        <v>0</v>
      </c>
      <c r="U276" s="78" t="b">
        <f t="shared" si="339"/>
        <v>0</v>
      </c>
      <c r="V276" s="78" t="b">
        <f t="shared" si="339"/>
        <v>0</v>
      </c>
      <c r="W276" s="78" t="b">
        <f t="shared" si="339"/>
        <v>0</v>
      </c>
      <c r="X276" s="78" t="b">
        <f t="shared" si="339"/>
        <v>0</v>
      </c>
      <c r="Y276" s="78" t="b">
        <f t="shared" si="339"/>
        <v>0</v>
      </c>
      <c r="Z276" s="78" t="b">
        <f t="shared" si="339"/>
        <v>0</v>
      </c>
      <c r="AA276" s="78" t="b">
        <f t="shared" si="339"/>
        <v>0</v>
      </c>
      <c r="AB276" s="78" t="b">
        <f t="shared" si="339"/>
        <v>0</v>
      </c>
      <c r="AC276" s="78" t="b">
        <f t="shared" si="339"/>
        <v>0</v>
      </c>
      <c r="AD276" s="78" t="b">
        <f t="shared" si="339"/>
        <v>0</v>
      </c>
      <c r="AE276" s="78" t="b">
        <f t="shared" si="339"/>
        <v>0</v>
      </c>
      <c r="AF276" s="78" t="b">
        <f t="shared" si="339"/>
        <v>0</v>
      </c>
      <c r="AG276" s="78" t="b">
        <f t="shared" si="339"/>
        <v>0</v>
      </c>
      <c r="AH276" s="78" t="b">
        <f t="shared" si="339"/>
        <v>0</v>
      </c>
      <c r="AI276" s="78" t="b">
        <f t="shared" si="339"/>
        <v>0</v>
      </c>
      <c r="AJ276" s="78" t="b">
        <f t="shared" si="339"/>
        <v>0</v>
      </c>
      <c r="AK276" s="78" t="b">
        <f t="shared" si="339"/>
        <v>0</v>
      </c>
      <c r="AL276" s="78" t="b">
        <f t="shared" si="339"/>
        <v>0</v>
      </c>
      <c r="AM276" s="78" t="b">
        <f t="shared" si="339"/>
        <v>0</v>
      </c>
      <c r="AN276" s="78" t="b">
        <f t="shared" si="339"/>
        <v>0</v>
      </c>
      <c r="AO276" s="78" t="b">
        <f t="shared" si="339"/>
        <v>0</v>
      </c>
      <c r="AP276" s="78"/>
    </row>
    <row r="277" spans="4:42" x14ac:dyDescent="0.35">
      <c r="D277" s="96"/>
      <c r="E277" s="96"/>
      <c r="G277" s="77">
        <f t="shared" si="315"/>
        <v>0</v>
      </c>
      <c r="H277" s="78">
        <f t="shared" si="316"/>
        <v>0</v>
      </c>
      <c r="I277" s="77">
        <f t="shared" si="317"/>
        <v>0</v>
      </c>
      <c r="J277" s="78">
        <f t="shared" si="318"/>
        <v>0</v>
      </c>
      <c r="K277" s="78" t="str">
        <f t="shared" si="319"/>
        <v>1900-01-00 00:0:00</v>
      </c>
      <c r="L277" s="78" t="str">
        <f t="shared" si="320"/>
        <v>1900-01-00 00:0:00</v>
      </c>
      <c r="M277" s="79">
        <f t="shared" si="321"/>
        <v>0</v>
      </c>
      <c r="N277">
        <f t="shared" si="322"/>
        <v>1</v>
      </c>
      <c r="O277" t="str">
        <f>IFERROR(_xlfn.XLOOKUP(A277,HC!A:A,HC!C:C),"")</f>
        <v>Workforce</v>
      </c>
      <c r="R277" s="78" t="b">
        <f t="shared" ref="R277:AO277" si="340">IFERROR(IF($B277=$D$1,IF(AND($K277&lt;R$1,$L277&lt;R$1),"",IF(AND($K277&gt;S$1,$L277&gt;S$1),"",IF(AND($K277&lt;R$1,$L277&lt;=S$1),$L277-R$1,IF(AND($K277&gt;=R$1,$L277&gt;S$1),S$1-$K277,IF(AND($K277&gt;=R$1,$L277&lt;=S$1),$L277-$K277,IF(AND($K277&lt;R$1,$L277&gt;S$1),S$1-R$1,""))))))),"")</f>
        <v>0</v>
      </c>
      <c r="S277" s="78" t="b">
        <f t="shared" si="340"/>
        <v>0</v>
      </c>
      <c r="T277" s="78" t="b">
        <f t="shared" si="340"/>
        <v>0</v>
      </c>
      <c r="U277" s="78" t="b">
        <f t="shared" si="340"/>
        <v>0</v>
      </c>
      <c r="V277" s="78" t="b">
        <f t="shared" si="340"/>
        <v>0</v>
      </c>
      <c r="W277" s="78" t="b">
        <f t="shared" si="340"/>
        <v>0</v>
      </c>
      <c r="X277" s="78" t="b">
        <f t="shared" si="340"/>
        <v>0</v>
      </c>
      <c r="Y277" s="78" t="b">
        <f t="shared" si="340"/>
        <v>0</v>
      </c>
      <c r="Z277" s="78" t="b">
        <f t="shared" si="340"/>
        <v>0</v>
      </c>
      <c r="AA277" s="78" t="b">
        <f t="shared" si="340"/>
        <v>0</v>
      </c>
      <c r="AB277" s="78" t="b">
        <f t="shared" si="340"/>
        <v>0</v>
      </c>
      <c r="AC277" s="78" t="b">
        <f t="shared" si="340"/>
        <v>0</v>
      </c>
      <c r="AD277" s="78" t="b">
        <f t="shared" si="340"/>
        <v>0</v>
      </c>
      <c r="AE277" s="78" t="b">
        <f t="shared" si="340"/>
        <v>0</v>
      </c>
      <c r="AF277" s="78" t="b">
        <f t="shared" si="340"/>
        <v>0</v>
      </c>
      <c r="AG277" s="78" t="b">
        <f t="shared" si="340"/>
        <v>0</v>
      </c>
      <c r="AH277" s="78" t="b">
        <f t="shared" si="340"/>
        <v>0</v>
      </c>
      <c r="AI277" s="78" t="b">
        <f t="shared" si="340"/>
        <v>0</v>
      </c>
      <c r="AJ277" s="78" t="b">
        <f t="shared" si="340"/>
        <v>0</v>
      </c>
      <c r="AK277" s="78" t="b">
        <f t="shared" si="340"/>
        <v>0</v>
      </c>
      <c r="AL277" s="78" t="b">
        <f t="shared" si="340"/>
        <v>0</v>
      </c>
      <c r="AM277" s="78" t="b">
        <f t="shared" si="340"/>
        <v>0</v>
      </c>
      <c r="AN277" s="78" t="b">
        <f t="shared" si="340"/>
        <v>0</v>
      </c>
      <c r="AO277" s="78" t="b">
        <f t="shared" si="340"/>
        <v>0</v>
      </c>
      <c r="AP277" s="78"/>
    </row>
    <row r="278" spans="4:42" x14ac:dyDescent="0.35">
      <c r="D278" s="96"/>
      <c r="E278" s="96"/>
      <c r="G278" s="77">
        <f t="shared" si="315"/>
        <v>0</v>
      </c>
      <c r="H278" s="78">
        <f t="shared" si="316"/>
        <v>0</v>
      </c>
      <c r="I278" s="77">
        <f t="shared" si="317"/>
        <v>0</v>
      </c>
      <c r="J278" s="78">
        <f t="shared" si="318"/>
        <v>0</v>
      </c>
      <c r="K278" s="78" t="str">
        <f t="shared" si="319"/>
        <v>1900-01-00 00:0:00</v>
      </c>
      <c r="L278" s="78" t="str">
        <f t="shared" si="320"/>
        <v>1900-01-00 00:0:00</v>
      </c>
      <c r="M278" s="79">
        <f t="shared" si="321"/>
        <v>0</v>
      </c>
      <c r="N278">
        <f t="shared" si="322"/>
        <v>1</v>
      </c>
      <c r="O278" t="str">
        <f>IFERROR(_xlfn.XLOOKUP(A278,HC!A:A,HC!C:C),"")</f>
        <v>Workforce</v>
      </c>
      <c r="R278" s="78" t="b">
        <f t="shared" ref="R278:AO278" si="341">IFERROR(IF($B278=$D$1,IF(AND($K278&lt;R$1,$L278&lt;R$1),"",IF(AND($K278&gt;S$1,$L278&gt;S$1),"",IF(AND($K278&lt;R$1,$L278&lt;=S$1),$L278-R$1,IF(AND($K278&gt;=R$1,$L278&gt;S$1),S$1-$K278,IF(AND($K278&gt;=R$1,$L278&lt;=S$1),$L278-$K278,IF(AND($K278&lt;R$1,$L278&gt;S$1),S$1-R$1,""))))))),"")</f>
        <v>0</v>
      </c>
      <c r="S278" s="78" t="b">
        <f t="shared" si="341"/>
        <v>0</v>
      </c>
      <c r="T278" s="78" t="b">
        <f t="shared" si="341"/>
        <v>0</v>
      </c>
      <c r="U278" s="78" t="b">
        <f t="shared" si="341"/>
        <v>0</v>
      </c>
      <c r="V278" s="78" t="b">
        <f t="shared" si="341"/>
        <v>0</v>
      </c>
      <c r="W278" s="78" t="b">
        <f t="shared" si="341"/>
        <v>0</v>
      </c>
      <c r="X278" s="78" t="b">
        <f t="shared" si="341"/>
        <v>0</v>
      </c>
      <c r="Y278" s="78" t="b">
        <f t="shared" si="341"/>
        <v>0</v>
      </c>
      <c r="Z278" s="78" t="b">
        <f t="shared" si="341"/>
        <v>0</v>
      </c>
      <c r="AA278" s="78" t="b">
        <f t="shared" si="341"/>
        <v>0</v>
      </c>
      <c r="AB278" s="78" t="b">
        <f t="shared" si="341"/>
        <v>0</v>
      </c>
      <c r="AC278" s="78" t="b">
        <f t="shared" si="341"/>
        <v>0</v>
      </c>
      <c r="AD278" s="78" t="b">
        <f t="shared" si="341"/>
        <v>0</v>
      </c>
      <c r="AE278" s="78" t="b">
        <f t="shared" si="341"/>
        <v>0</v>
      </c>
      <c r="AF278" s="78" t="b">
        <f t="shared" si="341"/>
        <v>0</v>
      </c>
      <c r="AG278" s="78" t="b">
        <f t="shared" si="341"/>
        <v>0</v>
      </c>
      <c r="AH278" s="78" t="b">
        <f t="shared" si="341"/>
        <v>0</v>
      </c>
      <c r="AI278" s="78" t="b">
        <f t="shared" si="341"/>
        <v>0</v>
      </c>
      <c r="AJ278" s="78" t="b">
        <f t="shared" si="341"/>
        <v>0</v>
      </c>
      <c r="AK278" s="78" t="b">
        <f t="shared" si="341"/>
        <v>0</v>
      </c>
      <c r="AL278" s="78" t="b">
        <f t="shared" si="341"/>
        <v>0</v>
      </c>
      <c r="AM278" s="78" t="b">
        <f t="shared" si="341"/>
        <v>0</v>
      </c>
      <c r="AN278" s="78" t="b">
        <f t="shared" si="341"/>
        <v>0</v>
      </c>
      <c r="AO278" s="78" t="b">
        <f t="shared" si="341"/>
        <v>0</v>
      </c>
      <c r="AP278" s="78"/>
    </row>
    <row r="279" spans="4:42" x14ac:dyDescent="0.35">
      <c r="D279" s="96"/>
      <c r="E279" s="96"/>
      <c r="G279" s="77">
        <f t="shared" si="315"/>
        <v>0</v>
      </c>
      <c r="H279" s="78">
        <f t="shared" si="316"/>
        <v>0</v>
      </c>
      <c r="I279" s="77">
        <f t="shared" si="317"/>
        <v>0</v>
      </c>
      <c r="J279" s="78">
        <f t="shared" si="318"/>
        <v>0</v>
      </c>
      <c r="K279" s="78" t="str">
        <f t="shared" si="319"/>
        <v>1900-01-00 00:0:00</v>
      </c>
      <c r="L279" s="78" t="str">
        <f t="shared" si="320"/>
        <v>1900-01-00 00:0:00</v>
      </c>
      <c r="M279" s="79">
        <f t="shared" si="321"/>
        <v>0</v>
      </c>
      <c r="N279">
        <f t="shared" si="322"/>
        <v>1</v>
      </c>
      <c r="O279" t="str">
        <f>IFERROR(_xlfn.XLOOKUP(A279,HC!A:A,HC!C:C),"")</f>
        <v>Workforce</v>
      </c>
      <c r="R279" s="78" t="b">
        <f t="shared" ref="R279:AO279" si="342">IFERROR(IF($B279=$D$1,IF(AND($K279&lt;R$1,$L279&lt;R$1),"",IF(AND($K279&gt;S$1,$L279&gt;S$1),"",IF(AND($K279&lt;R$1,$L279&lt;=S$1),$L279-R$1,IF(AND($K279&gt;=R$1,$L279&gt;S$1),S$1-$K279,IF(AND($K279&gt;=R$1,$L279&lt;=S$1),$L279-$K279,IF(AND($K279&lt;R$1,$L279&gt;S$1),S$1-R$1,""))))))),"")</f>
        <v>0</v>
      </c>
      <c r="S279" s="78" t="b">
        <f t="shared" si="342"/>
        <v>0</v>
      </c>
      <c r="T279" s="78" t="b">
        <f t="shared" si="342"/>
        <v>0</v>
      </c>
      <c r="U279" s="78" t="b">
        <f t="shared" si="342"/>
        <v>0</v>
      </c>
      <c r="V279" s="78" t="b">
        <f t="shared" si="342"/>
        <v>0</v>
      </c>
      <c r="W279" s="78" t="b">
        <f t="shared" si="342"/>
        <v>0</v>
      </c>
      <c r="X279" s="78" t="b">
        <f t="shared" si="342"/>
        <v>0</v>
      </c>
      <c r="Y279" s="78" t="b">
        <f t="shared" si="342"/>
        <v>0</v>
      </c>
      <c r="Z279" s="78" t="b">
        <f t="shared" si="342"/>
        <v>0</v>
      </c>
      <c r="AA279" s="78" t="b">
        <f t="shared" si="342"/>
        <v>0</v>
      </c>
      <c r="AB279" s="78" t="b">
        <f t="shared" si="342"/>
        <v>0</v>
      </c>
      <c r="AC279" s="78" t="b">
        <f t="shared" si="342"/>
        <v>0</v>
      </c>
      <c r="AD279" s="78" t="b">
        <f t="shared" si="342"/>
        <v>0</v>
      </c>
      <c r="AE279" s="78" t="b">
        <f t="shared" si="342"/>
        <v>0</v>
      </c>
      <c r="AF279" s="78" t="b">
        <f t="shared" si="342"/>
        <v>0</v>
      </c>
      <c r="AG279" s="78" t="b">
        <f t="shared" si="342"/>
        <v>0</v>
      </c>
      <c r="AH279" s="78" t="b">
        <f t="shared" si="342"/>
        <v>0</v>
      </c>
      <c r="AI279" s="78" t="b">
        <f t="shared" si="342"/>
        <v>0</v>
      </c>
      <c r="AJ279" s="78" t="b">
        <f t="shared" si="342"/>
        <v>0</v>
      </c>
      <c r="AK279" s="78" t="b">
        <f t="shared" si="342"/>
        <v>0</v>
      </c>
      <c r="AL279" s="78" t="b">
        <f t="shared" si="342"/>
        <v>0</v>
      </c>
      <c r="AM279" s="78" t="b">
        <f t="shared" si="342"/>
        <v>0</v>
      </c>
      <c r="AN279" s="78" t="b">
        <f t="shared" si="342"/>
        <v>0</v>
      </c>
      <c r="AO279" s="78" t="b">
        <f t="shared" si="342"/>
        <v>0</v>
      </c>
      <c r="AP279" s="78"/>
    </row>
    <row r="280" spans="4:42" x14ac:dyDescent="0.35">
      <c r="D280" s="96"/>
      <c r="E280" s="96"/>
      <c r="G280" s="77">
        <f t="shared" si="315"/>
        <v>0</v>
      </c>
      <c r="H280" s="78">
        <f t="shared" si="316"/>
        <v>0</v>
      </c>
      <c r="I280" s="77">
        <f t="shared" si="317"/>
        <v>0</v>
      </c>
      <c r="J280" s="78">
        <f t="shared" si="318"/>
        <v>0</v>
      </c>
      <c r="K280" s="78" t="str">
        <f t="shared" si="319"/>
        <v>1900-01-00 00:0:00</v>
      </c>
      <c r="L280" s="78" t="str">
        <f t="shared" si="320"/>
        <v>1900-01-00 00:0:00</v>
      </c>
      <c r="M280" s="79">
        <f t="shared" si="321"/>
        <v>0</v>
      </c>
      <c r="N280">
        <f t="shared" si="322"/>
        <v>1</v>
      </c>
      <c r="O280" t="str">
        <f>IFERROR(_xlfn.XLOOKUP(A280,HC!A:A,HC!C:C),"")</f>
        <v>Workforce</v>
      </c>
      <c r="R280" s="78" t="b">
        <f t="shared" ref="R280:AO280" si="343">IFERROR(IF($B280=$D$1,IF(AND($K280&lt;R$1,$L280&lt;R$1),"",IF(AND($K280&gt;S$1,$L280&gt;S$1),"",IF(AND($K280&lt;R$1,$L280&lt;=S$1),$L280-R$1,IF(AND($K280&gt;=R$1,$L280&gt;S$1),S$1-$K280,IF(AND($K280&gt;=R$1,$L280&lt;=S$1),$L280-$K280,IF(AND($K280&lt;R$1,$L280&gt;S$1),S$1-R$1,""))))))),"")</f>
        <v>0</v>
      </c>
      <c r="S280" s="78" t="b">
        <f t="shared" si="343"/>
        <v>0</v>
      </c>
      <c r="T280" s="78" t="b">
        <f t="shared" si="343"/>
        <v>0</v>
      </c>
      <c r="U280" s="78" t="b">
        <f t="shared" si="343"/>
        <v>0</v>
      </c>
      <c r="V280" s="78" t="b">
        <f t="shared" si="343"/>
        <v>0</v>
      </c>
      <c r="W280" s="78" t="b">
        <f t="shared" si="343"/>
        <v>0</v>
      </c>
      <c r="X280" s="78" t="b">
        <f t="shared" si="343"/>
        <v>0</v>
      </c>
      <c r="Y280" s="78" t="b">
        <f t="shared" si="343"/>
        <v>0</v>
      </c>
      <c r="Z280" s="78" t="b">
        <f t="shared" si="343"/>
        <v>0</v>
      </c>
      <c r="AA280" s="78" t="b">
        <f t="shared" si="343"/>
        <v>0</v>
      </c>
      <c r="AB280" s="78" t="b">
        <f t="shared" si="343"/>
        <v>0</v>
      </c>
      <c r="AC280" s="78" t="b">
        <f t="shared" si="343"/>
        <v>0</v>
      </c>
      <c r="AD280" s="78" t="b">
        <f t="shared" si="343"/>
        <v>0</v>
      </c>
      <c r="AE280" s="78" t="b">
        <f t="shared" si="343"/>
        <v>0</v>
      </c>
      <c r="AF280" s="78" t="b">
        <f t="shared" si="343"/>
        <v>0</v>
      </c>
      <c r="AG280" s="78" t="b">
        <f t="shared" si="343"/>
        <v>0</v>
      </c>
      <c r="AH280" s="78" t="b">
        <f t="shared" si="343"/>
        <v>0</v>
      </c>
      <c r="AI280" s="78" t="b">
        <f t="shared" si="343"/>
        <v>0</v>
      </c>
      <c r="AJ280" s="78" t="b">
        <f t="shared" si="343"/>
        <v>0</v>
      </c>
      <c r="AK280" s="78" t="b">
        <f t="shared" si="343"/>
        <v>0</v>
      </c>
      <c r="AL280" s="78" t="b">
        <f t="shared" si="343"/>
        <v>0</v>
      </c>
      <c r="AM280" s="78" t="b">
        <f t="shared" si="343"/>
        <v>0</v>
      </c>
      <c r="AN280" s="78" t="b">
        <f t="shared" si="343"/>
        <v>0</v>
      </c>
      <c r="AO280" s="78" t="b">
        <f t="shared" si="343"/>
        <v>0</v>
      </c>
      <c r="AP280" s="78"/>
    </row>
    <row r="281" spans="4:42" x14ac:dyDescent="0.35">
      <c r="D281" s="96"/>
      <c r="E281" s="96"/>
      <c r="G281" s="77">
        <f t="shared" si="315"/>
        <v>0</v>
      </c>
      <c r="H281" s="78">
        <f t="shared" si="316"/>
        <v>0</v>
      </c>
      <c r="I281" s="77">
        <f t="shared" si="317"/>
        <v>0</v>
      </c>
      <c r="J281" s="78">
        <f t="shared" si="318"/>
        <v>0</v>
      </c>
      <c r="K281" s="78" t="str">
        <f t="shared" si="319"/>
        <v>1900-01-00 00:0:00</v>
      </c>
      <c r="L281" s="78" t="str">
        <f t="shared" si="320"/>
        <v>1900-01-00 00:0:00</v>
      </c>
      <c r="M281" s="79">
        <f t="shared" si="321"/>
        <v>0</v>
      </c>
      <c r="N281">
        <f t="shared" si="322"/>
        <v>1</v>
      </c>
      <c r="O281" t="str">
        <f>IFERROR(_xlfn.XLOOKUP(A281,HC!A:A,HC!C:C),"")</f>
        <v>Workforce</v>
      </c>
      <c r="R281" s="78" t="b">
        <f t="shared" ref="R281:AO281" si="344">IFERROR(IF($B281=$D$1,IF(AND($K281&lt;R$1,$L281&lt;R$1),"",IF(AND($K281&gt;S$1,$L281&gt;S$1),"",IF(AND($K281&lt;R$1,$L281&lt;=S$1),$L281-R$1,IF(AND($K281&gt;=R$1,$L281&gt;S$1),S$1-$K281,IF(AND($K281&gt;=R$1,$L281&lt;=S$1),$L281-$K281,IF(AND($K281&lt;R$1,$L281&gt;S$1),S$1-R$1,""))))))),"")</f>
        <v>0</v>
      </c>
      <c r="S281" s="78" t="b">
        <f t="shared" si="344"/>
        <v>0</v>
      </c>
      <c r="T281" s="78" t="b">
        <f t="shared" si="344"/>
        <v>0</v>
      </c>
      <c r="U281" s="78" t="b">
        <f t="shared" si="344"/>
        <v>0</v>
      </c>
      <c r="V281" s="78" t="b">
        <f t="shared" si="344"/>
        <v>0</v>
      </c>
      <c r="W281" s="78" t="b">
        <f t="shared" si="344"/>
        <v>0</v>
      </c>
      <c r="X281" s="78" t="b">
        <f t="shared" si="344"/>
        <v>0</v>
      </c>
      <c r="Y281" s="78" t="b">
        <f t="shared" si="344"/>
        <v>0</v>
      </c>
      <c r="Z281" s="78" t="b">
        <f t="shared" si="344"/>
        <v>0</v>
      </c>
      <c r="AA281" s="78" t="b">
        <f t="shared" si="344"/>
        <v>0</v>
      </c>
      <c r="AB281" s="78" t="b">
        <f t="shared" si="344"/>
        <v>0</v>
      </c>
      <c r="AC281" s="78" t="b">
        <f t="shared" si="344"/>
        <v>0</v>
      </c>
      <c r="AD281" s="78" t="b">
        <f t="shared" si="344"/>
        <v>0</v>
      </c>
      <c r="AE281" s="78" t="b">
        <f t="shared" si="344"/>
        <v>0</v>
      </c>
      <c r="AF281" s="78" t="b">
        <f t="shared" si="344"/>
        <v>0</v>
      </c>
      <c r="AG281" s="78" t="b">
        <f t="shared" si="344"/>
        <v>0</v>
      </c>
      <c r="AH281" s="78" t="b">
        <f t="shared" si="344"/>
        <v>0</v>
      </c>
      <c r="AI281" s="78" t="b">
        <f t="shared" si="344"/>
        <v>0</v>
      </c>
      <c r="AJ281" s="78" t="b">
        <f t="shared" si="344"/>
        <v>0</v>
      </c>
      <c r="AK281" s="78" t="b">
        <f t="shared" si="344"/>
        <v>0</v>
      </c>
      <c r="AL281" s="78" t="b">
        <f t="shared" si="344"/>
        <v>0</v>
      </c>
      <c r="AM281" s="78" t="b">
        <f t="shared" si="344"/>
        <v>0</v>
      </c>
      <c r="AN281" s="78" t="b">
        <f t="shared" si="344"/>
        <v>0</v>
      </c>
      <c r="AO281" s="78" t="b">
        <f t="shared" si="344"/>
        <v>0</v>
      </c>
      <c r="AP281" s="78"/>
    </row>
    <row r="282" spans="4:42" x14ac:dyDescent="0.35">
      <c r="D282" s="96"/>
      <c r="E282" s="96"/>
      <c r="G282" s="77">
        <f t="shared" si="315"/>
        <v>0</v>
      </c>
      <c r="H282" s="78">
        <f t="shared" si="316"/>
        <v>0</v>
      </c>
      <c r="I282" s="77">
        <f t="shared" si="317"/>
        <v>0</v>
      </c>
      <c r="J282" s="78">
        <f t="shared" si="318"/>
        <v>0</v>
      </c>
      <c r="K282" s="78" t="str">
        <f t="shared" si="319"/>
        <v>1900-01-00 00:0:00</v>
      </c>
      <c r="L282" s="78" t="str">
        <f t="shared" si="320"/>
        <v>1900-01-00 00:0:00</v>
      </c>
      <c r="M282" s="79">
        <f t="shared" si="321"/>
        <v>0</v>
      </c>
      <c r="N282">
        <f t="shared" si="322"/>
        <v>1</v>
      </c>
      <c r="O282" t="str">
        <f>IFERROR(_xlfn.XLOOKUP(A282,HC!A:A,HC!C:C),"")</f>
        <v>Workforce</v>
      </c>
      <c r="R282" s="78" t="b">
        <f t="shared" ref="R282:AO282" si="345">IFERROR(IF($B282=$D$1,IF(AND($K282&lt;R$1,$L282&lt;R$1),"",IF(AND($K282&gt;S$1,$L282&gt;S$1),"",IF(AND($K282&lt;R$1,$L282&lt;=S$1),$L282-R$1,IF(AND($K282&gt;=R$1,$L282&gt;S$1),S$1-$K282,IF(AND($K282&gt;=R$1,$L282&lt;=S$1),$L282-$K282,IF(AND($K282&lt;R$1,$L282&gt;S$1),S$1-R$1,""))))))),"")</f>
        <v>0</v>
      </c>
      <c r="S282" s="78" t="b">
        <f t="shared" si="345"/>
        <v>0</v>
      </c>
      <c r="T282" s="78" t="b">
        <f t="shared" si="345"/>
        <v>0</v>
      </c>
      <c r="U282" s="78" t="b">
        <f t="shared" si="345"/>
        <v>0</v>
      </c>
      <c r="V282" s="78" t="b">
        <f t="shared" si="345"/>
        <v>0</v>
      </c>
      <c r="W282" s="78" t="b">
        <f t="shared" si="345"/>
        <v>0</v>
      </c>
      <c r="X282" s="78" t="b">
        <f t="shared" si="345"/>
        <v>0</v>
      </c>
      <c r="Y282" s="78" t="b">
        <f t="shared" si="345"/>
        <v>0</v>
      </c>
      <c r="Z282" s="78" t="b">
        <f t="shared" si="345"/>
        <v>0</v>
      </c>
      <c r="AA282" s="78" t="b">
        <f t="shared" si="345"/>
        <v>0</v>
      </c>
      <c r="AB282" s="78" t="b">
        <f t="shared" si="345"/>
        <v>0</v>
      </c>
      <c r="AC282" s="78" t="b">
        <f t="shared" si="345"/>
        <v>0</v>
      </c>
      <c r="AD282" s="78" t="b">
        <f t="shared" si="345"/>
        <v>0</v>
      </c>
      <c r="AE282" s="78" t="b">
        <f t="shared" si="345"/>
        <v>0</v>
      </c>
      <c r="AF282" s="78" t="b">
        <f t="shared" si="345"/>
        <v>0</v>
      </c>
      <c r="AG282" s="78" t="b">
        <f t="shared" si="345"/>
        <v>0</v>
      </c>
      <c r="AH282" s="78" t="b">
        <f t="shared" si="345"/>
        <v>0</v>
      </c>
      <c r="AI282" s="78" t="b">
        <f t="shared" si="345"/>
        <v>0</v>
      </c>
      <c r="AJ282" s="78" t="b">
        <f t="shared" si="345"/>
        <v>0</v>
      </c>
      <c r="AK282" s="78" t="b">
        <f t="shared" si="345"/>
        <v>0</v>
      </c>
      <c r="AL282" s="78" t="b">
        <f t="shared" si="345"/>
        <v>0</v>
      </c>
      <c r="AM282" s="78" t="b">
        <f t="shared" si="345"/>
        <v>0</v>
      </c>
      <c r="AN282" s="78" t="b">
        <f t="shared" si="345"/>
        <v>0</v>
      </c>
      <c r="AO282" s="78" t="b">
        <f t="shared" si="345"/>
        <v>0</v>
      </c>
      <c r="AP282" s="78"/>
    </row>
    <row r="283" spans="4:42" x14ac:dyDescent="0.35">
      <c r="D283" s="96"/>
      <c r="E283" s="96"/>
      <c r="G283" s="77">
        <f t="shared" si="315"/>
        <v>0</v>
      </c>
      <c r="H283" s="78">
        <f t="shared" si="316"/>
        <v>0</v>
      </c>
      <c r="I283" s="77">
        <f t="shared" si="317"/>
        <v>0</v>
      </c>
      <c r="J283" s="78">
        <f t="shared" si="318"/>
        <v>0</v>
      </c>
      <c r="K283" s="78" t="str">
        <f t="shared" si="319"/>
        <v>1900-01-00 00:0:00</v>
      </c>
      <c r="L283" s="78" t="str">
        <f t="shared" si="320"/>
        <v>1900-01-00 00:0:00</v>
      </c>
      <c r="M283" s="79">
        <f t="shared" si="321"/>
        <v>0</v>
      </c>
      <c r="N283">
        <f t="shared" si="322"/>
        <v>1</v>
      </c>
      <c r="O283" t="str">
        <f>IFERROR(_xlfn.XLOOKUP(A283,HC!A:A,HC!C:C),"")</f>
        <v>Workforce</v>
      </c>
      <c r="R283" s="78" t="b">
        <f t="shared" ref="R283:AO283" si="346">IFERROR(IF($B283=$D$1,IF(AND($K283&lt;R$1,$L283&lt;R$1),"",IF(AND($K283&gt;S$1,$L283&gt;S$1),"",IF(AND($K283&lt;R$1,$L283&lt;=S$1),$L283-R$1,IF(AND($K283&gt;=R$1,$L283&gt;S$1),S$1-$K283,IF(AND($K283&gt;=R$1,$L283&lt;=S$1),$L283-$K283,IF(AND($K283&lt;R$1,$L283&gt;S$1),S$1-R$1,""))))))),"")</f>
        <v>0</v>
      </c>
      <c r="S283" s="78" t="b">
        <f t="shared" si="346"/>
        <v>0</v>
      </c>
      <c r="T283" s="78" t="b">
        <f t="shared" si="346"/>
        <v>0</v>
      </c>
      <c r="U283" s="78" t="b">
        <f t="shared" si="346"/>
        <v>0</v>
      </c>
      <c r="V283" s="78" t="b">
        <f t="shared" si="346"/>
        <v>0</v>
      </c>
      <c r="W283" s="78" t="b">
        <f t="shared" si="346"/>
        <v>0</v>
      </c>
      <c r="X283" s="78" t="b">
        <f t="shared" si="346"/>
        <v>0</v>
      </c>
      <c r="Y283" s="78" t="b">
        <f t="shared" si="346"/>
        <v>0</v>
      </c>
      <c r="Z283" s="78" t="b">
        <f t="shared" si="346"/>
        <v>0</v>
      </c>
      <c r="AA283" s="78" t="b">
        <f t="shared" si="346"/>
        <v>0</v>
      </c>
      <c r="AB283" s="78" t="b">
        <f t="shared" si="346"/>
        <v>0</v>
      </c>
      <c r="AC283" s="78" t="b">
        <f t="shared" si="346"/>
        <v>0</v>
      </c>
      <c r="AD283" s="78" t="b">
        <f t="shared" si="346"/>
        <v>0</v>
      </c>
      <c r="AE283" s="78" t="b">
        <f t="shared" si="346"/>
        <v>0</v>
      </c>
      <c r="AF283" s="78" t="b">
        <f t="shared" si="346"/>
        <v>0</v>
      </c>
      <c r="AG283" s="78" t="b">
        <f t="shared" si="346"/>
        <v>0</v>
      </c>
      <c r="AH283" s="78" t="b">
        <f t="shared" si="346"/>
        <v>0</v>
      </c>
      <c r="AI283" s="78" t="b">
        <f t="shared" si="346"/>
        <v>0</v>
      </c>
      <c r="AJ283" s="78" t="b">
        <f t="shared" si="346"/>
        <v>0</v>
      </c>
      <c r="AK283" s="78" t="b">
        <f t="shared" si="346"/>
        <v>0</v>
      </c>
      <c r="AL283" s="78" t="b">
        <f t="shared" si="346"/>
        <v>0</v>
      </c>
      <c r="AM283" s="78" t="b">
        <f t="shared" si="346"/>
        <v>0</v>
      </c>
      <c r="AN283" s="78" t="b">
        <f t="shared" si="346"/>
        <v>0</v>
      </c>
      <c r="AO283" s="78" t="b">
        <f t="shared" si="346"/>
        <v>0</v>
      </c>
      <c r="AP283" s="78"/>
    </row>
    <row r="284" spans="4:42" x14ac:dyDescent="0.35">
      <c r="D284" s="96"/>
      <c r="E284" s="96"/>
      <c r="G284" s="77">
        <f t="shared" si="315"/>
        <v>0</v>
      </c>
      <c r="H284" s="78">
        <f t="shared" si="316"/>
        <v>0</v>
      </c>
      <c r="I284" s="77">
        <f t="shared" si="317"/>
        <v>0</v>
      </c>
      <c r="J284" s="78">
        <f t="shared" si="318"/>
        <v>0</v>
      </c>
      <c r="K284" s="78" t="str">
        <f t="shared" si="319"/>
        <v>1900-01-00 00:0:00</v>
      </c>
      <c r="L284" s="78" t="str">
        <f t="shared" si="320"/>
        <v>1900-01-00 00:0:00</v>
      </c>
      <c r="M284" s="79">
        <f t="shared" si="321"/>
        <v>0</v>
      </c>
      <c r="N284">
        <f t="shared" si="322"/>
        <v>1</v>
      </c>
      <c r="O284" t="str">
        <f>IFERROR(_xlfn.XLOOKUP(A284,HC!A:A,HC!C:C),"")</f>
        <v>Workforce</v>
      </c>
      <c r="R284" s="78" t="b">
        <f t="shared" ref="R284:AO284" si="347">IFERROR(IF($B284=$D$1,IF(AND($K284&lt;R$1,$L284&lt;R$1),"",IF(AND($K284&gt;S$1,$L284&gt;S$1),"",IF(AND($K284&lt;R$1,$L284&lt;=S$1),$L284-R$1,IF(AND($K284&gt;=R$1,$L284&gt;S$1),S$1-$K284,IF(AND($K284&gt;=R$1,$L284&lt;=S$1),$L284-$K284,IF(AND($K284&lt;R$1,$L284&gt;S$1),S$1-R$1,""))))))),"")</f>
        <v>0</v>
      </c>
      <c r="S284" s="78" t="b">
        <f t="shared" si="347"/>
        <v>0</v>
      </c>
      <c r="T284" s="78" t="b">
        <f t="shared" si="347"/>
        <v>0</v>
      </c>
      <c r="U284" s="78" t="b">
        <f t="shared" si="347"/>
        <v>0</v>
      </c>
      <c r="V284" s="78" t="b">
        <f t="shared" si="347"/>
        <v>0</v>
      </c>
      <c r="W284" s="78" t="b">
        <f t="shared" si="347"/>
        <v>0</v>
      </c>
      <c r="X284" s="78" t="b">
        <f t="shared" si="347"/>
        <v>0</v>
      </c>
      <c r="Y284" s="78" t="b">
        <f t="shared" si="347"/>
        <v>0</v>
      </c>
      <c r="Z284" s="78" t="b">
        <f t="shared" si="347"/>
        <v>0</v>
      </c>
      <c r="AA284" s="78" t="b">
        <f t="shared" si="347"/>
        <v>0</v>
      </c>
      <c r="AB284" s="78" t="b">
        <f t="shared" si="347"/>
        <v>0</v>
      </c>
      <c r="AC284" s="78" t="b">
        <f t="shared" si="347"/>
        <v>0</v>
      </c>
      <c r="AD284" s="78" t="b">
        <f t="shared" si="347"/>
        <v>0</v>
      </c>
      <c r="AE284" s="78" t="b">
        <f t="shared" si="347"/>
        <v>0</v>
      </c>
      <c r="AF284" s="78" t="b">
        <f t="shared" si="347"/>
        <v>0</v>
      </c>
      <c r="AG284" s="78" t="b">
        <f t="shared" si="347"/>
        <v>0</v>
      </c>
      <c r="AH284" s="78" t="b">
        <f t="shared" si="347"/>
        <v>0</v>
      </c>
      <c r="AI284" s="78" t="b">
        <f t="shared" si="347"/>
        <v>0</v>
      </c>
      <c r="AJ284" s="78" t="b">
        <f t="shared" si="347"/>
        <v>0</v>
      </c>
      <c r="AK284" s="78" t="b">
        <f t="shared" si="347"/>
        <v>0</v>
      </c>
      <c r="AL284" s="78" t="b">
        <f t="shared" si="347"/>
        <v>0</v>
      </c>
      <c r="AM284" s="78" t="b">
        <f t="shared" si="347"/>
        <v>0</v>
      </c>
      <c r="AN284" s="78" t="b">
        <f t="shared" si="347"/>
        <v>0</v>
      </c>
      <c r="AO284" s="78" t="b">
        <f t="shared" si="347"/>
        <v>0</v>
      </c>
      <c r="AP284" s="78"/>
    </row>
    <row r="285" spans="4:42" x14ac:dyDescent="0.35">
      <c r="D285" s="96"/>
      <c r="E285" s="96"/>
      <c r="G285" s="77">
        <f t="shared" si="315"/>
        <v>0</v>
      </c>
      <c r="H285" s="78">
        <f t="shared" si="316"/>
        <v>0</v>
      </c>
      <c r="I285" s="77">
        <f t="shared" si="317"/>
        <v>0</v>
      </c>
      <c r="J285" s="78">
        <f t="shared" si="318"/>
        <v>0</v>
      </c>
      <c r="K285" s="78" t="str">
        <f t="shared" si="319"/>
        <v>1900-01-00 00:0:00</v>
      </c>
      <c r="L285" s="78" t="str">
        <f t="shared" si="320"/>
        <v>1900-01-00 00:0:00</v>
      </c>
      <c r="M285" s="79">
        <f t="shared" si="321"/>
        <v>0</v>
      </c>
      <c r="N285">
        <f t="shared" si="322"/>
        <v>1</v>
      </c>
      <c r="O285" t="str">
        <f>IFERROR(_xlfn.XLOOKUP(A285,HC!A:A,HC!C:C),"")</f>
        <v>Workforce</v>
      </c>
      <c r="R285" s="78" t="b">
        <f t="shared" ref="R285:AO285" si="348">IFERROR(IF($B285=$D$1,IF(AND($K285&lt;R$1,$L285&lt;R$1),"",IF(AND($K285&gt;S$1,$L285&gt;S$1),"",IF(AND($K285&lt;R$1,$L285&lt;=S$1),$L285-R$1,IF(AND($K285&gt;=R$1,$L285&gt;S$1),S$1-$K285,IF(AND($K285&gt;=R$1,$L285&lt;=S$1),$L285-$K285,IF(AND($K285&lt;R$1,$L285&gt;S$1),S$1-R$1,""))))))),"")</f>
        <v>0</v>
      </c>
      <c r="S285" s="78" t="b">
        <f t="shared" si="348"/>
        <v>0</v>
      </c>
      <c r="T285" s="78" t="b">
        <f t="shared" si="348"/>
        <v>0</v>
      </c>
      <c r="U285" s="78" t="b">
        <f t="shared" si="348"/>
        <v>0</v>
      </c>
      <c r="V285" s="78" t="b">
        <f t="shared" si="348"/>
        <v>0</v>
      </c>
      <c r="W285" s="78" t="b">
        <f t="shared" si="348"/>
        <v>0</v>
      </c>
      <c r="X285" s="78" t="b">
        <f t="shared" si="348"/>
        <v>0</v>
      </c>
      <c r="Y285" s="78" t="b">
        <f t="shared" si="348"/>
        <v>0</v>
      </c>
      <c r="Z285" s="78" t="b">
        <f t="shared" si="348"/>
        <v>0</v>
      </c>
      <c r="AA285" s="78" t="b">
        <f t="shared" si="348"/>
        <v>0</v>
      </c>
      <c r="AB285" s="78" t="b">
        <f t="shared" si="348"/>
        <v>0</v>
      </c>
      <c r="AC285" s="78" t="b">
        <f t="shared" si="348"/>
        <v>0</v>
      </c>
      <c r="AD285" s="78" t="b">
        <f t="shared" si="348"/>
        <v>0</v>
      </c>
      <c r="AE285" s="78" t="b">
        <f t="shared" si="348"/>
        <v>0</v>
      </c>
      <c r="AF285" s="78" t="b">
        <f t="shared" si="348"/>
        <v>0</v>
      </c>
      <c r="AG285" s="78" t="b">
        <f t="shared" si="348"/>
        <v>0</v>
      </c>
      <c r="AH285" s="78" t="b">
        <f t="shared" si="348"/>
        <v>0</v>
      </c>
      <c r="AI285" s="78" t="b">
        <f t="shared" si="348"/>
        <v>0</v>
      </c>
      <c r="AJ285" s="78" t="b">
        <f t="shared" si="348"/>
        <v>0</v>
      </c>
      <c r="AK285" s="78" t="b">
        <f t="shared" si="348"/>
        <v>0</v>
      </c>
      <c r="AL285" s="78" t="b">
        <f t="shared" si="348"/>
        <v>0</v>
      </c>
      <c r="AM285" s="78" t="b">
        <f t="shared" si="348"/>
        <v>0</v>
      </c>
      <c r="AN285" s="78" t="b">
        <f t="shared" si="348"/>
        <v>0</v>
      </c>
      <c r="AO285" s="78" t="b">
        <f t="shared" si="348"/>
        <v>0</v>
      </c>
      <c r="AP285" s="78"/>
    </row>
    <row r="286" spans="4:42" x14ac:dyDescent="0.35">
      <c r="D286" s="96"/>
      <c r="E286" s="96"/>
      <c r="G286" s="77">
        <f t="shared" si="315"/>
        <v>0</v>
      </c>
      <c r="H286" s="78">
        <f t="shared" si="316"/>
        <v>0</v>
      </c>
      <c r="I286" s="77">
        <f t="shared" si="317"/>
        <v>0</v>
      </c>
      <c r="J286" s="78">
        <f t="shared" si="318"/>
        <v>0</v>
      </c>
      <c r="K286" s="78" t="str">
        <f t="shared" si="319"/>
        <v>1900-01-00 00:0:00</v>
      </c>
      <c r="L286" s="78" t="str">
        <f t="shared" si="320"/>
        <v>1900-01-00 00:0:00</v>
      </c>
      <c r="M286" s="79">
        <f t="shared" si="321"/>
        <v>0</v>
      </c>
      <c r="N286">
        <f t="shared" si="322"/>
        <v>1</v>
      </c>
      <c r="O286" t="str">
        <f>IFERROR(_xlfn.XLOOKUP(A286,HC!A:A,HC!C:C),"")</f>
        <v>Workforce</v>
      </c>
      <c r="R286" s="78" t="b">
        <f t="shared" ref="R286:AO286" si="349">IFERROR(IF($B286=$D$1,IF(AND($K286&lt;R$1,$L286&lt;R$1),"",IF(AND($K286&gt;S$1,$L286&gt;S$1),"",IF(AND($K286&lt;R$1,$L286&lt;=S$1),$L286-R$1,IF(AND($K286&gt;=R$1,$L286&gt;S$1),S$1-$K286,IF(AND($K286&gt;=R$1,$L286&lt;=S$1),$L286-$K286,IF(AND($K286&lt;R$1,$L286&gt;S$1),S$1-R$1,""))))))),"")</f>
        <v>0</v>
      </c>
      <c r="S286" s="78" t="b">
        <f t="shared" si="349"/>
        <v>0</v>
      </c>
      <c r="T286" s="78" t="b">
        <f t="shared" si="349"/>
        <v>0</v>
      </c>
      <c r="U286" s="78" t="b">
        <f t="shared" si="349"/>
        <v>0</v>
      </c>
      <c r="V286" s="78" t="b">
        <f t="shared" si="349"/>
        <v>0</v>
      </c>
      <c r="W286" s="78" t="b">
        <f t="shared" si="349"/>
        <v>0</v>
      </c>
      <c r="X286" s="78" t="b">
        <f t="shared" si="349"/>
        <v>0</v>
      </c>
      <c r="Y286" s="78" t="b">
        <f t="shared" si="349"/>
        <v>0</v>
      </c>
      <c r="Z286" s="78" t="b">
        <f t="shared" si="349"/>
        <v>0</v>
      </c>
      <c r="AA286" s="78" t="b">
        <f t="shared" si="349"/>
        <v>0</v>
      </c>
      <c r="AB286" s="78" t="b">
        <f t="shared" si="349"/>
        <v>0</v>
      </c>
      <c r="AC286" s="78" t="b">
        <f t="shared" si="349"/>
        <v>0</v>
      </c>
      <c r="AD286" s="78" t="b">
        <f t="shared" si="349"/>
        <v>0</v>
      </c>
      <c r="AE286" s="78" t="b">
        <f t="shared" si="349"/>
        <v>0</v>
      </c>
      <c r="AF286" s="78" t="b">
        <f t="shared" si="349"/>
        <v>0</v>
      </c>
      <c r="AG286" s="78" t="b">
        <f t="shared" si="349"/>
        <v>0</v>
      </c>
      <c r="AH286" s="78" t="b">
        <f t="shared" si="349"/>
        <v>0</v>
      </c>
      <c r="AI286" s="78" t="b">
        <f t="shared" si="349"/>
        <v>0</v>
      </c>
      <c r="AJ286" s="78" t="b">
        <f t="shared" si="349"/>
        <v>0</v>
      </c>
      <c r="AK286" s="78" t="b">
        <f t="shared" si="349"/>
        <v>0</v>
      </c>
      <c r="AL286" s="78" t="b">
        <f t="shared" si="349"/>
        <v>0</v>
      </c>
      <c r="AM286" s="78" t="b">
        <f t="shared" si="349"/>
        <v>0</v>
      </c>
      <c r="AN286" s="78" t="b">
        <f t="shared" si="349"/>
        <v>0</v>
      </c>
      <c r="AO286" s="78" t="b">
        <f t="shared" si="349"/>
        <v>0</v>
      </c>
      <c r="AP286" s="78"/>
    </row>
    <row r="287" spans="4:42" x14ac:dyDescent="0.35">
      <c r="D287" s="96"/>
      <c r="E287" s="96"/>
      <c r="G287" s="77">
        <f t="shared" si="315"/>
        <v>0</v>
      </c>
      <c r="H287" s="78">
        <f t="shared" si="316"/>
        <v>0</v>
      </c>
      <c r="I287" s="77">
        <f t="shared" si="317"/>
        <v>0</v>
      </c>
      <c r="J287" s="78">
        <f t="shared" si="318"/>
        <v>0</v>
      </c>
      <c r="K287" s="78" t="str">
        <f t="shared" si="319"/>
        <v>1900-01-00 00:0:00</v>
      </c>
      <c r="L287" s="78" t="str">
        <f t="shared" si="320"/>
        <v>1900-01-00 00:0:00</v>
      </c>
      <c r="M287" s="79">
        <f t="shared" si="321"/>
        <v>0</v>
      </c>
      <c r="N287">
        <f t="shared" si="322"/>
        <v>1</v>
      </c>
      <c r="O287" t="str">
        <f>IFERROR(_xlfn.XLOOKUP(A287,HC!A:A,HC!C:C),"")</f>
        <v>Workforce</v>
      </c>
      <c r="R287" s="78" t="b">
        <f t="shared" ref="R287:AO287" si="350">IFERROR(IF($B287=$D$1,IF(AND($K287&lt;R$1,$L287&lt;R$1),"",IF(AND($K287&gt;S$1,$L287&gt;S$1),"",IF(AND($K287&lt;R$1,$L287&lt;=S$1),$L287-R$1,IF(AND($K287&gt;=R$1,$L287&gt;S$1),S$1-$K287,IF(AND($K287&gt;=R$1,$L287&lt;=S$1),$L287-$K287,IF(AND($K287&lt;R$1,$L287&gt;S$1),S$1-R$1,""))))))),"")</f>
        <v>0</v>
      </c>
      <c r="S287" s="78" t="b">
        <f t="shared" si="350"/>
        <v>0</v>
      </c>
      <c r="T287" s="78" t="b">
        <f t="shared" si="350"/>
        <v>0</v>
      </c>
      <c r="U287" s="78" t="b">
        <f t="shared" si="350"/>
        <v>0</v>
      </c>
      <c r="V287" s="78" t="b">
        <f t="shared" si="350"/>
        <v>0</v>
      </c>
      <c r="W287" s="78" t="b">
        <f t="shared" si="350"/>
        <v>0</v>
      </c>
      <c r="X287" s="78" t="b">
        <f t="shared" si="350"/>
        <v>0</v>
      </c>
      <c r="Y287" s="78" t="b">
        <f t="shared" si="350"/>
        <v>0</v>
      </c>
      <c r="Z287" s="78" t="b">
        <f t="shared" si="350"/>
        <v>0</v>
      </c>
      <c r="AA287" s="78" t="b">
        <f t="shared" si="350"/>
        <v>0</v>
      </c>
      <c r="AB287" s="78" t="b">
        <f t="shared" si="350"/>
        <v>0</v>
      </c>
      <c r="AC287" s="78" t="b">
        <f t="shared" si="350"/>
        <v>0</v>
      </c>
      <c r="AD287" s="78" t="b">
        <f t="shared" si="350"/>
        <v>0</v>
      </c>
      <c r="AE287" s="78" t="b">
        <f t="shared" si="350"/>
        <v>0</v>
      </c>
      <c r="AF287" s="78" t="b">
        <f t="shared" si="350"/>
        <v>0</v>
      </c>
      <c r="AG287" s="78" t="b">
        <f t="shared" si="350"/>
        <v>0</v>
      </c>
      <c r="AH287" s="78" t="b">
        <f t="shared" si="350"/>
        <v>0</v>
      </c>
      <c r="AI287" s="78" t="b">
        <f t="shared" si="350"/>
        <v>0</v>
      </c>
      <c r="AJ287" s="78" t="b">
        <f t="shared" si="350"/>
        <v>0</v>
      </c>
      <c r="AK287" s="78" t="b">
        <f t="shared" si="350"/>
        <v>0</v>
      </c>
      <c r="AL287" s="78" t="b">
        <f t="shared" si="350"/>
        <v>0</v>
      </c>
      <c r="AM287" s="78" t="b">
        <f t="shared" si="350"/>
        <v>0</v>
      </c>
      <c r="AN287" s="78" t="b">
        <f t="shared" si="350"/>
        <v>0</v>
      </c>
      <c r="AO287" s="78" t="b">
        <f t="shared" si="350"/>
        <v>0</v>
      </c>
      <c r="AP287" s="78"/>
    </row>
    <row r="288" spans="4:42" x14ac:dyDescent="0.35">
      <c r="D288" s="96"/>
      <c r="E288" s="96"/>
      <c r="G288" s="77">
        <f t="shared" si="315"/>
        <v>0</v>
      </c>
      <c r="H288" s="78">
        <f t="shared" si="316"/>
        <v>0</v>
      </c>
      <c r="I288" s="77">
        <f t="shared" si="317"/>
        <v>0</v>
      </c>
      <c r="J288" s="78">
        <f t="shared" si="318"/>
        <v>0</v>
      </c>
      <c r="K288" s="78" t="str">
        <f t="shared" si="319"/>
        <v>1900-01-00 00:0:00</v>
      </c>
      <c r="L288" s="78" t="str">
        <f t="shared" si="320"/>
        <v>1900-01-00 00:0:00</v>
      </c>
      <c r="M288" s="79">
        <f t="shared" si="321"/>
        <v>0</v>
      </c>
      <c r="N288">
        <f t="shared" si="322"/>
        <v>1</v>
      </c>
      <c r="O288" t="str">
        <f>IFERROR(_xlfn.XLOOKUP(A288,HC!A:A,HC!C:C),"")</f>
        <v>Workforce</v>
      </c>
      <c r="R288" s="78" t="b">
        <f t="shared" ref="R288:AO288" si="351">IFERROR(IF($B288=$D$1,IF(AND($K288&lt;R$1,$L288&lt;R$1),"",IF(AND($K288&gt;S$1,$L288&gt;S$1),"",IF(AND($K288&lt;R$1,$L288&lt;=S$1),$L288-R$1,IF(AND($K288&gt;=R$1,$L288&gt;S$1),S$1-$K288,IF(AND($K288&gt;=R$1,$L288&lt;=S$1),$L288-$K288,IF(AND($K288&lt;R$1,$L288&gt;S$1),S$1-R$1,""))))))),"")</f>
        <v>0</v>
      </c>
      <c r="S288" s="78" t="b">
        <f t="shared" si="351"/>
        <v>0</v>
      </c>
      <c r="T288" s="78" t="b">
        <f t="shared" si="351"/>
        <v>0</v>
      </c>
      <c r="U288" s="78" t="b">
        <f t="shared" si="351"/>
        <v>0</v>
      </c>
      <c r="V288" s="78" t="b">
        <f t="shared" si="351"/>
        <v>0</v>
      </c>
      <c r="W288" s="78" t="b">
        <f t="shared" si="351"/>
        <v>0</v>
      </c>
      <c r="X288" s="78" t="b">
        <f t="shared" si="351"/>
        <v>0</v>
      </c>
      <c r="Y288" s="78" t="b">
        <f t="shared" si="351"/>
        <v>0</v>
      </c>
      <c r="Z288" s="78" t="b">
        <f t="shared" si="351"/>
        <v>0</v>
      </c>
      <c r="AA288" s="78" t="b">
        <f t="shared" si="351"/>
        <v>0</v>
      </c>
      <c r="AB288" s="78" t="b">
        <f t="shared" si="351"/>
        <v>0</v>
      </c>
      <c r="AC288" s="78" t="b">
        <f t="shared" si="351"/>
        <v>0</v>
      </c>
      <c r="AD288" s="78" t="b">
        <f t="shared" si="351"/>
        <v>0</v>
      </c>
      <c r="AE288" s="78" t="b">
        <f t="shared" si="351"/>
        <v>0</v>
      </c>
      <c r="AF288" s="78" t="b">
        <f t="shared" si="351"/>
        <v>0</v>
      </c>
      <c r="AG288" s="78" t="b">
        <f t="shared" si="351"/>
        <v>0</v>
      </c>
      <c r="AH288" s="78" t="b">
        <f t="shared" si="351"/>
        <v>0</v>
      </c>
      <c r="AI288" s="78" t="b">
        <f t="shared" si="351"/>
        <v>0</v>
      </c>
      <c r="AJ288" s="78" t="b">
        <f t="shared" si="351"/>
        <v>0</v>
      </c>
      <c r="AK288" s="78" t="b">
        <f t="shared" si="351"/>
        <v>0</v>
      </c>
      <c r="AL288" s="78" t="b">
        <f t="shared" si="351"/>
        <v>0</v>
      </c>
      <c r="AM288" s="78" t="b">
        <f t="shared" si="351"/>
        <v>0</v>
      </c>
      <c r="AN288" s="78" t="b">
        <f t="shared" si="351"/>
        <v>0</v>
      </c>
      <c r="AO288" s="78" t="b">
        <f t="shared" si="351"/>
        <v>0</v>
      </c>
      <c r="AP288" s="78"/>
    </row>
    <row r="289" spans="4:42" x14ac:dyDescent="0.35">
      <c r="D289" s="96"/>
      <c r="E289" s="96"/>
      <c r="G289" s="77">
        <f t="shared" si="315"/>
        <v>0</v>
      </c>
      <c r="H289" s="78">
        <f t="shared" si="316"/>
        <v>0</v>
      </c>
      <c r="I289" s="77">
        <f t="shared" si="317"/>
        <v>0</v>
      </c>
      <c r="J289" s="78">
        <f t="shared" si="318"/>
        <v>0</v>
      </c>
      <c r="K289" s="78" t="str">
        <f t="shared" si="319"/>
        <v>1900-01-00 00:0:00</v>
      </c>
      <c r="L289" s="78" t="str">
        <f t="shared" si="320"/>
        <v>1900-01-00 00:0:00</v>
      </c>
      <c r="M289" s="79">
        <f t="shared" si="321"/>
        <v>0</v>
      </c>
      <c r="N289">
        <f t="shared" si="322"/>
        <v>1</v>
      </c>
      <c r="O289" t="str">
        <f>IFERROR(_xlfn.XLOOKUP(A289,HC!A:A,HC!C:C),"")</f>
        <v>Workforce</v>
      </c>
      <c r="R289" s="78" t="b">
        <f t="shared" ref="R289:AO289" si="352">IFERROR(IF($B289=$D$1,IF(AND($K289&lt;R$1,$L289&lt;R$1),"",IF(AND($K289&gt;S$1,$L289&gt;S$1),"",IF(AND($K289&lt;R$1,$L289&lt;=S$1),$L289-R$1,IF(AND($K289&gt;=R$1,$L289&gt;S$1),S$1-$K289,IF(AND($K289&gt;=R$1,$L289&lt;=S$1),$L289-$K289,IF(AND($K289&lt;R$1,$L289&gt;S$1),S$1-R$1,""))))))),"")</f>
        <v>0</v>
      </c>
      <c r="S289" s="78" t="b">
        <f t="shared" si="352"/>
        <v>0</v>
      </c>
      <c r="T289" s="78" t="b">
        <f t="shared" si="352"/>
        <v>0</v>
      </c>
      <c r="U289" s="78" t="b">
        <f t="shared" si="352"/>
        <v>0</v>
      </c>
      <c r="V289" s="78" t="b">
        <f t="shared" si="352"/>
        <v>0</v>
      </c>
      <c r="W289" s="78" t="b">
        <f t="shared" si="352"/>
        <v>0</v>
      </c>
      <c r="X289" s="78" t="b">
        <f t="shared" si="352"/>
        <v>0</v>
      </c>
      <c r="Y289" s="78" t="b">
        <f t="shared" si="352"/>
        <v>0</v>
      </c>
      <c r="Z289" s="78" t="b">
        <f t="shared" si="352"/>
        <v>0</v>
      </c>
      <c r="AA289" s="78" t="b">
        <f t="shared" si="352"/>
        <v>0</v>
      </c>
      <c r="AB289" s="78" t="b">
        <f t="shared" si="352"/>
        <v>0</v>
      </c>
      <c r="AC289" s="78" t="b">
        <f t="shared" si="352"/>
        <v>0</v>
      </c>
      <c r="AD289" s="78" t="b">
        <f t="shared" si="352"/>
        <v>0</v>
      </c>
      <c r="AE289" s="78" t="b">
        <f t="shared" si="352"/>
        <v>0</v>
      </c>
      <c r="AF289" s="78" t="b">
        <f t="shared" si="352"/>
        <v>0</v>
      </c>
      <c r="AG289" s="78" t="b">
        <f t="shared" si="352"/>
        <v>0</v>
      </c>
      <c r="AH289" s="78" t="b">
        <f t="shared" si="352"/>
        <v>0</v>
      </c>
      <c r="AI289" s="78" t="b">
        <f t="shared" si="352"/>
        <v>0</v>
      </c>
      <c r="AJ289" s="78" t="b">
        <f t="shared" si="352"/>
        <v>0</v>
      </c>
      <c r="AK289" s="78" t="b">
        <f t="shared" si="352"/>
        <v>0</v>
      </c>
      <c r="AL289" s="78" t="b">
        <f t="shared" si="352"/>
        <v>0</v>
      </c>
      <c r="AM289" s="78" t="b">
        <f t="shared" si="352"/>
        <v>0</v>
      </c>
      <c r="AN289" s="78" t="b">
        <f t="shared" si="352"/>
        <v>0</v>
      </c>
      <c r="AO289" s="78" t="b">
        <f t="shared" si="352"/>
        <v>0</v>
      </c>
      <c r="AP289" s="78"/>
    </row>
    <row r="290" spans="4:42" x14ac:dyDescent="0.35">
      <c r="D290" s="96"/>
      <c r="E290" s="96"/>
      <c r="G290" s="77">
        <f t="shared" si="315"/>
        <v>0</v>
      </c>
      <c r="H290" s="78">
        <f t="shared" si="316"/>
        <v>0</v>
      </c>
      <c r="I290" s="77">
        <f t="shared" si="317"/>
        <v>0</v>
      </c>
      <c r="J290" s="78">
        <f t="shared" si="318"/>
        <v>0</v>
      </c>
      <c r="K290" s="78" t="str">
        <f t="shared" si="319"/>
        <v>1900-01-00 00:0:00</v>
      </c>
      <c r="L290" s="78" t="str">
        <f t="shared" si="320"/>
        <v>1900-01-00 00:0:00</v>
      </c>
      <c r="M290" s="79">
        <f t="shared" si="321"/>
        <v>0</v>
      </c>
      <c r="N290">
        <f t="shared" si="322"/>
        <v>1</v>
      </c>
      <c r="O290" t="str">
        <f>IFERROR(_xlfn.XLOOKUP(A290,HC!A:A,HC!C:C),"")</f>
        <v>Workforce</v>
      </c>
      <c r="R290" s="78" t="b">
        <f t="shared" ref="R290:AO290" si="353">IFERROR(IF($B290=$D$1,IF(AND($K290&lt;R$1,$L290&lt;R$1),"",IF(AND($K290&gt;S$1,$L290&gt;S$1),"",IF(AND($K290&lt;R$1,$L290&lt;=S$1),$L290-R$1,IF(AND($K290&gt;=R$1,$L290&gt;S$1),S$1-$K290,IF(AND($K290&gt;=R$1,$L290&lt;=S$1),$L290-$K290,IF(AND($K290&lt;R$1,$L290&gt;S$1),S$1-R$1,""))))))),"")</f>
        <v>0</v>
      </c>
      <c r="S290" s="78" t="b">
        <f t="shared" si="353"/>
        <v>0</v>
      </c>
      <c r="T290" s="78" t="b">
        <f t="shared" si="353"/>
        <v>0</v>
      </c>
      <c r="U290" s="78" t="b">
        <f t="shared" si="353"/>
        <v>0</v>
      </c>
      <c r="V290" s="78" t="b">
        <f t="shared" si="353"/>
        <v>0</v>
      </c>
      <c r="W290" s="78" t="b">
        <f t="shared" si="353"/>
        <v>0</v>
      </c>
      <c r="X290" s="78" t="b">
        <f t="shared" si="353"/>
        <v>0</v>
      </c>
      <c r="Y290" s="78" t="b">
        <f t="shared" si="353"/>
        <v>0</v>
      </c>
      <c r="Z290" s="78" t="b">
        <f t="shared" si="353"/>
        <v>0</v>
      </c>
      <c r="AA290" s="78" t="b">
        <f t="shared" si="353"/>
        <v>0</v>
      </c>
      <c r="AB290" s="78" t="b">
        <f t="shared" si="353"/>
        <v>0</v>
      </c>
      <c r="AC290" s="78" t="b">
        <f t="shared" si="353"/>
        <v>0</v>
      </c>
      <c r="AD290" s="78" t="b">
        <f t="shared" si="353"/>
        <v>0</v>
      </c>
      <c r="AE290" s="78" t="b">
        <f t="shared" si="353"/>
        <v>0</v>
      </c>
      <c r="AF290" s="78" t="b">
        <f t="shared" si="353"/>
        <v>0</v>
      </c>
      <c r="AG290" s="78" t="b">
        <f t="shared" si="353"/>
        <v>0</v>
      </c>
      <c r="AH290" s="78" t="b">
        <f t="shared" si="353"/>
        <v>0</v>
      </c>
      <c r="AI290" s="78" t="b">
        <f t="shared" si="353"/>
        <v>0</v>
      </c>
      <c r="AJ290" s="78" t="b">
        <f t="shared" si="353"/>
        <v>0</v>
      </c>
      <c r="AK290" s="78" t="b">
        <f t="shared" si="353"/>
        <v>0</v>
      </c>
      <c r="AL290" s="78" t="b">
        <f t="shared" si="353"/>
        <v>0</v>
      </c>
      <c r="AM290" s="78" t="b">
        <f t="shared" si="353"/>
        <v>0</v>
      </c>
      <c r="AN290" s="78" t="b">
        <f t="shared" si="353"/>
        <v>0</v>
      </c>
      <c r="AO290" s="78" t="b">
        <f t="shared" si="353"/>
        <v>0</v>
      </c>
      <c r="AP290" s="78"/>
    </row>
    <row r="291" spans="4:42" x14ac:dyDescent="0.35">
      <c r="D291" s="96"/>
      <c r="E291" s="96"/>
      <c r="G291" s="77">
        <f t="shared" si="315"/>
        <v>0</v>
      </c>
      <c r="H291" s="78">
        <f t="shared" si="316"/>
        <v>0</v>
      </c>
      <c r="I291" s="77">
        <f t="shared" si="317"/>
        <v>0</v>
      </c>
      <c r="J291" s="78">
        <f t="shared" si="318"/>
        <v>0</v>
      </c>
      <c r="K291" s="78" t="str">
        <f t="shared" si="319"/>
        <v>1900-01-00 00:0:00</v>
      </c>
      <c r="L291" s="78" t="str">
        <f t="shared" si="320"/>
        <v>1900-01-00 00:0:00</v>
      </c>
      <c r="M291" s="79">
        <f t="shared" si="321"/>
        <v>0</v>
      </c>
      <c r="N291">
        <f t="shared" si="322"/>
        <v>1</v>
      </c>
      <c r="O291" t="str">
        <f>IFERROR(_xlfn.XLOOKUP(A291,HC!A:A,HC!C:C),"")</f>
        <v>Workforce</v>
      </c>
      <c r="R291" s="78" t="b">
        <f t="shared" ref="R291:AO291" si="354">IFERROR(IF($B291=$D$1,IF(AND($K291&lt;R$1,$L291&lt;R$1),"",IF(AND($K291&gt;S$1,$L291&gt;S$1),"",IF(AND($K291&lt;R$1,$L291&lt;=S$1),$L291-R$1,IF(AND($K291&gt;=R$1,$L291&gt;S$1),S$1-$K291,IF(AND($K291&gt;=R$1,$L291&lt;=S$1),$L291-$K291,IF(AND($K291&lt;R$1,$L291&gt;S$1),S$1-R$1,""))))))),"")</f>
        <v>0</v>
      </c>
      <c r="S291" s="78" t="b">
        <f t="shared" si="354"/>
        <v>0</v>
      </c>
      <c r="T291" s="78" t="b">
        <f t="shared" si="354"/>
        <v>0</v>
      </c>
      <c r="U291" s="78" t="b">
        <f t="shared" si="354"/>
        <v>0</v>
      </c>
      <c r="V291" s="78" t="b">
        <f t="shared" si="354"/>
        <v>0</v>
      </c>
      <c r="W291" s="78" t="b">
        <f t="shared" si="354"/>
        <v>0</v>
      </c>
      <c r="X291" s="78" t="b">
        <f t="shared" si="354"/>
        <v>0</v>
      </c>
      <c r="Y291" s="78" t="b">
        <f t="shared" si="354"/>
        <v>0</v>
      </c>
      <c r="Z291" s="78" t="b">
        <f t="shared" si="354"/>
        <v>0</v>
      </c>
      <c r="AA291" s="78" t="b">
        <f t="shared" si="354"/>
        <v>0</v>
      </c>
      <c r="AB291" s="78" t="b">
        <f t="shared" si="354"/>
        <v>0</v>
      </c>
      <c r="AC291" s="78" t="b">
        <f t="shared" si="354"/>
        <v>0</v>
      </c>
      <c r="AD291" s="78" t="b">
        <f t="shared" si="354"/>
        <v>0</v>
      </c>
      <c r="AE291" s="78" t="b">
        <f t="shared" si="354"/>
        <v>0</v>
      </c>
      <c r="AF291" s="78" t="b">
        <f t="shared" si="354"/>
        <v>0</v>
      </c>
      <c r="AG291" s="78" t="b">
        <f t="shared" si="354"/>
        <v>0</v>
      </c>
      <c r="AH291" s="78" t="b">
        <f t="shared" si="354"/>
        <v>0</v>
      </c>
      <c r="AI291" s="78" t="b">
        <f t="shared" si="354"/>
        <v>0</v>
      </c>
      <c r="AJ291" s="78" t="b">
        <f t="shared" si="354"/>
        <v>0</v>
      </c>
      <c r="AK291" s="78" t="b">
        <f t="shared" si="354"/>
        <v>0</v>
      </c>
      <c r="AL291" s="78" t="b">
        <f t="shared" si="354"/>
        <v>0</v>
      </c>
      <c r="AM291" s="78" t="b">
        <f t="shared" si="354"/>
        <v>0</v>
      </c>
      <c r="AN291" s="78" t="b">
        <f t="shared" si="354"/>
        <v>0</v>
      </c>
      <c r="AO291" s="78" t="b">
        <f t="shared" si="354"/>
        <v>0</v>
      </c>
      <c r="AP291" s="78"/>
    </row>
    <row r="292" spans="4:42" x14ac:dyDescent="0.35">
      <c r="D292" s="96"/>
      <c r="E292" s="96"/>
      <c r="G292" s="77">
        <f t="shared" si="315"/>
        <v>0</v>
      </c>
      <c r="H292" s="78">
        <f t="shared" si="316"/>
        <v>0</v>
      </c>
      <c r="I292" s="77">
        <f t="shared" si="317"/>
        <v>0</v>
      </c>
      <c r="J292" s="78">
        <f t="shared" si="318"/>
        <v>0</v>
      </c>
      <c r="K292" s="78" t="str">
        <f t="shared" si="319"/>
        <v>1900-01-00 00:0:00</v>
      </c>
      <c r="L292" s="78" t="str">
        <f t="shared" si="320"/>
        <v>1900-01-00 00:0:00</v>
      </c>
      <c r="M292" s="79">
        <f t="shared" si="321"/>
        <v>0</v>
      </c>
      <c r="N292">
        <f t="shared" si="322"/>
        <v>1</v>
      </c>
      <c r="O292" t="str">
        <f>IFERROR(_xlfn.XLOOKUP(A292,HC!A:A,HC!C:C),"")</f>
        <v>Workforce</v>
      </c>
      <c r="R292" s="78" t="b">
        <f t="shared" ref="R292:AO292" si="355">IFERROR(IF($B292=$D$1,IF(AND($K292&lt;R$1,$L292&lt;R$1),"",IF(AND($K292&gt;S$1,$L292&gt;S$1),"",IF(AND($K292&lt;R$1,$L292&lt;=S$1),$L292-R$1,IF(AND($K292&gt;=R$1,$L292&gt;S$1),S$1-$K292,IF(AND($K292&gt;=R$1,$L292&lt;=S$1),$L292-$K292,IF(AND($K292&lt;R$1,$L292&gt;S$1),S$1-R$1,""))))))),"")</f>
        <v>0</v>
      </c>
      <c r="S292" s="78" t="b">
        <f t="shared" si="355"/>
        <v>0</v>
      </c>
      <c r="T292" s="78" t="b">
        <f t="shared" si="355"/>
        <v>0</v>
      </c>
      <c r="U292" s="78" t="b">
        <f t="shared" si="355"/>
        <v>0</v>
      </c>
      <c r="V292" s="78" t="b">
        <f t="shared" si="355"/>
        <v>0</v>
      </c>
      <c r="W292" s="78" t="b">
        <f t="shared" si="355"/>
        <v>0</v>
      </c>
      <c r="X292" s="78" t="b">
        <f t="shared" si="355"/>
        <v>0</v>
      </c>
      <c r="Y292" s="78" t="b">
        <f t="shared" si="355"/>
        <v>0</v>
      </c>
      <c r="Z292" s="78" t="b">
        <f t="shared" si="355"/>
        <v>0</v>
      </c>
      <c r="AA292" s="78" t="b">
        <f t="shared" si="355"/>
        <v>0</v>
      </c>
      <c r="AB292" s="78" t="b">
        <f t="shared" si="355"/>
        <v>0</v>
      </c>
      <c r="AC292" s="78" t="b">
        <f t="shared" si="355"/>
        <v>0</v>
      </c>
      <c r="AD292" s="78" t="b">
        <f t="shared" si="355"/>
        <v>0</v>
      </c>
      <c r="AE292" s="78" t="b">
        <f t="shared" si="355"/>
        <v>0</v>
      </c>
      <c r="AF292" s="78" t="b">
        <f t="shared" si="355"/>
        <v>0</v>
      </c>
      <c r="AG292" s="78" t="b">
        <f t="shared" si="355"/>
        <v>0</v>
      </c>
      <c r="AH292" s="78" t="b">
        <f t="shared" si="355"/>
        <v>0</v>
      </c>
      <c r="AI292" s="78" t="b">
        <f t="shared" si="355"/>
        <v>0</v>
      </c>
      <c r="AJ292" s="78" t="b">
        <f t="shared" si="355"/>
        <v>0</v>
      </c>
      <c r="AK292" s="78" t="b">
        <f t="shared" si="355"/>
        <v>0</v>
      </c>
      <c r="AL292" s="78" t="b">
        <f t="shared" si="355"/>
        <v>0</v>
      </c>
      <c r="AM292" s="78" t="b">
        <f t="shared" si="355"/>
        <v>0</v>
      </c>
      <c r="AN292" s="78" t="b">
        <f t="shared" si="355"/>
        <v>0</v>
      </c>
      <c r="AO292" s="78" t="b">
        <f t="shared" si="355"/>
        <v>0</v>
      </c>
      <c r="AP292" s="78"/>
    </row>
    <row r="293" spans="4:42" x14ac:dyDescent="0.35">
      <c r="D293" s="96"/>
      <c r="E293" s="96"/>
      <c r="G293" s="77">
        <f t="shared" si="315"/>
        <v>0</v>
      </c>
      <c r="H293" s="78">
        <f t="shared" si="316"/>
        <v>0</v>
      </c>
      <c r="I293" s="77">
        <f t="shared" si="317"/>
        <v>0</v>
      </c>
      <c r="J293" s="78">
        <f t="shared" si="318"/>
        <v>0</v>
      </c>
      <c r="K293" s="78" t="str">
        <f t="shared" si="319"/>
        <v>1900-01-00 00:0:00</v>
      </c>
      <c r="L293" s="78" t="str">
        <f t="shared" si="320"/>
        <v>1900-01-00 00:0:00</v>
      </c>
      <c r="M293" s="79">
        <f t="shared" si="321"/>
        <v>0</v>
      </c>
      <c r="N293">
        <f t="shared" si="322"/>
        <v>1</v>
      </c>
      <c r="O293" t="str">
        <f>IFERROR(_xlfn.XLOOKUP(A293,HC!A:A,HC!C:C),"")</f>
        <v>Workforce</v>
      </c>
      <c r="R293" s="78" t="b">
        <f t="shared" ref="R293:AO293" si="356">IFERROR(IF($B293=$D$1,IF(AND($K293&lt;R$1,$L293&lt;R$1),"",IF(AND($K293&gt;S$1,$L293&gt;S$1),"",IF(AND($K293&lt;R$1,$L293&lt;=S$1),$L293-R$1,IF(AND($K293&gt;=R$1,$L293&gt;S$1),S$1-$K293,IF(AND($K293&gt;=R$1,$L293&lt;=S$1),$L293-$K293,IF(AND($K293&lt;R$1,$L293&gt;S$1),S$1-R$1,""))))))),"")</f>
        <v>0</v>
      </c>
      <c r="S293" s="78" t="b">
        <f t="shared" si="356"/>
        <v>0</v>
      </c>
      <c r="T293" s="78" t="b">
        <f t="shared" si="356"/>
        <v>0</v>
      </c>
      <c r="U293" s="78" t="b">
        <f t="shared" si="356"/>
        <v>0</v>
      </c>
      <c r="V293" s="78" t="b">
        <f t="shared" si="356"/>
        <v>0</v>
      </c>
      <c r="W293" s="78" t="b">
        <f t="shared" si="356"/>
        <v>0</v>
      </c>
      <c r="X293" s="78" t="b">
        <f t="shared" si="356"/>
        <v>0</v>
      </c>
      <c r="Y293" s="78" t="b">
        <f t="shared" si="356"/>
        <v>0</v>
      </c>
      <c r="Z293" s="78" t="b">
        <f t="shared" si="356"/>
        <v>0</v>
      </c>
      <c r="AA293" s="78" t="b">
        <f t="shared" si="356"/>
        <v>0</v>
      </c>
      <c r="AB293" s="78" t="b">
        <f t="shared" si="356"/>
        <v>0</v>
      </c>
      <c r="AC293" s="78" t="b">
        <f t="shared" si="356"/>
        <v>0</v>
      </c>
      <c r="AD293" s="78" t="b">
        <f t="shared" si="356"/>
        <v>0</v>
      </c>
      <c r="AE293" s="78" t="b">
        <f t="shared" si="356"/>
        <v>0</v>
      </c>
      <c r="AF293" s="78" t="b">
        <f t="shared" si="356"/>
        <v>0</v>
      </c>
      <c r="AG293" s="78" t="b">
        <f t="shared" si="356"/>
        <v>0</v>
      </c>
      <c r="AH293" s="78" t="b">
        <f t="shared" si="356"/>
        <v>0</v>
      </c>
      <c r="AI293" s="78" t="b">
        <f t="shared" si="356"/>
        <v>0</v>
      </c>
      <c r="AJ293" s="78" t="b">
        <f t="shared" si="356"/>
        <v>0</v>
      </c>
      <c r="AK293" s="78" t="b">
        <f t="shared" si="356"/>
        <v>0</v>
      </c>
      <c r="AL293" s="78" t="b">
        <f t="shared" si="356"/>
        <v>0</v>
      </c>
      <c r="AM293" s="78" t="b">
        <f t="shared" si="356"/>
        <v>0</v>
      </c>
      <c r="AN293" s="78" t="b">
        <f t="shared" si="356"/>
        <v>0</v>
      </c>
      <c r="AO293" s="78" t="b">
        <f t="shared" si="356"/>
        <v>0</v>
      </c>
      <c r="AP293" s="78"/>
    </row>
    <row r="294" spans="4:42" x14ac:dyDescent="0.35">
      <c r="D294" s="96"/>
      <c r="E294" s="96"/>
      <c r="G294" s="77">
        <f t="shared" si="315"/>
        <v>0</v>
      </c>
      <c r="H294" s="78">
        <f t="shared" si="316"/>
        <v>0</v>
      </c>
      <c r="I294" s="77">
        <f t="shared" si="317"/>
        <v>0</v>
      </c>
      <c r="J294" s="78">
        <f t="shared" si="318"/>
        <v>0</v>
      </c>
      <c r="K294" s="78" t="str">
        <f t="shared" si="319"/>
        <v>1900-01-00 00:0:00</v>
      </c>
      <c r="L294" s="78" t="str">
        <f t="shared" si="320"/>
        <v>1900-01-00 00:0:00</v>
      </c>
      <c r="M294" s="79">
        <f t="shared" si="321"/>
        <v>0</v>
      </c>
      <c r="N294">
        <f t="shared" si="322"/>
        <v>1</v>
      </c>
      <c r="O294" t="str">
        <f>IFERROR(_xlfn.XLOOKUP(A294,HC!A:A,HC!C:C),"")</f>
        <v>Workforce</v>
      </c>
      <c r="R294" s="78" t="b">
        <f t="shared" ref="R294:AO294" si="357">IFERROR(IF($B294=$D$1,IF(AND($K294&lt;R$1,$L294&lt;R$1),"",IF(AND($K294&gt;S$1,$L294&gt;S$1),"",IF(AND($K294&lt;R$1,$L294&lt;=S$1),$L294-R$1,IF(AND($K294&gt;=R$1,$L294&gt;S$1),S$1-$K294,IF(AND($K294&gt;=R$1,$L294&lt;=S$1),$L294-$K294,IF(AND($K294&lt;R$1,$L294&gt;S$1),S$1-R$1,""))))))),"")</f>
        <v>0</v>
      </c>
      <c r="S294" s="78" t="b">
        <f t="shared" si="357"/>
        <v>0</v>
      </c>
      <c r="T294" s="78" t="b">
        <f t="shared" si="357"/>
        <v>0</v>
      </c>
      <c r="U294" s="78" t="b">
        <f t="shared" si="357"/>
        <v>0</v>
      </c>
      <c r="V294" s="78" t="b">
        <f t="shared" si="357"/>
        <v>0</v>
      </c>
      <c r="W294" s="78" t="b">
        <f t="shared" si="357"/>
        <v>0</v>
      </c>
      <c r="X294" s="78" t="b">
        <f t="shared" si="357"/>
        <v>0</v>
      </c>
      <c r="Y294" s="78" t="b">
        <f t="shared" si="357"/>
        <v>0</v>
      </c>
      <c r="Z294" s="78" t="b">
        <f t="shared" si="357"/>
        <v>0</v>
      </c>
      <c r="AA294" s="78" t="b">
        <f t="shared" si="357"/>
        <v>0</v>
      </c>
      <c r="AB294" s="78" t="b">
        <f t="shared" si="357"/>
        <v>0</v>
      </c>
      <c r="AC294" s="78" t="b">
        <f t="shared" si="357"/>
        <v>0</v>
      </c>
      <c r="AD294" s="78" t="b">
        <f t="shared" si="357"/>
        <v>0</v>
      </c>
      <c r="AE294" s="78" t="b">
        <f t="shared" si="357"/>
        <v>0</v>
      </c>
      <c r="AF294" s="78" t="b">
        <f t="shared" si="357"/>
        <v>0</v>
      </c>
      <c r="AG294" s="78" t="b">
        <f t="shared" si="357"/>
        <v>0</v>
      </c>
      <c r="AH294" s="78" t="b">
        <f t="shared" si="357"/>
        <v>0</v>
      </c>
      <c r="AI294" s="78" t="b">
        <f t="shared" si="357"/>
        <v>0</v>
      </c>
      <c r="AJ294" s="78" t="b">
        <f t="shared" si="357"/>
        <v>0</v>
      </c>
      <c r="AK294" s="78" t="b">
        <f t="shared" si="357"/>
        <v>0</v>
      </c>
      <c r="AL294" s="78" t="b">
        <f t="shared" si="357"/>
        <v>0</v>
      </c>
      <c r="AM294" s="78" t="b">
        <f t="shared" si="357"/>
        <v>0</v>
      </c>
      <c r="AN294" s="78" t="b">
        <f t="shared" si="357"/>
        <v>0</v>
      </c>
      <c r="AO294" s="78" t="b">
        <f t="shared" si="357"/>
        <v>0</v>
      </c>
      <c r="AP294" s="78"/>
    </row>
    <row r="295" spans="4:42" x14ac:dyDescent="0.35">
      <c r="D295" s="96"/>
      <c r="E295" s="96"/>
      <c r="G295" s="77">
        <f t="shared" si="315"/>
        <v>0</v>
      </c>
      <c r="H295" s="78">
        <f t="shared" si="316"/>
        <v>0</v>
      </c>
      <c r="I295" s="77">
        <f t="shared" si="317"/>
        <v>0</v>
      </c>
      <c r="J295" s="78">
        <f t="shared" si="318"/>
        <v>0</v>
      </c>
      <c r="K295" s="78" t="str">
        <f t="shared" si="319"/>
        <v>1900-01-00 00:0:00</v>
      </c>
      <c r="L295" s="78" t="str">
        <f t="shared" si="320"/>
        <v>1900-01-00 00:0:00</v>
      </c>
      <c r="M295" s="79">
        <f t="shared" si="321"/>
        <v>0</v>
      </c>
      <c r="N295">
        <f t="shared" si="322"/>
        <v>1</v>
      </c>
      <c r="O295" t="str">
        <f>IFERROR(_xlfn.XLOOKUP(A295,HC!A:A,HC!C:C),"")</f>
        <v>Workforce</v>
      </c>
      <c r="R295" s="78" t="b">
        <f t="shared" ref="R295:AO295" si="358">IFERROR(IF($B295=$D$1,IF(AND($K295&lt;R$1,$L295&lt;R$1),"",IF(AND($K295&gt;S$1,$L295&gt;S$1),"",IF(AND($K295&lt;R$1,$L295&lt;=S$1),$L295-R$1,IF(AND($K295&gt;=R$1,$L295&gt;S$1),S$1-$K295,IF(AND($K295&gt;=R$1,$L295&lt;=S$1),$L295-$K295,IF(AND($K295&lt;R$1,$L295&gt;S$1),S$1-R$1,""))))))),"")</f>
        <v>0</v>
      </c>
      <c r="S295" s="78" t="b">
        <f t="shared" si="358"/>
        <v>0</v>
      </c>
      <c r="T295" s="78" t="b">
        <f t="shared" si="358"/>
        <v>0</v>
      </c>
      <c r="U295" s="78" t="b">
        <f t="shared" si="358"/>
        <v>0</v>
      </c>
      <c r="V295" s="78" t="b">
        <f t="shared" si="358"/>
        <v>0</v>
      </c>
      <c r="W295" s="78" t="b">
        <f t="shared" si="358"/>
        <v>0</v>
      </c>
      <c r="X295" s="78" t="b">
        <f t="shared" si="358"/>
        <v>0</v>
      </c>
      <c r="Y295" s="78" t="b">
        <f t="shared" si="358"/>
        <v>0</v>
      </c>
      <c r="Z295" s="78" t="b">
        <f t="shared" si="358"/>
        <v>0</v>
      </c>
      <c r="AA295" s="78" t="b">
        <f t="shared" si="358"/>
        <v>0</v>
      </c>
      <c r="AB295" s="78" t="b">
        <f t="shared" si="358"/>
        <v>0</v>
      </c>
      <c r="AC295" s="78" t="b">
        <f t="shared" si="358"/>
        <v>0</v>
      </c>
      <c r="AD295" s="78" t="b">
        <f t="shared" si="358"/>
        <v>0</v>
      </c>
      <c r="AE295" s="78" t="b">
        <f t="shared" si="358"/>
        <v>0</v>
      </c>
      <c r="AF295" s="78" t="b">
        <f t="shared" si="358"/>
        <v>0</v>
      </c>
      <c r="AG295" s="78" t="b">
        <f t="shared" si="358"/>
        <v>0</v>
      </c>
      <c r="AH295" s="78" t="b">
        <f t="shared" si="358"/>
        <v>0</v>
      </c>
      <c r="AI295" s="78" t="b">
        <f t="shared" si="358"/>
        <v>0</v>
      </c>
      <c r="AJ295" s="78" t="b">
        <f t="shared" si="358"/>
        <v>0</v>
      </c>
      <c r="AK295" s="78" t="b">
        <f t="shared" si="358"/>
        <v>0</v>
      </c>
      <c r="AL295" s="78" t="b">
        <f t="shared" si="358"/>
        <v>0</v>
      </c>
      <c r="AM295" s="78" t="b">
        <f t="shared" si="358"/>
        <v>0</v>
      </c>
      <c r="AN295" s="78" t="b">
        <f t="shared" si="358"/>
        <v>0</v>
      </c>
      <c r="AO295" s="78" t="b">
        <f t="shared" si="358"/>
        <v>0</v>
      </c>
      <c r="AP295" s="78"/>
    </row>
    <row r="296" spans="4:42" x14ac:dyDescent="0.35">
      <c r="D296" s="96"/>
      <c r="E296" s="96"/>
      <c r="G296" s="77">
        <f t="shared" si="315"/>
        <v>0</v>
      </c>
      <c r="H296" s="78">
        <f t="shared" si="316"/>
        <v>0</v>
      </c>
      <c r="I296" s="77">
        <f t="shared" si="317"/>
        <v>0</v>
      </c>
      <c r="J296" s="78">
        <f t="shared" si="318"/>
        <v>0</v>
      </c>
      <c r="K296" s="78" t="str">
        <f t="shared" si="319"/>
        <v>1900-01-00 00:0:00</v>
      </c>
      <c r="L296" s="78" t="str">
        <f t="shared" si="320"/>
        <v>1900-01-00 00:0:00</v>
      </c>
      <c r="M296" s="79">
        <f t="shared" si="321"/>
        <v>0</v>
      </c>
      <c r="N296">
        <f t="shared" si="322"/>
        <v>1</v>
      </c>
      <c r="O296" t="str">
        <f>IFERROR(_xlfn.XLOOKUP(A296,HC!A:A,HC!C:C),"")</f>
        <v>Workforce</v>
      </c>
      <c r="R296" s="78" t="b">
        <f t="shared" ref="R296:AO296" si="359">IFERROR(IF($B296=$D$1,IF(AND($K296&lt;R$1,$L296&lt;R$1),"",IF(AND($K296&gt;S$1,$L296&gt;S$1),"",IF(AND($K296&lt;R$1,$L296&lt;=S$1),$L296-R$1,IF(AND($K296&gt;=R$1,$L296&gt;S$1),S$1-$K296,IF(AND($K296&gt;=R$1,$L296&lt;=S$1),$L296-$K296,IF(AND($K296&lt;R$1,$L296&gt;S$1),S$1-R$1,""))))))),"")</f>
        <v>0</v>
      </c>
      <c r="S296" s="78" t="b">
        <f t="shared" si="359"/>
        <v>0</v>
      </c>
      <c r="T296" s="78" t="b">
        <f t="shared" si="359"/>
        <v>0</v>
      </c>
      <c r="U296" s="78" t="b">
        <f t="shared" si="359"/>
        <v>0</v>
      </c>
      <c r="V296" s="78" t="b">
        <f t="shared" si="359"/>
        <v>0</v>
      </c>
      <c r="W296" s="78" t="b">
        <f t="shared" si="359"/>
        <v>0</v>
      </c>
      <c r="X296" s="78" t="b">
        <f t="shared" si="359"/>
        <v>0</v>
      </c>
      <c r="Y296" s="78" t="b">
        <f t="shared" si="359"/>
        <v>0</v>
      </c>
      <c r="Z296" s="78" t="b">
        <f t="shared" si="359"/>
        <v>0</v>
      </c>
      <c r="AA296" s="78" t="b">
        <f t="shared" si="359"/>
        <v>0</v>
      </c>
      <c r="AB296" s="78" t="b">
        <f t="shared" si="359"/>
        <v>0</v>
      </c>
      <c r="AC296" s="78" t="b">
        <f t="shared" si="359"/>
        <v>0</v>
      </c>
      <c r="AD296" s="78" t="b">
        <f t="shared" si="359"/>
        <v>0</v>
      </c>
      <c r="AE296" s="78" t="b">
        <f t="shared" si="359"/>
        <v>0</v>
      </c>
      <c r="AF296" s="78" t="b">
        <f t="shared" si="359"/>
        <v>0</v>
      </c>
      <c r="AG296" s="78" t="b">
        <f t="shared" si="359"/>
        <v>0</v>
      </c>
      <c r="AH296" s="78" t="b">
        <f t="shared" si="359"/>
        <v>0</v>
      </c>
      <c r="AI296" s="78" t="b">
        <f t="shared" si="359"/>
        <v>0</v>
      </c>
      <c r="AJ296" s="78" t="b">
        <f t="shared" si="359"/>
        <v>0</v>
      </c>
      <c r="AK296" s="78" t="b">
        <f t="shared" si="359"/>
        <v>0</v>
      </c>
      <c r="AL296" s="78" t="b">
        <f t="shared" si="359"/>
        <v>0</v>
      </c>
      <c r="AM296" s="78" t="b">
        <f t="shared" si="359"/>
        <v>0</v>
      </c>
      <c r="AN296" s="78" t="b">
        <f t="shared" si="359"/>
        <v>0</v>
      </c>
      <c r="AO296" s="78" t="b">
        <f t="shared" si="359"/>
        <v>0</v>
      </c>
      <c r="AP296" s="78"/>
    </row>
    <row r="297" spans="4:42" x14ac:dyDescent="0.35">
      <c r="D297" s="96"/>
      <c r="E297" s="96"/>
      <c r="G297" s="77">
        <f t="shared" si="315"/>
        <v>0</v>
      </c>
      <c r="H297" s="78">
        <f t="shared" si="316"/>
        <v>0</v>
      </c>
      <c r="I297" s="77">
        <f t="shared" si="317"/>
        <v>0</v>
      </c>
      <c r="J297" s="78">
        <f t="shared" si="318"/>
        <v>0</v>
      </c>
      <c r="K297" s="78" t="str">
        <f t="shared" si="319"/>
        <v>1900-01-00 00:0:00</v>
      </c>
      <c r="L297" s="78" t="str">
        <f t="shared" si="320"/>
        <v>1900-01-00 00:0:00</v>
      </c>
      <c r="M297" s="79">
        <f t="shared" si="321"/>
        <v>0</v>
      </c>
      <c r="N297">
        <f t="shared" si="322"/>
        <v>1</v>
      </c>
      <c r="O297" t="str">
        <f>IFERROR(_xlfn.XLOOKUP(A297,HC!A:A,HC!C:C),"")</f>
        <v>Workforce</v>
      </c>
      <c r="R297" s="78" t="b">
        <f t="shared" ref="R297:AO297" si="360">IFERROR(IF($B297=$D$1,IF(AND($K297&lt;R$1,$L297&lt;R$1),"",IF(AND($K297&gt;S$1,$L297&gt;S$1),"",IF(AND($K297&lt;R$1,$L297&lt;=S$1),$L297-R$1,IF(AND($K297&gt;=R$1,$L297&gt;S$1),S$1-$K297,IF(AND($K297&gt;=R$1,$L297&lt;=S$1),$L297-$K297,IF(AND($K297&lt;R$1,$L297&gt;S$1),S$1-R$1,""))))))),"")</f>
        <v>0</v>
      </c>
      <c r="S297" s="78" t="b">
        <f t="shared" si="360"/>
        <v>0</v>
      </c>
      <c r="T297" s="78" t="b">
        <f t="shared" si="360"/>
        <v>0</v>
      </c>
      <c r="U297" s="78" t="b">
        <f t="shared" si="360"/>
        <v>0</v>
      </c>
      <c r="V297" s="78" t="b">
        <f t="shared" si="360"/>
        <v>0</v>
      </c>
      <c r="W297" s="78" t="b">
        <f t="shared" si="360"/>
        <v>0</v>
      </c>
      <c r="X297" s="78" t="b">
        <f t="shared" si="360"/>
        <v>0</v>
      </c>
      <c r="Y297" s="78" t="b">
        <f t="shared" si="360"/>
        <v>0</v>
      </c>
      <c r="Z297" s="78" t="b">
        <f t="shared" si="360"/>
        <v>0</v>
      </c>
      <c r="AA297" s="78" t="b">
        <f t="shared" si="360"/>
        <v>0</v>
      </c>
      <c r="AB297" s="78" t="b">
        <f t="shared" si="360"/>
        <v>0</v>
      </c>
      <c r="AC297" s="78" t="b">
        <f t="shared" si="360"/>
        <v>0</v>
      </c>
      <c r="AD297" s="78" t="b">
        <f t="shared" si="360"/>
        <v>0</v>
      </c>
      <c r="AE297" s="78" t="b">
        <f t="shared" si="360"/>
        <v>0</v>
      </c>
      <c r="AF297" s="78" t="b">
        <f t="shared" si="360"/>
        <v>0</v>
      </c>
      <c r="AG297" s="78" t="b">
        <f t="shared" si="360"/>
        <v>0</v>
      </c>
      <c r="AH297" s="78" t="b">
        <f t="shared" si="360"/>
        <v>0</v>
      </c>
      <c r="AI297" s="78" t="b">
        <f t="shared" si="360"/>
        <v>0</v>
      </c>
      <c r="AJ297" s="78" t="b">
        <f t="shared" si="360"/>
        <v>0</v>
      </c>
      <c r="AK297" s="78" t="b">
        <f t="shared" si="360"/>
        <v>0</v>
      </c>
      <c r="AL297" s="78" t="b">
        <f t="shared" si="360"/>
        <v>0</v>
      </c>
      <c r="AM297" s="78" t="b">
        <f t="shared" si="360"/>
        <v>0</v>
      </c>
      <c r="AN297" s="78" t="b">
        <f t="shared" si="360"/>
        <v>0</v>
      </c>
      <c r="AO297" s="78" t="b">
        <f t="shared" si="360"/>
        <v>0</v>
      </c>
      <c r="AP297" s="78"/>
    </row>
    <row r="298" spans="4:42" x14ac:dyDescent="0.35">
      <c r="D298" s="96"/>
      <c r="E298" s="96"/>
      <c r="G298" s="77">
        <f t="shared" si="315"/>
        <v>0</v>
      </c>
      <c r="H298" s="78">
        <f t="shared" si="316"/>
        <v>0</v>
      </c>
      <c r="I298" s="77">
        <f t="shared" si="317"/>
        <v>0</v>
      </c>
      <c r="J298" s="78">
        <f t="shared" si="318"/>
        <v>0</v>
      </c>
      <c r="K298" s="78" t="str">
        <f t="shared" si="319"/>
        <v>1900-01-00 00:0:00</v>
      </c>
      <c r="L298" s="78" t="str">
        <f t="shared" si="320"/>
        <v>1900-01-00 00:0:00</v>
      </c>
      <c r="M298" s="79">
        <f t="shared" si="321"/>
        <v>0</v>
      </c>
      <c r="N298">
        <f t="shared" si="322"/>
        <v>1</v>
      </c>
      <c r="O298" t="str">
        <f>IFERROR(_xlfn.XLOOKUP(A298,HC!A:A,HC!C:C),"")</f>
        <v>Workforce</v>
      </c>
      <c r="R298" s="78" t="b">
        <f t="shared" ref="R298:AO298" si="361">IFERROR(IF($B298=$D$1,IF(AND($K298&lt;R$1,$L298&lt;R$1),"",IF(AND($K298&gt;S$1,$L298&gt;S$1),"",IF(AND($K298&lt;R$1,$L298&lt;=S$1),$L298-R$1,IF(AND($K298&gt;=R$1,$L298&gt;S$1),S$1-$K298,IF(AND($K298&gt;=R$1,$L298&lt;=S$1),$L298-$K298,IF(AND($K298&lt;R$1,$L298&gt;S$1),S$1-R$1,""))))))),"")</f>
        <v>0</v>
      </c>
      <c r="S298" s="78" t="b">
        <f t="shared" si="361"/>
        <v>0</v>
      </c>
      <c r="T298" s="78" t="b">
        <f t="shared" si="361"/>
        <v>0</v>
      </c>
      <c r="U298" s="78" t="b">
        <f t="shared" si="361"/>
        <v>0</v>
      </c>
      <c r="V298" s="78" t="b">
        <f t="shared" si="361"/>
        <v>0</v>
      </c>
      <c r="W298" s="78" t="b">
        <f t="shared" si="361"/>
        <v>0</v>
      </c>
      <c r="X298" s="78" t="b">
        <f t="shared" si="361"/>
        <v>0</v>
      </c>
      <c r="Y298" s="78" t="b">
        <f t="shared" si="361"/>
        <v>0</v>
      </c>
      <c r="Z298" s="78" t="b">
        <f t="shared" si="361"/>
        <v>0</v>
      </c>
      <c r="AA298" s="78" t="b">
        <f t="shared" si="361"/>
        <v>0</v>
      </c>
      <c r="AB298" s="78" t="b">
        <f t="shared" si="361"/>
        <v>0</v>
      </c>
      <c r="AC298" s="78" t="b">
        <f t="shared" si="361"/>
        <v>0</v>
      </c>
      <c r="AD298" s="78" t="b">
        <f t="shared" si="361"/>
        <v>0</v>
      </c>
      <c r="AE298" s="78" t="b">
        <f t="shared" si="361"/>
        <v>0</v>
      </c>
      <c r="AF298" s="78" t="b">
        <f t="shared" si="361"/>
        <v>0</v>
      </c>
      <c r="AG298" s="78" t="b">
        <f t="shared" si="361"/>
        <v>0</v>
      </c>
      <c r="AH298" s="78" t="b">
        <f t="shared" si="361"/>
        <v>0</v>
      </c>
      <c r="AI298" s="78" t="b">
        <f t="shared" si="361"/>
        <v>0</v>
      </c>
      <c r="AJ298" s="78" t="b">
        <f t="shared" si="361"/>
        <v>0</v>
      </c>
      <c r="AK298" s="78" t="b">
        <f t="shared" si="361"/>
        <v>0</v>
      </c>
      <c r="AL298" s="78" t="b">
        <f t="shared" si="361"/>
        <v>0</v>
      </c>
      <c r="AM298" s="78" t="b">
        <f t="shared" si="361"/>
        <v>0</v>
      </c>
      <c r="AN298" s="78" t="b">
        <f t="shared" si="361"/>
        <v>0</v>
      </c>
      <c r="AO298" s="78" t="b">
        <f t="shared" si="361"/>
        <v>0</v>
      </c>
      <c r="AP298" s="78"/>
    </row>
    <row r="299" spans="4:42" x14ac:dyDescent="0.35">
      <c r="D299" s="96"/>
      <c r="E299" s="96"/>
      <c r="G299" s="77">
        <f t="shared" si="315"/>
        <v>0</v>
      </c>
      <c r="H299" s="78">
        <f t="shared" si="316"/>
        <v>0</v>
      </c>
      <c r="I299" s="77">
        <f t="shared" si="317"/>
        <v>0</v>
      </c>
      <c r="J299" s="78">
        <f t="shared" si="318"/>
        <v>0</v>
      </c>
      <c r="K299" s="78" t="str">
        <f t="shared" si="319"/>
        <v>1900-01-00 00:0:00</v>
      </c>
      <c r="L299" s="78" t="str">
        <f t="shared" si="320"/>
        <v>1900-01-00 00:0:00</v>
      </c>
      <c r="M299" s="79">
        <f t="shared" si="321"/>
        <v>0</v>
      </c>
      <c r="N299">
        <f t="shared" si="322"/>
        <v>1</v>
      </c>
      <c r="O299" t="str">
        <f>IFERROR(_xlfn.XLOOKUP(A299,HC!A:A,HC!C:C),"")</f>
        <v>Workforce</v>
      </c>
      <c r="R299" s="78" t="b">
        <f t="shared" ref="R299:AO299" si="362">IFERROR(IF($B299=$D$1,IF(AND($K299&lt;R$1,$L299&lt;R$1),"",IF(AND($K299&gt;S$1,$L299&gt;S$1),"",IF(AND($K299&lt;R$1,$L299&lt;=S$1),$L299-R$1,IF(AND($K299&gt;=R$1,$L299&gt;S$1),S$1-$K299,IF(AND($K299&gt;=R$1,$L299&lt;=S$1),$L299-$K299,IF(AND($K299&lt;R$1,$L299&gt;S$1),S$1-R$1,""))))))),"")</f>
        <v>0</v>
      </c>
      <c r="S299" s="78" t="b">
        <f t="shared" si="362"/>
        <v>0</v>
      </c>
      <c r="T299" s="78" t="b">
        <f t="shared" si="362"/>
        <v>0</v>
      </c>
      <c r="U299" s="78" t="b">
        <f t="shared" si="362"/>
        <v>0</v>
      </c>
      <c r="V299" s="78" t="b">
        <f t="shared" si="362"/>
        <v>0</v>
      </c>
      <c r="W299" s="78" t="b">
        <f t="shared" si="362"/>
        <v>0</v>
      </c>
      <c r="X299" s="78" t="b">
        <f t="shared" si="362"/>
        <v>0</v>
      </c>
      <c r="Y299" s="78" t="b">
        <f t="shared" si="362"/>
        <v>0</v>
      </c>
      <c r="Z299" s="78" t="b">
        <f t="shared" si="362"/>
        <v>0</v>
      </c>
      <c r="AA299" s="78" t="b">
        <f t="shared" si="362"/>
        <v>0</v>
      </c>
      <c r="AB299" s="78" t="b">
        <f t="shared" si="362"/>
        <v>0</v>
      </c>
      <c r="AC299" s="78" t="b">
        <f t="shared" si="362"/>
        <v>0</v>
      </c>
      <c r="AD299" s="78" t="b">
        <f t="shared" si="362"/>
        <v>0</v>
      </c>
      <c r="AE299" s="78" t="b">
        <f t="shared" si="362"/>
        <v>0</v>
      </c>
      <c r="AF299" s="78" t="b">
        <f t="shared" si="362"/>
        <v>0</v>
      </c>
      <c r="AG299" s="78" t="b">
        <f t="shared" si="362"/>
        <v>0</v>
      </c>
      <c r="AH299" s="78" t="b">
        <f t="shared" si="362"/>
        <v>0</v>
      </c>
      <c r="AI299" s="78" t="b">
        <f t="shared" si="362"/>
        <v>0</v>
      </c>
      <c r="AJ299" s="78" t="b">
        <f t="shared" si="362"/>
        <v>0</v>
      </c>
      <c r="AK299" s="78" t="b">
        <f t="shared" si="362"/>
        <v>0</v>
      </c>
      <c r="AL299" s="78" t="b">
        <f t="shared" si="362"/>
        <v>0</v>
      </c>
      <c r="AM299" s="78" t="b">
        <f t="shared" si="362"/>
        <v>0</v>
      </c>
      <c r="AN299" s="78" t="b">
        <f t="shared" si="362"/>
        <v>0</v>
      </c>
      <c r="AO299" s="78" t="b">
        <f t="shared" si="362"/>
        <v>0</v>
      </c>
      <c r="AP299" s="78"/>
    </row>
    <row r="300" spans="4:42" x14ac:dyDescent="0.35">
      <c r="D300" s="96"/>
      <c r="E300" s="96"/>
      <c r="G300" s="77">
        <f t="shared" si="315"/>
        <v>0</v>
      </c>
      <c r="H300" s="78">
        <f t="shared" si="316"/>
        <v>0</v>
      </c>
      <c r="I300" s="77">
        <f t="shared" si="317"/>
        <v>0</v>
      </c>
      <c r="J300" s="78">
        <f t="shared" si="318"/>
        <v>0</v>
      </c>
      <c r="K300" s="78" t="str">
        <f t="shared" si="319"/>
        <v>1900-01-00 00:0:00</v>
      </c>
      <c r="L300" s="78" t="str">
        <f t="shared" si="320"/>
        <v>1900-01-00 00:0:00</v>
      </c>
      <c r="M300" s="79">
        <f t="shared" si="321"/>
        <v>0</v>
      </c>
      <c r="N300">
        <f t="shared" si="322"/>
        <v>1</v>
      </c>
      <c r="O300" t="str">
        <f>IFERROR(_xlfn.XLOOKUP(A300,HC!A:A,HC!C:C),"")</f>
        <v>Workforce</v>
      </c>
      <c r="R300" s="78" t="b">
        <f t="shared" ref="R300:AO300" si="363">IFERROR(IF($B300=$D$1,IF(AND($K300&lt;R$1,$L300&lt;R$1),"",IF(AND($K300&gt;S$1,$L300&gt;S$1),"",IF(AND($K300&lt;R$1,$L300&lt;=S$1),$L300-R$1,IF(AND($K300&gt;=R$1,$L300&gt;S$1),S$1-$K300,IF(AND($K300&gt;=R$1,$L300&lt;=S$1),$L300-$K300,IF(AND($K300&lt;R$1,$L300&gt;S$1),S$1-R$1,""))))))),"")</f>
        <v>0</v>
      </c>
      <c r="S300" s="78" t="b">
        <f t="shared" si="363"/>
        <v>0</v>
      </c>
      <c r="T300" s="78" t="b">
        <f t="shared" si="363"/>
        <v>0</v>
      </c>
      <c r="U300" s="78" t="b">
        <f t="shared" si="363"/>
        <v>0</v>
      </c>
      <c r="V300" s="78" t="b">
        <f t="shared" si="363"/>
        <v>0</v>
      </c>
      <c r="W300" s="78" t="b">
        <f t="shared" si="363"/>
        <v>0</v>
      </c>
      <c r="X300" s="78" t="b">
        <f t="shared" si="363"/>
        <v>0</v>
      </c>
      <c r="Y300" s="78" t="b">
        <f t="shared" si="363"/>
        <v>0</v>
      </c>
      <c r="Z300" s="78" t="b">
        <f t="shared" si="363"/>
        <v>0</v>
      </c>
      <c r="AA300" s="78" t="b">
        <f t="shared" si="363"/>
        <v>0</v>
      </c>
      <c r="AB300" s="78" t="b">
        <f t="shared" si="363"/>
        <v>0</v>
      </c>
      <c r="AC300" s="78" t="b">
        <f t="shared" si="363"/>
        <v>0</v>
      </c>
      <c r="AD300" s="78" t="b">
        <f t="shared" si="363"/>
        <v>0</v>
      </c>
      <c r="AE300" s="78" t="b">
        <f t="shared" si="363"/>
        <v>0</v>
      </c>
      <c r="AF300" s="78" t="b">
        <f t="shared" si="363"/>
        <v>0</v>
      </c>
      <c r="AG300" s="78" t="b">
        <f t="shared" si="363"/>
        <v>0</v>
      </c>
      <c r="AH300" s="78" t="b">
        <f t="shared" si="363"/>
        <v>0</v>
      </c>
      <c r="AI300" s="78" t="b">
        <f t="shared" si="363"/>
        <v>0</v>
      </c>
      <c r="AJ300" s="78" t="b">
        <f t="shared" si="363"/>
        <v>0</v>
      </c>
      <c r="AK300" s="78" t="b">
        <f t="shared" si="363"/>
        <v>0</v>
      </c>
      <c r="AL300" s="78" t="b">
        <f t="shared" si="363"/>
        <v>0</v>
      </c>
      <c r="AM300" s="78" t="b">
        <f t="shared" si="363"/>
        <v>0</v>
      </c>
      <c r="AN300" s="78" t="b">
        <f t="shared" si="363"/>
        <v>0</v>
      </c>
      <c r="AO300" s="78" t="b">
        <f t="shared" si="363"/>
        <v>0</v>
      </c>
      <c r="AP300" s="78"/>
    </row>
    <row r="301" spans="4:42" x14ac:dyDescent="0.35">
      <c r="D301" s="96"/>
      <c r="E301" s="96"/>
      <c r="G301" s="77">
        <f t="shared" si="315"/>
        <v>0</v>
      </c>
      <c r="H301" s="78">
        <f t="shared" si="316"/>
        <v>0</v>
      </c>
      <c r="I301" s="77">
        <f t="shared" si="317"/>
        <v>0</v>
      </c>
      <c r="J301" s="78">
        <f t="shared" si="318"/>
        <v>0</v>
      </c>
      <c r="K301" s="78" t="str">
        <f t="shared" si="319"/>
        <v>1900-01-00 00:0:00</v>
      </c>
      <c r="L301" s="78" t="str">
        <f t="shared" si="320"/>
        <v>1900-01-00 00:0:00</v>
      </c>
      <c r="M301" s="79">
        <f t="shared" si="321"/>
        <v>0</v>
      </c>
      <c r="N301">
        <f t="shared" si="322"/>
        <v>1</v>
      </c>
      <c r="O301" t="str">
        <f>IFERROR(_xlfn.XLOOKUP(A301,HC!A:A,HC!C:C),"")</f>
        <v>Workforce</v>
      </c>
      <c r="R301" s="78" t="b">
        <f t="shared" ref="R301:AO301" si="364">IFERROR(IF($B301=$D$1,IF(AND($K301&lt;R$1,$L301&lt;R$1),"",IF(AND($K301&gt;S$1,$L301&gt;S$1),"",IF(AND($K301&lt;R$1,$L301&lt;=S$1),$L301-R$1,IF(AND($K301&gt;=R$1,$L301&gt;S$1),S$1-$K301,IF(AND($K301&gt;=R$1,$L301&lt;=S$1),$L301-$K301,IF(AND($K301&lt;R$1,$L301&gt;S$1),S$1-R$1,""))))))),"")</f>
        <v>0</v>
      </c>
      <c r="S301" s="78" t="b">
        <f t="shared" si="364"/>
        <v>0</v>
      </c>
      <c r="T301" s="78" t="b">
        <f t="shared" si="364"/>
        <v>0</v>
      </c>
      <c r="U301" s="78" t="b">
        <f t="shared" si="364"/>
        <v>0</v>
      </c>
      <c r="V301" s="78" t="b">
        <f t="shared" si="364"/>
        <v>0</v>
      </c>
      <c r="W301" s="78" t="b">
        <f t="shared" si="364"/>
        <v>0</v>
      </c>
      <c r="X301" s="78" t="b">
        <f t="shared" si="364"/>
        <v>0</v>
      </c>
      <c r="Y301" s="78" t="b">
        <f t="shared" si="364"/>
        <v>0</v>
      </c>
      <c r="Z301" s="78" t="b">
        <f t="shared" si="364"/>
        <v>0</v>
      </c>
      <c r="AA301" s="78" t="b">
        <f t="shared" si="364"/>
        <v>0</v>
      </c>
      <c r="AB301" s="78" t="b">
        <f t="shared" si="364"/>
        <v>0</v>
      </c>
      <c r="AC301" s="78" t="b">
        <f t="shared" si="364"/>
        <v>0</v>
      </c>
      <c r="AD301" s="78" t="b">
        <f t="shared" si="364"/>
        <v>0</v>
      </c>
      <c r="AE301" s="78" t="b">
        <f t="shared" si="364"/>
        <v>0</v>
      </c>
      <c r="AF301" s="78" t="b">
        <f t="shared" si="364"/>
        <v>0</v>
      </c>
      <c r="AG301" s="78" t="b">
        <f t="shared" si="364"/>
        <v>0</v>
      </c>
      <c r="AH301" s="78" t="b">
        <f t="shared" si="364"/>
        <v>0</v>
      </c>
      <c r="AI301" s="78" t="b">
        <f t="shared" si="364"/>
        <v>0</v>
      </c>
      <c r="AJ301" s="78" t="b">
        <f t="shared" si="364"/>
        <v>0</v>
      </c>
      <c r="AK301" s="78" t="b">
        <f t="shared" si="364"/>
        <v>0</v>
      </c>
      <c r="AL301" s="78" t="b">
        <f t="shared" si="364"/>
        <v>0</v>
      </c>
      <c r="AM301" s="78" t="b">
        <f t="shared" si="364"/>
        <v>0</v>
      </c>
      <c r="AN301" s="78" t="b">
        <f t="shared" si="364"/>
        <v>0</v>
      </c>
      <c r="AO301" s="78" t="b">
        <f t="shared" si="364"/>
        <v>0</v>
      </c>
      <c r="AP301" s="78"/>
    </row>
    <row r="302" spans="4:42" x14ac:dyDescent="0.35">
      <c r="D302" s="96"/>
      <c r="E302" s="96"/>
      <c r="G302" s="77">
        <f t="shared" si="315"/>
        <v>0</v>
      </c>
      <c r="H302" s="78">
        <f t="shared" si="316"/>
        <v>0</v>
      </c>
      <c r="I302" s="77">
        <f t="shared" si="317"/>
        <v>0</v>
      </c>
      <c r="J302" s="78">
        <f t="shared" si="318"/>
        <v>0</v>
      </c>
      <c r="K302" s="78" t="str">
        <f t="shared" si="319"/>
        <v>1900-01-00 00:0:00</v>
      </c>
      <c r="L302" s="78" t="str">
        <f t="shared" si="320"/>
        <v>1900-01-00 00:0:00</v>
      </c>
      <c r="M302" s="79">
        <f t="shared" si="321"/>
        <v>0</v>
      </c>
      <c r="N302">
        <f t="shared" si="322"/>
        <v>1</v>
      </c>
      <c r="O302" t="str">
        <f>IFERROR(_xlfn.XLOOKUP(A302,HC!A:A,HC!C:C),"")</f>
        <v>Workforce</v>
      </c>
      <c r="R302" s="78" t="b">
        <f t="shared" ref="R302:AO302" si="365">IFERROR(IF($B302=$D$1,IF(AND($K302&lt;R$1,$L302&lt;R$1),"",IF(AND($K302&gt;S$1,$L302&gt;S$1),"",IF(AND($K302&lt;R$1,$L302&lt;=S$1),$L302-R$1,IF(AND($K302&gt;=R$1,$L302&gt;S$1),S$1-$K302,IF(AND($K302&gt;=R$1,$L302&lt;=S$1),$L302-$K302,IF(AND($K302&lt;R$1,$L302&gt;S$1),S$1-R$1,""))))))),"")</f>
        <v>0</v>
      </c>
      <c r="S302" s="78" t="b">
        <f t="shared" si="365"/>
        <v>0</v>
      </c>
      <c r="T302" s="78" t="b">
        <f t="shared" si="365"/>
        <v>0</v>
      </c>
      <c r="U302" s="78" t="b">
        <f t="shared" si="365"/>
        <v>0</v>
      </c>
      <c r="V302" s="78" t="b">
        <f t="shared" si="365"/>
        <v>0</v>
      </c>
      <c r="W302" s="78" t="b">
        <f t="shared" si="365"/>
        <v>0</v>
      </c>
      <c r="X302" s="78" t="b">
        <f t="shared" si="365"/>
        <v>0</v>
      </c>
      <c r="Y302" s="78" t="b">
        <f t="shared" si="365"/>
        <v>0</v>
      </c>
      <c r="Z302" s="78" t="b">
        <f t="shared" si="365"/>
        <v>0</v>
      </c>
      <c r="AA302" s="78" t="b">
        <f t="shared" si="365"/>
        <v>0</v>
      </c>
      <c r="AB302" s="78" t="b">
        <f t="shared" si="365"/>
        <v>0</v>
      </c>
      <c r="AC302" s="78" t="b">
        <f t="shared" si="365"/>
        <v>0</v>
      </c>
      <c r="AD302" s="78" t="b">
        <f t="shared" si="365"/>
        <v>0</v>
      </c>
      <c r="AE302" s="78" t="b">
        <f t="shared" si="365"/>
        <v>0</v>
      </c>
      <c r="AF302" s="78" t="b">
        <f t="shared" si="365"/>
        <v>0</v>
      </c>
      <c r="AG302" s="78" t="b">
        <f t="shared" si="365"/>
        <v>0</v>
      </c>
      <c r="AH302" s="78" t="b">
        <f t="shared" si="365"/>
        <v>0</v>
      </c>
      <c r="AI302" s="78" t="b">
        <f t="shared" si="365"/>
        <v>0</v>
      </c>
      <c r="AJ302" s="78" t="b">
        <f t="shared" si="365"/>
        <v>0</v>
      </c>
      <c r="AK302" s="78" t="b">
        <f t="shared" si="365"/>
        <v>0</v>
      </c>
      <c r="AL302" s="78" t="b">
        <f t="shared" si="365"/>
        <v>0</v>
      </c>
      <c r="AM302" s="78" t="b">
        <f t="shared" si="365"/>
        <v>0</v>
      </c>
      <c r="AN302" s="78" t="b">
        <f t="shared" si="365"/>
        <v>0</v>
      </c>
      <c r="AO302" s="78" t="b">
        <f t="shared" si="365"/>
        <v>0</v>
      </c>
      <c r="AP302" s="78"/>
    </row>
    <row r="303" spans="4:42" x14ac:dyDescent="0.35">
      <c r="D303" s="96"/>
      <c r="E303" s="96"/>
      <c r="G303" s="77">
        <f t="shared" si="315"/>
        <v>0</v>
      </c>
      <c r="H303" s="78">
        <f t="shared" si="316"/>
        <v>0</v>
      </c>
      <c r="I303" s="77">
        <f t="shared" si="317"/>
        <v>0</v>
      </c>
      <c r="J303" s="78">
        <f t="shared" si="318"/>
        <v>0</v>
      </c>
      <c r="K303" s="78" t="str">
        <f t="shared" si="319"/>
        <v>1900-01-00 00:0:00</v>
      </c>
      <c r="L303" s="78" t="str">
        <f t="shared" si="320"/>
        <v>1900-01-00 00:0:00</v>
      </c>
      <c r="M303" s="79">
        <f t="shared" si="321"/>
        <v>0</v>
      </c>
      <c r="N303">
        <f t="shared" si="322"/>
        <v>1</v>
      </c>
      <c r="O303" t="str">
        <f>IFERROR(_xlfn.XLOOKUP(A303,HC!A:A,HC!C:C),"")</f>
        <v>Workforce</v>
      </c>
      <c r="R303" s="78" t="b">
        <f t="shared" ref="R303:AO303" si="366">IFERROR(IF($B303=$D$1,IF(AND($K303&lt;R$1,$L303&lt;R$1),"",IF(AND($K303&gt;S$1,$L303&gt;S$1),"",IF(AND($K303&lt;R$1,$L303&lt;=S$1),$L303-R$1,IF(AND($K303&gt;=R$1,$L303&gt;S$1),S$1-$K303,IF(AND($K303&gt;=R$1,$L303&lt;=S$1),$L303-$K303,IF(AND($K303&lt;R$1,$L303&gt;S$1),S$1-R$1,""))))))),"")</f>
        <v>0</v>
      </c>
      <c r="S303" s="78" t="b">
        <f t="shared" si="366"/>
        <v>0</v>
      </c>
      <c r="T303" s="78" t="b">
        <f t="shared" si="366"/>
        <v>0</v>
      </c>
      <c r="U303" s="78" t="b">
        <f t="shared" si="366"/>
        <v>0</v>
      </c>
      <c r="V303" s="78" t="b">
        <f t="shared" si="366"/>
        <v>0</v>
      </c>
      <c r="W303" s="78" t="b">
        <f t="shared" si="366"/>
        <v>0</v>
      </c>
      <c r="X303" s="78" t="b">
        <f t="shared" si="366"/>
        <v>0</v>
      </c>
      <c r="Y303" s="78" t="b">
        <f t="shared" si="366"/>
        <v>0</v>
      </c>
      <c r="Z303" s="78" t="b">
        <f t="shared" si="366"/>
        <v>0</v>
      </c>
      <c r="AA303" s="78" t="b">
        <f t="shared" si="366"/>
        <v>0</v>
      </c>
      <c r="AB303" s="78" t="b">
        <f t="shared" si="366"/>
        <v>0</v>
      </c>
      <c r="AC303" s="78" t="b">
        <f t="shared" si="366"/>
        <v>0</v>
      </c>
      <c r="AD303" s="78" t="b">
        <f t="shared" si="366"/>
        <v>0</v>
      </c>
      <c r="AE303" s="78" t="b">
        <f t="shared" si="366"/>
        <v>0</v>
      </c>
      <c r="AF303" s="78" t="b">
        <f t="shared" si="366"/>
        <v>0</v>
      </c>
      <c r="AG303" s="78" t="b">
        <f t="shared" si="366"/>
        <v>0</v>
      </c>
      <c r="AH303" s="78" t="b">
        <f t="shared" si="366"/>
        <v>0</v>
      </c>
      <c r="AI303" s="78" t="b">
        <f t="shared" si="366"/>
        <v>0</v>
      </c>
      <c r="AJ303" s="78" t="b">
        <f t="shared" si="366"/>
        <v>0</v>
      </c>
      <c r="AK303" s="78" t="b">
        <f t="shared" si="366"/>
        <v>0</v>
      </c>
      <c r="AL303" s="78" t="b">
        <f t="shared" si="366"/>
        <v>0</v>
      </c>
      <c r="AM303" s="78" t="b">
        <f t="shared" si="366"/>
        <v>0</v>
      </c>
      <c r="AN303" s="78" t="b">
        <f t="shared" si="366"/>
        <v>0</v>
      </c>
      <c r="AO303" s="78" t="b">
        <f t="shared" si="366"/>
        <v>0</v>
      </c>
      <c r="AP303" s="78"/>
    </row>
    <row r="304" spans="4:42" x14ac:dyDescent="0.35">
      <c r="D304" s="96"/>
      <c r="E304" s="96"/>
      <c r="G304" s="77">
        <f t="shared" si="315"/>
        <v>0</v>
      </c>
      <c r="H304" s="78">
        <f t="shared" si="316"/>
        <v>0</v>
      </c>
      <c r="I304" s="77">
        <f t="shared" si="317"/>
        <v>0</v>
      </c>
      <c r="J304" s="78">
        <f t="shared" si="318"/>
        <v>0</v>
      </c>
      <c r="K304" s="78" t="str">
        <f t="shared" si="319"/>
        <v>1900-01-00 00:0:00</v>
      </c>
      <c r="L304" s="78" t="str">
        <f t="shared" si="320"/>
        <v>1900-01-00 00:0:00</v>
      </c>
      <c r="M304" s="79">
        <f t="shared" si="321"/>
        <v>0</v>
      </c>
      <c r="N304">
        <f t="shared" si="322"/>
        <v>1</v>
      </c>
      <c r="O304" t="str">
        <f>IFERROR(_xlfn.XLOOKUP(A304,HC!A:A,HC!C:C),"")</f>
        <v>Workforce</v>
      </c>
      <c r="R304" s="78" t="b">
        <f t="shared" ref="R304:AO304" si="367">IFERROR(IF($B304=$D$1,IF(AND($K304&lt;R$1,$L304&lt;R$1),"",IF(AND($K304&gt;S$1,$L304&gt;S$1),"",IF(AND($K304&lt;R$1,$L304&lt;=S$1),$L304-R$1,IF(AND($K304&gt;=R$1,$L304&gt;S$1),S$1-$K304,IF(AND($K304&gt;=R$1,$L304&lt;=S$1),$L304-$K304,IF(AND($K304&lt;R$1,$L304&gt;S$1),S$1-R$1,""))))))),"")</f>
        <v>0</v>
      </c>
      <c r="S304" s="78" t="b">
        <f t="shared" si="367"/>
        <v>0</v>
      </c>
      <c r="T304" s="78" t="b">
        <f t="shared" si="367"/>
        <v>0</v>
      </c>
      <c r="U304" s="78" t="b">
        <f t="shared" si="367"/>
        <v>0</v>
      </c>
      <c r="V304" s="78" t="b">
        <f t="shared" si="367"/>
        <v>0</v>
      </c>
      <c r="W304" s="78" t="b">
        <f t="shared" si="367"/>
        <v>0</v>
      </c>
      <c r="X304" s="78" t="b">
        <f t="shared" si="367"/>
        <v>0</v>
      </c>
      <c r="Y304" s="78" t="b">
        <f t="shared" si="367"/>
        <v>0</v>
      </c>
      <c r="Z304" s="78" t="b">
        <f t="shared" si="367"/>
        <v>0</v>
      </c>
      <c r="AA304" s="78" t="b">
        <f t="shared" si="367"/>
        <v>0</v>
      </c>
      <c r="AB304" s="78" t="b">
        <f t="shared" si="367"/>
        <v>0</v>
      </c>
      <c r="AC304" s="78" t="b">
        <f t="shared" si="367"/>
        <v>0</v>
      </c>
      <c r="AD304" s="78" t="b">
        <f t="shared" si="367"/>
        <v>0</v>
      </c>
      <c r="AE304" s="78" t="b">
        <f t="shared" si="367"/>
        <v>0</v>
      </c>
      <c r="AF304" s="78" t="b">
        <f t="shared" si="367"/>
        <v>0</v>
      </c>
      <c r="AG304" s="78" t="b">
        <f t="shared" si="367"/>
        <v>0</v>
      </c>
      <c r="AH304" s="78" t="b">
        <f t="shared" si="367"/>
        <v>0</v>
      </c>
      <c r="AI304" s="78" t="b">
        <f t="shared" si="367"/>
        <v>0</v>
      </c>
      <c r="AJ304" s="78" t="b">
        <f t="shared" si="367"/>
        <v>0</v>
      </c>
      <c r="AK304" s="78" t="b">
        <f t="shared" si="367"/>
        <v>0</v>
      </c>
      <c r="AL304" s="78" t="b">
        <f t="shared" si="367"/>
        <v>0</v>
      </c>
      <c r="AM304" s="78" t="b">
        <f t="shared" si="367"/>
        <v>0</v>
      </c>
      <c r="AN304" s="78" t="b">
        <f t="shared" si="367"/>
        <v>0</v>
      </c>
      <c r="AO304" s="78" t="b">
        <f t="shared" si="367"/>
        <v>0</v>
      </c>
      <c r="AP304" s="78"/>
    </row>
    <row r="305" spans="4:42" x14ac:dyDescent="0.35">
      <c r="D305" s="96"/>
      <c r="E305" s="96"/>
      <c r="G305" s="77">
        <f t="shared" si="315"/>
        <v>0</v>
      </c>
      <c r="H305" s="78">
        <f t="shared" si="316"/>
        <v>0</v>
      </c>
      <c r="I305" s="77">
        <f t="shared" si="317"/>
        <v>0</v>
      </c>
      <c r="J305" s="78">
        <f t="shared" si="318"/>
        <v>0</v>
      </c>
      <c r="K305" s="78" t="str">
        <f t="shared" si="319"/>
        <v>1900-01-00 00:0:00</v>
      </c>
      <c r="L305" s="78" t="str">
        <f t="shared" si="320"/>
        <v>1900-01-00 00:0:00</v>
      </c>
      <c r="M305" s="79">
        <f t="shared" si="321"/>
        <v>0</v>
      </c>
      <c r="N305">
        <f t="shared" si="322"/>
        <v>1</v>
      </c>
      <c r="O305" t="str">
        <f>IFERROR(_xlfn.XLOOKUP(A305,HC!A:A,HC!C:C),"")</f>
        <v>Workforce</v>
      </c>
      <c r="R305" s="78" t="b">
        <f t="shared" ref="R305:AO305" si="368">IFERROR(IF($B305=$D$1,IF(AND($K305&lt;R$1,$L305&lt;R$1),"",IF(AND($K305&gt;S$1,$L305&gt;S$1),"",IF(AND($K305&lt;R$1,$L305&lt;=S$1),$L305-R$1,IF(AND($K305&gt;=R$1,$L305&gt;S$1),S$1-$K305,IF(AND($K305&gt;=R$1,$L305&lt;=S$1),$L305-$K305,IF(AND($K305&lt;R$1,$L305&gt;S$1),S$1-R$1,""))))))),"")</f>
        <v>0</v>
      </c>
      <c r="S305" s="78" t="b">
        <f t="shared" si="368"/>
        <v>0</v>
      </c>
      <c r="T305" s="78" t="b">
        <f t="shared" si="368"/>
        <v>0</v>
      </c>
      <c r="U305" s="78" t="b">
        <f t="shared" si="368"/>
        <v>0</v>
      </c>
      <c r="V305" s="78" t="b">
        <f t="shared" si="368"/>
        <v>0</v>
      </c>
      <c r="W305" s="78" t="b">
        <f t="shared" si="368"/>
        <v>0</v>
      </c>
      <c r="X305" s="78" t="b">
        <f t="shared" si="368"/>
        <v>0</v>
      </c>
      <c r="Y305" s="78" t="b">
        <f t="shared" si="368"/>
        <v>0</v>
      </c>
      <c r="Z305" s="78" t="b">
        <f t="shared" si="368"/>
        <v>0</v>
      </c>
      <c r="AA305" s="78" t="b">
        <f t="shared" si="368"/>
        <v>0</v>
      </c>
      <c r="AB305" s="78" t="b">
        <f t="shared" si="368"/>
        <v>0</v>
      </c>
      <c r="AC305" s="78" t="b">
        <f t="shared" si="368"/>
        <v>0</v>
      </c>
      <c r="AD305" s="78" t="b">
        <f t="shared" si="368"/>
        <v>0</v>
      </c>
      <c r="AE305" s="78" t="b">
        <f t="shared" si="368"/>
        <v>0</v>
      </c>
      <c r="AF305" s="78" t="b">
        <f t="shared" si="368"/>
        <v>0</v>
      </c>
      <c r="AG305" s="78" t="b">
        <f t="shared" si="368"/>
        <v>0</v>
      </c>
      <c r="AH305" s="78" t="b">
        <f t="shared" si="368"/>
        <v>0</v>
      </c>
      <c r="AI305" s="78" t="b">
        <f t="shared" si="368"/>
        <v>0</v>
      </c>
      <c r="AJ305" s="78" t="b">
        <f t="shared" si="368"/>
        <v>0</v>
      </c>
      <c r="AK305" s="78" t="b">
        <f t="shared" si="368"/>
        <v>0</v>
      </c>
      <c r="AL305" s="78" t="b">
        <f t="shared" si="368"/>
        <v>0</v>
      </c>
      <c r="AM305" s="78" t="b">
        <f t="shared" si="368"/>
        <v>0</v>
      </c>
      <c r="AN305" s="78" t="b">
        <f t="shared" si="368"/>
        <v>0</v>
      </c>
      <c r="AO305" s="78" t="b">
        <f t="shared" si="368"/>
        <v>0</v>
      </c>
      <c r="AP305" s="78"/>
    </row>
    <row r="306" spans="4:42" x14ac:dyDescent="0.35">
      <c r="D306" s="96"/>
      <c r="E306" s="96"/>
      <c r="G306" s="77">
        <f t="shared" si="315"/>
        <v>0</v>
      </c>
      <c r="H306" s="78">
        <f t="shared" si="316"/>
        <v>0</v>
      </c>
      <c r="I306" s="77">
        <f t="shared" si="317"/>
        <v>0</v>
      </c>
      <c r="J306" s="78">
        <f t="shared" si="318"/>
        <v>0</v>
      </c>
      <c r="K306" s="78" t="str">
        <f t="shared" si="319"/>
        <v>1900-01-00 00:0:00</v>
      </c>
      <c r="L306" s="78" t="str">
        <f t="shared" si="320"/>
        <v>1900-01-00 00:0:00</v>
      </c>
      <c r="M306" s="79">
        <f t="shared" si="321"/>
        <v>0</v>
      </c>
      <c r="N306">
        <f t="shared" si="322"/>
        <v>1</v>
      </c>
      <c r="O306" t="str">
        <f>IFERROR(_xlfn.XLOOKUP(A306,HC!A:A,HC!C:C),"")</f>
        <v>Workforce</v>
      </c>
      <c r="R306" s="78" t="b">
        <f t="shared" ref="R306:AO306" si="369">IFERROR(IF($B306=$D$1,IF(AND($K306&lt;R$1,$L306&lt;R$1),"",IF(AND($K306&gt;S$1,$L306&gt;S$1),"",IF(AND($K306&lt;R$1,$L306&lt;=S$1),$L306-R$1,IF(AND($K306&gt;=R$1,$L306&gt;S$1),S$1-$K306,IF(AND($K306&gt;=R$1,$L306&lt;=S$1),$L306-$K306,IF(AND($K306&lt;R$1,$L306&gt;S$1),S$1-R$1,""))))))),"")</f>
        <v>0</v>
      </c>
      <c r="S306" s="78" t="b">
        <f t="shared" si="369"/>
        <v>0</v>
      </c>
      <c r="T306" s="78" t="b">
        <f t="shared" si="369"/>
        <v>0</v>
      </c>
      <c r="U306" s="78" t="b">
        <f t="shared" si="369"/>
        <v>0</v>
      </c>
      <c r="V306" s="78" t="b">
        <f t="shared" si="369"/>
        <v>0</v>
      </c>
      <c r="W306" s="78" t="b">
        <f t="shared" si="369"/>
        <v>0</v>
      </c>
      <c r="X306" s="78" t="b">
        <f t="shared" si="369"/>
        <v>0</v>
      </c>
      <c r="Y306" s="78" t="b">
        <f t="shared" si="369"/>
        <v>0</v>
      </c>
      <c r="Z306" s="78" t="b">
        <f t="shared" si="369"/>
        <v>0</v>
      </c>
      <c r="AA306" s="78" t="b">
        <f t="shared" si="369"/>
        <v>0</v>
      </c>
      <c r="AB306" s="78" t="b">
        <f t="shared" si="369"/>
        <v>0</v>
      </c>
      <c r="AC306" s="78" t="b">
        <f t="shared" si="369"/>
        <v>0</v>
      </c>
      <c r="AD306" s="78" t="b">
        <f t="shared" si="369"/>
        <v>0</v>
      </c>
      <c r="AE306" s="78" t="b">
        <f t="shared" si="369"/>
        <v>0</v>
      </c>
      <c r="AF306" s="78" t="b">
        <f t="shared" si="369"/>
        <v>0</v>
      </c>
      <c r="AG306" s="78" t="b">
        <f t="shared" si="369"/>
        <v>0</v>
      </c>
      <c r="AH306" s="78" t="b">
        <f t="shared" si="369"/>
        <v>0</v>
      </c>
      <c r="AI306" s="78" t="b">
        <f t="shared" si="369"/>
        <v>0</v>
      </c>
      <c r="AJ306" s="78" t="b">
        <f t="shared" si="369"/>
        <v>0</v>
      </c>
      <c r="AK306" s="78" t="b">
        <f t="shared" si="369"/>
        <v>0</v>
      </c>
      <c r="AL306" s="78" t="b">
        <f t="shared" si="369"/>
        <v>0</v>
      </c>
      <c r="AM306" s="78" t="b">
        <f t="shared" si="369"/>
        <v>0</v>
      </c>
      <c r="AN306" s="78" t="b">
        <f t="shared" si="369"/>
        <v>0</v>
      </c>
      <c r="AO306" s="78" t="b">
        <f t="shared" si="369"/>
        <v>0</v>
      </c>
      <c r="AP306" s="78"/>
    </row>
    <row r="307" spans="4:42" x14ac:dyDescent="0.35">
      <c r="D307" s="96"/>
      <c r="E307" s="96"/>
      <c r="G307" s="77">
        <f t="shared" si="315"/>
        <v>0</v>
      </c>
      <c r="H307" s="78">
        <f t="shared" si="316"/>
        <v>0</v>
      </c>
      <c r="I307" s="77">
        <f t="shared" si="317"/>
        <v>0</v>
      </c>
      <c r="J307" s="78">
        <f t="shared" si="318"/>
        <v>0</v>
      </c>
      <c r="K307" s="78" t="str">
        <f t="shared" si="319"/>
        <v>1900-01-00 00:0:00</v>
      </c>
      <c r="L307" s="78" t="str">
        <f t="shared" si="320"/>
        <v>1900-01-00 00:0:00</v>
      </c>
      <c r="M307" s="79">
        <f t="shared" si="321"/>
        <v>0</v>
      </c>
      <c r="N307">
        <f t="shared" si="322"/>
        <v>1</v>
      </c>
      <c r="O307" t="str">
        <f>IFERROR(_xlfn.XLOOKUP(A307,HC!A:A,HC!C:C),"")</f>
        <v>Workforce</v>
      </c>
      <c r="R307" s="78" t="b">
        <f t="shared" ref="R307:AO307" si="370">IFERROR(IF($B307=$D$1,IF(AND($K307&lt;R$1,$L307&lt;R$1),"",IF(AND($K307&gt;S$1,$L307&gt;S$1),"",IF(AND($K307&lt;R$1,$L307&lt;=S$1),$L307-R$1,IF(AND($K307&gt;=R$1,$L307&gt;S$1),S$1-$K307,IF(AND($K307&gt;=R$1,$L307&lt;=S$1),$L307-$K307,IF(AND($K307&lt;R$1,$L307&gt;S$1),S$1-R$1,""))))))),"")</f>
        <v>0</v>
      </c>
      <c r="S307" s="78" t="b">
        <f t="shared" si="370"/>
        <v>0</v>
      </c>
      <c r="T307" s="78" t="b">
        <f t="shared" si="370"/>
        <v>0</v>
      </c>
      <c r="U307" s="78" t="b">
        <f t="shared" si="370"/>
        <v>0</v>
      </c>
      <c r="V307" s="78" t="b">
        <f t="shared" si="370"/>
        <v>0</v>
      </c>
      <c r="W307" s="78" t="b">
        <f t="shared" si="370"/>
        <v>0</v>
      </c>
      <c r="X307" s="78" t="b">
        <f t="shared" si="370"/>
        <v>0</v>
      </c>
      <c r="Y307" s="78" t="b">
        <f t="shared" si="370"/>
        <v>0</v>
      </c>
      <c r="Z307" s="78" t="b">
        <f t="shared" si="370"/>
        <v>0</v>
      </c>
      <c r="AA307" s="78" t="b">
        <f t="shared" si="370"/>
        <v>0</v>
      </c>
      <c r="AB307" s="78" t="b">
        <f t="shared" si="370"/>
        <v>0</v>
      </c>
      <c r="AC307" s="78" t="b">
        <f t="shared" si="370"/>
        <v>0</v>
      </c>
      <c r="AD307" s="78" t="b">
        <f t="shared" si="370"/>
        <v>0</v>
      </c>
      <c r="AE307" s="78" t="b">
        <f t="shared" si="370"/>
        <v>0</v>
      </c>
      <c r="AF307" s="78" t="b">
        <f t="shared" si="370"/>
        <v>0</v>
      </c>
      <c r="AG307" s="78" t="b">
        <f t="shared" si="370"/>
        <v>0</v>
      </c>
      <c r="AH307" s="78" t="b">
        <f t="shared" si="370"/>
        <v>0</v>
      </c>
      <c r="AI307" s="78" t="b">
        <f t="shared" si="370"/>
        <v>0</v>
      </c>
      <c r="AJ307" s="78" t="b">
        <f t="shared" si="370"/>
        <v>0</v>
      </c>
      <c r="AK307" s="78" t="b">
        <f t="shared" si="370"/>
        <v>0</v>
      </c>
      <c r="AL307" s="78" t="b">
        <f t="shared" si="370"/>
        <v>0</v>
      </c>
      <c r="AM307" s="78" t="b">
        <f t="shared" si="370"/>
        <v>0</v>
      </c>
      <c r="AN307" s="78" t="b">
        <f t="shared" si="370"/>
        <v>0</v>
      </c>
      <c r="AO307" s="78" t="b">
        <f t="shared" si="370"/>
        <v>0</v>
      </c>
      <c r="AP307" s="78"/>
    </row>
    <row r="308" spans="4:42" x14ac:dyDescent="0.35">
      <c r="D308" s="96"/>
      <c r="E308" s="96"/>
      <c r="G308" s="77">
        <f t="shared" si="315"/>
        <v>0</v>
      </c>
      <c r="H308" s="78">
        <f t="shared" si="316"/>
        <v>0</v>
      </c>
      <c r="I308" s="77">
        <f t="shared" si="317"/>
        <v>0</v>
      </c>
      <c r="J308" s="78">
        <f t="shared" si="318"/>
        <v>0</v>
      </c>
      <c r="K308" s="78" t="str">
        <f t="shared" si="319"/>
        <v>1900-01-00 00:0:00</v>
      </c>
      <c r="L308" s="78" t="str">
        <f t="shared" si="320"/>
        <v>1900-01-00 00:0:00</v>
      </c>
      <c r="M308" s="79">
        <f t="shared" si="321"/>
        <v>0</v>
      </c>
      <c r="N308">
        <f t="shared" si="322"/>
        <v>1</v>
      </c>
      <c r="O308" t="str">
        <f>IFERROR(_xlfn.XLOOKUP(A308,HC!A:A,HC!C:C),"")</f>
        <v>Workforce</v>
      </c>
      <c r="R308" s="78" t="b">
        <f t="shared" ref="R308:AO308" si="371">IFERROR(IF($B308=$D$1,IF(AND($K308&lt;R$1,$L308&lt;R$1),"",IF(AND($K308&gt;S$1,$L308&gt;S$1),"",IF(AND($K308&lt;R$1,$L308&lt;=S$1),$L308-R$1,IF(AND($K308&gt;=R$1,$L308&gt;S$1),S$1-$K308,IF(AND($K308&gt;=R$1,$L308&lt;=S$1),$L308-$K308,IF(AND($K308&lt;R$1,$L308&gt;S$1),S$1-R$1,""))))))),"")</f>
        <v>0</v>
      </c>
      <c r="S308" s="78" t="b">
        <f t="shared" si="371"/>
        <v>0</v>
      </c>
      <c r="T308" s="78" t="b">
        <f t="shared" si="371"/>
        <v>0</v>
      </c>
      <c r="U308" s="78" t="b">
        <f t="shared" si="371"/>
        <v>0</v>
      </c>
      <c r="V308" s="78" t="b">
        <f t="shared" si="371"/>
        <v>0</v>
      </c>
      <c r="W308" s="78" t="b">
        <f t="shared" si="371"/>
        <v>0</v>
      </c>
      <c r="X308" s="78" t="b">
        <f t="shared" si="371"/>
        <v>0</v>
      </c>
      <c r="Y308" s="78" t="b">
        <f t="shared" si="371"/>
        <v>0</v>
      </c>
      <c r="Z308" s="78" t="b">
        <f t="shared" si="371"/>
        <v>0</v>
      </c>
      <c r="AA308" s="78" t="b">
        <f t="shared" si="371"/>
        <v>0</v>
      </c>
      <c r="AB308" s="78" t="b">
        <f t="shared" si="371"/>
        <v>0</v>
      </c>
      <c r="AC308" s="78" t="b">
        <f t="shared" si="371"/>
        <v>0</v>
      </c>
      <c r="AD308" s="78" t="b">
        <f t="shared" si="371"/>
        <v>0</v>
      </c>
      <c r="AE308" s="78" t="b">
        <f t="shared" si="371"/>
        <v>0</v>
      </c>
      <c r="AF308" s="78" t="b">
        <f t="shared" si="371"/>
        <v>0</v>
      </c>
      <c r="AG308" s="78" t="b">
        <f t="shared" si="371"/>
        <v>0</v>
      </c>
      <c r="AH308" s="78" t="b">
        <f t="shared" si="371"/>
        <v>0</v>
      </c>
      <c r="AI308" s="78" t="b">
        <f t="shared" si="371"/>
        <v>0</v>
      </c>
      <c r="AJ308" s="78" t="b">
        <f t="shared" si="371"/>
        <v>0</v>
      </c>
      <c r="AK308" s="78" t="b">
        <f t="shared" si="371"/>
        <v>0</v>
      </c>
      <c r="AL308" s="78" t="b">
        <f t="shared" si="371"/>
        <v>0</v>
      </c>
      <c r="AM308" s="78" t="b">
        <f t="shared" si="371"/>
        <v>0</v>
      </c>
      <c r="AN308" s="78" t="b">
        <f t="shared" si="371"/>
        <v>0</v>
      </c>
      <c r="AO308" s="78" t="b">
        <f t="shared" si="371"/>
        <v>0</v>
      </c>
      <c r="AP308" s="78"/>
    </row>
    <row r="309" spans="4:42" x14ac:dyDescent="0.35">
      <c r="D309" s="96"/>
      <c r="E309" s="96"/>
      <c r="G309" s="77">
        <f t="shared" si="315"/>
        <v>0</v>
      </c>
      <c r="H309" s="78">
        <f t="shared" si="316"/>
        <v>0</v>
      </c>
      <c r="I309" s="77">
        <f t="shared" si="317"/>
        <v>0</v>
      </c>
      <c r="J309" s="78">
        <f t="shared" si="318"/>
        <v>0</v>
      </c>
      <c r="K309" s="78" t="str">
        <f t="shared" si="319"/>
        <v>1900-01-00 00:0:00</v>
      </c>
      <c r="L309" s="78" t="str">
        <f t="shared" si="320"/>
        <v>1900-01-00 00:0:00</v>
      </c>
      <c r="M309" s="79">
        <f t="shared" si="321"/>
        <v>0</v>
      </c>
      <c r="N309">
        <f t="shared" si="322"/>
        <v>1</v>
      </c>
      <c r="O309" t="str">
        <f>IFERROR(_xlfn.XLOOKUP(A309,HC!A:A,HC!C:C),"")</f>
        <v>Workforce</v>
      </c>
      <c r="R309" s="78" t="b">
        <f t="shared" ref="R309:AO309" si="372">IFERROR(IF($B309=$D$1,IF(AND($K309&lt;R$1,$L309&lt;R$1),"",IF(AND($K309&gt;S$1,$L309&gt;S$1),"",IF(AND($K309&lt;R$1,$L309&lt;=S$1),$L309-R$1,IF(AND($K309&gt;=R$1,$L309&gt;S$1),S$1-$K309,IF(AND($K309&gt;=R$1,$L309&lt;=S$1),$L309-$K309,IF(AND($K309&lt;R$1,$L309&gt;S$1),S$1-R$1,""))))))),"")</f>
        <v>0</v>
      </c>
      <c r="S309" s="78" t="b">
        <f t="shared" si="372"/>
        <v>0</v>
      </c>
      <c r="T309" s="78" t="b">
        <f t="shared" si="372"/>
        <v>0</v>
      </c>
      <c r="U309" s="78" t="b">
        <f t="shared" si="372"/>
        <v>0</v>
      </c>
      <c r="V309" s="78" t="b">
        <f t="shared" si="372"/>
        <v>0</v>
      </c>
      <c r="W309" s="78" t="b">
        <f t="shared" si="372"/>
        <v>0</v>
      </c>
      <c r="X309" s="78" t="b">
        <f t="shared" si="372"/>
        <v>0</v>
      </c>
      <c r="Y309" s="78" t="b">
        <f t="shared" si="372"/>
        <v>0</v>
      </c>
      <c r="Z309" s="78" t="b">
        <f t="shared" si="372"/>
        <v>0</v>
      </c>
      <c r="AA309" s="78" t="b">
        <f t="shared" si="372"/>
        <v>0</v>
      </c>
      <c r="AB309" s="78" t="b">
        <f t="shared" si="372"/>
        <v>0</v>
      </c>
      <c r="AC309" s="78" t="b">
        <f t="shared" si="372"/>
        <v>0</v>
      </c>
      <c r="AD309" s="78" t="b">
        <f t="shared" si="372"/>
        <v>0</v>
      </c>
      <c r="AE309" s="78" t="b">
        <f t="shared" si="372"/>
        <v>0</v>
      </c>
      <c r="AF309" s="78" t="b">
        <f t="shared" si="372"/>
        <v>0</v>
      </c>
      <c r="AG309" s="78" t="b">
        <f t="shared" si="372"/>
        <v>0</v>
      </c>
      <c r="AH309" s="78" t="b">
        <f t="shared" si="372"/>
        <v>0</v>
      </c>
      <c r="AI309" s="78" t="b">
        <f t="shared" si="372"/>
        <v>0</v>
      </c>
      <c r="AJ309" s="78" t="b">
        <f t="shared" si="372"/>
        <v>0</v>
      </c>
      <c r="AK309" s="78" t="b">
        <f t="shared" si="372"/>
        <v>0</v>
      </c>
      <c r="AL309" s="78" t="b">
        <f t="shared" si="372"/>
        <v>0</v>
      </c>
      <c r="AM309" s="78" t="b">
        <f t="shared" si="372"/>
        <v>0</v>
      </c>
      <c r="AN309" s="78" t="b">
        <f t="shared" si="372"/>
        <v>0</v>
      </c>
      <c r="AO309" s="78" t="b">
        <f t="shared" si="372"/>
        <v>0</v>
      </c>
      <c r="AP309" s="78"/>
    </row>
    <row r="310" spans="4:42" x14ac:dyDescent="0.35">
      <c r="D310" s="96"/>
      <c r="E310" s="96"/>
      <c r="G310" s="77">
        <f t="shared" si="315"/>
        <v>0</v>
      </c>
      <c r="H310" s="78">
        <f t="shared" si="316"/>
        <v>0</v>
      </c>
      <c r="I310" s="77">
        <f t="shared" si="317"/>
        <v>0</v>
      </c>
      <c r="J310" s="78">
        <f t="shared" si="318"/>
        <v>0</v>
      </c>
      <c r="K310" s="78" t="str">
        <f t="shared" si="319"/>
        <v>1900-01-00 00:0:00</v>
      </c>
      <c r="L310" s="78" t="str">
        <f t="shared" si="320"/>
        <v>1900-01-00 00:0:00</v>
      </c>
      <c r="M310" s="79">
        <f t="shared" si="321"/>
        <v>0</v>
      </c>
      <c r="N310">
        <f t="shared" si="322"/>
        <v>1</v>
      </c>
      <c r="O310" t="str">
        <f>IFERROR(_xlfn.XLOOKUP(A310,HC!A:A,HC!C:C),"")</f>
        <v>Workforce</v>
      </c>
      <c r="R310" s="78" t="b">
        <f t="shared" ref="R310:AO310" si="373">IFERROR(IF($B310=$D$1,IF(AND($K310&lt;R$1,$L310&lt;R$1),"",IF(AND($K310&gt;S$1,$L310&gt;S$1),"",IF(AND($K310&lt;R$1,$L310&lt;=S$1),$L310-R$1,IF(AND($K310&gt;=R$1,$L310&gt;S$1),S$1-$K310,IF(AND($K310&gt;=R$1,$L310&lt;=S$1),$L310-$K310,IF(AND($K310&lt;R$1,$L310&gt;S$1),S$1-R$1,""))))))),"")</f>
        <v>0</v>
      </c>
      <c r="S310" s="78" t="b">
        <f t="shared" si="373"/>
        <v>0</v>
      </c>
      <c r="T310" s="78" t="b">
        <f t="shared" si="373"/>
        <v>0</v>
      </c>
      <c r="U310" s="78" t="b">
        <f t="shared" si="373"/>
        <v>0</v>
      </c>
      <c r="V310" s="78" t="b">
        <f t="shared" si="373"/>
        <v>0</v>
      </c>
      <c r="W310" s="78" t="b">
        <f t="shared" si="373"/>
        <v>0</v>
      </c>
      <c r="X310" s="78" t="b">
        <f t="shared" si="373"/>
        <v>0</v>
      </c>
      <c r="Y310" s="78" t="b">
        <f t="shared" si="373"/>
        <v>0</v>
      </c>
      <c r="Z310" s="78" t="b">
        <f t="shared" si="373"/>
        <v>0</v>
      </c>
      <c r="AA310" s="78" t="b">
        <f t="shared" si="373"/>
        <v>0</v>
      </c>
      <c r="AB310" s="78" t="b">
        <f t="shared" si="373"/>
        <v>0</v>
      </c>
      <c r="AC310" s="78" t="b">
        <f t="shared" si="373"/>
        <v>0</v>
      </c>
      <c r="AD310" s="78" t="b">
        <f t="shared" si="373"/>
        <v>0</v>
      </c>
      <c r="AE310" s="78" t="b">
        <f t="shared" si="373"/>
        <v>0</v>
      </c>
      <c r="AF310" s="78" t="b">
        <f t="shared" si="373"/>
        <v>0</v>
      </c>
      <c r="AG310" s="78" t="b">
        <f t="shared" si="373"/>
        <v>0</v>
      </c>
      <c r="AH310" s="78" t="b">
        <f t="shared" si="373"/>
        <v>0</v>
      </c>
      <c r="AI310" s="78" t="b">
        <f t="shared" si="373"/>
        <v>0</v>
      </c>
      <c r="AJ310" s="78" t="b">
        <f t="shared" si="373"/>
        <v>0</v>
      </c>
      <c r="AK310" s="78" t="b">
        <f t="shared" si="373"/>
        <v>0</v>
      </c>
      <c r="AL310" s="78" t="b">
        <f t="shared" si="373"/>
        <v>0</v>
      </c>
      <c r="AM310" s="78" t="b">
        <f t="shared" si="373"/>
        <v>0</v>
      </c>
      <c r="AN310" s="78" t="b">
        <f t="shared" si="373"/>
        <v>0</v>
      </c>
      <c r="AO310" s="78" t="b">
        <f t="shared" si="373"/>
        <v>0</v>
      </c>
      <c r="AP310" s="78"/>
    </row>
    <row r="311" spans="4:42" x14ac:dyDescent="0.35">
      <c r="D311" s="96"/>
      <c r="E311" s="96"/>
      <c r="G311" s="77">
        <f t="shared" si="315"/>
        <v>0</v>
      </c>
      <c r="H311" s="78">
        <f t="shared" si="316"/>
        <v>0</v>
      </c>
      <c r="I311" s="77">
        <f t="shared" si="317"/>
        <v>0</v>
      </c>
      <c r="J311" s="78">
        <f t="shared" si="318"/>
        <v>0</v>
      </c>
      <c r="K311" s="78" t="str">
        <f t="shared" si="319"/>
        <v>1900-01-00 00:0:00</v>
      </c>
      <c r="L311" s="78" t="str">
        <f t="shared" si="320"/>
        <v>1900-01-00 00:0:00</v>
      </c>
      <c r="M311" s="79">
        <f t="shared" si="321"/>
        <v>0</v>
      </c>
      <c r="N311">
        <f t="shared" si="322"/>
        <v>1</v>
      </c>
      <c r="O311" t="str">
        <f>IFERROR(_xlfn.XLOOKUP(A311,HC!A:A,HC!C:C),"")</f>
        <v>Workforce</v>
      </c>
      <c r="R311" s="78" t="b">
        <f t="shared" ref="R311:AO311" si="374">IFERROR(IF($B311=$D$1,IF(AND($K311&lt;R$1,$L311&lt;R$1),"",IF(AND($K311&gt;S$1,$L311&gt;S$1),"",IF(AND($K311&lt;R$1,$L311&lt;=S$1),$L311-R$1,IF(AND($K311&gt;=R$1,$L311&gt;S$1),S$1-$K311,IF(AND($K311&gt;=R$1,$L311&lt;=S$1),$L311-$K311,IF(AND($K311&lt;R$1,$L311&gt;S$1),S$1-R$1,""))))))),"")</f>
        <v>0</v>
      </c>
      <c r="S311" s="78" t="b">
        <f t="shared" si="374"/>
        <v>0</v>
      </c>
      <c r="T311" s="78" t="b">
        <f t="shared" si="374"/>
        <v>0</v>
      </c>
      <c r="U311" s="78" t="b">
        <f t="shared" si="374"/>
        <v>0</v>
      </c>
      <c r="V311" s="78" t="b">
        <f t="shared" si="374"/>
        <v>0</v>
      </c>
      <c r="W311" s="78" t="b">
        <f t="shared" si="374"/>
        <v>0</v>
      </c>
      <c r="X311" s="78" t="b">
        <f t="shared" si="374"/>
        <v>0</v>
      </c>
      <c r="Y311" s="78" t="b">
        <f t="shared" si="374"/>
        <v>0</v>
      </c>
      <c r="Z311" s="78" t="b">
        <f t="shared" si="374"/>
        <v>0</v>
      </c>
      <c r="AA311" s="78" t="b">
        <f t="shared" si="374"/>
        <v>0</v>
      </c>
      <c r="AB311" s="78" t="b">
        <f t="shared" si="374"/>
        <v>0</v>
      </c>
      <c r="AC311" s="78" t="b">
        <f t="shared" si="374"/>
        <v>0</v>
      </c>
      <c r="AD311" s="78" t="b">
        <f t="shared" si="374"/>
        <v>0</v>
      </c>
      <c r="AE311" s="78" t="b">
        <f t="shared" si="374"/>
        <v>0</v>
      </c>
      <c r="AF311" s="78" t="b">
        <f t="shared" si="374"/>
        <v>0</v>
      </c>
      <c r="AG311" s="78" t="b">
        <f t="shared" si="374"/>
        <v>0</v>
      </c>
      <c r="AH311" s="78" t="b">
        <f t="shared" si="374"/>
        <v>0</v>
      </c>
      <c r="AI311" s="78" t="b">
        <f t="shared" si="374"/>
        <v>0</v>
      </c>
      <c r="AJ311" s="78" t="b">
        <f t="shared" si="374"/>
        <v>0</v>
      </c>
      <c r="AK311" s="78" t="b">
        <f t="shared" si="374"/>
        <v>0</v>
      </c>
      <c r="AL311" s="78" t="b">
        <f t="shared" si="374"/>
        <v>0</v>
      </c>
      <c r="AM311" s="78" t="b">
        <f t="shared" si="374"/>
        <v>0</v>
      </c>
      <c r="AN311" s="78" t="b">
        <f t="shared" si="374"/>
        <v>0</v>
      </c>
      <c r="AO311" s="78" t="b">
        <f t="shared" si="374"/>
        <v>0</v>
      </c>
      <c r="AP311" s="78"/>
    </row>
    <row r="312" spans="4:42" x14ac:dyDescent="0.35">
      <c r="D312" s="96"/>
      <c r="E312" s="96"/>
      <c r="G312" s="77">
        <f t="shared" si="315"/>
        <v>0</v>
      </c>
      <c r="H312" s="78">
        <f t="shared" si="316"/>
        <v>0</v>
      </c>
      <c r="I312" s="77">
        <f t="shared" si="317"/>
        <v>0</v>
      </c>
      <c r="J312" s="78">
        <f t="shared" si="318"/>
        <v>0</v>
      </c>
      <c r="K312" s="78" t="str">
        <f t="shared" si="319"/>
        <v>1900-01-00 00:0:00</v>
      </c>
      <c r="L312" s="78" t="str">
        <f t="shared" si="320"/>
        <v>1900-01-00 00:0:00</v>
      </c>
      <c r="M312" s="79">
        <f t="shared" si="321"/>
        <v>0</v>
      </c>
      <c r="N312">
        <f t="shared" si="322"/>
        <v>1</v>
      </c>
      <c r="O312" t="str">
        <f>IFERROR(_xlfn.XLOOKUP(A312,HC!A:A,HC!C:C),"")</f>
        <v>Workforce</v>
      </c>
      <c r="R312" s="78" t="b">
        <f t="shared" ref="R312:AO312" si="375">IFERROR(IF($B312=$D$1,IF(AND($K312&lt;R$1,$L312&lt;R$1),"",IF(AND($K312&gt;S$1,$L312&gt;S$1),"",IF(AND($K312&lt;R$1,$L312&lt;=S$1),$L312-R$1,IF(AND($K312&gt;=R$1,$L312&gt;S$1),S$1-$K312,IF(AND($K312&gt;=R$1,$L312&lt;=S$1),$L312-$K312,IF(AND($K312&lt;R$1,$L312&gt;S$1),S$1-R$1,""))))))),"")</f>
        <v>0</v>
      </c>
      <c r="S312" s="78" t="b">
        <f t="shared" si="375"/>
        <v>0</v>
      </c>
      <c r="T312" s="78" t="b">
        <f t="shared" si="375"/>
        <v>0</v>
      </c>
      <c r="U312" s="78" t="b">
        <f t="shared" si="375"/>
        <v>0</v>
      </c>
      <c r="V312" s="78" t="b">
        <f t="shared" si="375"/>
        <v>0</v>
      </c>
      <c r="W312" s="78" t="b">
        <f t="shared" si="375"/>
        <v>0</v>
      </c>
      <c r="X312" s="78" t="b">
        <f t="shared" si="375"/>
        <v>0</v>
      </c>
      <c r="Y312" s="78" t="b">
        <f t="shared" si="375"/>
        <v>0</v>
      </c>
      <c r="Z312" s="78" t="b">
        <f t="shared" si="375"/>
        <v>0</v>
      </c>
      <c r="AA312" s="78" t="b">
        <f t="shared" si="375"/>
        <v>0</v>
      </c>
      <c r="AB312" s="78" t="b">
        <f t="shared" si="375"/>
        <v>0</v>
      </c>
      <c r="AC312" s="78" t="b">
        <f t="shared" si="375"/>
        <v>0</v>
      </c>
      <c r="AD312" s="78" t="b">
        <f t="shared" si="375"/>
        <v>0</v>
      </c>
      <c r="AE312" s="78" t="b">
        <f t="shared" si="375"/>
        <v>0</v>
      </c>
      <c r="AF312" s="78" t="b">
        <f t="shared" si="375"/>
        <v>0</v>
      </c>
      <c r="AG312" s="78" t="b">
        <f t="shared" si="375"/>
        <v>0</v>
      </c>
      <c r="AH312" s="78" t="b">
        <f t="shared" si="375"/>
        <v>0</v>
      </c>
      <c r="AI312" s="78" t="b">
        <f t="shared" si="375"/>
        <v>0</v>
      </c>
      <c r="AJ312" s="78" t="b">
        <f t="shared" si="375"/>
        <v>0</v>
      </c>
      <c r="AK312" s="78" t="b">
        <f t="shared" si="375"/>
        <v>0</v>
      </c>
      <c r="AL312" s="78" t="b">
        <f t="shared" si="375"/>
        <v>0</v>
      </c>
      <c r="AM312" s="78" t="b">
        <f t="shared" si="375"/>
        <v>0</v>
      </c>
      <c r="AN312" s="78" t="b">
        <f t="shared" si="375"/>
        <v>0</v>
      </c>
      <c r="AO312" s="78" t="b">
        <f t="shared" si="375"/>
        <v>0</v>
      </c>
      <c r="AP312" s="78"/>
    </row>
    <row r="313" spans="4:42" x14ac:dyDescent="0.35">
      <c r="D313" s="96"/>
      <c r="E313" s="96"/>
      <c r="G313" s="77">
        <f t="shared" si="315"/>
        <v>0</v>
      </c>
      <c r="H313" s="78">
        <f t="shared" si="316"/>
        <v>0</v>
      </c>
      <c r="I313" s="77">
        <f t="shared" si="317"/>
        <v>0</v>
      </c>
      <c r="J313" s="78">
        <f t="shared" si="318"/>
        <v>0</v>
      </c>
      <c r="K313" s="78" t="str">
        <f t="shared" si="319"/>
        <v>1900-01-00 00:0:00</v>
      </c>
      <c r="L313" s="78" t="str">
        <f t="shared" si="320"/>
        <v>1900-01-00 00:0:00</v>
      </c>
      <c r="M313" s="79">
        <f t="shared" si="321"/>
        <v>0</v>
      </c>
      <c r="N313">
        <f t="shared" si="322"/>
        <v>1</v>
      </c>
      <c r="O313" t="str">
        <f>IFERROR(_xlfn.XLOOKUP(A313,HC!A:A,HC!C:C),"")</f>
        <v>Workforce</v>
      </c>
      <c r="R313" s="78" t="b">
        <f t="shared" ref="R313:AO313" si="376">IFERROR(IF($B313=$D$1,IF(AND($K313&lt;R$1,$L313&lt;R$1),"",IF(AND($K313&gt;S$1,$L313&gt;S$1),"",IF(AND($K313&lt;R$1,$L313&lt;=S$1),$L313-R$1,IF(AND($K313&gt;=R$1,$L313&gt;S$1),S$1-$K313,IF(AND($K313&gt;=R$1,$L313&lt;=S$1),$L313-$K313,IF(AND($K313&lt;R$1,$L313&gt;S$1),S$1-R$1,""))))))),"")</f>
        <v>0</v>
      </c>
      <c r="S313" s="78" t="b">
        <f t="shared" si="376"/>
        <v>0</v>
      </c>
      <c r="T313" s="78" t="b">
        <f t="shared" si="376"/>
        <v>0</v>
      </c>
      <c r="U313" s="78" t="b">
        <f t="shared" si="376"/>
        <v>0</v>
      </c>
      <c r="V313" s="78" t="b">
        <f t="shared" si="376"/>
        <v>0</v>
      </c>
      <c r="W313" s="78" t="b">
        <f t="shared" si="376"/>
        <v>0</v>
      </c>
      <c r="X313" s="78" t="b">
        <f t="shared" si="376"/>
        <v>0</v>
      </c>
      <c r="Y313" s="78" t="b">
        <f t="shared" si="376"/>
        <v>0</v>
      </c>
      <c r="Z313" s="78" t="b">
        <f t="shared" si="376"/>
        <v>0</v>
      </c>
      <c r="AA313" s="78" t="b">
        <f t="shared" si="376"/>
        <v>0</v>
      </c>
      <c r="AB313" s="78" t="b">
        <f t="shared" si="376"/>
        <v>0</v>
      </c>
      <c r="AC313" s="78" t="b">
        <f t="shared" si="376"/>
        <v>0</v>
      </c>
      <c r="AD313" s="78" t="b">
        <f t="shared" si="376"/>
        <v>0</v>
      </c>
      <c r="AE313" s="78" t="b">
        <f t="shared" si="376"/>
        <v>0</v>
      </c>
      <c r="AF313" s="78" t="b">
        <f t="shared" si="376"/>
        <v>0</v>
      </c>
      <c r="AG313" s="78" t="b">
        <f t="shared" si="376"/>
        <v>0</v>
      </c>
      <c r="AH313" s="78" t="b">
        <f t="shared" si="376"/>
        <v>0</v>
      </c>
      <c r="AI313" s="78" t="b">
        <f t="shared" si="376"/>
        <v>0</v>
      </c>
      <c r="AJ313" s="78" t="b">
        <f t="shared" si="376"/>
        <v>0</v>
      </c>
      <c r="AK313" s="78" t="b">
        <f t="shared" si="376"/>
        <v>0</v>
      </c>
      <c r="AL313" s="78" t="b">
        <f t="shared" si="376"/>
        <v>0</v>
      </c>
      <c r="AM313" s="78" t="b">
        <f t="shared" si="376"/>
        <v>0</v>
      </c>
      <c r="AN313" s="78" t="b">
        <f t="shared" si="376"/>
        <v>0</v>
      </c>
      <c r="AO313" s="78" t="b">
        <f t="shared" si="376"/>
        <v>0</v>
      </c>
      <c r="AP313" s="78"/>
    </row>
    <row r="314" spans="4:42" x14ac:dyDescent="0.35">
      <c r="D314" s="96"/>
      <c r="E314" s="96"/>
      <c r="G314" s="77">
        <f t="shared" si="315"/>
        <v>0</v>
      </c>
      <c r="H314" s="78">
        <f t="shared" si="316"/>
        <v>0</v>
      </c>
      <c r="I314" s="77">
        <f t="shared" si="317"/>
        <v>0</v>
      </c>
      <c r="J314" s="78">
        <f t="shared" si="318"/>
        <v>0</v>
      </c>
      <c r="K314" s="78" t="str">
        <f t="shared" si="319"/>
        <v>1900-01-00 00:0:00</v>
      </c>
      <c r="L314" s="78" t="str">
        <f t="shared" si="320"/>
        <v>1900-01-00 00:0:00</v>
      </c>
      <c r="M314" s="79">
        <f t="shared" si="321"/>
        <v>0</v>
      </c>
      <c r="N314">
        <f t="shared" si="322"/>
        <v>1</v>
      </c>
      <c r="O314" t="str">
        <f>IFERROR(_xlfn.XLOOKUP(A314,HC!A:A,HC!C:C),"")</f>
        <v>Workforce</v>
      </c>
      <c r="R314" s="78" t="b">
        <f t="shared" ref="R314:AO314" si="377">IFERROR(IF($B314=$D$1,IF(AND($K314&lt;R$1,$L314&lt;R$1),"",IF(AND($K314&gt;S$1,$L314&gt;S$1),"",IF(AND($K314&lt;R$1,$L314&lt;=S$1),$L314-R$1,IF(AND($K314&gt;=R$1,$L314&gt;S$1),S$1-$K314,IF(AND($K314&gt;=R$1,$L314&lt;=S$1),$L314-$K314,IF(AND($K314&lt;R$1,$L314&gt;S$1),S$1-R$1,""))))))),"")</f>
        <v>0</v>
      </c>
      <c r="S314" s="78" t="b">
        <f t="shared" si="377"/>
        <v>0</v>
      </c>
      <c r="T314" s="78" t="b">
        <f t="shared" si="377"/>
        <v>0</v>
      </c>
      <c r="U314" s="78" t="b">
        <f t="shared" si="377"/>
        <v>0</v>
      </c>
      <c r="V314" s="78" t="b">
        <f t="shared" si="377"/>
        <v>0</v>
      </c>
      <c r="W314" s="78" t="b">
        <f t="shared" si="377"/>
        <v>0</v>
      </c>
      <c r="X314" s="78" t="b">
        <f t="shared" si="377"/>
        <v>0</v>
      </c>
      <c r="Y314" s="78" t="b">
        <f t="shared" si="377"/>
        <v>0</v>
      </c>
      <c r="Z314" s="78" t="b">
        <f t="shared" si="377"/>
        <v>0</v>
      </c>
      <c r="AA314" s="78" t="b">
        <f t="shared" si="377"/>
        <v>0</v>
      </c>
      <c r="AB314" s="78" t="b">
        <f t="shared" si="377"/>
        <v>0</v>
      </c>
      <c r="AC314" s="78" t="b">
        <f t="shared" si="377"/>
        <v>0</v>
      </c>
      <c r="AD314" s="78" t="b">
        <f t="shared" si="377"/>
        <v>0</v>
      </c>
      <c r="AE314" s="78" t="b">
        <f t="shared" si="377"/>
        <v>0</v>
      </c>
      <c r="AF314" s="78" t="b">
        <f t="shared" si="377"/>
        <v>0</v>
      </c>
      <c r="AG314" s="78" t="b">
        <f t="shared" si="377"/>
        <v>0</v>
      </c>
      <c r="AH314" s="78" t="b">
        <f t="shared" si="377"/>
        <v>0</v>
      </c>
      <c r="AI314" s="78" t="b">
        <f t="shared" si="377"/>
        <v>0</v>
      </c>
      <c r="AJ314" s="78" t="b">
        <f t="shared" si="377"/>
        <v>0</v>
      </c>
      <c r="AK314" s="78" t="b">
        <f t="shared" si="377"/>
        <v>0</v>
      </c>
      <c r="AL314" s="78" t="b">
        <f t="shared" si="377"/>
        <v>0</v>
      </c>
      <c r="AM314" s="78" t="b">
        <f t="shared" si="377"/>
        <v>0</v>
      </c>
      <c r="AN314" s="78" t="b">
        <f t="shared" si="377"/>
        <v>0</v>
      </c>
      <c r="AO314" s="78" t="b">
        <f t="shared" si="377"/>
        <v>0</v>
      </c>
      <c r="AP314" s="78"/>
    </row>
    <row r="315" spans="4:42" x14ac:dyDescent="0.35">
      <c r="D315" s="96"/>
      <c r="E315" s="96"/>
      <c r="G315" s="77">
        <f t="shared" si="315"/>
        <v>0</v>
      </c>
      <c r="H315" s="78">
        <f t="shared" si="316"/>
        <v>0</v>
      </c>
      <c r="I315" s="77">
        <f t="shared" si="317"/>
        <v>0</v>
      </c>
      <c r="J315" s="78">
        <f t="shared" si="318"/>
        <v>0</v>
      </c>
      <c r="K315" s="78" t="str">
        <f t="shared" si="319"/>
        <v>1900-01-00 00:0:00</v>
      </c>
      <c r="L315" s="78" t="str">
        <f t="shared" si="320"/>
        <v>1900-01-00 00:0:00</v>
      </c>
      <c r="M315" s="79">
        <f t="shared" si="321"/>
        <v>0</v>
      </c>
      <c r="N315">
        <f t="shared" si="322"/>
        <v>1</v>
      </c>
      <c r="O315" t="str">
        <f>IFERROR(_xlfn.XLOOKUP(A315,HC!A:A,HC!C:C),"")</f>
        <v>Workforce</v>
      </c>
      <c r="R315" s="78" t="b">
        <f t="shared" ref="R315:AO315" si="378">IFERROR(IF($B315=$D$1,IF(AND($K315&lt;R$1,$L315&lt;R$1),"",IF(AND($K315&gt;S$1,$L315&gt;S$1),"",IF(AND($K315&lt;R$1,$L315&lt;=S$1),$L315-R$1,IF(AND($K315&gt;=R$1,$L315&gt;S$1),S$1-$K315,IF(AND($K315&gt;=R$1,$L315&lt;=S$1),$L315-$K315,IF(AND($K315&lt;R$1,$L315&gt;S$1),S$1-R$1,""))))))),"")</f>
        <v>0</v>
      </c>
      <c r="S315" s="78" t="b">
        <f t="shared" si="378"/>
        <v>0</v>
      </c>
      <c r="T315" s="78" t="b">
        <f t="shared" si="378"/>
        <v>0</v>
      </c>
      <c r="U315" s="78" t="b">
        <f t="shared" si="378"/>
        <v>0</v>
      </c>
      <c r="V315" s="78" t="b">
        <f t="shared" si="378"/>
        <v>0</v>
      </c>
      <c r="W315" s="78" t="b">
        <f t="shared" si="378"/>
        <v>0</v>
      </c>
      <c r="X315" s="78" t="b">
        <f t="shared" si="378"/>
        <v>0</v>
      </c>
      <c r="Y315" s="78" t="b">
        <f t="shared" si="378"/>
        <v>0</v>
      </c>
      <c r="Z315" s="78" t="b">
        <f t="shared" si="378"/>
        <v>0</v>
      </c>
      <c r="AA315" s="78" t="b">
        <f t="shared" si="378"/>
        <v>0</v>
      </c>
      <c r="AB315" s="78" t="b">
        <f t="shared" si="378"/>
        <v>0</v>
      </c>
      <c r="AC315" s="78" t="b">
        <f t="shared" si="378"/>
        <v>0</v>
      </c>
      <c r="AD315" s="78" t="b">
        <f t="shared" si="378"/>
        <v>0</v>
      </c>
      <c r="AE315" s="78" t="b">
        <f t="shared" si="378"/>
        <v>0</v>
      </c>
      <c r="AF315" s="78" t="b">
        <f t="shared" si="378"/>
        <v>0</v>
      </c>
      <c r="AG315" s="78" t="b">
        <f t="shared" si="378"/>
        <v>0</v>
      </c>
      <c r="AH315" s="78" t="b">
        <f t="shared" si="378"/>
        <v>0</v>
      </c>
      <c r="AI315" s="78" t="b">
        <f t="shared" si="378"/>
        <v>0</v>
      </c>
      <c r="AJ315" s="78" t="b">
        <f t="shared" si="378"/>
        <v>0</v>
      </c>
      <c r="AK315" s="78" t="b">
        <f t="shared" si="378"/>
        <v>0</v>
      </c>
      <c r="AL315" s="78" t="b">
        <f t="shared" si="378"/>
        <v>0</v>
      </c>
      <c r="AM315" s="78" t="b">
        <f t="shared" si="378"/>
        <v>0</v>
      </c>
      <c r="AN315" s="78" t="b">
        <f t="shared" si="378"/>
        <v>0</v>
      </c>
      <c r="AO315" s="78" t="b">
        <f t="shared" si="378"/>
        <v>0</v>
      </c>
      <c r="AP315" s="78"/>
    </row>
    <row r="316" spans="4:42" x14ac:dyDescent="0.35">
      <c r="D316" s="96"/>
      <c r="E316" s="96"/>
      <c r="G316" s="77">
        <f t="shared" si="315"/>
        <v>0</v>
      </c>
      <c r="H316" s="78">
        <f t="shared" si="316"/>
        <v>0</v>
      </c>
      <c r="I316" s="77">
        <f t="shared" si="317"/>
        <v>0</v>
      </c>
      <c r="J316" s="78">
        <f t="shared" si="318"/>
        <v>0</v>
      </c>
      <c r="K316" s="78" t="str">
        <f t="shared" si="319"/>
        <v>1900-01-00 00:0:00</v>
      </c>
      <c r="L316" s="78" t="str">
        <f t="shared" si="320"/>
        <v>1900-01-00 00:0:00</v>
      </c>
      <c r="M316" s="79">
        <f t="shared" si="321"/>
        <v>0</v>
      </c>
      <c r="N316">
        <f t="shared" si="322"/>
        <v>1</v>
      </c>
      <c r="O316" t="str">
        <f>IFERROR(_xlfn.XLOOKUP(A316,HC!A:A,HC!C:C),"")</f>
        <v>Workforce</v>
      </c>
      <c r="R316" s="78" t="b">
        <f t="shared" ref="R316:AO316" si="379">IFERROR(IF($B316=$D$1,IF(AND($K316&lt;R$1,$L316&lt;R$1),"",IF(AND($K316&gt;S$1,$L316&gt;S$1),"",IF(AND($K316&lt;R$1,$L316&lt;=S$1),$L316-R$1,IF(AND($K316&gt;=R$1,$L316&gt;S$1),S$1-$K316,IF(AND($K316&gt;=R$1,$L316&lt;=S$1),$L316-$K316,IF(AND($K316&lt;R$1,$L316&gt;S$1),S$1-R$1,""))))))),"")</f>
        <v>0</v>
      </c>
      <c r="S316" s="78" t="b">
        <f t="shared" si="379"/>
        <v>0</v>
      </c>
      <c r="T316" s="78" t="b">
        <f t="shared" si="379"/>
        <v>0</v>
      </c>
      <c r="U316" s="78" t="b">
        <f t="shared" si="379"/>
        <v>0</v>
      </c>
      <c r="V316" s="78" t="b">
        <f t="shared" si="379"/>
        <v>0</v>
      </c>
      <c r="W316" s="78" t="b">
        <f t="shared" si="379"/>
        <v>0</v>
      </c>
      <c r="X316" s="78" t="b">
        <f t="shared" si="379"/>
        <v>0</v>
      </c>
      <c r="Y316" s="78" t="b">
        <f t="shared" si="379"/>
        <v>0</v>
      </c>
      <c r="Z316" s="78" t="b">
        <f t="shared" si="379"/>
        <v>0</v>
      </c>
      <c r="AA316" s="78" t="b">
        <f t="shared" si="379"/>
        <v>0</v>
      </c>
      <c r="AB316" s="78" t="b">
        <f t="shared" si="379"/>
        <v>0</v>
      </c>
      <c r="AC316" s="78" t="b">
        <f t="shared" si="379"/>
        <v>0</v>
      </c>
      <c r="AD316" s="78" t="b">
        <f t="shared" si="379"/>
        <v>0</v>
      </c>
      <c r="AE316" s="78" t="b">
        <f t="shared" si="379"/>
        <v>0</v>
      </c>
      <c r="AF316" s="78" t="b">
        <f t="shared" si="379"/>
        <v>0</v>
      </c>
      <c r="AG316" s="78" t="b">
        <f t="shared" si="379"/>
        <v>0</v>
      </c>
      <c r="AH316" s="78" t="b">
        <f t="shared" si="379"/>
        <v>0</v>
      </c>
      <c r="AI316" s="78" t="b">
        <f t="shared" si="379"/>
        <v>0</v>
      </c>
      <c r="AJ316" s="78" t="b">
        <f t="shared" si="379"/>
        <v>0</v>
      </c>
      <c r="AK316" s="78" t="b">
        <f t="shared" si="379"/>
        <v>0</v>
      </c>
      <c r="AL316" s="78" t="b">
        <f t="shared" si="379"/>
        <v>0</v>
      </c>
      <c r="AM316" s="78" t="b">
        <f t="shared" si="379"/>
        <v>0</v>
      </c>
      <c r="AN316" s="78" t="b">
        <f t="shared" si="379"/>
        <v>0</v>
      </c>
      <c r="AO316" s="78" t="b">
        <f t="shared" si="379"/>
        <v>0</v>
      </c>
      <c r="AP316" s="78"/>
    </row>
    <row r="317" spans="4:42" x14ac:dyDescent="0.35">
      <c r="D317" s="96"/>
      <c r="E317" s="96"/>
      <c r="G317" s="77">
        <f t="shared" si="315"/>
        <v>0</v>
      </c>
      <c r="H317" s="78">
        <f t="shared" si="316"/>
        <v>0</v>
      </c>
      <c r="I317" s="77">
        <f t="shared" si="317"/>
        <v>0</v>
      </c>
      <c r="J317" s="78">
        <f t="shared" si="318"/>
        <v>0</v>
      </c>
      <c r="K317" s="78" t="str">
        <f t="shared" si="319"/>
        <v>1900-01-00 00:0:00</v>
      </c>
      <c r="L317" s="78" t="str">
        <f t="shared" si="320"/>
        <v>1900-01-00 00:0:00</v>
      </c>
      <c r="M317" s="79">
        <f t="shared" si="321"/>
        <v>0</v>
      </c>
      <c r="N317">
        <f t="shared" si="322"/>
        <v>1</v>
      </c>
      <c r="O317" t="str">
        <f>IFERROR(_xlfn.XLOOKUP(A317,HC!A:A,HC!C:C),"")</f>
        <v>Workforce</v>
      </c>
      <c r="R317" s="78" t="b">
        <f t="shared" ref="R317:AO317" si="380">IFERROR(IF($B317=$D$1,IF(AND($K317&lt;R$1,$L317&lt;R$1),"",IF(AND($K317&gt;S$1,$L317&gt;S$1),"",IF(AND($K317&lt;R$1,$L317&lt;=S$1),$L317-R$1,IF(AND($K317&gt;=R$1,$L317&gt;S$1),S$1-$K317,IF(AND($K317&gt;=R$1,$L317&lt;=S$1),$L317-$K317,IF(AND($K317&lt;R$1,$L317&gt;S$1),S$1-R$1,""))))))),"")</f>
        <v>0</v>
      </c>
      <c r="S317" s="78" t="b">
        <f t="shared" si="380"/>
        <v>0</v>
      </c>
      <c r="T317" s="78" t="b">
        <f t="shared" si="380"/>
        <v>0</v>
      </c>
      <c r="U317" s="78" t="b">
        <f t="shared" si="380"/>
        <v>0</v>
      </c>
      <c r="V317" s="78" t="b">
        <f t="shared" si="380"/>
        <v>0</v>
      </c>
      <c r="W317" s="78" t="b">
        <f t="shared" si="380"/>
        <v>0</v>
      </c>
      <c r="X317" s="78" t="b">
        <f t="shared" si="380"/>
        <v>0</v>
      </c>
      <c r="Y317" s="78" t="b">
        <f t="shared" si="380"/>
        <v>0</v>
      </c>
      <c r="Z317" s="78" t="b">
        <f t="shared" si="380"/>
        <v>0</v>
      </c>
      <c r="AA317" s="78" t="b">
        <f t="shared" si="380"/>
        <v>0</v>
      </c>
      <c r="AB317" s="78" t="b">
        <f t="shared" si="380"/>
        <v>0</v>
      </c>
      <c r="AC317" s="78" t="b">
        <f t="shared" si="380"/>
        <v>0</v>
      </c>
      <c r="AD317" s="78" t="b">
        <f t="shared" si="380"/>
        <v>0</v>
      </c>
      <c r="AE317" s="78" t="b">
        <f t="shared" si="380"/>
        <v>0</v>
      </c>
      <c r="AF317" s="78" t="b">
        <f t="shared" si="380"/>
        <v>0</v>
      </c>
      <c r="AG317" s="78" t="b">
        <f t="shared" si="380"/>
        <v>0</v>
      </c>
      <c r="AH317" s="78" t="b">
        <f t="shared" si="380"/>
        <v>0</v>
      </c>
      <c r="AI317" s="78" t="b">
        <f t="shared" si="380"/>
        <v>0</v>
      </c>
      <c r="AJ317" s="78" t="b">
        <f t="shared" si="380"/>
        <v>0</v>
      </c>
      <c r="AK317" s="78" t="b">
        <f t="shared" si="380"/>
        <v>0</v>
      </c>
      <c r="AL317" s="78" t="b">
        <f t="shared" si="380"/>
        <v>0</v>
      </c>
      <c r="AM317" s="78" t="b">
        <f t="shared" si="380"/>
        <v>0</v>
      </c>
      <c r="AN317" s="78" t="b">
        <f t="shared" si="380"/>
        <v>0</v>
      </c>
      <c r="AO317" s="78" t="b">
        <f t="shared" si="380"/>
        <v>0</v>
      </c>
      <c r="AP317" s="78"/>
    </row>
    <row r="318" spans="4:42" x14ac:dyDescent="0.35">
      <c r="D318" s="96"/>
      <c r="E318" s="96"/>
      <c r="G318" s="77">
        <f t="shared" si="315"/>
        <v>0</v>
      </c>
      <c r="H318" s="78">
        <f t="shared" si="316"/>
        <v>0</v>
      </c>
      <c r="I318" s="77">
        <f t="shared" si="317"/>
        <v>0</v>
      </c>
      <c r="J318" s="78">
        <f t="shared" si="318"/>
        <v>0</v>
      </c>
      <c r="K318" s="78" t="str">
        <f t="shared" si="319"/>
        <v>1900-01-00 00:0:00</v>
      </c>
      <c r="L318" s="78" t="str">
        <f t="shared" si="320"/>
        <v>1900-01-00 00:0:00</v>
      </c>
      <c r="M318" s="79">
        <f t="shared" si="321"/>
        <v>0</v>
      </c>
      <c r="N318">
        <f t="shared" si="322"/>
        <v>1</v>
      </c>
      <c r="O318" t="str">
        <f>IFERROR(_xlfn.XLOOKUP(A318,HC!A:A,HC!C:C),"")</f>
        <v>Workforce</v>
      </c>
      <c r="R318" s="78" t="b">
        <f t="shared" ref="R318:AO318" si="381">IFERROR(IF($B318=$D$1,IF(AND($K318&lt;R$1,$L318&lt;R$1),"",IF(AND($K318&gt;S$1,$L318&gt;S$1),"",IF(AND($K318&lt;R$1,$L318&lt;=S$1),$L318-R$1,IF(AND($K318&gt;=R$1,$L318&gt;S$1),S$1-$K318,IF(AND($K318&gt;=R$1,$L318&lt;=S$1),$L318-$K318,IF(AND($K318&lt;R$1,$L318&gt;S$1),S$1-R$1,""))))))),"")</f>
        <v>0</v>
      </c>
      <c r="S318" s="78" t="b">
        <f t="shared" si="381"/>
        <v>0</v>
      </c>
      <c r="T318" s="78" t="b">
        <f t="shared" si="381"/>
        <v>0</v>
      </c>
      <c r="U318" s="78" t="b">
        <f t="shared" si="381"/>
        <v>0</v>
      </c>
      <c r="V318" s="78" t="b">
        <f t="shared" si="381"/>
        <v>0</v>
      </c>
      <c r="W318" s="78" t="b">
        <f t="shared" si="381"/>
        <v>0</v>
      </c>
      <c r="X318" s="78" t="b">
        <f t="shared" si="381"/>
        <v>0</v>
      </c>
      <c r="Y318" s="78" t="b">
        <f t="shared" si="381"/>
        <v>0</v>
      </c>
      <c r="Z318" s="78" t="b">
        <f t="shared" si="381"/>
        <v>0</v>
      </c>
      <c r="AA318" s="78" t="b">
        <f t="shared" si="381"/>
        <v>0</v>
      </c>
      <c r="AB318" s="78" t="b">
        <f t="shared" si="381"/>
        <v>0</v>
      </c>
      <c r="AC318" s="78" t="b">
        <f t="shared" si="381"/>
        <v>0</v>
      </c>
      <c r="AD318" s="78" t="b">
        <f t="shared" si="381"/>
        <v>0</v>
      </c>
      <c r="AE318" s="78" t="b">
        <f t="shared" si="381"/>
        <v>0</v>
      </c>
      <c r="AF318" s="78" t="b">
        <f t="shared" si="381"/>
        <v>0</v>
      </c>
      <c r="AG318" s="78" t="b">
        <f t="shared" si="381"/>
        <v>0</v>
      </c>
      <c r="AH318" s="78" t="b">
        <f t="shared" si="381"/>
        <v>0</v>
      </c>
      <c r="AI318" s="78" t="b">
        <f t="shared" si="381"/>
        <v>0</v>
      </c>
      <c r="AJ318" s="78" t="b">
        <f t="shared" si="381"/>
        <v>0</v>
      </c>
      <c r="AK318" s="78" t="b">
        <f t="shared" si="381"/>
        <v>0</v>
      </c>
      <c r="AL318" s="78" t="b">
        <f t="shared" si="381"/>
        <v>0</v>
      </c>
      <c r="AM318" s="78" t="b">
        <f t="shared" si="381"/>
        <v>0</v>
      </c>
      <c r="AN318" s="78" t="b">
        <f t="shared" si="381"/>
        <v>0</v>
      </c>
      <c r="AO318" s="78" t="b">
        <f t="shared" si="381"/>
        <v>0</v>
      </c>
      <c r="AP318" s="78"/>
    </row>
    <row r="319" spans="4:42" x14ac:dyDescent="0.35">
      <c r="D319" s="96"/>
      <c r="E319" s="96"/>
      <c r="G319" s="77">
        <f t="shared" si="315"/>
        <v>0</v>
      </c>
      <c r="H319" s="78">
        <f t="shared" si="316"/>
        <v>0</v>
      </c>
      <c r="I319" s="77">
        <f t="shared" si="317"/>
        <v>0</v>
      </c>
      <c r="J319" s="78">
        <f t="shared" si="318"/>
        <v>0</v>
      </c>
      <c r="K319" s="78" t="str">
        <f t="shared" si="319"/>
        <v>1900-01-00 00:0:00</v>
      </c>
      <c r="L319" s="78" t="str">
        <f t="shared" si="320"/>
        <v>1900-01-00 00:0:00</v>
      </c>
      <c r="M319" s="79">
        <f t="shared" si="321"/>
        <v>0</v>
      </c>
      <c r="N319">
        <f t="shared" si="322"/>
        <v>1</v>
      </c>
      <c r="O319" t="str">
        <f>IFERROR(_xlfn.XLOOKUP(A319,HC!A:A,HC!C:C),"")</f>
        <v>Workforce</v>
      </c>
      <c r="R319" s="78" t="b">
        <f t="shared" ref="R319:AO319" si="382">IFERROR(IF($B319=$D$1,IF(AND($K319&lt;R$1,$L319&lt;R$1),"",IF(AND($K319&gt;S$1,$L319&gt;S$1),"",IF(AND($K319&lt;R$1,$L319&lt;=S$1),$L319-R$1,IF(AND($K319&gt;=R$1,$L319&gt;S$1),S$1-$K319,IF(AND($K319&gt;=R$1,$L319&lt;=S$1),$L319-$K319,IF(AND($K319&lt;R$1,$L319&gt;S$1),S$1-R$1,""))))))),"")</f>
        <v>0</v>
      </c>
      <c r="S319" s="78" t="b">
        <f t="shared" si="382"/>
        <v>0</v>
      </c>
      <c r="T319" s="78" t="b">
        <f t="shared" si="382"/>
        <v>0</v>
      </c>
      <c r="U319" s="78" t="b">
        <f t="shared" si="382"/>
        <v>0</v>
      </c>
      <c r="V319" s="78" t="b">
        <f t="shared" si="382"/>
        <v>0</v>
      </c>
      <c r="W319" s="78" t="b">
        <f t="shared" si="382"/>
        <v>0</v>
      </c>
      <c r="X319" s="78" t="b">
        <f t="shared" si="382"/>
        <v>0</v>
      </c>
      <c r="Y319" s="78" t="b">
        <f t="shared" si="382"/>
        <v>0</v>
      </c>
      <c r="Z319" s="78" t="b">
        <f t="shared" si="382"/>
        <v>0</v>
      </c>
      <c r="AA319" s="78" t="b">
        <f t="shared" si="382"/>
        <v>0</v>
      </c>
      <c r="AB319" s="78" t="b">
        <f t="shared" si="382"/>
        <v>0</v>
      </c>
      <c r="AC319" s="78" t="b">
        <f t="shared" si="382"/>
        <v>0</v>
      </c>
      <c r="AD319" s="78" t="b">
        <f t="shared" si="382"/>
        <v>0</v>
      </c>
      <c r="AE319" s="78" t="b">
        <f t="shared" si="382"/>
        <v>0</v>
      </c>
      <c r="AF319" s="78" t="b">
        <f t="shared" si="382"/>
        <v>0</v>
      </c>
      <c r="AG319" s="78" t="b">
        <f t="shared" si="382"/>
        <v>0</v>
      </c>
      <c r="AH319" s="78" t="b">
        <f t="shared" si="382"/>
        <v>0</v>
      </c>
      <c r="AI319" s="78" t="b">
        <f t="shared" si="382"/>
        <v>0</v>
      </c>
      <c r="AJ319" s="78" t="b">
        <f t="shared" si="382"/>
        <v>0</v>
      </c>
      <c r="AK319" s="78" t="b">
        <f t="shared" si="382"/>
        <v>0</v>
      </c>
      <c r="AL319" s="78" t="b">
        <f t="shared" si="382"/>
        <v>0</v>
      </c>
      <c r="AM319" s="78" t="b">
        <f t="shared" si="382"/>
        <v>0</v>
      </c>
      <c r="AN319" s="78" t="b">
        <f t="shared" si="382"/>
        <v>0</v>
      </c>
      <c r="AO319" s="78" t="b">
        <f t="shared" si="382"/>
        <v>0</v>
      </c>
      <c r="AP319" s="78"/>
    </row>
    <row r="320" spans="4:42" x14ac:dyDescent="0.35">
      <c r="D320" s="96"/>
      <c r="E320" s="96"/>
      <c r="G320" s="77">
        <f t="shared" si="315"/>
        <v>0</v>
      </c>
      <c r="H320" s="78">
        <f t="shared" si="316"/>
        <v>0</v>
      </c>
      <c r="I320" s="77">
        <f t="shared" si="317"/>
        <v>0</v>
      </c>
      <c r="J320" s="78">
        <f t="shared" si="318"/>
        <v>0</v>
      </c>
      <c r="K320" s="78" t="str">
        <f t="shared" si="319"/>
        <v>1900-01-00 00:0:00</v>
      </c>
      <c r="L320" s="78" t="str">
        <f t="shared" si="320"/>
        <v>1900-01-00 00:0:00</v>
      </c>
      <c r="M320" s="79">
        <f t="shared" si="321"/>
        <v>0</v>
      </c>
      <c r="N320">
        <f t="shared" si="322"/>
        <v>1</v>
      </c>
      <c r="O320" t="str">
        <f>IFERROR(_xlfn.XLOOKUP(A320,HC!A:A,HC!C:C),"")</f>
        <v>Workforce</v>
      </c>
      <c r="R320" s="78" t="b">
        <f t="shared" ref="R320:AO320" si="383">IFERROR(IF($B320=$D$1,IF(AND($K320&lt;R$1,$L320&lt;R$1),"",IF(AND($K320&gt;S$1,$L320&gt;S$1),"",IF(AND($K320&lt;R$1,$L320&lt;=S$1),$L320-R$1,IF(AND($K320&gt;=R$1,$L320&gt;S$1),S$1-$K320,IF(AND($K320&gt;=R$1,$L320&lt;=S$1),$L320-$K320,IF(AND($K320&lt;R$1,$L320&gt;S$1),S$1-R$1,""))))))),"")</f>
        <v>0</v>
      </c>
      <c r="S320" s="78" t="b">
        <f t="shared" si="383"/>
        <v>0</v>
      </c>
      <c r="T320" s="78" t="b">
        <f t="shared" si="383"/>
        <v>0</v>
      </c>
      <c r="U320" s="78" t="b">
        <f t="shared" si="383"/>
        <v>0</v>
      </c>
      <c r="V320" s="78" t="b">
        <f t="shared" si="383"/>
        <v>0</v>
      </c>
      <c r="W320" s="78" t="b">
        <f t="shared" si="383"/>
        <v>0</v>
      </c>
      <c r="X320" s="78" t="b">
        <f t="shared" si="383"/>
        <v>0</v>
      </c>
      <c r="Y320" s="78" t="b">
        <f t="shared" si="383"/>
        <v>0</v>
      </c>
      <c r="Z320" s="78" t="b">
        <f t="shared" si="383"/>
        <v>0</v>
      </c>
      <c r="AA320" s="78" t="b">
        <f t="shared" si="383"/>
        <v>0</v>
      </c>
      <c r="AB320" s="78" t="b">
        <f t="shared" si="383"/>
        <v>0</v>
      </c>
      <c r="AC320" s="78" t="b">
        <f t="shared" si="383"/>
        <v>0</v>
      </c>
      <c r="AD320" s="78" t="b">
        <f t="shared" si="383"/>
        <v>0</v>
      </c>
      <c r="AE320" s="78" t="b">
        <f t="shared" si="383"/>
        <v>0</v>
      </c>
      <c r="AF320" s="78" t="b">
        <f t="shared" si="383"/>
        <v>0</v>
      </c>
      <c r="AG320" s="78" t="b">
        <f t="shared" si="383"/>
        <v>0</v>
      </c>
      <c r="AH320" s="78" t="b">
        <f t="shared" si="383"/>
        <v>0</v>
      </c>
      <c r="AI320" s="78" t="b">
        <f t="shared" si="383"/>
        <v>0</v>
      </c>
      <c r="AJ320" s="78" t="b">
        <f t="shared" si="383"/>
        <v>0</v>
      </c>
      <c r="AK320" s="78" t="b">
        <f t="shared" si="383"/>
        <v>0</v>
      </c>
      <c r="AL320" s="78" t="b">
        <f t="shared" si="383"/>
        <v>0</v>
      </c>
      <c r="AM320" s="78" t="b">
        <f t="shared" si="383"/>
        <v>0</v>
      </c>
      <c r="AN320" s="78" t="b">
        <f t="shared" si="383"/>
        <v>0</v>
      </c>
      <c r="AO320" s="78" t="b">
        <f t="shared" si="383"/>
        <v>0</v>
      </c>
      <c r="AP320" s="78"/>
    </row>
    <row r="321" spans="4:42" x14ac:dyDescent="0.35">
      <c r="D321" s="96"/>
      <c r="E321" s="96"/>
      <c r="G321" s="77">
        <f t="shared" si="315"/>
        <v>0</v>
      </c>
      <c r="H321" s="78">
        <f t="shared" si="316"/>
        <v>0</v>
      </c>
      <c r="I321" s="77">
        <f t="shared" si="317"/>
        <v>0</v>
      </c>
      <c r="J321" s="78">
        <f t="shared" si="318"/>
        <v>0</v>
      </c>
      <c r="K321" s="78" t="str">
        <f t="shared" si="319"/>
        <v>1900-01-00 00:0:00</v>
      </c>
      <c r="L321" s="78" t="str">
        <f t="shared" si="320"/>
        <v>1900-01-00 00:0:00</v>
      </c>
      <c r="M321" s="79">
        <f t="shared" si="321"/>
        <v>0</v>
      </c>
      <c r="N321">
        <f t="shared" si="322"/>
        <v>1</v>
      </c>
      <c r="O321" t="str">
        <f>IFERROR(_xlfn.XLOOKUP(A321,HC!A:A,HC!C:C),"")</f>
        <v>Workforce</v>
      </c>
      <c r="R321" s="78" t="b">
        <f t="shared" ref="R321:AO321" si="384">IFERROR(IF($B321=$D$1,IF(AND($K321&lt;R$1,$L321&lt;R$1),"",IF(AND($K321&gt;S$1,$L321&gt;S$1),"",IF(AND($K321&lt;R$1,$L321&lt;=S$1),$L321-R$1,IF(AND($K321&gt;=R$1,$L321&gt;S$1),S$1-$K321,IF(AND($K321&gt;=R$1,$L321&lt;=S$1),$L321-$K321,IF(AND($K321&lt;R$1,$L321&gt;S$1),S$1-R$1,""))))))),"")</f>
        <v>0</v>
      </c>
      <c r="S321" s="78" t="b">
        <f t="shared" si="384"/>
        <v>0</v>
      </c>
      <c r="T321" s="78" t="b">
        <f t="shared" si="384"/>
        <v>0</v>
      </c>
      <c r="U321" s="78" t="b">
        <f t="shared" si="384"/>
        <v>0</v>
      </c>
      <c r="V321" s="78" t="b">
        <f t="shared" si="384"/>
        <v>0</v>
      </c>
      <c r="W321" s="78" t="b">
        <f t="shared" si="384"/>
        <v>0</v>
      </c>
      <c r="X321" s="78" t="b">
        <f t="shared" si="384"/>
        <v>0</v>
      </c>
      <c r="Y321" s="78" t="b">
        <f t="shared" si="384"/>
        <v>0</v>
      </c>
      <c r="Z321" s="78" t="b">
        <f t="shared" si="384"/>
        <v>0</v>
      </c>
      <c r="AA321" s="78" t="b">
        <f t="shared" si="384"/>
        <v>0</v>
      </c>
      <c r="AB321" s="78" t="b">
        <f t="shared" si="384"/>
        <v>0</v>
      </c>
      <c r="AC321" s="78" t="b">
        <f t="shared" si="384"/>
        <v>0</v>
      </c>
      <c r="AD321" s="78" t="b">
        <f t="shared" si="384"/>
        <v>0</v>
      </c>
      <c r="AE321" s="78" t="b">
        <f t="shared" si="384"/>
        <v>0</v>
      </c>
      <c r="AF321" s="78" t="b">
        <f t="shared" si="384"/>
        <v>0</v>
      </c>
      <c r="AG321" s="78" t="b">
        <f t="shared" si="384"/>
        <v>0</v>
      </c>
      <c r="AH321" s="78" t="b">
        <f t="shared" si="384"/>
        <v>0</v>
      </c>
      <c r="AI321" s="78" t="b">
        <f t="shared" si="384"/>
        <v>0</v>
      </c>
      <c r="AJ321" s="78" t="b">
        <f t="shared" si="384"/>
        <v>0</v>
      </c>
      <c r="AK321" s="78" t="b">
        <f t="shared" si="384"/>
        <v>0</v>
      </c>
      <c r="AL321" s="78" t="b">
        <f t="shared" si="384"/>
        <v>0</v>
      </c>
      <c r="AM321" s="78" t="b">
        <f t="shared" si="384"/>
        <v>0</v>
      </c>
      <c r="AN321" s="78" t="b">
        <f t="shared" si="384"/>
        <v>0</v>
      </c>
      <c r="AO321" s="78" t="b">
        <f t="shared" si="384"/>
        <v>0</v>
      </c>
      <c r="AP321" s="78"/>
    </row>
    <row r="322" spans="4:42" x14ac:dyDescent="0.35">
      <c r="D322" s="96"/>
      <c r="E322" s="96"/>
      <c r="G322" s="77">
        <f t="shared" si="315"/>
        <v>0</v>
      </c>
      <c r="H322" s="78">
        <f t="shared" si="316"/>
        <v>0</v>
      </c>
      <c r="I322" s="77">
        <f t="shared" si="317"/>
        <v>0</v>
      </c>
      <c r="J322" s="78">
        <f t="shared" si="318"/>
        <v>0</v>
      </c>
      <c r="K322" s="78" t="str">
        <f t="shared" si="319"/>
        <v>1900-01-00 00:0:00</v>
      </c>
      <c r="L322" s="78" t="str">
        <f t="shared" si="320"/>
        <v>1900-01-00 00:0:00</v>
      </c>
      <c r="M322" s="79">
        <f t="shared" si="321"/>
        <v>0</v>
      </c>
      <c r="N322">
        <f t="shared" si="322"/>
        <v>1</v>
      </c>
      <c r="O322" t="str">
        <f>IFERROR(_xlfn.XLOOKUP(A322,HC!A:A,HC!C:C),"")</f>
        <v>Workforce</v>
      </c>
      <c r="R322" s="78" t="b">
        <f t="shared" ref="R322:AO322" si="385">IFERROR(IF($B322=$D$1,IF(AND($K322&lt;R$1,$L322&lt;R$1),"",IF(AND($K322&gt;S$1,$L322&gt;S$1),"",IF(AND($K322&lt;R$1,$L322&lt;=S$1),$L322-R$1,IF(AND($K322&gt;=R$1,$L322&gt;S$1),S$1-$K322,IF(AND($K322&gt;=R$1,$L322&lt;=S$1),$L322-$K322,IF(AND($K322&lt;R$1,$L322&gt;S$1),S$1-R$1,""))))))),"")</f>
        <v>0</v>
      </c>
      <c r="S322" s="78" t="b">
        <f t="shared" si="385"/>
        <v>0</v>
      </c>
      <c r="T322" s="78" t="b">
        <f t="shared" si="385"/>
        <v>0</v>
      </c>
      <c r="U322" s="78" t="b">
        <f t="shared" si="385"/>
        <v>0</v>
      </c>
      <c r="V322" s="78" t="b">
        <f t="shared" si="385"/>
        <v>0</v>
      </c>
      <c r="W322" s="78" t="b">
        <f t="shared" si="385"/>
        <v>0</v>
      </c>
      <c r="X322" s="78" t="b">
        <f t="shared" si="385"/>
        <v>0</v>
      </c>
      <c r="Y322" s="78" t="b">
        <f t="shared" si="385"/>
        <v>0</v>
      </c>
      <c r="Z322" s="78" t="b">
        <f t="shared" si="385"/>
        <v>0</v>
      </c>
      <c r="AA322" s="78" t="b">
        <f t="shared" si="385"/>
        <v>0</v>
      </c>
      <c r="AB322" s="78" t="b">
        <f t="shared" si="385"/>
        <v>0</v>
      </c>
      <c r="AC322" s="78" t="b">
        <f t="shared" si="385"/>
        <v>0</v>
      </c>
      <c r="AD322" s="78" t="b">
        <f t="shared" si="385"/>
        <v>0</v>
      </c>
      <c r="AE322" s="78" t="b">
        <f t="shared" si="385"/>
        <v>0</v>
      </c>
      <c r="AF322" s="78" t="b">
        <f t="shared" si="385"/>
        <v>0</v>
      </c>
      <c r="AG322" s="78" t="b">
        <f t="shared" si="385"/>
        <v>0</v>
      </c>
      <c r="AH322" s="78" t="b">
        <f t="shared" si="385"/>
        <v>0</v>
      </c>
      <c r="AI322" s="78" t="b">
        <f t="shared" si="385"/>
        <v>0</v>
      </c>
      <c r="AJ322" s="78" t="b">
        <f t="shared" si="385"/>
        <v>0</v>
      </c>
      <c r="AK322" s="78" t="b">
        <f t="shared" si="385"/>
        <v>0</v>
      </c>
      <c r="AL322" s="78" t="b">
        <f t="shared" si="385"/>
        <v>0</v>
      </c>
      <c r="AM322" s="78" t="b">
        <f t="shared" si="385"/>
        <v>0</v>
      </c>
      <c r="AN322" s="78" t="b">
        <f t="shared" si="385"/>
        <v>0</v>
      </c>
      <c r="AO322" s="78" t="b">
        <f t="shared" si="385"/>
        <v>0</v>
      </c>
      <c r="AP322" s="78"/>
    </row>
    <row r="323" spans="4:42" x14ac:dyDescent="0.35">
      <c r="D323" s="96"/>
      <c r="E323" s="96"/>
      <c r="G323" s="77">
        <f t="shared" si="315"/>
        <v>0</v>
      </c>
      <c r="H323" s="78">
        <f t="shared" si="316"/>
        <v>0</v>
      </c>
      <c r="I323" s="77">
        <f t="shared" si="317"/>
        <v>0</v>
      </c>
      <c r="J323" s="78">
        <f t="shared" si="318"/>
        <v>0</v>
      </c>
      <c r="K323" s="78" t="str">
        <f t="shared" si="319"/>
        <v>1900-01-00 00:0:00</v>
      </c>
      <c r="L323" s="78" t="str">
        <f t="shared" si="320"/>
        <v>1900-01-00 00:0:00</v>
      </c>
      <c r="M323" s="79">
        <f t="shared" si="321"/>
        <v>0</v>
      </c>
      <c r="N323">
        <f t="shared" si="322"/>
        <v>1</v>
      </c>
      <c r="O323" t="str">
        <f>IFERROR(_xlfn.XLOOKUP(A323,HC!A:A,HC!C:C),"")</f>
        <v>Workforce</v>
      </c>
      <c r="R323" s="78" t="b">
        <f t="shared" ref="R323:AO323" si="386">IFERROR(IF($B323=$D$1,IF(AND($K323&lt;R$1,$L323&lt;R$1),"",IF(AND($K323&gt;S$1,$L323&gt;S$1),"",IF(AND($K323&lt;R$1,$L323&lt;=S$1),$L323-R$1,IF(AND($K323&gt;=R$1,$L323&gt;S$1),S$1-$K323,IF(AND($K323&gt;=R$1,$L323&lt;=S$1),$L323-$K323,IF(AND($K323&lt;R$1,$L323&gt;S$1),S$1-R$1,""))))))),"")</f>
        <v>0</v>
      </c>
      <c r="S323" s="78" t="b">
        <f t="shared" si="386"/>
        <v>0</v>
      </c>
      <c r="T323" s="78" t="b">
        <f t="shared" si="386"/>
        <v>0</v>
      </c>
      <c r="U323" s="78" t="b">
        <f t="shared" si="386"/>
        <v>0</v>
      </c>
      <c r="V323" s="78" t="b">
        <f t="shared" si="386"/>
        <v>0</v>
      </c>
      <c r="W323" s="78" t="b">
        <f t="shared" si="386"/>
        <v>0</v>
      </c>
      <c r="X323" s="78" t="b">
        <f t="shared" si="386"/>
        <v>0</v>
      </c>
      <c r="Y323" s="78" t="b">
        <f t="shared" si="386"/>
        <v>0</v>
      </c>
      <c r="Z323" s="78" t="b">
        <f t="shared" si="386"/>
        <v>0</v>
      </c>
      <c r="AA323" s="78" t="b">
        <f t="shared" si="386"/>
        <v>0</v>
      </c>
      <c r="AB323" s="78" t="b">
        <f t="shared" si="386"/>
        <v>0</v>
      </c>
      <c r="AC323" s="78" t="b">
        <f t="shared" si="386"/>
        <v>0</v>
      </c>
      <c r="AD323" s="78" t="b">
        <f t="shared" si="386"/>
        <v>0</v>
      </c>
      <c r="AE323" s="78" t="b">
        <f t="shared" si="386"/>
        <v>0</v>
      </c>
      <c r="AF323" s="78" t="b">
        <f t="shared" si="386"/>
        <v>0</v>
      </c>
      <c r="AG323" s="78" t="b">
        <f t="shared" si="386"/>
        <v>0</v>
      </c>
      <c r="AH323" s="78" t="b">
        <f t="shared" si="386"/>
        <v>0</v>
      </c>
      <c r="AI323" s="78" t="b">
        <f t="shared" si="386"/>
        <v>0</v>
      </c>
      <c r="AJ323" s="78" t="b">
        <f t="shared" si="386"/>
        <v>0</v>
      </c>
      <c r="AK323" s="78" t="b">
        <f t="shared" si="386"/>
        <v>0</v>
      </c>
      <c r="AL323" s="78" t="b">
        <f t="shared" si="386"/>
        <v>0</v>
      </c>
      <c r="AM323" s="78" t="b">
        <f t="shared" si="386"/>
        <v>0</v>
      </c>
      <c r="AN323" s="78" t="b">
        <f t="shared" si="386"/>
        <v>0</v>
      </c>
      <c r="AO323" s="78" t="b">
        <f t="shared" si="386"/>
        <v>0</v>
      </c>
      <c r="AP323" s="78"/>
    </row>
    <row r="324" spans="4:42" x14ac:dyDescent="0.35">
      <c r="D324" s="96"/>
      <c r="E324" s="96"/>
      <c r="G324" s="77">
        <f t="shared" ref="G324:G387" si="387">INT(D324)</f>
        <v>0</v>
      </c>
      <c r="H324" s="78">
        <f t="shared" ref="H324:H387" si="388">D324-G324</f>
        <v>0</v>
      </c>
      <c r="I324" s="77">
        <f t="shared" ref="I324:I387" si="389">INT(E324)</f>
        <v>0</v>
      </c>
      <c r="J324" s="78">
        <f t="shared" ref="J324:J387" si="390">E324-I324</f>
        <v>0</v>
      </c>
      <c r="K324" s="78" t="str">
        <f t="shared" ref="K324:K387" si="391">TEXT(G324+H324,"yyyy-mm-dd hh:m:ss")</f>
        <v>1900-01-00 00:0:00</v>
      </c>
      <c r="L324" s="78" t="str">
        <f t="shared" ref="L324:L387" si="392">TEXT(I324+J324,"yyyy-mm-dd hh:m:ss")</f>
        <v>1900-01-00 00:0:00</v>
      </c>
      <c r="M324" s="79">
        <f t="shared" ref="M324:M387" si="393">E324-D324</f>
        <v>0</v>
      </c>
      <c r="N324">
        <f t="shared" ref="N324:N387" si="394">IF(M324&lt;$BA$1,1,0)</f>
        <v>1</v>
      </c>
      <c r="O324" t="str">
        <f>IFERROR(_xlfn.XLOOKUP(A324,HC!A:A,HC!C:C),"")</f>
        <v>Workforce</v>
      </c>
      <c r="R324" s="78" t="b">
        <f t="shared" ref="R324:AO324" si="395">IFERROR(IF($B324=$D$1,IF(AND($K324&lt;R$1,$L324&lt;R$1),"",IF(AND($K324&gt;S$1,$L324&gt;S$1),"",IF(AND($K324&lt;R$1,$L324&lt;=S$1),$L324-R$1,IF(AND($K324&gt;=R$1,$L324&gt;S$1),S$1-$K324,IF(AND($K324&gt;=R$1,$L324&lt;=S$1),$L324-$K324,IF(AND($K324&lt;R$1,$L324&gt;S$1),S$1-R$1,""))))))),"")</f>
        <v>0</v>
      </c>
      <c r="S324" s="78" t="b">
        <f t="shared" si="395"/>
        <v>0</v>
      </c>
      <c r="T324" s="78" t="b">
        <f t="shared" si="395"/>
        <v>0</v>
      </c>
      <c r="U324" s="78" t="b">
        <f t="shared" si="395"/>
        <v>0</v>
      </c>
      <c r="V324" s="78" t="b">
        <f t="shared" si="395"/>
        <v>0</v>
      </c>
      <c r="W324" s="78" t="b">
        <f t="shared" si="395"/>
        <v>0</v>
      </c>
      <c r="X324" s="78" t="b">
        <f t="shared" si="395"/>
        <v>0</v>
      </c>
      <c r="Y324" s="78" t="b">
        <f t="shared" si="395"/>
        <v>0</v>
      </c>
      <c r="Z324" s="78" t="b">
        <f t="shared" si="395"/>
        <v>0</v>
      </c>
      <c r="AA324" s="78" t="b">
        <f t="shared" si="395"/>
        <v>0</v>
      </c>
      <c r="AB324" s="78" t="b">
        <f t="shared" si="395"/>
        <v>0</v>
      </c>
      <c r="AC324" s="78" t="b">
        <f t="shared" si="395"/>
        <v>0</v>
      </c>
      <c r="AD324" s="78" t="b">
        <f t="shared" si="395"/>
        <v>0</v>
      </c>
      <c r="AE324" s="78" t="b">
        <f t="shared" si="395"/>
        <v>0</v>
      </c>
      <c r="AF324" s="78" t="b">
        <f t="shared" si="395"/>
        <v>0</v>
      </c>
      <c r="AG324" s="78" t="b">
        <f t="shared" si="395"/>
        <v>0</v>
      </c>
      <c r="AH324" s="78" t="b">
        <f t="shared" si="395"/>
        <v>0</v>
      </c>
      <c r="AI324" s="78" t="b">
        <f t="shared" si="395"/>
        <v>0</v>
      </c>
      <c r="AJ324" s="78" t="b">
        <f t="shared" si="395"/>
        <v>0</v>
      </c>
      <c r="AK324" s="78" t="b">
        <f t="shared" si="395"/>
        <v>0</v>
      </c>
      <c r="AL324" s="78" t="b">
        <f t="shared" si="395"/>
        <v>0</v>
      </c>
      <c r="AM324" s="78" t="b">
        <f t="shared" si="395"/>
        <v>0</v>
      </c>
      <c r="AN324" s="78" t="b">
        <f t="shared" si="395"/>
        <v>0</v>
      </c>
      <c r="AO324" s="78" t="b">
        <f t="shared" si="395"/>
        <v>0</v>
      </c>
      <c r="AP324" s="78"/>
    </row>
    <row r="325" spans="4:42" x14ac:dyDescent="0.35">
      <c r="D325" s="96"/>
      <c r="E325" s="96"/>
      <c r="G325" s="77">
        <f t="shared" si="387"/>
        <v>0</v>
      </c>
      <c r="H325" s="78">
        <f t="shared" si="388"/>
        <v>0</v>
      </c>
      <c r="I325" s="77">
        <f t="shared" si="389"/>
        <v>0</v>
      </c>
      <c r="J325" s="78">
        <f t="shared" si="390"/>
        <v>0</v>
      </c>
      <c r="K325" s="78" t="str">
        <f t="shared" si="391"/>
        <v>1900-01-00 00:0:00</v>
      </c>
      <c r="L325" s="78" t="str">
        <f t="shared" si="392"/>
        <v>1900-01-00 00:0:00</v>
      </c>
      <c r="M325" s="79">
        <f t="shared" si="393"/>
        <v>0</v>
      </c>
      <c r="N325">
        <f t="shared" si="394"/>
        <v>1</v>
      </c>
      <c r="O325" t="str">
        <f>IFERROR(_xlfn.XLOOKUP(A325,HC!A:A,HC!C:C),"")</f>
        <v>Workforce</v>
      </c>
      <c r="R325" s="78" t="b">
        <f t="shared" ref="R325:AO325" si="396">IFERROR(IF($B325=$D$1,IF(AND($K325&lt;R$1,$L325&lt;R$1),"",IF(AND($K325&gt;S$1,$L325&gt;S$1),"",IF(AND($K325&lt;R$1,$L325&lt;=S$1),$L325-R$1,IF(AND($K325&gt;=R$1,$L325&gt;S$1),S$1-$K325,IF(AND($K325&gt;=R$1,$L325&lt;=S$1),$L325-$K325,IF(AND($K325&lt;R$1,$L325&gt;S$1),S$1-R$1,""))))))),"")</f>
        <v>0</v>
      </c>
      <c r="S325" s="78" t="b">
        <f t="shared" si="396"/>
        <v>0</v>
      </c>
      <c r="T325" s="78" t="b">
        <f t="shared" si="396"/>
        <v>0</v>
      </c>
      <c r="U325" s="78" t="b">
        <f t="shared" si="396"/>
        <v>0</v>
      </c>
      <c r="V325" s="78" t="b">
        <f t="shared" si="396"/>
        <v>0</v>
      </c>
      <c r="W325" s="78" t="b">
        <f t="shared" si="396"/>
        <v>0</v>
      </c>
      <c r="X325" s="78" t="b">
        <f t="shared" si="396"/>
        <v>0</v>
      </c>
      <c r="Y325" s="78" t="b">
        <f t="shared" si="396"/>
        <v>0</v>
      </c>
      <c r="Z325" s="78" t="b">
        <f t="shared" si="396"/>
        <v>0</v>
      </c>
      <c r="AA325" s="78" t="b">
        <f t="shared" si="396"/>
        <v>0</v>
      </c>
      <c r="AB325" s="78" t="b">
        <f t="shared" si="396"/>
        <v>0</v>
      </c>
      <c r="AC325" s="78" t="b">
        <f t="shared" si="396"/>
        <v>0</v>
      </c>
      <c r="AD325" s="78" t="b">
        <f t="shared" si="396"/>
        <v>0</v>
      </c>
      <c r="AE325" s="78" t="b">
        <f t="shared" si="396"/>
        <v>0</v>
      </c>
      <c r="AF325" s="78" t="b">
        <f t="shared" si="396"/>
        <v>0</v>
      </c>
      <c r="AG325" s="78" t="b">
        <f t="shared" si="396"/>
        <v>0</v>
      </c>
      <c r="AH325" s="78" t="b">
        <f t="shared" si="396"/>
        <v>0</v>
      </c>
      <c r="AI325" s="78" t="b">
        <f t="shared" si="396"/>
        <v>0</v>
      </c>
      <c r="AJ325" s="78" t="b">
        <f t="shared" si="396"/>
        <v>0</v>
      </c>
      <c r="AK325" s="78" t="b">
        <f t="shared" si="396"/>
        <v>0</v>
      </c>
      <c r="AL325" s="78" t="b">
        <f t="shared" si="396"/>
        <v>0</v>
      </c>
      <c r="AM325" s="78" t="b">
        <f t="shared" si="396"/>
        <v>0</v>
      </c>
      <c r="AN325" s="78" t="b">
        <f t="shared" si="396"/>
        <v>0</v>
      </c>
      <c r="AO325" s="78" t="b">
        <f t="shared" si="396"/>
        <v>0</v>
      </c>
      <c r="AP325" s="78"/>
    </row>
    <row r="326" spans="4:42" x14ac:dyDescent="0.35">
      <c r="D326" s="96"/>
      <c r="E326" s="96"/>
      <c r="G326" s="77">
        <f t="shared" si="387"/>
        <v>0</v>
      </c>
      <c r="H326" s="78">
        <f t="shared" si="388"/>
        <v>0</v>
      </c>
      <c r="I326" s="77">
        <f t="shared" si="389"/>
        <v>0</v>
      </c>
      <c r="J326" s="78">
        <f t="shared" si="390"/>
        <v>0</v>
      </c>
      <c r="K326" s="78" t="str">
        <f t="shared" si="391"/>
        <v>1900-01-00 00:0:00</v>
      </c>
      <c r="L326" s="78" t="str">
        <f t="shared" si="392"/>
        <v>1900-01-00 00:0:00</v>
      </c>
      <c r="M326" s="79">
        <f t="shared" si="393"/>
        <v>0</v>
      </c>
      <c r="N326">
        <f t="shared" si="394"/>
        <v>1</v>
      </c>
      <c r="O326" t="str">
        <f>IFERROR(_xlfn.XLOOKUP(A326,HC!A:A,HC!C:C),"")</f>
        <v>Workforce</v>
      </c>
      <c r="R326" s="78" t="b">
        <f t="shared" ref="R326:AO326" si="397">IFERROR(IF($B326=$D$1,IF(AND($K326&lt;R$1,$L326&lt;R$1),"",IF(AND($K326&gt;S$1,$L326&gt;S$1),"",IF(AND($K326&lt;R$1,$L326&lt;=S$1),$L326-R$1,IF(AND($K326&gt;=R$1,$L326&gt;S$1),S$1-$K326,IF(AND($K326&gt;=R$1,$L326&lt;=S$1),$L326-$K326,IF(AND($K326&lt;R$1,$L326&gt;S$1),S$1-R$1,""))))))),"")</f>
        <v>0</v>
      </c>
      <c r="S326" s="78" t="b">
        <f t="shared" si="397"/>
        <v>0</v>
      </c>
      <c r="T326" s="78" t="b">
        <f t="shared" si="397"/>
        <v>0</v>
      </c>
      <c r="U326" s="78" t="b">
        <f t="shared" si="397"/>
        <v>0</v>
      </c>
      <c r="V326" s="78" t="b">
        <f t="shared" si="397"/>
        <v>0</v>
      </c>
      <c r="W326" s="78" t="b">
        <f t="shared" si="397"/>
        <v>0</v>
      </c>
      <c r="X326" s="78" t="b">
        <f t="shared" si="397"/>
        <v>0</v>
      </c>
      <c r="Y326" s="78" t="b">
        <f t="shared" si="397"/>
        <v>0</v>
      </c>
      <c r="Z326" s="78" t="b">
        <f t="shared" si="397"/>
        <v>0</v>
      </c>
      <c r="AA326" s="78" t="b">
        <f t="shared" si="397"/>
        <v>0</v>
      </c>
      <c r="AB326" s="78" t="b">
        <f t="shared" si="397"/>
        <v>0</v>
      </c>
      <c r="AC326" s="78" t="b">
        <f t="shared" si="397"/>
        <v>0</v>
      </c>
      <c r="AD326" s="78" t="b">
        <f t="shared" si="397"/>
        <v>0</v>
      </c>
      <c r="AE326" s="78" t="b">
        <f t="shared" si="397"/>
        <v>0</v>
      </c>
      <c r="AF326" s="78" t="b">
        <f t="shared" si="397"/>
        <v>0</v>
      </c>
      <c r="AG326" s="78" t="b">
        <f t="shared" si="397"/>
        <v>0</v>
      </c>
      <c r="AH326" s="78" t="b">
        <f t="shared" si="397"/>
        <v>0</v>
      </c>
      <c r="AI326" s="78" t="b">
        <f t="shared" si="397"/>
        <v>0</v>
      </c>
      <c r="AJ326" s="78" t="b">
        <f t="shared" si="397"/>
        <v>0</v>
      </c>
      <c r="AK326" s="78" t="b">
        <f t="shared" si="397"/>
        <v>0</v>
      </c>
      <c r="AL326" s="78" t="b">
        <f t="shared" si="397"/>
        <v>0</v>
      </c>
      <c r="AM326" s="78" t="b">
        <f t="shared" si="397"/>
        <v>0</v>
      </c>
      <c r="AN326" s="78" t="b">
        <f t="shared" si="397"/>
        <v>0</v>
      </c>
      <c r="AO326" s="78" t="b">
        <f t="shared" si="397"/>
        <v>0</v>
      </c>
      <c r="AP326" s="78"/>
    </row>
    <row r="327" spans="4:42" x14ac:dyDescent="0.35">
      <c r="D327" s="96"/>
      <c r="E327" s="96"/>
      <c r="G327" s="77">
        <f t="shared" si="387"/>
        <v>0</v>
      </c>
      <c r="H327" s="78">
        <f t="shared" si="388"/>
        <v>0</v>
      </c>
      <c r="I327" s="77">
        <f t="shared" si="389"/>
        <v>0</v>
      </c>
      <c r="J327" s="78">
        <f t="shared" si="390"/>
        <v>0</v>
      </c>
      <c r="K327" s="78" t="str">
        <f t="shared" si="391"/>
        <v>1900-01-00 00:0:00</v>
      </c>
      <c r="L327" s="78" t="str">
        <f t="shared" si="392"/>
        <v>1900-01-00 00:0:00</v>
      </c>
      <c r="M327" s="79">
        <f t="shared" si="393"/>
        <v>0</v>
      </c>
      <c r="N327">
        <f t="shared" si="394"/>
        <v>1</v>
      </c>
      <c r="O327" t="str">
        <f>IFERROR(_xlfn.XLOOKUP(A327,HC!A:A,HC!C:C),"")</f>
        <v>Workforce</v>
      </c>
      <c r="R327" s="78" t="b">
        <f t="shared" ref="R327:AO327" si="398">IFERROR(IF($B327=$D$1,IF(AND($K327&lt;R$1,$L327&lt;R$1),"",IF(AND($K327&gt;S$1,$L327&gt;S$1),"",IF(AND($K327&lt;R$1,$L327&lt;=S$1),$L327-R$1,IF(AND($K327&gt;=R$1,$L327&gt;S$1),S$1-$K327,IF(AND($K327&gt;=R$1,$L327&lt;=S$1),$L327-$K327,IF(AND($K327&lt;R$1,$L327&gt;S$1),S$1-R$1,""))))))),"")</f>
        <v>0</v>
      </c>
      <c r="S327" s="78" t="b">
        <f t="shared" si="398"/>
        <v>0</v>
      </c>
      <c r="T327" s="78" t="b">
        <f t="shared" si="398"/>
        <v>0</v>
      </c>
      <c r="U327" s="78" t="b">
        <f t="shared" si="398"/>
        <v>0</v>
      </c>
      <c r="V327" s="78" t="b">
        <f t="shared" si="398"/>
        <v>0</v>
      </c>
      <c r="W327" s="78" t="b">
        <f t="shared" si="398"/>
        <v>0</v>
      </c>
      <c r="X327" s="78" t="b">
        <f t="shared" si="398"/>
        <v>0</v>
      </c>
      <c r="Y327" s="78" t="b">
        <f t="shared" si="398"/>
        <v>0</v>
      </c>
      <c r="Z327" s="78" t="b">
        <f t="shared" si="398"/>
        <v>0</v>
      </c>
      <c r="AA327" s="78" t="b">
        <f t="shared" si="398"/>
        <v>0</v>
      </c>
      <c r="AB327" s="78" t="b">
        <f t="shared" si="398"/>
        <v>0</v>
      </c>
      <c r="AC327" s="78" t="b">
        <f t="shared" si="398"/>
        <v>0</v>
      </c>
      <c r="AD327" s="78" t="b">
        <f t="shared" si="398"/>
        <v>0</v>
      </c>
      <c r="AE327" s="78" t="b">
        <f t="shared" si="398"/>
        <v>0</v>
      </c>
      <c r="AF327" s="78" t="b">
        <f t="shared" si="398"/>
        <v>0</v>
      </c>
      <c r="AG327" s="78" t="b">
        <f t="shared" si="398"/>
        <v>0</v>
      </c>
      <c r="AH327" s="78" t="b">
        <f t="shared" si="398"/>
        <v>0</v>
      </c>
      <c r="AI327" s="78" t="b">
        <f t="shared" si="398"/>
        <v>0</v>
      </c>
      <c r="AJ327" s="78" t="b">
        <f t="shared" si="398"/>
        <v>0</v>
      </c>
      <c r="AK327" s="78" t="b">
        <f t="shared" si="398"/>
        <v>0</v>
      </c>
      <c r="AL327" s="78" t="b">
        <f t="shared" si="398"/>
        <v>0</v>
      </c>
      <c r="AM327" s="78" t="b">
        <f t="shared" si="398"/>
        <v>0</v>
      </c>
      <c r="AN327" s="78" t="b">
        <f t="shared" si="398"/>
        <v>0</v>
      </c>
      <c r="AO327" s="78" t="b">
        <f t="shared" si="398"/>
        <v>0</v>
      </c>
      <c r="AP327" s="78"/>
    </row>
    <row r="328" spans="4:42" x14ac:dyDescent="0.35">
      <c r="D328" s="96"/>
      <c r="E328" s="96"/>
      <c r="G328" s="77">
        <f t="shared" si="387"/>
        <v>0</v>
      </c>
      <c r="H328" s="78">
        <f t="shared" si="388"/>
        <v>0</v>
      </c>
      <c r="I328" s="77">
        <f t="shared" si="389"/>
        <v>0</v>
      </c>
      <c r="J328" s="78">
        <f t="shared" si="390"/>
        <v>0</v>
      </c>
      <c r="K328" s="78" t="str">
        <f t="shared" si="391"/>
        <v>1900-01-00 00:0:00</v>
      </c>
      <c r="L328" s="78" t="str">
        <f t="shared" si="392"/>
        <v>1900-01-00 00:0:00</v>
      </c>
      <c r="M328" s="79">
        <f t="shared" si="393"/>
        <v>0</v>
      </c>
      <c r="N328">
        <f t="shared" si="394"/>
        <v>1</v>
      </c>
      <c r="O328" t="str">
        <f>IFERROR(_xlfn.XLOOKUP(A328,HC!A:A,HC!C:C),"")</f>
        <v>Workforce</v>
      </c>
      <c r="R328" s="78" t="b">
        <f t="shared" ref="R328:AO328" si="399">IFERROR(IF($B328=$D$1,IF(AND($K328&lt;R$1,$L328&lt;R$1),"",IF(AND($K328&gt;S$1,$L328&gt;S$1),"",IF(AND($K328&lt;R$1,$L328&lt;=S$1),$L328-R$1,IF(AND($K328&gt;=R$1,$L328&gt;S$1),S$1-$K328,IF(AND($K328&gt;=R$1,$L328&lt;=S$1),$L328-$K328,IF(AND($K328&lt;R$1,$L328&gt;S$1),S$1-R$1,""))))))),"")</f>
        <v>0</v>
      </c>
      <c r="S328" s="78" t="b">
        <f t="shared" si="399"/>
        <v>0</v>
      </c>
      <c r="T328" s="78" t="b">
        <f t="shared" si="399"/>
        <v>0</v>
      </c>
      <c r="U328" s="78" t="b">
        <f t="shared" si="399"/>
        <v>0</v>
      </c>
      <c r="V328" s="78" t="b">
        <f t="shared" si="399"/>
        <v>0</v>
      </c>
      <c r="W328" s="78" t="b">
        <f t="shared" si="399"/>
        <v>0</v>
      </c>
      <c r="X328" s="78" t="b">
        <f t="shared" si="399"/>
        <v>0</v>
      </c>
      <c r="Y328" s="78" t="b">
        <f t="shared" si="399"/>
        <v>0</v>
      </c>
      <c r="Z328" s="78" t="b">
        <f t="shared" si="399"/>
        <v>0</v>
      </c>
      <c r="AA328" s="78" t="b">
        <f t="shared" si="399"/>
        <v>0</v>
      </c>
      <c r="AB328" s="78" t="b">
        <f t="shared" si="399"/>
        <v>0</v>
      </c>
      <c r="AC328" s="78" t="b">
        <f t="shared" si="399"/>
        <v>0</v>
      </c>
      <c r="AD328" s="78" t="b">
        <f t="shared" si="399"/>
        <v>0</v>
      </c>
      <c r="AE328" s="78" t="b">
        <f t="shared" si="399"/>
        <v>0</v>
      </c>
      <c r="AF328" s="78" t="b">
        <f t="shared" si="399"/>
        <v>0</v>
      </c>
      <c r="AG328" s="78" t="b">
        <f t="shared" si="399"/>
        <v>0</v>
      </c>
      <c r="AH328" s="78" t="b">
        <f t="shared" si="399"/>
        <v>0</v>
      </c>
      <c r="AI328" s="78" t="b">
        <f t="shared" si="399"/>
        <v>0</v>
      </c>
      <c r="AJ328" s="78" t="b">
        <f t="shared" si="399"/>
        <v>0</v>
      </c>
      <c r="AK328" s="78" t="b">
        <f t="shared" si="399"/>
        <v>0</v>
      </c>
      <c r="AL328" s="78" t="b">
        <f t="shared" si="399"/>
        <v>0</v>
      </c>
      <c r="AM328" s="78" t="b">
        <f t="shared" si="399"/>
        <v>0</v>
      </c>
      <c r="AN328" s="78" t="b">
        <f t="shared" si="399"/>
        <v>0</v>
      </c>
      <c r="AO328" s="78" t="b">
        <f t="shared" si="399"/>
        <v>0</v>
      </c>
      <c r="AP328" s="78"/>
    </row>
    <row r="329" spans="4:42" x14ac:dyDescent="0.35">
      <c r="D329" s="96"/>
      <c r="E329" s="96"/>
      <c r="G329" s="77">
        <f t="shared" si="387"/>
        <v>0</v>
      </c>
      <c r="H329" s="78">
        <f t="shared" si="388"/>
        <v>0</v>
      </c>
      <c r="I329" s="77">
        <f t="shared" si="389"/>
        <v>0</v>
      </c>
      <c r="J329" s="78">
        <f t="shared" si="390"/>
        <v>0</v>
      </c>
      <c r="K329" s="78" t="str">
        <f t="shared" si="391"/>
        <v>1900-01-00 00:0:00</v>
      </c>
      <c r="L329" s="78" t="str">
        <f t="shared" si="392"/>
        <v>1900-01-00 00:0:00</v>
      </c>
      <c r="M329" s="79">
        <f t="shared" si="393"/>
        <v>0</v>
      </c>
      <c r="N329">
        <f t="shared" si="394"/>
        <v>1</v>
      </c>
      <c r="O329" t="str">
        <f>IFERROR(_xlfn.XLOOKUP(A329,HC!A:A,HC!C:C),"")</f>
        <v>Workforce</v>
      </c>
      <c r="R329" s="78" t="b">
        <f t="shared" ref="R329:AO329" si="400">IFERROR(IF($B329=$D$1,IF(AND($K329&lt;R$1,$L329&lt;R$1),"",IF(AND($K329&gt;S$1,$L329&gt;S$1),"",IF(AND($K329&lt;R$1,$L329&lt;=S$1),$L329-R$1,IF(AND($K329&gt;=R$1,$L329&gt;S$1),S$1-$K329,IF(AND($K329&gt;=R$1,$L329&lt;=S$1),$L329-$K329,IF(AND($K329&lt;R$1,$L329&gt;S$1),S$1-R$1,""))))))),"")</f>
        <v>0</v>
      </c>
      <c r="S329" s="78" t="b">
        <f t="shared" si="400"/>
        <v>0</v>
      </c>
      <c r="T329" s="78" t="b">
        <f t="shared" si="400"/>
        <v>0</v>
      </c>
      <c r="U329" s="78" t="b">
        <f t="shared" si="400"/>
        <v>0</v>
      </c>
      <c r="V329" s="78" t="b">
        <f t="shared" si="400"/>
        <v>0</v>
      </c>
      <c r="W329" s="78" t="b">
        <f t="shared" si="400"/>
        <v>0</v>
      </c>
      <c r="X329" s="78" t="b">
        <f t="shared" si="400"/>
        <v>0</v>
      </c>
      <c r="Y329" s="78" t="b">
        <f t="shared" si="400"/>
        <v>0</v>
      </c>
      <c r="Z329" s="78" t="b">
        <f t="shared" si="400"/>
        <v>0</v>
      </c>
      <c r="AA329" s="78" t="b">
        <f t="shared" si="400"/>
        <v>0</v>
      </c>
      <c r="AB329" s="78" t="b">
        <f t="shared" si="400"/>
        <v>0</v>
      </c>
      <c r="AC329" s="78" t="b">
        <f t="shared" si="400"/>
        <v>0</v>
      </c>
      <c r="AD329" s="78" t="b">
        <f t="shared" si="400"/>
        <v>0</v>
      </c>
      <c r="AE329" s="78" t="b">
        <f t="shared" si="400"/>
        <v>0</v>
      </c>
      <c r="AF329" s="78" t="b">
        <f t="shared" si="400"/>
        <v>0</v>
      </c>
      <c r="AG329" s="78" t="b">
        <f t="shared" si="400"/>
        <v>0</v>
      </c>
      <c r="AH329" s="78" t="b">
        <f t="shared" si="400"/>
        <v>0</v>
      </c>
      <c r="AI329" s="78" t="b">
        <f t="shared" si="400"/>
        <v>0</v>
      </c>
      <c r="AJ329" s="78" t="b">
        <f t="shared" si="400"/>
        <v>0</v>
      </c>
      <c r="AK329" s="78" t="b">
        <f t="shared" si="400"/>
        <v>0</v>
      </c>
      <c r="AL329" s="78" t="b">
        <f t="shared" si="400"/>
        <v>0</v>
      </c>
      <c r="AM329" s="78" t="b">
        <f t="shared" si="400"/>
        <v>0</v>
      </c>
      <c r="AN329" s="78" t="b">
        <f t="shared" si="400"/>
        <v>0</v>
      </c>
      <c r="AO329" s="78" t="b">
        <f t="shared" si="400"/>
        <v>0</v>
      </c>
      <c r="AP329" s="78"/>
    </row>
    <row r="330" spans="4:42" x14ac:dyDescent="0.35">
      <c r="D330" s="96"/>
      <c r="E330" s="96"/>
      <c r="G330" s="77">
        <f t="shared" si="387"/>
        <v>0</v>
      </c>
      <c r="H330" s="78">
        <f t="shared" si="388"/>
        <v>0</v>
      </c>
      <c r="I330" s="77">
        <f t="shared" si="389"/>
        <v>0</v>
      </c>
      <c r="J330" s="78">
        <f t="shared" si="390"/>
        <v>0</v>
      </c>
      <c r="K330" s="78" t="str">
        <f t="shared" si="391"/>
        <v>1900-01-00 00:0:00</v>
      </c>
      <c r="L330" s="78" t="str">
        <f t="shared" si="392"/>
        <v>1900-01-00 00:0:00</v>
      </c>
      <c r="M330" s="79">
        <f t="shared" si="393"/>
        <v>0</v>
      </c>
      <c r="N330">
        <f t="shared" si="394"/>
        <v>1</v>
      </c>
      <c r="O330" t="str">
        <f>IFERROR(_xlfn.XLOOKUP(A330,HC!A:A,HC!C:C),"")</f>
        <v>Workforce</v>
      </c>
      <c r="R330" s="78" t="b">
        <f t="shared" ref="R330:AO330" si="401">IFERROR(IF($B330=$D$1,IF(AND($K330&lt;R$1,$L330&lt;R$1),"",IF(AND($K330&gt;S$1,$L330&gt;S$1),"",IF(AND($K330&lt;R$1,$L330&lt;=S$1),$L330-R$1,IF(AND($K330&gt;=R$1,$L330&gt;S$1),S$1-$K330,IF(AND($K330&gt;=R$1,$L330&lt;=S$1),$L330-$K330,IF(AND($K330&lt;R$1,$L330&gt;S$1),S$1-R$1,""))))))),"")</f>
        <v>0</v>
      </c>
      <c r="S330" s="78" t="b">
        <f t="shared" si="401"/>
        <v>0</v>
      </c>
      <c r="T330" s="78" t="b">
        <f t="shared" si="401"/>
        <v>0</v>
      </c>
      <c r="U330" s="78" t="b">
        <f t="shared" si="401"/>
        <v>0</v>
      </c>
      <c r="V330" s="78" t="b">
        <f t="shared" si="401"/>
        <v>0</v>
      </c>
      <c r="W330" s="78" t="b">
        <f t="shared" si="401"/>
        <v>0</v>
      </c>
      <c r="X330" s="78" t="b">
        <f t="shared" si="401"/>
        <v>0</v>
      </c>
      <c r="Y330" s="78" t="b">
        <f t="shared" si="401"/>
        <v>0</v>
      </c>
      <c r="Z330" s="78" t="b">
        <f t="shared" si="401"/>
        <v>0</v>
      </c>
      <c r="AA330" s="78" t="b">
        <f t="shared" si="401"/>
        <v>0</v>
      </c>
      <c r="AB330" s="78" t="b">
        <f t="shared" si="401"/>
        <v>0</v>
      </c>
      <c r="AC330" s="78" t="b">
        <f t="shared" si="401"/>
        <v>0</v>
      </c>
      <c r="AD330" s="78" t="b">
        <f t="shared" si="401"/>
        <v>0</v>
      </c>
      <c r="AE330" s="78" t="b">
        <f t="shared" si="401"/>
        <v>0</v>
      </c>
      <c r="AF330" s="78" t="b">
        <f t="shared" si="401"/>
        <v>0</v>
      </c>
      <c r="AG330" s="78" t="b">
        <f t="shared" si="401"/>
        <v>0</v>
      </c>
      <c r="AH330" s="78" t="b">
        <f t="shared" si="401"/>
        <v>0</v>
      </c>
      <c r="AI330" s="78" t="b">
        <f t="shared" si="401"/>
        <v>0</v>
      </c>
      <c r="AJ330" s="78" t="b">
        <f t="shared" si="401"/>
        <v>0</v>
      </c>
      <c r="AK330" s="78" t="b">
        <f t="shared" si="401"/>
        <v>0</v>
      </c>
      <c r="AL330" s="78" t="b">
        <f t="shared" si="401"/>
        <v>0</v>
      </c>
      <c r="AM330" s="78" t="b">
        <f t="shared" si="401"/>
        <v>0</v>
      </c>
      <c r="AN330" s="78" t="b">
        <f t="shared" si="401"/>
        <v>0</v>
      </c>
      <c r="AO330" s="78" t="b">
        <f t="shared" si="401"/>
        <v>0</v>
      </c>
      <c r="AP330" s="78"/>
    </row>
    <row r="331" spans="4:42" x14ac:dyDescent="0.35">
      <c r="D331" s="96"/>
      <c r="E331" s="96"/>
      <c r="G331" s="77">
        <f t="shared" si="387"/>
        <v>0</v>
      </c>
      <c r="H331" s="78">
        <f t="shared" si="388"/>
        <v>0</v>
      </c>
      <c r="I331" s="77">
        <f t="shared" si="389"/>
        <v>0</v>
      </c>
      <c r="J331" s="78">
        <f t="shared" si="390"/>
        <v>0</v>
      </c>
      <c r="K331" s="78" t="str">
        <f t="shared" si="391"/>
        <v>1900-01-00 00:0:00</v>
      </c>
      <c r="L331" s="78" t="str">
        <f t="shared" si="392"/>
        <v>1900-01-00 00:0:00</v>
      </c>
      <c r="M331" s="79">
        <f t="shared" si="393"/>
        <v>0</v>
      </c>
      <c r="N331">
        <f t="shared" si="394"/>
        <v>1</v>
      </c>
      <c r="O331" t="str">
        <f>IFERROR(_xlfn.XLOOKUP(A331,HC!A:A,HC!C:C),"")</f>
        <v>Workforce</v>
      </c>
      <c r="R331" s="78" t="b">
        <f t="shared" ref="R331:AO331" si="402">IFERROR(IF($B331=$D$1,IF(AND($K331&lt;R$1,$L331&lt;R$1),"",IF(AND($K331&gt;S$1,$L331&gt;S$1),"",IF(AND($K331&lt;R$1,$L331&lt;=S$1),$L331-R$1,IF(AND($K331&gt;=R$1,$L331&gt;S$1),S$1-$K331,IF(AND($K331&gt;=R$1,$L331&lt;=S$1),$L331-$K331,IF(AND($K331&lt;R$1,$L331&gt;S$1),S$1-R$1,""))))))),"")</f>
        <v>0</v>
      </c>
      <c r="S331" s="78" t="b">
        <f t="shared" si="402"/>
        <v>0</v>
      </c>
      <c r="T331" s="78" t="b">
        <f t="shared" si="402"/>
        <v>0</v>
      </c>
      <c r="U331" s="78" t="b">
        <f t="shared" si="402"/>
        <v>0</v>
      </c>
      <c r="V331" s="78" t="b">
        <f t="shared" si="402"/>
        <v>0</v>
      </c>
      <c r="W331" s="78" t="b">
        <f t="shared" si="402"/>
        <v>0</v>
      </c>
      <c r="X331" s="78" t="b">
        <f t="shared" si="402"/>
        <v>0</v>
      </c>
      <c r="Y331" s="78" t="b">
        <f t="shared" si="402"/>
        <v>0</v>
      </c>
      <c r="Z331" s="78" t="b">
        <f t="shared" si="402"/>
        <v>0</v>
      </c>
      <c r="AA331" s="78" t="b">
        <f t="shared" si="402"/>
        <v>0</v>
      </c>
      <c r="AB331" s="78" t="b">
        <f t="shared" si="402"/>
        <v>0</v>
      </c>
      <c r="AC331" s="78" t="b">
        <f t="shared" si="402"/>
        <v>0</v>
      </c>
      <c r="AD331" s="78" t="b">
        <f t="shared" si="402"/>
        <v>0</v>
      </c>
      <c r="AE331" s="78" t="b">
        <f t="shared" si="402"/>
        <v>0</v>
      </c>
      <c r="AF331" s="78" t="b">
        <f t="shared" si="402"/>
        <v>0</v>
      </c>
      <c r="AG331" s="78" t="b">
        <f t="shared" si="402"/>
        <v>0</v>
      </c>
      <c r="AH331" s="78" t="b">
        <f t="shared" si="402"/>
        <v>0</v>
      </c>
      <c r="AI331" s="78" t="b">
        <f t="shared" si="402"/>
        <v>0</v>
      </c>
      <c r="AJ331" s="78" t="b">
        <f t="shared" si="402"/>
        <v>0</v>
      </c>
      <c r="AK331" s="78" t="b">
        <f t="shared" si="402"/>
        <v>0</v>
      </c>
      <c r="AL331" s="78" t="b">
        <f t="shared" si="402"/>
        <v>0</v>
      </c>
      <c r="AM331" s="78" t="b">
        <f t="shared" si="402"/>
        <v>0</v>
      </c>
      <c r="AN331" s="78" t="b">
        <f t="shared" si="402"/>
        <v>0</v>
      </c>
      <c r="AO331" s="78" t="b">
        <f t="shared" si="402"/>
        <v>0</v>
      </c>
      <c r="AP331" s="78"/>
    </row>
    <row r="332" spans="4:42" x14ac:dyDescent="0.35">
      <c r="D332" s="96"/>
      <c r="E332" s="96"/>
      <c r="G332" s="77">
        <f t="shared" si="387"/>
        <v>0</v>
      </c>
      <c r="H332" s="78">
        <f t="shared" si="388"/>
        <v>0</v>
      </c>
      <c r="I332" s="77">
        <f t="shared" si="389"/>
        <v>0</v>
      </c>
      <c r="J332" s="78">
        <f t="shared" si="390"/>
        <v>0</v>
      </c>
      <c r="K332" s="78" t="str">
        <f t="shared" si="391"/>
        <v>1900-01-00 00:0:00</v>
      </c>
      <c r="L332" s="78" t="str">
        <f t="shared" si="392"/>
        <v>1900-01-00 00:0:00</v>
      </c>
      <c r="M332" s="79">
        <f t="shared" si="393"/>
        <v>0</v>
      </c>
      <c r="N332">
        <f t="shared" si="394"/>
        <v>1</v>
      </c>
      <c r="O332" t="str">
        <f>IFERROR(_xlfn.XLOOKUP(A332,HC!A:A,HC!C:C),"")</f>
        <v>Workforce</v>
      </c>
      <c r="R332" s="78" t="b">
        <f t="shared" ref="R332:AO332" si="403">IFERROR(IF($B332=$D$1,IF(AND($K332&lt;R$1,$L332&lt;R$1),"",IF(AND($K332&gt;S$1,$L332&gt;S$1),"",IF(AND($K332&lt;R$1,$L332&lt;=S$1),$L332-R$1,IF(AND($K332&gt;=R$1,$L332&gt;S$1),S$1-$K332,IF(AND($K332&gt;=R$1,$L332&lt;=S$1),$L332-$K332,IF(AND($K332&lt;R$1,$L332&gt;S$1),S$1-R$1,""))))))),"")</f>
        <v>0</v>
      </c>
      <c r="S332" s="78" t="b">
        <f t="shared" si="403"/>
        <v>0</v>
      </c>
      <c r="T332" s="78" t="b">
        <f t="shared" si="403"/>
        <v>0</v>
      </c>
      <c r="U332" s="78" t="b">
        <f t="shared" si="403"/>
        <v>0</v>
      </c>
      <c r="V332" s="78" t="b">
        <f t="shared" si="403"/>
        <v>0</v>
      </c>
      <c r="W332" s="78" t="b">
        <f t="shared" si="403"/>
        <v>0</v>
      </c>
      <c r="X332" s="78" t="b">
        <f t="shared" si="403"/>
        <v>0</v>
      </c>
      <c r="Y332" s="78" t="b">
        <f t="shared" si="403"/>
        <v>0</v>
      </c>
      <c r="Z332" s="78" t="b">
        <f t="shared" si="403"/>
        <v>0</v>
      </c>
      <c r="AA332" s="78" t="b">
        <f t="shared" si="403"/>
        <v>0</v>
      </c>
      <c r="AB332" s="78" t="b">
        <f t="shared" si="403"/>
        <v>0</v>
      </c>
      <c r="AC332" s="78" t="b">
        <f t="shared" si="403"/>
        <v>0</v>
      </c>
      <c r="AD332" s="78" t="b">
        <f t="shared" si="403"/>
        <v>0</v>
      </c>
      <c r="AE332" s="78" t="b">
        <f t="shared" si="403"/>
        <v>0</v>
      </c>
      <c r="AF332" s="78" t="b">
        <f t="shared" si="403"/>
        <v>0</v>
      </c>
      <c r="AG332" s="78" t="b">
        <f t="shared" si="403"/>
        <v>0</v>
      </c>
      <c r="AH332" s="78" t="b">
        <f t="shared" si="403"/>
        <v>0</v>
      </c>
      <c r="AI332" s="78" t="b">
        <f t="shared" si="403"/>
        <v>0</v>
      </c>
      <c r="AJ332" s="78" t="b">
        <f t="shared" si="403"/>
        <v>0</v>
      </c>
      <c r="AK332" s="78" t="b">
        <f t="shared" si="403"/>
        <v>0</v>
      </c>
      <c r="AL332" s="78" t="b">
        <f t="shared" si="403"/>
        <v>0</v>
      </c>
      <c r="AM332" s="78" t="b">
        <f t="shared" si="403"/>
        <v>0</v>
      </c>
      <c r="AN332" s="78" t="b">
        <f t="shared" si="403"/>
        <v>0</v>
      </c>
      <c r="AO332" s="78" t="b">
        <f t="shared" si="403"/>
        <v>0</v>
      </c>
      <c r="AP332" s="78"/>
    </row>
    <row r="333" spans="4:42" x14ac:dyDescent="0.35">
      <c r="D333" s="96"/>
      <c r="E333" s="96"/>
      <c r="G333" s="77">
        <f t="shared" si="387"/>
        <v>0</v>
      </c>
      <c r="H333" s="78">
        <f t="shared" si="388"/>
        <v>0</v>
      </c>
      <c r="I333" s="77">
        <f t="shared" si="389"/>
        <v>0</v>
      </c>
      <c r="J333" s="78">
        <f t="shared" si="390"/>
        <v>0</v>
      </c>
      <c r="K333" s="78" t="str">
        <f t="shared" si="391"/>
        <v>1900-01-00 00:0:00</v>
      </c>
      <c r="L333" s="78" t="str">
        <f t="shared" si="392"/>
        <v>1900-01-00 00:0:00</v>
      </c>
      <c r="M333" s="79">
        <f t="shared" si="393"/>
        <v>0</v>
      </c>
      <c r="N333">
        <f t="shared" si="394"/>
        <v>1</v>
      </c>
      <c r="O333" t="str">
        <f>IFERROR(_xlfn.XLOOKUP(A333,HC!A:A,HC!C:C),"")</f>
        <v>Workforce</v>
      </c>
      <c r="R333" s="78" t="b">
        <f t="shared" ref="R333:AO333" si="404">IFERROR(IF($B333=$D$1,IF(AND($K333&lt;R$1,$L333&lt;R$1),"",IF(AND($K333&gt;S$1,$L333&gt;S$1),"",IF(AND($K333&lt;R$1,$L333&lt;=S$1),$L333-R$1,IF(AND($K333&gt;=R$1,$L333&gt;S$1),S$1-$K333,IF(AND($K333&gt;=R$1,$L333&lt;=S$1),$L333-$K333,IF(AND($K333&lt;R$1,$L333&gt;S$1),S$1-R$1,""))))))),"")</f>
        <v>0</v>
      </c>
      <c r="S333" s="78" t="b">
        <f t="shared" si="404"/>
        <v>0</v>
      </c>
      <c r="T333" s="78" t="b">
        <f t="shared" si="404"/>
        <v>0</v>
      </c>
      <c r="U333" s="78" t="b">
        <f t="shared" si="404"/>
        <v>0</v>
      </c>
      <c r="V333" s="78" t="b">
        <f t="shared" si="404"/>
        <v>0</v>
      </c>
      <c r="W333" s="78" t="b">
        <f t="shared" si="404"/>
        <v>0</v>
      </c>
      <c r="X333" s="78" t="b">
        <f t="shared" si="404"/>
        <v>0</v>
      </c>
      <c r="Y333" s="78" t="b">
        <f t="shared" si="404"/>
        <v>0</v>
      </c>
      <c r="Z333" s="78" t="b">
        <f t="shared" si="404"/>
        <v>0</v>
      </c>
      <c r="AA333" s="78" t="b">
        <f t="shared" si="404"/>
        <v>0</v>
      </c>
      <c r="AB333" s="78" t="b">
        <f t="shared" si="404"/>
        <v>0</v>
      </c>
      <c r="AC333" s="78" t="b">
        <f t="shared" si="404"/>
        <v>0</v>
      </c>
      <c r="AD333" s="78" t="b">
        <f t="shared" si="404"/>
        <v>0</v>
      </c>
      <c r="AE333" s="78" t="b">
        <f t="shared" si="404"/>
        <v>0</v>
      </c>
      <c r="AF333" s="78" t="b">
        <f t="shared" si="404"/>
        <v>0</v>
      </c>
      <c r="AG333" s="78" t="b">
        <f t="shared" si="404"/>
        <v>0</v>
      </c>
      <c r="AH333" s="78" t="b">
        <f t="shared" si="404"/>
        <v>0</v>
      </c>
      <c r="AI333" s="78" t="b">
        <f t="shared" si="404"/>
        <v>0</v>
      </c>
      <c r="AJ333" s="78" t="b">
        <f t="shared" si="404"/>
        <v>0</v>
      </c>
      <c r="AK333" s="78" t="b">
        <f t="shared" si="404"/>
        <v>0</v>
      </c>
      <c r="AL333" s="78" t="b">
        <f t="shared" si="404"/>
        <v>0</v>
      </c>
      <c r="AM333" s="78" t="b">
        <f t="shared" si="404"/>
        <v>0</v>
      </c>
      <c r="AN333" s="78" t="b">
        <f t="shared" si="404"/>
        <v>0</v>
      </c>
      <c r="AO333" s="78" t="b">
        <f t="shared" si="404"/>
        <v>0</v>
      </c>
      <c r="AP333" s="78"/>
    </row>
    <row r="334" spans="4:42" x14ac:dyDescent="0.35">
      <c r="D334" s="96"/>
      <c r="E334" s="96"/>
      <c r="G334" s="77">
        <f t="shared" si="387"/>
        <v>0</v>
      </c>
      <c r="H334" s="78">
        <f t="shared" si="388"/>
        <v>0</v>
      </c>
      <c r="I334" s="77">
        <f t="shared" si="389"/>
        <v>0</v>
      </c>
      <c r="J334" s="78">
        <f t="shared" si="390"/>
        <v>0</v>
      </c>
      <c r="K334" s="78" t="str">
        <f t="shared" si="391"/>
        <v>1900-01-00 00:0:00</v>
      </c>
      <c r="L334" s="78" t="str">
        <f t="shared" si="392"/>
        <v>1900-01-00 00:0:00</v>
      </c>
      <c r="M334" s="79">
        <f t="shared" si="393"/>
        <v>0</v>
      </c>
      <c r="N334">
        <f t="shared" si="394"/>
        <v>1</v>
      </c>
      <c r="O334" t="str">
        <f>IFERROR(_xlfn.XLOOKUP(A334,HC!A:A,HC!C:C),"")</f>
        <v>Workforce</v>
      </c>
      <c r="R334" s="78" t="b">
        <f t="shared" ref="R334:AO334" si="405">IFERROR(IF($B334=$D$1,IF(AND($K334&lt;R$1,$L334&lt;R$1),"",IF(AND($K334&gt;S$1,$L334&gt;S$1),"",IF(AND($K334&lt;R$1,$L334&lt;=S$1),$L334-R$1,IF(AND($K334&gt;=R$1,$L334&gt;S$1),S$1-$K334,IF(AND($K334&gt;=R$1,$L334&lt;=S$1),$L334-$K334,IF(AND($K334&lt;R$1,$L334&gt;S$1),S$1-R$1,""))))))),"")</f>
        <v>0</v>
      </c>
      <c r="S334" s="78" t="b">
        <f t="shared" si="405"/>
        <v>0</v>
      </c>
      <c r="T334" s="78" t="b">
        <f t="shared" si="405"/>
        <v>0</v>
      </c>
      <c r="U334" s="78" t="b">
        <f t="shared" si="405"/>
        <v>0</v>
      </c>
      <c r="V334" s="78" t="b">
        <f t="shared" si="405"/>
        <v>0</v>
      </c>
      <c r="W334" s="78" t="b">
        <f t="shared" si="405"/>
        <v>0</v>
      </c>
      <c r="X334" s="78" t="b">
        <f t="shared" si="405"/>
        <v>0</v>
      </c>
      <c r="Y334" s="78" t="b">
        <f t="shared" si="405"/>
        <v>0</v>
      </c>
      <c r="Z334" s="78" t="b">
        <f t="shared" si="405"/>
        <v>0</v>
      </c>
      <c r="AA334" s="78" t="b">
        <f t="shared" si="405"/>
        <v>0</v>
      </c>
      <c r="AB334" s="78" t="b">
        <f t="shared" si="405"/>
        <v>0</v>
      </c>
      <c r="AC334" s="78" t="b">
        <f t="shared" si="405"/>
        <v>0</v>
      </c>
      <c r="AD334" s="78" t="b">
        <f t="shared" si="405"/>
        <v>0</v>
      </c>
      <c r="AE334" s="78" t="b">
        <f t="shared" si="405"/>
        <v>0</v>
      </c>
      <c r="AF334" s="78" t="b">
        <f t="shared" si="405"/>
        <v>0</v>
      </c>
      <c r="AG334" s="78" t="b">
        <f t="shared" si="405"/>
        <v>0</v>
      </c>
      <c r="AH334" s="78" t="b">
        <f t="shared" si="405"/>
        <v>0</v>
      </c>
      <c r="AI334" s="78" t="b">
        <f t="shared" si="405"/>
        <v>0</v>
      </c>
      <c r="AJ334" s="78" t="b">
        <f t="shared" si="405"/>
        <v>0</v>
      </c>
      <c r="AK334" s="78" t="b">
        <f t="shared" si="405"/>
        <v>0</v>
      </c>
      <c r="AL334" s="78" t="b">
        <f t="shared" si="405"/>
        <v>0</v>
      </c>
      <c r="AM334" s="78" t="b">
        <f t="shared" si="405"/>
        <v>0</v>
      </c>
      <c r="AN334" s="78" t="b">
        <f t="shared" si="405"/>
        <v>0</v>
      </c>
      <c r="AO334" s="78" t="b">
        <f t="shared" si="405"/>
        <v>0</v>
      </c>
      <c r="AP334" s="78"/>
    </row>
    <row r="335" spans="4:42" x14ac:dyDescent="0.35">
      <c r="D335" s="96"/>
      <c r="E335" s="96"/>
      <c r="G335" s="77">
        <f t="shared" si="387"/>
        <v>0</v>
      </c>
      <c r="H335" s="78">
        <f t="shared" si="388"/>
        <v>0</v>
      </c>
      <c r="I335" s="77">
        <f t="shared" si="389"/>
        <v>0</v>
      </c>
      <c r="J335" s="78">
        <f t="shared" si="390"/>
        <v>0</v>
      </c>
      <c r="K335" s="78" t="str">
        <f t="shared" si="391"/>
        <v>1900-01-00 00:0:00</v>
      </c>
      <c r="L335" s="78" t="str">
        <f t="shared" si="392"/>
        <v>1900-01-00 00:0:00</v>
      </c>
      <c r="M335" s="79">
        <f t="shared" si="393"/>
        <v>0</v>
      </c>
      <c r="N335">
        <f t="shared" si="394"/>
        <v>1</v>
      </c>
      <c r="O335" t="str">
        <f>IFERROR(_xlfn.XLOOKUP(A335,HC!A:A,HC!C:C),"")</f>
        <v>Workforce</v>
      </c>
      <c r="R335" s="78" t="b">
        <f t="shared" ref="R335:AO335" si="406">IFERROR(IF($B335=$D$1,IF(AND($K335&lt;R$1,$L335&lt;R$1),"",IF(AND($K335&gt;S$1,$L335&gt;S$1),"",IF(AND($K335&lt;R$1,$L335&lt;=S$1),$L335-R$1,IF(AND($K335&gt;=R$1,$L335&gt;S$1),S$1-$K335,IF(AND($K335&gt;=R$1,$L335&lt;=S$1),$L335-$K335,IF(AND($K335&lt;R$1,$L335&gt;S$1),S$1-R$1,""))))))),"")</f>
        <v>0</v>
      </c>
      <c r="S335" s="78" t="b">
        <f t="shared" si="406"/>
        <v>0</v>
      </c>
      <c r="T335" s="78" t="b">
        <f t="shared" si="406"/>
        <v>0</v>
      </c>
      <c r="U335" s="78" t="b">
        <f t="shared" si="406"/>
        <v>0</v>
      </c>
      <c r="V335" s="78" t="b">
        <f t="shared" si="406"/>
        <v>0</v>
      </c>
      <c r="W335" s="78" t="b">
        <f t="shared" si="406"/>
        <v>0</v>
      </c>
      <c r="X335" s="78" t="b">
        <f t="shared" si="406"/>
        <v>0</v>
      </c>
      <c r="Y335" s="78" t="b">
        <f t="shared" si="406"/>
        <v>0</v>
      </c>
      <c r="Z335" s="78" t="b">
        <f t="shared" si="406"/>
        <v>0</v>
      </c>
      <c r="AA335" s="78" t="b">
        <f t="shared" si="406"/>
        <v>0</v>
      </c>
      <c r="AB335" s="78" t="b">
        <f t="shared" si="406"/>
        <v>0</v>
      </c>
      <c r="AC335" s="78" t="b">
        <f t="shared" si="406"/>
        <v>0</v>
      </c>
      <c r="AD335" s="78" t="b">
        <f t="shared" si="406"/>
        <v>0</v>
      </c>
      <c r="AE335" s="78" t="b">
        <f t="shared" si="406"/>
        <v>0</v>
      </c>
      <c r="AF335" s="78" t="b">
        <f t="shared" si="406"/>
        <v>0</v>
      </c>
      <c r="AG335" s="78" t="b">
        <f t="shared" si="406"/>
        <v>0</v>
      </c>
      <c r="AH335" s="78" t="b">
        <f t="shared" si="406"/>
        <v>0</v>
      </c>
      <c r="AI335" s="78" t="b">
        <f t="shared" si="406"/>
        <v>0</v>
      </c>
      <c r="AJ335" s="78" t="b">
        <f t="shared" si="406"/>
        <v>0</v>
      </c>
      <c r="AK335" s="78" t="b">
        <f t="shared" si="406"/>
        <v>0</v>
      </c>
      <c r="AL335" s="78" t="b">
        <f t="shared" si="406"/>
        <v>0</v>
      </c>
      <c r="AM335" s="78" t="b">
        <f t="shared" si="406"/>
        <v>0</v>
      </c>
      <c r="AN335" s="78" t="b">
        <f t="shared" si="406"/>
        <v>0</v>
      </c>
      <c r="AO335" s="78" t="b">
        <f t="shared" si="406"/>
        <v>0</v>
      </c>
      <c r="AP335" s="78"/>
    </row>
    <row r="336" spans="4:42" x14ac:dyDescent="0.35">
      <c r="D336" s="96"/>
      <c r="E336" s="96"/>
      <c r="G336" s="77">
        <f t="shared" si="387"/>
        <v>0</v>
      </c>
      <c r="H336" s="78">
        <f t="shared" si="388"/>
        <v>0</v>
      </c>
      <c r="I336" s="77">
        <f t="shared" si="389"/>
        <v>0</v>
      </c>
      <c r="J336" s="78">
        <f t="shared" si="390"/>
        <v>0</v>
      </c>
      <c r="K336" s="78" t="str">
        <f t="shared" si="391"/>
        <v>1900-01-00 00:0:00</v>
      </c>
      <c r="L336" s="78" t="str">
        <f t="shared" si="392"/>
        <v>1900-01-00 00:0:00</v>
      </c>
      <c r="M336" s="79">
        <f t="shared" si="393"/>
        <v>0</v>
      </c>
      <c r="N336">
        <f t="shared" si="394"/>
        <v>1</v>
      </c>
      <c r="O336" t="str">
        <f>IFERROR(_xlfn.XLOOKUP(A336,HC!A:A,HC!C:C),"")</f>
        <v>Workforce</v>
      </c>
      <c r="R336" s="78" t="b">
        <f t="shared" ref="R336:AO336" si="407">IFERROR(IF($B336=$D$1,IF(AND($K336&lt;R$1,$L336&lt;R$1),"",IF(AND($K336&gt;S$1,$L336&gt;S$1),"",IF(AND($K336&lt;R$1,$L336&lt;=S$1),$L336-R$1,IF(AND($K336&gt;=R$1,$L336&gt;S$1),S$1-$K336,IF(AND($K336&gt;=R$1,$L336&lt;=S$1),$L336-$K336,IF(AND($K336&lt;R$1,$L336&gt;S$1),S$1-R$1,""))))))),"")</f>
        <v>0</v>
      </c>
      <c r="S336" s="78" t="b">
        <f t="shared" si="407"/>
        <v>0</v>
      </c>
      <c r="T336" s="78" t="b">
        <f t="shared" si="407"/>
        <v>0</v>
      </c>
      <c r="U336" s="78" t="b">
        <f t="shared" si="407"/>
        <v>0</v>
      </c>
      <c r="V336" s="78" t="b">
        <f t="shared" si="407"/>
        <v>0</v>
      </c>
      <c r="W336" s="78" t="b">
        <f t="shared" si="407"/>
        <v>0</v>
      </c>
      <c r="X336" s="78" t="b">
        <f t="shared" si="407"/>
        <v>0</v>
      </c>
      <c r="Y336" s="78" t="b">
        <f t="shared" si="407"/>
        <v>0</v>
      </c>
      <c r="Z336" s="78" t="b">
        <f t="shared" si="407"/>
        <v>0</v>
      </c>
      <c r="AA336" s="78" t="b">
        <f t="shared" si="407"/>
        <v>0</v>
      </c>
      <c r="AB336" s="78" t="b">
        <f t="shared" si="407"/>
        <v>0</v>
      </c>
      <c r="AC336" s="78" t="b">
        <f t="shared" si="407"/>
        <v>0</v>
      </c>
      <c r="AD336" s="78" t="b">
        <f t="shared" si="407"/>
        <v>0</v>
      </c>
      <c r="AE336" s="78" t="b">
        <f t="shared" si="407"/>
        <v>0</v>
      </c>
      <c r="AF336" s="78" t="b">
        <f t="shared" si="407"/>
        <v>0</v>
      </c>
      <c r="AG336" s="78" t="b">
        <f t="shared" si="407"/>
        <v>0</v>
      </c>
      <c r="AH336" s="78" t="b">
        <f t="shared" si="407"/>
        <v>0</v>
      </c>
      <c r="AI336" s="78" t="b">
        <f t="shared" si="407"/>
        <v>0</v>
      </c>
      <c r="AJ336" s="78" t="b">
        <f t="shared" si="407"/>
        <v>0</v>
      </c>
      <c r="AK336" s="78" t="b">
        <f t="shared" si="407"/>
        <v>0</v>
      </c>
      <c r="AL336" s="78" t="b">
        <f t="shared" si="407"/>
        <v>0</v>
      </c>
      <c r="AM336" s="78" t="b">
        <f t="shared" si="407"/>
        <v>0</v>
      </c>
      <c r="AN336" s="78" t="b">
        <f t="shared" si="407"/>
        <v>0</v>
      </c>
      <c r="AO336" s="78" t="b">
        <f t="shared" si="407"/>
        <v>0</v>
      </c>
      <c r="AP336" s="78"/>
    </row>
    <row r="337" spans="4:42" x14ac:dyDescent="0.35">
      <c r="D337" s="96"/>
      <c r="E337" s="96"/>
      <c r="G337" s="77">
        <f t="shared" si="387"/>
        <v>0</v>
      </c>
      <c r="H337" s="78">
        <f t="shared" si="388"/>
        <v>0</v>
      </c>
      <c r="I337" s="77">
        <f t="shared" si="389"/>
        <v>0</v>
      </c>
      <c r="J337" s="78">
        <f t="shared" si="390"/>
        <v>0</v>
      </c>
      <c r="K337" s="78" t="str">
        <f t="shared" si="391"/>
        <v>1900-01-00 00:0:00</v>
      </c>
      <c r="L337" s="78" t="str">
        <f t="shared" si="392"/>
        <v>1900-01-00 00:0:00</v>
      </c>
      <c r="M337" s="79">
        <f t="shared" si="393"/>
        <v>0</v>
      </c>
      <c r="N337">
        <f t="shared" si="394"/>
        <v>1</v>
      </c>
      <c r="O337" t="str">
        <f>IFERROR(_xlfn.XLOOKUP(A337,HC!A:A,HC!C:C),"")</f>
        <v>Workforce</v>
      </c>
      <c r="R337" s="78" t="b">
        <f t="shared" ref="R337:AO337" si="408">IFERROR(IF($B337=$D$1,IF(AND($K337&lt;R$1,$L337&lt;R$1),"",IF(AND($K337&gt;S$1,$L337&gt;S$1),"",IF(AND($K337&lt;R$1,$L337&lt;=S$1),$L337-R$1,IF(AND($K337&gt;=R$1,$L337&gt;S$1),S$1-$K337,IF(AND($K337&gt;=R$1,$L337&lt;=S$1),$L337-$K337,IF(AND($K337&lt;R$1,$L337&gt;S$1),S$1-R$1,""))))))),"")</f>
        <v>0</v>
      </c>
      <c r="S337" s="78" t="b">
        <f t="shared" si="408"/>
        <v>0</v>
      </c>
      <c r="T337" s="78" t="b">
        <f t="shared" si="408"/>
        <v>0</v>
      </c>
      <c r="U337" s="78" t="b">
        <f t="shared" si="408"/>
        <v>0</v>
      </c>
      <c r="V337" s="78" t="b">
        <f t="shared" si="408"/>
        <v>0</v>
      </c>
      <c r="W337" s="78" t="b">
        <f t="shared" si="408"/>
        <v>0</v>
      </c>
      <c r="X337" s="78" t="b">
        <f t="shared" si="408"/>
        <v>0</v>
      </c>
      <c r="Y337" s="78" t="b">
        <f t="shared" si="408"/>
        <v>0</v>
      </c>
      <c r="Z337" s="78" t="b">
        <f t="shared" si="408"/>
        <v>0</v>
      </c>
      <c r="AA337" s="78" t="b">
        <f t="shared" si="408"/>
        <v>0</v>
      </c>
      <c r="AB337" s="78" t="b">
        <f t="shared" si="408"/>
        <v>0</v>
      </c>
      <c r="AC337" s="78" t="b">
        <f t="shared" si="408"/>
        <v>0</v>
      </c>
      <c r="AD337" s="78" t="b">
        <f t="shared" si="408"/>
        <v>0</v>
      </c>
      <c r="AE337" s="78" t="b">
        <f t="shared" si="408"/>
        <v>0</v>
      </c>
      <c r="AF337" s="78" t="b">
        <f t="shared" si="408"/>
        <v>0</v>
      </c>
      <c r="AG337" s="78" t="b">
        <f t="shared" si="408"/>
        <v>0</v>
      </c>
      <c r="AH337" s="78" t="b">
        <f t="shared" si="408"/>
        <v>0</v>
      </c>
      <c r="AI337" s="78" t="b">
        <f t="shared" si="408"/>
        <v>0</v>
      </c>
      <c r="AJ337" s="78" t="b">
        <f t="shared" si="408"/>
        <v>0</v>
      </c>
      <c r="AK337" s="78" t="b">
        <f t="shared" si="408"/>
        <v>0</v>
      </c>
      <c r="AL337" s="78" t="b">
        <f t="shared" si="408"/>
        <v>0</v>
      </c>
      <c r="AM337" s="78" t="b">
        <f t="shared" si="408"/>
        <v>0</v>
      </c>
      <c r="AN337" s="78" t="b">
        <f t="shared" si="408"/>
        <v>0</v>
      </c>
      <c r="AO337" s="78" t="b">
        <f t="shared" si="408"/>
        <v>0</v>
      </c>
      <c r="AP337" s="78"/>
    </row>
    <row r="338" spans="4:42" x14ac:dyDescent="0.35">
      <c r="D338" s="96"/>
      <c r="E338" s="96"/>
      <c r="G338" s="77">
        <f t="shared" si="387"/>
        <v>0</v>
      </c>
      <c r="H338" s="78">
        <f t="shared" si="388"/>
        <v>0</v>
      </c>
      <c r="I338" s="77">
        <f t="shared" si="389"/>
        <v>0</v>
      </c>
      <c r="J338" s="78">
        <f t="shared" si="390"/>
        <v>0</v>
      </c>
      <c r="K338" s="78" t="str">
        <f t="shared" si="391"/>
        <v>1900-01-00 00:0:00</v>
      </c>
      <c r="L338" s="78" t="str">
        <f t="shared" si="392"/>
        <v>1900-01-00 00:0:00</v>
      </c>
      <c r="M338" s="79">
        <f t="shared" si="393"/>
        <v>0</v>
      </c>
      <c r="N338">
        <f t="shared" si="394"/>
        <v>1</v>
      </c>
      <c r="O338" t="str">
        <f>IFERROR(_xlfn.XLOOKUP(A338,HC!A:A,HC!C:C),"")</f>
        <v>Workforce</v>
      </c>
      <c r="R338" s="78" t="b">
        <f t="shared" ref="R338:AO338" si="409">IFERROR(IF($B338=$D$1,IF(AND($K338&lt;R$1,$L338&lt;R$1),"",IF(AND($K338&gt;S$1,$L338&gt;S$1),"",IF(AND($K338&lt;R$1,$L338&lt;=S$1),$L338-R$1,IF(AND($K338&gt;=R$1,$L338&gt;S$1),S$1-$K338,IF(AND($K338&gt;=R$1,$L338&lt;=S$1),$L338-$K338,IF(AND($K338&lt;R$1,$L338&gt;S$1),S$1-R$1,""))))))),"")</f>
        <v>0</v>
      </c>
      <c r="S338" s="78" t="b">
        <f t="shared" si="409"/>
        <v>0</v>
      </c>
      <c r="T338" s="78" t="b">
        <f t="shared" si="409"/>
        <v>0</v>
      </c>
      <c r="U338" s="78" t="b">
        <f t="shared" si="409"/>
        <v>0</v>
      </c>
      <c r="V338" s="78" t="b">
        <f t="shared" si="409"/>
        <v>0</v>
      </c>
      <c r="W338" s="78" t="b">
        <f t="shared" si="409"/>
        <v>0</v>
      </c>
      <c r="X338" s="78" t="b">
        <f t="shared" si="409"/>
        <v>0</v>
      </c>
      <c r="Y338" s="78" t="b">
        <f t="shared" si="409"/>
        <v>0</v>
      </c>
      <c r="Z338" s="78" t="b">
        <f t="shared" si="409"/>
        <v>0</v>
      </c>
      <c r="AA338" s="78" t="b">
        <f t="shared" si="409"/>
        <v>0</v>
      </c>
      <c r="AB338" s="78" t="b">
        <f t="shared" si="409"/>
        <v>0</v>
      </c>
      <c r="AC338" s="78" t="b">
        <f t="shared" si="409"/>
        <v>0</v>
      </c>
      <c r="AD338" s="78" t="b">
        <f t="shared" si="409"/>
        <v>0</v>
      </c>
      <c r="AE338" s="78" t="b">
        <f t="shared" si="409"/>
        <v>0</v>
      </c>
      <c r="AF338" s="78" t="b">
        <f t="shared" si="409"/>
        <v>0</v>
      </c>
      <c r="AG338" s="78" t="b">
        <f t="shared" si="409"/>
        <v>0</v>
      </c>
      <c r="AH338" s="78" t="b">
        <f t="shared" si="409"/>
        <v>0</v>
      </c>
      <c r="AI338" s="78" t="b">
        <f t="shared" si="409"/>
        <v>0</v>
      </c>
      <c r="AJ338" s="78" t="b">
        <f t="shared" si="409"/>
        <v>0</v>
      </c>
      <c r="AK338" s="78" t="b">
        <f t="shared" si="409"/>
        <v>0</v>
      </c>
      <c r="AL338" s="78" t="b">
        <f t="shared" si="409"/>
        <v>0</v>
      </c>
      <c r="AM338" s="78" t="b">
        <f t="shared" si="409"/>
        <v>0</v>
      </c>
      <c r="AN338" s="78" t="b">
        <f t="shared" si="409"/>
        <v>0</v>
      </c>
      <c r="AO338" s="78" t="b">
        <f t="shared" si="409"/>
        <v>0</v>
      </c>
      <c r="AP338" s="78"/>
    </row>
    <row r="339" spans="4:42" x14ac:dyDescent="0.35">
      <c r="D339" s="96"/>
      <c r="E339" s="96"/>
      <c r="G339" s="77">
        <f t="shared" si="387"/>
        <v>0</v>
      </c>
      <c r="H339" s="78">
        <f t="shared" si="388"/>
        <v>0</v>
      </c>
      <c r="I339" s="77">
        <f t="shared" si="389"/>
        <v>0</v>
      </c>
      <c r="J339" s="78">
        <f t="shared" si="390"/>
        <v>0</v>
      </c>
      <c r="K339" s="78" t="str">
        <f t="shared" si="391"/>
        <v>1900-01-00 00:0:00</v>
      </c>
      <c r="L339" s="78" t="str">
        <f t="shared" si="392"/>
        <v>1900-01-00 00:0:00</v>
      </c>
      <c r="M339" s="79">
        <f t="shared" si="393"/>
        <v>0</v>
      </c>
      <c r="N339">
        <f t="shared" si="394"/>
        <v>1</v>
      </c>
      <c r="O339" t="str">
        <f>IFERROR(_xlfn.XLOOKUP(A339,HC!A:A,HC!C:C),"")</f>
        <v>Workforce</v>
      </c>
      <c r="R339" s="78" t="b">
        <f t="shared" ref="R339:AO339" si="410">IFERROR(IF($B339=$D$1,IF(AND($K339&lt;R$1,$L339&lt;R$1),"",IF(AND($K339&gt;S$1,$L339&gt;S$1),"",IF(AND($K339&lt;R$1,$L339&lt;=S$1),$L339-R$1,IF(AND($K339&gt;=R$1,$L339&gt;S$1),S$1-$K339,IF(AND($K339&gt;=R$1,$L339&lt;=S$1),$L339-$K339,IF(AND($K339&lt;R$1,$L339&gt;S$1),S$1-R$1,""))))))),"")</f>
        <v>0</v>
      </c>
      <c r="S339" s="78" t="b">
        <f t="shared" si="410"/>
        <v>0</v>
      </c>
      <c r="T339" s="78" t="b">
        <f t="shared" si="410"/>
        <v>0</v>
      </c>
      <c r="U339" s="78" t="b">
        <f t="shared" si="410"/>
        <v>0</v>
      </c>
      <c r="V339" s="78" t="b">
        <f t="shared" si="410"/>
        <v>0</v>
      </c>
      <c r="W339" s="78" t="b">
        <f t="shared" si="410"/>
        <v>0</v>
      </c>
      <c r="X339" s="78" t="b">
        <f t="shared" si="410"/>
        <v>0</v>
      </c>
      <c r="Y339" s="78" t="b">
        <f t="shared" si="410"/>
        <v>0</v>
      </c>
      <c r="Z339" s="78" t="b">
        <f t="shared" si="410"/>
        <v>0</v>
      </c>
      <c r="AA339" s="78" t="b">
        <f t="shared" si="410"/>
        <v>0</v>
      </c>
      <c r="AB339" s="78" t="b">
        <f t="shared" si="410"/>
        <v>0</v>
      </c>
      <c r="AC339" s="78" t="b">
        <f t="shared" si="410"/>
        <v>0</v>
      </c>
      <c r="AD339" s="78" t="b">
        <f t="shared" si="410"/>
        <v>0</v>
      </c>
      <c r="AE339" s="78" t="b">
        <f t="shared" si="410"/>
        <v>0</v>
      </c>
      <c r="AF339" s="78" t="b">
        <f t="shared" si="410"/>
        <v>0</v>
      </c>
      <c r="AG339" s="78" t="b">
        <f t="shared" si="410"/>
        <v>0</v>
      </c>
      <c r="AH339" s="78" t="b">
        <f t="shared" si="410"/>
        <v>0</v>
      </c>
      <c r="AI339" s="78" t="b">
        <f t="shared" si="410"/>
        <v>0</v>
      </c>
      <c r="AJ339" s="78" t="b">
        <f t="shared" si="410"/>
        <v>0</v>
      </c>
      <c r="AK339" s="78" t="b">
        <f t="shared" si="410"/>
        <v>0</v>
      </c>
      <c r="AL339" s="78" t="b">
        <f t="shared" si="410"/>
        <v>0</v>
      </c>
      <c r="AM339" s="78" t="b">
        <f t="shared" si="410"/>
        <v>0</v>
      </c>
      <c r="AN339" s="78" t="b">
        <f t="shared" si="410"/>
        <v>0</v>
      </c>
      <c r="AO339" s="78" t="b">
        <f t="shared" si="410"/>
        <v>0</v>
      </c>
      <c r="AP339" s="78"/>
    </row>
    <row r="340" spans="4:42" x14ac:dyDescent="0.35">
      <c r="D340" s="96"/>
      <c r="E340" s="96"/>
      <c r="G340" s="77">
        <f t="shared" si="387"/>
        <v>0</v>
      </c>
      <c r="H340" s="78">
        <f t="shared" si="388"/>
        <v>0</v>
      </c>
      <c r="I340" s="77">
        <f t="shared" si="389"/>
        <v>0</v>
      </c>
      <c r="J340" s="78">
        <f t="shared" si="390"/>
        <v>0</v>
      </c>
      <c r="K340" s="78" t="str">
        <f t="shared" si="391"/>
        <v>1900-01-00 00:0:00</v>
      </c>
      <c r="L340" s="78" t="str">
        <f t="shared" si="392"/>
        <v>1900-01-00 00:0:00</v>
      </c>
      <c r="M340" s="79">
        <f t="shared" si="393"/>
        <v>0</v>
      </c>
      <c r="N340">
        <f t="shared" si="394"/>
        <v>1</v>
      </c>
      <c r="O340" t="str">
        <f>IFERROR(_xlfn.XLOOKUP(A340,HC!A:A,HC!C:C),"")</f>
        <v>Workforce</v>
      </c>
      <c r="R340" s="78" t="b">
        <f t="shared" ref="R340:AO340" si="411">IFERROR(IF($B340=$D$1,IF(AND($K340&lt;R$1,$L340&lt;R$1),"",IF(AND($K340&gt;S$1,$L340&gt;S$1),"",IF(AND($K340&lt;R$1,$L340&lt;=S$1),$L340-R$1,IF(AND($K340&gt;=R$1,$L340&gt;S$1),S$1-$K340,IF(AND($K340&gt;=R$1,$L340&lt;=S$1),$L340-$K340,IF(AND($K340&lt;R$1,$L340&gt;S$1),S$1-R$1,""))))))),"")</f>
        <v>0</v>
      </c>
      <c r="S340" s="78" t="b">
        <f t="shared" si="411"/>
        <v>0</v>
      </c>
      <c r="T340" s="78" t="b">
        <f t="shared" si="411"/>
        <v>0</v>
      </c>
      <c r="U340" s="78" t="b">
        <f t="shared" si="411"/>
        <v>0</v>
      </c>
      <c r="V340" s="78" t="b">
        <f t="shared" si="411"/>
        <v>0</v>
      </c>
      <c r="W340" s="78" t="b">
        <f t="shared" si="411"/>
        <v>0</v>
      </c>
      <c r="X340" s="78" t="b">
        <f t="shared" si="411"/>
        <v>0</v>
      </c>
      <c r="Y340" s="78" t="b">
        <f t="shared" si="411"/>
        <v>0</v>
      </c>
      <c r="Z340" s="78" t="b">
        <f t="shared" si="411"/>
        <v>0</v>
      </c>
      <c r="AA340" s="78" t="b">
        <f t="shared" si="411"/>
        <v>0</v>
      </c>
      <c r="AB340" s="78" t="b">
        <f t="shared" si="411"/>
        <v>0</v>
      </c>
      <c r="AC340" s="78" t="b">
        <f t="shared" si="411"/>
        <v>0</v>
      </c>
      <c r="AD340" s="78" t="b">
        <f t="shared" si="411"/>
        <v>0</v>
      </c>
      <c r="AE340" s="78" t="b">
        <f t="shared" si="411"/>
        <v>0</v>
      </c>
      <c r="AF340" s="78" t="b">
        <f t="shared" si="411"/>
        <v>0</v>
      </c>
      <c r="AG340" s="78" t="b">
        <f t="shared" si="411"/>
        <v>0</v>
      </c>
      <c r="AH340" s="78" t="b">
        <f t="shared" si="411"/>
        <v>0</v>
      </c>
      <c r="AI340" s="78" t="b">
        <f t="shared" si="411"/>
        <v>0</v>
      </c>
      <c r="AJ340" s="78" t="b">
        <f t="shared" si="411"/>
        <v>0</v>
      </c>
      <c r="AK340" s="78" t="b">
        <f t="shared" si="411"/>
        <v>0</v>
      </c>
      <c r="AL340" s="78" t="b">
        <f t="shared" si="411"/>
        <v>0</v>
      </c>
      <c r="AM340" s="78" t="b">
        <f t="shared" si="411"/>
        <v>0</v>
      </c>
      <c r="AN340" s="78" t="b">
        <f t="shared" si="411"/>
        <v>0</v>
      </c>
      <c r="AO340" s="78" t="b">
        <f t="shared" si="411"/>
        <v>0</v>
      </c>
      <c r="AP340" s="78"/>
    </row>
    <row r="341" spans="4:42" x14ac:dyDescent="0.35">
      <c r="D341" s="96"/>
      <c r="E341" s="96"/>
      <c r="G341" s="77">
        <f t="shared" si="387"/>
        <v>0</v>
      </c>
      <c r="H341" s="78">
        <f t="shared" si="388"/>
        <v>0</v>
      </c>
      <c r="I341" s="77">
        <f t="shared" si="389"/>
        <v>0</v>
      </c>
      <c r="J341" s="78">
        <f t="shared" si="390"/>
        <v>0</v>
      </c>
      <c r="K341" s="78" t="str">
        <f t="shared" si="391"/>
        <v>1900-01-00 00:0:00</v>
      </c>
      <c r="L341" s="78" t="str">
        <f t="shared" si="392"/>
        <v>1900-01-00 00:0:00</v>
      </c>
      <c r="M341" s="79">
        <f t="shared" si="393"/>
        <v>0</v>
      </c>
      <c r="N341">
        <f t="shared" si="394"/>
        <v>1</v>
      </c>
      <c r="O341" t="str">
        <f>IFERROR(_xlfn.XLOOKUP(A341,HC!A:A,HC!C:C),"")</f>
        <v>Workforce</v>
      </c>
      <c r="R341" s="78" t="b">
        <f t="shared" ref="R341:AO341" si="412">IFERROR(IF($B341=$D$1,IF(AND($K341&lt;R$1,$L341&lt;R$1),"",IF(AND($K341&gt;S$1,$L341&gt;S$1),"",IF(AND($K341&lt;R$1,$L341&lt;=S$1),$L341-R$1,IF(AND($K341&gt;=R$1,$L341&gt;S$1),S$1-$K341,IF(AND($K341&gt;=R$1,$L341&lt;=S$1),$L341-$K341,IF(AND($K341&lt;R$1,$L341&gt;S$1),S$1-R$1,""))))))),"")</f>
        <v>0</v>
      </c>
      <c r="S341" s="78" t="b">
        <f t="shared" si="412"/>
        <v>0</v>
      </c>
      <c r="T341" s="78" t="b">
        <f t="shared" si="412"/>
        <v>0</v>
      </c>
      <c r="U341" s="78" t="b">
        <f t="shared" si="412"/>
        <v>0</v>
      </c>
      <c r="V341" s="78" t="b">
        <f t="shared" si="412"/>
        <v>0</v>
      </c>
      <c r="W341" s="78" t="b">
        <f t="shared" si="412"/>
        <v>0</v>
      </c>
      <c r="X341" s="78" t="b">
        <f t="shared" si="412"/>
        <v>0</v>
      </c>
      <c r="Y341" s="78" t="b">
        <f t="shared" si="412"/>
        <v>0</v>
      </c>
      <c r="Z341" s="78" t="b">
        <f t="shared" si="412"/>
        <v>0</v>
      </c>
      <c r="AA341" s="78" t="b">
        <f t="shared" si="412"/>
        <v>0</v>
      </c>
      <c r="AB341" s="78" t="b">
        <f t="shared" si="412"/>
        <v>0</v>
      </c>
      <c r="AC341" s="78" t="b">
        <f t="shared" si="412"/>
        <v>0</v>
      </c>
      <c r="AD341" s="78" t="b">
        <f t="shared" si="412"/>
        <v>0</v>
      </c>
      <c r="AE341" s="78" t="b">
        <f t="shared" si="412"/>
        <v>0</v>
      </c>
      <c r="AF341" s="78" t="b">
        <f t="shared" si="412"/>
        <v>0</v>
      </c>
      <c r="AG341" s="78" t="b">
        <f t="shared" si="412"/>
        <v>0</v>
      </c>
      <c r="AH341" s="78" t="b">
        <f t="shared" si="412"/>
        <v>0</v>
      </c>
      <c r="AI341" s="78" t="b">
        <f t="shared" si="412"/>
        <v>0</v>
      </c>
      <c r="AJ341" s="78" t="b">
        <f t="shared" si="412"/>
        <v>0</v>
      </c>
      <c r="AK341" s="78" t="b">
        <f t="shared" si="412"/>
        <v>0</v>
      </c>
      <c r="AL341" s="78" t="b">
        <f t="shared" si="412"/>
        <v>0</v>
      </c>
      <c r="AM341" s="78" t="b">
        <f t="shared" si="412"/>
        <v>0</v>
      </c>
      <c r="AN341" s="78" t="b">
        <f t="shared" si="412"/>
        <v>0</v>
      </c>
      <c r="AO341" s="78" t="b">
        <f t="shared" si="412"/>
        <v>0</v>
      </c>
      <c r="AP341" s="78"/>
    </row>
    <row r="342" spans="4:42" x14ac:dyDescent="0.35">
      <c r="D342" s="96"/>
      <c r="E342" s="96"/>
      <c r="G342" s="77">
        <f t="shared" si="387"/>
        <v>0</v>
      </c>
      <c r="H342" s="78">
        <f t="shared" si="388"/>
        <v>0</v>
      </c>
      <c r="I342" s="77">
        <f t="shared" si="389"/>
        <v>0</v>
      </c>
      <c r="J342" s="78">
        <f t="shared" si="390"/>
        <v>0</v>
      </c>
      <c r="K342" s="78" t="str">
        <f t="shared" si="391"/>
        <v>1900-01-00 00:0:00</v>
      </c>
      <c r="L342" s="78" t="str">
        <f t="shared" si="392"/>
        <v>1900-01-00 00:0:00</v>
      </c>
      <c r="M342" s="79">
        <f t="shared" si="393"/>
        <v>0</v>
      </c>
      <c r="N342">
        <f t="shared" si="394"/>
        <v>1</v>
      </c>
      <c r="O342" t="str">
        <f>IFERROR(_xlfn.XLOOKUP(A342,HC!A:A,HC!C:C),"")</f>
        <v>Workforce</v>
      </c>
      <c r="R342" s="78" t="b">
        <f t="shared" ref="R342:AO342" si="413">IFERROR(IF($B342=$D$1,IF(AND($K342&lt;R$1,$L342&lt;R$1),"",IF(AND($K342&gt;S$1,$L342&gt;S$1),"",IF(AND($K342&lt;R$1,$L342&lt;=S$1),$L342-R$1,IF(AND($K342&gt;=R$1,$L342&gt;S$1),S$1-$K342,IF(AND($K342&gt;=R$1,$L342&lt;=S$1),$L342-$K342,IF(AND($K342&lt;R$1,$L342&gt;S$1),S$1-R$1,""))))))),"")</f>
        <v>0</v>
      </c>
      <c r="S342" s="78" t="b">
        <f t="shared" si="413"/>
        <v>0</v>
      </c>
      <c r="T342" s="78" t="b">
        <f t="shared" si="413"/>
        <v>0</v>
      </c>
      <c r="U342" s="78" t="b">
        <f t="shared" si="413"/>
        <v>0</v>
      </c>
      <c r="V342" s="78" t="b">
        <f t="shared" si="413"/>
        <v>0</v>
      </c>
      <c r="W342" s="78" t="b">
        <f t="shared" si="413"/>
        <v>0</v>
      </c>
      <c r="X342" s="78" t="b">
        <f t="shared" si="413"/>
        <v>0</v>
      </c>
      <c r="Y342" s="78" t="b">
        <f t="shared" si="413"/>
        <v>0</v>
      </c>
      <c r="Z342" s="78" t="b">
        <f t="shared" si="413"/>
        <v>0</v>
      </c>
      <c r="AA342" s="78" t="b">
        <f t="shared" si="413"/>
        <v>0</v>
      </c>
      <c r="AB342" s="78" t="b">
        <f t="shared" si="413"/>
        <v>0</v>
      </c>
      <c r="AC342" s="78" t="b">
        <f t="shared" si="413"/>
        <v>0</v>
      </c>
      <c r="AD342" s="78" t="b">
        <f t="shared" si="413"/>
        <v>0</v>
      </c>
      <c r="AE342" s="78" t="b">
        <f t="shared" si="413"/>
        <v>0</v>
      </c>
      <c r="AF342" s="78" t="b">
        <f t="shared" si="413"/>
        <v>0</v>
      </c>
      <c r="AG342" s="78" t="b">
        <f t="shared" si="413"/>
        <v>0</v>
      </c>
      <c r="AH342" s="78" t="b">
        <f t="shared" si="413"/>
        <v>0</v>
      </c>
      <c r="AI342" s="78" t="b">
        <f t="shared" si="413"/>
        <v>0</v>
      </c>
      <c r="AJ342" s="78" t="b">
        <f t="shared" si="413"/>
        <v>0</v>
      </c>
      <c r="AK342" s="78" t="b">
        <f t="shared" si="413"/>
        <v>0</v>
      </c>
      <c r="AL342" s="78" t="b">
        <f t="shared" si="413"/>
        <v>0</v>
      </c>
      <c r="AM342" s="78" t="b">
        <f t="shared" si="413"/>
        <v>0</v>
      </c>
      <c r="AN342" s="78" t="b">
        <f t="shared" si="413"/>
        <v>0</v>
      </c>
      <c r="AO342" s="78" t="b">
        <f t="shared" si="413"/>
        <v>0</v>
      </c>
      <c r="AP342" s="78"/>
    </row>
    <row r="343" spans="4:42" x14ac:dyDescent="0.35">
      <c r="D343" s="96"/>
      <c r="E343" s="96"/>
      <c r="G343" s="77">
        <f t="shared" si="387"/>
        <v>0</v>
      </c>
      <c r="H343" s="78">
        <f t="shared" si="388"/>
        <v>0</v>
      </c>
      <c r="I343" s="77">
        <f t="shared" si="389"/>
        <v>0</v>
      </c>
      <c r="J343" s="78">
        <f t="shared" si="390"/>
        <v>0</v>
      </c>
      <c r="K343" s="78" t="str">
        <f t="shared" si="391"/>
        <v>1900-01-00 00:0:00</v>
      </c>
      <c r="L343" s="78" t="str">
        <f t="shared" si="392"/>
        <v>1900-01-00 00:0:00</v>
      </c>
      <c r="M343" s="79">
        <f t="shared" si="393"/>
        <v>0</v>
      </c>
      <c r="N343">
        <f t="shared" si="394"/>
        <v>1</v>
      </c>
      <c r="O343" t="str">
        <f>IFERROR(_xlfn.XLOOKUP(A343,HC!A:A,HC!C:C),"")</f>
        <v>Workforce</v>
      </c>
      <c r="R343" s="78" t="b">
        <f t="shared" ref="R343:AO343" si="414">IFERROR(IF($B343=$D$1,IF(AND($K343&lt;R$1,$L343&lt;R$1),"",IF(AND($K343&gt;S$1,$L343&gt;S$1),"",IF(AND($K343&lt;R$1,$L343&lt;=S$1),$L343-R$1,IF(AND($K343&gt;=R$1,$L343&gt;S$1),S$1-$K343,IF(AND($K343&gt;=R$1,$L343&lt;=S$1),$L343-$K343,IF(AND($K343&lt;R$1,$L343&gt;S$1),S$1-R$1,""))))))),"")</f>
        <v>0</v>
      </c>
      <c r="S343" s="78" t="b">
        <f t="shared" si="414"/>
        <v>0</v>
      </c>
      <c r="T343" s="78" t="b">
        <f t="shared" si="414"/>
        <v>0</v>
      </c>
      <c r="U343" s="78" t="b">
        <f t="shared" si="414"/>
        <v>0</v>
      </c>
      <c r="V343" s="78" t="b">
        <f t="shared" si="414"/>
        <v>0</v>
      </c>
      <c r="W343" s="78" t="b">
        <f t="shared" si="414"/>
        <v>0</v>
      </c>
      <c r="X343" s="78" t="b">
        <f t="shared" si="414"/>
        <v>0</v>
      </c>
      <c r="Y343" s="78" t="b">
        <f t="shared" si="414"/>
        <v>0</v>
      </c>
      <c r="Z343" s="78" t="b">
        <f t="shared" si="414"/>
        <v>0</v>
      </c>
      <c r="AA343" s="78" t="b">
        <f t="shared" si="414"/>
        <v>0</v>
      </c>
      <c r="AB343" s="78" t="b">
        <f t="shared" si="414"/>
        <v>0</v>
      </c>
      <c r="AC343" s="78" t="b">
        <f t="shared" si="414"/>
        <v>0</v>
      </c>
      <c r="AD343" s="78" t="b">
        <f t="shared" si="414"/>
        <v>0</v>
      </c>
      <c r="AE343" s="78" t="b">
        <f t="shared" si="414"/>
        <v>0</v>
      </c>
      <c r="AF343" s="78" t="b">
        <f t="shared" si="414"/>
        <v>0</v>
      </c>
      <c r="AG343" s="78" t="b">
        <f t="shared" si="414"/>
        <v>0</v>
      </c>
      <c r="AH343" s="78" t="b">
        <f t="shared" si="414"/>
        <v>0</v>
      </c>
      <c r="AI343" s="78" t="b">
        <f t="shared" si="414"/>
        <v>0</v>
      </c>
      <c r="AJ343" s="78" t="b">
        <f t="shared" si="414"/>
        <v>0</v>
      </c>
      <c r="AK343" s="78" t="b">
        <f t="shared" si="414"/>
        <v>0</v>
      </c>
      <c r="AL343" s="78" t="b">
        <f t="shared" si="414"/>
        <v>0</v>
      </c>
      <c r="AM343" s="78" t="b">
        <f t="shared" si="414"/>
        <v>0</v>
      </c>
      <c r="AN343" s="78" t="b">
        <f t="shared" si="414"/>
        <v>0</v>
      </c>
      <c r="AO343" s="78" t="b">
        <f t="shared" si="414"/>
        <v>0</v>
      </c>
      <c r="AP343" s="78"/>
    </row>
    <row r="344" spans="4:42" x14ac:dyDescent="0.35">
      <c r="D344" s="96"/>
      <c r="E344" s="96"/>
      <c r="G344" s="77">
        <f t="shared" si="387"/>
        <v>0</v>
      </c>
      <c r="H344" s="78">
        <f t="shared" si="388"/>
        <v>0</v>
      </c>
      <c r="I344" s="77">
        <f t="shared" si="389"/>
        <v>0</v>
      </c>
      <c r="J344" s="78">
        <f t="shared" si="390"/>
        <v>0</v>
      </c>
      <c r="K344" s="78" t="str">
        <f t="shared" si="391"/>
        <v>1900-01-00 00:0:00</v>
      </c>
      <c r="L344" s="78" t="str">
        <f t="shared" si="392"/>
        <v>1900-01-00 00:0:00</v>
      </c>
      <c r="M344" s="79">
        <f t="shared" si="393"/>
        <v>0</v>
      </c>
      <c r="N344">
        <f t="shared" si="394"/>
        <v>1</v>
      </c>
      <c r="O344" t="str">
        <f>IFERROR(_xlfn.XLOOKUP(A344,HC!A:A,HC!C:C),"")</f>
        <v>Workforce</v>
      </c>
      <c r="R344" s="78" t="b">
        <f t="shared" ref="R344:AO344" si="415">IFERROR(IF($B344=$D$1,IF(AND($K344&lt;R$1,$L344&lt;R$1),"",IF(AND($K344&gt;S$1,$L344&gt;S$1),"",IF(AND($K344&lt;R$1,$L344&lt;=S$1),$L344-R$1,IF(AND($K344&gt;=R$1,$L344&gt;S$1),S$1-$K344,IF(AND($K344&gt;=R$1,$L344&lt;=S$1),$L344-$K344,IF(AND($K344&lt;R$1,$L344&gt;S$1),S$1-R$1,""))))))),"")</f>
        <v>0</v>
      </c>
      <c r="S344" s="78" t="b">
        <f t="shared" si="415"/>
        <v>0</v>
      </c>
      <c r="T344" s="78" t="b">
        <f t="shared" si="415"/>
        <v>0</v>
      </c>
      <c r="U344" s="78" t="b">
        <f t="shared" si="415"/>
        <v>0</v>
      </c>
      <c r="V344" s="78" t="b">
        <f t="shared" si="415"/>
        <v>0</v>
      </c>
      <c r="W344" s="78" t="b">
        <f t="shared" si="415"/>
        <v>0</v>
      </c>
      <c r="X344" s="78" t="b">
        <f t="shared" si="415"/>
        <v>0</v>
      </c>
      <c r="Y344" s="78" t="b">
        <f t="shared" si="415"/>
        <v>0</v>
      </c>
      <c r="Z344" s="78" t="b">
        <f t="shared" si="415"/>
        <v>0</v>
      </c>
      <c r="AA344" s="78" t="b">
        <f t="shared" si="415"/>
        <v>0</v>
      </c>
      <c r="AB344" s="78" t="b">
        <f t="shared" si="415"/>
        <v>0</v>
      </c>
      <c r="AC344" s="78" t="b">
        <f t="shared" si="415"/>
        <v>0</v>
      </c>
      <c r="AD344" s="78" t="b">
        <f t="shared" si="415"/>
        <v>0</v>
      </c>
      <c r="AE344" s="78" t="b">
        <f t="shared" si="415"/>
        <v>0</v>
      </c>
      <c r="AF344" s="78" t="b">
        <f t="shared" si="415"/>
        <v>0</v>
      </c>
      <c r="AG344" s="78" t="b">
        <f t="shared" si="415"/>
        <v>0</v>
      </c>
      <c r="AH344" s="78" t="b">
        <f t="shared" si="415"/>
        <v>0</v>
      </c>
      <c r="AI344" s="78" t="b">
        <f t="shared" si="415"/>
        <v>0</v>
      </c>
      <c r="AJ344" s="78" t="b">
        <f t="shared" si="415"/>
        <v>0</v>
      </c>
      <c r="AK344" s="78" t="b">
        <f t="shared" si="415"/>
        <v>0</v>
      </c>
      <c r="AL344" s="78" t="b">
        <f t="shared" si="415"/>
        <v>0</v>
      </c>
      <c r="AM344" s="78" t="b">
        <f t="shared" si="415"/>
        <v>0</v>
      </c>
      <c r="AN344" s="78" t="b">
        <f t="shared" si="415"/>
        <v>0</v>
      </c>
      <c r="AO344" s="78" t="b">
        <f t="shared" si="415"/>
        <v>0</v>
      </c>
      <c r="AP344" s="78"/>
    </row>
    <row r="345" spans="4:42" x14ac:dyDescent="0.35">
      <c r="D345" s="96"/>
      <c r="E345" s="96"/>
      <c r="G345" s="77">
        <f t="shared" si="387"/>
        <v>0</v>
      </c>
      <c r="H345" s="78">
        <f t="shared" si="388"/>
        <v>0</v>
      </c>
      <c r="I345" s="77">
        <f t="shared" si="389"/>
        <v>0</v>
      </c>
      <c r="J345" s="78">
        <f t="shared" si="390"/>
        <v>0</v>
      </c>
      <c r="K345" s="78" t="str">
        <f t="shared" si="391"/>
        <v>1900-01-00 00:0:00</v>
      </c>
      <c r="L345" s="78" t="str">
        <f t="shared" si="392"/>
        <v>1900-01-00 00:0:00</v>
      </c>
      <c r="M345" s="79">
        <f t="shared" si="393"/>
        <v>0</v>
      </c>
      <c r="N345">
        <f t="shared" si="394"/>
        <v>1</v>
      </c>
      <c r="O345" t="str">
        <f>IFERROR(_xlfn.XLOOKUP(A345,HC!A:A,HC!C:C),"")</f>
        <v>Workforce</v>
      </c>
      <c r="R345" s="78" t="b">
        <f t="shared" ref="R345:AO345" si="416">IFERROR(IF($B345=$D$1,IF(AND($K345&lt;R$1,$L345&lt;R$1),"",IF(AND($K345&gt;S$1,$L345&gt;S$1),"",IF(AND($K345&lt;R$1,$L345&lt;=S$1),$L345-R$1,IF(AND($K345&gt;=R$1,$L345&gt;S$1),S$1-$K345,IF(AND($K345&gt;=R$1,$L345&lt;=S$1),$L345-$K345,IF(AND($K345&lt;R$1,$L345&gt;S$1),S$1-R$1,""))))))),"")</f>
        <v>0</v>
      </c>
      <c r="S345" s="78" t="b">
        <f t="shared" si="416"/>
        <v>0</v>
      </c>
      <c r="T345" s="78" t="b">
        <f t="shared" si="416"/>
        <v>0</v>
      </c>
      <c r="U345" s="78" t="b">
        <f t="shared" si="416"/>
        <v>0</v>
      </c>
      <c r="V345" s="78" t="b">
        <f t="shared" si="416"/>
        <v>0</v>
      </c>
      <c r="W345" s="78" t="b">
        <f t="shared" si="416"/>
        <v>0</v>
      </c>
      <c r="X345" s="78" t="b">
        <f t="shared" si="416"/>
        <v>0</v>
      </c>
      <c r="Y345" s="78" t="b">
        <f t="shared" si="416"/>
        <v>0</v>
      </c>
      <c r="Z345" s="78" t="b">
        <f t="shared" si="416"/>
        <v>0</v>
      </c>
      <c r="AA345" s="78" t="b">
        <f t="shared" si="416"/>
        <v>0</v>
      </c>
      <c r="AB345" s="78" t="b">
        <f t="shared" si="416"/>
        <v>0</v>
      </c>
      <c r="AC345" s="78" t="b">
        <f t="shared" si="416"/>
        <v>0</v>
      </c>
      <c r="AD345" s="78" t="b">
        <f t="shared" si="416"/>
        <v>0</v>
      </c>
      <c r="AE345" s="78" t="b">
        <f t="shared" si="416"/>
        <v>0</v>
      </c>
      <c r="AF345" s="78" t="b">
        <f t="shared" si="416"/>
        <v>0</v>
      </c>
      <c r="AG345" s="78" t="b">
        <f t="shared" si="416"/>
        <v>0</v>
      </c>
      <c r="AH345" s="78" t="b">
        <f t="shared" si="416"/>
        <v>0</v>
      </c>
      <c r="AI345" s="78" t="b">
        <f t="shared" si="416"/>
        <v>0</v>
      </c>
      <c r="AJ345" s="78" t="b">
        <f t="shared" si="416"/>
        <v>0</v>
      </c>
      <c r="AK345" s="78" t="b">
        <f t="shared" si="416"/>
        <v>0</v>
      </c>
      <c r="AL345" s="78" t="b">
        <f t="shared" si="416"/>
        <v>0</v>
      </c>
      <c r="AM345" s="78" t="b">
        <f t="shared" si="416"/>
        <v>0</v>
      </c>
      <c r="AN345" s="78" t="b">
        <f t="shared" si="416"/>
        <v>0</v>
      </c>
      <c r="AO345" s="78" t="b">
        <f t="shared" si="416"/>
        <v>0</v>
      </c>
      <c r="AP345" s="78"/>
    </row>
    <row r="346" spans="4:42" x14ac:dyDescent="0.35">
      <c r="D346" s="96"/>
      <c r="E346" s="96"/>
      <c r="G346" s="77">
        <f t="shared" si="387"/>
        <v>0</v>
      </c>
      <c r="H346" s="78">
        <f t="shared" si="388"/>
        <v>0</v>
      </c>
      <c r="I346" s="77">
        <f t="shared" si="389"/>
        <v>0</v>
      </c>
      <c r="J346" s="78">
        <f t="shared" si="390"/>
        <v>0</v>
      </c>
      <c r="K346" s="78" t="str">
        <f t="shared" si="391"/>
        <v>1900-01-00 00:0:00</v>
      </c>
      <c r="L346" s="78" t="str">
        <f t="shared" si="392"/>
        <v>1900-01-00 00:0:00</v>
      </c>
      <c r="M346" s="79">
        <f t="shared" si="393"/>
        <v>0</v>
      </c>
      <c r="N346">
        <f t="shared" si="394"/>
        <v>1</v>
      </c>
      <c r="O346" t="str">
        <f>IFERROR(_xlfn.XLOOKUP(A346,HC!A:A,HC!C:C),"")</f>
        <v>Workforce</v>
      </c>
      <c r="R346" s="78" t="b">
        <f t="shared" ref="R346:AO346" si="417">IFERROR(IF($B346=$D$1,IF(AND($K346&lt;R$1,$L346&lt;R$1),"",IF(AND($K346&gt;S$1,$L346&gt;S$1),"",IF(AND($K346&lt;R$1,$L346&lt;=S$1),$L346-R$1,IF(AND($K346&gt;=R$1,$L346&gt;S$1),S$1-$K346,IF(AND($K346&gt;=R$1,$L346&lt;=S$1),$L346-$K346,IF(AND($K346&lt;R$1,$L346&gt;S$1),S$1-R$1,""))))))),"")</f>
        <v>0</v>
      </c>
      <c r="S346" s="78" t="b">
        <f t="shared" si="417"/>
        <v>0</v>
      </c>
      <c r="T346" s="78" t="b">
        <f t="shared" si="417"/>
        <v>0</v>
      </c>
      <c r="U346" s="78" t="b">
        <f t="shared" si="417"/>
        <v>0</v>
      </c>
      <c r="V346" s="78" t="b">
        <f t="shared" si="417"/>
        <v>0</v>
      </c>
      <c r="W346" s="78" t="b">
        <f t="shared" si="417"/>
        <v>0</v>
      </c>
      <c r="X346" s="78" t="b">
        <f t="shared" si="417"/>
        <v>0</v>
      </c>
      <c r="Y346" s="78" t="b">
        <f t="shared" si="417"/>
        <v>0</v>
      </c>
      <c r="Z346" s="78" t="b">
        <f t="shared" si="417"/>
        <v>0</v>
      </c>
      <c r="AA346" s="78" t="b">
        <f t="shared" si="417"/>
        <v>0</v>
      </c>
      <c r="AB346" s="78" t="b">
        <f t="shared" si="417"/>
        <v>0</v>
      </c>
      <c r="AC346" s="78" t="b">
        <f t="shared" si="417"/>
        <v>0</v>
      </c>
      <c r="AD346" s="78" t="b">
        <f t="shared" si="417"/>
        <v>0</v>
      </c>
      <c r="AE346" s="78" t="b">
        <f t="shared" si="417"/>
        <v>0</v>
      </c>
      <c r="AF346" s="78" t="b">
        <f t="shared" si="417"/>
        <v>0</v>
      </c>
      <c r="AG346" s="78" t="b">
        <f t="shared" si="417"/>
        <v>0</v>
      </c>
      <c r="AH346" s="78" t="b">
        <f t="shared" si="417"/>
        <v>0</v>
      </c>
      <c r="AI346" s="78" t="b">
        <f t="shared" si="417"/>
        <v>0</v>
      </c>
      <c r="AJ346" s="78" t="b">
        <f t="shared" si="417"/>
        <v>0</v>
      </c>
      <c r="AK346" s="78" t="b">
        <f t="shared" si="417"/>
        <v>0</v>
      </c>
      <c r="AL346" s="78" t="b">
        <f t="shared" si="417"/>
        <v>0</v>
      </c>
      <c r="AM346" s="78" t="b">
        <f t="shared" si="417"/>
        <v>0</v>
      </c>
      <c r="AN346" s="78" t="b">
        <f t="shared" si="417"/>
        <v>0</v>
      </c>
      <c r="AO346" s="78" t="b">
        <f t="shared" si="417"/>
        <v>0</v>
      </c>
      <c r="AP346" s="78"/>
    </row>
    <row r="347" spans="4:42" x14ac:dyDescent="0.35">
      <c r="D347" s="96"/>
      <c r="E347" s="96"/>
      <c r="G347" s="77">
        <f t="shared" si="387"/>
        <v>0</v>
      </c>
      <c r="H347" s="78">
        <f t="shared" si="388"/>
        <v>0</v>
      </c>
      <c r="I347" s="77">
        <f t="shared" si="389"/>
        <v>0</v>
      </c>
      <c r="J347" s="78">
        <f t="shared" si="390"/>
        <v>0</v>
      </c>
      <c r="K347" s="78" t="str">
        <f t="shared" si="391"/>
        <v>1900-01-00 00:0:00</v>
      </c>
      <c r="L347" s="78" t="str">
        <f t="shared" si="392"/>
        <v>1900-01-00 00:0:00</v>
      </c>
      <c r="M347" s="79">
        <f t="shared" si="393"/>
        <v>0</v>
      </c>
      <c r="N347">
        <f t="shared" si="394"/>
        <v>1</v>
      </c>
      <c r="O347" t="str">
        <f>IFERROR(_xlfn.XLOOKUP(A347,HC!A:A,HC!C:C),"")</f>
        <v>Workforce</v>
      </c>
      <c r="R347" s="78" t="b">
        <f t="shared" ref="R347:AO347" si="418">IFERROR(IF($B347=$D$1,IF(AND($K347&lt;R$1,$L347&lt;R$1),"",IF(AND($K347&gt;S$1,$L347&gt;S$1),"",IF(AND($K347&lt;R$1,$L347&lt;=S$1),$L347-R$1,IF(AND($K347&gt;=R$1,$L347&gt;S$1),S$1-$K347,IF(AND($K347&gt;=R$1,$L347&lt;=S$1),$L347-$K347,IF(AND($K347&lt;R$1,$L347&gt;S$1),S$1-R$1,""))))))),"")</f>
        <v>0</v>
      </c>
      <c r="S347" s="78" t="b">
        <f t="shared" si="418"/>
        <v>0</v>
      </c>
      <c r="T347" s="78" t="b">
        <f t="shared" si="418"/>
        <v>0</v>
      </c>
      <c r="U347" s="78" t="b">
        <f t="shared" si="418"/>
        <v>0</v>
      </c>
      <c r="V347" s="78" t="b">
        <f t="shared" si="418"/>
        <v>0</v>
      </c>
      <c r="W347" s="78" t="b">
        <f t="shared" si="418"/>
        <v>0</v>
      </c>
      <c r="X347" s="78" t="b">
        <f t="shared" si="418"/>
        <v>0</v>
      </c>
      <c r="Y347" s="78" t="b">
        <f t="shared" si="418"/>
        <v>0</v>
      </c>
      <c r="Z347" s="78" t="b">
        <f t="shared" si="418"/>
        <v>0</v>
      </c>
      <c r="AA347" s="78" t="b">
        <f t="shared" si="418"/>
        <v>0</v>
      </c>
      <c r="AB347" s="78" t="b">
        <f t="shared" si="418"/>
        <v>0</v>
      </c>
      <c r="AC347" s="78" t="b">
        <f t="shared" si="418"/>
        <v>0</v>
      </c>
      <c r="AD347" s="78" t="b">
        <f t="shared" si="418"/>
        <v>0</v>
      </c>
      <c r="AE347" s="78" t="b">
        <f t="shared" si="418"/>
        <v>0</v>
      </c>
      <c r="AF347" s="78" t="b">
        <f t="shared" si="418"/>
        <v>0</v>
      </c>
      <c r="AG347" s="78" t="b">
        <f t="shared" si="418"/>
        <v>0</v>
      </c>
      <c r="AH347" s="78" t="b">
        <f t="shared" si="418"/>
        <v>0</v>
      </c>
      <c r="AI347" s="78" t="b">
        <f t="shared" si="418"/>
        <v>0</v>
      </c>
      <c r="AJ347" s="78" t="b">
        <f t="shared" si="418"/>
        <v>0</v>
      </c>
      <c r="AK347" s="78" t="b">
        <f t="shared" si="418"/>
        <v>0</v>
      </c>
      <c r="AL347" s="78" t="b">
        <f t="shared" si="418"/>
        <v>0</v>
      </c>
      <c r="AM347" s="78" t="b">
        <f t="shared" si="418"/>
        <v>0</v>
      </c>
      <c r="AN347" s="78" t="b">
        <f t="shared" si="418"/>
        <v>0</v>
      </c>
      <c r="AO347" s="78" t="b">
        <f t="shared" si="418"/>
        <v>0</v>
      </c>
      <c r="AP347" s="78"/>
    </row>
    <row r="348" spans="4:42" x14ac:dyDescent="0.35">
      <c r="D348" s="96"/>
      <c r="E348" s="96"/>
      <c r="G348" s="77">
        <f t="shared" si="387"/>
        <v>0</v>
      </c>
      <c r="H348" s="78">
        <f t="shared" si="388"/>
        <v>0</v>
      </c>
      <c r="I348" s="77">
        <f t="shared" si="389"/>
        <v>0</v>
      </c>
      <c r="J348" s="78">
        <f t="shared" si="390"/>
        <v>0</v>
      </c>
      <c r="K348" s="78" t="str">
        <f t="shared" si="391"/>
        <v>1900-01-00 00:0:00</v>
      </c>
      <c r="L348" s="78" t="str">
        <f t="shared" si="392"/>
        <v>1900-01-00 00:0:00</v>
      </c>
      <c r="M348" s="79">
        <f t="shared" si="393"/>
        <v>0</v>
      </c>
      <c r="N348">
        <f t="shared" si="394"/>
        <v>1</v>
      </c>
      <c r="O348" t="str">
        <f>IFERROR(_xlfn.XLOOKUP(A348,HC!A:A,HC!C:C),"")</f>
        <v>Workforce</v>
      </c>
      <c r="R348" s="78" t="b">
        <f t="shared" ref="R348:AO348" si="419">IFERROR(IF($B348=$D$1,IF(AND($K348&lt;R$1,$L348&lt;R$1),"",IF(AND($K348&gt;S$1,$L348&gt;S$1),"",IF(AND($K348&lt;R$1,$L348&lt;=S$1),$L348-R$1,IF(AND($K348&gt;=R$1,$L348&gt;S$1),S$1-$K348,IF(AND($K348&gt;=R$1,$L348&lt;=S$1),$L348-$K348,IF(AND($K348&lt;R$1,$L348&gt;S$1),S$1-R$1,""))))))),"")</f>
        <v>0</v>
      </c>
      <c r="S348" s="78" t="b">
        <f t="shared" si="419"/>
        <v>0</v>
      </c>
      <c r="T348" s="78" t="b">
        <f t="shared" si="419"/>
        <v>0</v>
      </c>
      <c r="U348" s="78" t="b">
        <f t="shared" si="419"/>
        <v>0</v>
      </c>
      <c r="V348" s="78" t="b">
        <f t="shared" si="419"/>
        <v>0</v>
      </c>
      <c r="W348" s="78" t="b">
        <f t="shared" si="419"/>
        <v>0</v>
      </c>
      <c r="X348" s="78" t="b">
        <f t="shared" si="419"/>
        <v>0</v>
      </c>
      <c r="Y348" s="78" t="b">
        <f t="shared" si="419"/>
        <v>0</v>
      </c>
      <c r="Z348" s="78" t="b">
        <f t="shared" si="419"/>
        <v>0</v>
      </c>
      <c r="AA348" s="78" t="b">
        <f t="shared" si="419"/>
        <v>0</v>
      </c>
      <c r="AB348" s="78" t="b">
        <f t="shared" si="419"/>
        <v>0</v>
      </c>
      <c r="AC348" s="78" t="b">
        <f t="shared" si="419"/>
        <v>0</v>
      </c>
      <c r="AD348" s="78" t="b">
        <f t="shared" si="419"/>
        <v>0</v>
      </c>
      <c r="AE348" s="78" t="b">
        <f t="shared" si="419"/>
        <v>0</v>
      </c>
      <c r="AF348" s="78" t="b">
        <f t="shared" si="419"/>
        <v>0</v>
      </c>
      <c r="AG348" s="78" t="b">
        <f t="shared" si="419"/>
        <v>0</v>
      </c>
      <c r="AH348" s="78" t="b">
        <f t="shared" si="419"/>
        <v>0</v>
      </c>
      <c r="AI348" s="78" t="b">
        <f t="shared" si="419"/>
        <v>0</v>
      </c>
      <c r="AJ348" s="78" t="b">
        <f t="shared" si="419"/>
        <v>0</v>
      </c>
      <c r="AK348" s="78" t="b">
        <f t="shared" si="419"/>
        <v>0</v>
      </c>
      <c r="AL348" s="78" t="b">
        <f t="shared" si="419"/>
        <v>0</v>
      </c>
      <c r="AM348" s="78" t="b">
        <f t="shared" si="419"/>
        <v>0</v>
      </c>
      <c r="AN348" s="78" t="b">
        <f t="shared" si="419"/>
        <v>0</v>
      </c>
      <c r="AO348" s="78" t="b">
        <f t="shared" si="419"/>
        <v>0</v>
      </c>
      <c r="AP348" s="78"/>
    </row>
    <row r="349" spans="4:42" x14ac:dyDescent="0.35">
      <c r="D349" s="96"/>
      <c r="E349" s="96"/>
      <c r="G349" s="77">
        <f t="shared" si="387"/>
        <v>0</v>
      </c>
      <c r="H349" s="78">
        <f t="shared" si="388"/>
        <v>0</v>
      </c>
      <c r="I349" s="77">
        <f t="shared" si="389"/>
        <v>0</v>
      </c>
      <c r="J349" s="78">
        <f t="shared" si="390"/>
        <v>0</v>
      </c>
      <c r="K349" s="78" t="str">
        <f t="shared" si="391"/>
        <v>1900-01-00 00:0:00</v>
      </c>
      <c r="L349" s="78" t="str">
        <f t="shared" si="392"/>
        <v>1900-01-00 00:0:00</v>
      </c>
      <c r="M349" s="79">
        <f t="shared" si="393"/>
        <v>0</v>
      </c>
      <c r="N349">
        <f t="shared" si="394"/>
        <v>1</v>
      </c>
      <c r="O349" t="str">
        <f>IFERROR(_xlfn.XLOOKUP(A349,HC!A:A,HC!C:C),"")</f>
        <v>Workforce</v>
      </c>
      <c r="R349" s="78" t="b">
        <f t="shared" ref="R349:AO349" si="420">IFERROR(IF($B349=$D$1,IF(AND($K349&lt;R$1,$L349&lt;R$1),"",IF(AND($K349&gt;S$1,$L349&gt;S$1),"",IF(AND($K349&lt;R$1,$L349&lt;=S$1),$L349-R$1,IF(AND($K349&gt;=R$1,$L349&gt;S$1),S$1-$K349,IF(AND($K349&gt;=R$1,$L349&lt;=S$1),$L349-$K349,IF(AND($K349&lt;R$1,$L349&gt;S$1),S$1-R$1,""))))))),"")</f>
        <v>0</v>
      </c>
      <c r="S349" s="78" t="b">
        <f t="shared" si="420"/>
        <v>0</v>
      </c>
      <c r="T349" s="78" t="b">
        <f t="shared" si="420"/>
        <v>0</v>
      </c>
      <c r="U349" s="78" t="b">
        <f t="shared" si="420"/>
        <v>0</v>
      </c>
      <c r="V349" s="78" t="b">
        <f t="shared" si="420"/>
        <v>0</v>
      </c>
      <c r="W349" s="78" t="b">
        <f t="shared" si="420"/>
        <v>0</v>
      </c>
      <c r="X349" s="78" t="b">
        <f t="shared" si="420"/>
        <v>0</v>
      </c>
      <c r="Y349" s="78" t="b">
        <f t="shared" si="420"/>
        <v>0</v>
      </c>
      <c r="Z349" s="78" t="b">
        <f t="shared" si="420"/>
        <v>0</v>
      </c>
      <c r="AA349" s="78" t="b">
        <f t="shared" si="420"/>
        <v>0</v>
      </c>
      <c r="AB349" s="78" t="b">
        <f t="shared" si="420"/>
        <v>0</v>
      </c>
      <c r="AC349" s="78" t="b">
        <f t="shared" si="420"/>
        <v>0</v>
      </c>
      <c r="AD349" s="78" t="b">
        <f t="shared" si="420"/>
        <v>0</v>
      </c>
      <c r="AE349" s="78" t="b">
        <f t="shared" si="420"/>
        <v>0</v>
      </c>
      <c r="AF349" s="78" t="b">
        <f t="shared" si="420"/>
        <v>0</v>
      </c>
      <c r="AG349" s="78" t="b">
        <f t="shared" si="420"/>
        <v>0</v>
      </c>
      <c r="AH349" s="78" t="b">
        <f t="shared" si="420"/>
        <v>0</v>
      </c>
      <c r="AI349" s="78" t="b">
        <f t="shared" si="420"/>
        <v>0</v>
      </c>
      <c r="AJ349" s="78" t="b">
        <f t="shared" si="420"/>
        <v>0</v>
      </c>
      <c r="AK349" s="78" t="b">
        <f t="shared" si="420"/>
        <v>0</v>
      </c>
      <c r="AL349" s="78" t="b">
        <f t="shared" si="420"/>
        <v>0</v>
      </c>
      <c r="AM349" s="78" t="b">
        <f t="shared" si="420"/>
        <v>0</v>
      </c>
      <c r="AN349" s="78" t="b">
        <f t="shared" si="420"/>
        <v>0</v>
      </c>
      <c r="AO349" s="78" t="b">
        <f t="shared" si="420"/>
        <v>0</v>
      </c>
      <c r="AP349" s="78"/>
    </row>
    <row r="350" spans="4:42" x14ac:dyDescent="0.35">
      <c r="D350" s="96"/>
      <c r="E350" s="96"/>
      <c r="G350" s="77">
        <f t="shared" si="387"/>
        <v>0</v>
      </c>
      <c r="H350" s="78">
        <f t="shared" si="388"/>
        <v>0</v>
      </c>
      <c r="I350" s="77">
        <f t="shared" si="389"/>
        <v>0</v>
      </c>
      <c r="J350" s="78">
        <f t="shared" si="390"/>
        <v>0</v>
      </c>
      <c r="K350" s="78" t="str">
        <f t="shared" si="391"/>
        <v>1900-01-00 00:0:00</v>
      </c>
      <c r="L350" s="78" t="str">
        <f t="shared" si="392"/>
        <v>1900-01-00 00:0:00</v>
      </c>
      <c r="M350" s="79">
        <f t="shared" si="393"/>
        <v>0</v>
      </c>
      <c r="N350">
        <f t="shared" si="394"/>
        <v>1</v>
      </c>
      <c r="O350" t="str">
        <f>IFERROR(_xlfn.XLOOKUP(A350,HC!A:A,HC!C:C),"")</f>
        <v>Workforce</v>
      </c>
      <c r="R350" s="78" t="b">
        <f t="shared" ref="R350:AO350" si="421">IFERROR(IF($B350=$D$1,IF(AND($K350&lt;R$1,$L350&lt;R$1),"",IF(AND($K350&gt;S$1,$L350&gt;S$1),"",IF(AND($K350&lt;R$1,$L350&lt;=S$1),$L350-R$1,IF(AND($K350&gt;=R$1,$L350&gt;S$1),S$1-$K350,IF(AND($K350&gt;=R$1,$L350&lt;=S$1),$L350-$K350,IF(AND($K350&lt;R$1,$L350&gt;S$1),S$1-R$1,""))))))),"")</f>
        <v>0</v>
      </c>
      <c r="S350" s="78" t="b">
        <f t="shared" si="421"/>
        <v>0</v>
      </c>
      <c r="T350" s="78" t="b">
        <f t="shared" si="421"/>
        <v>0</v>
      </c>
      <c r="U350" s="78" t="b">
        <f t="shared" si="421"/>
        <v>0</v>
      </c>
      <c r="V350" s="78" t="b">
        <f t="shared" si="421"/>
        <v>0</v>
      </c>
      <c r="W350" s="78" t="b">
        <f t="shared" si="421"/>
        <v>0</v>
      </c>
      <c r="X350" s="78" t="b">
        <f t="shared" si="421"/>
        <v>0</v>
      </c>
      <c r="Y350" s="78" t="b">
        <f t="shared" si="421"/>
        <v>0</v>
      </c>
      <c r="Z350" s="78" t="b">
        <f t="shared" si="421"/>
        <v>0</v>
      </c>
      <c r="AA350" s="78" t="b">
        <f t="shared" si="421"/>
        <v>0</v>
      </c>
      <c r="AB350" s="78" t="b">
        <f t="shared" si="421"/>
        <v>0</v>
      </c>
      <c r="AC350" s="78" t="b">
        <f t="shared" si="421"/>
        <v>0</v>
      </c>
      <c r="AD350" s="78" t="b">
        <f t="shared" si="421"/>
        <v>0</v>
      </c>
      <c r="AE350" s="78" t="b">
        <f t="shared" si="421"/>
        <v>0</v>
      </c>
      <c r="AF350" s="78" t="b">
        <f t="shared" si="421"/>
        <v>0</v>
      </c>
      <c r="AG350" s="78" t="b">
        <f t="shared" si="421"/>
        <v>0</v>
      </c>
      <c r="AH350" s="78" t="b">
        <f t="shared" si="421"/>
        <v>0</v>
      </c>
      <c r="AI350" s="78" t="b">
        <f t="shared" si="421"/>
        <v>0</v>
      </c>
      <c r="AJ350" s="78" t="b">
        <f t="shared" si="421"/>
        <v>0</v>
      </c>
      <c r="AK350" s="78" t="b">
        <f t="shared" si="421"/>
        <v>0</v>
      </c>
      <c r="AL350" s="78" t="b">
        <f t="shared" si="421"/>
        <v>0</v>
      </c>
      <c r="AM350" s="78" t="b">
        <f t="shared" si="421"/>
        <v>0</v>
      </c>
      <c r="AN350" s="78" t="b">
        <f t="shared" si="421"/>
        <v>0</v>
      </c>
      <c r="AO350" s="78" t="b">
        <f t="shared" si="421"/>
        <v>0</v>
      </c>
      <c r="AP350" s="78"/>
    </row>
    <row r="351" spans="4:42" x14ac:dyDescent="0.35">
      <c r="D351" s="96"/>
      <c r="E351" s="96"/>
      <c r="G351" s="77">
        <f t="shared" si="387"/>
        <v>0</v>
      </c>
      <c r="H351" s="78">
        <f t="shared" si="388"/>
        <v>0</v>
      </c>
      <c r="I351" s="77">
        <f t="shared" si="389"/>
        <v>0</v>
      </c>
      <c r="J351" s="78">
        <f t="shared" si="390"/>
        <v>0</v>
      </c>
      <c r="K351" s="78" t="str">
        <f t="shared" si="391"/>
        <v>1900-01-00 00:0:00</v>
      </c>
      <c r="L351" s="78" t="str">
        <f t="shared" si="392"/>
        <v>1900-01-00 00:0:00</v>
      </c>
      <c r="M351" s="79">
        <f t="shared" si="393"/>
        <v>0</v>
      </c>
      <c r="N351">
        <f t="shared" si="394"/>
        <v>1</v>
      </c>
      <c r="O351" t="str">
        <f>IFERROR(_xlfn.XLOOKUP(A351,HC!A:A,HC!C:C),"")</f>
        <v>Workforce</v>
      </c>
      <c r="R351" s="78" t="b">
        <f t="shared" ref="R351:AO351" si="422">IFERROR(IF($B351=$D$1,IF(AND($K351&lt;R$1,$L351&lt;R$1),"",IF(AND($K351&gt;S$1,$L351&gt;S$1),"",IF(AND($K351&lt;R$1,$L351&lt;=S$1),$L351-R$1,IF(AND($K351&gt;=R$1,$L351&gt;S$1),S$1-$K351,IF(AND($K351&gt;=R$1,$L351&lt;=S$1),$L351-$K351,IF(AND($K351&lt;R$1,$L351&gt;S$1),S$1-R$1,""))))))),"")</f>
        <v>0</v>
      </c>
      <c r="S351" s="78" t="b">
        <f t="shared" si="422"/>
        <v>0</v>
      </c>
      <c r="T351" s="78" t="b">
        <f t="shared" si="422"/>
        <v>0</v>
      </c>
      <c r="U351" s="78" t="b">
        <f t="shared" si="422"/>
        <v>0</v>
      </c>
      <c r="V351" s="78" t="b">
        <f t="shared" si="422"/>
        <v>0</v>
      </c>
      <c r="W351" s="78" t="b">
        <f t="shared" si="422"/>
        <v>0</v>
      </c>
      <c r="X351" s="78" t="b">
        <f t="shared" si="422"/>
        <v>0</v>
      </c>
      <c r="Y351" s="78" t="b">
        <f t="shared" si="422"/>
        <v>0</v>
      </c>
      <c r="Z351" s="78" t="b">
        <f t="shared" si="422"/>
        <v>0</v>
      </c>
      <c r="AA351" s="78" t="b">
        <f t="shared" si="422"/>
        <v>0</v>
      </c>
      <c r="AB351" s="78" t="b">
        <f t="shared" si="422"/>
        <v>0</v>
      </c>
      <c r="AC351" s="78" t="b">
        <f t="shared" si="422"/>
        <v>0</v>
      </c>
      <c r="AD351" s="78" t="b">
        <f t="shared" si="422"/>
        <v>0</v>
      </c>
      <c r="AE351" s="78" t="b">
        <f t="shared" si="422"/>
        <v>0</v>
      </c>
      <c r="AF351" s="78" t="b">
        <f t="shared" si="422"/>
        <v>0</v>
      </c>
      <c r="AG351" s="78" t="b">
        <f t="shared" si="422"/>
        <v>0</v>
      </c>
      <c r="AH351" s="78" t="b">
        <f t="shared" si="422"/>
        <v>0</v>
      </c>
      <c r="AI351" s="78" t="b">
        <f t="shared" si="422"/>
        <v>0</v>
      </c>
      <c r="AJ351" s="78" t="b">
        <f t="shared" si="422"/>
        <v>0</v>
      </c>
      <c r="AK351" s="78" t="b">
        <f t="shared" si="422"/>
        <v>0</v>
      </c>
      <c r="AL351" s="78" t="b">
        <f t="shared" si="422"/>
        <v>0</v>
      </c>
      <c r="AM351" s="78" t="b">
        <f t="shared" si="422"/>
        <v>0</v>
      </c>
      <c r="AN351" s="78" t="b">
        <f t="shared" si="422"/>
        <v>0</v>
      </c>
      <c r="AO351" s="78" t="b">
        <f t="shared" si="422"/>
        <v>0</v>
      </c>
      <c r="AP351" s="78"/>
    </row>
    <row r="352" spans="4:42" x14ac:dyDescent="0.35">
      <c r="D352" s="96"/>
      <c r="E352" s="96"/>
      <c r="G352" s="77">
        <f t="shared" si="387"/>
        <v>0</v>
      </c>
      <c r="H352" s="78">
        <f t="shared" si="388"/>
        <v>0</v>
      </c>
      <c r="I352" s="77">
        <f t="shared" si="389"/>
        <v>0</v>
      </c>
      <c r="J352" s="78">
        <f t="shared" si="390"/>
        <v>0</v>
      </c>
      <c r="K352" s="78" t="str">
        <f t="shared" si="391"/>
        <v>1900-01-00 00:0:00</v>
      </c>
      <c r="L352" s="78" t="str">
        <f t="shared" si="392"/>
        <v>1900-01-00 00:0:00</v>
      </c>
      <c r="M352" s="79">
        <f t="shared" si="393"/>
        <v>0</v>
      </c>
      <c r="N352">
        <f t="shared" si="394"/>
        <v>1</v>
      </c>
      <c r="O352" t="str">
        <f>IFERROR(_xlfn.XLOOKUP(A352,HC!A:A,HC!C:C),"")</f>
        <v>Workforce</v>
      </c>
      <c r="R352" s="78" t="b">
        <f t="shared" ref="R352:AO352" si="423">IFERROR(IF($B352=$D$1,IF(AND($K352&lt;R$1,$L352&lt;R$1),"",IF(AND($K352&gt;S$1,$L352&gt;S$1),"",IF(AND($K352&lt;R$1,$L352&lt;=S$1),$L352-R$1,IF(AND($K352&gt;=R$1,$L352&gt;S$1),S$1-$K352,IF(AND($K352&gt;=R$1,$L352&lt;=S$1),$L352-$K352,IF(AND($K352&lt;R$1,$L352&gt;S$1),S$1-R$1,""))))))),"")</f>
        <v>0</v>
      </c>
      <c r="S352" s="78" t="b">
        <f t="shared" si="423"/>
        <v>0</v>
      </c>
      <c r="T352" s="78" t="b">
        <f t="shared" si="423"/>
        <v>0</v>
      </c>
      <c r="U352" s="78" t="b">
        <f t="shared" si="423"/>
        <v>0</v>
      </c>
      <c r="V352" s="78" t="b">
        <f t="shared" si="423"/>
        <v>0</v>
      </c>
      <c r="W352" s="78" t="b">
        <f t="shared" si="423"/>
        <v>0</v>
      </c>
      <c r="X352" s="78" t="b">
        <f t="shared" si="423"/>
        <v>0</v>
      </c>
      <c r="Y352" s="78" t="b">
        <f t="shared" si="423"/>
        <v>0</v>
      </c>
      <c r="Z352" s="78" t="b">
        <f t="shared" si="423"/>
        <v>0</v>
      </c>
      <c r="AA352" s="78" t="b">
        <f t="shared" si="423"/>
        <v>0</v>
      </c>
      <c r="AB352" s="78" t="b">
        <f t="shared" si="423"/>
        <v>0</v>
      </c>
      <c r="AC352" s="78" t="b">
        <f t="shared" si="423"/>
        <v>0</v>
      </c>
      <c r="AD352" s="78" t="b">
        <f t="shared" si="423"/>
        <v>0</v>
      </c>
      <c r="AE352" s="78" t="b">
        <f t="shared" si="423"/>
        <v>0</v>
      </c>
      <c r="AF352" s="78" t="b">
        <f t="shared" si="423"/>
        <v>0</v>
      </c>
      <c r="AG352" s="78" t="b">
        <f t="shared" si="423"/>
        <v>0</v>
      </c>
      <c r="AH352" s="78" t="b">
        <f t="shared" si="423"/>
        <v>0</v>
      </c>
      <c r="AI352" s="78" t="b">
        <f t="shared" si="423"/>
        <v>0</v>
      </c>
      <c r="AJ352" s="78" t="b">
        <f t="shared" si="423"/>
        <v>0</v>
      </c>
      <c r="AK352" s="78" t="b">
        <f t="shared" si="423"/>
        <v>0</v>
      </c>
      <c r="AL352" s="78" t="b">
        <f t="shared" si="423"/>
        <v>0</v>
      </c>
      <c r="AM352" s="78" t="b">
        <f t="shared" si="423"/>
        <v>0</v>
      </c>
      <c r="AN352" s="78" t="b">
        <f t="shared" si="423"/>
        <v>0</v>
      </c>
      <c r="AO352" s="78" t="b">
        <f t="shared" si="423"/>
        <v>0</v>
      </c>
      <c r="AP352" s="78"/>
    </row>
    <row r="353" spans="4:42" x14ac:dyDescent="0.35">
      <c r="D353" s="96"/>
      <c r="E353" s="96"/>
      <c r="G353" s="77">
        <f t="shared" si="387"/>
        <v>0</v>
      </c>
      <c r="H353" s="78">
        <f t="shared" si="388"/>
        <v>0</v>
      </c>
      <c r="I353" s="77">
        <f t="shared" si="389"/>
        <v>0</v>
      </c>
      <c r="J353" s="78">
        <f t="shared" si="390"/>
        <v>0</v>
      </c>
      <c r="K353" s="78" t="str">
        <f t="shared" si="391"/>
        <v>1900-01-00 00:0:00</v>
      </c>
      <c r="L353" s="78" t="str">
        <f t="shared" si="392"/>
        <v>1900-01-00 00:0:00</v>
      </c>
      <c r="M353" s="79">
        <f t="shared" si="393"/>
        <v>0</v>
      </c>
      <c r="N353">
        <f t="shared" si="394"/>
        <v>1</v>
      </c>
      <c r="O353" t="str">
        <f>IFERROR(_xlfn.XLOOKUP(A353,HC!A:A,HC!C:C),"")</f>
        <v>Workforce</v>
      </c>
      <c r="R353" s="78" t="b">
        <f t="shared" ref="R353:AO353" si="424">IFERROR(IF($B353=$D$1,IF(AND($K353&lt;R$1,$L353&lt;R$1),"",IF(AND($K353&gt;S$1,$L353&gt;S$1),"",IF(AND($K353&lt;R$1,$L353&lt;=S$1),$L353-R$1,IF(AND($K353&gt;=R$1,$L353&gt;S$1),S$1-$K353,IF(AND($K353&gt;=R$1,$L353&lt;=S$1),$L353-$K353,IF(AND($K353&lt;R$1,$L353&gt;S$1),S$1-R$1,""))))))),"")</f>
        <v>0</v>
      </c>
      <c r="S353" s="78" t="b">
        <f t="shared" si="424"/>
        <v>0</v>
      </c>
      <c r="T353" s="78" t="b">
        <f t="shared" si="424"/>
        <v>0</v>
      </c>
      <c r="U353" s="78" t="b">
        <f t="shared" si="424"/>
        <v>0</v>
      </c>
      <c r="V353" s="78" t="b">
        <f t="shared" si="424"/>
        <v>0</v>
      </c>
      <c r="W353" s="78" t="b">
        <f t="shared" si="424"/>
        <v>0</v>
      </c>
      <c r="X353" s="78" t="b">
        <f t="shared" si="424"/>
        <v>0</v>
      </c>
      <c r="Y353" s="78" t="b">
        <f t="shared" si="424"/>
        <v>0</v>
      </c>
      <c r="Z353" s="78" t="b">
        <f t="shared" si="424"/>
        <v>0</v>
      </c>
      <c r="AA353" s="78" t="b">
        <f t="shared" si="424"/>
        <v>0</v>
      </c>
      <c r="AB353" s="78" t="b">
        <f t="shared" si="424"/>
        <v>0</v>
      </c>
      <c r="AC353" s="78" t="b">
        <f t="shared" si="424"/>
        <v>0</v>
      </c>
      <c r="AD353" s="78" t="b">
        <f t="shared" si="424"/>
        <v>0</v>
      </c>
      <c r="AE353" s="78" t="b">
        <f t="shared" si="424"/>
        <v>0</v>
      </c>
      <c r="AF353" s="78" t="b">
        <f t="shared" si="424"/>
        <v>0</v>
      </c>
      <c r="AG353" s="78" t="b">
        <f t="shared" si="424"/>
        <v>0</v>
      </c>
      <c r="AH353" s="78" t="b">
        <f t="shared" si="424"/>
        <v>0</v>
      </c>
      <c r="AI353" s="78" t="b">
        <f t="shared" si="424"/>
        <v>0</v>
      </c>
      <c r="AJ353" s="78" t="b">
        <f t="shared" si="424"/>
        <v>0</v>
      </c>
      <c r="AK353" s="78" t="b">
        <f t="shared" si="424"/>
        <v>0</v>
      </c>
      <c r="AL353" s="78" t="b">
        <f t="shared" si="424"/>
        <v>0</v>
      </c>
      <c r="AM353" s="78" t="b">
        <f t="shared" si="424"/>
        <v>0</v>
      </c>
      <c r="AN353" s="78" t="b">
        <f t="shared" si="424"/>
        <v>0</v>
      </c>
      <c r="AO353" s="78" t="b">
        <f t="shared" si="424"/>
        <v>0</v>
      </c>
      <c r="AP353" s="78"/>
    </row>
    <row r="354" spans="4:42" x14ac:dyDescent="0.35">
      <c r="D354" s="96"/>
      <c r="E354" s="96"/>
      <c r="G354" s="77">
        <f t="shared" si="387"/>
        <v>0</v>
      </c>
      <c r="H354" s="78">
        <f t="shared" si="388"/>
        <v>0</v>
      </c>
      <c r="I354" s="77">
        <f t="shared" si="389"/>
        <v>0</v>
      </c>
      <c r="J354" s="78">
        <f t="shared" si="390"/>
        <v>0</v>
      </c>
      <c r="K354" s="78" t="str">
        <f t="shared" si="391"/>
        <v>1900-01-00 00:0:00</v>
      </c>
      <c r="L354" s="78" t="str">
        <f t="shared" si="392"/>
        <v>1900-01-00 00:0:00</v>
      </c>
      <c r="M354" s="79">
        <f t="shared" si="393"/>
        <v>0</v>
      </c>
      <c r="N354">
        <f t="shared" si="394"/>
        <v>1</v>
      </c>
      <c r="O354" t="str">
        <f>IFERROR(_xlfn.XLOOKUP(A354,HC!A:A,HC!C:C),"")</f>
        <v>Workforce</v>
      </c>
      <c r="R354" s="78" t="b">
        <f t="shared" ref="R354:AO354" si="425">IFERROR(IF($B354=$D$1,IF(AND($K354&lt;R$1,$L354&lt;R$1),"",IF(AND($K354&gt;S$1,$L354&gt;S$1),"",IF(AND($K354&lt;R$1,$L354&lt;=S$1),$L354-R$1,IF(AND($K354&gt;=R$1,$L354&gt;S$1),S$1-$K354,IF(AND($K354&gt;=R$1,$L354&lt;=S$1),$L354-$K354,IF(AND($K354&lt;R$1,$L354&gt;S$1),S$1-R$1,""))))))),"")</f>
        <v>0</v>
      </c>
      <c r="S354" s="78" t="b">
        <f t="shared" si="425"/>
        <v>0</v>
      </c>
      <c r="T354" s="78" t="b">
        <f t="shared" si="425"/>
        <v>0</v>
      </c>
      <c r="U354" s="78" t="b">
        <f t="shared" si="425"/>
        <v>0</v>
      </c>
      <c r="V354" s="78" t="b">
        <f t="shared" si="425"/>
        <v>0</v>
      </c>
      <c r="W354" s="78" t="b">
        <f t="shared" si="425"/>
        <v>0</v>
      </c>
      <c r="X354" s="78" t="b">
        <f t="shared" si="425"/>
        <v>0</v>
      </c>
      <c r="Y354" s="78" t="b">
        <f t="shared" si="425"/>
        <v>0</v>
      </c>
      <c r="Z354" s="78" t="b">
        <f t="shared" si="425"/>
        <v>0</v>
      </c>
      <c r="AA354" s="78" t="b">
        <f t="shared" si="425"/>
        <v>0</v>
      </c>
      <c r="AB354" s="78" t="b">
        <f t="shared" si="425"/>
        <v>0</v>
      </c>
      <c r="AC354" s="78" t="b">
        <f t="shared" si="425"/>
        <v>0</v>
      </c>
      <c r="AD354" s="78" t="b">
        <f t="shared" si="425"/>
        <v>0</v>
      </c>
      <c r="AE354" s="78" t="b">
        <f t="shared" si="425"/>
        <v>0</v>
      </c>
      <c r="AF354" s="78" t="b">
        <f t="shared" si="425"/>
        <v>0</v>
      </c>
      <c r="AG354" s="78" t="b">
        <f t="shared" si="425"/>
        <v>0</v>
      </c>
      <c r="AH354" s="78" t="b">
        <f t="shared" si="425"/>
        <v>0</v>
      </c>
      <c r="AI354" s="78" t="b">
        <f t="shared" si="425"/>
        <v>0</v>
      </c>
      <c r="AJ354" s="78" t="b">
        <f t="shared" si="425"/>
        <v>0</v>
      </c>
      <c r="AK354" s="78" t="b">
        <f t="shared" si="425"/>
        <v>0</v>
      </c>
      <c r="AL354" s="78" t="b">
        <f t="shared" si="425"/>
        <v>0</v>
      </c>
      <c r="AM354" s="78" t="b">
        <f t="shared" si="425"/>
        <v>0</v>
      </c>
      <c r="AN354" s="78" t="b">
        <f t="shared" si="425"/>
        <v>0</v>
      </c>
      <c r="AO354" s="78" t="b">
        <f t="shared" si="425"/>
        <v>0</v>
      </c>
      <c r="AP354" s="78"/>
    </row>
    <row r="355" spans="4:42" x14ac:dyDescent="0.35">
      <c r="D355" s="96"/>
      <c r="E355" s="96"/>
      <c r="G355" s="77">
        <f t="shared" si="387"/>
        <v>0</v>
      </c>
      <c r="H355" s="78">
        <f t="shared" si="388"/>
        <v>0</v>
      </c>
      <c r="I355" s="77">
        <f t="shared" si="389"/>
        <v>0</v>
      </c>
      <c r="J355" s="78">
        <f t="shared" si="390"/>
        <v>0</v>
      </c>
      <c r="K355" s="78" t="str">
        <f t="shared" si="391"/>
        <v>1900-01-00 00:0:00</v>
      </c>
      <c r="L355" s="78" t="str">
        <f t="shared" si="392"/>
        <v>1900-01-00 00:0:00</v>
      </c>
      <c r="M355" s="79">
        <f t="shared" si="393"/>
        <v>0</v>
      </c>
      <c r="N355">
        <f t="shared" si="394"/>
        <v>1</v>
      </c>
      <c r="O355" t="str">
        <f>IFERROR(_xlfn.XLOOKUP(A355,HC!A:A,HC!C:C),"")</f>
        <v>Workforce</v>
      </c>
      <c r="R355" s="78" t="b">
        <f t="shared" ref="R355:AO355" si="426">IFERROR(IF($B355=$D$1,IF(AND($K355&lt;R$1,$L355&lt;R$1),"",IF(AND($K355&gt;S$1,$L355&gt;S$1),"",IF(AND($K355&lt;R$1,$L355&lt;=S$1),$L355-R$1,IF(AND($K355&gt;=R$1,$L355&gt;S$1),S$1-$K355,IF(AND($K355&gt;=R$1,$L355&lt;=S$1),$L355-$K355,IF(AND($K355&lt;R$1,$L355&gt;S$1),S$1-R$1,""))))))),"")</f>
        <v>0</v>
      </c>
      <c r="S355" s="78" t="b">
        <f t="shared" si="426"/>
        <v>0</v>
      </c>
      <c r="T355" s="78" t="b">
        <f t="shared" si="426"/>
        <v>0</v>
      </c>
      <c r="U355" s="78" t="b">
        <f t="shared" si="426"/>
        <v>0</v>
      </c>
      <c r="V355" s="78" t="b">
        <f t="shared" si="426"/>
        <v>0</v>
      </c>
      <c r="W355" s="78" t="b">
        <f t="shared" si="426"/>
        <v>0</v>
      </c>
      <c r="X355" s="78" t="b">
        <f t="shared" si="426"/>
        <v>0</v>
      </c>
      <c r="Y355" s="78" t="b">
        <f t="shared" si="426"/>
        <v>0</v>
      </c>
      <c r="Z355" s="78" t="b">
        <f t="shared" si="426"/>
        <v>0</v>
      </c>
      <c r="AA355" s="78" t="b">
        <f t="shared" si="426"/>
        <v>0</v>
      </c>
      <c r="AB355" s="78" t="b">
        <f t="shared" si="426"/>
        <v>0</v>
      </c>
      <c r="AC355" s="78" t="b">
        <f t="shared" si="426"/>
        <v>0</v>
      </c>
      <c r="AD355" s="78" t="b">
        <f t="shared" si="426"/>
        <v>0</v>
      </c>
      <c r="AE355" s="78" t="b">
        <f t="shared" si="426"/>
        <v>0</v>
      </c>
      <c r="AF355" s="78" t="b">
        <f t="shared" si="426"/>
        <v>0</v>
      </c>
      <c r="AG355" s="78" t="b">
        <f t="shared" si="426"/>
        <v>0</v>
      </c>
      <c r="AH355" s="78" t="b">
        <f t="shared" si="426"/>
        <v>0</v>
      </c>
      <c r="AI355" s="78" t="b">
        <f t="shared" si="426"/>
        <v>0</v>
      </c>
      <c r="AJ355" s="78" t="b">
        <f t="shared" si="426"/>
        <v>0</v>
      </c>
      <c r="AK355" s="78" t="b">
        <f t="shared" si="426"/>
        <v>0</v>
      </c>
      <c r="AL355" s="78" t="b">
        <f t="shared" si="426"/>
        <v>0</v>
      </c>
      <c r="AM355" s="78" t="b">
        <f t="shared" si="426"/>
        <v>0</v>
      </c>
      <c r="AN355" s="78" t="b">
        <f t="shared" si="426"/>
        <v>0</v>
      </c>
      <c r="AO355" s="78" t="b">
        <f t="shared" si="426"/>
        <v>0</v>
      </c>
      <c r="AP355" s="78"/>
    </row>
    <row r="356" spans="4:42" x14ac:dyDescent="0.35">
      <c r="D356" s="96"/>
      <c r="E356" s="96"/>
      <c r="G356" s="77">
        <f t="shared" si="387"/>
        <v>0</v>
      </c>
      <c r="H356" s="78">
        <f t="shared" si="388"/>
        <v>0</v>
      </c>
      <c r="I356" s="77">
        <f t="shared" si="389"/>
        <v>0</v>
      </c>
      <c r="J356" s="78">
        <f t="shared" si="390"/>
        <v>0</v>
      </c>
      <c r="K356" s="78" t="str">
        <f t="shared" si="391"/>
        <v>1900-01-00 00:0:00</v>
      </c>
      <c r="L356" s="78" t="str">
        <f t="shared" si="392"/>
        <v>1900-01-00 00:0:00</v>
      </c>
      <c r="M356" s="79">
        <f t="shared" si="393"/>
        <v>0</v>
      </c>
      <c r="N356">
        <f t="shared" si="394"/>
        <v>1</v>
      </c>
      <c r="O356" t="str">
        <f>IFERROR(_xlfn.XLOOKUP(A356,HC!A:A,HC!C:C),"")</f>
        <v>Workforce</v>
      </c>
      <c r="R356" s="78" t="b">
        <f t="shared" ref="R356:AO356" si="427">IFERROR(IF($B356=$D$1,IF(AND($K356&lt;R$1,$L356&lt;R$1),"",IF(AND($K356&gt;S$1,$L356&gt;S$1),"",IF(AND($K356&lt;R$1,$L356&lt;=S$1),$L356-R$1,IF(AND($K356&gt;=R$1,$L356&gt;S$1),S$1-$K356,IF(AND($K356&gt;=R$1,$L356&lt;=S$1),$L356-$K356,IF(AND($K356&lt;R$1,$L356&gt;S$1),S$1-R$1,""))))))),"")</f>
        <v>0</v>
      </c>
      <c r="S356" s="78" t="b">
        <f t="shared" si="427"/>
        <v>0</v>
      </c>
      <c r="T356" s="78" t="b">
        <f t="shared" si="427"/>
        <v>0</v>
      </c>
      <c r="U356" s="78" t="b">
        <f t="shared" si="427"/>
        <v>0</v>
      </c>
      <c r="V356" s="78" t="b">
        <f t="shared" si="427"/>
        <v>0</v>
      </c>
      <c r="W356" s="78" t="b">
        <f t="shared" si="427"/>
        <v>0</v>
      </c>
      <c r="X356" s="78" t="b">
        <f t="shared" si="427"/>
        <v>0</v>
      </c>
      <c r="Y356" s="78" t="b">
        <f t="shared" si="427"/>
        <v>0</v>
      </c>
      <c r="Z356" s="78" t="b">
        <f t="shared" si="427"/>
        <v>0</v>
      </c>
      <c r="AA356" s="78" t="b">
        <f t="shared" si="427"/>
        <v>0</v>
      </c>
      <c r="AB356" s="78" t="b">
        <f t="shared" si="427"/>
        <v>0</v>
      </c>
      <c r="AC356" s="78" t="b">
        <f t="shared" si="427"/>
        <v>0</v>
      </c>
      <c r="AD356" s="78" t="b">
        <f t="shared" si="427"/>
        <v>0</v>
      </c>
      <c r="AE356" s="78" t="b">
        <f t="shared" si="427"/>
        <v>0</v>
      </c>
      <c r="AF356" s="78" t="b">
        <f t="shared" si="427"/>
        <v>0</v>
      </c>
      <c r="AG356" s="78" t="b">
        <f t="shared" si="427"/>
        <v>0</v>
      </c>
      <c r="AH356" s="78" t="b">
        <f t="shared" si="427"/>
        <v>0</v>
      </c>
      <c r="AI356" s="78" t="b">
        <f t="shared" si="427"/>
        <v>0</v>
      </c>
      <c r="AJ356" s="78" t="b">
        <f t="shared" si="427"/>
        <v>0</v>
      </c>
      <c r="AK356" s="78" t="b">
        <f t="shared" si="427"/>
        <v>0</v>
      </c>
      <c r="AL356" s="78" t="b">
        <f t="shared" si="427"/>
        <v>0</v>
      </c>
      <c r="AM356" s="78" t="b">
        <f t="shared" si="427"/>
        <v>0</v>
      </c>
      <c r="AN356" s="78" t="b">
        <f t="shared" si="427"/>
        <v>0</v>
      </c>
      <c r="AO356" s="78" t="b">
        <f t="shared" si="427"/>
        <v>0</v>
      </c>
      <c r="AP356" s="78"/>
    </row>
    <row r="357" spans="4:42" x14ac:dyDescent="0.35">
      <c r="D357" s="96"/>
      <c r="E357" s="96"/>
      <c r="G357" s="77">
        <f t="shared" si="387"/>
        <v>0</v>
      </c>
      <c r="H357" s="78">
        <f t="shared" si="388"/>
        <v>0</v>
      </c>
      <c r="I357" s="77">
        <f t="shared" si="389"/>
        <v>0</v>
      </c>
      <c r="J357" s="78">
        <f t="shared" si="390"/>
        <v>0</v>
      </c>
      <c r="K357" s="78" t="str">
        <f t="shared" si="391"/>
        <v>1900-01-00 00:0:00</v>
      </c>
      <c r="L357" s="78" t="str">
        <f t="shared" si="392"/>
        <v>1900-01-00 00:0:00</v>
      </c>
      <c r="M357" s="79">
        <f t="shared" si="393"/>
        <v>0</v>
      </c>
      <c r="N357">
        <f t="shared" si="394"/>
        <v>1</v>
      </c>
      <c r="O357" t="str">
        <f>IFERROR(_xlfn.XLOOKUP(A357,HC!A:A,HC!C:C),"")</f>
        <v>Workforce</v>
      </c>
      <c r="R357" s="78" t="b">
        <f t="shared" ref="R357:AO357" si="428">IFERROR(IF($B357=$D$1,IF(AND($K357&lt;R$1,$L357&lt;R$1),"",IF(AND($K357&gt;S$1,$L357&gt;S$1),"",IF(AND($K357&lt;R$1,$L357&lt;=S$1),$L357-R$1,IF(AND($K357&gt;=R$1,$L357&gt;S$1),S$1-$K357,IF(AND($K357&gt;=R$1,$L357&lt;=S$1),$L357-$K357,IF(AND($K357&lt;R$1,$L357&gt;S$1),S$1-R$1,""))))))),"")</f>
        <v>0</v>
      </c>
      <c r="S357" s="78" t="b">
        <f t="shared" si="428"/>
        <v>0</v>
      </c>
      <c r="T357" s="78" t="b">
        <f t="shared" si="428"/>
        <v>0</v>
      </c>
      <c r="U357" s="78" t="b">
        <f t="shared" si="428"/>
        <v>0</v>
      </c>
      <c r="V357" s="78" t="b">
        <f t="shared" si="428"/>
        <v>0</v>
      </c>
      <c r="W357" s="78" t="b">
        <f t="shared" si="428"/>
        <v>0</v>
      </c>
      <c r="X357" s="78" t="b">
        <f t="shared" si="428"/>
        <v>0</v>
      </c>
      <c r="Y357" s="78" t="b">
        <f t="shared" si="428"/>
        <v>0</v>
      </c>
      <c r="Z357" s="78" t="b">
        <f t="shared" si="428"/>
        <v>0</v>
      </c>
      <c r="AA357" s="78" t="b">
        <f t="shared" si="428"/>
        <v>0</v>
      </c>
      <c r="AB357" s="78" t="b">
        <f t="shared" si="428"/>
        <v>0</v>
      </c>
      <c r="AC357" s="78" t="b">
        <f t="shared" si="428"/>
        <v>0</v>
      </c>
      <c r="AD357" s="78" t="b">
        <f t="shared" si="428"/>
        <v>0</v>
      </c>
      <c r="AE357" s="78" t="b">
        <f t="shared" si="428"/>
        <v>0</v>
      </c>
      <c r="AF357" s="78" t="b">
        <f t="shared" si="428"/>
        <v>0</v>
      </c>
      <c r="AG357" s="78" t="b">
        <f t="shared" si="428"/>
        <v>0</v>
      </c>
      <c r="AH357" s="78" t="b">
        <f t="shared" si="428"/>
        <v>0</v>
      </c>
      <c r="AI357" s="78" t="b">
        <f t="shared" si="428"/>
        <v>0</v>
      </c>
      <c r="AJ357" s="78" t="b">
        <f t="shared" si="428"/>
        <v>0</v>
      </c>
      <c r="AK357" s="78" t="b">
        <f t="shared" si="428"/>
        <v>0</v>
      </c>
      <c r="AL357" s="78" t="b">
        <f t="shared" si="428"/>
        <v>0</v>
      </c>
      <c r="AM357" s="78" t="b">
        <f t="shared" si="428"/>
        <v>0</v>
      </c>
      <c r="AN357" s="78" t="b">
        <f t="shared" si="428"/>
        <v>0</v>
      </c>
      <c r="AO357" s="78" t="b">
        <f t="shared" si="428"/>
        <v>0</v>
      </c>
      <c r="AP357" s="78"/>
    </row>
    <row r="358" spans="4:42" x14ac:dyDescent="0.35">
      <c r="D358" s="96"/>
      <c r="E358" s="96"/>
      <c r="G358" s="77">
        <f t="shared" si="387"/>
        <v>0</v>
      </c>
      <c r="H358" s="78">
        <f t="shared" si="388"/>
        <v>0</v>
      </c>
      <c r="I358" s="77">
        <f t="shared" si="389"/>
        <v>0</v>
      </c>
      <c r="J358" s="78">
        <f t="shared" si="390"/>
        <v>0</v>
      </c>
      <c r="K358" s="78" t="str">
        <f t="shared" si="391"/>
        <v>1900-01-00 00:0:00</v>
      </c>
      <c r="L358" s="78" t="str">
        <f t="shared" si="392"/>
        <v>1900-01-00 00:0:00</v>
      </c>
      <c r="M358" s="79">
        <f t="shared" si="393"/>
        <v>0</v>
      </c>
      <c r="N358">
        <f t="shared" si="394"/>
        <v>1</v>
      </c>
      <c r="O358" t="str">
        <f>IFERROR(_xlfn.XLOOKUP(A358,HC!A:A,HC!C:C),"")</f>
        <v>Workforce</v>
      </c>
      <c r="R358" s="78" t="b">
        <f t="shared" ref="R358:AO358" si="429">IFERROR(IF($B358=$D$1,IF(AND($K358&lt;R$1,$L358&lt;R$1),"",IF(AND($K358&gt;S$1,$L358&gt;S$1),"",IF(AND($K358&lt;R$1,$L358&lt;=S$1),$L358-R$1,IF(AND($K358&gt;=R$1,$L358&gt;S$1),S$1-$K358,IF(AND($K358&gt;=R$1,$L358&lt;=S$1),$L358-$K358,IF(AND($K358&lt;R$1,$L358&gt;S$1),S$1-R$1,""))))))),"")</f>
        <v>0</v>
      </c>
      <c r="S358" s="78" t="b">
        <f t="shared" si="429"/>
        <v>0</v>
      </c>
      <c r="T358" s="78" t="b">
        <f t="shared" si="429"/>
        <v>0</v>
      </c>
      <c r="U358" s="78" t="b">
        <f t="shared" si="429"/>
        <v>0</v>
      </c>
      <c r="V358" s="78" t="b">
        <f t="shared" si="429"/>
        <v>0</v>
      </c>
      <c r="W358" s="78" t="b">
        <f t="shared" si="429"/>
        <v>0</v>
      </c>
      <c r="X358" s="78" t="b">
        <f t="shared" si="429"/>
        <v>0</v>
      </c>
      <c r="Y358" s="78" t="b">
        <f t="shared" si="429"/>
        <v>0</v>
      </c>
      <c r="Z358" s="78" t="b">
        <f t="shared" si="429"/>
        <v>0</v>
      </c>
      <c r="AA358" s="78" t="b">
        <f t="shared" si="429"/>
        <v>0</v>
      </c>
      <c r="AB358" s="78" t="b">
        <f t="shared" si="429"/>
        <v>0</v>
      </c>
      <c r="AC358" s="78" t="b">
        <f t="shared" si="429"/>
        <v>0</v>
      </c>
      <c r="AD358" s="78" t="b">
        <f t="shared" si="429"/>
        <v>0</v>
      </c>
      <c r="AE358" s="78" t="b">
        <f t="shared" si="429"/>
        <v>0</v>
      </c>
      <c r="AF358" s="78" t="b">
        <f t="shared" si="429"/>
        <v>0</v>
      </c>
      <c r="AG358" s="78" t="b">
        <f t="shared" si="429"/>
        <v>0</v>
      </c>
      <c r="AH358" s="78" t="b">
        <f t="shared" si="429"/>
        <v>0</v>
      </c>
      <c r="AI358" s="78" t="b">
        <f t="shared" si="429"/>
        <v>0</v>
      </c>
      <c r="AJ358" s="78" t="b">
        <f t="shared" si="429"/>
        <v>0</v>
      </c>
      <c r="AK358" s="78" t="b">
        <f t="shared" si="429"/>
        <v>0</v>
      </c>
      <c r="AL358" s="78" t="b">
        <f t="shared" si="429"/>
        <v>0</v>
      </c>
      <c r="AM358" s="78" t="b">
        <f t="shared" si="429"/>
        <v>0</v>
      </c>
      <c r="AN358" s="78" t="b">
        <f t="shared" si="429"/>
        <v>0</v>
      </c>
      <c r="AO358" s="78" t="b">
        <f t="shared" si="429"/>
        <v>0</v>
      </c>
      <c r="AP358" s="78"/>
    </row>
    <row r="359" spans="4:42" x14ac:dyDescent="0.35">
      <c r="D359" s="96"/>
      <c r="E359" s="96"/>
      <c r="G359" s="77">
        <f t="shared" si="387"/>
        <v>0</v>
      </c>
      <c r="H359" s="78">
        <f t="shared" si="388"/>
        <v>0</v>
      </c>
      <c r="I359" s="77">
        <f t="shared" si="389"/>
        <v>0</v>
      </c>
      <c r="J359" s="78">
        <f t="shared" si="390"/>
        <v>0</v>
      </c>
      <c r="K359" s="78" t="str">
        <f t="shared" si="391"/>
        <v>1900-01-00 00:0:00</v>
      </c>
      <c r="L359" s="78" t="str">
        <f t="shared" si="392"/>
        <v>1900-01-00 00:0:00</v>
      </c>
      <c r="M359" s="79">
        <f t="shared" si="393"/>
        <v>0</v>
      </c>
      <c r="N359">
        <f t="shared" si="394"/>
        <v>1</v>
      </c>
      <c r="O359" t="str">
        <f>IFERROR(_xlfn.XLOOKUP(A359,HC!A:A,HC!C:C),"")</f>
        <v>Workforce</v>
      </c>
      <c r="R359" s="78" t="b">
        <f t="shared" ref="R359:AO359" si="430">IFERROR(IF($B359=$D$1,IF(AND($K359&lt;R$1,$L359&lt;R$1),"",IF(AND($K359&gt;S$1,$L359&gt;S$1),"",IF(AND($K359&lt;R$1,$L359&lt;=S$1),$L359-R$1,IF(AND($K359&gt;=R$1,$L359&gt;S$1),S$1-$K359,IF(AND($K359&gt;=R$1,$L359&lt;=S$1),$L359-$K359,IF(AND($K359&lt;R$1,$L359&gt;S$1),S$1-R$1,""))))))),"")</f>
        <v>0</v>
      </c>
      <c r="S359" s="78" t="b">
        <f t="shared" si="430"/>
        <v>0</v>
      </c>
      <c r="T359" s="78" t="b">
        <f t="shared" si="430"/>
        <v>0</v>
      </c>
      <c r="U359" s="78" t="b">
        <f t="shared" si="430"/>
        <v>0</v>
      </c>
      <c r="V359" s="78" t="b">
        <f t="shared" si="430"/>
        <v>0</v>
      </c>
      <c r="W359" s="78" t="b">
        <f t="shared" si="430"/>
        <v>0</v>
      </c>
      <c r="X359" s="78" t="b">
        <f t="shared" si="430"/>
        <v>0</v>
      </c>
      <c r="Y359" s="78" t="b">
        <f t="shared" si="430"/>
        <v>0</v>
      </c>
      <c r="Z359" s="78" t="b">
        <f t="shared" si="430"/>
        <v>0</v>
      </c>
      <c r="AA359" s="78" t="b">
        <f t="shared" si="430"/>
        <v>0</v>
      </c>
      <c r="AB359" s="78" t="b">
        <f t="shared" si="430"/>
        <v>0</v>
      </c>
      <c r="AC359" s="78" t="b">
        <f t="shared" si="430"/>
        <v>0</v>
      </c>
      <c r="AD359" s="78" t="b">
        <f t="shared" si="430"/>
        <v>0</v>
      </c>
      <c r="AE359" s="78" t="b">
        <f t="shared" si="430"/>
        <v>0</v>
      </c>
      <c r="AF359" s="78" t="b">
        <f t="shared" si="430"/>
        <v>0</v>
      </c>
      <c r="AG359" s="78" t="b">
        <f t="shared" si="430"/>
        <v>0</v>
      </c>
      <c r="AH359" s="78" t="b">
        <f t="shared" si="430"/>
        <v>0</v>
      </c>
      <c r="AI359" s="78" t="b">
        <f t="shared" si="430"/>
        <v>0</v>
      </c>
      <c r="AJ359" s="78" t="b">
        <f t="shared" si="430"/>
        <v>0</v>
      </c>
      <c r="AK359" s="78" t="b">
        <f t="shared" si="430"/>
        <v>0</v>
      </c>
      <c r="AL359" s="78" t="b">
        <f t="shared" si="430"/>
        <v>0</v>
      </c>
      <c r="AM359" s="78" t="b">
        <f t="shared" si="430"/>
        <v>0</v>
      </c>
      <c r="AN359" s="78" t="b">
        <f t="shared" si="430"/>
        <v>0</v>
      </c>
      <c r="AO359" s="78" t="b">
        <f t="shared" si="430"/>
        <v>0</v>
      </c>
      <c r="AP359" s="78"/>
    </row>
    <row r="360" spans="4:42" x14ac:dyDescent="0.35">
      <c r="D360" s="96"/>
      <c r="E360" s="96"/>
      <c r="G360" s="77">
        <f t="shared" si="387"/>
        <v>0</v>
      </c>
      <c r="H360" s="78">
        <f t="shared" si="388"/>
        <v>0</v>
      </c>
      <c r="I360" s="77">
        <f t="shared" si="389"/>
        <v>0</v>
      </c>
      <c r="J360" s="78">
        <f t="shared" si="390"/>
        <v>0</v>
      </c>
      <c r="K360" s="78" t="str">
        <f t="shared" si="391"/>
        <v>1900-01-00 00:0:00</v>
      </c>
      <c r="L360" s="78" t="str">
        <f t="shared" si="392"/>
        <v>1900-01-00 00:0:00</v>
      </c>
      <c r="M360" s="79">
        <f t="shared" si="393"/>
        <v>0</v>
      </c>
      <c r="N360">
        <f t="shared" si="394"/>
        <v>1</v>
      </c>
      <c r="O360" t="str">
        <f>IFERROR(_xlfn.XLOOKUP(A360,HC!A:A,HC!C:C),"")</f>
        <v>Workforce</v>
      </c>
      <c r="R360" s="78" t="b">
        <f t="shared" ref="R360:AO360" si="431">IFERROR(IF($B360=$D$1,IF(AND($K360&lt;R$1,$L360&lt;R$1),"",IF(AND($K360&gt;S$1,$L360&gt;S$1),"",IF(AND($K360&lt;R$1,$L360&lt;=S$1),$L360-R$1,IF(AND($K360&gt;=R$1,$L360&gt;S$1),S$1-$K360,IF(AND($K360&gt;=R$1,$L360&lt;=S$1),$L360-$K360,IF(AND($K360&lt;R$1,$L360&gt;S$1),S$1-R$1,""))))))),"")</f>
        <v>0</v>
      </c>
      <c r="S360" s="78" t="b">
        <f t="shared" si="431"/>
        <v>0</v>
      </c>
      <c r="T360" s="78" t="b">
        <f t="shared" si="431"/>
        <v>0</v>
      </c>
      <c r="U360" s="78" t="b">
        <f t="shared" si="431"/>
        <v>0</v>
      </c>
      <c r="V360" s="78" t="b">
        <f t="shared" si="431"/>
        <v>0</v>
      </c>
      <c r="W360" s="78" t="b">
        <f t="shared" si="431"/>
        <v>0</v>
      </c>
      <c r="X360" s="78" t="b">
        <f t="shared" si="431"/>
        <v>0</v>
      </c>
      <c r="Y360" s="78" t="b">
        <f t="shared" si="431"/>
        <v>0</v>
      </c>
      <c r="Z360" s="78" t="b">
        <f t="shared" si="431"/>
        <v>0</v>
      </c>
      <c r="AA360" s="78" t="b">
        <f t="shared" si="431"/>
        <v>0</v>
      </c>
      <c r="AB360" s="78" t="b">
        <f t="shared" si="431"/>
        <v>0</v>
      </c>
      <c r="AC360" s="78" t="b">
        <f t="shared" si="431"/>
        <v>0</v>
      </c>
      <c r="AD360" s="78" t="b">
        <f t="shared" si="431"/>
        <v>0</v>
      </c>
      <c r="AE360" s="78" t="b">
        <f t="shared" si="431"/>
        <v>0</v>
      </c>
      <c r="AF360" s="78" t="b">
        <f t="shared" si="431"/>
        <v>0</v>
      </c>
      <c r="AG360" s="78" t="b">
        <f t="shared" si="431"/>
        <v>0</v>
      </c>
      <c r="AH360" s="78" t="b">
        <f t="shared" si="431"/>
        <v>0</v>
      </c>
      <c r="AI360" s="78" t="b">
        <f t="shared" si="431"/>
        <v>0</v>
      </c>
      <c r="AJ360" s="78" t="b">
        <f t="shared" si="431"/>
        <v>0</v>
      </c>
      <c r="AK360" s="78" t="b">
        <f t="shared" si="431"/>
        <v>0</v>
      </c>
      <c r="AL360" s="78" t="b">
        <f t="shared" si="431"/>
        <v>0</v>
      </c>
      <c r="AM360" s="78" t="b">
        <f t="shared" si="431"/>
        <v>0</v>
      </c>
      <c r="AN360" s="78" t="b">
        <f t="shared" si="431"/>
        <v>0</v>
      </c>
      <c r="AO360" s="78" t="b">
        <f t="shared" si="431"/>
        <v>0</v>
      </c>
      <c r="AP360" s="78"/>
    </row>
    <row r="361" spans="4:42" x14ac:dyDescent="0.35">
      <c r="D361" s="96"/>
      <c r="E361" s="96"/>
      <c r="G361" s="77">
        <f t="shared" si="387"/>
        <v>0</v>
      </c>
      <c r="H361" s="78">
        <f t="shared" si="388"/>
        <v>0</v>
      </c>
      <c r="I361" s="77">
        <f t="shared" si="389"/>
        <v>0</v>
      </c>
      <c r="J361" s="78">
        <f t="shared" si="390"/>
        <v>0</v>
      </c>
      <c r="K361" s="78" t="str">
        <f t="shared" si="391"/>
        <v>1900-01-00 00:0:00</v>
      </c>
      <c r="L361" s="78" t="str">
        <f t="shared" si="392"/>
        <v>1900-01-00 00:0:00</v>
      </c>
      <c r="M361" s="79">
        <f t="shared" si="393"/>
        <v>0</v>
      </c>
      <c r="N361">
        <f t="shared" si="394"/>
        <v>1</v>
      </c>
      <c r="O361" t="str">
        <f>IFERROR(_xlfn.XLOOKUP(A361,HC!A:A,HC!C:C),"")</f>
        <v>Workforce</v>
      </c>
      <c r="R361" s="78" t="b">
        <f t="shared" ref="R361:AO361" si="432">IFERROR(IF($B361=$D$1,IF(AND($K361&lt;R$1,$L361&lt;R$1),"",IF(AND($K361&gt;S$1,$L361&gt;S$1),"",IF(AND($K361&lt;R$1,$L361&lt;=S$1),$L361-R$1,IF(AND($K361&gt;=R$1,$L361&gt;S$1),S$1-$K361,IF(AND($K361&gt;=R$1,$L361&lt;=S$1),$L361-$K361,IF(AND($K361&lt;R$1,$L361&gt;S$1),S$1-R$1,""))))))),"")</f>
        <v>0</v>
      </c>
      <c r="S361" s="78" t="b">
        <f t="shared" si="432"/>
        <v>0</v>
      </c>
      <c r="T361" s="78" t="b">
        <f t="shared" si="432"/>
        <v>0</v>
      </c>
      <c r="U361" s="78" t="b">
        <f t="shared" si="432"/>
        <v>0</v>
      </c>
      <c r="V361" s="78" t="b">
        <f t="shared" si="432"/>
        <v>0</v>
      </c>
      <c r="W361" s="78" t="b">
        <f t="shared" si="432"/>
        <v>0</v>
      </c>
      <c r="X361" s="78" t="b">
        <f t="shared" si="432"/>
        <v>0</v>
      </c>
      <c r="Y361" s="78" t="b">
        <f t="shared" si="432"/>
        <v>0</v>
      </c>
      <c r="Z361" s="78" t="b">
        <f t="shared" si="432"/>
        <v>0</v>
      </c>
      <c r="AA361" s="78" t="b">
        <f t="shared" si="432"/>
        <v>0</v>
      </c>
      <c r="AB361" s="78" t="b">
        <f t="shared" si="432"/>
        <v>0</v>
      </c>
      <c r="AC361" s="78" t="b">
        <f t="shared" si="432"/>
        <v>0</v>
      </c>
      <c r="AD361" s="78" t="b">
        <f t="shared" si="432"/>
        <v>0</v>
      </c>
      <c r="AE361" s="78" t="b">
        <f t="shared" si="432"/>
        <v>0</v>
      </c>
      <c r="AF361" s="78" t="b">
        <f t="shared" si="432"/>
        <v>0</v>
      </c>
      <c r="AG361" s="78" t="b">
        <f t="shared" si="432"/>
        <v>0</v>
      </c>
      <c r="AH361" s="78" t="b">
        <f t="shared" si="432"/>
        <v>0</v>
      </c>
      <c r="AI361" s="78" t="b">
        <f t="shared" si="432"/>
        <v>0</v>
      </c>
      <c r="AJ361" s="78" t="b">
        <f t="shared" si="432"/>
        <v>0</v>
      </c>
      <c r="AK361" s="78" t="b">
        <f t="shared" si="432"/>
        <v>0</v>
      </c>
      <c r="AL361" s="78" t="b">
        <f t="shared" si="432"/>
        <v>0</v>
      </c>
      <c r="AM361" s="78" t="b">
        <f t="shared" si="432"/>
        <v>0</v>
      </c>
      <c r="AN361" s="78" t="b">
        <f t="shared" si="432"/>
        <v>0</v>
      </c>
      <c r="AO361" s="78" t="b">
        <f t="shared" si="432"/>
        <v>0</v>
      </c>
      <c r="AP361" s="78"/>
    </row>
    <row r="362" spans="4:42" x14ac:dyDescent="0.35">
      <c r="D362" s="96"/>
      <c r="E362" s="96"/>
      <c r="G362" s="77">
        <f t="shared" si="387"/>
        <v>0</v>
      </c>
      <c r="H362" s="78">
        <f t="shared" si="388"/>
        <v>0</v>
      </c>
      <c r="I362" s="77">
        <f t="shared" si="389"/>
        <v>0</v>
      </c>
      <c r="J362" s="78">
        <f t="shared" si="390"/>
        <v>0</v>
      </c>
      <c r="K362" s="78" t="str">
        <f t="shared" si="391"/>
        <v>1900-01-00 00:0:00</v>
      </c>
      <c r="L362" s="78" t="str">
        <f t="shared" si="392"/>
        <v>1900-01-00 00:0:00</v>
      </c>
      <c r="M362" s="79">
        <f t="shared" si="393"/>
        <v>0</v>
      </c>
      <c r="N362">
        <f t="shared" si="394"/>
        <v>1</v>
      </c>
      <c r="O362" t="str">
        <f>IFERROR(_xlfn.XLOOKUP(A362,HC!A:A,HC!C:C),"")</f>
        <v>Workforce</v>
      </c>
      <c r="R362" s="78" t="b">
        <f t="shared" ref="R362:AO362" si="433">IFERROR(IF($B362=$D$1,IF(AND($K362&lt;R$1,$L362&lt;R$1),"",IF(AND($K362&gt;S$1,$L362&gt;S$1),"",IF(AND($K362&lt;R$1,$L362&lt;=S$1),$L362-R$1,IF(AND($K362&gt;=R$1,$L362&gt;S$1),S$1-$K362,IF(AND($K362&gt;=R$1,$L362&lt;=S$1),$L362-$K362,IF(AND($K362&lt;R$1,$L362&gt;S$1),S$1-R$1,""))))))),"")</f>
        <v>0</v>
      </c>
      <c r="S362" s="78" t="b">
        <f t="shared" si="433"/>
        <v>0</v>
      </c>
      <c r="T362" s="78" t="b">
        <f t="shared" si="433"/>
        <v>0</v>
      </c>
      <c r="U362" s="78" t="b">
        <f t="shared" si="433"/>
        <v>0</v>
      </c>
      <c r="V362" s="78" t="b">
        <f t="shared" si="433"/>
        <v>0</v>
      </c>
      <c r="W362" s="78" t="b">
        <f t="shared" si="433"/>
        <v>0</v>
      </c>
      <c r="X362" s="78" t="b">
        <f t="shared" si="433"/>
        <v>0</v>
      </c>
      <c r="Y362" s="78" t="b">
        <f t="shared" si="433"/>
        <v>0</v>
      </c>
      <c r="Z362" s="78" t="b">
        <f t="shared" si="433"/>
        <v>0</v>
      </c>
      <c r="AA362" s="78" t="b">
        <f t="shared" si="433"/>
        <v>0</v>
      </c>
      <c r="AB362" s="78" t="b">
        <f t="shared" si="433"/>
        <v>0</v>
      </c>
      <c r="AC362" s="78" t="b">
        <f t="shared" si="433"/>
        <v>0</v>
      </c>
      <c r="AD362" s="78" t="b">
        <f t="shared" si="433"/>
        <v>0</v>
      </c>
      <c r="AE362" s="78" t="b">
        <f t="shared" si="433"/>
        <v>0</v>
      </c>
      <c r="AF362" s="78" t="b">
        <f t="shared" si="433"/>
        <v>0</v>
      </c>
      <c r="AG362" s="78" t="b">
        <f t="shared" si="433"/>
        <v>0</v>
      </c>
      <c r="AH362" s="78" t="b">
        <f t="shared" si="433"/>
        <v>0</v>
      </c>
      <c r="AI362" s="78" t="b">
        <f t="shared" si="433"/>
        <v>0</v>
      </c>
      <c r="AJ362" s="78" t="b">
        <f t="shared" si="433"/>
        <v>0</v>
      </c>
      <c r="AK362" s="78" t="b">
        <f t="shared" si="433"/>
        <v>0</v>
      </c>
      <c r="AL362" s="78" t="b">
        <f t="shared" si="433"/>
        <v>0</v>
      </c>
      <c r="AM362" s="78" t="b">
        <f t="shared" si="433"/>
        <v>0</v>
      </c>
      <c r="AN362" s="78" t="b">
        <f t="shared" si="433"/>
        <v>0</v>
      </c>
      <c r="AO362" s="78" t="b">
        <f t="shared" si="433"/>
        <v>0</v>
      </c>
      <c r="AP362" s="78"/>
    </row>
    <row r="363" spans="4:42" x14ac:dyDescent="0.35">
      <c r="D363" s="96"/>
      <c r="E363" s="96"/>
      <c r="G363" s="77">
        <f t="shared" si="387"/>
        <v>0</v>
      </c>
      <c r="H363" s="78">
        <f t="shared" si="388"/>
        <v>0</v>
      </c>
      <c r="I363" s="77">
        <f t="shared" si="389"/>
        <v>0</v>
      </c>
      <c r="J363" s="78">
        <f t="shared" si="390"/>
        <v>0</v>
      </c>
      <c r="K363" s="78" t="str">
        <f t="shared" si="391"/>
        <v>1900-01-00 00:0:00</v>
      </c>
      <c r="L363" s="78" t="str">
        <f t="shared" si="392"/>
        <v>1900-01-00 00:0:00</v>
      </c>
      <c r="M363" s="79">
        <f t="shared" si="393"/>
        <v>0</v>
      </c>
      <c r="N363">
        <f t="shared" si="394"/>
        <v>1</v>
      </c>
      <c r="O363" t="str">
        <f>IFERROR(_xlfn.XLOOKUP(A363,HC!A:A,HC!C:C),"")</f>
        <v>Workforce</v>
      </c>
      <c r="R363" s="78" t="b">
        <f t="shared" ref="R363:AO363" si="434">IFERROR(IF($B363=$D$1,IF(AND($K363&lt;R$1,$L363&lt;R$1),"",IF(AND($K363&gt;S$1,$L363&gt;S$1),"",IF(AND($K363&lt;R$1,$L363&lt;=S$1),$L363-R$1,IF(AND($K363&gt;=R$1,$L363&gt;S$1),S$1-$K363,IF(AND($K363&gt;=R$1,$L363&lt;=S$1),$L363-$K363,IF(AND($K363&lt;R$1,$L363&gt;S$1),S$1-R$1,""))))))),"")</f>
        <v>0</v>
      </c>
      <c r="S363" s="78" t="b">
        <f t="shared" si="434"/>
        <v>0</v>
      </c>
      <c r="T363" s="78" t="b">
        <f t="shared" si="434"/>
        <v>0</v>
      </c>
      <c r="U363" s="78" t="b">
        <f t="shared" si="434"/>
        <v>0</v>
      </c>
      <c r="V363" s="78" t="b">
        <f t="shared" si="434"/>
        <v>0</v>
      </c>
      <c r="W363" s="78" t="b">
        <f t="shared" si="434"/>
        <v>0</v>
      </c>
      <c r="X363" s="78" t="b">
        <f t="shared" si="434"/>
        <v>0</v>
      </c>
      <c r="Y363" s="78" t="b">
        <f t="shared" si="434"/>
        <v>0</v>
      </c>
      <c r="Z363" s="78" t="b">
        <f t="shared" si="434"/>
        <v>0</v>
      </c>
      <c r="AA363" s="78" t="b">
        <f t="shared" si="434"/>
        <v>0</v>
      </c>
      <c r="AB363" s="78" t="b">
        <f t="shared" si="434"/>
        <v>0</v>
      </c>
      <c r="AC363" s="78" t="b">
        <f t="shared" si="434"/>
        <v>0</v>
      </c>
      <c r="AD363" s="78" t="b">
        <f t="shared" si="434"/>
        <v>0</v>
      </c>
      <c r="AE363" s="78" t="b">
        <f t="shared" si="434"/>
        <v>0</v>
      </c>
      <c r="AF363" s="78" t="b">
        <f t="shared" si="434"/>
        <v>0</v>
      </c>
      <c r="AG363" s="78" t="b">
        <f t="shared" si="434"/>
        <v>0</v>
      </c>
      <c r="AH363" s="78" t="b">
        <f t="shared" si="434"/>
        <v>0</v>
      </c>
      <c r="AI363" s="78" t="b">
        <f t="shared" si="434"/>
        <v>0</v>
      </c>
      <c r="AJ363" s="78" t="b">
        <f t="shared" si="434"/>
        <v>0</v>
      </c>
      <c r="AK363" s="78" t="b">
        <f t="shared" si="434"/>
        <v>0</v>
      </c>
      <c r="AL363" s="78" t="b">
        <f t="shared" si="434"/>
        <v>0</v>
      </c>
      <c r="AM363" s="78" t="b">
        <f t="shared" si="434"/>
        <v>0</v>
      </c>
      <c r="AN363" s="78" t="b">
        <f t="shared" si="434"/>
        <v>0</v>
      </c>
      <c r="AO363" s="78" t="b">
        <f t="shared" si="434"/>
        <v>0</v>
      </c>
      <c r="AP363" s="78"/>
    </row>
    <row r="364" spans="4:42" x14ac:dyDescent="0.35">
      <c r="D364" s="96"/>
      <c r="E364" s="96"/>
      <c r="G364" s="77">
        <f t="shared" si="387"/>
        <v>0</v>
      </c>
      <c r="H364" s="78">
        <f t="shared" si="388"/>
        <v>0</v>
      </c>
      <c r="I364" s="77">
        <f t="shared" si="389"/>
        <v>0</v>
      </c>
      <c r="J364" s="78">
        <f t="shared" si="390"/>
        <v>0</v>
      </c>
      <c r="K364" s="78" t="str">
        <f t="shared" si="391"/>
        <v>1900-01-00 00:0:00</v>
      </c>
      <c r="L364" s="78" t="str">
        <f t="shared" si="392"/>
        <v>1900-01-00 00:0:00</v>
      </c>
      <c r="M364" s="79">
        <f t="shared" si="393"/>
        <v>0</v>
      </c>
      <c r="N364">
        <f t="shared" si="394"/>
        <v>1</v>
      </c>
      <c r="O364" t="str">
        <f>IFERROR(_xlfn.XLOOKUP(A364,HC!A:A,HC!C:C),"")</f>
        <v>Workforce</v>
      </c>
      <c r="R364" s="78" t="b">
        <f t="shared" ref="R364:AO364" si="435">IFERROR(IF($B364=$D$1,IF(AND($K364&lt;R$1,$L364&lt;R$1),"",IF(AND($K364&gt;S$1,$L364&gt;S$1),"",IF(AND($K364&lt;R$1,$L364&lt;=S$1),$L364-R$1,IF(AND($K364&gt;=R$1,$L364&gt;S$1),S$1-$K364,IF(AND($K364&gt;=R$1,$L364&lt;=S$1),$L364-$K364,IF(AND($K364&lt;R$1,$L364&gt;S$1),S$1-R$1,""))))))),"")</f>
        <v>0</v>
      </c>
      <c r="S364" s="78" t="b">
        <f t="shared" si="435"/>
        <v>0</v>
      </c>
      <c r="T364" s="78" t="b">
        <f t="shared" si="435"/>
        <v>0</v>
      </c>
      <c r="U364" s="78" t="b">
        <f t="shared" si="435"/>
        <v>0</v>
      </c>
      <c r="V364" s="78" t="b">
        <f t="shared" si="435"/>
        <v>0</v>
      </c>
      <c r="W364" s="78" t="b">
        <f t="shared" si="435"/>
        <v>0</v>
      </c>
      <c r="X364" s="78" t="b">
        <f t="shared" si="435"/>
        <v>0</v>
      </c>
      <c r="Y364" s="78" t="b">
        <f t="shared" si="435"/>
        <v>0</v>
      </c>
      <c r="Z364" s="78" t="b">
        <f t="shared" si="435"/>
        <v>0</v>
      </c>
      <c r="AA364" s="78" t="b">
        <f t="shared" si="435"/>
        <v>0</v>
      </c>
      <c r="AB364" s="78" t="b">
        <f t="shared" si="435"/>
        <v>0</v>
      </c>
      <c r="AC364" s="78" t="b">
        <f t="shared" si="435"/>
        <v>0</v>
      </c>
      <c r="AD364" s="78" t="b">
        <f t="shared" si="435"/>
        <v>0</v>
      </c>
      <c r="AE364" s="78" t="b">
        <f t="shared" si="435"/>
        <v>0</v>
      </c>
      <c r="AF364" s="78" t="b">
        <f t="shared" si="435"/>
        <v>0</v>
      </c>
      <c r="AG364" s="78" t="b">
        <f t="shared" si="435"/>
        <v>0</v>
      </c>
      <c r="AH364" s="78" t="b">
        <f t="shared" si="435"/>
        <v>0</v>
      </c>
      <c r="AI364" s="78" t="b">
        <f t="shared" si="435"/>
        <v>0</v>
      </c>
      <c r="AJ364" s="78" t="b">
        <f t="shared" si="435"/>
        <v>0</v>
      </c>
      <c r="AK364" s="78" t="b">
        <f t="shared" si="435"/>
        <v>0</v>
      </c>
      <c r="AL364" s="78" t="b">
        <f t="shared" si="435"/>
        <v>0</v>
      </c>
      <c r="AM364" s="78" t="b">
        <f t="shared" si="435"/>
        <v>0</v>
      </c>
      <c r="AN364" s="78" t="b">
        <f t="shared" si="435"/>
        <v>0</v>
      </c>
      <c r="AO364" s="78" t="b">
        <f t="shared" si="435"/>
        <v>0</v>
      </c>
      <c r="AP364" s="78"/>
    </row>
    <row r="365" spans="4:42" x14ac:dyDescent="0.35">
      <c r="D365" s="96"/>
      <c r="E365" s="96"/>
      <c r="G365" s="77">
        <f t="shared" si="387"/>
        <v>0</v>
      </c>
      <c r="H365" s="78">
        <f t="shared" si="388"/>
        <v>0</v>
      </c>
      <c r="I365" s="77">
        <f t="shared" si="389"/>
        <v>0</v>
      </c>
      <c r="J365" s="78">
        <f t="shared" si="390"/>
        <v>0</v>
      </c>
      <c r="K365" s="78" t="str">
        <f t="shared" si="391"/>
        <v>1900-01-00 00:0:00</v>
      </c>
      <c r="L365" s="78" t="str">
        <f t="shared" si="392"/>
        <v>1900-01-00 00:0:00</v>
      </c>
      <c r="M365" s="79">
        <f t="shared" si="393"/>
        <v>0</v>
      </c>
      <c r="N365">
        <f t="shared" si="394"/>
        <v>1</v>
      </c>
      <c r="O365" t="str">
        <f>IFERROR(_xlfn.XLOOKUP(A365,HC!A:A,HC!C:C),"")</f>
        <v>Workforce</v>
      </c>
      <c r="R365" s="78" t="b">
        <f t="shared" ref="R365:AO365" si="436">IFERROR(IF($B365=$D$1,IF(AND($K365&lt;R$1,$L365&lt;R$1),"",IF(AND($K365&gt;S$1,$L365&gt;S$1),"",IF(AND($K365&lt;R$1,$L365&lt;=S$1),$L365-R$1,IF(AND($K365&gt;=R$1,$L365&gt;S$1),S$1-$K365,IF(AND($K365&gt;=R$1,$L365&lt;=S$1),$L365-$K365,IF(AND($K365&lt;R$1,$L365&gt;S$1),S$1-R$1,""))))))),"")</f>
        <v>0</v>
      </c>
      <c r="S365" s="78" t="b">
        <f t="shared" si="436"/>
        <v>0</v>
      </c>
      <c r="T365" s="78" t="b">
        <f t="shared" si="436"/>
        <v>0</v>
      </c>
      <c r="U365" s="78" t="b">
        <f t="shared" si="436"/>
        <v>0</v>
      </c>
      <c r="V365" s="78" t="b">
        <f t="shared" si="436"/>
        <v>0</v>
      </c>
      <c r="W365" s="78" t="b">
        <f t="shared" si="436"/>
        <v>0</v>
      </c>
      <c r="X365" s="78" t="b">
        <f t="shared" si="436"/>
        <v>0</v>
      </c>
      <c r="Y365" s="78" t="b">
        <f t="shared" si="436"/>
        <v>0</v>
      </c>
      <c r="Z365" s="78" t="b">
        <f t="shared" si="436"/>
        <v>0</v>
      </c>
      <c r="AA365" s="78" t="b">
        <f t="shared" si="436"/>
        <v>0</v>
      </c>
      <c r="AB365" s="78" t="b">
        <f t="shared" si="436"/>
        <v>0</v>
      </c>
      <c r="AC365" s="78" t="b">
        <f t="shared" si="436"/>
        <v>0</v>
      </c>
      <c r="AD365" s="78" t="b">
        <f t="shared" si="436"/>
        <v>0</v>
      </c>
      <c r="AE365" s="78" t="b">
        <f t="shared" si="436"/>
        <v>0</v>
      </c>
      <c r="AF365" s="78" t="b">
        <f t="shared" si="436"/>
        <v>0</v>
      </c>
      <c r="AG365" s="78" t="b">
        <f t="shared" si="436"/>
        <v>0</v>
      </c>
      <c r="AH365" s="78" t="b">
        <f t="shared" si="436"/>
        <v>0</v>
      </c>
      <c r="AI365" s="78" t="b">
        <f t="shared" si="436"/>
        <v>0</v>
      </c>
      <c r="AJ365" s="78" t="b">
        <f t="shared" si="436"/>
        <v>0</v>
      </c>
      <c r="AK365" s="78" t="b">
        <f t="shared" si="436"/>
        <v>0</v>
      </c>
      <c r="AL365" s="78" t="b">
        <f t="shared" si="436"/>
        <v>0</v>
      </c>
      <c r="AM365" s="78" t="b">
        <f t="shared" si="436"/>
        <v>0</v>
      </c>
      <c r="AN365" s="78" t="b">
        <f t="shared" si="436"/>
        <v>0</v>
      </c>
      <c r="AO365" s="78" t="b">
        <f t="shared" si="436"/>
        <v>0</v>
      </c>
      <c r="AP365" s="78"/>
    </row>
    <row r="366" spans="4:42" x14ac:dyDescent="0.35">
      <c r="D366" s="96"/>
      <c r="E366" s="96"/>
      <c r="G366" s="77">
        <f t="shared" si="387"/>
        <v>0</v>
      </c>
      <c r="H366" s="78">
        <f t="shared" si="388"/>
        <v>0</v>
      </c>
      <c r="I366" s="77">
        <f t="shared" si="389"/>
        <v>0</v>
      </c>
      <c r="J366" s="78">
        <f t="shared" si="390"/>
        <v>0</v>
      </c>
      <c r="K366" s="78" t="str">
        <f t="shared" si="391"/>
        <v>1900-01-00 00:0:00</v>
      </c>
      <c r="L366" s="78" t="str">
        <f t="shared" si="392"/>
        <v>1900-01-00 00:0:00</v>
      </c>
      <c r="M366" s="79">
        <f t="shared" si="393"/>
        <v>0</v>
      </c>
      <c r="N366">
        <f t="shared" si="394"/>
        <v>1</v>
      </c>
      <c r="O366" t="str">
        <f>IFERROR(_xlfn.XLOOKUP(A366,HC!A:A,HC!C:C),"")</f>
        <v>Workforce</v>
      </c>
      <c r="R366" s="78" t="b">
        <f t="shared" ref="R366:AO366" si="437">IFERROR(IF($B366=$D$1,IF(AND($K366&lt;R$1,$L366&lt;R$1),"",IF(AND($K366&gt;S$1,$L366&gt;S$1),"",IF(AND($K366&lt;R$1,$L366&lt;=S$1),$L366-R$1,IF(AND($K366&gt;=R$1,$L366&gt;S$1),S$1-$K366,IF(AND($K366&gt;=R$1,$L366&lt;=S$1),$L366-$K366,IF(AND($K366&lt;R$1,$L366&gt;S$1),S$1-R$1,""))))))),"")</f>
        <v>0</v>
      </c>
      <c r="S366" s="78" t="b">
        <f t="shared" si="437"/>
        <v>0</v>
      </c>
      <c r="T366" s="78" t="b">
        <f t="shared" si="437"/>
        <v>0</v>
      </c>
      <c r="U366" s="78" t="b">
        <f t="shared" si="437"/>
        <v>0</v>
      </c>
      <c r="V366" s="78" t="b">
        <f t="shared" si="437"/>
        <v>0</v>
      </c>
      <c r="W366" s="78" t="b">
        <f t="shared" si="437"/>
        <v>0</v>
      </c>
      <c r="X366" s="78" t="b">
        <f t="shared" si="437"/>
        <v>0</v>
      </c>
      <c r="Y366" s="78" t="b">
        <f t="shared" si="437"/>
        <v>0</v>
      </c>
      <c r="Z366" s="78" t="b">
        <f t="shared" si="437"/>
        <v>0</v>
      </c>
      <c r="AA366" s="78" t="b">
        <f t="shared" si="437"/>
        <v>0</v>
      </c>
      <c r="AB366" s="78" t="b">
        <f t="shared" si="437"/>
        <v>0</v>
      </c>
      <c r="AC366" s="78" t="b">
        <f t="shared" si="437"/>
        <v>0</v>
      </c>
      <c r="AD366" s="78" t="b">
        <f t="shared" si="437"/>
        <v>0</v>
      </c>
      <c r="AE366" s="78" t="b">
        <f t="shared" si="437"/>
        <v>0</v>
      </c>
      <c r="AF366" s="78" t="b">
        <f t="shared" si="437"/>
        <v>0</v>
      </c>
      <c r="AG366" s="78" t="b">
        <f t="shared" si="437"/>
        <v>0</v>
      </c>
      <c r="AH366" s="78" t="b">
        <f t="shared" si="437"/>
        <v>0</v>
      </c>
      <c r="AI366" s="78" t="b">
        <f t="shared" si="437"/>
        <v>0</v>
      </c>
      <c r="AJ366" s="78" t="b">
        <f t="shared" si="437"/>
        <v>0</v>
      </c>
      <c r="AK366" s="78" t="b">
        <f t="shared" si="437"/>
        <v>0</v>
      </c>
      <c r="AL366" s="78" t="b">
        <f t="shared" si="437"/>
        <v>0</v>
      </c>
      <c r="AM366" s="78" t="b">
        <f t="shared" si="437"/>
        <v>0</v>
      </c>
      <c r="AN366" s="78" t="b">
        <f t="shared" si="437"/>
        <v>0</v>
      </c>
      <c r="AO366" s="78" t="b">
        <f t="shared" si="437"/>
        <v>0</v>
      </c>
      <c r="AP366" s="78"/>
    </row>
    <row r="367" spans="4:42" x14ac:dyDescent="0.35">
      <c r="D367" s="96"/>
      <c r="E367" s="96"/>
      <c r="G367" s="77">
        <f t="shared" si="387"/>
        <v>0</v>
      </c>
      <c r="H367" s="78">
        <f t="shared" si="388"/>
        <v>0</v>
      </c>
      <c r="I367" s="77">
        <f t="shared" si="389"/>
        <v>0</v>
      </c>
      <c r="J367" s="78">
        <f t="shared" si="390"/>
        <v>0</v>
      </c>
      <c r="K367" s="78" t="str">
        <f t="shared" si="391"/>
        <v>1900-01-00 00:0:00</v>
      </c>
      <c r="L367" s="78" t="str">
        <f t="shared" si="392"/>
        <v>1900-01-00 00:0:00</v>
      </c>
      <c r="M367" s="79">
        <f t="shared" si="393"/>
        <v>0</v>
      </c>
      <c r="N367">
        <f t="shared" si="394"/>
        <v>1</v>
      </c>
      <c r="O367" t="str">
        <f>IFERROR(_xlfn.XLOOKUP(A367,HC!A:A,HC!C:C),"")</f>
        <v>Workforce</v>
      </c>
      <c r="R367" s="78" t="b">
        <f t="shared" ref="R367:AO367" si="438">IFERROR(IF($B367=$D$1,IF(AND($K367&lt;R$1,$L367&lt;R$1),"",IF(AND($K367&gt;S$1,$L367&gt;S$1),"",IF(AND($K367&lt;R$1,$L367&lt;=S$1),$L367-R$1,IF(AND($K367&gt;=R$1,$L367&gt;S$1),S$1-$K367,IF(AND($K367&gt;=R$1,$L367&lt;=S$1),$L367-$K367,IF(AND($K367&lt;R$1,$L367&gt;S$1),S$1-R$1,""))))))),"")</f>
        <v>0</v>
      </c>
      <c r="S367" s="78" t="b">
        <f t="shared" si="438"/>
        <v>0</v>
      </c>
      <c r="T367" s="78" t="b">
        <f t="shared" si="438"/>
        <v>0</v>
      </c>
      <c r="U367" s="78" t="b">
        <f t="shared" si="438"/>
        <v>0</v>
      </c>
      <c r="V367" s="78" t="b">
        <f t="shared" si="438"/>
        <v>0</v>
      </c>
      <c r="W367" s="78" t="b">
        <f t="shared" si="438"/>
        <v>0</v>
      </c>
      <c r="X367" s="78" t="b">
        <f t="shared" si="438"/>
        <v>0</v>
      </c>
      <c r="Y367" s="78" t="b">
        <f t="shared" si="438"/>
        <v>0</v>
      </c>
      <c r="Z367" s="78" t="b">
        <f t="shared" si="438"/>
        <v>0</v>
      </c>
      <c r="AA367" s="78" t="b">
        <f t="shared" si="438"/>
        <v>0</v>
      </c>
      <c r="AB367" s="78" t="b">
        <f t="shared" si="438"/>
        <v>0</v>
      </c>
      <c r="AC367" s="78" t="b">
        <f t="shared" si="438"/>
        <v>0</v>
      </c>
      <c r="AD367" s="78" t="b">
        <f t="shared" si="438"/>
        <v>0</v>
      </c>
      <c r="AE367" s="78" t="b">
        <f t="shared" si="438"/>
        <v>0</v>
      </c>
      <c r="AF367" s="78" t="b">
        <f t="shared" si="438"/>
        <v>0</v>
      </c>
      <c r="AG367" s="78" t="b">
        <f t="shared" si="438"/>
        <v>0</v>
      </c>
      <c r="AH367" s="78" t="b">
        <f t="shared" si="438"/>
        <v>0</v>
      </c>
      <c r="AI367" s="78" t="b">
        <f t="shared" si="438"/>
        <v>0</v>
      </c>
      <c r="AJ367" s="78" t="b">
        <f t="shared" si="438"/>
        <v>0</v>
      </c>
      <c r="AK367" s="78" t="b">
        <f t="shared" si="438"/>
        <v>0</v>
      </c>
      <c r="AL367" s="78" t="b">
        <f t="shared" si="438"/>
        <v>0</v>
      </c>
      <c r="AM367" s="78" t="b">
        <f t="shared" si="438"/>
        <v>0</v>
      </c>
      <c r="AN367" s="78" t="b">
        <f t="shared" si="438"/>
        <v>0</v>
      </c>
      <c r="AO367" s="78" t="b">
        <f t="shared" si="438"/>
        <v>0</v>
      </c>
      <c r="AP367" s="78"/>
    </row>
    <row r="368" spans="4:42" x14ac:dyDescent="0.35">
      <c r="D368" s="96"/>
      <c r="E368" s="96"/>
      <c r="G368" s="77">
        <f t="shared" si="387"/>
        <v>0</v>
      </c>
      <c r="H368" s="78">
        <f t="shared" si="388"/>
        <v>0</v>
      </c>
      <c r="I368" s="77">
        <f t="shared" si="389"/>
        <v>0</v>
      </c>
      <c r="J368" s="78">
        <f t="shared" si="390"/>
        <v>0</v>
      </c>
      <c r="K368" s="78" t="str">
        <f t="shared" si="391"/>
        <v>1900-01-00 00:0:00</v>
      </c>
      <c r="L368" s="78" t="str">
        <f t="shared" si="392"/>
        <v>1900-01-00 00:0:00</v>
      </c>
      <c r="M368" s="79">
        <f t="shared" si="393"/>
        <v>0</v>
      </c>
      <c r="N368">
        <f t="shared" si="394"/>
        <v>1</v>
      </c>
      <c r="O368" t="str">
        <f>IFERROR(_xlfn.XLOOKUP(A368,HC!A:A,HC!C:C),"")</f>
        <v>Workforce</v>
      </c>
      <c r="R368" s="78" t="b">
        <f t="shared" ref="R368:AO368" si="439">IFERROR(IF($B368=$D$1,IF(AND($K368&lt;R$1,$L368&lt;R$1),"",IF(AND($K368&gt;S$1,$L368&gt;S$1),"",IF(AND($K368&lt;R$1,$L368&lt;=S$1),$L368-R$1,IF(AND($K368&gt;=R$1,$L368&gt;S$1),S$1-$K368,IF(AND($K368&gt;=R$1,$L368&lt;=S$1),$L368-$K368,IF(AND($K368&lt;R$1,$L368&gt;S$1),S$1-R$1,""))))))),"")</f>
        <v>0</v>
      </c>
      <c r="S368" s="78" t="b">
        <f t="shared" si="439"/>
        <v>0</v>
      </c>
      <c r="T368" s="78" t="b">
        <f t="shared" si="439"/>
        <v>0</v>
      </c>
      <c r="U368" s="78" t="b">
        <f t="shared" si="439"/>
        <v>0</v>
      </c>
      <c r="V368" s="78" t="b">
        <f t="shared" si="439"/>
        <v>0</v>
      </c>
      <c r="W368" s="78" t="b">
        <f t="shared" si="439"/>
        <v>0</v>
      </c>
      <c r="X368" s="78" t="b">
        <f t="shared" si="439"/>
        <v>0</v>
      </c>
      <c r="Y368" s="78" t="b">
        <f t="shared" si="439"/>
        <v>0</v>
      </c>
      <c r="Z368" s="78" t="b">
        <f t="shared" si="439"/>
        <v>0</v>
      </c>
      <c r="AA368" s="78" t="b">
        <f t="shared" si="439"/>
        <v>0</v>
      </c>
      <c r="AB368" s="78" t="b">
        <f t="shared" si="439"/>
        <v>0</v>
      </c>
      <c r="AC368" s="78" t="b">
        <f t="shared" si="439"/>
        <v>0</v>
      </c>
      <c r="AD368" s="78" t="b">
        <f t="shared" si="439"/>
        <v>0</v>
      </c>
      <c r="AE368" s="78" t="b">
        <f t="shared" si="439"/>
        <v>0</v>
      </c>
      <c r="AF368" s="78" t="b">
        <f t="shared" si="439"/>
        <v>0</v>
      </c>
      <c r="AG368" s="78" t="b">
        <f t="shared" si="439"/>
        <v>0</v>
      </c>
      <c r="AH368" s="78" t="b">
        <f t="shared" si="439"/>
        <v>0</v>
      </c>
      <c r="AI368" s="78" t="b">
        <f t="shared" si="439"/>
        <v>0</v>
      </c>
      <c r="AJ368" s="78" t="b">
        <f t="shared" si="439"/>
        <v>0</v>
      </c>
      <c r="AK368" s="78" t="b">
        <f t="shared" si="439"/>
        <v>0</v>
      </c>
      <c r="AL368" s="78" t="b">
        <f t="shared" si="439"/>
        <v>0</v>
      </c>
      <c r="AM368" s="78" t="b">
        <f t="shared" si="439"/>
        <v>0</v>
      </c>
      <c r="AN368" s="78" t="b">
        <f t="shared" si="439"/>
        <v>0</v>
      </c>
      <c r="AO368" s="78" t="b">
        <f t="shared" si="439"/>
        <v>0</v>
      </c>
      <c r="AP368" s="78"/>
    </row>
    <row r="369" spans="4:42" x14ac:dyDescent="0.35">
      <c r="D369" s="96"/>
      <c r="E369" s="96"/>
      <c r="G369" s="77">
        <f t="shared" si="387"/>
        <v>0</v>
      </c>
      <c r="H369" s="78">
        <f t="shared" si="388"/>
        <v>0</v>
      </c>
      <c r="I369" s="77">
        <f t="shared" si="389"/>
        <v>0</v>
      </c>
      <c r="J369" s="78">
        <f t="shared" si="390"/>
        <v>0</v>
      </c>
      <c r="K369" s="78" t="str">
        <f t="shared" si="391"/>
        <v>1900-01-00 00:0:00</v>
      </c>
      <c r="L369" s="78" t="str">
        <f t="shared" si="392"/>
        <v>1900-01-00 00:0:00</v>
      </c>
      <c r="M369" s="79">
        <f t="shared" si="393"/>
        <v>0</v>
      </c>
      <c r="N369">
        <f t="shared" si="394"/>
        <v>1</v>
      </c>
      <c r="O369" t="str">
        <f>IFERROR(_xlfn.XLOOKUP(A369,HC!A:A,HC!C:C),"")</f>
        <v>Workforce</v>
      </c>
      <c r="R369" s="78" t="b">
        <f t="shared" ref="R369:AO369" si="440">IFERROR(IF($B369=$D$1,IF(AND($K369&lt;R$1,$L369&lt;R$1),"",IF(AND($K369&gt;S$1,$L369&gt;S$1),"",IF(AND($K369&lt;R$1,$L369&lt;=S$1),$L369-R$1,IF(AND($K369&gt;=R$1,$L369&gt;S$1),S$1-$K369,IF(AND($K369&gt;=R$1,$L369&lt;=S$1),$L369-$K369,IF(AND($K369&lt;R$1,$L369&gt;S$1),S$1-R$1,""))))))),"")</f>
        <v>0</v>
      </c>
      <c r="S369" s="78" t="b">
        <f t="shared" si="440"/>
        <v>0</v>
      </c>
      <c r="T369" s="78" t="b">
        <f t="shared" si="440"/>
        <v>0</v>
      </c>
      <c r="U369" s="78" t="b">
        <f t="shared" si="440"/>
        <v>0</v>
      </c>
      <c r="V369" s="78" t="b">
        <f t="shared" si="440"/>
        <v>0</v>
      </c>
      <c r="W369" s="78" t="b">
        <f t="shared" si="440"/>
        <v>0</v>
      </c>
      <c r="X369" s="78" t="b">
        <f t="shared" si="440"/>
        <v>0</v>
      </c>
      <c r="Y369" s="78" t="b">
        <f t="shared" si="440"/>
        <v>0</v>
      </c>
      <c r="Z369" s="78" t="b">
        <f t="shared" si="440"/>
        <v>0</v>
      </c>
      <c r="AA369" s="78" t="b">
        <f t="shared" si="440"/>
        <v>0</v>
      </c>
      <c r="AB369" s="78" t="b">
        <f t="shared" si="440"/>
        <v>0</v>
      </c>
      <c r="AC369" s="78" t="b">
        <f t="shared" si="440"/>
        <v>0</v>
      </c>
      <c r="AD369" s="78" t="b">
        <f t="shared" si="440"/>
        <v>0</v>
      </c>
      <c r="AE369" s="78" t="b">
        <f t="shared" si="440"/>
        <v>0</v>
      </c>
      <c r="AF369" s="78" t="b">
        <f t="shared" si="440"/>
        <v>0</v>
      </c>
      <c r="AG369" s="78" t="b">
        <f t="shared" si="440"/>
        <v>0</v>
      </c>
      <c r="AH369" s="78" t="b">
        <f t="shared" si="440"/>
        <v>0</v>
      </c>
      <c r="AI369" s="78" t="b">
        <f t="shared" si="440"/>
        <v>0</v>
      </c>
      <c r="AJ369" s="78" t="b">
        <f t="shared" si="440"/>
        <v>0</v>
      </c>
      <c r="AK369" s="78" t="b">
        <f t="shared" si="440"/>
        <v>0</v>
      </c>
      <c r="AL369" s="78" t="b">
        <f t="shared" si="440"/>
        <v>0</v>
      </c>
      <c r="AM369" s="78" t="b">
        <f t="shared" si="440"/>
        <v>0</v>
      </c>
      <c r="AN369" s="78" t="b">
        <f t="shared" si="440"/>
        <v>0</v>
      </c>
      <c r="AO369" s="78" t="b">
        <f t="shared" si="440"/>
        <v>0</v>
      </c>
      <c r="AP369" s="78"/>
    </row>
    <row r="370" spans="4:42" x14ac:dyDescent="0.35">
      <c r="D370" s="96"/>
      <c r="E370" s="96"/>
      <c r="G370" s="77">
        <f t="shared" si="387"/>
        <v>0</v>
      </c>
      <c r="H370" s="78">
        <f t="shared" si="388"/>
        <v>0</v>
      </c>
      <c r="I370" s="77">
        <f t="shared" si="389"/>
        <v>0</v>
      </c>
      <c r="J370" s="78">
        <f t="shared" si="390"/>
        <v>0</v>
      </c>
      <c r="K370" s="78" t="str">
        <f t="shared" si="391"/>
        <v>1900-01-00 00:0:00</v>
      </c>
      <c r="L370" s="78" t="str">
        <f t="shared" si="392"/>
        <v>1900-01-00 00:0:00</v>
      </c>
      <c r="M370" s="79">
        <f t="shared" si="393"/>
        <v>0</v>
      </c>
      <c r="N370">
        <f t="shared" si="394"/>
        <v>1</v>
      </c>
      <c r="O370" t="str">
        <f>IFERROR(_xlfn.XLOOKUP(A370,HC!A:A,HC!C:C),"")</f>
        <v>Workforce</v>
      </c>
      <c r="R370" s="78" t="b">
        <f t="shared" ref="R370:AO370" si="441">IFERROR(IF($B370=$D$1,IF(AND($K370&lt;R$1,$L370&lt;R$1),"",IF(AND($K370&gt;S$1,$L370&gt;S$1),"",IF(AND($K370&lt;R$1,$L370&lt;=S$1),$L370-R$1,IF(AND($K370&gt;=R$1,$L370&gt;S$1),S$1-$K370,IF(AND($K370&gt;=R$1,$L370&lt;=S$1),$L370-$K370,IF(AND($K370&lt;R$1,$L370&gt;S$1),S$1-R$1,""))))))),"")</f>
        <v>0</v>
      </c>
      <c r="S370" s="78" t="b">
        <f t="shared" si="441"/>
        <v>0</v>
      </c>
      <c r="T370" s="78" t="b">
        <f t="shared" si="441"/>
        <v>0</v>
      </c>
      <c r="U370" s="78" t="b">
        <f t="shared" si="441"/>
        <v>0</v>
      </c>
      <c r="V370" s="78" t="b">
        <f t="shared" si="441"/>
        <v>0</v>
      </c>
      <c r="W370" s="78" t="b">
        <f t="shared" si="441"/>
        <v>0</v>
      </c>
      <c r="X370" s="78" t="b">
        <f t="shared" si="441"/>
        <v>0</v>
      </c>
      <c r="Y370" s="78" t="b">
        <f t="shared" si="441"/>
        <v>0</v>
      </c>
      <c r="Z370" s="78" t="b">
        <f t="shared" si="441"/>
        <v>0</v>
      </c>
      <c r="AA370" s="78" t="b">
        <f t="shared" si="441"/>
        <v>0</v>
      </c>
      <c r="AB370" s="78" t="b">
        <f t="shared" si="441"/>
        <v>0</v>
      </c>
      <c r="AC370" s="78" t="b">
        <f t="shared" si="441"/>
        <v>0</v>
      </c>
      <c r="AD370" s="78" t="b">
        <f t="shared" si="441"/>
        <v>0</v>
      </c>
      <c r="AE370" s="78" t="b">
        <f t="shared" si="441"/>
        <v>0</v>
      </c>
      <c r="AF370" s="78" t="b">
        <f t="shared" si="441"/>
        <v>0</v>
      </c>
      <c r="AG370" s="78" t="b">
        <f t="shared" si="441"/>
        <v>0</v>
      </c>
      <c r="AH370" s="78" t="b">
        <f t="shared" si="441"/>
        <v>0</v>
      </c>
      <c r="AI370" s="78" t="b">
        <f t="shared" si="441"/>
        <v>0</v>
      </c>
      <c r="AJ370" s="78" t="b">
        <f t="shared" si="441"/>
        <v>0</v>
      </c>
      <c r="AK370" s="78" t="b">
        <f t="shared" si="441"/>
        <v>0</v>
      </c>
      <c r="AL370" s="78" t="b">
        <f t="shared" si="441"/>
        <v>0</v>
      </c>
      <c r="AM370" s="78" t="b">
        <f t="shared" si="441"/>
        <v>0</v>
      </c>
      <c r="AN370" s="78" t="b">
        <f t="shared" si="441"/>
        <v>0</v>
      </c>
      <c r="AO370" s="78" t="b">
        <f t="shared" si="441"/>
        <v>0</v>
      </c>
      <c r="AP370" s="78"/>
    </row>
    <row r="371" spans="4:42" x14ac:dyDescent="0.35">
      <c r="D371" s="96"/>
      <c r="E371" s="96"/>
      <c r="G371" s="77">
        <f t="shared" si="387"/>
        <v>0</v>
      </c>
      <c r="H371" s="78">
        <f t="shared" si="388"/>
        <v>0</v>
      </c>
      <c r="I371" s="77">
        <f t="shared" si="389"/>
        <v>0</v>
      </c>
      <c r="J371" s="78">
        <f t="shared" si="390"/>
        <v>0</v>
      </c>
      <c r="K371" s="78" t="str">
        <f t="shared" si="391"/>
        <v>1900-01-00 00:0:00</v>
      </c>
      <c r="L371" s="78" t="str">
        <f t="shared" si="392"/>
        <v>1900-01-00 00:0:00</v>
      </c>
      <c r="M371" s="79">
        <f t="shared" si="393"/>
        <v>0</v>
      </c>
      <c r="N371">
        <f t="shared" si="394"/>
        <v>1</v>
      </c>
      <c r="O371" t="str">
        <f>IFERROR(_xlfn.XLOOKUP(A371,HC!A:A,HC!C:C),"")</f>
        <v>Workforce</v>
      </c>
      <c r="R371" s="78" t="b">
        <f t="shared" ref="R371:AO371" si="442">IFERROR(IF($B371=$D$1,IF(AND($K371&lt;R$1,$L371&lt;R$1),"",IF(AND($K371&gt;S$1,$L371&gt;S$1),"",IF(AND($K371&lt;R$1,$L371&lt;=S$1),$L371-R$1,IF(AND($K371&gt;=R$1,$L371&gt;S$1),S$1-$K371,IF(AND($K371&gt;=R$1,$L371&lt;=S$1),$L371-$K371,IF(AND($K371&lt;R$1,$L371&gt;S$1),S$1-R$1,""))))))),"")</f>
        <v>0</v>
      </c>
      <c r="S371" s="78" t="b">
        <f t="shared" si="442"/>
        <v>0</v>
      </c>
      <c r="T371" s="78" t="b">
        <f t="shared" si="442"/>
        <v>0</v>
      </c>
      <c r="U371" s="78" t="b">
        <f t="shared" si="442"/>
        <v>0</v>
      </c>
      <c r="V371" s="78" t="b">
        <f t="shared" si="442"/>
        <v>0</v>
      </c>
      <c r="W371" s="78" t="b">
        <f t="shared" si="442"/>
        <v>0</v>
      </c>
      <c r="X371" s="78" t="b">
        <f t="shared" si="442"/>
        <v>0</v>
      </c>
      <c r="Y371" s="78" t="b">
        <f t="shared" si="442"/>
        <v>0</v>
      </c>
      <c r="Z371" s="78" t="b">
        <f t="shared" si="442"/>
        <v>0</v>
      </c>
      <c r="AA371" s="78" t="b">
        <f t="shared" si="442"/>
        <v>0</v>
      </c>
      <c r="AB371" s="78" t="b">
        <f t="shared" si="442"/>
        <v>0</v>
      </c>
      <c r="AC371" s="78" t="b">
        <f t="shared" si="442"/>
        <v>0</v>
      </c>
      <c r="AD371" s="78" t="b">
        <f t="shared" si="442"/>
        <v>0</v>
      </c>
      <c r="AE371" s="78" t="b">
        <f t="shared" si="442"/>
        <v>0</v>
      </c>
      <c r="AF371" s="78" t="b">
        <f t="shared" si="442"/>
        <v>0</v>
      </c>
      <c r="AG371" s="78" t="b">
        <f t="shared" si="442"/>
        <v>0</v>
      </c>
      <c r="AH371" s="78" t="b">
        <f t="shared" si="442"/>
        <v>0</v>
      </c>
      <c r="AI371" s="78" t="b">
        <f t="shared" si="442"/>
        <v>0</v>
      </c>
      <c r="AJ371" s="78" t="b">
        <f t="shared" si="442"/>
        <v>0</v>
      </c>
      <c r="AK371" s="78" t="b">
        <f t="shared" si="442"/>
        <v>0</v>
      </c>
      <c r="AL371" s="78" t="b">
        <f t="shared" si="442"/>
        <v>0</v>
      </c>
      <c r="AM371" s="78" t="b">
        <f t="shared" si="442"/>
        <v>0</v>
      </c>
      <c r="AN371" s="78" t="b">
        <f t="shared" si="442"/>
        <v>0</v>
      </c>
      <c r="AO371" s="78" t="b">
        <f t="shared" si="442"/>
        <v>0</v>
      </c>
      <c r="AP371" s="78"/>
    </row>
    <row r="372" spans="4:42" x14ac:dyDescent="0.35">
      <c r="D372" s="96"/>
      <c r="E372" s="96"/>
      <c r="G372" s="77">
        <f t="shared" si="387"/>
        <v>0</v>
      </c>
      <c r="H372" s="78">
        <f t="shared" si="388"/>
        <v>0</v>
      </c>
      <c r="I372" s="77">
        <f t="shared" si="389"/>
        <v>0</v>
      </c>
      <c r="J372" s="78">
        <f t="shared" si="390"/>
        <v>0</v>
      </c>
      <c r="K372" s="78" t="str">
        <f t="shared" si="391"/>
        <v>1900-01-00 00:0:00</v>
      </c>
      <c r="L372" s="78" t="str">
        <f t="shared" si="392"/>
        <v>1900-01-00 00:0:00</v>
      </c>
      <c r="M372" s="79">
        <f t="shared" si="393"/>
        <v>0</v>
      </c>
      <c r="N372">
        <f t="shared" si="394"/>
        <v>1</v>
      </c>
      <c r="O372" t="str">
        <f>IFERROR(_xlfn.XLOOKUP(A372,HC!A:A,HC!C:C),"")</f>
        <v>Workforce</v>
      </c>
      <c r="R372" s="78" t="b">
        <f t="shared" ref="R372:AO372" si="443">IFERROR(IF($B372=$D$1,IF(AND($K372&lt;R$1,$L372&lt;R$1),"",IF(AND($K372&gt;S$1,$L372&gt;S$1),"",IF(AND($K372&lt;R$1,$L372&lt;=S$1),$L372-R$1,IF(AND($K372&gt;=R$1,$L372&gt;S$1),S$1-$K372,IF(AND($K372&gt;=R$1,$L372&lt;=S$1),$L372-$K372,IF(AND($K372&lt;R$1,$L372&gt;S$1),S$1-R$1,""))))))),"")</f>
        <v>0</v>
      </c>
      <c r="S372" s="78" t="b">
        <f t="shared" si="443"/>
        <v>0</v>
      </c>
      <c r="T372" s="78" t="b">
        <f t="shared" si="443"/>
        <v>0</v>
      </c>
      <c r="U372" s="78" t="b">
        <f t="shared" si="443"/>
        <v>0</v>
      </c>
      <c r="V372" s="78" t="b">
        <f t="shared" si="443"/>
        <v>0</v>
      </c>
      <c r="W372" s="78" t="b">
        <f t="shared" si="443"/>
        <v>0</v>
      </c>
      <c r="X372" s="78" t="b">
        <f t="shared" si="443"/>
        <v>0</v>
      </c>
      <c r="Y372" s="78" t="b">
        <f t="shared" si="443"/>
        <v>0</v>
      </c>
      <c r="Z372" s="78" t="b">
        <f t="shared" si="443"/>
        <v>0</v>
      </c>
      <c r="AA372" s="78" t="b">
        <f t="shared" si="443"/>
        <v>0</v>
      </c>
      <c r="AB372" s="78" t="b">
        <f t="shared" si="443"/>
        <v>0</v>
      </c>
      <c r="AC372" s="78" t="b">
        <f t="shared" si="443"/>
        <v>0</v>
      </c>
      <c r="AD372" s="78" t="b">
        <f t="shared" si="443"/>
        <v>0</v>
      </c>
      <c r="AE372" s="78" t="b">
        <f t="shared" si="443"/>
        <v>0</v>
      </c>
      <c r="AF372" s="78" t="b">
        <f t="shared" si="443"/>
        <v>0</v>
      </c>
      <c r="AG372" s="78" t="b">
        <f t="shared" si="443"/>
        <v>0</v>
      </c>
      <c r="AH372" s="78" t="b">
        <f t="shared" si="443"/>
        <v>0</v>
      </c>
      <c r="AI372" s="78" t="b">
        <f t="shared" si="443"/>
        <v>0</v>
      </c>
      <c r="AJ372" s="78" t="b">
        <f t="shared" si="443"/>
        <v>0</v>
      </c>
      <c r="AK372" s="78" t="b">
        <f t="shared" si="443"/>
        <v>0</v>
      </c>
      <c r="AL372" s="78" t="b">
        <f t="shared" si="443"/>
        <v>0</v>
      </c>
      <c r="AM372" s="78" t="b">
        <f t="shared" si="443"/>
        <v>0</v>
      </c>
      <c r="AN372" s="78" t="b">
        <f t="shared" si="443"/>
        <v>0</v>
      </c>
      <c r="AO372" s="78" t="b">
        <f t="shared" si="443"/>
        <v>0</v>
      </c>
      <c r="AP372" s="78"/>
    </row>
    <row r="373" spans="4:42" x14ac:dyDescent="0.35">
      <c r="D373" s="96"/>
      <c r="E373" s="96"/>
      <c r="G373" s="77">
        <f t="shared" si="387"/>
        <v>0</v>
      </c>
      <c r="H373" s="78">
        <f t="shared" si="388"/>
        <v>0</v>
      </c>
      <c r="I373" s="77">
        <f t="shared" si="389"/>
        <v>0</v>
      </c>
      <c r="J373" s="78">
        <f t="shared" si="390"/>
        <v>0</v>
      </c>
      <c r="K373" s="78" t="str">
        <f t="shared" si="391"/>
        <v>1900-01-00 00:0:00</v>
      </c>
      <c r="L373" s="78" t="str">
        <f t="shared" si="392"/>
        <v>1900-01-00 00:0:00</v>
      </c>
      <c r="M373" s="79">
        <f t="shared" si="393"/>
        <v>0</v>
      </c>
      <c r="N373">
        <f t="shared" si="394"/>
        <v>1</v>
      </c>
      <c r="O373" t="str">
        <f>IFERROR(_xlfn.XLOOKUP(A373,HC!A:A,HC!C:C),"")</f>
        <v>Workforce</v>
      </c>
      <c r="R373" s="78" t="b">
        <f t="shared" ref="R373:AO373" si="444">IFERROR(IF($B373=$D$1,IF(AND($K373&lt;R$1,$L373&lt;R$1),"",IF(AND($K373&gt;S$1,$L373&gt;S$1),"",IF(AND($K373&lt;R$1,$L373&lt;=S$1),$L373-R$1,IF(AND($K373&gt;=R$1,$L373&gt;S$1),S$1-$K373,IF(AND($K373&gt;=R$1,$L373&lt;=S$1),$L373-$K373,IF(AND($K373&lt;R$1,$L373&gt;S$1),S$1-R$1,""))))))),"")</f>
        <v>0</v>
      </c>
      <c r="S373" s="78" t="b">
        <f t="shared" si="444"/>
        <v>0</v>
      </c>
      <c r="T373" s="78" t="b">
        <f t="shared" si="444"/>
        <v>0</v>
      </c>
      <c r="U373" s="78" t="b">
        <f t="shared" si="444"/>
        <v>0</v>
      </c>
      <c r="V373" s="78" t="b">
        <f t="shared" si="444"/>
        <v>0</v>
      </c>
      <c r="W373" s="78" t="b">
        <f t="shared" si="444"/>
        <v>0</v>
      </c>
      <c r="X373" s="78" t="b">
        <f t="shared" si="444"/>
        <v>0</v>
      </c>
      <c r="Y373" s="78" t="b">
        <f t="shared" si="444"/>
        <v>0</v>
      </c>
      <c r="Z373" s="78" t="b">
        <f t="shared" si="444"/>
        <v>0</v>
      </c>
      <c r="AA373" s="78" t="b">
        <f t="shared" si="444"/>
        <v>0</v>
      </c>
      <c r="AB373" s="78" t="b">
        <f t="shared" si="444"/>
        <v>0</v>
      </c>
      <c r="AC373" s="78" t="b">
        <f t="shared" si="444"/>
        <v>0</v>
      </c>
      <c r="AD373" s="78" t="b">
        <f t="shared" si="444"/>
        <v>0</v>
      </c>
      <c r="AE373" s="78" t="b">
        <f t="shared" si="444"/>
        <v>0</v>
      </c>
      <c r="AF373" s="78" t="b">
        <f t="shared" si="444"/>
        <v>0</v>
      </c>
      <c r="AG373" s="78" t="b">
        <f t="shared" si="444"/>
        <v>0</v>
      </c>
      <c r="AH373" s="78" t="b">
        <f t="shared" si="444"/>
        <v>0</v>
      </c>
      <c r="AI373" s="78" t="b">
        <f t="shared" si="444"/>
        <v>0</v>
      </c>
      <c r="AJ373" s="78" t="b">
        <f t="shared" si="444"/>
        <v>0</v>
      </c>
      <c r="AK373" s="78" t="b">
        <f t="shared" si="444"/>
        <v>0</v>
      </c>
      <c r="AL373" s="78" t="b">
        <f t="shared" si="444"/>
        <v>0</v>
      </c>
      <c r="AM373" s="78" t="b">
        <f t="shared" si="444"/>
        <v>0</v>
      </c>
      <c r="AN373" s="78" t="b">
        <f t="shared" si="444"/>
        <v>0</v>
      </c>
      <c r="AO373" s="78" t="b">
        <f t="shared" si="444"/>
        <v>0</v>
      </c>
      <c r="AP373" s="78"/>
    </row>
    <row r="374" spans="4:42" x14ac:dyDescent="0.35">
      <c r="D374" s="96"/>
      <c r="E374" s="96"/>
      <c r="G374" s="77">
        <f t="shared" si="387"/>
        <v>0</v>
      </c>
      <c r="H374" s="78">
        <f t="shared" si="388"/>
        <v>0</v>
      </c>
      <c r="I374" s="77">
        <f t="shared" si="389"/>
        <v>0</v>
      </c>
      <c r="J374" s="78">
        <f t="shared" si="390"/>
        <v>0</v>
      </c>
      <c r="K374" s="78" t="str">
        <f t="shared" si="391"/>
        <v>1900-01-00 00:0:00</v>
      </c>
      <c r="L374" s="78" t="str">
        <f t="shared" si="392"/>
        <v>1900-01-00 00:0:00</v>
      </c>
      <c r="M374" s="79">
        <f t="shared" si="393"/>
        <v>0</v>
      </c>
      <c r="N374">
        <f t="shared" si="394"/>
        <v>1</v>
      </c>
      <c r="O374" t="str">
        <f>IFERROR(_xlfn.XLOOKUP(A374,HC!A:A,HC!C:C),"")</f>
        <v>Workforce</v>
      </c>
      <c r="R374" s="78" t="b">
        <f t="shared" ref="R374:AO374" si="445">IFERROR(IF($B374=$D$1,IF(AND($K374&lt;R$1,$L374&lt;R$1),"",IF(AND($K374&gt;S$1,$L374&gt;S$1),"",IF(AND($K374&lt;R$1,$L374&lt;=S$1),$L374-R$1,IF(AND($K374&gt;=R$1,$L374&gt;S$1),S$1-$K374,IF(AND($K374&gt;=R$1,$L374&lt;=S$1),$L374-$K374,IF(AND($K374&lt;R$1,$L374&gt;S$1),S$1-R$1,""))))))),"")</f>
        <v>0</v>
      </c>
      <c r="S374" s="78" t="b">
        <f t="shared" si="445"/>
        <v>0</v>
      </c>
      <c r="T374" s="78" t="b">
        <f t="shared" si="445"/>
        <v>0</v>
      </c>
      <c r="U374" s="78" t="b">
        <f t="shared" si="445"/>
        <v>0</v>
      </c>
      <c r="V374" s="78" t="b">
        <f t="shared" si="445"/>
        <v>0</v>
      </c>
      <c r="W374" s="78" t="b">
        <f t="shared" si="445"/>
        <v>0</v>
      </c>
      <c r="X374" s="78" t="b">
        <f t="shared" si="445"/>
        <v>0</v>
      </c>
      <c r="Y374" s="78" t="b">
        <f t="shared" si="445"/>
        <v>0</v>
      </c>
      <c r="Z374" s="78" t="b">
        <f t="shared" si="445"/>
        <v>0</v>
      </c>
      <c r="AA374" s="78" t="b">
        <f t="shared" si="445"/>
        <v>0</v>
      </c>
      <c r="AB374" s="78" t="b">
        <f t="shared" si="445"/>
        <v>0</v>
      </c>
      <c r="AC374" s="78" t="b">
        <f t="shared" si="445"/>
        <v>0</v>
      </c>
      <c r="AD374" s="78" t="b">
        <f t="shared" si="445"/>
        <v>0</v>
      </c>
      <c r="AE374" s="78" t="b">
        <f t="shared" si="445"/>
        <v>0</v>
      </c>
      <c r="AF374" s="78" t="b">
        <f t="shared" si="445"/>
        <v>0</v>
      </c>
      <c r="AG374" s="78" t="b">
        <f t="shared" si="445"/>
        <v>0</v>
      </c>
      <c r="AH374" s="78" t="b">
        <f t="shared" si="445"/>
        <v>0</v>
      </c>
      <c r="AI374" s="78" t="b">
        <f t="shared" si="445"/>
        <v>0</v>
      </c>
      <c r="AJ374" s="78" t="b">
        <f t="shared" si="445"/>
        <v>0</v>
      </c>
      <c r="AK374" s="78" t="b">
        <f t="shared" si="445"/>
        <v>0</v>
      </c>
      <c r="AL374" s="78" t="b">
        <f t="shared" si="445"/>
        <v>0</v>
      </c>
      <c r="AM374" s="78" t="b">
        <f t="shared" si="445"/>
        <v>0</v>
      </c>
      <c r="AN374" s="78" t="b">
        <f t="shared" si="445"/>
        <v>0</v>
      </c>
      <c r="AO374" s="78" t="b">
        <f t="shared" si="445"/>
        <v>0</v>
      </c>
      <c r="AP374" s="78"/>
    </row>
    <row r="375" spans="4:42" x14ac:dyDescent="0.35">
      <c r="D375" s="96"/>
      <c r="E375" s="96"/>
      <c r="G375" s="77">
        <f t="shared" si="387"/>
        <v>0</v>
      </c>
      <c r="H375" s="78">
        <f t="shared" si="388"/>
        <v>0</v>
      </c>
      <c r="I375" s="77">
        <f t="shared" si="389"/>
        <v>0</v>
      </c>
      <c r="J375" s="78">
        <f t="shared" si="390"/>
        <v>0</v>
      </c>
      <c r="K375" s="78" t="str">
        <f t="shared" si="391"/>
        <v>1900-01-00 00:0:00</v>
      </c>
      <c r="L375" s="78" t="str">
        <f t="shared" si="392"/>
        <v>1900-01-00 00:0:00</v>
      </c>
      <c r="M375" s="79">
        <f t="shared" si="393"/>
        <v>0</v>
      </c>
      <c r="N375">
        <f t="shared" si="394"/>
        <v>1</v>
      </c>
      <c r="O375" t="str">
        <f>IFERROR(_xlfn.XLOOKUP(A375,HC!A:A,HC!C:C),"")</f>
        <v>Workforce</v>
      </c>
      <c r="R375" s="78" t="b">
        <f t="shared" ref="R375:AO375" si="446">IFERROR(IF($B375=$D$1,IF(AND($K375&lt;R$1,$L375&lt;R$1),"",IF(AND($K375&gt;S$1,$L375&gt;S$1),"",IF(AND($K375&lt;R$1,$L375&lt;=S$1),$L375-R$1,IF(AND($K375&gt;=R$1,$L375&gt;S$1),S$1-$K375,IF(AND($K375&gt;=R$1,$L375&lt;=S$1),$L375-$K375,IF(AND($K375&lt;R$1,$L375&gt;S$1),S$1-R$1,""))))))),"")</f>
        <v>0</v>
      </c>
      <c r="S375" s="78" t="b">
        <f t="shared" si="446"/>
        <v>0</v>
      </c>
      <c r="T375" s="78" t="b">
        <f t="shared" si="446"/>
        <v>0</v>
      </c>
      <c r="U375" s="78" t="b">
        <f t="shared" si="446"/>
        <v>0</v>
      </c>
      <c r="V375" s="78" t="b">
        <f t="shared" si="446"/>
        <v>0</v>
      </c>
      <c r="W375" s="78" t="b">
        <f t="shared" si="446"/>
        <v>0</v>
      </c>
      <c r="X375" s="78" t="b">
        <f t="shared" si="446"/>
        <v>0</v>
      </c>
      <c r="Y375" s="78" t="b">
        <f t="shared" si="446"/>
        <v>0</v>
      </c>
      <c r="Z375" s="78" t="b">
        <f t="shared" si="446"/>
        <v>0</v>
      </c>
      <c r="AA375" s="78" t="b">
        <f t="shared" si="446"/>
        <v>0</v>
      </c>
      <c r="AB375" s="78" t="b">
        <f t="shared" si="446"/>
        <v>0</v>
      </c>
      <c r="AC375" s="78" t="b">
        <f t="shared" si="446"/>
        <v>0</v>
      </c>
      <c r="AD375" s="78" t="b">
        <f t="shared" si="446"/>
        <v>0</v>
      </c>
      <c r="AE375" s="78" t="b">
        <f t="shared" si="446"/>
        <v>0</v>
      </c>
      <c r="AF375" s="78" t="b">
        <f t="shared" si="446"/>
        <v>0</v>
      </c>
      <c r="AG375" s="78" t="b">
        <f t="shared" si="446"/>
        <v>0</v>
      </c>
      <c r="AH375" s="78" t="b">
        <f t="shared" si="446"/>
        <v>0</v>
      </c>
      <c r="AI375" s="78" t="b">
        <f t="shared" si="446"/>
        <v>0</v>
      </c>
      <c r="AJ375" s="78" t="b">
        <f t="shared" si="446"/>
        <v>0</v>
      </c>
      <c r="AK375" s="78" t="b">
        <f t="shared" si="446"/>
        <v>0</v>
      </c>
      <c r="AL375" s="78" t="b">
        <f t="shared" si="446"/>
        <v>0</v>
      </c>
      <c r="AM375" s="78" t="b">
        <f t="shared" si="446"/>
        <v>0</v>
      </c>
      <c r="AN375" s="78" t="b">
        <f t="shared" si="446"/>
        <v>0</v>
      </c>
      <c r="AO375" s="78" t="b">
        <f t="shared" si="446"/>
        <v>0</v>
      </c>
      <c r="AP375" s="78"/>
    </row>
    <row r="376" spans="4:42" x14ac:dyDescent="0.35">
      <c r="D376" s="96"/>
      <c r="E376" s="96"/>
      <c r="G376" s="77">
        <f t="shared" si="387"/>
        <v>0</v>
      </c>
      <c r="H376" s="78">
        <f t="shared" si="388"/>
        <v>0</v>
      </c>
      <c r="I376" s="77">
        <f t="shared" si="389"/>
        <v>0</v>
      </c>
      <c r="J376" s="78">
        <f t="shared" si="390"/>
        <v>0</v>
      </c>
      <c r="K376" s="78" t="str">
        <f t="shared" si="391"/>
        <v>1900-01-00 00:0:00</v>
      </c>
      <c r="L376" s="78" t="str">
        <f t="shared" si="392"/>
        <v>1900-01-00 00:0:00</v>
      </c>
      <c r="M376" s="79">
        <f t="shared" si="393"/>
        <v>0</v>
      </c>
      <c r="N376">
        <f t="shared" si="394"/>
        <v>1</v>
      </c>
      <c r="O376" t="str">
        <f>IFERROR(_xlfn.XLOOKUP(A376,HC!A:A,HC!C:C),"")</f>
        <v>Workforce</v>
      </c>
      <c r="R376" s="78" t="b">
        <f t="shared" ref="R376:AO376" si="447">IFERROR(IF($B376=$D$1,IF(AND($K376&lt;R$1,$L376&lt;R$1),"",IF(AND($K376&gt;S$1,$L376&gt;S$1),"",IF(AND($K376&lt;R$1,$L376&lt;=S$1),$L376-R$1,IF(AND($K376&gt;=R$1,$L376&gt;S$1),S$1-$K376,IF(AND($K376&gt;=R$1,$L376&lt;=S$1),$L376-$K376,IF(AND($K376&lt;R$1,$L376&gt;S$1),S$1-R$1,""))))))),"")</f>
        <v>0</v>
      </c>
      <c r="S376" s="78" t="b">
        <f t="shared" si="447"/>
        <v>0</v>
      </c>
      <c r="T376" s="78" t="b">
        <f t="shared" si="447"/>
        <v>0</v>
      </c>
      <c r="U376" s="78" t="b">
        <f t="shared" si="447"/>
        <v>0</v>
      </c>
      <c r="V376" s="78" t="b">
        <f t="shared" si="447"/>
        <v>0</v>
      </c>
      <c r="W376" s="78" t="b">
        <f t="shared" si="447"/>
        <v>0</v>
      </c>
      <c r="X376" s="78" t="b">
        <f t="shared" si="447"/>
        <v>0</v>
      </c>
      <c r="Y376" s="78" t="b">
        <f t="shared" si="447"/>
        <v>0</v>
      </c>
      <c r="Z376" s="78" t="b">
        <f t="shared" si="447"/>
        <v>0</v>
      </c>
      <c r="AA376" s="78" t="b">
        <f t="shared" si="447"/>
        <v>0</v>
      </c>
      <c r="AB376" s="78" t="b">
        <f t="shared" si="447"/>
        <v>0</v>
      </c>
      <c r="AC376" s="78" t="b">
        <f t="shared" si="447"/>
        <v>0</v>
      </c>
      <c r="AD376" s="78" t="b">
        <f t="shared" si="447"/>
        <v>0</v>
      </c>
      <c r="AE376" s="78" t="b">
        <f t="shared" si="447"/>
        <v>0</v>
      </c>
      <c r="AF376" s="78" t="b">
        <f t="shared" si="447"/>
        <v>0</v>
      </c>
      <c r="AG376" s="78" t="b">
        <f t="shared" si="447"/>
        <v>0</v>
      </c>
      <c r="AH376" s="78" t="b">
        <f t="shared" si="447"/>
        <v>0</v>
      </c>
      <c r="AI376" s="78" t="b">
        <f t="shared" si="447"/>
        <v>0</v>
      </c>
      <c r="AJ376" s="78" t="b">
        <f t="shared" si="447"/>
        <v>0</v>
      </c>
      <c r="AK376" s="78" t="b">
        <f t="shared" si="447"/>
        <v>0</v>
      </c>
      <c r="AL376" s="78" t="b">
        <f t="shared" si="447"/>
        <v>0</v>
      </c>
      <c r="AM376" s="78" t="b">
        <f t="shared" si="447"/>
        <v>0</v>
      </c>
      <c r="AN376" s="78" t="b">
        <f t="shared" si="447"/>
        <v>0</v>
      </c>
      <c r="AO376" s="78" t="b">
        <f t="shared" si="447"/>
        <v>0</v>
      </c>
      <c r="AP376" s="78"/>
    </row>
    <row r="377" spans="4:42" x14ac:dyDescent="0.35">
      <c r="D377" s="96"/>
      <c r="E377" s="96"/>
      <c r="G377" s="77">
        <f t="shared" si="387"/>
        <v>0</v>
      </c>
      <c r="H377" s="78">
        <f t="shared" si="388"/>
        <v>0</v>
      </c>
      <c r="I377" s="77">
        <f t="shared" si="389"/>
        <v>0</v>
      </c>
      <c r="J377" s="78">
        <f t="shared" si="390"/>
        <v>0</v>
      </c>
      <c r="K377" s="78" t="str">
        <f t="shared" si="391"/>
        <v>1900-01-00 00:0:00</v>
      </c>
      <c r="L377" s="78" t="str">
        <f t="shared" si="392"/>
        <v>1900-01-00 00:0:00</v>
      </c>
      <c r="M377" s="79">
        <f t="shared" si="393"/>
        <v>0</v>
      </c>
      <c r="N377">
        <f t="shared" si="394"/>
        <v>1</v>
      </c>
      <c r="O377" t="str">
        <f>IFERROR(_xlfn.XLOOKUP(A377,HC!A:A,HC!C:C),"")</f>
        <v>Workforce</v>
      </c>
      <c r="R377" s="78" t="b">
        <f t="shared" ref="R377:AO377" si="448">IFERROR(IF($B377=$D$1,IF(AND($K377&lt;R$1,$L377&lt;R$1),"",IF(AND($K377&gt;S$1,$L377&gt;S$1),"",IF(AND($K377&lt;R$1,$L377&lt;=S$1),$L377-R$1,IF(AND($K377&gt;=R$1,$L377&gt;S$1),S$1-$K377,IF(AND($K377&gt;=R$1,$L377&lt;=S$1),$L377-$K377,IF(AND($K377&lt;R$1,$L377&gt;S$1),S$1-R$1,""))))))),"")</f>
        <v>0</v>
      </c>
      <c r="S377" s="78" t="b">
        <f t="shared" si="448"/>
        <v>0</v>
      </c>
      <c r="T377" s="78" t="b">
        <f t="shared" si="448"/>
        <v>0</v>
      </c>
      <c r="U377" s="78" t="b">
        <f t="shared" si="448"/>
        <v>0</v>
      </c>
      <c r="V377" s="78" t="b">
        <f t="shared" si="448"/>
        <v>0</v>
      </c>
      <c r="W377" s="78" t="b">
        <f t="shared" si="448"/>
        <v>0</v>
      </c>
      <c r="X377" s="78" t="b">
        <f t="shared" si="448"/>
        <v>0</v>
      </c>
      <c r="Y377" s="78" t="b">
        <f t="shared" si="448"/>
        <v>0</v>
      </c>
      <c r="Z377" s="78" t="b">
        <f t="shared" si="448"/>
        <v>0</v>
      </c>
      <c r="AA377" s="78" t="b">
        <f t="shared" si="448"/>
        <v>0</v>
      </c>
      <c r="AB377" s="78" t="b">
        <f t="shared" si="448"/>
        <v>0</v>
      </c>
      <c r="AC377" s="78" t="b">
        <f t="shared" si="448"/>
        <v>0</v>
      </c>
      <c r="AD377" s="78" t="b">
        <f t="shared" si="448"/>
        <v>0</v>
      </c>
      <c r="AE377" s="78" t="b">
        <f t="shared" si="448"/>
        <v>0</v>
      </c>
      <c r="AF377" s="78" t="b">
        <f t="shared" si="448"/>
        <v>0</v>
      </c>
      <c r="AG377" s="78" t="b">
        <f t="shared" si="448"/>
        <v>0</v>
      </c>
      <c r="AH377" s="78" t="b">
        <f t="shared" si="448"/>
        <v>0</v>
      </c>
      <c r="AI377" s="78" t="b">
        <f t="shared" si="448"/>
        <v>0</v>
      </c>
      <c r="AJ377" s="78" t="b">
        <f t="shared" si="448"/>
        <v>0</v>
      </c>
      <c r="AK377" s="78" t="b">
        <f t="shared" si="448"/>
        <v>0</v>
      </c>
      <c r="AL377" s="78" t="b">
        <f t="shared" si="448"/>
        <v>0</v>
      </c>
      <c r="AM377" s="78" t="b">
        <f t="shared" si="448"/>
        <v>0</v>
      </c>
      <c r="AN377" s="78" t="b">
        <f t="shared" si="448"/>
        <v>0</v>
      </c>
      <c r="AO377" s="78" t="b">
        <f t="shared" si="448"/>
        <v>0</v>
      </c>
      <c r="AP377" s="78"/>
    </row>
    <row r="378" spans="4:42" x14ac:dyDescent="0.35">
      <c r="D378" s="96"/>
      <c r="E378" s="96"/>
      <c r="G378" s="77">
        <f t="shared" si="387"/>
        <v>0</v>
      </c>
      <c r="H378" s="78">
        <f t="shared" si="388"/>
        <v>0</v>
      </c>
      <c r="I378" s="77">
        <f t="shared" si="389"/>
        <v>0</v>
      </c>
      <c r="J378" s="78">
        <f t="shared" si="390"/>
        <v>0</v>
      </c>
      <c r="K378" s="78" t="str">
        <f t="shared" si="391"/>
        <v>1900-01-00 00:0:00</v>
      </c>
      <c r="L378" s="78" t="str">
        <f t="shared" si="392"/>
        <v>1900-01-00 00:0:00</v>
      </c>
      <c r="M378" s="79">
        <f t="shared" si="393"/>
        <v>0</v>
      </c>
      <c r="N378">
        <f t="shared" si="394"/>
        <v>1</v>
      </c>
      <c r="O378" t="str">
        <f>IFERROR(_xlfn.XLOOKUP(A378,HC!A:A,HC!C:C),"")</f>
        <v>Workforce</v>
      </c>
      <c r="R378" s="78" t="b">
        <f t="shared" ref="R378:AO378" si="449">IFERROR(IF($B378=$D$1,IF(AND($K378&lt;R$1,$L378&lt;R$1),"",IF(AND($K378&gt;S$1,$L378&gt;S$1),"",IF(AND($K378&lt;R$1,$L378&lt;=S$1),$L378-R$1,IF(AND($K378&gt;=R$1,$L378&gt;S$1),S$1-$K378,IF(AND($K378&gt;=R$1,$L378&lt;=S$1),$L378-$K378,IF(AND($K378&lt;R$1,$L378&gt;S$1),S$1-R$1,""))))))),"")</f>
        <v>0</v>
      </c>
      <c r="S378" s="78" t="b">
        <f t="shared" si="449"/>
        <v>0</v>
      </c>
      <c r="T378" s="78" t="b">
        <f t="shared" si="449"/>
        <v>0</v>
      </c>
      <c r="U378" s="78" t="b">
        <f t="shared" si="449"/>
        <v>0</v>
      </c>
      <c r="V378" s="78" t="b">
        <f t="shared" si="449"/>
        <v>0</v>
      </c>
      <c r="W378" s="78" t="b">
        <f t="shared" si="449"/>
        <v>0</v>
      </c>
      <c r="X378" s="78" t="b">
        <f t="shared" si="449"/>
        <v>0</v>
      </c>
      <c r="Y378" s="78" t="b">
        <f t="shared" si="449"/>
        <v>0</v>
      </c>
      <c r="Z378" s="78" t="b">
        <f t="shared" si="449"/>
        <v>0</v>
      </c>
      <c r="AA378" s="78" t="b">
        <f t="shared" si="449"/>
        <v>0</v>
      </c>
      <c r="AB378" s="78" t="b">
        <f t="shared" si="449"/>
        <v>0</v>
      </c>
      <c r="AC378" s="78" t="b">
        <f t="shared" si="449"/>
        <v>0</v>
      </c>
      <c r="AD378" s="78" t="b">
        <f t="shared" si="449"/>
        <v>0</v>
      </c>
      <c r="AE378" s="78" t="b">
        <f t="shared" si="449"/>
        <v>0</v>
      </c>
      <c r="AF378" s="78" t="b">
        <f t="shared" si="449"/>
        <v>0</v>
      </c>
      <c r="AG378" s="78" t="b">
        <f t="shared" si="449"/>
        <v>0</v>
      </c>
      <c r="AH378" s="78" t="b">
        <f t="shared" si="449"/>
        <v>0</v>
      </c>
      <c r="AI378" s="78" t="b">
        <f t="shared" si="449"/>
        <v>0</v>
      </c>
      <c r="AJ378" s="78" t="b">
        <f t="shared" si="449"/>
        <v>0</v>
      </c>
      <c r="AK378" s="78" t="b">
        <f t="shared" si="449"/>
        <v>0</v>
      </c>
      <c r="AL378" s="78" t="b">
        <f t="shared" si="449"/>
        <v>0</v>
      </c>
      <c r="AM378" s="78" t="b">
        <f t="shared" si="449"/>
        <v>0</v>
      </c>
      <c r="AN378" s="78" t="b">
        <f t="shared" si="449"/>
        <v>0</v>
      </c>
      <c r="AO378" s="78" t="b">
        <f t="shared" si="449"/>
        <v>0</v>
      </c>
      <c r="AP378" s="78"/>
    </row>
    <row r="379" spans="4:42" x14ac:dyDescent="0.35">
      <c r="D379" s="96"/>
      <c r="E379" s="96"/>
      <c r="G379" s="77">
        <f t="shared" si="387"/>
        <v>0</v>
      </c>
      <c r="H379" s="78">
        <f t="shared" si="388"/>
        <v>0</v>
      </c>
      <c r="I379" s="77">
        <f t="shared" si="389"/>
        <v>0</v>
      </c>
      <c r="J379" s="78">
        <f t="shared" si="390"/>
        <v>0</v>
      </c>
      <c r="K379" s="78" t="str">
        <f t="shared" si="391"/>
        <v>1900-01-00 00:0:00</v>
      </c>
      <c r="L379" s="78" t="str">
        <f t="shared" si="392"/>
        <v>1900-01-00 00:0:00</v>
      </c>
      <c r="M379" s="79">
        <f t="shared" si="393"/>
        <v>0</v>
      </c>
      <c r="N379">
        <f t="shared" si="394"/>
        <v>1</v>
      </c>
      <c r="O379" t="str">
        <f>IFERROR(_xlfn.XLOOKUP(A379,HC!A:A,HC!C:C),"")</f>
        <v>Workforce</v>
      </c>
      <c r="R379" s="78" t="b">
        <f t="shared" ref="R379:AO379" si="450">IFERROR(IF($B379=$D$1,IF(AND($K379&lt;R$1,$L379&lt;R$1),"",IF(AND($K379&gt;S$1,$L379&gt;S$1),"",IF(AND($K379&lt;R$1,$L379&lt;=S$1),$L379-R$1,IF(AND($K379&gt;=R$1,$L379&gt;S$1),S$1-$K379,IF(AND($K379&gt;=R$1,$L379&lt;=S$1),$L379-$K379,IF(AND($K379&lt;R$1,$L379&gt;S$1),S$1-R$1,""))))))),"")</f>
        <v>0</v>
      </c>
      <c r="S379" s="78" t="b">
        <f t="shared" si="450"/>
        <v>0</v>
      </c>
      <c r="T379" s="78" t="b">
        <f t="shared" si="450"/>
        <v>0</v>
      </c>
      <c r="U379" s="78" t="b">
        <f t="shared" si="450"/>
        <v>0</v>
      </c>
      <c r="V379" s="78" t="b">
        <f t="shared" si="450"/>
        <v>0</v>
      </c>
      <c r="W379" s="78" t="b">
        <f t="shared" si="450"/>
        <v>0</v>
      </c>
      <c r="X379" s="78" t="b">
        <f t="shared" si="450"/>
        <v>0</v>
      </c>
      <c r="Y379" s="78" t="b">
        <f t="shared" si="450"/>
        <v>0</v>
      </c>
      <c r="Z379" s="78" t="b">
        <f t="shared" si="450"/>
        <v>0</v>
      </c>
      <c r="AA379" s="78" t="b">
        <f t="shared" si="450"/>
        <v>0</v>
      </c>
      <c r="AB379" s="78" t="b">
        <f t="shared" si="450"/>
        <v>0</v>
      </c>
      <c r="AC379" s="78" t="b">
        <f t="shared" si="450"/>
        <v>0</v>
      </c>
      <c r="AD379" s="78" t="b">
        <f t="shared" si="450"/>
        <v>0</v>
      </c>
      <c r="AE379" s="78" t="b">
        <f t="shared" si="450"/>
        <v>0</v>
      </c>
      <c r="AF379" s="78" t="b">
        <f t="shared" si="450"/>
        <v>0</v>
      </c>
      <c r="AG379" s="78" t="b">
        <f t="shared" si="450"/>
        <v>0</v>
      </c>
      <c r="AH379" s="78" t="b">
        <f t="shared" si="450"/>
        <v>0</v>
      </c>
      <c r="AI379" s="78" t="b">
        <f t="shared" si="450"/>
        <v>0</v>
      </c>
      <c r="AJ379" s="78" t="b">
        <f t="shared" si="450"/>
        <v>0</v>
      </c>
      <c r="AK379" s="78" t="b">
        <f t="shared" si="450"/>
        <v>0</v>
      </c>
      <c r="AL379" s="78" t="b">
        <f t="shared" si="450"/>
        <v>0</v>
      </c>
      <c r="AM379" s="78" t="b">
        <f t="shared" si="450"/>
        <v>0</v>
      </c>
      <c r="AN379" s="78" t="b">
        <f t="shared" si="450"/>
        <v>0</v>
      </c>
      <c r="AO379" s="78" t="b">
        <f t="shared" si="450"/>
        <v>0</v>
      </c>
      <c r="AP379" s="78"/>
    </row>
    <row r="380" spans="4:42" x14ac:dyDescent="0.35">
      <c r="D380" s="96"/>
      <c r="E380" s="96"/>
      <c r="G380" s="77">
        <f t="shared" si="387"/>
        <v>0</v>
      </c>
      <c r="H380" s="78">
        <f t="shared" si="388"/>
        <v>0</v>
      </c>
      <c r="I380" s="77">
        <f t="shared" si="389"/>
        <v>0</v>
      </c>
      <c r="J380" s="78">
        <f t="shared" si="390"/>
        <v>0</v>
      </c>
      <c r="K380" s="78" t="str">
        <f t="shared" si="391"/>
        <v>1900-01-00 00:0:00</v>
      </c>
      <c r="L380" s="78" t="str">
        <f t="shared" si="392"/>
        <v>1900-01-00 00:0:00</v>
      </c>
      <c r="M380" s="79">
        <f t="shared" si="393"/>
        <v>0</v>
      </c>
      <c r="N380">
        <f t="shared" si="394"/>
        <v>1</v>
      </c>
      <c r="O380" t="str">
        <f>IFERROR(_xlfn.XLOOKUP(A380,HC!A:A,HC!C:C),"")</f>
        <v>Workforce</v>
      </c>
      <c r="R380" s="78" t="b">
        <f t="shared" ref="R380:AO380" si="451">IFERROR(IF($B380=$D$1,IF(AND($K380&lt;R$1,$L380&lt;R$1),"",IF(AND($K380&gt;S$1,$L380&gt;S$1),"",IF(AND($K380&lt;R$1,$L380&lt;=S$1),$L380-R$1,IF(AND($K380&gt;=R$1,$L380&gt;S$1),S$1-$K380,IF(AND($K380&gt;=R$1,$L380&lt;=S$1),$L380-$K380,IF(AND($K380&lt;R$1,$L380&gt;S$1),S$1-R$1,""))))))),"")</f>
        <v>0</v>
      </c>
      <c r="S380" s="78" t="b">
        <f t="shared" si="451"/>
        <v>0</v>
      </c>
      <c r="T380" s="78" t="b">
        <f t="shared" si="451"/>
        <v>0</v>
      </c>
      <c r="U380" s="78" t="b">
        <f t="shared" si="451"/>
        <v>0</v>
      </c>
      <c r="V380" s="78" t="b">
        <f t="shared" si="451"/>
        <v>0</v>
      </c>
      <c r="W380" s="78" t="b">
        <f t="shared" si="451"/>
        <v>0</v>
      </c>
      <c r="X380" s="78" t="b">
        <f t="shared" si="451"/>
        <v>0</v>
      </c>
      <c r="Y380" s="78" t="b">
        <f t="shared" si="451"/>
        <v>0</v>
      </c>
      <c r="Z380" s="78" t="b">
        <f t="shared" si="451"/>
        <v>0</v>
      </c>
      <c r="AA380" s="78" t="b">
        <f t="shared" si="451"/>
        <v>0</v>
      </c>
      <c r="AB380" s="78" t="b">
        <f t="shared" si="451"/>
        <v>0</v>
      </c>
      <c r="AC380" s="78" t="b">
        <f t="shared" si="451"/>
        <v>0</v>
      </c>
      <c r="AD380" s="78" t="b">
        <f t="shared" si="451"/>
        <v>0</v>
      </c>
      <c r="AE380" s="78" t="b">
        <f t="shared" si="451"/>
        <v>0</v>
      </c>
      <c r="AF380" s="78" t="b">
        <f t="shared" si="451"/>
        <v>0</v>
      </c>
      <c r="AG380" s="78" t="b">
        <f t="shared" si="451"/>
        <v>0</v>
      </c>
      <c r="AH380" s="78" t="b">
        <f t="shared" si="451"/>
        <v>0</v>
      </c>
      <c r="AI380" s="78" t="b">
        <f t="shared" si="451"/>
        <v>0</v>
      </c>
      <c r="AJ380" s="78" t="b">
        <f t="shared" si="451"/>
        <v>0</v>
      </c>
      <c r="AK380" s="78" t="b">
        <f t="shared" si="451"/>
        <v>0</v>
      </c>
      <c r="AL380" s="78" t="b">
        <f t="shared" si="451"/>
        <v>0</v>
      </c>
      <c r="AM380" s="78" t="b">
        <f t="shared" si="451"/>
        <v>0</v>
      </c>
      <c r="AN380" s="78" t="b">
        <f t="shared" si="451"/>
        <v>0</v>
      </c>
      <c r="AO380" s="78" t="b">
        <f t="shared" si="451"/>
        <v>0</v>
      </c>
      <c r="AP380" s="78"/>
    </row>
    <row r="381" spans="4:42" x14ac:dyDescent="0.35">
      <c r="D381" s="96"/>
      <c r="E381" s="96"/>
      <c r="G381" s="77">
        <f t="shared" si="387"/>
        <v>0</v>
      </c>
      <c r="H381" s="78">
        <f t="shared" si="388"/>
        <v>0</v>
      </c>
      <c r="I381" s="77">
        <f t="shared" si="389"/>
        <v>0</v>
      </c>
      <c r="J381" s="78">
        <f t="shared" si="390"/>
        <v>0</v>
      </c>
      <c r="K381" s="78" t="str">
        <f t="shared" si="391"/>
        <v>1900-01-00 00:0:00</v>
      </c>
      <c r="L381" s="78" t="str">
        <f t="shared" si="392"/>
        <v>1900-01-00 00:0:00</v>
      </c>
      <c r="M381" s="79">
        <f t="shared" si="393"/>
        <v>0</v>
      </c>
      <c r="N381">
        <f t="shared" si="394"/>
        <v>1</v>
      </c>
      <c r="O381" t="str">
        <f>IFERROR(_xlfn.XLOOKUP(A381,HC!A:A,HC!C:C),"")</f>
        <v>Workforce</v>
      </c>
      <c r="R381" s="78" t="b">
        <f t="shared" ref="R381:AO381" si="452">IFERROR(IF($B381=$D$1,IF(AND($K381&lt;R$1,$L381&lt;R$1),"",IF(AND($K381&gt;S$1,$L381&gt;S$1),"",IF(AND($K381&lt;R$1,$L381&lt;=S$1),$L381-R$1,IF(AND($K381&gt;=R$1,$L381&gt;S$1),S$1-$K381,IF(AND($K381&gt;=R$1,$L381&lt;=S$1),$L381-$K381,IF(AND($K381&lt;R$1,$L381&gt;S$1),S$1-R$1,""))))))),"")</f>
        <v>0</v>
      </c>
      <c r="S381" s="78" t="b">
        <f t="shared" si="452"/>
        <v>0</v>
      </c>
      <c r="T381" s="78" t="b">
        <f t="shared" si="452"/>
        <v>0</v>
      </c>
      <c r="U381" s="78" t="b">
        <f t="shared" si="452"/>
        <v>0</v>
      </c>
      <c r="V381" s="78" t="b">
        <f t="shared" si="452"/>
        <v>0</v>
      </c>
      <c r="W381" s="78" t="b">
        <f t="shared" si="452"/>
        <v>0</v>
      </c>
      <c r="X381" s="78" t="b">
        <f t="shared" si="452"/>
        <v>0</v>
      </c>
      <c r="Y381" s="78" t="b">
        <f t="shared" si="452"/>
        <v>0</v>
      </c>
      <c r="Z381" s="78" t="b">
        <f t="shared" si="452"/>
        <v>0</v>
      </c>
      <c r="AA381" s="78" t="b">
        <f t="shared" si="452"/>
        <v>0</v>
      </c>
      <c r="AB381" s="78" t="b">
        <f t="shared" si="452"/>
        <v>0</v>
      </c>
      <c r="AC381" s="78" t="b">
        <f t="shared" si="452"/>
        <v>0</v>
      </c>
      <c r="AD381" s="78" t="b">
        <f t="shared" si="452"/>
        <v>0</v>
      </c>
      <c r="AE381" s="78" t="b">
        <f t="shared" si="452"/>
        <v>0</v>
      </c>
      <c r="AF381" s="78" t="b">
        <f t="shared" si="452"/>
        <v>0</v>
      </c>
      <c r="AG381" s="78" t="b">
        <f t="shared" si="452"/>
        <v>0</v>
      </c>
      <c r="AH381" s="78" t="b">
        <f t="shared" si="452"/>
        <v>0</v>
      </c>
      <c r="AI381" s="78" t="b">
        <f t="shared" si="452"/>
        <v>0</v>
      </c>
      <c r="AJ381" s="78" t="b">
        <f t="shared" si="452"/>
        <v>0</v>
      </c>
      <c r="AK381" s="78" t="b">
        <f t="shared" si="452"/>
        <v>0</v>
      </c>
      <c r="AL381" s="78" t="b">
        <f t="shared" si="452"/>
        <v>0</v>
      </c>
      <c r="AM381" s="78" t="b">
        <f t="shared" si="452"/>
        <v>0</v>
      </c>
      <c r="AN381" s="78" t="b">
        <f t="shared" si="452"/>
        <v>0</v>
      </c>
      <c r="AO381" s="78" t="b">
        <f t="shared" si="452"/>
        <v>0</v>
      </c>
      <c r="AP381" s="78"/>
    </row>
    <row r="382" spans="4:42" x14ac:dyDescent="0.35">
      <c r="D382" s="96"/>
      <c r="E382" s="96"/>
      <c r="G382" s="77">
        <f t="shared" si="387"/>
        <v>0</v>
      </c>
      <c r="H382" s="78">
        <f t="shared" si="388"/>
        <v>0</v>
      </c>
      <c r="I382" s="77">
        <f t="shared" si="389"/>
        <v>0</v>
      </c>
      <c r="J382" s="78">
        <f t="shared" si="390"/>
        <v>0</v>
      </c>
      <c r="K382" s="78" t="str">
        <f t="shared" si="391"/>
        <v>1900-01-00 00:0:00</v>
      </c>
      <c r="L382" s="78" t="str">
        <f t="shared" si="392"/>
        <v>1900-01-00 00:0:00</v>
      </c>
      <c r="M382" s="79">
        <f t="shared" si="393"/>
        <v>0</v>
      </c>
      <c r="N382">
        <f t="shared" si="394"/>
        <v>1</v>
      </c>
      <c r="O382" t="str">
        <f>IFERROR(_xlfn.XLOOKUP(A382,HC!A:A,HC!C:C),"")</f>
        <v>Workforce</v>
      </c>
      <c r="R382" s="78" t="b">
        <f t="shared" ref="R382:AO382" si="453">IFERROR(IF($B382=$D$1,IF(AND($K382&lt;R$1,$L382&lt;R$1),"",IF(AND($K382&gt;S$1,$L382&gt;S$1),"",IF(AND($K382&lt;R$1,$L382&lt;=S$1),$L382-R$1,IF(AND($K382&gt;=R$1,$L382&gt;S$1),S$1-$K382,IF(AND($K382&gt;=R$1,$L382&lt;=S$1),$L382-$K382,IF(AND($K382&lt;R$1,$L382&gt;S$1),S$1-R$1,""))))))),"")</f>
        <v>0</v>
      </c>
      <c r="S382" s="78" t="b">
        <f t="shared" si="453"/>
        <v>0</v>
      </c>
      <c r="T382" s="78" t="b">
        <f t="shared" si="453"/>
        <v>0</v>
      </c>
      <c r="U382" s="78" t="b">
        <f t="shared" si="453"/>
        <v>0</v>
      </c>
      <c r="V382" s="78" t="b">
        <f t="shared" si="453"/>
        <v>0</v>
      </c>
      <c r="W382" s="78" t="b">
        <f t="shared" si="453"/>
        <v>0</v>
      </c>
      <c r="X382" s="78" t="b">
        <f t="shared" si="453"/>
        <v>0</v>
      </c>
      <c r="Y382" s="78" t="b">
        <f t="shared" si="453"/>
        <v>0</v>
      </c>
      <c r="Z382" s="78" t="b">
        <f t="shared" si="453"/>
        <v>0</v>
      </c>
      <c r="AA382" s="78" t="b">
        <f t="shared" si="453"/>
        <v>0</v>
      </c>
      <c r="AB382" s="78" t="b">
        <f t="shared" si="453"/>
        <v>0</v>
      </c>
      <c r="AC382" s="78" t="b">
        <f t="shared" si="453"/>
        <v>0</v>
      </c>
      <c r="AD382" s="78" t="b">
        <f t="shared" si="453"/>
        <v>0</v>
      </c>
      <c r="AE382" s="78" t="b">
        <f t="shared" si="453"/>
        <v>0</v>
      </c>
      <c r="AF382" s="78" t="b">
        <f t="shared" si="453"/>
        <v>0</v>
      </c>
      <c r="AG382" s="78" t="b">
        <f t="shared" si="453"/>
        <v>0</v>
      </c>
      <c r="AH382" s="78" t="b">
        <f t="shared" si="453"/>
        <v>0</v>
      </c>
      <c r="AI382" s="78" t="b">
        <f t="shared" si="453"/>
        <v>0</v>
      </c>
      <c r="AJ382" s="78" t="b">
        <f t="shared" si="453"/>
        <v>0</v>
      </c>
      <c r="AK382" s="78" t="b">
        <f t="shared" si="453"/>
        <v>0</v>
      </c>
      <c r="AL382" s="78" t="b">
        <f t="shared" si="453"/>
        <v>0</v>
      </c>
      <c r="AM382" s="78" t="b">
        <f t="shared" si="453"/>
        <v>0</v>
      </c>
      <c r="AN382" s="78" t="b">
        <f t="shared" si="453"/>
        <v>0</v>
      </c>
      <c r="AO382" s="78" t="b">
        <f t="shared" si="453"/>
        <v>0</v>
      </c>
      <c r="AP382" s="78"/>
    </row>
    <row r="383" spans="4:42" x14ac:dyDescent="0.35">
      <c r="D383" s="96"/>
      <c r="E383" s="96"/>
      <c r="G383" s="77">
        <f t="shared" si="387"/>
        <v>0</v>
      </c>
      <c r="H383" s="78">
        <f t="shared" si="388"/>
        <v>0</v>
      </c>
      <c r="I383" s="77">
        <f t="shared" si="389"/>
        <v>0</v>
      </c>
      <c r="J383" s="78">
        <f t="shared" si="390"/>
        <v>0</v>
      </c>
      <c r="K383" s="78" t="str">
        <f t="shared" si="391"/>
        <v>1900-01-00 00:0:00</v>
      </c>
      <c r="L383" s="78" t="str">
        <f t="shared" si="392"/>
        <v>1900-01-00 00:0:00</v>
      </c>
      <c r="M383" s="79">
        <f t="shared" si="393"/>
        <v>0</v>
      </c>
      <c r="N383">
        <f t="shared" si="394"/>
        <v>1</v>
      </c>
      <c r="O383" t="str">
        <f>IFERROR(_xlfn.XLOOKUP(A383,HC!A:A,HC!C:C),"")</f>
        <v>Workforce</v>
      </c>
      <c r="R383" s="78" t="b">
        <f t="shared" ref="R383:AO383" si="454">IFERROR(IF($B383=$D$1,IF(AND($K383&lt;R$1,$L383&lt;R$1),"",IF(AND($K383&gt;S$1,$L383&gt;S$1),"",IF(AND($K383&lt;R$1,$L383&lt;=S$1),$L383-R$1,IF(AND($K383&gt;=R$1,$L383&gt;S$1),S$1-$K383,IF(AND($K383&gt;=R$1,$L383&lt;=S$1),$L383-$K383,IF(AND($K383&lt;R$1,$L383&gt;S$1),S$1-R$1,""))))))),"")</f>
        <v>0</v>
      </c>
      <c r="S383" s="78" t="b">
        <f t="shared" si="454"/>
        <v>0</v>
      </c>
      <c r="T383" s="78" t="b">
        <f t="shared" si="454"/>
        <v>0</v>
      </c>
      <c r="U383" s="78" t="b">
        <f t="shared" si="454"/>
        <v>0</v>
      </c>
      <c r="V383" s="78" t="b">
        <f t="shared" si="454"/>
        <v>0</v>
      </c>
      <c r="W383" s="78" t="b">
        <f t="shared" si="454"/>
        <v>0</v>
      </c>
      <c r="X383" s="78" t="b">
        <f t="shared" si="454"/>
        <v>0</v>
      </c>
      <c r="Y383" s="78" t="b">
        <f t="shared" si="454"/>
        <v>0</v>
      </c>
      <c r="Z383" s="78" t="b">
        <f t="shared" si="454"/>
        <v>0</v>
      </c>
      <c r="AA383" s="78" t="b">
        <f t="shared" si="454"/>
        <v>0</v>
      </c>
      <c r="AB383" s="78" t="b">
        <f t="shared" si="454"/>
        <v>0</v>
      </c>
      <c r="AC383" s="78" t="b">
        <f t="shared" si="454"/>
        <v>0</v>
      </c>
      <c r="AD383" s="78" t="b">
        <f t="shared" si="454"/>
        <v>0</v>
      </c>
      <c r="AE383" s="78" t="b">
        <f t="shared" si="454"/>
        <v>0</v>
      </c>
      <c r="AF383" s="78" t="b">
        <f t="shared" si="454"/>
        <v>0</v>
      </c>
      <c r="AG383" s="78" t="b">
        <f t="shared" si="454"/>
        <v>0</v>
      </c>
      <c r="AH383" s="78" t="b">
        <f t="shared" si="454"/>
        <v>0</v>
      </c>
      <c r="AI383" s="78" t="b">
        <f t="shared" si="454"/>
        <v>0</v>
      </c>
      <c r="AJ383" s="78" t="b">
        <f t="shared" si="454"/>
        <v>0</v>
      </c>
      <c r="AK383" s="78" t="b">
        <f t="shared" si="454"/>
        <v>0</v>
      </c>
      <c r="AL383" s="78" t="b">
        <f t="shared" si="454"/>
        <v>0</v>
      </c>
      <c r="AM383" s="78" t="b">
        <f t="shared" si="454"/>
        <v>0</v>
      </c>
      <c r="AN383" s="78" t="b">
        <f t="shared" si="454"/>
        <v>0</v>
      </c>
      <c r="AO383" s="78" t="b">
        <f t="shared" si="454"/>
        <v>0</v>
      </c>
      <c r="AP383" s="78"/>
    </row>
    <row r="384" spans="4:42" x14ac:dyDescent="0.35">
      <c r="D384" s="96"/>
      <c r="E384" s="96"/>
      <c r="G384" s="77">
        <f t="shared" si="387"/>
        <v>0</v>
      </c>
      <c r="H384" s="78">
        <f t="shared" si="388"/>
        <v>0</v>
      </c>
      <c r="I384" s="77">
        <f t="shared" si="389"/>
        <v>0</v>
      </c>
      <c r="J384" s="78">
        <f t="shared" si="390"/>
        <v>0</v>
      </c>
      <c r="K384" s="78" t="str">
        <f t="shared" si="391"/>
        <v>1900-01-00 00:0:00</v>
      </c>
      <c r="L384" s="78" t="str">
        <f t="shared" si="392"/>
        <v>1900-01-00 00:0:00</v>
      </c>
      <c r="M384" s="79">
        <f t="shared" si="393"/>
        <v>0</v>
      </c>
      <c r="N384">
        <f t="shared" si="394"/>
        <v>1</v>
      </c>
      <c r="O384" t="str">
        <f>IFERROR(_xlfn.XLOOKUP(A384,HC!A:A,HC!C:C),"")</f>
        <v>Workforce</v>
      </c>
      <c r="R384" s="78" t="b">
        <f t="shared" ref="R384:AO384" si="455">IFERROR(IF($B384=$D$1,IF(AND($K384&lt;R$1,$L384&lt;R$1),"",IF(AND($K384&gt;S$1,$L384&gt;S$1),"",IF(AND($K384&lt;R$1,$L384&lt;=S$1),$L384-R$1,IF(AND($K384&gt;=R$1,$L384&gt;S$1),S$1-$K384,IF(AND($K384&gt;=R$1,$L384&lt;=S$1),$L384-$K384,IF(AND($K384&lt;R$1,$L384&gt;S$1),S$1-R$1,""))))))),"")</f>
        <v>0</v>
      </c>
      <c r="S384" s="78" t="b">
        <f t="shared" si="455"/>
        <v>0</v>
      </c>
      <c r="T384" s="78" t="b">
        <f t="shared" si="455"/>
        <v>0</v>
      </c>
      <c r="U384" s="78" t="b">
        <f t="shared" si="455"/>
        <v>0</v>
      </c>
      <c r="V384" s="78" t="b">
        <f t="shared" si="455"/>
        <v>0</v>
      </c>
      <c r="W384" s="78" t="b">
        <f t="shared" si="455"/>
        <v>0</v>
      </c>
      <c r="X384" s="78" t="b">
        <f t="shared" si="455"/>
        <v>0</v>
      </c>
      <c r="Y384" s="78" t="b">
        <f t="shared" si="455"/>
        <v>0</v>
      </c>
      <c r="Z384" s="78" t="b">
        <f t="shared" si="455"/>
        <v>0</v>
      </c>
      <c r="AA384" s="78" t="b">
        <f t="shared" si="455"/>
        <v>0</v>
      </c>
      <c r="AB384" s="78" t="b">
        <f t="shared" si="455"/>
        <v>0</v>
      </c>
      <c r="AC384" s="78" t="b">
        <f t="shared" si="455"/>
        <v>0</v>
      </c>
      <c r="AD384" s="78" t="b">
        <f t="shared" si="455"/>
        <v>0</v>
      </c>
      <c r="AE384" s="78" t="b">
        <f t="shared" si="455"/>
        <v>0</v>
      </c>
      <c r="AF384" s="78" t="b">
        <f t="shared" si="455"/>
        <v>0</v>
      </c>
      <c r="AG384" s="78" t="b">
        <f t="shared" si="455"/>
        <v>0</v>
      </c>
      <c r="AH384" s="78" t="b">
        <f t="shared" si="455"/>
        <v>0</v>
      </c>
      <c r="AI384" s="78" t="b">
        <f t="shared" si="455"/>
        <v>0</v>
      </c>
      <c r="AJ384" s="78" t="b">
        <f t="shared" si="455"/>
        <v>0</v>
      </c>
      <c r="AK384" s="78" t="b">
        <f t="shared" si="455"/>
        <v>0</v>
      </c>
      <c r="AL384" s="78" t="b">
        <f t="shared" si="455"/>
        <v>0</v>
      </c>
      <c r="AM384" s="78" t="b">
        <f t="shared" si="455"/>
        <v>0</v>
      </c>
      <c r="AN384" s="78" t="b">
        <f t="shared" si="455"/>
        <v>0</v>
      </c>
      <c r="AO384" s="78" t="b">
        <f t="shared" si="455"/>
        <v>0</v>
      </c>
      <c r="AP384" s="78"/>
    </row>
    <row r="385" spans="4:42" x14ac:dyDescent="0.35">
      <c r="D385" s="96"/>
      <c r="E385" s="96"/>
      <c r="G385" s="77">
        <f t="shared" si="387"/>
        <v>0</v>
      </c>
      <c r="H385" s="78">
        <f t="shared" si="388"/>
        <v>0</v>
      </c>
      <c r="I385" s="77">
        <f t="shared" si="389"/>
        <v>0</v>
      </c>
      <c r="J385" s="78">
        <f t="shared" si="390"/>
        <v>0</v>
      </c>
      <c r="K385" s="78" t="str">
        <f t="shared" si="391"/>
        <v>1900-01-00 00:0:00</v>
      </c>
      <c r="L385" s="78" t="str">
        <f t="shared" si="392"/>
        <v>1900-01-00 00:0:00</v>
      </c>
      <c r="M385" s="79">
        <f t="shared" si="393"/>
        <v>0</v>
      </c>
      <c r="N385">
        <f t="shared" si="394"/>
        <v>1</v>
      </c>
      <c r="O385" t="str">
        <f>IFERROR(_xlfn.XLOOKUP(A385,HC!A:A,HC!C:C),"")</f>
        <v>Workforce</v>
      </c>
      <c r="R385" s="78" t="b">
        <f t="shared" ref="R385:AO385" si="456">IFERROR(IF($B385=$D$1,IF(AND($K385&lt;R$1,$L385&lt;R$1),"",IF(AND($K385&gt;S$1,$L385&gt;S$1),"",IF(AND($K385&lt;R$1,$L385&lt;=S$1),$L385-R$1,IF(AND($K385&gt;=R$1,$L385&gt;S$1),S$1-$K385,IF(AND($K385&gt;=R$1,$L385&lt;=S$1),$L385-$K385,IF(AND($K385&lt;R$1,$L385&gt;S$1),S$1-R$1,""))))))),"")</f>
        <v>0</v>
      </c>
      <c r="S385" s="78" t="b">
        <f t="shared" si="456"/>
        <v>0</v>
      </c>
      <c r="T385" s="78" t="b">
        <f t="shared" si="456"/>
        <v>0</v>
      </c>
      <c r="U385" s="78" t="b">
        <f t="shared" si="456"/>
        <v>0</v>
      </c>
      <c r="V385" s="78" t="b">
        <f t="shared" si="456"/>
        <v>0</v>
      </c>
      <c r="W385" s="78" t="b">
        <f t="shared" si="456"/>
        <v>0</v>
      </c>
      <c r="X385" s="78" t="b">
        <f t="shared" si="456"/>
        <v>0</v>
      </c>
      <c r="Y385" s="78" t="b">
        <f t="shared" si="456"/>
        <v>0</v>
      </c>
      <c r="Z385" s="78" t="b">
        <f t="shared" si="456"/>
        <v>0</v>
      </c>
      <c r="AA385" s="78" t="b">
        <f t="shared" si="456"/>
        <v>0</v>
      </c>
      <c r="AB385" s="78" t="b">
        <f t="shared" si="456"/>
        <v>0</v>
      </c>
      <c r="AC385" s="78" t="b">
        <f t="shared" si="456"/>
        <v>0</v>
      </c>
      <c r="AD385" s="78" t="b">
        <f t="shared" si="456"/>
        <v>0</v>
      </c>
      <c r="AE385" s="78" t="b">
        <f t="shared" si="456"/>
        <v>0</v>
      </c>
      <c r="AF385" s="78" t="b">
        <f t="shared" si="456"/>
        <v>0</v>
      </c>
      <c r="AG385" s="78" t="b">
        <f t="shared" si="456"/>
        <v>0</v>
      </c>
      <c r="AH385" s="78" t="b">
        <f t="shared" si="456"/>
        <v>0</v>
      </c>
      <c r="AI385" s="78" t="b">
        <f t="shared" si="456"/>
        <v>0</v>
      </c>
      <c r="AJ385" s="78" t="b">
        <f t="shared" si="456"/>
        <v>0</v>
      </c>
      <c r="AK385" s="78" t="b">
        <f t="shared" si="456"/>
        <v>0</v>
      </c>
      <c r="AL385" s="78" t="b">
        <f t="shared" si="456"/>
        <v>0</v>
      </c>
      <c r="AM385" s="78" t="b">
        <f t="shared" si="456"/>
        <v>0</v>
      </c>
      <c r="AN385" s="78" t="b">
        <f t="shared" si="456"/>
        <v>0</v>
      </c>
      <c r="AO385" s="78" t="b">
        <f t="shared" si="456"/>
        <v>0</v>
      </c>
      <c r="AP385" s="78"/>
    </row>
    <row r="386" spans="4:42" x14ac:dyDescent="0.35">
      <c r="D386" s="96"/>
      <c r="E386" s="96"/>
      <c r="G386" s="77">
        <f t="shared" si="387"/>
        <v>0</v>
      </c>
      <c r="H386" s="78">
        <f t="shared" si="388"/>
        <v>0</v>
      </c>
      <c r="I386" s="77">
        <f t="shared" si="389"/>
        <v>0</v>
      </c>
      <c r="J386" s="78">
        <f t="shared" si="390"/>
        <v>0</v>
      </c>
      <c r="K386" s="78" t="str">
        <f t="shared" si="391"/>
        <v>1900-01-00 00:0:00</v>
      </c>
      <c r="L386" s="78" t="str">
        <f t="shared" si="392"/>
        <v>1900-01-00 00:0:00</v>
      </c>
      <c r="M386" s="79">
        <f t="shared" si="393"/>
        <v>0</v>
      </c>
      <c r="N386">
        <f t="shared" si="394"/>
        <v>1</v>
      </c>
      <c r="O386" t="str">
        <f>IFERROR(_xlfn.XLOOKUP(A386,HC!A:A,HC!C:C),"")</f>
        <v>Workforce</v>
      </c>
      <c r="R386" s="78" t="b">
        <f t="shared" ref="R386:AO386" si="457">IFERROR(IF($B386=$D$1,IF(AND($K386&lt;R$1,$L386&lt;R$1),"",IF(AND($K386&gt;S$1,$L386&gt;S$1),"",IF(AND($K386&lt;R$1,$L386&lt;=S$1),$L386-R$1,IF(AND($K386&gt;=R$1,$L386&gt;S$1),S$1-$K386,IF(AND($K386&gt;=R$1,$L386&lt;=S$1),$L386-$K386,IF(AND($K386&lt;R$1,$L386&gt;S$1),S$1-R$1,""))))))),"")</f>
        <v>0</v>
      </c>
      <c r="S386" s="78" t="b">
        <f t="shared" si="457"/>
        <v>0</v>
      </c>
      <c r="T386" s="78" t="b">
        <f t="shared" si="457"/>
        <v>0</v>
      </c>
      <c r="U386" s="78" t="b">
        <f t="shared" si="457"/>
        <v>0</v>
      </c>
      <c r="V386" s="78" t="b">
        <f t="shared" si="457"/>
        <v>0</v>
      </c>
      <c r="W386" s="78" t="b">
        <f t="shared" si="457"/>
        <v>0</v>
      </c>
      <c r="X386" s="78" t="b">
        <f t="shared" si="457"/>
        <v>0</v>
      </c>
      <c r="Y386" s="78" t="b">
        <f t="shared" si="457"/>
        <v>0</v>
      </c>
      <c r="Z386" s="78" t="b">
        <f t="shared" si="457"/>
        <v>0</v>
      </c>
      <c r="AA386" s="78" t="b">
        <f t="shared" si="457"/>
        <v>0</v>
      </c>
      <c r="AB386" s="78" t="b">
        <f t="shared" si="457"/>
        <v>0</v>
      </c>
      <c r="AC386" s="78" t="b">
        <f t="shared" si="457"/>
        <v>0</v>
      </c>
      <c r="AD386" s="78" t="b">
        <f t="shared" si="457"/>
        <v>0</v>
      </c>
      <c r="AE386" s="78" t="b">
        <f t="shared" si="457"/>
        <v>0</v>
      </c>
      <c r="AF386" s="78" t="b">
        <f t="shared" si="457"/>
        <v>0</v>
      </c>
      <c r="AG386" s="78" t="b">
        <f t="shared" si="457"/>
        <v>0</v>
      </c>
      <c r="AH386" s="78" t="b">
        <f t="shared" si="457"/>
        <v>0</v>
      </c>
      <c r="AI386" s="78" t="b">
        <f t="shared" si="457"/>
        <v>0</v>
      </c>
      <c r="AJ386" s="78" t="b">
        <f t="shared" si="457"/>
        <v>0</v>
      </c>
      <c r="AK386" s="78" t="b">
        <f t="shared" si="457"/>
        <v>0</v>
      </c>
      <c r="AL386" s="78" t="b">
        <f t="shared" si="457"/>
        <v>0</v>
      </c>
      <c r="AM386" s="78" t="b">
        <f t="shared" si="457"/>
        <v>0</v>
      </c>
      <c r="AN386" s="78" t="b">
        <f t="shared" si="457"/>
        <v>0</v>
      </c>
      <c r="AO386" s="78" t="b">
        <f t="shared" si="457"/>
        <v>0</v>
      </c>
      <c r="AP386" s="78"/>
    </row>
    <row r="387" spans="4:42" x14ac:dyDescent="0.35">
      <c r="D387" s="96"/>
      <c r="E387" s="96"/>
      <c r="G387" s="77">
        <f t="shared" si="387"/>
        <v>0</v>
      </c>
      <c r="H387" s="78">
        <f t="shared" si="388"/>
        <v>0</v>
      </c>
      <c r="I387" s="77">
        <f t="shared" si="389"/>
        <v>0</v>
      </c>
      <c r="J387" s="78">
        <f t="shared" si="390"/>
        <v>0</v>
      </c>
      <c r="K387" s="78" t="str">
        <f t="shared" si="391"/>
        <v>1900-01-00 00:0:00</v>
      </c>
      <c r="L387" s="78" t="str">
        <f t="shared" si="392"/>
        <v>1900-01-00 00:0:00</v>
      </c>
      <c r="M387" s="79">
        <f t="shared" si="393"/>
        <v>0</v>
      </c>
      <c r="N387">
        <f t="shared" si="394"/>
        <v>1</v>
      </c>
      <c r="O387" t="str">
        <f>IFERROR(_xlfn.XLOOKUP(A387,HC!A:A,HC!C:C),"")</f>
        <v>Workforce</v>
      </c>
      <c r="R387" s="78" t="b">
        <f t="shared" ref="R387:AO387" si="458">IFERROR(IF($B387=$D$1,IF(AND($K387&lt;R$1,$L387&lt;R$1),"",IF(AND($K387&gt;S$1,$L387&gt;S$1),"",IF(AND($K387&lt;R$1,$L387&lt;=S$1),$L387-R$1,IF(AND($K387&gt;=R$1,$L387&gt;S$1),S$1-$K387,IF(AND($K387&gt;=R$1,$L387&lt;=S$1),$L387-$K387,IF(AND($K387&lt;R$1,$L387&gt;S$1),S$1-R$1,""))))))),"")</f>
        <v>0</v>
      </c>
      <c r="S387" s="78" t="b">
        <f t="shared" si="458"/>
        <v>0</v>
      </c>
      <c r="T387" s="78" t="b">
        <f t="shared" si="458"/>
        <v>0</v>
      </c>
      <c r="U387" s="78" t="b">
        <f t="shared" si="458"/>
        <v>0</v>
      </c>
      <c r="V387" s="78" t="b">
        <f t="shared" si="458"/>
        <v>0</v>
      </c>
      <c r="W387" s="78" t="b">
        <f t="shared" si="458"/>
        <v>0</v>
      </c>
      <c r="X387" s="78" t="b">
        <f t="shared" si="458"/>
        <v>0</v>
      </c>
      <c r="Y387" s="78" t="b">
        <f t="shared" si="458"/>
        <v>0</v>
      </c>
      <c r="Z387" s="78" t="b">
        <f t="shared" si="458"/>
        <v>0</v>
      </c>
      <c r="AA387" s="78" t="b">
        <f t="shared" si="458"/>
        <v>0</v>
      </c>
      <c r="AB387" s="78" t="b">
        <f t="shared" si="458"/>
        <v>0</v>
      </c>
      <c r="AC387" s="78" t="b">
        <f t="shared" si="458"/>
        <v>0</v>
      </c>
      <c r="AD387" s="78" t="b">
        <f t="shared" si="458"/>
        <v>0</v>
      </c>
      <c r="AE387" s="78" t="b">
        <f t="shared" si="458"/>
        <v>0</v>
      </c>
      <c r="AF387" s="78" t="b">
        <f t="shared" si="458"/>
        <v>0</v>
      </c>
      <c r="AG387" s="78" t="b">
        <f t="shared" si="458"/>
        <v>0</v>
      </c>
      <c r="AH387" s="78" t="b">
        <f t="shared" si="458"/>
        <v>0</v>
      </c>
      <c r="AI387" s="78" t="b">
        <f t="shared" si="458"/>
        <v>0</v>
      </c>
      <c r="AJ387" s="78" t="b">
        <f t="shared" si="458"/>
        <v>0</v>
      </c>
      <c r="AK387" s="78" t="b">
        <f t="shared" si="458"/>
        <v>0</v>
      </c>
      <c r="AL387" s="78" t="b">
        <f t="shared" si="458"/>
        <v>0</v>
      </c>
      <c r="AM387" s="78" t="b">
        <f t="shared" si="458"/>
        <v>0</v>
      </c>
      <c r="AN387" s="78" t="b">
        <f t="shared" si="458"/>
        <v>0</v>
      </c>
      <c r="AO387" s="78" t="b">
        <f t="shared" si="458"/>
        <v>0</v>
      </c>
      <c r="AP387" s="78"/>
    </row>
    <row r="388" spans="4:42" x14ac:dyDescent="0.35">
      <c r="D388" s="96"/>
      <c r="E388" s="96"/>
      <c r="G388" s="77">
        <f t="shared" ref="G388:G451" si="459">INT(D388)</f>
        <v>0</v>
      </c>
      <c r="H388" s="78">
        <f t="shared" ref="H388:H451" si="460">D388-G388</f>
        <v>0</v>
      </c>
      <c r="I388" s="77">
        <f t="shared" ref="I388:I451" si="461">INT(E388)</f>
        <v>0</v>
      </c>
      <c r="J388" s="78">
        <f t="shared" ref="J388:J451" si="462">E388-I388</f>
        <v>0</v>
      </c>
      <c r="K388" s="78" t="str">
        <f t="shared" ref="K388:K451" si="463">TEXT(G388+H388,"yyyy-mm-dd hh:m:ss")</f>
        <v>1900-01-00 00:0:00</v>
      </c>
      <c r="L388" s="78" t="str">
        <f t="shared" ref="L388:L451" si="464">TEXT(I388+J388,"yyyy-mm-dd hh:m:ss")</f>
        <v>1900-01-00 00:0:00</v>
      </c>
      <c r="M388" s="79">
        <f t="shared" ref="M388:M451" si="465">E388-D388</f>
        <v>0</v>
      </c>
      <c r="N388">
        <f t="shared" ref="N388:N451" si="466">IF(M388&lt;$BA$1,1,0)</f>
        <v>1</v>
      </c>
      <c r="O388" t="str">
        <f>IFERROR(_xlfn.XLOOKUP(A388,HC!A:A,HC!C:C),"")</f>
        <v>Workforce</v>
      </c>
      <c r="R388" s="78" t="b">
        <f t="shared" ref="R388:AO388" si="467">IFERROR(IF($B388=$D$1,IF(AND($K388&lt;R$1,$L388&lt;R$1),"",IF(AND($K388&gt;S$1,$L388&gt;S$1),"",IF(AND($K388&lt;R$1,$L388&lt;=S$1),$L388-R$1,IF(AND($K388&gt;=R$1,$L388&gt;S$1),S$1-$K388,IF(AND($K388&gt;=R$1,$L388&lt;=S$1),$L388-$K388,IF(AND($K388&lt;R$1,$L388&gt;S$1),S$1-R$1,""))))))),"")</f>
        <v>0</v>
      </c>
      <c r="S388" s="78" t="b">
        <f t="shared" si="467"/>
        <v>0</v>
      </c>
      <c r="T388" s="78" t="b">
        <f t="shared" si="467"/>
        <v>0</v>
      </c>
      <c r="U388" s="78" t="b">
        <f t="shared" si="467"/>
        <v>0</v>
      </c>
      <c r="V388" s="78" t="b">
        <f t="shared" si="467"/>
        <v>0</v>
      </c>
      <c r="W388" s="78" t="b">
        <f t="shared" si="467"/>
        <v>0</v>
      </c>
      <c r="X388" s="78" t="b">
        <f t="shared" si="467"/>
        <v>0</v>
      </c>
      <c r="Y388" s="78" t="b">
        <f t="shared" si="467"/>
        <v>0</v>
      </c>
      <c r="Z388" s="78" t="b">
        <f t="shared" si="467"/>
        <v>0</v>
      </c>
      <c r="AA388" s="78" t="b">
        <f t="shared" si="467"/>
        <v>0</v>
      </c>
      <c r="AB388" s="78" t="b">
        <f t="shared" si="467"/>
        <v>0</v>
      </c>
      <c r="AC388" s="78" t="b">
        <f t="shared" si="467"/>
        <v>0</v>
      </c>
      <c r="AD388" s="78" t="b">
        <f t="shared" si="467"/>
        <v>0</v>
      </c>
      <c r="AE388" s="78" t="b">
        <f t="shared" si="467"/>
        <v>0</v>
      </c>
      <c r="AF388" s="78" t="b">
        <f t="shared" si="467"/>
        <v>0</v>
      </c>
      <c r="AG388" s="78" t="b">
        <f t="shared" si="467"/>
        <v>0</v>
      </c>
      <c r="AH388" s="78" t="b">
        <f t="shared" si="467"/>
        <v>0</v>
      </c>
      <c r="AI388" s="78" t="b">
        <f t="shared" si="467"/>
        <v>0</v>
      </c>
      <c r="AJ388" s="78" t="b">
        <f t="shared" si="467"/>
        <v>0</v>
      </c>
      <c r="AK388" s="78" t="b">
        <f t="shared" si="467"/>
        <v>0</v>
      </c>
      <c r="AL388" s="78" t="b">
        <f t="shared" si="467"/>
        <v>0</v>
      </c>
      <c r="AM388" s="78" t="b">
        <f t="shared" si="467"/>
        <v>0</v>
      </c>
      <c r="AN388" s="78" t="b">
        <f t="shared" si="467"/>
        <v>0</v>
      </c>
      <c r="AO388" s="78" t="b">
        <f t="shared" si="467"/>
        <v>0</v>
      </c>
      <c r="AP388" s="78"/>
    </row>
    <row r="389" spans="4:42" x14ac:dyDescent="0.35">
      <c r="D389" s="96"/>
      <c r="E389" s="96"/>
      <c r="G389" s="77">
        <f t="shared" si="459"/>
        <v>0</v>
      </c>
      <c r="H389" s="78">
        <f t="shared" si="460"/>
        <v>0</v>
      </c>
      <c r="I389" s="77">
        <f t="shared" si="461"/>
        <v>0</v>
      </c>
      <c r="J389" s="78">
        <f t="shared" si="462"/>
        <v>0</v>
      </c>
      <c r="K389" s="78" t="str">
        <f t="shared" si="463"/>
        <v>1900-01-00 00:0:00</v>
      </c>
      <c r="L389" s="78" t="str">
        <f t="shared" si="464"/>
        <v>1900-01-00 00:0:00</v>
      </c>
      <c r="M389" s="79">
        <f t="shared" si="465"/>
        <v>0</v>
      </c>
      <c r="N389">
        <f t="shared" si="466"/>
        <v>1</v>
      </c>
      <c r="O389" t="str">
        <f>IFERROR(_xlfn.XLOOKUP(A389,HC!A:A,HC!C:C),"")</f>
        <v>Workforce</v>
      </c>
      <c r="R389" s="78" t="b">
        <f t="shared" ref="R389:AO389" si="468">IFERROR(IF($B389=$D$1,IF(AND($K389&lt;R$1,$L389&lt;R$1),"",IF(AND($K389&gt;S$1,$L389&gt;S$1),"",IF(AND($K389&lt;R$1,$L389&lt;=S$1),$L389-R$1,IF(AND($K389&gt;=R$1,$L389&gt;S$1),S$1-$K389,IF(AND($K389&gt;=R$1,$L389&lt;=S$1),$L389-$K389,IF(AND($K389&lt;R$1,$L389&gt;S$1),S$1-R$1,""))))))),"")</f>
        <v>0</v>
      </c>
      <c r="S389" s="78" t="b">
        <f t="shared" si="468"/>
        <v>0</v>
      </c>
      <c r="T389" s="78" t="b">
        <f t="shared" si="468"/>
        <v>0</v>
      </c>
      <c r="U389" s="78" t="b">
        <f t="shared" si="468"/>
        <v>0</v>
      </c>
      <c r="V389" s="78" t="b">
        <f t="shared" si="468"/>
        <v>0</v>
      </c>
      <c r="W389" s="78" t="b">
        <f t="shared" si="468"/>
        <v>0</v>
      </c>
      <c r="X389" s="78" t="b">
        <f t="shared" si="468"/>
        <v>0</v>
      </c>
      <c r="Y389" s="78" t="b">
        <f t="shared" si="468"/>
        <v>0</v>
      </c>
      <c r="Z389" s="78" t="b">
        <f t="shared" si="468"/>
        <v>0</v>
      </c>
      <c r="AA389" s="78" t="b">
        <f t="shared" si="468"/>
        <v>0</v>
      </c>
      <c r="AB389" s="78" t="b">
        <f t="shared" si="468"/>
        <v>0</v>
      </c>
      <c r="AC389" s="78" t="b">
        <f t="shared" si="468"/>
        <v>0</v>
      </c>
      <c r="AD389" s="78" t="b">
        <f t="shared" si="468"/>
        <v>0</v>
      </c>
      <c r="AE389" s="78" t="b">
        <f t="shared" si="468"/>
        <v>0</v>
      </c>
      <c r="AF389" s="78" t="b">
        <f t="shared" si="468"/>
        <v>0</v>
      </c>
      <c r="AG389" s="78" t="b">
        <f t="shared" si="468"/>
        <v>0</v>
      </c>
      <c r="AH389" s="78" t="b">
        <f t="shared" si="468"/>
        <v>0</v>
      </c>
      <c r="AI389" s="78" t="b">
        <f t="shared" si="468"/>
        <v>0</v>
      </c>
      <c r="AJ389" s="78" t="b">
        <f t="shared" si="468"/>
        <v>0</v>
      </c>
      <c r="AK389" s="78" t="b">
        <f t="shared" si="468"/>
        <v>0</v>
      </c>
      <c r="AL389" s="78" t="b">
        <f t="shared" si="468"/>
        <v>0</v>
      </c>
      <c r="AM389" s="78" t="b">
        <f t="shared" si="468"/>
        <v>0</v>
      </c>
      <c r="AN389" s="78" t="b">
        <f t="shared" si="468"/>
        <v>0</v>
      </c>
      <c r="AO389" s="78" t="b">
        <f t="shared" si="468"/>
        <v>0</v>
      </c>
      <c r="AP389" s="78"/>
    </row>
    <row r="390" spans="4:42" x14ac:dyDescent="0.35">
      <c r="D390" s="96"/>
      <c r="E390" s="96"/>
      <c r="G390" s="77">
        <f t="shared" si="459"/>
        <v>0</v>
      </c>
      <c r="H390" s="78">
        <f t="shared" si="460"/>
        <v>0</v>
      </c>
      <c r="I390" s="77">
        <f t="shared" si="461"/>
        <v>0</v>
      </c>
      <c r="J390" s="78">
        <f t="shared" si="462"/>
        <v>0</v>
      </c>
      <c r="K390" s="78" t="str">
        <f t="shared" si="463"/>
        <v>1900-01-00 00:0:00</v>
      </c>
      <c r="L390" s="78" t="str">
        <f t="shared" si="464"/>
        <v>1900-01-00 00:0:00</v>
      </c>
      <c r="M390" s="79">
        <f t="shared" si="465"/>
        <v>0</v>
      </c>
      <c r="N390">
        <f t="shared" si="466"/>
        <v>1</v>
      </c>
      <c r="O390" t="str">
        <f>IFERROR(_xlfn.XLOOKUP(A390,HC!A:A,HC!C:C),"")</f>
        <v>Workforce</v>
      </c>
      <c r="R390" s="78" t="b">
        <f t="shared" ref="R390:AO390" si="469">IFERROR(IF($B390=$D$1,IF(AND($K390&lt;R$1,$L390&lt;R$1),"",IF(AND($K390&gt;S$1,$L390&gt;S$1),"",IF(AND($K390&lt;R$1,$L390&lt;=S$1),$L390-R$1,IF(AND($K390&gt;=R$1,$L390&gt;S$1),S$1-$K390,IF(AND($K390&gt;=R$1,$L390&lt;=S$1),$L390-$K390,IF(AND($K390&lt;R$1,$L390&gt;S$1),S$1-R$1,""))))))),"")</f>
        <v>0</v>
      </c>
      <c r="S390" s="78" t="b">
        <f t="shared" si="469"/>
        <v>0</v>
      </c>
      <c r="T390" s="78" t="b">
        <f t="shared" si="469"/>
        <v>0</v>
      </c>
      <c r="U390" s="78" t="b">
        <f t="shared" si="469"/>
        <v>0</v>
      </c>
      <c r="V390" s="78" t="b">
        <f t="shared" si="469"/>
        <v>0</v>
      </c>
      <c r="W390" s="78" t="b">
        <f t="shared" si="469"/>
        <v>0</v>
      </c>
      <c r="X390" s="78" t="b">
        <f t="shared" si="469"/>
        <v>0</v>
      </c>
      <c r="Y390" s="78" t="b">
        <f t="shared" si="469"/>
        <v>0</v>
      </c>
      <c r="Z390" s="78" t="b">
        <f t="shared" si="469"/>
        <v>0</v>
      </c>
      <c r="AA390" s="78" t="b">
        <f t="shared" si="469"/>
        <v>0</v>
      </c>
      <c r="AB390" s="78" t="b">
        <f t="shared" si="469"/>
        <v>0</v>
      </c>
      <c r="AC390" s="78" t="b">
        <f t="shared" si="469"/>
        <v>0</v>
      </c>
      <c r="AD390" s="78" t="b">
        <f t="shared" si="469"/>
        <v>0</v>
      </c>
      <c r="AE390" s="78" t="b">
        <f t="shared" si="469"/>
        <v>0</v>
      </c>
      <c r="AF390" s="78" t="b">
        <f t="shared" si="469"/>
        <v>0</v>
      </c>
      <c r="AG390" s="78" t="b">
        <f t="shared" si="469"/>
        <v>0</v>
      </c>
      <c r="AH390" s="78" t="b">
        <f t="shared" si="469"/>
        <v>0</v>
      </c>
      <c r="AI390" s="78" t="b">
        <f t="shared" si="469"/>
        <v>0</v>
      </c>
      <c r="AJ390" s="78" t="b">
        <f t="shared" si="469"/>
        <v>0</v>
      </c>
      <c r="AK390" s="78" t="b">
        <f t="shared" si="469"/>
        <v>0</v>
      </c>
      <c r="AL390" s="78" t="b">
        <f t="shared" si="469"/>
        <v>0</v>
      </c>
      <c r="AM390" s="78" t="b">
        <f t="shared" si="469"/>
        <v>0</v>
      </c>
      <c r="AN390" s="78" t="b">
        <f t="shared" si="469"/>
        <v>0</v>
      </c>
      <c r="AO390" s="78" t="b">
        <f t="shared" si="469"/>
        <v>0</v>
      </c>
      <c r="AP390" s="78"/>
    </row>
    <row r="391" spans="4:42" x14ac:dyDescent="0.35">
      <c r="D391" s="96"/>
      <c r="E391" s="96"/>
      <c r="G391" s="77">
        <f t="shared" si="459"/>
        <v>0</v>
      </c>
      <c r="H391" s="78">
        <f t="shared" si="460"/>
        <v>0</v>
      </c>
      <c r="I391" s="77">
        <f t="shared" si="461"/>
        <v>0</v>
      </c>
      <c r="J391" s="78">
        <f t="shared" si="462"/>
        <v>0</v>
      </c>
      <c r="K391" s="78" t="str">
        <f t="shared" si="463"/>
        <v>1900-01-00 00:0:00</v>
      </c>
      <c r="L391" s="78" t="str">
        <f t="shared" si="464"/>
        <v>1900-01-00 00:0:00</v>
      </c>
      <c r="M391" s="79">
        <f t="shared" si="465"/>
        <v>0</v>
      </c>
      <c r="N391">
        <f t="shared" si="466"/>
        <v>1</v>
      </c>
      <c r="O391" t="str">
        <f>IFERROR(_xlfn.XLOOKUP(A391,HC!A:A,HC!C:C),"")</f>
        <v>Workforce</v>
      </c>
      <c r="R391" s="78" t="b">
        <f t="shared" ref="R391:AO391" si="470">IFERROR(IF($B391=$D$1,IF(AND($K391&lt;R$1,$L391&lt;R$1),"",IF(AND($K391&gt;S$1,$L391&gt;S$1),"",IF(AND($K391&lt;R$1,$L391&lt;=S$1),$L391-R$1,IF(AND($K391&gt;=R$1,$L391&gt;S$1),S$1-$K391,IF(AND($K391&gt;=R$1,$L391&lt;=S$1),$L391-$K391,IF(AND($K391&lt;R$1,$L391&gt;S$1),S$1-R$1,""))))))),"")</f>
        <v>0</v>
      </c>
      <c r="S391" s="78" t="b">
        <f t="shared" si="470"/>
        <v>0</v>
      </c>
      <c r="T391" s="78" t="b">
        <f t="shared" si="470"/>
        <v>0</v>
      </c>
      <c r="U391" s="78" t="b">
        <f t="shared" si="470"/>
        <v>0</v>
      </c>
      <c r="V391" s="78" t="b">
        <f t="shared" si="470"/>
        <v>0</v>
      </c>
      <c r="W391" s="78" t="b">
        <f t="shared" si="470"/>
        <v>0</v>
      </c>
      <c r="X391" s="78" t="b">
        <f t="shared" si="470"/>
        <v>0</v>
      </c>
      <c r="Y391" s="78" t="b">
        <f t="shared" si="470"/>
        <v>0</v>
      </c>
      <c r="Z391" s="78" t="b">
        <f t="shared" si="470"/>
        <v>0</v>
      </c>
      <c r="AA391" s="78" t="b">
        <f t="shared" si="470"/>
        <v>0</v>
      </c>
      <c r="AB391" s="78" t="b">
        <f t="shared" si="470"/>
        <v>0</v>
      </c>
      <c r="AC391" s="78" t="b">
        <f t="shared" si="470"/>
        <v>0</v>
      </c>
      <c r="AD391" s="78" t="b">
        <f t="shared" si="470"/>
        <v>0</v>
      </c>
      <c r="AE391" s="78" t="b">
        <f t="shared" si="470"/>
        <v>0</v>
      </c>
      <c r="AF391" s="78" t="b">
        <f t="shared" si="470"/>
        <v>0</v>
      </c>
      <c r="AG391" s="78" t="b">
        <f t="shared" si="470"/>
        <v>0</v>
      </c>
      <c r="AH391" s="78" t="b">
        <f t="shared" si="470"/>
        <v>0</v>
      </c>
      <c r="AI391" s="78" t="b">
        <f t="shared" si="470"/>
        <v>0</v>
      </c>
      <c r="AJ391" s="78" t="b">
        <f t="shared" si="470"/>
        <v>0</v>
      </c>
      <c r="AK391" s="78" t="b">
        <f t="shared" si="470"/>
        <v>0</v>
      </c>
      <c r="AL391" s="78" t="b">
        <f t="shared" si="470"/>
        <v>0</v>
      </c>
      <c r="AM391" s="78" t="b">
        <f t="shared" si="470"/>
        <v>0</v>
      </c>
      <c r="AN391" s="78" t="b">
        <f t="shared" si="470"/>
        <v>0</v>
      </c>
      <c r="AO391" s="78" t="b">
        <f t="shared" si="470"/>
        <v>0</v>
      </c>
      <c r="AP391" s="78"/>
    </row>
    <row r="392" spans="4:42" x14ac:dyDescent="0.35">
      <c r="D392" s="96"/>
      <c r="E392" s="96"/>
      <c r="G392" s="77">
        <f t="shared" si="459"/>
        <v>0</v>
      </c>
      <c r="H392" s="78">
        <f t="shared" si="460"/>
        <v>0</v>
      </c>
      <c r="I392" s="77">
        <f t="shared" si="461"/>
        <v>0</v>
      </c>
      <c r="J392" s="78">
        <f t="shared" si="462"/>
        <v>0</v>
      </c>
      <c r="K392" s="78" t="str">
        <f t="shared" si="463"/>
        <v>1900-01-00 00:0:00</v>
      </c>
      <c r="L392" s="78" t="str">
        <f t="shared" si="464"/>
        <v>1900-01-00 00:0:00</v>
      </c>
      <c r="M392" s="79">
        <f t="shared" si="465"/>
        <v>0</v>
      </c>
      <c r="N392">
        <f t="shared" si="466"/>
        <v>1</v>
      </c>
      <c r="O392" t="str">
        <f>IFERROR(_xlfn.XLOOKUP(A392,HC!A:A,HC!C:C),"")</f>
        <v>Workforce</v>
      </c>
      <c r="R392" s="78" t="b">
        <f t="shared" ref="R392:AO392" si="471">IFERROR(IF($B392=$D$1,IF(AND($K392&lt;R$1,$L392&lt;R$1),"",IF(AND($K392&gt;S$1,$L392&gt;S$1),"",IF(AND($K392&lt;R$1,$L392&lt;=S$1),$L392-R$1,IF(AND($K392&gt;=R$1,$L392&gt;S$1),S$1-$K392,IF(AND($K392&gt;=R$1,$L392&lt;=S$1),$L392-$K392,IF(AND($K392&lt;R$1,$L392&gt;S$1),S$1-R$1,""))))))),"")</f>
        <v>0</v>
      </c>
      <c r="S392" s="78" t="b">
        <f t="shared" si="471"/>
        <v>0</v>
      </c>
      <c r="T392" s="78" t="b">
        <f t="shared" si="471"/>
        <v>0</v>
      </c>
      <c r="U392" s="78" t="b">
        <f t="shared" si="471"/>
        <v>0</v>
      </c>
      <c r="V392" s="78" t="b">
        <f t="shared" si="471"/>
        <v>0</v>
      </c>
      <c r="W392" s="78" t="b">
        <f t="shared" si="471"/>
        <v>0</v>
      </c>
      <c r="X392" s="78" t="b">
        <f t="shared" si="471"/>
        <v>0</v>
      </c>
      <c r="Y392" s="78" t="b">
        <f t="shared" si="471"/>
        <v>0</v>
      </c>
      <c r="Z392" s="78" t="b">
        <f t="shared" si="471"/>
        <v>0</v>
      </c>
      <c r="AA392" s="78" t="b">
        <f t="shared" si="471"/>
        <v>0</v>
      </c>
      <c r="AB392" s="78" t="b">
        <f t="shared" si="471"/>
        <v>0</v>
      </c>
      <c r="AC392" s="78" t="b">
        <f t="shared" si="471"/>
        <v>0</v>
      </c>
      <c r="AD392" s="78" t="b">
        <f t="shared" si="471"/>
        <v>0</v>
      </c>
      <c r="AE392" s="78" t="b">
        <f t="shared" si="471"/>
        <v>0</v>
      </c>
      <c r="AF392" s="78" t="b">
        <f t="shared" si="471"/>
        <v>0</v>
      </c>
      <c r="AG392" s="78" t="b">
        <f t="shared" si="471"/>
        <v>0</v>
      </c>
      <c r="AH392" s="78" t="b">
        <f t="shared" si="471"/>
        <v>0</v>
      </c>
      <c r="AI392" s="78" t="b">
        <f t="shared" si="471"/>
        <v>0</v>
      </c>
      <c r="AJ392" s="78" t="b">
        <f t="shared" si="471"/>
        <v>0</v>
      </c>
      <c r="AK392" s="78" t="b">
        <f t="shared" si="471"/>
        <v>0</v>
      </c>
      <c r="AL392" s="78" t="b">
        <f t="shared" si="471"/>
        <v>0</v>
      </c>
      <c r="AM392" s="78" t="b">
        <f t="shared" si="471"/>
        <v>0</v>
      </c>
      <c r="AN392" s="78" t="b">
        <f t="shared" si="471"/>
        <v>0</v>
      </c>
      <c r="AO392" s="78" t="b">
        <f t="shared" si="471"/>
        <v>0</v>
      </c>
      <c r="AP392" s="78"/>
    </row>
    <row r="393" spans="4:42" x14ac:dyDescent="0.35">
      <c r="D393" s="96"/>
      <c r="E393" s="96"/>
      <c r="G393" s="77">
        <f t="shared" si="459"/>
        <v>0</v>
      </c>
      <c r="H393" s="78">
        <f t="shared" si="460"/>
        <v>0</v>
      </c>
      <c r="I393" s="77">
        <f t="shared" si="461"/>
        <v>0</v>
      </c>
      <c r="J393" s="78">
        <f t="shared" si="462"/>
        <v>0</v>
      </c>
      <c r="K393" s="78" t="str">
        <f t="shared" si="463"/>
        <v>1900-01-00 00:0:00</v>
      </c>
      <c r="L393" s="78" t="str">
        <f t="shared" si="464"/>
        <v>1900-01-00 00:0:00</v>
      </c>
      <c r="M393" s="79">
        <f t="shared" si="465"/>
        <v>0</v>
      </c>
      <c r="N393">
        <f t="shared" si="466"/>
        <v>1</v>
      </c>
      <c r="O393" t="str">
        <f>IFERROR(_xlfn.XLOOKUP(A393,HC!A:A,HC!C:C),"")</f>
        <v>Workforce</v>
      </c>
      <c r="R393" s="78" t="b">
        <f t="shared" ref="R393:AO393" si="472">IFERROR(IF($B393=$D$1,IF(AND($K393&lt;R$1,$L393&lt;R$1),"",IF(AND($K393&gt;S$1,$L393&gt;S$1),"",IF(AND($K393&lt;R$1,$L393&lt;=S$1),$L393-R$1,IF(AND($K393&gt;=R$1,$L393&gt;S$1),S$1-$K393,IF(AND($K393&gt;=R$1,$L393&lt;=S$1),$L393-$K393,IF(AND($K393&lt;R$1,$L393&gt;S$1),S$1-R$1,""))))))),"")</f>
        <v>0</v>
      </c>
      <c r="S393" s="78" t="b">
        <f t="shared" si="472"/>
        <v>0</v>
      </c>
      <c r="T393" s="78" t="b">
        <f t="shared" si="472"/>
        <v>0</v>
      </c>
      <c r="U393" s="78" t="b">
        <f t="shared" si="472"/>
        <v>0</v>
      </c>
      <c r="V393" s="78" t="b">
        <f t="shared" si="472"/>
        <v>0</v>
      </c>
      <c r="W393" s="78" t="b">
        <f t="shared" si="472"/>
        <v>0</v>
      </c>
      <c r="X393" s="78" t="b">
        <f t="shared" si="472"/>
        <v>0</v>
      </c>
      <c r="Y393" s="78" t="b">
        <f t="shared" si="472"/>
        <v>0</v>
      </c>
      <c r="Z393" s="78" t="b">
        <f t="shared" si="472"/>
        <v>0</v>
      </c>
      <c r="AA393" s="78" t="b">
        <f t="shared" si="472"/>
        <v>0</v>
      </c>
      <c r="AB393" s="78" t="b">
        <f t="shared" si="472"/>
        <v>0</v>
      </c>
      <c r="AC393" s="78" t="b">
        <f t="shared" si="472"/>
        <v>0</v>
      </c>
      <c r="AD393" s="78" t="b">
        <f t="shared" si="472"/>
        <v>0</v>
      </c>
      <c r="AE393" s="78" t="b">
        <f t="shared" si="472"/>
        <v>0</v>
      </c>
      <c r="AF393" s="78" t="b">
        <f t="shared" si="472"/>
        <v>0</v>
      </c>
      <c r="AG393" s="78" t="b">
        <f t="shared" si="472"/>
        <v>0</v>
      </c>
      <c r="AH393" s="78" t="b">
        <f t="shared" si="472"/>
        <v>0</v>
      </c>
      <c r="AI393" s="78" t="b">
        <f t="shared" si="472"/>
        <v>0</v>
      </c>
      <c r="AJ393" s="78" t="b">
        <f t="shared" si="472"/>
        <v>0</v>
      </c>
      <c r="AK393" s="78" t="b">
        <f t="shared" si="472"/>
        <v>0</v>
      </c>
      <c r="AL393" s="78" t="b">
        <f t="shared" si="472"/>
        <v>0</v>
      </c>
      <c r="AM393" s="78" t="b">
        <f t="shared" si="472"/>
        <v>0</v>
      </c>
      <c r="AN393" s="78" t="b">
        <f t="shared" si="472"/>
        <v>0</v>
      </c>
      <c r="AO393" s="78" t="b">
        <f t="shared" si="472"/>
        <v>0</v>
      </c>
      <c r="AP393" s="78"/>
    </row>
    <row r="394" spans="4:42" x14ac:dyDescent="0.35">
      <c r="D394" s="96"/>
      <c r="E394" s="96"/>
      <c r="G394" s="77">
        <f t="shared" si="459"/>
        <v>0</v>
      </c>
      <c r="H394" s="78">
        <f t="shared" si="460"/>
        <v>0</v>
      </c>
      <c r="I394" s="77">
        <f t="shared" si="461"/>
        <v>0</v>
      </c>
      <c r="J394" s="78">
        <f t="shared" si="462"/>
        <v>0</v>
      </c>
      <c r="K394" s="78" t="str">
        <f t="shared" si="463"/>
        <v>1900-01-00 00:0:00</v>
      </c>
      <c r="L394" s="78" t="str">
        <f t="shared" si="464"/>
        <v>1900-01-00 00:0:00</v>
      </c>
      <c r="M394" s="79">
        <f t="shared" si="465"/>
        <v>0</v>
      </c>
      <c r="N394">
        <f t="shared" si="466"/>
        <v>1</v>
      </c>
      <c r="O394" t="str">
        <f>IFERROR(_xlfn.XLOOKUP(A394,HC!A:A,HC!C:C),"")</f>
        <v>Workforce</v>
      </c>
      <c r="R394" s="78" t="b">
        <f t="shared" ref="R394:AO394" si="473">IFERROR(IF($B394=$D$1,IF(AND($K394&lt;R$1,$L394&lt;R$1),"",IF(AND($K394&gt;S$1,$L394&gt;S$1),"",IF(AND($K394&lt;R$1,$L394&lt;=S$1),$L394-R$1,IF(AND($K394&gt;=R$1,$L394&gt;S$1),S$1-$K394,IF(AND($K394&gt;=R$1,$L394&lt;=S$1),$L394-$K394,IF(AND($K394&lt;R$1,$L394&gt;S$1),S$1-R$1,""))))))),"")</f>
        <v>0</v>
      </c>
      <c r="S394" s="78" t="b">
        <f t="shared" si="473"/>
        <v>0</v>
      </c>
      <c r="T394" s="78" t="b">
        <f t="shared" si="473"/>
        <v>0</v>
      </c>
      <c r="U394" s="78" t="b">
        <f t="shared" si="473"/>
        <v>0</v>
      </c>
      <c r="V394" s="78" t="b">
        <f t="shared" si="473"/>
        <v>0</v>
      </c>
      <c r="W394" s="78" t="b">
        <f t="shared" si="473"/>
        <v>0</v>
      </c>
      <c r="X394" s="78" t="b">
        <f t="shared" si="473"/>
        <v>0</v>
      </c>
      <c r="Y394" s="78" t="b">
        <f t="shared" si="473"/>
        <v>0</v>
      </c>
      <c r="Z394" s="78" t="b">
        <f t="shared" si="473"/>
        <v>0</v>
      </c>
      <c r="AA394" s="78" t="b">
        <f t="shared" si="473"/>
        <v>0</v>
      </c>
      <c r="AB394" s="78" t="b">
        <f t="shared" si="473"/>
        <v>0</v>
      </c>
      <c r="AC394" s="78" t="b">
        <f t="shared" si="473"/>
        <v>0</v>
      </c>
      <c r="AD394" s="78" t="b">
        <f t="shared" si="473"/>
        <v>0</v>
      </c>
      <c r="AE394" s="78" t="b">
        <f t="shared" si="473"/>
        <v>0</v>
      </c>
      <c r="AF394" s="78" t="b">
        <f t="shared" si="473"/>
        <v>0</v>
      </c>
      <c r="AG394" s="78" t="b">
        <f t="shared" si="473"/>
        <v>0</v>
      </c>
      <c r="AH394" s="78" t="b">
        <f t="shared" si="473"/>
        <v>0</v>
      </c>
      <c r="AI394" s="78" t="b">
        <f t="shared" si="473"/>
        <v>0</v>
      </c>
      <c r="AJ394" s="78" t="b">
        <f t="shared" si="473"/>
        <v>0</v>
      </c>
      <c r="AK394" s="78" t="b">
        <f t="shared" si="473"/>
        <v>0</v>
      </c>
      <c r="AL394" s="78" t="b">
        <f t="shared" si="473"/>
        <v>0</v>
      </c>
      <c r="AM394" s="78" t="b">
        <f t="shared" si="473"/>
        <v>0</v>
      </c>
      <c r="AN394" s="78" t="b">
        <f t="shared" si="473"/>
        <v>0</v>
      </c>
      <c r="AO394" s="78" t="b">
        <f t="shared" si="473"/>
        <v>0</v>
      </c>
      <c r="AP394" s="78"/>
    </row>
    <row r="395" spans="4:42" x14ac:dyDescent="0.35">
      <c r="D395" s="96"/>
      <c r="E395" s="96"/>
      <c r="G395" s="77">
        <f t="shared" si="459"/>
        <v>0</v>
      </c>
      <c r="H395" s="78">
        <f t="shared" si="460"/>
        <v>0</v>
      </c>
      <c r="I395" s="77">
        <f t="shared" si="461"/>
        <v>0</v>
      </c>
      <c r="J395" s="78">
        <f t="shared" si="462"/>
        <v>0</v>
      </c>
      <c r="K395" s="78" t="str">
        <f t="shared" si="463"/>
        <v>1900-01-00 00:0:00</v>
      </c>
      <c r="L395" s="78" t="str">
        <f t="shared" si="464"/>
        <v>1900-01-00 00:0:00</v>
      </c>
      <c r="M395" s="79">
        <f t="shared" si="465"/>
        <v>0</v>
      </c>
      <c r="N395">
        <f t="shared" si="466"/>
        <v>1</v>
      </c>
      <c r="O395" t="str">
        <f>IFERROR(_xlfn.XLOOKUP(A395,HC!A:A,HC!C:C),"")</f>
        <v>Workforce</v>
      </c>
      <c r="R395" s="78" t="b">
        <f t="shared" ref="R395:AO395" si="474">IFERROR(IF($B395=$D$1,IF(AND($K395&lt;R$1,$L395&lt;R$1),"",IF(AND($K395&gt;S$1,$L395&gt;S$1),"",IF(AND($K395&lt;R$1,$L395&lt;=S$1),$L395-R$1,IF(AND($K395&gt;=R$1,$L395&gt;S$1),S$1-$K395,IF(AND($K395&gt;=R$1,$L395&lt;=S$1),$L395-$K395,IF(AND($K395&lt;R$1,$L395&gt;S$1),S$1-R$1,""))))))),"")</f>
        <v>0</v>
      </c>
      <c r="S395" s="78" t="b">
        <f t="shared" si="474"/>
        <v>0</v>
      </c>
      <c r="T395" s="78" t="b">
        <f t="shared" si="474"/>
        <v>0</v>
      </c>
      <c r="U395" s="78" t="b">
        <f t="shared" si="474"/>
        <v>0</v>
      </c>
      <c r="V395" s="78" t="b">
        <f t="shared" si="474"/>
        <v>0</v>
      </c>
      <c r="W395" s="78" t="b">
        <f t="shared" si="474"/>
        <v>0</v>
      </c>
      <c r="X395" s="78" t="b">
        <f t="shared" si="474"/>
        <v>0</v>
      </c>
      <c r="Y395" s="78" t="b">
        <f t="shared" si="474"/>
        <v>0</v>
      </c>
      <c r="Z395" s="78" t="b">
        <f t="shared" si="474"/>
        <v>0</v>
      </c>
      <c r="AA395" s="78" t="b">
        <f t="shared" si="474"/>
        <v>0</v>
      </c>
      <c r="AB395" s="78" t="b">
        <f t="shared" si="474"/>
        <v>0</v>
      </c>
      <c r="AC395" s="78" t="b">
        <f t="shared" si="474"/>
        <v>0</v>
      </c>
      <c r="AD395" s="78" t="b">
        <f t="shared" si="474"/>
        <v>0</v>
      </c>
      <c r="AE395" s="78" t="b">
        <f t="shared" si="474"/>
        <v>0</v>
      </c>
      <c r="AF395" s="78" t="b">
        <f t="shared" si="474"/>
        <v>0</v>
      </c>
      <c r="AG395" s="78" t="b">
        <f t="shared" si="474"/>
        <v>0</v>
      </c>
      <c r="AH395" s="78" t="b">
        <f t="shared" si="474"/>
        <v>0</v>
      </c>
      <c r="AI395" s="78" t="b">
        <f t="shared" si="474"/>
        <v>0</v>
      </c>
      <c r="AJ395" s="78" t="b">
        <f t="shared" si="474"/>
        <v>0</v>
      </c>
      <c r="AK395" s="78" t="b">
        <f t="shared" si="474"/>
        <v>0</v>
      </c>
      <c r="AL395" s="78" t="b">
        <f t="shared" si="474"/>
        <v>0</v>
      </c>
      <c r="AM395" s="78" t="b">
        <f t="shared" si="474"/>
        <v>0</v>
      </c>
      <c r="AN395" s="78" t="b">
        <f t="shared" si="474"/>
        <v>0</v>
      </c>
      <c r="AO395" s="78" t="b">
        <f t="shared" si="474"/>
        <v>0</v>
      </c>
      <c r="AP395" s="78"/>
    </row>
    <row r="396" spans="4:42" x14ac:dyDescent="0.35">
      <c r="D396" s="96"/>
      <c r="E396" s="96"/>
      <c r="G396" s="77">
        <f t="shared" si="459"/>
        <v>0</v>
      </c>
      <c r="H396" s="78">
        <f t="shared" si="460"/>
        <v>0</v>
      </c>
      <c r="I396" s="77">
        <f t="shared" si="461"/>
        <v>0</v>
      </c>
      <c r="J396" s="78">
        <f t="shared" si="462"/>
        <v>0</v>
      </c>
      <c r="K396" s="78" t="str">
        <f t="shared" si="463"/>
        <v>1900-01-00 00:0:00</v>
      </c>
      <c r="L396" s="78" t="str">
        <f t="shared" si="464"/>
        <v>1900-01-00 00:0:00</v>
      </c>
      <c r="M396" s="79">
        <f t="shared" si="465"/>
        <v>0</v>
      </c>
      <c r="N396">
        <f t="shared" si="466"/>
        <v>1</v>
      </c>
      <c r="O396" t="str">
        <f>IFERROR(_xlfn.XLOOKUP(A396,HC!A:A,HC!C:C),"")</f>
        <v>Workforce</v>
      </c>
      <c r="R396" s="78" t="b">
        <f t="shared" ref="R396:AO396" si="475">IFERROR(IF($B396=$D$1,IF(AND($K396&lt;R$1,$L396&lt;R$1),"",IF(AND($K396&gt;S$1,$L396&gt;S$1),"",IF(AND($K396&lt;R$1,$L396&lt;=S$1),$L396-R$1,IF(AND($K396&gt;=R$1,$L396&gt;S$1),S$1-$K396,IF(AND($K396&gt;=R$1,$L396&lt;=S$1),$L396-$K396,IF(AND($K396&lt;R$1,$L396&gt;S$1),S$1-R$1,""))))))),"")</f>
        <v>0</v>
      </c>
      <c r="S396" s="78" t="b">
        <f t="shared" si="475"/>
        <v>0</v>
      </c>
      <c r="T396" s="78" t="b">
        <f t="shared" si="475"/>
        <v>0</v>
      </c>
      <c r="U396" s="78" t="b">
        <f t="shared" si="475"/>
        <v>0</v>
      </c>
      <c r="V396" s="78" t="b">
        <f t="shared" si="475"/>
        <v>0</v>
      </c>
      <c r="W396" s="78" t="b">
        <f t="shared" si="475"/>
        <v>0</v>
      </c>
      <c r="X396" s="78" t="b">
        <f t="shared" si="475"/>
        <v>0</v>
      </c>
      <c r="Y396" s="78" t="b">
        <f t="shared" si="475"/>
        <v>0</v>
      </c>
      <c r="Z396" s="78" t="b">
        <f t="shared" si="475"/>
        <v>0</v>
      </c>
      <c r="AA396" s="78" t="b">
        <f t="shared" si="475"/>
        <v>0</v>
      </c>
      <c r="AB396" s="78" t="b">
        <f t="shared" si="475"/>
        <v>0</v>
      </c>
      <c r="AC396" s="78" t="b">
        <f t="shared" si="475"/>
        <v>0</v>
      </c>
      <c r="AD396" s="78" t="b">
        <f t="shared" si="475"/>
        <v>0</v>
      </c>
      <c r="AE396" s="78" t="b">
        <f t="shared" si="475"/>
        <v>0</v>
      </c>
      <c r="AF396" s="78" t="b">
        <f t="shared" si="475"/>
        <v>0</v>
      </c>
      <c r="AG396" s="78" t="b">
        <f t="shared" si="475"/>
        <v>0</v>
      </c>
      <c r="AH396" s="78" t="b">
        <f t="shared" si="475"/>
        <v>0</v>
      </c>
      <c r="AI396" s="78" t="b">
        <f t="shared" si="475"/>
        <v>0</v>
      </c>
      <c r="AJ396" s="78" t="b">
        <f t="shared" si="475"/>
        <v>0</v>
      </c>
      <c r="AK396" s="78" t="b">
        <f t="shared" si="475"/>
        <v>0</v>
      </c>
      <c r="AL396" s="78" t="b">
        <f t="shared" si="475"/>
        <v>0</v>
      </c>
      <c r="AM396" s="78" t="b">
        <f t="shared" si="475"/>
        <v>0</v>
      </c>
      <c r="AN396" s="78" t="b">
        <f t="shared" si="475"/>
        <v>0</v>
      </c>
      <c r="AO396" s="78" t="b">
        <f t="shared" si="475"/>
        <v>0</v>
      </c>
      <c r="AP396" s="78"/>
    </row>
    <row r="397" spans="4:42" x14ac:dyDescent="0.35">
      <c r="D397" s="96"/>
      <c r="E397" s="96"/>
      <c r="G397" s="77">
        <f t="shared" si="459"/>
        <v>0</v>
      </c>
      <c r="H397" s="78">
        <f t="shared" si="460"/>
        <v>0</v>
      </c>
      <c r="I397" s="77">
        <f t="shared" si="461"/>
        <v>0</v>
      </c>
      <c r="J397" s="78">
        <f t="shared" si="462"/>
        <v>0</v>
      </c>
      <c r="K397" s="78" t="str">
        <f t="shared" si="463"/>
        <v>1900-01-00 00:0:00</v>
      </c>
      <c r="L397" s="78" t="str">
        <f t="shared" si="464"/>
        <v>1900-01-00 00:0:00</v>
      </c>
      <c r="M397" s="79">
        <f t="shared" si="465"/>
        <v>0</v>
      </c>
      <c r="N397">
        <f t="shared" si="466"/>
        <v>1</v>
      </c>
      <c r="O397" t="str">
        <f>IFERROR(_xlfn.XLOOKUP(A397,HC!A:A,HC!C:C),"")</f>
        <v>Workforce</v>
      </c>
      <c r="R397" s="78" t="b">
        <f t="shared" ref="R397:AO397" si="476">IFERROR(IF($B397=$D$1,IF(AND($K397&lt;R$1,$L397&lt;R$1),"",IF(AND($K397&gt;S$1,$L397&gt;S$1),"",IF(AND($K397&lt;R$1,$L397&lt;=S$1),$L397-R$1,IF(AND($K397&gt;=R$1,$L397&gt;S$1),S$1-$K397,IF(AND($K397&gt;=R$1,$L397&lt;=S$1),$L397-$K397,IF(AND($K397&lt;R$1,$L397&gt;S$1),S$1-R$1,""))))))),"")</f>
        <v>0</v>
      </c>
      <c r="S397" s="78" t="b">
        <f t="shared" si="476"/>
        <v>0</v>
      </c>
      <c r="T397" s="78" t="b">
        <f t="shared" si="476"/>
        <v>0</v>
      </c>
      <c r="U397" s="78" t="b">
        <f t="shared" si="476"/>
        <v>0</v>
      </c>
      <c r="V397" s="78" t="b">
        <f t="shared" si="476"/>
        <v>0</v>
      </c>
      <c r="W397" s="78" t="b">
        <f t="shared" si="476"/>
        <v>0</v>
      </c>
      <c r="X397" s="78" t="b">
        <f t="shared" si="476"/>
        <v>0</v>
      </c>
      <c r="Y397" s="78" t="b">
        <f t="shared" si="476"/>
        <v>0</v>
      </c>
      <c r="Z397" s="78" t="b">
        <f t="shared" si="476"/>
        <v>0</v>
      </c>
      <c r="AA397" s="78" t="b">
        <f t="shared" si="476"/>
        <v>0</v>
      </c>
      <c r="AB397" s="78" t="b">
        <f t="shared" si="476"/>
        <v>0</v>
      </c>
      <c r="AC397" s="78" t="b">
        <f t="shared" si="476"/>
        <v>0</v>
      </c>
      <c r="AD397" s="78" t="b">
        <f t="shared" si="476"/>
        <v>0</v>
      </c>
      <c r="AE397" s="78" t="b">
        <f t="shared" si="476"/>
        <v>0</v>
      </c>
      <c r="AF397" s="78" t="b">
        <f t="shared" si="476"/>
        <v>0</v>
      </c>
      <c r="AG397" s="78" t="b">
        <f t="shared" si="476"/>
        <v>0</v>
      </c>
      <c r="AH397" s="78" t="b">
        <f t="shared" si="476"/>
        <v>0</v>
      </c>
      <c r="AI397" s="78" t="b">
        <f t="shared" si="476"/>
        <v>0</v>
      </c>
      <c r="AJ397" s="78" t="b">
        <f t="shared" si="476"/>
        <v>0</v>
      </c>
      <c r="AK397" s="78" t="b">
        <f t="shared" si="476"/>
        <v>0</v>
      </c>
      <c r="AL397" s="78" t="b">
        <f t="shared" si="476"/>
        <v>0</v>
      </c>
      <c r="AM397" s="78" t="b">
        <f t="shared" si="476"/>
        <v>0</v>
      </c>
      <c r="AN397" s="78" t="b">
        <f t="shared" si="476"/>
        <v>0</v>
      </c>
      <c r="AO397" s="78" t="b">
        <f t="shared" si="476"/>
        <v>0</v>
      </c>
      <c r="AP397" s="78"/>
    </row>
    <row r="398" spans="4:42" x14ac:dyDescent="0.35">
      <c r="D398" s="96"/>
      <c r="E398" s="96"/>
      <c r="G398" s="77">
        <f t="shared" si="459"/>
        <v>0</v>
      </c>
      <c r="H398" s="78">
        <f t="shared" si="460"/>
        <v>0</v>
      </c>
      <c r="I398" s="77">
        <f t="shared" si="461"/>
        <v>0</v>
      </c>
      <c r="J398" s="78">
        <f t="shared" si="462"/>
        <v>0</v>
      </c>
      <c r="K398" s="78" t="str">
        <f t="shared" si="463"/>
        <v>1900-01-00 00:0:00</v>
      </c>
      <c r="L398" s="78" t="str">
        <f t="shared" si="464"/>
        <v>1900-01-00 00:0:00</v>
      </c>
      <c r="M398" s="79">
        <f t="shared" si="465"/>
        <v>0</v>
      </c>
      <c r="N398">
        <f t="shared" si="466"/>
        <v>1</v>
      </c>
      <c r="O398" t="str">
        <f>IFERROR(_xlfn.XLOOKUP(A398,HC!A:A,HC!C:C),"")</f>
        <v>Workforce</v>
      </c>
      <c r="R398" s="78" t="b">
        <f t="shared" ref="R398:AO398" si="477">IFERROR(IF($B398=$D$1,IF(AND($K398&lt;R$1,$L398&lt;R$1),"",IF(AND($K398&gt;S$1,$L398&gt;S$1),"",IF(AND($K398&lt;R$1,$L398&lt;=S$1),$L398-R$1,IF(AND($K398&gt;=R$1,$L398&gt;S$1),S$1-$K398,IF(AND($K398&gt;=R$1,$L398&lt;=S$1),$L398-$K398,IF(AND($K398&lt;R$1,$L398&gt;S$1),S$1-R$1,""))))))),"")</f>
        <v>0</v>
      </c>
      <c r="S398" s="78" t="b">
        <f t="shared" si="477"/>
        <v>0</v>
      </c>
      <c r="T398" s="78" t="b">
        <f t="shared" si="477"/>
        <v>0</v>
      </c>
      <c r="U398" s="78" t="b">
        <f t="shared" si="477"/>
        <v>0</v>
      </c>
      <c r="V398" s="78" t="b">
        <f t="shared" si="477"/>
        <v>0</v>
      </c>
      <c r="W398" s="78" t="b">
        <f t="shared" si="477"/>
        <v>0</v>
      </c>
      <c r="X398" s="78" t="b">
        <f t="shared" si="477"/>
        <v>0</v>
      </c>
      <c r="Y398" s="78" t="b">
        <f t="shared" si="477"/>
        <v>0</v>
      </c>
      <c r="Z398" s="78" t="b">
        <f t="shared" si="477"/>
        <v>0</v>
      </c>
      <c r="AA398" s="78" t="b">
        <f t="shared" si="477"/>
        <v>0</v>
      </c>
      <c r="AB398" s="78" t="b">
        <f t="shared" si="477"/>
        <v>0</v>
      </c>
      <c r="AC398" s="78" t="b">
        <f t="shared" si="477"/>
        <v>0</v>
      </c>
      <c r="AD398" s="78" t="b">
        <f t="shared" si="477"/>
        <v>0</v>
      </c>
      <c r="AE398" s="78" t="b">
        <f t="shared" si="477"/>
        <v>0</v>
      </c>
      <c r="AF398" s="78" t="b">
        <f t="shared" si="477"/>
        <v>0</v>
      </c>
      <c r="AG398" s="78" t="b">
        <f t="shared" si="477"/>
        <v>0</v>
      </c>
      <c r="AH398" s="78" t="b">
        <f t="shared" si="477"/>
        <v>0</v>
      </c>
      <c r="AI398" s="78" t="b">
        <f t="shared" si="477"/>
        <v>0</v>
      </c>
      <c r="AJ398" s="78" t="b">
        <f t="shared" si="477"/>
        <v>0</v>
      </c>
      <c r="AK398" s="78" t="b">
        <f t="shared" si="477"/>
        <v>0</v>
      </c>
      <c r="AL398" s="78" t="b">
        <f t="shared" si="477"/>
        <v>0</v>
      </c>
      <c r="AM398" s="78" t="b">
        <f t="shared" si="477"/>
        <v>0</v>
      </c>
      <c r="AN398" s="78" t="b">
        <f t="shared" si="477"/>
        <v>0</v>
      </c>
      <c r="AO398" s="78" t="b">
        <f t="shared" si="477"/>
        <v>0</v>
      </c>
      <c r="AP398" s="78"/>
    </row>
    <row r="399" spans="4:42" x14ac:dyDescent="0.35">
      <c r="D399" s="96"/>
      <c r="E399" s="96"/>
      <c r="G399" s="77">
        <f t="shared" si="459"/>
        <v>0</v>
      </c>
      <c r="H399" s="78">
        <f t="shared" si="460"/>
        <v>0</v>
      </c>
      <c r="I399" s="77">
        <f t="shared" si="461"/>
        <v>0</v>
      </c>
      <c r="J399" s="78">
        <f t="shared" si="462"/>
        <v>0</v>
      </c>
      <c r="K399" s="78" t="str">
        <f t="shared" si="463"/>
        <v>1900-01-00 00:0:00</v>
      </c>
      <c r="L399" s="78" t="str">
        <f t="shared" si="464"/>
        <v>1900-01-00 00:0:00</v>
      </c>
      <c r="M399" s="79">
        <f t="shared" si="465"/>
        <v>0</v>
      </c>
      <c r="N399">
        <f t="shared" si="466"/>
        <v>1</v>
      </c>
      <c r="O399" t="str">
        <f>IFERROR(_xlfn.XLOOKUP(A399,HC!A:A,HC!C:C),"")</f>
        <v>Workforce</v>
      </c>
      <c r="R399" s="78" t="b">
        <f t="shared" ref="R399:AO399" si="478">IFERROR(IF($B399=$D$1,IF(AND($K399&lt;R$1,$L399&lt;R$1),"",IF(AND($K399&gt;S$1,$L399&gt;S$1),"",IF(AND($K399&lt;R$1,$L399&lt;=S$1),$L399-R$1,IF(AND($K399&gt;=R$1,$L399&gt;S$1),S$1-$K399,IF(AND($K399&gt;=R$1,$L399&lt;=S$1),$L399-$K399,IF(AND($K399&lt;R$1,$L399&gt;S$1),S$1-R$1,""))))))),"")</f>
        <v>0</v>
      </c>
      <c r="S399" s="78" t="b">
        <f t="shared" si="478"/>
        <v>0</v>
      </c>
      <c r="T399" s="78" t="b">
        <f t="shared" si="478"/>
        <v>0</v>
      </c>
      <c r="U399" s="78" t="b">
        <f t="shared" si="478"/>
        <v>0</v>
      </c>
      <c r="V399" s="78" t="b">
        <f t="shared" si="478"/>
        <v>0</v>
      </c>
      <c r="W399" s="78" t="b">
        <f t="shared" si="478"/>
        <v>0</v>
      </c>
      <c r="X399" s="78" t="b">
        <f t="shared" si="478"/>
        <v>0</v>
      </c>
      <c r="Y399" s="78" t="b">
        <f t="shared" si="478"/>
        <v>0</v>
      </c>
      <c r="Z399" s="78" t="b">
        <f t="shared" si="478"/>
        <v>0</v>
      </c>
      <c r="AA399" s="78" t="b">
        <f t="shared" si="478"/>
        <v>0</v>
      </c>
      <c r="AB399" s="78" t="b">
        <f t="shared" si="478"/>
        <v>0</v>
      </c>
      <c r="AC399" s="78" t="b">
        <f t="shared" si="478"/>
        <v>0</v>
      </c>
      <c r="AD399" s="78" t="b">
        <f t="shared" si="478"/>
        <v>0</v>
      </c>
      <c r="AE399" s="78" t="b">
        <f t="shared" si="478"/>
        <v>0</v>
      </c>
      <c r="AF399" s="78" t="b">
        <f t="shared" si="478"/>
        <v>0</v>
      </c>
      <c r="AG399" s="78" t="b">
        <f t="shared" si="478"/>
        <v>0</v>
      </c>
      <c r="AH399" s="78" t="b">
        <f t="shared" si="478"/>
        <v>0</v>
      </c>
      <c r="AI399" s="78" t="b">
        <f t="shared" si="478"/>
        <v>0</v>
      </c>
      <c r="AJ399" s="78" t="b">
        <f t="shared" si="478"/>
        <v>0</v>
      </c>
      <c r="AK399" s="78" t="b">
        <f t="shared" si="478"/>
        <v>0</v>
      </c>
      <c r="AL399" s="78" t="b">
        <f t="shared" si="478"/>
        <v>0</v>
      </c>
      <c r="AM399" s="78" t="b">
        <f t="shared" si="478"/>
        <v>0</v>
      </c>
      <c r="AN399" s="78" t="b">
        <f t="shared" si="478"/>
        <v>0</v>
      </c>
      <c r="AO399" s="78" t="b">
        <f t="shared" si="478"/>
        <v>0</v>
      </c>
      <c r="AP399" s="78"/>
    </row>
    <row r="400" spans="4:42" x14ac:dyDescent="0.35">
      <c r="D400" s="96"/>
      <c r="E400" s="96"/>
      <c r="G400" s="77">
        <f t="shared" si="459"/>
        <v>0</v>
      </c>
      <c r="H400" s="78">
        <f t="shared" si="460"/>
        <v>0</v>
      </c>
      <c r="I400" s="77">
        <f t="shared" si="461"/>
        <v>0</v>
      </c>
      <c r="J400" s="78">
        <f t="shared" si="462"/>
        <v>0</v>
      </c>
      <c r="K400" s="78" t="str">
        <f t="shared" si="463"/>
        <v>1900-01-00 00:0:00</v>
      </c>
      <c r="L400" s="78" t="str">
        <f t="shared" si="464"/>
        <v>1900-01-00 00:0:00</v>
      </c>
      <c r="M400" s="79">
        <f t="shared" si="465"/>
        <v>0</v>
      </c>
      <c r="N400">
        <f t="shared" si="466"/>
        <v>1</v>
      </c>
      <c r="O400" t="str">
        <f>IFERROR(_xlfn.XLOOKUP(A400,HC!A:A,HC!C:C),"")</f>
        <v>Workforce</v>
      </c>
      <c r="R400" s="78" t="b">
        <f t="shared" ref="R400:AO400" si="479">IFERROR(IF($B400=$D$1,IF(AND($K400&lt;R$1,$L400&lt;R$1),"",IF(AND($K400&gt;S$1,$L400&gt;S$1),"",IF(AND($K400&lt;R$1,$L400&lt;=S$1),$L400-R$1,IF(AND($K400&gt;=R$1,$L400&gt;S$1),S$1-$K400,IF(AND($K400&gt;=R$1,$L400&lt;=S$1),$L400-$K400,IF(AND($K400&lt;R$1,$L400&gt;S$1),S$1-R$1,""))))))),"")</f>
        <v>0</v>
      </c>
      <c r="S400" s="78" t="b">
        <f t="shared" si="479"/>
        <v>0</v>
      </c>
      <c r="T400" s="78" t="b">
        <f t="shared" si="479"/>
        <v>0</v>
      </c>
      <c r="U400" s="78" t="b">
        <f t="shared" si="479"/>
        <v>0</v>
      </c>
      <c r="V400" s="78" t="b">
        <f t="shared" si="479"/>
        <v>0</v>
      </c>
      <c r="W400" s="78" t="b">
        <f t="shared" si="479"/>
        <v>0</v>
      </c>
      <c r="X400" s="78" t="b">
        <f t="shared" si="479"/>
        <v>0</v>
      </c>
      <c r="Y400" s="78" t="b">
        <f t="shared" si="479"/>
        <v>0</v>
      </c>
      <c r="Z400" s="78" t="b">
        <f t="shared" si="479"/>
        <v>0</v>
      </c>
      <c r="AA400" s="78" t="b">
        <f t="shared" si="479"/>
        <v>0</v>
      </c>
      <c r="AB400" s="78" t="b">
        <f t="shared" si="479"/>
        <v>0</v>
      </c>
      <c r="AC400" s="78" t="b">
        <f t="shared" si="479"/>
        <v>0</v>
      </c>
      <c r="AD400" s="78" t="b">
        <f t="shared" si="479"/>
        <v>0</v>
      </c>
      <c r="AE400" s="78" t="b">
        <f t="shared" si="479"/>
        <v>0</v>
      </c>
      <c r="AF400" s="78" t="b">
        <f t="shared" si="479"/>
        <v>0</v>
      </c>
      <c r="AG400" s="78" t="b">
        <f t="shared" si="479"/>
        <v>0</v>
      </c>
      <c r="AH400" s="78" t="b">
        <f t="shared" si="479"/>
        <v>0</v>
      </c>
      <c r="AI400" s="78" t="b">
        <f t="shared" si="479"/>
        <v>0</v>
      </c>
      <c r="AJ400" s="78" t="b">
        <f t="shared" si="479"/>
        <v>0</v>
      </c>
      <c r="AK400" s="78" t="b">
        <f t="shared" si="479"/>
        <v>0</v>
      </c>
      <c r="AL400" s="78" t="b">
        <f t="shared" si="479"/>
        <v>0</v>
      </c>
      <c r="AM400" s="78" t="b">
        <f t="shared" si="479"/>
        <v>0</v>
      </c>
      <c r="AN400" s="78" t="b">
        <f t="shared" si="479"/>
        <v>0</v>
      </c>
      <c r="AO400" s="78" t="b">
        <f t="shared" si="479"/>
        <v>0</v>
      </c>
      <c r="AP400" s="78"/>
    </row>
    <row r="401" spans="4:42" x14ac:dyDescent="0.35">
      <c r="D401" s="96"/>
      <c r="E401" s="96"/>
      <c r="G401" s="77">
        <f t="shared" si="459"/>
        <v>0</v>
      </c>
      <c r="H401" s="78">
        <f t="shared" si="460"/>
        <v>0</v>
      </c>
      <c r="I401" s="77">
        <f t="shared" si="461"/>
        <v>0</v>
      </c>
      <c r="J401" s="78">
        <f t="shared" si="462"/>
        <v>0</v>
      </c>
      <c r="K401" s="78" t="str">
        <f t="shared" si="463"/>
        <v>1900-01-00 00:0:00</v>
      </c>
      <c r="L401" s="78" t="str">
        <f t="shared" si="464"/>
        <v>1900-01-00 00:0:00</v>
      </c>
      <c r="M401" s="79">
        <f t="shared" si="465"/>
        <v>0</v>
      </c>
      <c r="N401">
        <f t="shared" si="466"/>
        <v>1</v>
      </c>
      <c r="O401" t="str">
        <f>IFERROR(_xlfn.XLOOKUP(A401,HC!A:A,HC!C:C),"")</f>
        <v>Workforce</v>
      </c>
      <c r="R401" s="78" t="b">
        <f t="shared" ref="R401:AO401" si="480">IFERROR(IF($B401=$D$1,IF(AND($K401&lt;R$1,$L401&lt;R$1),"",IF(AND($K401&gt;S$1,$L401&gt;S$1),"",IF(AND($K401&lt;R$1,$L401&lt;=S$1),$L401-R$1,IF(AND($K401&gt;=R$1,$L401&gt;S$1),S$1-$K401,IF(AND($K401&gt;=R$1,$L401&lt;=S$1),$L401-$K401,IF(AND($K401&lt;R$1,$L401&gt;S$1),S$1-R$1,""))))))),"")</f>
        <v>0</v>
      </c>
      <c r="S401" s="78" t="b">
        <f t="shared" si="480"/>
        <v>0</v>
      </c>
      <c r="T401" s="78" t="b">
        <f t="shared" si="480"/>
        <v>0</v>
      </c>
      <c r="U401" s="78" t="b">
        <f t="shared" si="480"/>
        <v>0</v>
      </c>
      <c r="V401" s="78" t="b">
        <f t="shared" si="480"/>
        <v>0</v>
      </c>
      <c r="W401" s="78" t="b">
        <f t="shared" si="480"/>
        <v>0</v>
      </c>
      <c r="X401" s="78" t="b">
        <f t="shared" si="480"/>
        <v>0</v>
      </c>
      <c r="Y401" s="78" t="b">
        <f t="shared" si="480"/>
        <v>0</v>
      </c>
      <c r="Z401" s="78" t="b">
        <f t="shared" si="480"/>
        <v>0</v>
      </c>
      <c r="AA401" s="78" t="b">
        <f t="shared" si="480"/>
        <v>0</v>
      </c>
      <c r="AB401" s="78" t="b">
        <f t="shared" si="480"/>
        <v>0</v>
      </c>
      <c r="AC401" s="78" t="b">
        <f t="shared" si="480"/>
        <v>0</v>
      </c>
      <c r="AD401" s="78" t="b">
        <f t="shared" si="480"/>
        <v>0</v>
      </c>
      <c r="AE401" s="78" t="b">
        <f t="shared" si="480"/>
        <v>0</v>
      </c>
      <c r="AF401" s="78" t="b">
        <f t="shared" si="480"/>
        <v>0</v>
      </c>
      <c r="AG401" s="78" t="b">
        <f t="shared" si="480"/>
        <v>0</v>
      </c>
      <c r="AH401" s="78" t="b">
        <f t="shared" si="480"/>
        <v>0</v>
      </c>
      <c r="AI401" s="78" t="b">
        <f t="shared" si="480"/>
        <v>0</v>
      </c>
      <c r="AJ401" s="78" t="b">
        <f t="shared" si="480"/>
        <v>0</v>
      </c>
      <c r="AK401" s="78" t="b">
        <f t="shared" si="480"/>
        <v>0</v>
      </c>
      <c r="AL401" s="78" t="b">
        <f t="shared" si="480"/>
        <v>0</v>
      </c>
      <c r="AM401" s="78" t="b">
        <f t="shared" si="480"/>
        <v>0</v>
      </c>
      <c r="AN401" s="78" t="b">
        <f t="shared" si="480"/>
        <v>0</v>
      </c>
      <c r="AO401" s="78" t="b">
        <f t="shared" si="480"/>
        <v>0</v>
      </c>
      <c r="AP401" s="78"/>
    </row>
    <row r="402" spans="4:42" x14ac:dyDescent="0.35">
      <c r="D402" s="96"/>
      <c r="E402" s="96"/>
      <c r="G402" s="77">
        <f t="shared" si="459"/>
        <v>0</v>
      </c>
      <c r="H402" s="78">
        <f t="shared" si="460"/>
        <v>0</v>
      </c>
      <c r="I402" s="77">
        <f t="shared" si="461"/>
        <v>0</v>
      </c>
      <c r="J402" s="78">
        <f t="shared" si="462"/>
        <v>0</v>
      </c>
      <c r="K402" s="78" t="str">
        <f t="shared" si="463"/>
        <v>1900-01-00 00:0:00</v>
      </c>
      <c r="L402" s="78" t="str">
        <f t="shared" si="464"/>
        <v>1900-01-00 00:0:00</v>
      </c>
      <c r="M402" s="79">
        <f t="shared" si="465"/>
        <v>0</v>
      </c>
      <c r="N402">
        <f t="shared" si="466"/>
        <v>1</v>
      </c>
      <c r="O402" t="str">
        <f>IFERROR(_xlfn.XLOOKUP(A402,HC!A:A,HC!C:C),"")</f>
        <v>Workforce</v>
      </c>
      <c r="R402" s="78" t="b">
        <f t="shared" ref="R402:AO402" si="481">IFERROR(IF($B402=$D$1,IF(AND($K402&lt;R$1,$L402&lt;R$1),"",IF(AND($K402&gt;S$1,$L402&gt;S$1),"",IF(AND($K402&lt;R$1,$L402&lt;=S$1),$L402-R$1,IF(AND($K402&gt;=R$1,$L402&gt;S$1),S$1-$K402,IF(AND($K402&gt;=R$1,$L402&lt;=S$1),$L402-$K402,IF(AND($K402&lt;R$1,$L402&gt;S$1),S$1-R$1,""))))))),"")</f>
        <v>0</v>
      </c>
      <c r="S402" s="78" t="b">
        <f t="shared" si="481"/>
        <v>0</v>
      </c>
      <c r="T402" s="78" t="b">
        <f t="shared" si="481"/>
        <v>0</v>
      </c>
      <c r="U402" s="78" t="b">
        <f t="shared" si="481"/>
        <v>0</v>
      </c>
      <c r="V402" s="78" t="b">
        <f t="shared" si="481"/>
        <v>0</v>
      </c>
      <c r="W402" s="78" t="b">
        <f t="shared" si="481"/>
        <v>0</v>
      </c>
      <c r="X402" s="78" t="b">
        <f t="shared" si="481"/>
        <v>0</v>
      </c>
      <c r="Y402" s="78" t="b">
        <f t="shared" si="481"/>
        <v>0</v>
      </c>
      <c r="Z402" s="78" t="b">
        <f t="shared" si="481"/>
        <v>0</v>
      </c>
      <c r="AA402" s="78" t="b">
        <f t="shared" si="481"/>
        <v>0</v>
      </c>
      <c r="AB402" s="78" t="b">
        <f t="shared" si="481"/>
        <v>0</v>
      </c>
      <c r="AC402" s="78" t="b">
        <f t="shared" si="481"/>
        <v>0</v>
      </c>
      <c r="AD402" s="78" t="b">
        <f t="shared" si="481"/>
        <v>0</v>
      </c>
      <c r="AE402" s="78" t="b">
        <f t="shared" si="481"/>
        <v>0</v>
      </c>
      <c r="AF402" s="78" t="b">
        <f t="shared" si="481"/>
        <v>0</v>
      </c>
      <c r="AG402" s="78" t="b">
        <f t="shared" si="481"/>
        <v>0</v>
      </c>
      <c r="AH402" s="78" t="b">
        <f t="shared" si="481"/>
        <v>0</v>
      </c>
      <c r="AI402" s="78" t="b">
        <f t="shared" si="481"/>
        <v>0</v>
      </c>
      <c r="AJ402" s="78" t="b">
        <f t="shared" si="481"/>
        <v>0</v>
      </c>
      <c r="AK402" s="78" t="b">
        <f t="shared" si="481"/>
        <v>0</v>
      </c>
      <c r="AL402" s="78" t="b">
        <f t="shared" si="481"/>
        <v>0</v>
      </c>
      <c r="AM402" s="78" t="b">
        <f t="shared" si="481"/>
        <v>0</v>
      </c>
      <c r="AN402" s="78" t="b">
        <f t="shared" si="481"/>
        <v>0</v>
      </c>
      <c r="AO402" s="78" t="b">
        <f t="shared" si="481"/>
        <v>0</v>
      </c>
      <c r="AP402" s="78"/>
    </row>
    <row r="403" spans="4:42" x14ac:dyDescent="0.35">
      <c r="D403" s="96"/>
      <c r="E403" s="96"/>
      <c r="G403" s="77">
        <f t="shared" si="459"/>
        <v>0</v>
      </c>
      <c r="H403" s="78">
        <f t="shared" si="460"/>
        <v>0</v>
      </c>
      <c r="I403" s="77">
        <f t="shared" si="461"/>
        <v>0</v>
      </c>
      <c r="J403" s="78">
        <f t="shared" si="462"/>
        <v>0</v>
      </c>
      <c r="K403" s="78" t="str">
        <f t="shared" si="463"/>
        <v>1900-01-00 00:0:00</v>
      </c>
      <c r="L403" s="78" t="str">
        <f t="shared" si="464"/>
        <v>1900-01-00 00:0:00</v>
      </c>
      <c r="M403" s="79">
        <f t="shared" si="465"/>
        <v>0</v>
      </c>
      <c r="N403">
        <f t="shared" si="466"/>
        <v>1</v>
      </c>
      <c r="O403" t="str">
        <f>IFERROR(_xlfn.XLOOKUP(A403,HC!A:A,HC!C:C),"")</f>
        <v>Workforce</v>
      </c>
      <c r="R403" s="78" t="b">
        <f t="shared" ref="R403:AO403" si="482">IFERROR(IF($B403=$D$1,IF(AND($K403&lt;R$1,$L403&lt;R$1),"",IF(AND($K403&gt;S$1,$L403&gt;S$1),"",IF(AND($K403&lt;R$1,$L403&lt;=S$1),$L403-R$1,IF(AND($K403&gt;=R$1,$L403&gt;S$1),S$1-$K403,IF(AND($K403&gt;=R$1,$L403&lt;=S$1),$L403-$K403,IF(AND($K403&lt;R$1,$L403&gt;S$1),S$1-R$1,""))))))),"")</f>
        <v>0</v>
      </c>
      <c r="S403" s="78" t="b">
        <f t="shared" si="482"/>
        <v>0</v>
      </c>
      <c r="T403" s="78" t="b">
        <f t="shared" si="482"/>
        <v>0</v>
      </c>
      <c r="U403" s="78" t="b">
        <f t="shared" si="482"/>
        <v>0</v>
      </c>
      <c r="V403" s="78" t="b">
        <f t="shared" si="482"/>
        <v>0</v>
      </c>
      <c r="W403" s="78" t="b">
        <f t="shared" si="482"/>
        <v>0</v>
      </c>
      <c r="X403" s="78" t="b">
        <f t="shared" si="482"/>
        <v>0</v>
      </c>
      <c r="Y403" s="78" t="b">
        <f t="shared" si="482"/>
        <v>0</v>
      </c>
      <c r="Z403" s="78" t="b">
        <f t="shared" si="482"/>
        <v>0</v>
      </c>
      <c r="AA403" s="78" t="b">
        <f t="shared" si="482"/>
        <v>0</v>
      </c>
      <c r="AB403" s="78" t="b">
        <f t="shared" si="482"/>
        <v>0</v>
      </c>
      <c r="AC403" s="78" t="b">
        <f t="shared" si="482"/>
        <v>0</v>
      </c>
      <c r="AD403" s="78" t="b">
        <f t="shared" si="482"/>
        <v>0</v>
      </c>
      <c r="AE403" s="78" t="b">
        <f t="shared" si="482"/>
        <v>0</v>
      </c>
      <c r="AF403" s="78" t="b">
        <f t="shared" si="482"/>
        <v>0</v>
      </c>
      <c r="AG403" s="78" t="b">
        <f t="shared" si="482"/>
        <v>0</v>
      </c>
      <c r="AH403" s="78" t="b">
        <f t="shared" si="482"/>
        <v>0</v>
      </c>
      <c r="AI403" s="78" t="b">
        <f t="shared" si="482"/>
        <v>0</v>
      </c>
      <c r="AJ403" s="78" t="b">
        <f t="shared" si="482"/>
        <v>0</v>
      </c>
      <c r="AK403" s="78" t="b">
        <f t="shared" si="482"/>
        <v>0</v>
      </c>
      <c r="AL403" s="78" t="b">
        <f t="shared" si="482"/>
        <v>0</v>
      </c>
      <c r="AM403" s="78" t="b">
        <f t="shared" si="482"/>
        <v>0</v>
      </c>
      <c r="AN403" s="78" t="b">
        <f t="shared" si="482"/>
        <v>0</v>
      </c>
      <c r="AO403" s="78" t="b">
        <f t="shared" si="482"/>
        <v>0</v>
      </c>
      <c r="AP403" s="78"/>
    </row>
    <row r="404" spans="4:42" x14ac:dyDescent="0.35">
      <c r="D404" s="96"/>
      <c r="E404" s="96"/>
      <c r="G404" s="77">
        <f t="shared" si="459"/>
        <v>0</v>
      </c>
      <c r="H404" s="78">
        <f t="shared" si="460"/>
        <v>0</v>
      </c>
      <c r="I404" s="77">
        <f t="shared" si="461"/>
        <v>0</v>
      </c>
      <c r="J404" s="78">
        <f t="shared" si="462"/>
        <v>0</v>
      </c>
      <c r="K404" s="78" t="str">
        <f t="shared" si="463"/>
        <v>1900-01-00 00:0:00</v>
      </c>
      <c r="L404" s="78" t="str">
        <f t="shared" si="464"/>
        <v>1900-01-00 00:0:00</v>
      </c>
      <c r="M404" s="79">
        <f t="shared" si="465"/>
        <v>0</v>
      </c>
      <c r="N404">
        <f t="shared" si="466"/>
        <v>1</v>
      </c>
      <c r="O404" t="str">
        <f>IFERROR(_xlfn.XLOOKUP(A404,HC!A:A,HC!C:C),"")</f>
        <v>Workforce</v>
      </c>
      <c r="R404" s="78" t="b">
        <f t="shared" ref="R404:AO404" si="483">IFERROR(IF($B404=$D$1,IF(AND($K404&lt;R$1,$L404&lt;R$1),"",IF(AND($K404&gt;S$1,$L404&gt;S$1),"",IF(AND($K404&lt;R$1,$L404&lt;=S$1),$L404-R$1,IF(AND($K404&gt;=R$1,$L404&gt;S$1),S$1-$K404,IF(AND($K404&gt;=R$1,$L404&lt;=S$1),$L404-$K404,IF(AND($K404&lt;R$1,$L404&gt;S$1),S$1-R$1,""))))))),"")</f>
        <v>0</v>
      </c>
      <c r="S404" s="78" t="b">
        <f t="shared" si="483"/>
        <v>0</v>
      </c>
      <c r="T404" s="78" t="b">
        <f t="shared" si="483"/>
        <v>0</v>
      </c>
      <c r="U404" s="78" t="b">
        <f t="shared" si="483"/>
        <v>0</v>
      </c>
      <c r="V404" s="78" t="b">
        <f t="shared" si="483"/>
        <v>0</v>
      </c>
      <c r="W404" s="78" t="b">
        <f t="shared" si="483"/>
        <v>0</v>
      </c>
      <c r="X404" s="78" t="b">
        <f t="shared" si="483"/>
        <v>0</v>
      </c>
      <c r="Y404" s="78" t="b">
        <f t="shared" si="483"/>
        <v>0</v>
      </c>
      <c r="Z404" s="78" t="b">
        <f t="shared" si="483"/>
        <v>0</v>
      </c>
      <c r="AA404" s="78" t="b">
        <f t="shared" si="483"/>
        <v>0</v>
      </c>
      <c r="AB404" s="78" t="b">
        <f t="shared" si="483"/>
        <v>0</v>
      </c>
      <c r="AC404" s="78" t="b">
        <f t="shared" si="483"/>
        <v>0</v>
      </c>
      <c r="AD404" s="78" t="b">
        <f t="shared" si="483"/>
        <v>0</v>
      </c>
      <c r="AE404" s="78" t="b">
        <f t="shared" si="483"/>
        <v>0</v>
      </c>
      <c r="AF404" s="78" t="b">
        <f t="shared" si="483"/>
        <v>0</v>
      </c>
      <c r="AG404" s="78" t="b">
        <f t="shared" si="483"/>
        <v>0</v>
      </c>
      <c r="AH404" s="78" t="b">
        <f t="shared" si="483"/>
        <v>0</v>
      </c>
      <c r="AI404" s="78" t="b">
        <f t="shared" si="483"/>
        <v>0</v>
      </c>
      <c r="AJ404" s="78" t="b">
        <f t="shared" si="483"/>
        <v>0</v>
      </c>
      <c r="AK404" s="78" t="b">
        <f t="shared" si="483"/>
        <v>0</v>
      </c>
      <c r="AL404" s="78" t="b">
        <f t="shared" si="483"/>
        <v>0</v>
      </c>
      <c r="AM404" s="78" t="b">
        <f t="shared" si="483"/>
        <v>0</v>
      </c>
      <c r="AN404" s="78" t="b">
        <f t="shared" si="483"/>
        <v>0</v>
      </c>
      <c r="AO404" s="78" t="b">
        <f t="shared" si="483"/>
        <v>0</v>
      </c>
      <c r="AP404" s="78"/>
    </row>
    <row r="405" spans="4:42" x14ac:dyDescent="0.35">
      <c r="D405" s="96"/>
      <c r="E405" s="96"/>
      <c r="G405" s="77">
        <f t="shared" si="459"/>
        <v>0</v>
      </c>
      <c r="H405" s="78">
        <f t="shared" si="460"/>
        <v>0</v>
      </c>
      <c r="I405" s="77">
        <f t="shared" si="461"/>
        <v>0</v>
      </c>
      <c r="J405" s="78">
        <f t="shared" si="462"/>
        <v>0</v>
      </c>
      <c r="K405" s="78" t="str">
        <f t="shared" si="463"/>
        <v>1900-01-00 00:0:00</v>
      </c>
      <c r="L405" s="78" t="str">
        <f t="shared" si="464"/>
        <v>1900-01-00 00:0:00</v>
      </c>
      <c r="M405" s="79">
        <f t="shared" si="465"/>
        <v>0</v>
      </c>
      <c r="N405">
        <f t="shared" si="466"/>
        <v>1</v>
      </c>
      <c r="O405" t="str">
        <f>IFERROR(_xlfn.XLOOKUP(A405,HC!A:A,HC!C:C),"")</f>
        <v>Workforce</v>
      </c>
      <c r="R405" s="78" t="b">
        <f t="shared" ref="R405:AO405" si="484">IFERROR(IF($B405=$D$1,IF(AND($K405&lt;R$1,$L405&lt;R$1),"",IF(AND($K405&gt;S$1,$L405&gt;S$1),"",IF(AND($K405&lt;R$1,$L405&lt;=S$1),$L405-R$1,IF(AND($K405&gt;=R$1,$L405&gt;S$1),S$1-$K405,IF(AND($K405&gt;=R$1,$L405&lt;=S$1),$L405-$K405,IF(AND($K405&lt;R$1,$L405&gt;S$1),S$1-R$1,""))))))),"")</f>
        <v>0</v>
      </c>
      <c r="S405" s="78" t="b">
        <f t="shared" si="484"/>
        <v>0</v>
      </c>
      <c r="T405" s="78" t="b">
        <f t="shared" si="484"/>
        <v>0</v>
      </c>
      <c r="U405" s="78" t="b">
        <f t="shared" si="484"/>
        <v>0</v>
      </c>
      <c r="V405" s="78" t="b">
        <f t="shared" si="484"/>
        <v>0</v>
      </c>
      <c r="W405" s="78" t="b">
        <f t="shared" si="484"/>
        <v>0</v>
      </c>
      <c r="X405" s="78" t="b">
        <f t="shared" si="484"/>
        <v>0</v>
      </c>
      <c r="Y405" s="78" t="b">
        <f t="shared" si="484"/>
        <v>0</v>
      </c>
      <c r="Z405" s="78" t="b">
        <f t="shared" si="484"/>
        <v>0</v>
      </c>
      <c r="AA405" s="78" t="b">
        <f t="shared" si="484"/>
        <v>0</v>
      </c>
      <c r="AB405" s="78" t="b">
        <f t="shared" si="484"/>
        <v>0</v>
      </c>
      <c r="AC405" s="78" t="b">
        <f t="shared" si="484"/>
        <v>0</v>
      </c>
      <c r="AD405" s="78" t="b">
        <f t="shared" si="484"/>
        <v>0</v>
      </c>
      <c r="AE405" s="78" t="b">
        <f t="shared" si="484"/>
        <v>0</v>
      </c>
      <c r="AF405" s="78" t="b">
        <f t="shared" si="484"/>
        <v>0</v>
      </c>
      <c r="AG405" s="78" t="b">
        <f t="shared" si="484"/>
        <v>0</v>
      </c>
      <c r="AH405" s="78" t="b">
        <f t="shared" si="484"/>
        <v>0</v>
      </c>
      <c r="AI405" s="78" t="b">
        <f t="shared" si="484"/>
        <v>0</v>
      </c>
      <c r="AJ405" s="78" t="b">
        <f t="shared" si="484"/>
        <v>0</v>
      </c>
      <c r="AK405" s="78" t="b">
        <f t="shared" si="484"/>
        <v>0</v>
      </c>
      <c r="AL405" s="78" t="b">
        <f t="shared" si="484"/>
        <v>0</v>
      </c>
      <c r="AM405" s="78" t="b">
        <f t="shared" si="484"/>
        <v>0</v>
      </c>
      <c r="AN405" s="78" t="b">
        <f t="shared" si="484"/>
        <v>0</v>
      </c>
      <c r="AO405" s="78" t="b">
        <f t="shared" si="484"/>
        <v>0</v>
      </c>
      <c r="AP405" s="78"/>
    </row>
    <row r="406" spans="4:42" x14ac:dyDescent="0.35">
      <c r="D406" s="96"/>
      <c r="E406" s="96"/>
      <c r="G406" s="77">
        <f t="shared" si="459"/>
        <v>0</v>
      </c>
      <c r="H406" s="78">
        <f t="shared" si="460"/>
        <v>0</v>
      </c>
      <c r="I406" s="77">
        <f t="shared" si="461"/>
        <v>0</v>
      </c>
      <c r="J406" s="78">
        <f t="shared" si="462"/>
        <v>0</v>
      </c>
      <c r="K406" s="78" t="str">
        <f t="shared" si="463"/>
        <v>1900-01-00 00:0:00</v>
      </c>
      <c r="L406" s="78" t="str">
        <f t="shared" si="464"/>
        <v>1900-01-00 00:0:00</v>
      </c>
      <c r="M406" s="79">
        <f t="shared" si="465"/>
        <v>0</v>
      </c>
      <c r="N406">
        <f t="shared" si="466"/>
        <v>1</v>
      </c>
      <c r="O406" t="str">
        <f>IFERROR(_xlfn.XLOOKUP(A406,HC!A:A,HC!C:C),"")</f>
        <v>Workforce</v>
      </c>
      <c r="R406" s="78" t="b">
        <f t="shared" ref="R406:AO406" si="485">IFERROR(IF($B406=$D$1,IF(AND($K406&lt;R$1,$L406&lt;R$1),"",IF(AND($K406&gt;S$1,$L406&gt;S$1),"",IF(AND($K406&lt;R$1,$L406&lt;=S$1),$L406-R$1,IF(AND($K406&gt;=R$1,$L406&gt;S$1),S$1-$K406,IF(AND($K406&gt;=R$1,$L406&lt;=S$1),$L406-$K406,IF(AND($K406&lt;R$1,$L406&gt;S$1),S$1-R$1,""))))))),"")</f>
        <v>0</v>
      </c>
      <c r="S406" s="78" t="b">
        <f t="shared" si="485"/>
        <v>0</v>
      </c>
      <c r="T406" s="78" t="b">
        <f t="shared" si="485"/>
        <v>0</v>
      </c>
      <c r="U406" s="78" t="b">
        <f t="shared" si="485"/>
        <v>0</v>
      </c>
      <c r="V406" s="78" t="b">
        <f t="shared" si="485"/>
        <v>0</v>
      </c>
      <c r="W406" s="78" t="b">
        <f t="shared" si="485"/>
        <v>0</v>
      </c>
      <c r="X406" s="78" t="b">
        <f t="shared" si="485"/>
        <v>0</v>
      </c>
      <c r="Y406" s="78" t="b">
        <f t="shared" si="485"/>
        <v>0</v>
      </c>
      <c r="Z406" s="78" t="b">
        <f t="shared" si="485"/>
        <v>0</v>
      </c>
      <c r="AA406" s="78" t="b">
        <f t="shared" si="485"/>
        <v>0</v>
      </c>
      <c r="AB406" s="78" t="b">
        <f t="shared" si="485"/>
        <v>0</v>
      </c>
      <c r="AC406" s="78" t="b">
        <f t="shared" si="485"/>
        <v>0</v>
      </c>
      <c r="AD406" s="78" t="b">
        <f t="shared" si="485"/>
        <v>0</v>
      </c>
      <c r="AE406" s="78" t="b">
        <f t="shared" si="485"/>
        <v>0</v>
      </c>
      <c r="AF406" s="78" t="b">
        <f t="shared" si="485"/>
        <v>0</v>
      </c>
      <c r="AG406" s="78" t="b">
        <f t="shared" si="485"/>
        <v>0</v>
      </c>
      <c r="AH406" s="78" t="b">
        <f t="shared" si="485"/>
        <v>0</v>
      </c>
      <c r="AI406" s="78" t="b">
        <f t="shared" si="485"/>
        <v>0</v>
      </c>
      <c r="AJ406" s="78" t="b">
        <f t="shared" si="485"/>
        <v>0</v>
      </c>
      <c r="AK406" s="78" t="b">
        <f t="shared" si="485"/>
        <v>0</v>
      </c>
      <c r="AL406" s="78" t="b">
        <f t="shared" si="485"/>
        <v>0</v>
      </c>
      <c r="AM406" s="78" t="b">
        <f t="shared" si="485"/>
        <v>0</v>
      </c>
      <c r="AN406" s="78" t="b">
        <f t="shared" si="485"/>
        <v>0</v>
      </c>
      <c r="AO406" s="78" t="b">
        <f t="shared" si="485"/>
        <v>0</v>
      </c>
      <c r="AP406" s="78"/>
    </row>
    <row r="407" spans="4:42" x14ac:dyDescent="0.35">
      <c r="D407" s="96"/>
      <c r="E407" s="96"/>
      <c r="G407" s="77">
        <f t="shared" si="459"/>
        <v>0</v>
      </c>
      <c r="H407" s="78">
        <f t="shared" si="460"/>
        <v>0</v>
      </c>
      <c r="I407" s="77">
        <f t="shared" si="461"/>
        <v>0</v>
      </c>
      <c r="J407" s="78">
        <f t="shared" si="462"/>
        <v>0</v>
      </c>
      <c r="K407" s="78" t="str">
        <f t="shared" si="463"/>
        <v>1900-01-00 00:0:00</v>
      </c>
      <c r="L407" s="78" t="str">
        <f t="shared" si="464"/>
        <v>1900-01-00 00:0:00</v>
      </c>
      <c r="M407" s="79">
        <f t="shared" si="465"/>
        <v>0</v>
      </c>
      <c r="N407">
        <f t="shared" si="466"/>
        <v>1</v>
      </c>
      <c r="O407" t="str">
        <f>IFERROR(_xlfn.XLOOKUP(A407,HC!A:A,HC!C:C),"")</f>
        <v>Workforce</v>
      </c>
      <c r="R407" s="78" t="b">
        <f t="shared" ref="R407:AO407" si="486">IFERROR(IF($B407=$D$1,IF(AND($K407&lt;R$1,$L407&lt;R$1),"",IF(AND($K407&gt;S$1,$L407&gt;S$1),"",IF(AND($K407&lt;R$1,$L407&lt;=S$1),$L407-R$1,IF(AND($K407&gt;=R$1,$L407&gt;S$1),S$1-$K407,IF(AND($K407&gt;=R$1,$L407&lt;=S$1),$L407-$K407,IF(AND($K407&lt;R$1,$L407&gt;S$1),S$1-R$1,""))))))),"")</f>
        <v>0</v>
      </c>
      <c r="S407" s="78" t="b">
        <f t="shared" si="486"/>
        <v>0</v>
      </c>
      <c r="T407" s="78" t="b">
        <f t="shared" si="486"/>
        <v>0</v>
      </c>
      <c r="U407" s="78" t="b">
        <f t="shared" si="486"/>
        <v>0</v>
      </c>
      <c r="V407" s="78" t="b">
        <f t="shared" si="486"/>
        <v>0</v>
      </c>
      <c r="W407" s="78" t="b">
        <f t="shared" si="486"/>
        <v>0</v>
      </c>
      <c r="X407" s="78" t="b">
        <f t="shared" si="486"/>
        <v>0</v>
      </c>
      <c r="Y407" s="78" t="b">
        <f t="shared" si="486"/>
        <v>0</v>
      </c>
      <c r="Z407" s="78" t="b">
        <f t="shared" si="486"/>
        <v>0</v>
      </c>
      <c r="AA407" s="78" t="b">
        <f t="shared" si="486"/>
        <v>0</v>
      </c>
      <c r="AB407" s="78" t="b">
        <f t="shared" si="486"/>
        <v>0</v>
      </c>
      <c r="AC407" s="78" t="b">
        <f t="shared" si="486"/>
        <v>0</v>
      </c>
      <c r="AD407" s="78" t="b">
        <f t="shared" si="486"/>
        <v>0</v>
      </c>
      <c r="AE407" s="78" t="b">
        <f t="shared" si="486"/>
        <v>0</v>
      </c>
      <c r="AF407" s="78" t="b">
        <f t="shared" si="486"/>
        <v>0</v>
      </c>
      <c r="AG407" s="78" t="b">
        <f t="shared" si="486"/>
        <v>0</v>
      </c>
      <c r="AH407" s="78" t="b">
        <f t="shared" si="486"/>
        <v>0</v>
      </c>
      <c r="AI407" s="78" t="b">
        <f t="shared" si="486"/>
        <v>0</v>
      </c>
      <c r="AJ407" s="78" t="b">
        <f t="shared" si="486"/>
        <v>0</v>
      </c>
      <c r="AK407" s="78" t="b">
        <f t="shared" si="486"/>
        <v>0</v>
      </c>
      <c r="AL407" s="78" t="b">
        <f t="shared" si="486"/>
        <v>0</v>
      </c>
      <c r="AM407" s="78" t="b">
        <f t="shared" si="486"/>
        <v>0</v>
      </c>
      <c r="AN407" s="78" t="b">
        <f t="shared" si="486"/>
        <v>0</v>
      </c>
      <c r="AO407" s="78" t="b">
        <f t="shared" si="486"/>
        <v>0</v>
      </c>
      <c r="AP407" s="78"/>
    </row>
    <row r="408" spans="4:42" x14ac:dyDescent="0.35">
      <c r="D408" s="96"/>
      <c r="E408" s="96"/>
      <c r="G408" s="77">
        <f t="shared" si="459"/>
        <v>0</v>
      </c>
      <c r="H408" s="78">
        <f t="shared" si="460"/>
        <v>0</v>
      </c>
      <c r="I408" s="77">
        <f t="shared" si="461"/>
        <v>0</v>
      </c>
      <c r="J408" s="78">
        <f t="shared" si="462"/>
        <v>0</v>
      </c>
      <c r="K408" s="78" t="str">
        <f t="shared" si="463"/>
        <v>1900-01-00 00:0:00</v>
      </c>
      <c r="L408" s="78" t="str">
        <f t="shared" si="464"/>
        <v>1900-01-00 00:0:00</v>
      </c>
      <c r="M408" s="79">
        <f t="shared" si="465"/>
        <v>0</v>
      </c>
      <c r="N408">
        <f t="shared" si="466"/>
        <v>1</v>
      </c>
      <c r="O408" t="str">
        <f>IFERROR(_xlfn.XLOOKUP(A408,HC!A:A,HC!C:C),"")</f>
        <v>Workforce</v>
      </c>
      <c r="R408" s="78" t="b">
        <f t="shared" ref="R408:AO408" si="487">IFERROR(IF($B408=$D$1,IF(AND($K408&lt;R$1,$L408&lt;R$1),"",IF(AND($K408&gt;S$1,$L408&gt;S$1),"",IF(AND($K408&lt;R$1,$L408&lt;=S$1),$L408-R$1,IF(AND($K408&gt;=R$1,$L408&gt;S$1),S$1-$K408,IF(AND($K408&gt;=R$1,$L408&lt;=S$1),$L408-$K408,IF(AND($K408&lt;R$1,$L408&gt;S$1),S$1-R$1,""))))))),"")</f>
        <v>0</v>
      </c>
      <c r="S408" s="78" t="b">
        <f t="shared" si="487"/>
        <v>0</v>
      </c>
      <c r="T408" s="78" t="b">
        <f t="shared" si="487"/>
        <v>0</v>
      </c>
      <c r="U408" s="78" t="b">
        <f t="shared" si="487"/>
        <v>0</v>
      </c>
      <c r="V408" s="78" t="b">
        <f t="shared" si="487"/>
        <v>0</v>
      </c>
      <c r="W408" s="78" t="b">
        <f t="shared" si="487"/>
        <v>0</v>
      </c>
      <c r="X408" s="78" t="b">
        <f t="shared" si="487"/>
        <v>0</v>
      </c>
      <c r="Y408" s="78" t="b">
        <f t="shared" si="487"/>
        <v>0</v>
      </c>
      <c r="Z408" s="78" t="b">
        <f t="shared" si="487"/>
        <v>0</v>
      </c>
      <c r="AA408" s="78" t="b">
        <f t="shared" si="487"/>
        <v>0</v>
      </c>
      <c r="AB408" s="78" t="b">
        <f t="shared" si="487"/>
        <v>0</v>
      </c>
      <c r="AC408" s="78" t="b">
        <f t="shared" si="487"/>
        <v>0</v>
      </c>
      <c r="AD408" s="78" t="b">
        <f t="shared" si="487"/>
        <v>0</v>
      </c>
      <c r="AE408" s="78" t="b">
        <f t="shared" si="487"/>
        <v>0</v>
      </c>
      <c r="AF408" s="78" t="b">
        <f t="shared" si="487"/>
        <v>0</v>
      </c>
      <c r="AG408" s="78" t="b">
        <f t="shared" si="487"/>
        <v>0</v>
      </c>
      <c r="AH408" s="78" t="b">
        <f t="shared" si="487"/>
        <v>0</v>
      </c>
      <c r="AI408" s="78" t="b">
        <f t="shared" si="487"/>
        <v>0</v>
      </c>
      <c r="AJ408" s="78" t="b">
        <f t="shared" si="487"/>
        <v>0</v>
      </c>
      <c r="AK408" s="78" t="b">
        <f t="shared" si="487"/>
        <v>0</v>
      </c>
      <c r="AL408" s="78" t="b">
        <f t="shared" si="487"/>
        <v>0</v>
      </c>
      <c r="AM408" s="78" t="b">
        <f t="shared" si="487"/>
        <v>0</v>
      </c>
      <c r="AN408" s="78" t="b">
        <f t="shared" si="487"/>
        <v>0</v>
      </c>
      <c r="AO408" s="78" t="b">
        <f t="shared" si="487"/>
        <v>0</v>
      </c>
      <c r="AP408" s="78"/>
    </row>
    <row r="409" spans="4:42" x14ac:dyDescent="0.35">
      <c r="D409" s="96"/>
      <c r="E409" s="96"/>
      <c r="G409" s="77">
        <f t="shared" si="459"/>
        <v>0</v>
      </c>
      <c r="H409" s="78">
        <f t="shared" si="460"/>
        <v>0</v>
      </c>
      <c r="I409" s="77">
        <f t="shared" si="461"/>
        <v>0</v>
      </c>
      <c r="J409" s="78">
        <f t="shared" si="462"/>
        <v>0</v>
      </c>
      <c r="K409" s="78" t="str">
        <f t="shared" si="463"/>
        <v>1900-01-00 00:0:00</v>
      </c>
      <c r="L409" s="78" t="str">
        <f t="shared" si="464"/>
        <v>1900-01-00 00:0:00</v>
      </c>
      <c r="M409" s="79">
        <f t="shared" si="465"/>
        <v>0</v>
      </c>
      <c r="N409">
        <f t="shared" si="466"/>
        <v>1</v>
      </c>
      <c r="O409" t="str">
        <f>IFERROR(_xlfn.XLOOKUP(A409,HC!A:A,HC!C:C),"")</f>
        <v>Workforce</v>
      </c>
      <c r="R409" s="78" t="b">
        <f t="shared" ref="R409:AO409" si="488">IFERROR(IF($B409=$D$1,IF(AND($K409&lt;R$1,$L409&lt;R$1),"",IF(AND($K409&gt;S$1,$L409&gt;S$1),"",IF(AND($K409&lt;R$1,$L409&lt;=S$1),$L409-R$1,IF(AND($K409&gt;=R$1,$L409&gt;S$1),S$1-$K409,IF(AND($K409&gt;=R$1,$L409&lt;=S$1),$L409-$K409,IF(AND($K409&lt;R$1,$L409&gt;S$1),S$1-R$1,""))))))),"")</f>
        <v>0</v>
      </c>
      <c r="S409" s="78" t="b">
        <f t="shared" si="488"/>
        <v>0</v>
      </c>
      <c r="T409" s="78" t="b">
        <f t="shared" si="488"/>
        <v>0</v>
      </c>
      <c r="U409" s="78" t="b">
        <f t="shared" si="488"/>
        <v>0</v>
      </c>
      <c r="V409" s="78" t="b">
        <f t="shared" si="488"/>
        <v>0</v>
      </c>
      <c r="W409" s="78" t="b">
        <f t="shared" si="488"/>
        <v>0</v>
      </c>
      <c r="X409" s="78" t="b">
        <f t="shared" si="488"/>
        <v>0</v>
      </c>
      <c r="Y409" s="78" t="b">
        <f t="shared" si="488"/>
        <v>0</v>
      </c>
      <c r="Z409" s="78" t="b">
        <f t="shared" si="488"/>
        <v>0</v>
      </c>
      <c r="AA409" s="78" t="b">
        <f t="shared" si="488"/>
        <v>0</v>
      </c>
      <c r="AB409" s="78" t="b">
        <f t="shared" si="488"/>
        <v>0</v>
      </c>
      <c r="AC409" s="78" t="b">
        <f t="shared" si="488"/>
        <v>0</v>
      </c>
      <c r="AD409" s="78" t="b">
        <f t="shared" si="488"/>
        <v>0</v>
      </c>
      <c r="AE409" s="78" t="b">
        <f t="shared" si="488"/>
        <v>0</v>
      </c>
      <c r="AF409" s="78" t="b">
        <f t="shared" si="488"/>
        <v>0</v>
      </c>
      <c r="AG409" s="78" t="b">
        <f t="shared" si="488"/>
        <v>0</v>
      </c>
      <c r="AH409" s="78" t="b">
        <f t="shared" si="488"/>
        <v>0</v>
      </c>
      <c r="AI409" s="78" t="b">
        <f t="shared" si="488"/>
        <v>0</v>
      </c>
      <c r="AJ409" s="78" t="b">
        <f t="shared" si="488"/>
        <v>0</v>
      </c>
      <c r="AK409" s="78" t="b">
        <f t="shared" si="488"/>
        <v>0</v>
      </c>
      <c r="AL409" s="78" t="b">
        <f t="shared" si="488"/>
        <v>0</v>
      </c>
      <c r="AM409" s="78" t="b">
        <f t="shared" si="488"/>
        <v>0</v>
      </c>
      <c r="AN409" s="78" t="b">
        <f t="shared" si="488"/>
        <v>0</v>
      </c>
      <c r="AO409" s="78" t="b">
        <f t="shared" si="488"/>
        <v>0</v>
      </c>
      <c r="AP409" s="78"/>
    </row>
    <row r="410" spans="4:42" x14ac:dyDescent="0.35">
      <c r="D410" s="96"/>
      <c r="E410" s="96"/>
      <c r="G410" s="77">
        <f t="shared" si="459"/>
        <v>0</v>
      </c>
      <c r="H410" s="78">
        <f t="shared" si="460"/>
        <v>0</v>
      </c>
      <c r="I410" s="77">
        <f t="shared" si="461"/>
        <v>0</v>
      </c>
      <c r="J410" s="78">
        <f t="shared" si="462"/>
        <v>0</v>
      </c>
      <c r="K410" s="78" t="str">
        <f t="shared" si="463"/>
        <v>1900-01-00 00:0:00</v>
      </c>
      <c r="L410" s="78" t="str">
        <f t="shared" si="464"/>
        <v>1900-01-00 00:0:00</v>
      </c>
      <c r="M410" s="79">
        <f t="shared" si="465"/>
        <v>0</v>
      </c>
      <c r="N410">
        <f t="shared" si="466"/>
        <v>1</v>
      </c>
      <c r="O410" t="str">
        <f>IFERROR(_xlfn.XLOOKUP(A410,HC!A:A,HC!C:C),"")</f>
        <v>Workforce</v>
      </c>
      <c r="R410" s="78" t="b">
        <f t="shared" ref="R410:AO410" si="489">IFERROR(IF($B410=$D$1,IF(AND($K410&lt;R$1,$L410&lt;R$1),"",IF(AND($K410&gt;S$1,$L410&gt;S$1),"",IF(AND($K410&lt;R$1,$L410&lt;=S$1),$L410-R$1,IF(AND($K410&gt;=R$1,$L410&gt;S$1),S$1-$K410,IF(AND($K410&gt;=R$1,$L410&lt;=S$1),$L410-$K410,IF(AND($K410&lt;R$1,$L410&gt;S$1),S$1-R$1,""))))))),"")</f>
        <v>0</v>
      </c>
      <c r="S410" s="78" t="b">
        <f t="shared" si="489"/>
        <v>0</v>
      </c>
      <c r="T410" s="78" t="b">
        <f t="shared" si="489"/>
        <v>0</v>
      </c>
      <c r="U410" s="78" t="b">
        <f t="shared" si="489"/>
        <v>0</v>
      </c>
      <c r="V410" s="78" t="b">
        <f t="shared" si="489"/>
        <v>0</v>
      </c>
      <c r="W410" s="78" t="b">
        <f t="shared" si="489"/>
        <v>0</v>
      </c>
      <c r="X410" s="78" t="b">
        <f t="shared" si="489"/>
        <v>0</v>
      </c>
      <c r="Y410" s="78" t="b">
        <f t="shared" si="489"/>
        <v>0</v>
      </c>
      <c r="Z410" s="78" t="b">
        <f t="shared" si="489"/>
        <v>0</v>
      </c>
      <c r="AA410" s="78" t="b">
        <f t="shared" si="489"/>
        <v>0</v>
      </c>
      <c r="AB410" s="78" t="b">
        <f t="shared" si="489"/>
        <v>0</v>
      </c>
      <c r="AC410" s="78" t="b">
        <f t="shared" si="489"/>
        <v>0</v>
      </c>
      <c r="AD410" s="78" t="b">
        <f t="shared" si="489"/>
        <v>0</v>
      </c>
      <c r="AE410" s="78" t="b">
        <f t="shared" si="489"/>
        <v>0</v>
      </c>
      <c r="AF410" s="78" t="b">
        <f t="shared" si="489"/>
        <v>0</v>
      </c>
      <c r="AG410" s="78" t="b">
        <f t="shared" si="489"/>
        <v>0</v>
      </c>
      <c r="AH410" s="78" t="b">
        <f t="shared" si="489"/>
        <v>0</v>
      </c>
      <c r="AI410" s="78" t="b">
        <f t="shared" si="489"/>
        <v>0</v>
      </c>
      <c r="AJ410" s="78" t="b">
        <f t="shared" si="489"/>
        <v>0</v>
      </c>
      <c r="AK410" s="78" t="b">
        <f t="shared" si="489"/>
        <v>0</v>
      </c>
      <c r="AL410" s="78" t="b">
        <f t="shared" si="489"/>
        <v>0</v>
      </c>
      <c r="AM410" s="78" t="b">
        <f t="shared" si="489"/>
        <v>0</v>
      </c>
      <c r="AN410" s="78" t="b">
        <f t="shared" si="489"/>
        <v>0</v>
      </c>
      <c r="AO410" s="78" t="b">
        <f t="shared" si="489"/>
        <v>0</v>
      </c>
      <c r="AP410" s="78"/>
    </row>
    <row r="411" spans="4:42" x14ac:dyDescent="0.35">
      <c r="D411" s="96"/>
      <c r="E411" s="96"/>
      <c r="G411" s="77">
        <f t="shared" si="459"/>
        <v>0</v>
      </c>
      <c r="H411" s="78">
        <f t="shared" si="460"/>
        <v>0</v>
      </c>
      <c r="I411" s="77">
        <f t="shared" si="461"/>
        <v>0</v>
      </c>
      <c r="J411" s="78">
        <f t="shared" si="462"/>
        <v>0</v>
      </c>
      <c r="K411" s="78" t="str">
        <f t="shared" si="463"/>
        <v>1900-01-00 00:0:00</v>
      </c>
      <c r="L411" s="78" t="str">
        <f t="shared" si="464"/>
        <v>1900-01-00 00:0:00</v>
      </c>
      <c r="M411" s="79">
        <f t="shared" si="465"/>
        <v>0</v>
      </c>
      <c r="N411">
        <f t="shared" si="466"/>
        <v>1</v>
      </c>
      <c r="O411" t="str">
        <f>IFERROR(_xlfn.XLOOKUP(A411,HC!A:A,HC!C:C),"")</f>
        <v>Workforce</v>
      </c>
      <c r="R411" s="78" t="b">
        <f t="shared" ref="R411:AO411" si="490">IFERROR(IF($B411=$D$1,IF(AND($K411&lt;R$1,$L411&lt;R$1),"",IF(AND($K411&gt;S$1,$L411&gt;S$1),"",IF(AND($K411&lt;R$1,$L411&lt;=S$1),$L411-R$1,IF(AND($K411&gt;=R$1,$L411&gt;S$1),S$1-$K411,IF(AND($K411&gt;=R$1,$L411&lt;=S$1),$L411-$K411,IF(AND($K411&lt;R$1,$L411&gt;S$1),S$1-R$1,""))))))),"")</f>
        <v>0</v>
      </c>
      <c r="S411" s="78" t="b">
        <f t="shared" si="490"/>
        <v>0</v>
      </c>
      <c r="T411" s="78" t="b">
        <f t="shared" si="490"/>
        <v>0</v>
      </c>
      <c r="U411" s="78" t="b">
        <f t="shared" si="490"/>
        <v>0</v>
      </c>
      <c r="V411" s="78" t="b">
        <f t="shared" si="490"/>
        <v>0</v>
      </c>
      <c r="W411" s="78" t="b">
        <f t="shared" si="490"/>
        <v>0</v>
      </c>
      <c r="X411" s="78" t="b">
        <f t="shared" si="490"/>
        <v>0</v>
      </c>
      <c r="Y411" s="78" t="b">
        <f t="shared" si="490"/>
        <v>0</v>
      </c>
      <c r="Z411" s="78" t="b">
        <f t="shared" si="490"/>
        <v>0</v>
      </c>
      <c r="AA411" s="78" t="b">
        <f t="shared" si="490"/>
        <v>0</v>
      </c>
      <c r="AB411" s="78" t="b">
        <f t="shared" si="490"/>
        <v>0</v>
      </c>
      <c r="AC411" s="78" t="b">
        <f t="shared" si="490"/>
        <v>0</v>
      </c>
      <c r="AD411" s="78" t="b">
        <f t="shared" si="490"/>
        <v>0</v>
      </c>
      <c r="AE411" s="78" t="b">
        <f t="shared" si="490"/>
        <v>0</v>
      </c>
      <c r="AF411" s="78" t="b">
        <f t="shared" si="490"/>
        <v>0</v>
      </c>
      <c r="AG411" s="78" t="b">
        <f t="shared" si="490"/>
        <v>0</v>
      </c>
      <c r="AH411" s="78" t="b">
        <f t="shared" si="490"/>
        <v>0</v>
      </c>
      <c r="AI411" s="78" t="b">
        <f t="shared" si="490"/>
        <v>0</v>
      </c>
      <c r="AJ411" s="78" t="b">
        <f t="shared" si="490"/>
        <v>0</v>
      </c>
      <c r="AK411" s="78" t="b">
        <f t="shared" si="490"/>
        <v>0</v>
      </c>
      <c r="AL411" s="78" t="b">
        <f t="shared" si="490"/>
        <v>0</v>
      </c>
      <c r="AM411" s="78" t="b">
        <f t="shared" si="490"/>
        <v>0</v>
      </c>
      <c r="AN411" s="78" t="b">
        <f t="shared" si="490"/>
        <v>0</v>
      </c>
      <c r="AO411" s="78" t="b">
        <f t="shared" si="490"/>
        <v>0</v>
      </c>
      <c r="AP411" s="78"/>
    </row>
    <row r="412" spans="4:42" x14ac:dyDescent="0.35">
      <c r="D412" s="96"/>
      <c r="E412" s="96"/>
      <c r="G412" s="77">
        <f t="shared" si="459"/>
        <v>0</v>
      </c>
      <c r="H412" s="78">
        <f t="shared" si="460"/>
        <v>0</v>
      </c>
      <c r="I412" s="77">
        <f t="shared" si="461"/>
        <v>0</v>
      </c>
      <c r="J412" s="78">
        <f t="shared" si="462"/>
        <v>0</v>
      </c>
      <c r="K412" s="78" t="str">
        <f t="shared" si="463"/>
        <v>1900-01-00 00:0:00</v>
      </c>
      <c r="L412" s="78" t="str">
        <f t="shared" si="464"/>
        <v>1900-01-00 00:0:00</v>
      </c>
      <c r="M412" s="79">
        <f t="shared" si="465"/>
        <v>0</v>
      </c>
      <c r="N412">
        <f t="shared" si="466"/>
        <v>1</v>
      </c>
      <c r="O412" t="str">
        <f>IFERROR(_xlfn.XLOOKUP(A412,HC!A:A,HC!C:C),"")</f>
        <v>Workforce</v>
      </c>
      <c r="R412" s="78" t="b">
        <f t="shared" ref="R412:AO412" si="491">IFERROR(IF($B412=$D$1,IF(AND($K412&lt;R$1,$L412&lt;R$1),"",IF(AND($K412&gt;S$1,$L412&gt;S$1),"",IF(AND($K412&lt;R$1,$L412&lt;=S$1),$L412-R$1,IF(AND($K412&gt;=R$1,$L412&gt;S$1),S$1-$K412,IF(AND($K412&gt;=R$1,$L412&lt;=S$1),$L412-$K412,IF(AND($K412&lt;R$1,$L412&gt;S$1),S$1-R$1,""))))))),"")</f>
        <v>0</v>
      </c>
      <c r="S412" s="78" t="b">
        <f t="shared" si="491"/>
        <v>0</v>
      </c>
      <c r="T412" s="78" t="b">
        <f t="shared" si="491"/>
        <v>0</v>
      </c>
      <c r="U412" s="78" t="b">
        <f t="shared" si="491"/>
        <v>0</v>
      </c>
      <c r="V412" s="78" t="b">
        <f t="shared" si="491"/>
        <v>0</v>
      </c>
      <c r="W412" s="78" t="b">
        <f t="shared" si="491"/>
        <v>0</v>
      </c>
      <c r="X412" s="78" t="b">
        <f t="shared" si="491"/>
        <v>0</v>
      </c>
      <c r="Y412" s="78" t="b">
        <f t="shared" si="491"/>
        <v>0</v>
      </c>
      <c r="Z412" s="78" t="b">
        <f t="shared" si="491"/>
        <v>0</v>
      </c>
      <c r="AA412" s="78" t="b">
        <f t="shared" si="491"/>
        <v>0</v>
      </c>
      <c r="AB412" s="78" t="b">
        <f t="shared" si="491"/>
        <v>0</v>
      </c>
      <c r="AC412" s="78" t="b">
        <f t="shared" si="491"/>
        <v>0</v>
      </c>
      <c r="AD412" s="78" t="b">
        <f t="shared" si="491"/>
        <v>0</v>
      </c>
      <c r="AE412" s="78" t="b">
        <f t="shared" si="491"/>
        <v>0</v>
      </c>
      <c r="AF412" s="78" t="b">
        <f t="shared" si="491"/>
        <v>0</v>
      </c>
      <c r="AG412" s="78" t="b">
        <f t="shared" si="491"/>
        <v>0</v>
      </c>
      <c r="AH412" s="78" t="b">
        <f t="shared" si="491"/>
        <v>0</v>
      </c>
      <c r="AI412" s="78" t="b">
        <f t="shared" si="491"/>
        <v>0</v>
      </c>
      <c r="AJ412" s="78" t="b">
        <f t="shared" si="491"/>
        <v>0</v>
      </c>
      <c r="AK412" s="78" t="b">
        <f t="shared" si="491"/>
        <v>0</v>
      </c>
      <c r="AL412" s="78" t="b">
        <f t="shared" si="491"/>
        <v>0</v>
      </c>
      <c r="AM412" s="78" t="b">
        <f t="shared" si="491"/>
        <v>0</v>
      </c>
      <c r="AN412" s="78" t="b">
        <f t="shared" si="491"/>
        <v>0</v>
      </c>
      <c r="AO412" s="78" t="b">
        <f t="shared" si="491"/>
        <v>0</v>
      </c>
      <c r="AP412" s="78"/>
    </row>
    <row r="413" spans="4:42" x14ac:dyDescent="0.35">
      <c r="D413" s="96"/>
      <c r="E413" s="96"/>
      <c r="G413" s="77">
        <f t="shared" si="459"/>
        <v>0</v>
      </c>
      <c r="H413" s="78">
        <f t="shared" si="460"/>
        <v>0</v>
      </c>
      <c r="I413" s="77">
        <f t="shared" si="461"/>
        <v>0</v>
      </c>
      <c r="J413" s="78">
        <f t="shared" si="462"/>
        <v>0</v>
      </c>
      <c r="K413" s="78" t="str">
        <f t="shared" si="463"/>
        <v>1900-01-00 00:0:00</v>
      </c>
      <c r="L413" s="78" t="str">
        <f t="shared" si="464"/>
        <v>1900-01-00 00:0:00</v>
      </c>
      <c r="M413" s="79">
        <f t="shared" si="465"/>
        <v>0</v>
      </c>
      <c r="N413">
        <f t="shared" si="466"/>
        <v>1</v>
      </c>
      <c r="O413" t="str">
        <f>IFERROR(_xlfn.XLOOKUP(A413,HC!A:A,HC!C:C),"")</f>
        <v>Workforce</v>
      </c>
      <c r="R413" s="78" t="b">
        <f t="shared" ref="R413:AO413" si="492">IFERROR(IF($B413=$D$1,IF(AND($K413&lt;R$1,$L413&lt;R$1),"",IF(AND($K413&gt;S$1,$L413&gt;S$1),"",IF(AND($K413&lt;R$1,$L413&lt;=S$1),$L413-R$1,IF(AND($K413&gt;=R$1,$L413&gt;S$1),S$1-$K413,IF(AND($K413&gt;=R$1,$L413&lt;=S$1),$L413-$K413,IF(AND($K413&lt;R$1,$L413&gt;S$1),S$1-R$1,""))))))),"")</f>
        <v>0</v>
      </c>
      <c r="S413" s="78" t="b">
        <f t="shared" si="492"/>
        <v>0</v>
      </c>
      <c r="T413" s="78" t="b">
        <f t="shared" si="492"/>
        <v>0</v>
      </c>
      <c r="U413" s="78" t="b">
        <f t="shared" si="492"/>
        <v>0</v>
      </c>
      <c r="V413" s="78" t="b">
        <f t="shared" si="492"/>
        <v>0</v>
      </c>
      <c r="W413" s="78" t="b">
        <f t="shared" si="492"/>
        <v>0</v>
      </c>
      <c r="X413" s="78" t="b">
        <f t="shared" si="492"/>
        <v>0</v>
      </c>
      <c r="Y413" s="78" t="b">
        <f t="shared" si="492"/>
        <v>0</v>
      </c>
      <c r="Z413" s="78" t="b">
        <f t="shared" si="492"/>
        <v>0</v>
      </c>
      <c r="AA413" s="78" t="b">
        <f t="shared" si="492"/>
        <v>0</v>
      </c>
      <c r="AB413" s="78" t="b">
        <f t="shared" si="492"/>
        <v>0</v>
      </c>
      <c r="AC413" s="78" t="b">
        <f t="shared" si="492"/>
        <v>0</v>
      </c>
      <c r="AD413" s="78" t="b">
        <f t="shared" si="492"/>
        <v>0</v>
      </c>
      <c r="AE413" s="78" t="b">
        <f t="shared" si="492"/>
        <v>0</v>
      </c>
      <c r="AF413" s="78" t="b">
        <f t="shared" si="492"/>
        <v>0</v>
      </c>
      <c r="AG413" s="78" t="b">
        <f t="shared" si="492"/>
        <v>0</v>
      </c>
      <c r="AH413" s="78" t="b">
        <f t="shared" si="492"/>
        <v>0</v>
      </c>
      <c r="AI413" s="78" t="b">
        <f t="shared" si="492"/>
        <v>0</v>
      </c>
      <c r="AJ413" s="78" t="b">
        <f t="shared" si="492"/>
        <v>0</v>
      </c>
      <c r="AK413" s="78" t="b">
        <f t="shared" si="492"/>
        <v>0</v>
      </c>
      <c r="AL413" s="78" t="b">
        <f t="shared" si="492"/>
        <v>0</v>
      </c>
      <c r="AM413" s="78" t="b">
        <f t="shared" si="492"/>
        <v>0</v>
      </c>
      <c r="AN413" s="78" t="b">
        <f t="shared" si="492"/>
        <v>0</v>
      </c>
      <c r="AO413" s="78" t="b">
        <f t="shared" si="492"/>
        <v>0</v>
      </c>
      <c r="AP413" s="78"/>
    </row>
    <row r="414" spans="4:42" x14ac:dyDescent="0.35">
      <c r="D414" s="96"/>
      <c r="E414" s="96"/>
      <c r="G414" s="77">
        <f t="shared" si="459"/>
        <v>0</v>
      </c>
      <c r="H414" s="78">
        <f t="shared" si="460"/>
        <v>0</v>
      </c>
      <c r="I414" s="77">
        <f t="shared" si="461"/>
        <v>0</v>
      </c>
      <c r="J414" s="78">
        <f t="shared" si="462"/>
        <v>0</v>
      </c>
      <c r="K414" s="78" t="str">
        <f t="shared" si="463"/>
        <v>1900-01-00 00:0:00</v>
      </c>
      <c r="L414" s="78" t="str">
        <f t="shared" si="464"/>
        <v>1900-01-00 00:0:00</v>
      </c>
      <c r="M414" s="79">
        <f t="shared" si="465"/>
        <v>0</v>
      </c>
      <c r="N414">
        <f t="shared" si="466"/>
        <v>1</v>
      </c>
      <c r="O414" t="str">
        <f>IFERROR(_xlfn.XLOOKUP(A414,HC!A:A,HC!C:C),"")</f>
        <v>Workforce</v>
      </c>
      <c r="R414" s="78" t="b">
        <f t="shared" ref="R414:AO414" si="493">IFERROR(IF($B414=$D$1,IF(AND($K414&lt;R$1,$L414&lt;R$1),"",IF(AND($K414&gt;S$1,$L414&gt;S$1),"",IF(AND($K414&lt;R$1,$L414&lt;=S$1),$L414-R$1,IF(AND($K414&gt;=R$1,$L414&gt;S$1),S$1-$K414,IF(AND($K414&gt;=R$1,$L414&lt;=S$1),$L414-$K414,IF(AND($K414&lt;R$1,$L414&gt;S$1),S$1-R$1,""))))))),"")</f>
        <v>0</v>
      </c>
      <c r="S414" s="78" t="b">
        <f t="shared" si="493"/>
        <v>0</v>
      </c>
      <c r="T414" s="78" t="b">
        <f t="shared" si="493"/>
        <v>0</v>
      </c>
      <c r="U414" s="78" t="b">
        <f t="shared" si="493"/>
        <v>0</v>
      </c>
      <c r="V414" s="78" t="b">
        <f t="shared" si="493"/>
        <v>0</v>
      </c>
      <c r="W414" s="78" t="b">
        <f t="shared" si="493"/>
        <v>0</v>
      </c>
      <c r="X414" s="78" t="b">
        <f t="shared" si="493"/>
        <v>0</v>
      </c>
      <c r="Y414" s="78" t="b">
        <f t="shared" si="493"/>
        <v>0</v>
      </c>
      <c r="Z414" s="78" t="b">
        <f t="shared" si="493"/>
        <v>0</v>
      </c>
      <c r="AA414" s="78" t="b">
        <f t="shared" si="493"/>
        <v>0</v>
      </c>
      <c r="AB414" s="78" t="b">
        <f t="shared" si="493"/>
        <v>0</v>
      </c>
      <c r="AC414" s="78" t="b">
        <f t="shared" si="493"/>
        <v>0</v>
      </c>
      <c r="AD414" s="78" t="b">
        <f t="shared" si="493"/>
        <v>0</v>
      </c>
      <c r="AE414" s="78" t="b">
        <f t="shared" si="493"/>
        <v>0</v>
      </c>
      <c r="AF414" s="78" t="b">
        <f t="shared" si="493"/>
        <v>0</v>
      </c>
      <c r="AG414" s="78" t="b">
        <f t="shared" si="493"/>
        <v>0</v>
      </c>
      <c r="AH414" s="78" t="b">
        <f t="shared" si="493"/>
        <v>0</v>
      </c>
      <c r="AI414" s="78" t="b">
        <f t="shared" si="493"/>
        <v>0</v>
      </c>
      <c r="AJ414" s="78" t="b">
        <f t="shared" si="493"/>
        <v>0</v>
      </c>
      <c r="AK414" s="78" t="b">
        <f t="shared" si="493"/>
        <v>0</v>
      </c>
      <c r="AL414" s="78" t="b">
        <f t="shared" si="493"/>
        <v>0</v>
      </c>
      <c r="AM414" s="78" t="b">
        <f t="shared" si="493"/>
        <v>0</v>
      </c>
      <c r="AN414" s="78" t="b">
        <f t="shared" si="493"/>
        <v>0</v>
      </c>
      <c r="AO414" s="78" t="b">
        <f t="shared" si="493"/>
        <v>0</v>
      </c>
      <c r="AP414" s="78"/>
    </row>
    <row r="415" spans="4:42" x14ac:dyDescent="0.35">
      <c r="D415" s="96"/>
      <c r="E415" s="96"/>
      <c r="G415" s="77">
        <f t="shared" si="459"/>
        <v>0</v>
      </c>
      <c r="H415" s="78">
        <f t="shared" si="460"/>
        <v>0</v>
      </c>
      <c r="I415" s="77">
        <f t="shared" si="461"/>
        <v>0</v>
      </c>
      <c r="J415" s="78">
        <f t="shared" si="462"/>
        <v>0</v>
      </c>
      <c r="K415" s="78" t="str">
        <f t="shared" si="463"/>
        <v>1900-01-00 00:0:00</v>
      </c>
      <c r="L415" s="78" t="str">
        <f t="shared" si="464"/>
        <v>1900-01-00 00:0:00</v>
      </c>
      <c r="M415" s="79">
        <f t="shared" si="465"/>
        <v>0</v>
      </c>
      <c r="N415">
        <f t="shared" si="466"/>
        <v>1</v>
      </c>
      <c r="O415" t="str">
        <f>IFERROR(_xlfn.XLOOKUP(A415,HC!A:A,HC!C:C),"")</f>
        <v>Workforce</v>
      </c>
      <c r="R415" s="78" t="b">
        <f t="shared" ref="R415:AO415" si="494">IFERROR(IF($B415=$D$1,IF(AND($K415&lt;R$1,$L415&lt;R$1),"",IF(AND($K415&gt;S$1,$L415&gt;S$1),"",IF(AND($K415&lt;R$1,$L415&lt;=S$1),$L415-R$1,IF(AND($K415&gt;=R$1,$L415&gt;S$1),S$1-$K415,IF(AND($K415&gt;=R$1,$L415&lt;=S$1),$L415-$K415,IF(AND($K415&lt;R$1,$L415&gt;S$1),S$1-R$1,""))))))),"")</f>
        <v>0</v>
      </c>
      <c r="S415" s="78" t="b">
        <f t="shared" si="494"/>
        <v>0</v>
      </c>
      <c r="T415" s="78" t="b">
        <f t="shared" si="494"/>
        <v>0</v>
      </c>
      <c r="U415" s="78" t="b">
        <f t="shared" si="494"/>
        <v>0</v>
      </c>
      <c r="V415" s="78" t="b">
        <f t="shared" si="494"/>
        <v>0</v>
      </c>
      <c r="W415" s="78" t="b">
        <f t="shared" si="494"/>
        <v>0</v>
      </c>
      <c r="X415" s="78" t="b">
        <f t="shared" si="494"/>
        <v>0</v>
      </c>
      <c r="Y415" s="78" t="b">
        <f t="shared" si="494"/>
        <v>0</v>
      </c>
      <c r="Z415" s="78" t="b">
        <f t="shared" si="494"/>
        <v>0</v>
      </c>
      <c r="AA415" s="78" t="b">
        <f t="shared" si="494"/>
        <v>0</v>
      </c>
      <c r="AB415" s="78" t="b">
        <f t="shared" si="494"/>
        <v>0</v>
      </c>
      <c r="AC415" s="78" t="b">
        <f t="shared" si="494"/>
        <v>0</v>
      </c>
      <c r="AD415" s="78" t="b">
        <f t="shared" si="494"/>
        <v>0</v>
      </c>
      <c r="AE415" s="78" t="b">
        <f t="shared" si="494"/>
        <v>0</v>
      </c>
      <c r="AF415" s="78" t="b">
        <f t="shared" si="494"/>
        <v>0</v>
      </c>
      <c r="AG415" s="78" t="b">
        <f t="shared" si="494"/>
        <v>0</v>
      </c>
      <c r="AH415" s="78" t="b">
        <f t="shared" si="494"/>
        <v>0</v>
      </c>
      <c r="AI415" s="78" t="b">
        <f t="shared" si="494"/>
        <v>0</v>
      </c>
      <c r="AJ415" s="78" t="b">
        <f t="shared" si="494"/>
        <v>0</v>
      </c>
      <c r="AK415" s="78" t="b">
        <f t="shared" si="494"/>
        <v>0</v>
      </c>
      <c r="AL415" s="78" t="b">
        <f t="shared" si="494"/>
        <v>0</v>
      </c>
      <c r="AM415" s="78" t="b">
        <f t="shared" si="494"/>
        <v>0</v>
      </c>
      <c r="AN415" s="78" t="b">
        <f t="shared" si="494"/>
        <v>0</v>
      </c>
      <c r="AO415" s="78" t="b">
        <f t="shared" si="494"/>
        <v>0</v>
      </c>
      <c r="AP415" s="78"/>
    </row>
    <row r="416" spans="4:42" x14ac:dyDescent="0.35">
      <c r="D416" s="96"/>
      <c r="E416" s="96"/>
      <c r="G416" s="77">
        <f t="shared" si="459"/>
        <v>0</v>
      </c>
      <c r="H416" s="78">
        <f t="shared" si="460"/>
        <v>0</v>
      </c>
      <c r="I416" s="77">
        <f t="shared" si="461"/>
        <v>0</v>
      </c>
      <c r="J416" s="78">
        <f t="shared" si="462"/>
        <v>0</v>
      </c>
      <c r="K416" s="78" t="str">
        <f t="shared" si="463"/>
        <v>1900-01-00 00:0:00</v>
      </c>
      <c r="L416" s="78" t="str">
        <f t="shared" si="464"/>
        <v>1900-01-00 00:0:00</v>
      </c>
      <c r="M416" s="79">
        <f t="shared" si="465"/>
        <v>0</v>
      </c>
      <c r="N416">
        <f t="shared" si="466"/>
        <v>1</v>
      </c>
      <c r="O416" t="str">
        <f>IFERROR(_xlfn.XLOOKUP(A416,HC!A:A,HC!C:C),"")</f>
        <v>Workforce</v>
      </c>
      <c r="R416" s="78" t="b">
        <f t="shared" ref="R416:AO416" si="495">IFERROR(IF($B416=$D$1,IF(AND($K416&lt;R$1,$L416&lt;R$1),"",IF(AND($K416&gt;S$1,$L416&gt;S$1),"",IF(AND($K416&lt;R$1,$L416&lt;=S$1),$L416-R$1,IF(AND($K416&gt;=R$1,$L416&gt;S$1),S$1-$K416,IF(AND($K416&gt;=R$1,$L416&lt;=S$1),$L416-$K416,IF(AND($K416&lt;R$1,$L416&gt;S$1),S$1-R$1,""))))))),"")</f>
        <v>0</v>
      </c>
      <c r="S416" s="78" t="b">
        <f t="shared" si="495"/>
        <v>0</v>
      </c>
      <c r="T416" s="78" t="b">
        <f t="shared" si="495"/>
        <v>0</v>
      </c>
      <c r="U416" s="78" t="b">
        <f t="shared" si="495"/>
        <v>0</v>
      </c>
      <c r="V416" s="78" t="b">
        <f t="shared" si="495"/>
        <v>0</v>
      </c>
      <c r="W416" s="78" t="b">
        <f t="shared" si="495"/>
        <v>0</v>
      </c>
      <c r="X416" s="78" t="b">
        <f t="shared" si="495"/>
        <v>0</v>
      </c>
      <c r="Y416" s="78" t="b">
        <f t="shared" si="495"/>
        <v>0</v>
      </c>
      <c r="Z416" s="78" t="b">
        <f t="shared" si="495"/>
        <v>0</v>
      </c>
      <c r="AA416" s="78" t="b">
        <f t="shared" si="495"/>
        <v>0</v>
      </c>
      <c r="AB416" s="78" t="b">
        <f t="shared" si="495"/>
        <v>0</v>
      </c>
      <c r="AC416" s="78" t="b">
        <f t="shared" si="495"/>
        <v>0</v>
      </c>
      <c r="AD416" s="78" t="b">
        <f t="shared" si="495"/>
        <v>0</v>
      </c>
      <c r="AE416" s="78" t="b">
        <f t="shared" si="495"/>
        <v>0</v>
      </c>
      <c r="AF416" s="78" t="b">
        <f t="shared" si="495"/>
        <v>0</v>
      </c>
      <c r="AG416" s="78" t="b">
        <f t="shared" si="495"/>
        <v>0</v>
      </c>
      <c r="AH416" s="78" t="b">
        <f t="shared" si="495"/>
        <v>0</v>
      </c>
      <c r="AI416" s="78" t="b">
        <f t="shared" si="495"/>
        <v>0</v>
      </c>
      <c r="AJ416" s="78" t="b">
        <f t="shared" si="495"/>
        <v>0</v>
      </c>
      <c r="AK416" s="78" t="b">
        <f t="shared" si="495"/>
        <v>0</v>
      </c>
      <c r="AL416" s="78" t="b">
        <f t="shared" si="495"/>
        <v>0</v>
      </c>
      <c r="AM416" s="78" t="b">
        <f t="shared" si="495"/>
        <v>0</v>
      </c>
      <c r="AN416" s="78" t="b">
        <f t="shared" si="495"/>
        <v>0</v>
      </c>
      <c r="AO416" s="78" t="b">
        <f t="shared" si="495"/>
        <v>0</v>
      </c>
      <c r="AP416" s="78"/>
    </row>
    <row r="417" spans="4:42" x14ac:dyDescent="0.35">
      <c r="D417" s="96"/>
      <c r="E417" s="96"/>
      <c r="G417" s="77">
        <f t="shared" si="459"/>
        <v>0</v>
      </c>
      <c r="H417" s="78">
        <f t="shared" si="460"/>
        <v>0</v>
      </c>
      <c r="I417" s="77">
        <f t="shared" si="461"/>
        <v>0</v>
      </c>
      <c r="J417" s="78">
        <f t="shared" si="462"/>
        <v>0</v>
      </c>
      <c r="K417" s="78" t="str">
        <f t="shared" si="463"/>
        <v>1900-01-00 00:0:00</v>
      </c>
      <c r="L417" s="78" t="str">
        <f t="shared" si="464"/>
        <v>1900-01-00 00:0:00</v>
      </c>
      <c r="M417" s="79">
        <f t="shared" si="465"/>
        <v>0</v>
      </c>
      <c r="N417">
        <f t="shared" si="466"/>
        <v>1</v>
      </c>
      <c r="O417" t="str">
        <f>IFERROR(_xlfn.XLOOKUP(A417,HC!A:A,HC!C:C),"")</f>
        <v>Workforce</v>
      </c>
      <c r="R417" s="78" t="b">
        <f t="shared" ref="R417:AO417" si="496">IFERROR(IF($B417=$D$1,IF(AND($K417&lt;R$1,$L417&lt;R$1),"",IF(AND($K417&gt;S$1,$L417&gt;S$1),"",IF(AND($K417&lt;R$1,$L417&lt;=S$1),$L417-R$1,IF(AND($K417&gt;=R$1,$L417&gt;S$1),S$1-$K417,IF(AND($K417&gt;=R$1,$L417&lt;=S$1),$L417-$K417,IF(AND($K417&lt;R$1,$L417&gt;S$1),S$1-R$1,""))))))),"")</f>
        <v>0</v>
      </c>
      <c r="S417" s="78" t="b">
        <f t="shared" si="496"/>
        <v>0</v>
      </c>
      <c r="T417" s="78" t="b">
        <f t="shared" si="496"/>
        <v>0</v>
      </c>
      <c r="U417" s="78" t="b">
        <f t="shared" si="496"/>
        <v>0</v>
      </c>
      <c r="V417" s="78" t="b">
        <f t="shared" si="496"/>
        <v>0</v>
      </c>
      <c r="W417" s="78" t="b">
        <f t="shared" si="496"/>
        <v>0</v>
      </c>
      <c r="X417" s="78" t="b">
        <f t="shared" si="496"/>
        <v>0</v>
      </c>
      <c r="Y417" s="78" t="b">
        <f t="shared" si="496"/>
        <v>0</v>
      </c>
      <c r="Z417" s="78" t="b">
        <f t="shared" si="496"/>
        <v>0</v>
      </c>
      <c r="AA417" s="78" t="b">
        <f t="shared" si="496"/>
        <v>0</v>
      </c>
      <c r="AB417" s="78" t="b">
        <f t="shared" si="496"/>
        <v>0</v>
      </c>
      <c r="AC417" s="78" t="b">
        <f t="shared" si="496"/>
        <v>0</v>
      </c>
      <c r="AD417" s="78" t="b">
        <f t="shared" si="496"/>
        <v>0</v>
      </c>
      <c r="AE417" s="78" t="b">
        <f t="shared" si="496"/>
        <v>0</v>
      </c>
      <c r="AF417" s="78" t="b">
        <f t="shared" si="496"/>
        <v>0</v>
      </c>
      <c r="AG417" s="78" t="b">
        <f t="shared" si="496"/>
        <v>0</v>
      </c>
      <c r="AH417" s="78" t="b">
        <f t="shared" si="496"/>
        <v>0</v>
      </c>
      <c r="AI417" s="78" t="b">
        <f t="shared" si="496"/>
        <v>0</v>
      </c>
      <c r="AJ417" s="78" t="b">
        <f t="shared" si="496"/>
        <v>0</v>
      </c>
      <c r="AK417" s="78" t="b">
        <f t="shared" si="496"/>
        <v>0</v>
      </c>
      <c r="AL417" s="78" t="b">
        <f t="shared" si="496"/>
        <v>0</v>
      </c>
      <c r="AM417" s="78" t="b">
        <f t="shared" si="496"/>
        <v>0</v>
      </c>
      <c r="AN417" s="78" t="b">
        <f t="shared" si="496"/>
        <v>0</v>
      </c>
      <c r="AO417" s="78" t="b">
        <f t="shared" si="496"/>
        <v>0</v>
      </c>
      <c r="AP417" s="78"/>
    </row>
    <row r="418" spans="4:42" x14ac:dyDescent="0.35">
      <c r="D418" s="96"/>
      <c r="E418" s="96"/>
      <c r="G418" s="77">
        <f t="shared" si="459"/>
        <v>0</v>
      </c>
      <c r="H418" s="78">
        <f t="shared" si="460"/>
        <v>0</v>
      </c>
      <c r="I418" s="77">
        <f t="shared" si="461"/>
        <v>0</v>
      </c>
      <c r="J418" s="78">
        <f t="shared" si="462"/>
        <v>0</v>
      </c>
      <c r="K418" s="78" t="str">
        <f t="shared" si="463"/>
        <v>1900-01-00 00:0:00</v>
      </c>
      <c r="L418" s="78" t="str">
        <f t="shared" si="464"/>
        <v>1900-01-00 00:0:00</v>
      </c>
      <c r="M418" s="79">
        <f t="shared" si="465"/>
        <v>0</v>
      </c>
      <c r="N418">
        <f t="shared" si="466"/>
        <v>1</v>
      </c>
      <c r="O418" t="str">
        <f>IFERROR(_xlfn.XLOOKUP(A418,HC!A:A,HC!C:C),"")</f>
        <v>Workforce</v>
      </c>
      <c r="R418" s="78" t="b">
        <f t="shared" ref="R418:AO418" si="497">IFERROR(IF($B418=$D$1,IF(AND($K418&lt;R$1,$L418&lt;R$1),"",IF(AND($K418&gt;S$1,$L418&gt;S$1),"",IF(AND($K418&lt;R$1,$L418&lt;=S$1),$L418-R$1,IF(AND($K418&gt;=R$1,$L418&gt;S$1),S$1-$K418,IF(AND($K418&gt;=R$1,$L418&lt;=S$1),$L418-$K418,IF(AND($K418&lt;R$1,$L418&gt;S$1),S$1-R$1,""))))))),"")</f>
        <v>0</v>
      </c>
      <c r="S418" s="78" t="b">
        <f t="shared" si="497"/>
        <v>0</v>
      </c>
      <c r="T418" s="78" t="b">
        <f t="shared" si="497"/>
        <v>0</v>
      </c>
      <c r="U418" s="78" t="b">
        <f t="shared" si="497"/>
        <v>0</v>
      </c>
      <c r="V418" s="78" t="b">
        <f t="shared" si="497"/>
        <v>0</v>
      </c>
      <c r="W418" s="78" t="b">
        <f t="shared" si="497"/>
        <v>0</v>
      </c>
      <c r="X418" s="78" t="b">
        <f t="shared" si="497"/>
        <v>0</v>
      </c>
      <c r="Y418" s="78" t="b">
        <f t="shared" si="497"/>
        <v>0</v>
      </c>
      <c r="Z418" s="78" t="b">
        <f t="shared" si="497"/>
        <v>0</v>
      </c>
      <c r="AA418" s="78" t="b">
        <f t="shared" si="497"/>
        <v>0</v>
      </c>
      <c r="AB418" s="78" t="b">
        <f t="shared" si="497"/>
        <v>0</v>
      </c>
      <c r="AC418" s="78" t="b">
        <f t="shared" si="497"/>
        <v>0</v>
      </c>
      <c r="AD418" s="78" t="b">
        <f t="shared" si="497"/>
        <v>0</v>
      </c>
      <c r="AE418" s="78" t="b">
        <f t="shared" si="497"/>
        <v>0</v>
      </c>
      <c r="AF418" s="78" t="b">
        <f t="shared" si="497"/>
        <v>0</v>
      </c>
      <c r="AG418" s="78" t="b">
        <f t="shared" si="497"/>
        <v>0</v>
      </c>
      <c r="AH418" s="78" t="b">
        <f t="shared" si="497"/>
        <v>0</v>
      </c>
      <c r="AI418" s="78" t="b">
        <f t="shared" si="497"/>
        <v>0</v>
      </c>
      <c r="AJ418" s="78" t="b">
        <f t="shared" si="497"/>
        <v>0</v>
      </c>
      <c r="AK418" s="78" t="b">
        <f t="shared" si="497"/>
        <v>0</v>
      </c>
      <c r="AL418" s="78" t="b">
        <f t="shared" si="497"/>
        <v>0</v>
      </c>
      <c r="AM418" s="78" t="b">
        <f t="shared" si="497"/>
        <v>0</v>
      </c>
      <c r="AN418" s="78" t="b">
        <f t="shared" si="497"/>
        <v>0</v>
      </c>
      <c r="AO418" s="78" t="b">
        <f t="shared" si="497"/>
        <v>0</v>
      </c>
      <c r="AP418" s="78"/>
    </row>
    <row r="419" spans="4:42" x14ac:dyDescent="0.35">
      <c r="D419" s="96"/>
      <c r="E419" s="96"/>
      <c r="G419" s="77">
        <f t="shared" si="459"/>
        <v>0</v>
      </c>
      <c r="H419" s="78">
        <f t="shared" si="460"/>
        <v>0</v>
      </c>
      <c r="I419" s="77">
        <f t="shared" si="461"/>
        <v>0</v>
      </c>
      <c r="J419" s="78">
        <f t="shared" si="462"/>
        <v>0</v>
      </c>
      <c r="K419" s="78" t="str">
        <f t="shared" si="463"/>
        <v>1900-01-00 00:0:00</v>
      </c>
      <c r="L419" s="78" t="str">
        <f t="shared" si="464"/>
        <v>1900-01-00 00:0:00</v>
      </c>
      <c r="M419" s="79">
        <f t="shared" si="465"/>
        <v>0</v>
      </c>
      <c r="N419">
        <f t="shared" si="466"/>
        <v>1</v>
      </c>
      <c r="O419" t="str">
        <f>IFERROR(_xlfn.XLOOKUP(A419,HC!A:A,HC!C:C),"")</f>
        <v>Workforce</v>
      </c>
      <c r="R419" s="78" t="b">
        <f t="shared" ref="R419:AO419" si="498">IFERROR(IF($B419=$D$1,IF(AND($K419&lt;R$1,$L419&lt;R$1),"",IF(AND($K419&gt;S$1,$L419&gt;S$1),"",IF(AND($K419&lt;R$1,$L419&lt;=S$1),$L419-R$1,IF(AND($K419&gt;=R$1,$L419&gt;S$1),S$1-$K419,IF(AND($K419&gt;=R$1,$L419&lt;=S$1),$L419-$K419,IF(AND($K419&lt;R$1,$L419&gt;S$1),S$1-R$1,""))))))),"")</f>
        <v>0</v>
      </c>
      <c r="S419" s="78" t="b">
        <f t="shared" si="498"/>
        <v>0</v>
      </c>
      <c r="T419" s="78" t="b">
        <f t="shared" si="498"/>
        <v>0</v>
      </c>
      <c r="U419" s="78" t="b">
        <f t="shared" si="498"/>
        <v>0</v>
      </c>
      <c r="V419" s="78" t="b">
        <f t="shared" si="498"/>
        <v>0</v>
      </c>
      <c r="W419" s="78" t="b">
        <f t="shared" si="498"/>
        <v>0</v>
      </c>
      <c r="X419" s="78" t="b">
        <f t="shared" si="498"/>
        <v>0</v>
      </c>
      <c r="Y419" s="78" t="b">
        <f t="shared" si="498"/>
        <v>0</v>
      </c>
      <c r="Z419" s="78" t="b">
        <f t="shared" si="498"/>
        <v>0</v>
      </c>
      <c r="AA419" s="78" t="b">
        <f t="shared" si="498"/>
        <v>0</v>
      </c>
      <c r="AB419" s="78" t="b">
        <f t="shared" si="498"/>
        <v>0</v>
      </c>
      <c r="AC419" s="78" t="b">
        <f t="shared" si="498"/>
        <v>0</v>
      </c>
      <c r="AD419" s="78" t="b">
        <f t="shared" si="498"/>
        <v>0</v>
      </c>
      <c r="AE419" s="78" t="b">
        <f t="shared" si="498"/>
        <v>0</v>
      </c>
      <c r="AF419" s="78" t="b">
        <f t="shared" si="498"/>
        <v>0</v>
      </c>
      <c r="AG419" s="78" t="b">
        <f t="shared" si="498"/>
        <v>0</v>
      </c>
      <c r="AH419" s="78" t="b">
        <f t="shared" si="498"/>
        <v>0</v>
      </c>
      <c r="AI419" s="78" t="b">
        <f t="shared" si="498"/>
        <v>0</v>
      </c>
      <c r="AJ419" s="78" t="b">
        <f t="shared" si="498"/>
        <v>0</v>
      </c>
      <c r="AK419" s="78" t="b">
        <f t="shared" si="498"/>
        <v>0</v>
      </c>
      <c r="AL419" s="78" t="b">
        <f t="shared" si="498"/>
        <v>0</v>
      </c>
      <c r="AM419" s="78" t="b">
        <f t="shared" si="498"/>
        <v>0</v>
      </c>
      <c r="AN419" s="78" t="b">
        <f t="shared" si="498"/>
        <v>0</v>
      </c>
      <c r="AO419" s="78" t="b">
        <f t="shared" si="498"/>
        <v>0</v>
      </c>
      <c r="AP419" s="78"/>
    </row>
    <row r="420" spans="4:42" x14ac:dyDescent="0.35">
      <c r="D420" s="96"/>
      <c r="E420" s="96"/>
      <c r="G420" s="77">
        <f t="shared" si="459"/>
        <v>0</v>
      </c>
      <c r="H420" s="78">
        <f t="shared" si="460"/>
        <v>0</v>
      </c>
      <c r="I420" s="77">
        <f t="shared" si="461"/>
        <v>0</v>
      </c>
      <c r="J420" s="78">
        <f t="shared" si="462"/>
        <v>0</v>
      </c>
      <c r="K420" s="78" t="str">
        <f t="shared" si="463"/>
        <v>1900-01-00 00:0:00</v>
      </c>
      <c r="L420" s="78" t="str">
        <f t="shared" si="464"/>
        <v>1900-01-00 00:0:00</v>
      </c>
      <c r="M420" s="79">
        <f t="shared" si="465"/>
        <v>0</v>
      </c>
      <c r="N420">
        <f t="shared" si="466"/>
        <v>1</v>
      </c>
      <c r="O420" t="str">
        <f>IFERROR(_xlfn.XLOOKUP(A420,HC!A:A,HC!C:C),"")</f>
        <v>Workforce</v>
      </c>
      <c r="R420" s="78" t="b">
        <f t="shared" ref="R420:AO420" si="499">IFERROR(IF($B420=$D$1,IF(AND($K420&lt;R$1,$L420&lt;R$1),"",IF(AND($K420&gt;S$1,$L420&gt;S$1),"",IF(AND($K420&lt;R$1,$L420&lt;=S$1),$L420-R$1,IF(AND($K420&gt;=R$1,$L420&gt;S$1),S$1-$K420,IF(AND($K420&gt;=R$1,$L420&lt;=S$1),$L420-$K420,IF(AND($K420&lt;R$1,$L420&gt;S$1),S$1-R$1,""))))))),"")</f>
        <v>0</v>
      </c>
      <c r="S420" s="78" t="b">
        <f t="shared" si="499"/>
        <v>0</v>
      </c>
      <c r="T420" s="78" t="b">
        <f t="shared" si="499"/>
        <v>0</v>
      </c>
      <c r="U420" s="78" t="b">
        <f t="shared" si="499"/>
        <v>0</v>
      </c>
      <c r="V420" s="78" t="b">
        <f t="shared" si="499"/>
        <v>0</v>
      </c>
      <c r="W420" s="78" t="b">
        <f t="shared" si="499"/>
        <v>0</v>
      </c>
      <c r="X420" s="78" t="b">
        <f t="shared" si="499"/>
        <v>0</v>
      </c>
      <c r="Y420" s="78" t="b">
        <f t="shared" si="499"/>
        <v>0</v>
      </c>
      <c r="Z420" s="78" t="b">
        <f t="shared" si="499"/>
        <v>0</v>
      </c>
      <c r="AA420" s="78" t="b">
        <f t="shared" si="499"/>
        <v>0</v>
      </c>
      <c r="AB420" s="78" t="b">
        <f t="shared" si="499"/>
        <v>0</v>
      </c>
      <c r="AC420" s="78" t="b">
        <f t="shared" si="499"/>
        <v>0</v>
      </c>
      <c r="AD420" s="78" t="b">
        <f t="shared" si="499"/>
        <v>0</v>
      </c>
      <c r="AE420" s="78" t="b">
        <f t="shared" si="499"/>
        <v>0</v>
      </c>
      <c r="AF420" s="78" t="b">
        <f t="shared" si="499"/>
        <v>0</v>
      </c>
      <c r="AG420" s="78" t="b">
        <f t="shared" si="499"/>
        <v>0</v>
      </c>
      <c r="AH420" s="78" t="b">
        <f t="shared" si="499"/>
        <v>0</v>
      </c>
      <c r="AI420" s="78" t="b">
        <f t="shared" si="499"/>
        <v>0</v>
      </c>
      <c r="AJ420" s="78" t="b">
        <f t="shared" si="499"/>
        <v>0</v>
      </c>
      <c r="AK420" s="78" t="b">
        <f t="shared" si="499"/>
        <v>0</v>
      </c>
      <c r="AL420" s="78" t="b">
        <f t="shared" si="499"/>
        <v>0</v>
      </c>
      <c r="AM420" s="78" t="b">
        <f t="shared" si="499"/>
        <v>0</v>
      </c>
      <c r="AN420" s="78" t="b">
        <f t="shared" si="499"/>
        <v>0</v>
      </c>
      <c r="AO420" s="78" t="b">
        <f t="shared" si="499"/>
        <v>0</v>
      </c>
      <c r="AP420" s="78"/>
    </row>
    <row r="421" spans="4:42" x14ac:dyDescent="0.35">
      <c r="D421" s="96"/>
      <c r="E421" s="96"/>
      <c r="G421" s="77">
        <f t="shared" si="459"/>
        <v>0</v>
      </c>
      <c r="H421" s="78">
        <f t="shared" si="460"/>
        <v>0</v>
      </c>
      <c r="I421" s="77">
        <f t="shared" si="461"/>
        <v>0</v>
      </c>
      <c r="J421" s="78">
        <f t="shared" si="462"/>
        <v>0</v>
      </c>
      <c r="K421" s="78" t="str">
        <f t="shared" si="463"/>
        <v>1900-01-00 00:0:00</v>
      </c>
      <c r="L421" s="78" t="str">
        <f t="shared" si="464"/>
        <v>1900-01-00 00:0:00</v>
      </c>
      <c r="M421" s="79">
        <f t="shared" si="465"/>
        <v>0</v>
      </c>
      <c r="N421">
        <f t="shared" si="466"/>
        <v>1</v>
      </c>
      <c r="O421" t="str">
        <f>IFERROR(_xlfn.XLOOKUP(A421,HC!A:A,HC!C:C),"")</f>
        <v>Workforce</v>
      </c>
      <c r="R421" s="78" t="b">
        <f t="shared" ref="R421:AO421" si="500">IFERROR(IF($B421=$D$1,IF(AND($K421&lt;R$1,$L421&lt;R$1),"",IF(AND($K421&gt;S$1,$L421&gt;S$1),"",IF(AND($K421&lt;R$1,$L421&lt;=S$1),$L421-R$1,IF(AND($K421&gt;=R$1,$L421&gt;S$1),S$1-$K421,IF(AND($K421&gt;=R$1,$L421&lt;=S$1),$L421-$K421,IF(AND($K421&lt;R$1,$L421&gt;S$1),S$1-R$1,""))))))),"")</f>
        <v>0</v>
      </c>
      <c r="S421" s="78" t="b">
        <f t="shared" si="500"/>
        <v>0</v>
      </c>
      <c r="T421" s="78" t="b">
        <f t="shared" si="500"/>
        <v>0</v>
      </c>
      <c r="U421" s="78" t="b">
        <f t="shared" si="500"/>
        <v>0</v>
      </c>
      <c r="V421" s="78" t="b">
        <f t="shared" si="500"/>
        <v>0</v>
      </c>
      <c r="W421" s="78" t="b">
        <f t="shared" si="500"/>
        <v>0</v>
      </c>
      <c r="X421" s="78" t="b">
        <f t="shared" si="500"/>
        <v>0</v>
      </c>
      <c r="Y421" s="78" t="b">
        <f t="shared" si="500"/>
        <v>0</v>
      </c>
      <c r="Z421" s="78" t="b">
        <f t="shared" si="500"/>
        <v>0</v>
      </c>
      <c r="AA421" s="78" t="b">
        <f t="shared" si="500"/>
        <v>0</v>
      </c>
      <c r="AB421" s="78" t="b">
        <f t="shared" si="500"/>
        <v>0</v>
      </c>
      <c r="AC421" s="78" t="b">
        <f t="shared" si="500"/>
        <v>0</v>
      </c>
      <c r="AD421" s="78" t="b">
        <f t="shared" si="500"/>
        <v>0</v>
      </c>
      <c r="AE421" s="78" t="b">
        <f t="shared" si="500"/>
        <v>0</v>
      </c>
      <c r="AF421" s="78" t="b">
        <f t="shared" si="500"/>
        <v>0</v>
      </c>
      <c r="AG421" s="78" t="b">
        <f t="shared" si="500"/>
        <v>0</v>
      </c>
      <c r="AH421" s="78" t="b">
        <f t="shared" si="500"/>
        <v>0</v>
      </c>
      <c r="AI421" s="78" t="b">
        <f t="shared" si="500"/>
        <v>0</v>
      </c>
      <c r="AJ421" s="78" t="b">
        <f t="shared" si="500"/>
        <v>0</v>
      </c>
      <c r="AK421" s="78" t="b">
        <f t="shared" si="500"/>
        <v>0</v>
      </c>
      <c r="AL421" s="78" t="b">
        <f t="shared" si="500"/>
        <v>0</v>
      </c>
      <c r="AM421" s="78" t="b">
        <f t="shared" si="500"/>
        <v>0</v>
      </c>
      <c r="AN421" s="78" t="b">
        <f t="shared" si="500"/>
        <v>0</v>
      </c>
      <c r="AO421" s="78" t="b">
        <f t="shared" si="500"/>
        <v>0</v>
      </c>
      <c r="AP421" s="78"/>
    </row>
    <row r="422" spans="4:42" x14ac:dyDescent="0.35">
      <c r="D422" s="96"/>
      <c r="E422" s="96"/>
      <c r="G422" s="77">
        <f t="shared" si="459"/>
        <v>0</v>
      </c>
      <c r="H422" s="78">
        <f t="shared" si="460"/>
        <v>0</v>
      </c>
      <c r="I422" s="77">
        <f t="shared" si="461"/>
        <v>0</v>
      </c>
      <c r="J422" s="78">
        <f t="shared" si="462"/>
        <v>0</v>
      </c>
      <c r="K422" s="78" t="str">
        <f t="shared" si="463"/>
        <v>1900-01-00 00:0:00</v>
      </c>
      <c r="L422" s="78" t="str">
        <f t="shared" si="464"/>
        <v>1900-01-00 00:0:00</v>
      </c>
      <c r="M422" s="79">
        <f t="shared" si="465"/>
        <v>0</v>
      </c>
      <c r="N422">
        <f t="shared" si="466"/>
        <v>1</v>
      </c>
      <c r="O422" t="str">
        <f>IFERROR(_xlfn.XLOOKUP(A422,HC!A:A,HC!C:C),"")</f>
        <v>Workforce</v>
      </c>
      <c r="R422" s="78" t="b">
        <f t="shared" ref="R422:AO422" si="501">IFERROR(IF($B422=$D$1,IF(AND($K422&lt;R$1,$L422&lt;R$1),"",IF(AND($K422&gt;S$1,$L422&gt;S$1),"",IF(AND($K422&lt;R$1,$L422&lt;=S$1),$L422-R$1,IF(AND($K422&gt;=R$1,$L422&gt;S$1),S$1-$K422,IF(AND($K422&gt;=R$1,$L422&lt;=S$1),$L422-$K422,IF(AND($K422&lt;R$1,$L422&gt;S$1),S$1-R$1,""))))))),"")</f>
        <v>0</v>
      </c>
      <c r="S422" s="78" t="b">
        <f t="shared" si="501"/>
        <v>0</v>
      </c>
      <c r="T422" s="78" t="b">
        <f t="shared" si="501"/>
        <v>0</v>
      </c>
      <c r="U422" s="78" t="b">
        <f t="shared" si="501"/>
        <v>0</v>
      </c>
      <c r="V422" s="78" t="b">
        <f t="shared" si="501"/>
        <v>0</v>
      </c>
      <c r="W422" s="78" t="b">
        <f t="shared" si="501"/>
        <v>0</v>
      </c>
      <c r="X422" s="78" t="b">
        <f t="shared" si="501"/>
        <v>0</v>
      </c>
      <c r="Y422" s="78" t="b">
        <f t="shared" si="501"/>
        <v>0</v>
      </c>
      <c r="Z422" s="78" t="b">
        <f t="shared" si="501"/>
        <v>0</v>
      </c>
      <c r="AA422" s="78" t="b">
        <f t="shared" si="501"/>
        <v>0</v>
      </c>
      <c r="AB422" s="78" t="b">
        <f t="shared" si="501"/>
        <v>0</v>
      </c>
      <c r="AC422" s="78" t="b">
        <f t="shared" si="501"/>
        <v>0</v>
      </c>
      <c r="AD422" s="78" t="b">
        <f t="shared" si="501"/>
        <v>0</v>
      </c>
      <c r="AE422" s="78" t="b">
        <f t="shared" si="501"/>
        <v>0</v>
      </c>
      <c r="AF422" s="78" t="b">
        <f t="shared" si="501"/>
        <v>0</v>
      </c>
      <c r="AG422" s="78" t="b">
        <f t="shared" si="501"/>
        <v>0</v>
      </c>
      <c r="AH422" s="78" t="b">
        <f t="shared" si="501"/>
        <v>0</v>
      </c>
      <c r="AI422" s="78" t="b">
        <f t="shared" si="501"/>
        <v>0</v>
      </c>
      <c r="AJ422" s="78" t="b">
        <f t="shared" si="501"/>
        <v>0</v>
      </c>
      <c r="AK422" s="78" t="b">
        <f t="shared" si="501"/>
        <v>0</v>
      </c>
      <c r="AL422" s="78" t="b">
        <f t="shared" si="501"/>
        <v>0</v>
      </c>
      <c r="AM422" s="78" t="b">
        <f t="shared" si="501"/>
        <v>0</v>
      </c>
      <c r="AN422" s="78" t="b">
        <f t="shared" si="501"/>
        <v>0</v>
      </c>
      <c r="AO422" s="78" t="b">
        <f t="shared" si="501"/>
        <v>0</v>
      </c>
      <c r="AP422" s="78"/>
    </row>
    <row r="423" spans="4:42" x14ac:dyDescent="0.35">
      <c r="D423" s="96"/>
      <c r="E423" s="96"/>
      <c r="G423" s="77">
        <f t="shared" si="459"/>
        <v>0</v>
      </c>
      <c r="H423" s="78">
        <f t="shared" si="460"/>
        <v>0</v>
      </c>
      <c r="I423" s="77">
        <f t="shared" si="461"/>
        <v>0</v>
      </c>
      <c r="J423" s="78">
        <f t="shared" si="462"/>
        <v>0</v>
      </c>
      <c r="K423" s="78" t="str">
        <f t="shared" si="463"/>
        <v>1900-01-00 00:0:00</v>
      </c>
      <c r="L423" s="78" t="str">
        <f t="shared" si="464"/>
        <v>1900-01-00 00:0:00</v>
      </c>
      <c r="M423" s="79">
        <f t="shared" si="465"/>
        <v>0</v>
      </c>
      <c r="N423">
        <f t="shared" si="466"/>
        <v>1</v>
      </c>
      <c r="O423" t="str">
        <f>IFERROR(_xlfn.XLOOKUP(A423,HC!A:A,HC!C:C),"")</f>
        <v>Workforce</v>
      </c>
      <c r="R423" s="78" t="b">
        <f t="shared" ref="R423:AO423" si="502">IFERROR(IF($B423=$D$1,IF(AND($K423&lt;R$1,$L423&lt;R$1),"",IF(AND($K423&gt;S$1,$L423&gt;S$1),"",IF(AND($K423&lt;R$1,$L423&lt;=S$1),$L423-R$1,IF(AND($K423&gt;=R$1,$L423&gt;S$1),S$1-$K423,IF(AND($K423&gt;=R$1,$L423&lt;=S$1),$L423-$K423,IF(AND($K423&lt;R$1,$L423&gt;S$1),S$1-R$1,""))))))),"")</f>
        <v>0</v>
      </c>
      <c r="S423" s="78" t="b">
        <f t="shared" si="502"/>
        <v>0</v>
      </c>
      <c r="T423" s="78" t="b">
        <f t="shared" si="502"/>
        <v>0</v>
      </c>
      <c r="U423" s="78" t="b">
        <f t="shared" si="502"/>
        <v>0</v>
      </c>
      <c r="V423" s="78" t="b">
        <f t="shared" si="502"/>
        <v>0</v>
      </c>
      <c r="W423" s="78" t="b">
        <f t="shared" si="502"/>
        <v>0</v>
      </c>
      <c r="X423" s="78" t="b">
        <f t="shared" si="502"/>
        <v>0</v>
      </c>
      <c r="Y423" s="78" t="b">
        <f t="shared" si="502"/>
        <v>0</v>
      </c>
      <c r="Z423" s="78" t="b">
        <f t="shared" si="502"/>
        <v>0</v>
      </c>
      <c r="AA423" s="78" t="b">
        <f t="shared" si="502"/>
        <v>0</v>
      </c>
      <c r="AB423" s="78" t="b">
        <f t="shared" si="502"/>
        <v>0</v>
      </c>
      <c r="AC423" s="78" t="b">
        <f t="shared" si="502"/>
        <v>0</v>
      </c>
      <c r="AD423" s="78" t="b">
        <f t="shared" si="502"/>
        <v>0</v>
      </c>
      <c r="AE423" s="78" t="b">
        <f t="shared" si="502"/>
        <v>0</v>
      </c>
      <c r="AF423" s="78" t="b">
        <f t="shared" si="502"/>
        <v>0</v>
      </c>
      <c r="AG423" s="78" t="b">
        <f t="shared" si="502"/>
        <v>0</v>
      </c>
      <c r="AH423" s="78" t="b">
        <f t="shared" si="502"/>
        <v>0</v>
      </c>
      <c r="AI423" s="78" t="b">
        <f t="shared" si="502"/>
        <v>0</v>
      </c>
      <c r="AJ423" s="78" t="b">
        <f t="shared" si="502"/>
        <v>0</v>
      </c>
      <c r="AK423" s="78" t="b">
        <f t="shared" si="502"/>
        <v>0</v>
      </c>
      <c r="AL423" s="78" t="b">
        <f t="shared" si="502"/>
        <v>0</v>
      </c>
      <c r="AM423" s="78" t="b">
        <f t="shared" si="502"/>
        <v>0</v>
      </c>
      <c r="AN423" s="78" t="b">
        <f t="shared" si="502"/>
        <v>0</v>
      </c>
      <c r="AO423" s="78" t="b">
        <f t="shared" si="502"/>
        <v>0</v>
      </c>
      <c r="AP423" s="78"/>
    </row>
    <row r="424" spans="4:42" x14ac:dyDescent="0.35">
      <c r="D424" s="96"/>
      <c r="E424" s="96"/>
      <c r="G424" s="77">
        <f t="shared" si="459"/>
        <v>0</v>
      </c>
      <c r="H424" s="78">
        <f t="shared" si="460"/>
        <v>0</v>
      </c>
      <c r="I424" s="77">
        <f t="shared" si="461"/>
        <v>0</v>
      </c>
      <c r="J424" s="78">
        <f t="shared" si="462"/>
        <v>0</v>
      </c>
      <c r="K424" s="78" t="str">
        <f t="shared" si="463"/>
        <v>1900-01-00 00:0:00</v>
      </c>
      <c r="L424" s="78" t="str">
        <f t="shared" si="464"/>
        <v>1900-01-00 00:0:00</v>
      </c>
      <c r="M424" s="79">
        <f t="shared" si="465"/>
        <v>0</v>
      </c>
      <c r="N424">
        <f t="shared" si="466"/>
        <v>1</v>
      </c>
      <c r="O424" t="str">
        <f>IFERROR(_xlfn.XLOOKUP(A424,HC!A:A,HC!C:C),"")</f>
        <v>Workforce</v>
      </c>
      <c r="R424" s="78" t="b">
        <f t="shared" ref="R424:AO424" si="503">IFERROR(IF($B424=$D$1,IF(AND($K424&lt;R$1,$L424&lt;R$1),"",IF(AND($K424&gt;S$1,$L424&gt;S$1),"",IF(AND($K424&lt;R$1,$L424&lt;=S$1),$L424-R$1,IF(AND($K424&gt;=R$1,$L424&gt;S$1),S$1-$K424,IF(AND($K424&gt;=R$1,$L424&lt;=S$1),$L424-$K424,IF(AND($K424&lt;R$1,$L424&gt;S$1),S$1-R$1,""))))))),"")</f>
        <v>0</v>
      </c>
      <c r="S424" s="78" t="b">
        <f t="shared" si="503"/>
        <v>0</v>
      </c>
      <c r="T424" s="78" t="b">
        <f t="shared" si="503"/>
        <v>0</v>
      </c>
      <c r="U424" s="78" t="b">
        <f t="shared" si="503"/>
        <v>0</v>
      </c>
      <c r="V424" s="78" t="b">
        <f t="shared" si="503"/>
        <v>0</v>
      </c>
      <c r="W424" s="78" t="b">
        <f t="shared" si="503"/>
        <v>0</v>
      </c>
      <c r="X424" s="78" t="b">
        <f t="shared" si="503"/>
        <v>0</v>
      </c>
      <c r="Y424" s="78" t="b">
        <f t="shared" si="503"/>
        <v>0</v>
      </c>
      <c r="Z424" s="78" t="b">
        <f t="shared" si="503"/>
        <v>0</v>
      </c>
      <c r="AA424" s="78" t="b">
        <f t="shared" si="503"/>
        <v>0</v>
      </c>
      <c r="AB424" s="78" t="b">
        <f t="shared" si="503"/>
        <v>0</v>
      </c>
      <c r="AC424" s="78" t="b">
        <f t="shared" si="503"/>
        <v>0</v>
      </c>
      <c r="AD424" s="78" t="b">
        <f t="shared" si="503"/>
        <v>0</v>
      </c>
      <c r="AE424" s="78" t="b">
        <f t="shared" si="503"/>
        <v>0</v>
      </c>
      <c r="AF424" s="78" t="b">
        <f t="shared" si="503"/>
        <v>0</v>
      </c>
      <c r="AG424" s="78" t="b">
        <f t="shared" si="503"/>
        <v>0</v>
      </c>
      <c r="AH424" s="78" t="b">
        <f t="shared" si="503"/>
        <v>0</v>
      </c>
      <c r="AI424" s="78" t="b">
        <f t="shared" si="503"/>
        <v>0</v>
      </c>
      <c r="AJ424" s="78" t="b">
        <f t="shared" si="503"/>
        <v>0</v>
      </c>
      <c r="AK424" s="78" t="b">
        <f t="shared" si="503"/>
        <v>0</v>
      </c>
      <c r="AL424" s="78" t="b">
        <f t="shared" si="503"/>
        <v>0</v>
      </c>
      <c r="AM424" s="78" t="b">
        <f t="shared" si="503"/>
        <v>0</v>
      </c>
      <c r="AN424" s="78" t="b">
        <f t="shared" si="503"/>
        <v>0</v>
      </c>
      <c r="AO424" s="78" t="b">
        <f t="shared" si="503"/>
        <v>0</v>
      </c>
      <c r="AP424" s="78"/>
    </row>
    <row r="425" spans="4:42" x14ac:dyDescent="0.35">
      <c r="D425" s="96"/>
      <c r="E425" s="96"/>
      <c r="G425" s="77">
        <f t="shared" si="459"/>
        <v>0</v>
      </c>
      <c r="H425" s="78">
        <f t="shared" si="460"/>
        <v>0</v>
      </c>
      <c r="I425" s="77">
        <f t="shared" si="461"/>
        <v>0</v>
      </c>
      <c r="J425" s="78">
        <f t="shared" si="462"/>
        <v>0</v>
      </c>
      <c r="K425" s="78" t="str">
        <f t="shared" si="463"/>
        <v>1900-01-00 00:0:00</v>
      </c>
      <c r="L425" s="78" t="str">
        <f t="shared" si="464"/>
        <v>1900-01-00 00:0:00</v>
      </c>
      <c r="M425" s="79">
        <f t="shared" si="465"/>
        <v>0</v>
      </c>
      <c r="N425">
        <f t="shared" si="466"/>
        <v>1</v>
      </c>
      <c r="O425" t="str">
        <f>IFERROR(_xlfn.XLOOKUP(A425,HC!A:A,HC!C:C),"")</f>
        <v>Workforce</v>
      </c>
      <c r="R425" s="78" t="b">
        <f t="shared" ref="R425:AO425" si="504">IFERROR(IF($B425=$D$1,IF(AND($K425&lt;R$1,$L425&lt;R$1),"",IF(AND($K425&gt;S$1,$L425&gt;S$1),"",IF(AND($K425&lt;R$1,$L425&lt;=S$1),$L425-R$1,IF(AND($K425&gt;=R$1,$L425&gt;S$1),S$1-$K425,IF(AND($K425&gt;=R$1,$L425&lt;=S$1),$L425-$K425,IF(AND($K425&lt;R$1,$L425&gt;S$1),S$1-R$1,""))))))),"")</f>
        <v>0</v>
      </c>
      <c r="S425" s="78" t="b">
        <f t="shared" si="504"/>
        <v>0</v>
      </c>
      <c r="T425" s="78" t="b">
        <f t="shared" si="504"/>
        <v>0</v>
      </c>
      <c r="U425" s="78" t="b">
        <f t="shared" si="504"/>
        <v>0</v>
      </c>
      <c r="V425" s="78" t="b">
        <f t="shared" si="504"/>
        <v>0</v>
      </c>
      <c r="W425" s="78" t="b">
        <f t="shared" si="504"/>
        <v>0</v>
      </c>
      <c r="X425" s="78" t="b">
        <f t="shared" si="504"/>
        <v>0</v>
      </c>
      <c r="Y425" s="78" t="b">
        <f t="shared" si="504"/>
        <v>0</v>
      </c>
      <c r="Z425" s="78" t="b">
        <f t="shared" si="504"/>
        <v>0</v>
      </c>
      <c r="AA425" s="78" t="b">
        <f t="shared" si="504"/>
        <v>0</v>
      </c>
      <c r="AB425" s="78" t="b">
        <f t="shared" si="504"/>
        <v>0</v>
      </c>
      <c r="AC425" s="78" t="b">
        <f t="shared" si="504"/>
        <v>0</v>
      </c>
      <c r="AD425" s="78" t="b">
        <f t="shared" si="504"/>
        <v>0</v>
      </c>
      <c r="AE425" s="78" t="b">
        <f t="shared" si="504"/>
        <v>0</v>
      </c>
      <c r="AF425" s="78" t="b">
        <f t="shared" si="504"/>
        <v>0</v>
      </c>
      <c r="AG425" s="78" t="b">
        <f t="shared" si="504"/>
        <v>0</v>
      </c>
      <c r="AH425" s="78" t="b">
        <f t="shared" si="504"/>
        <v>0</v>
      </c>
      <c r="AI425" s="78" t="b">
        <f t="shared" si="504"/>
        <v>0</v>
      </c>
      <c r="AJ425" s="78" t="b">
        <f t="shared" si="504"/>
        <v>0</v>
      </c>
      <c r="AK425" s="78" t="b">
        <f t="shared" si="504"/>
        <v>0</v>
      </c>
      <c r="AL425" s="78" t="b">
        <f t="shared" si="504"/>
        <v>0</v>
      </c>
      <c r="AM425" s="78" t="b">
        <f t="shared" si="504"/>
        <v>0</v>
      </c>
      <c r="AN425" s="78" t="b">
        <f t="shared" si="504"/>
        <v>0</v>
      </c>
      <c r="AO425" s="78" t="b">
        <f t="shared" si="504"/>
        <v>0</v>
      </c>
      <c r="AP425" s="78"/>
    </row>
    <row r="426" spans="4:42" x14ac:dyDescent="0.35">
      <c r="D426" s="96"/>
      <c r="E426" s="96"/>
      <c r="G426" s="77">
        <f t="shared" si="459"/>
        <v>0</v>
      </c>
      <c r="H426" s="78">
        <f t="shared" si="460"/>
        <v>0</v>
      </c>
      <c r="I426" s="77">
        <f t="shared" si="461"/>
        <v>0</v>
      </c>
      <c r="J426" s="78">
        <f t="shared" si="462"/>
        <v>0</v>
      </c>
      <c r="K426" s="78" t="str">
        <f t="shared" si="463"/>
        <v>1900-01-00 00:0:00</v>
      </c>
      <c r="L426" s="78" t="str">
        <f t="shared" si="464"/>
        <v>1900-01-00 00:0:00</v>
      </c>
      <c r="M426" s="79">
        <f t="shared" si="465"/>
        <v>0</v>
      </c>
      <c r="N426">
        <f t="shared" si="466"/>
        <v>1</v>
      </c>
      <c r="O426" t="str">
        <f>IFERROR(_xlfn.XLOOKUP(A426,HC!A:A,HC!C:C),"")</f>
        <v>Workforce</v>
      </c>
      <c r="R426" s="78" t="b">
        <f t="shared" ref="R426:AO426" si="505">IFERROR(IF($B426=$D$1,IF(AND($K426&lt;R$1,$L426&lt;R$1),"",IF(AND($K426&gt;S$1,$L426&gt;S$1),"",IF(AND($K426&lt;R$1,$L426&lt;=S$1),$L426-R$1,IF(AND($K426&gt;=R$1,$L426&gt;S$1),S$1-$K426,IF(AND($K426&gt;=R$1,$L426&lt;=S$1),$L426-$K426,IF(AND($K426&lt;R$1,$L426&gt;S$1),S$1-R$1,""))))))),"")</f>
        <v>0</v>
      </c>
      <c r="S426" s="78" t="b">
        <f t="shared" si="505"/>
        <v>0</v>
      </c>
      <c r="T426" s="78" t="b">
        <f t="shared" si="505"/>
        <v>0</v>
      </c>
      <c r="U426" s="78" t="b">
        <f t="shared" si="505"/>
        <v>0</v>
      </c>
      <c r="V426" s="78" t="b">
        <f t="shared" si="505"/>
        <v>0</v>
      </c>
      <c r="W426" s="78" t="b">
        <f t="shared" si="505"/>
        <v>0</v>
      </c>
      <c r="X426" s="78" t="b">
        <f t="shared" si="505"/>
        <v>0</v>
      </c>
      <c r="Y426" s="78" t="b">
        <f t="shared" si="505"/>
        <v>0</v>
      </c>
      <c r="Z426" s="78" t="b">
        <f t="shared" si="505"/>
        <v>0</v>
      </c>
      <c r="AA426" s="78" t="b">
        <f t="shared" si="505"/>
        <v>0</v>
      </c>
      <c r="AB426" s="78" t="b">
        <f t="shared" si="505"/>
        <v>0</v>
      </c>
      <c r="AC426" s="78" t="b">
        <f t="shared" si="505"/>
        <v>0</v>
      </c>
      <c r="AD426" s="78" t="b">
        <f t="shared" si="505"/>
        <v>0</v>
      </c>
      <c r="AE426" s="78" t="b">
        <f t="shared" si="505"/>
        <v>0</v>
      </c>
      <c r="AF426" s="78" t="b">
        <f t="shared" si="505"/>
        <v>0</v>
      </c>
      <c r="AG426" s="78" t="b">
        <f t="shared" si="505"/>
        <v>0</v>
      </c>
      <c r="AH426" s="78" t="b">
        <f t="shared" si="505"/>
        <v>0</v>
      </c>
      <c r="AI426" s="78" t="b">
        <f t="shared" si="505"/>
        <v>0</v>
      </c>
      <c r="AJ426" s="78" t="b">
        <f t="shared" si="505"/>
        <v>0</v>
      </c>
      <c r="AK426" s="78" t="b">
        <f t="shared" si="505"/>
        <v>0</v>
      </c>
      <c r="AL426" s="78" t="b">
        <f t="shared" si="505"/>
        <v>0</v>
      </c>
      <c r="AM426" s="78" t="b">
        <f t="shared" si="505"/>
        <v>0</v>
      </c>
      <c r="AN426" s="78" t="b">
        <f t="shared" si="505"/>
        <v>0</v>
      </c>
      <c r="AO426" s="78" t="b">
        <f t="shared" si="505"/>
        <v>0</v>
      </c>
      <c r="AP426" s="78"/>
    </row>
    <row r="427" spans="4:42" x14ac:dyDescent="0.35">
      <c r="D427" s="96"/>
      <c r="E427" s="96"/>
      <c r="G427" s="77">
        <f t="shared" si="459"/>
        <v>0</v>
      </c>
      <c r="H427" s="78">
        <f t="shared" si="460"/>
        <v>0</v>
      </c>
      <c r="I427" s="77">
        <f t="shared" si="461"/>
        <v>0</v>
      </c>
      <c r="J427" s="78">
        <f t="shared" si="462"/>
        <v>0</v>
      </c>
      <c r="K427" s="78" t="str">
        <f t="shared" si="463"/>
        <v>1900-01-00 00:0:00</v>
      </c>
      <c r="L427" s="78" t="str">
        <f t="shared" si="464"/>
        <v>1900-01-00 00:0:00</v>
      </c>
      <c r="M427" s="79">
        <f t="shared" si="465"/>
        <v>0</v>
      </c>
      <c r="N427">
        <f t="shared" si="466"/>
        <v>1</v>
      </c>
      <c r="O427" t="str">
        <f>IFERROR(_xlfn.XLOOKUP(A427,HC!A:A,HC!C:C),"")</f>
        <v>Workforce</v>
      </c>
      <c r="R427" s="78" t="b">
        <f t="shared" ref="R427:AO427" si="506">IFERROR(IF($B427=$D$1,IF(AND($K427&lt;R$1,$L427&lt;R$1),"",IF(AND($K427&gt;S$1,$L427&gt;S$1),"",IF(AND($K427&lt;R$1,$L427&lt;=S$1),$L427-R$1,IF(AND($K427&gt;=R$1,$L427&gt;S$1),S$1-$K427,IF(AND($K427&gt;=R$1,$L427&lt;=S$1),$L427-$K427,IF(AND($K427&lt;R$1,$L427&gt;S$1),S$1-R$1,""))))))),"")</f>
        <v>0</v>
      </c>
      <c r="S427" s="78" t="b">
        <f t="shared" si="506"/>
        <v>0</v>
      </c>
      <c r="T427" s="78" t="b">
        <f t="shared" si="506"/>
        <v>0</v>
      </c>
      <c r="U427" s="78" t="b">
        <f t="shared" si="506"/>
        <v>0</v>
      </c>
      <c r="V427" s="78" t="b">
        <f t="shared" si="506"/>
        <v>0</v>
      </c>
      <c r="W427" s="78" t="b">
        <f t="shared" si="506"/>
        <v>0</v>
      </c>
      <c r="X427" s="78" t="b">
        <f t="shared" si="506"/>
        <v>0</v>
      </c>
      <c r="Y427" s="78" t="b">
        <f t="shared" si="506"/>
        <v>0</v>
      </c>
      <c r="Z427" s="78" t="b">
        <f t="shared" si="506"/>
        <v>0</v>
      </c>
      <c r="AA427" s="78" t="b">
        <f t="shared" si="506"/>
        <v>0</v>
      </c>
      <c r="AB427" s="78" t="b">
        <f t="shared" si="506"/>
        <v>0</v>
      </c>
      <c r="AC427" s="78" t="b">
        <f t="shared" si="506"/>
        <v>0</v>
      </c>
      <c r="AD427" s="78" t="b">
        <f t="shared" si="506"/>
        <v>0</v>
      </c>
      <c r="AE427" s="78" t="b">
        <f t="shared" si="506"/>
        <v>0</v>
      </c>
      <c r="AF427" s="78" t="b">
        <f t="shared" si="506"/>
        <v>0</v>
      </c>
      <c r="AG427" s="78" t="b">
        <f t="shared" si="506"/>
        <v>0</v>
      </c>
      <c r="AH427" s="78" t="b">
        <f t="shared" si="506"/>
        <v>0</v>
      </c>
      <c r="AI427" s="78" t="b">
        <f t="shared" si="506"/>
        <v>0</v>
      </c>
      <c r="AJ427" s="78" t="b">
        <f t="shared" si="506"/>
        <v>0</v>
      </c>
      <c r="AK427" s="78" t="b">
        <f t="shared" si="506"/>
        <v>0</v>
      </c>
      <c r="AL427" s="78" t="b">
        <f t="shared" si="506"/>
        <v>0</v>
      </c>
      <c r="AM427" s="78" t="b">
        <f t="shared" si="506"/>
        <v>0</v>
      </c>
      <c r="AN427" s="78" t="b">
        <f t="shared" si="506"/>
        <v>0</v>
      </c>
      <c r="AO427" s="78" t="b">
        <f t="shared" si="506"/>
        <v>0</v>
      </c>
      <c r="AP427" s="78"/>
    </row>
    <row r="428" spans="4:42" x14ac:dyDescent="0.35">
      <c r="D428" s="96"/>
      <c r="E428" s="96"/>
      <c r="G428" s="77">
        <f t="shared" si="459"/>
        <v>0</v>
      </c>
      <c r="H428" s="78">
        <f t="shared" si="460"/>
        <v>0</v>
      </c>
      <c r="I428" s="77">
        <f t="shared" si="461"/>
        <v>0</v>
      </c>
      <c r="J428" s="78">
        <f t="shared" si="462"/>
        <v>0</v>
      </c>
      <c r="K428" s="78" t="str">
        <f t="shared" si="463"/>
        <v>1900-01-00 00:0:00</v>
      </c>
      <c r="L428" s="78" t="str">
        <f t="shared" si="464"/>
        <v>1900-01-00 00:0:00</v>
      </c>
      <c r="M428" s="79">
        <f t="shared" si="465"/>
        <v>0</v>
      </c>
      <c r="N428">
        <f t="shared" si="466"/>
        <v>1</v>
      </c>
      <c r="O428" t="str">
        <f>IFERROR(_xlfn.XLOOKUP(A428,HC!A:A,HC!C:C),"")</f>
        <v>Workforce</v>
      </c>
      <c r="R428" s="78" t="b">
        <f t="shared" ref="R428:AO428" si="507">IFERROR(IF($B428=$D$1,IF(AND($K428&lt;R$1,$L428&lt;R$1),"",IF(AND($K428&gt;S$1,$L428&gt;S$1),"",IF(AND($K428&lt;R$1,$L428&lt;=S$1),$L428-R$1,IF(AND($K428&gt;=R$1,$L428&gt;S$1),S$1-$K428,IF(AND($K428&gt;=R$1,$L428&lt;=S$1),$L428-$K428,IF(AND($K428&lt;R$1,$L428&gt;S$1),S$1-R$1,""))))))),"")</f>
        <v>0</v>
      </c>
      <c r="S428" s="78" t="b">
        <f t="shared" si="507"/>
        <v>0</v>
      </c>
      <c r="T428" s="78" t="b">
        <f t="shared" si="507"/>
        <v>0</v>
      </c>
      <c r="U428" s="78" t="b">
        <f t="shared" si="507"/>
        <v>0</v>
      </c>
      <c r="V428" s="78" t="b">
        <f t="shared" si="507"/>
        <v>0</v>
      </c>
      <c r="W428" s="78" t="b">
        <f t="shared" si="507"/>
        <v>0</v>
      </c>
      <c r="X428" s="78" t="b">
        <f t="shared" si="507"/>
        <v>0</v>
      </c>
      <c r="Y428" s="78" t="b">
        <f t="shared" si="507"/>
        <v>0</v>
      </c>
      <c r="Z428" s="78" t="b">
        <f t="shared" si="507"/>
        <v>0</v>
      </c>
      <c r="AA428" s="78" t="b">
        <f t="shared" si="507"/>
        <v>0</v>
      </c>
      <c r="AB428" s="78" t="b">
        <f t="shared" si="507"/>
        <v>0</v>
      </c>
      <c r="AC428" s="78" t="b">
        <f t="shared" si="507"/>
        <v>0</v>
      </c>
      <c r="AD428" s="78" t="b">
        <f t="shared" si="507"/>
        <v>0</v>
      </c>
      <c r="AE428" s="78" t="b">
        <f t="shared" si="507"/>
        <v>0</v>
      </c>
      <c r="AF428" s="78" t="b">
        <f t="shared" si="507"/>
        <v>0</v>
      </c>
      <c r="AG428" s="78" t="b">
        <f t="shared" si="507"/>
        <v>0</v>
      </c>
      <c r="AH428" s="78" t="b">
        <f t="shared" si="507"/>
        <v>0</v>
      </c>
      <c r="AI428" s="78" t="b">
        <f t="shared" si="507"/>
        <v>0</v>
      </c>
      <c r="AJ428" s="78" t="b">
        <f t="shared" si="507"/>
        <v>0</v>
      </c>
      <c r="AK428" s="78" t="b">
        <f t="shared" si="507"/>
        <v>0</v>
      </c>
      <c r="AL428" s="78" t="b">
        <f t="shared" si="507"/>
        <v>0</v>
      </c>
      <c r="AM428" s="78" t="b">
        <f t="shared" si="507"/>
        <v>0</v>
      </c>
      <c r="AN428" s="78" t="b">
        <f t="shared" si="507"/>
        <v>0</v>
      </c>
      <c r="AO428" s="78" t="b">
        <f t="shared" si="507"/>
        <v>0</v>
      </c>
      <c r="AP428" s="78"/>
    </row>
    <row r="429" spans="4:42" x14ac:dyDescent="0.35">
      <c r="D429" s="96"/>
      <c r="E429" s="96"/>
      <c r="G429" s="77">
        <f t="shared" si="459"/>
        <v>0</v>
      </c>
      <c r="H429" s="78">
        <f t="shared" si="460"/>
        <v>0</v>
      </c>
      <c r="I429" s="77">
        <f t="shared" si="461"/>
        <v>0</v>
      </c>
      <c r="J429" s="78">
        <f t="shared" si="462"/>
        <v>0</v>
      </c>
      <c r="K429" s="78" t="str">
        <f t="shared" si="463"/>
        <v>1900-01-00 00:0:00</v>
      </c>
      <c r="L429" s="78" t="str">
        <f t="shared" si="464"/>
        <v>1900-01-00 00:0:00</v>
      </c>
      <c r="M429" s="79">
        <f t="shared" si="465"/>
        <v>0</v>
      </c>
      <c r="N429">
        <f t="shared" si="466"/>
        <v>1</v>
      </c>
      <c r="O429" t="str">
        <f>IFERROR(_xlfn.XLOOKUP(A429,HC!A:A,HC!C:C),"")</f>
        <v>Workforce</v>
      </c>
      <c r="R429" s="78" t="b">
        <f t="shared" ref="R429:AO429" si="508">IFERROR(IF($B429=$D$1,IF(AND($K429&lt;R$1,$L429&lt;R$1),"",IF(AND($K429&gt;S$1,$L429&gt;S$1),"",IF(AND($K429&lt;R$1,$L429&lt;=S$1),$L429-R$1,IF(AND($K429&gt;=R$1,$L429&gt;S$1),S$1-$K429,IF(AND($K429&gt;=R$1,$L429&lt;=S$1),$L429-$K429,IF(AND($K429&lt;R$1,$L429&gt;S$1),S$1-R$1,""))))))),"")</f>
        <v>0</v>
      </c>
      <c r="S429" s="78" t="b">
        <f t="shared" si="508"/>
        <v>0</v>
      </c>
      <c r="T429" s="78" t="b">
        <f t="shared" si="508"/>
        <v>0</v>
      </c>
      <c r="U429" s="78" t="b">
        <f t="shared" si="508"/>
        <v>0</v>
      </c>
      <c r="V429" s="78" t="b">
        <f t="shared" si="508"/>
        <v>0</v>
      </c>
      <c r="W429" s="78" t="b">
        <f t="shared" si="508"/>
        <v>0</v>
      </c>
      <c r="X429" s="78" t="b">
        <f t="shared" si="508"/>
        <v>0</v>
      </c>
      <c r="Y429" s="78" t="b">
        <f t="shared" si="508"/>
        <v>0</v>
      </c>
      <c r="Z429" s="78" t="b">
        <f t="shared" si="508"/>
        <v>0</v>
      </c>
      <c r="AA429" s="78" t="b">
        <f t="shared" si="508"/>
        <v>0</v>
      </c>
      <c r="AB429" s="78" t="b">
        <f t="shared" si="508"/>
        <v>0</v>
      </c>
      <c r="AC429" s="78" t="b">
        <f t="shared" si="508"/>
        <v>0</v>
      </c>
      <c r="AD429" s="78" t="b">
        <f t="shared" si="508"/>
        <v>0</v>
      </c>
      <c r="AE429" s="78" t="b">
        <f t="shared" si="508"/>
        <v>0</v>
      </c>
      <c r="AF429" s="78" t="b">
        <f t="shared" si="508"/>
        <v>0</v>
      </c>
      <c r="AG429" s="78" t="b">
        <f t="shared" si="508"/>
        <v>0</v>
      </c>
      <c r="AH429" s="78" t="b">
        <f t="shared" si="508"/>
        <v>0</v>
      </c>
      <c r="AI429" s="78" t="b">
        <f t="shared" si="508"/>
        <v>0</v>
      </c>
      <c r="AJ429" s="78" t="b">
        <f t="shared" si="508"/>
        <v>0</v>
      </c>
      <c r="AK429" s="78" t="b">
        <f t="shared" si="508"/>
        <v>0</v>
      </c>
      <c r="AL429" s="78" t="b">
        <f t="shared" si="508"/>
        <v>0</v>
      </c>
      <c r="AM429" s="78" t="b">
        <f t="shared" si="508"/>
        <v>0</v>
      </c>
      <c r="AN429" s="78" t="b">
        <f t="shared" si="508"/>
        <v>0</v>
      </c>
      <c r="AO429" s="78" t="b">
        <f t="shared" si="508"/>
        <v>0</v>
      </c>
      <c r="AP429" s="78"/>
    </row>
    <row r="430" spans="4:42" x14ac:dyDescent="0.35">
      <c r="D430" s="96"/>
      <c r="E430" s="96"/>
      <c r="G430" s="77">
        <f t="shared" si="459"/>
        <v>0</v>
      </c>
      <c r="H430" s="78">
        <f t="shared" si="460"/>
        <v>0</v>
      </c>
      <c r="I430" s="77">
        <f t="shared" si="461"/>
        <v>0</v>
      </c>
      <c r="J430" s="78">
        <f t="shared" si="462"/>
        <v>0</v>
      </c>
      <c r="K430" s="78" t="str">
        <f t="shared" si="463"/>
        <v>1900-01-00 00:0:00</v>
      </c>
      <c r="L430" s="78" t="str">
        <f t="shared" si="464"/>
        <v>1900-01-00 00:0:00</v>
      </c>
      <c r="M430" s="79">
        <f t="shared" si="465"/>
        <v>0</v>
      </c>
      <c r="N430">
        <f t="shared" si="466"/>
        <v>1</v>
      </c>
      <c r="O430" t="str">
        <f>IFERROR(_xlfn.XLOOKUP(A430,HC!A:A,HC!C:C),"")</f>
        <v>Workforce</v>
      </c>
      <c r="R430" s="78" t="b">
        <f t="shared" ref="R430:AO430" si="509">IFERROR(IF($B430=$D$1,IF(AND($K430&lt;R$1,$L430&lt;R$1),"",IF(AND($K430&gt;S$1,$L430&gt;S$1),"",IF(AND($K430&lt;R$1,$L430&lt;=S$1),$L430-R$1,IF(AND($K430&gt;=R$1,$L430&gt;S$1),S$1-$K430,IF(AND($K430&gt;=R$1,$L430&lt;=S$1),$L430-$K430,IF(AND($K430&lt;R$1,$L430&gt;S$1),S$1-R$1,""))))))),"")</f>
        <v>0</v>
      </c>
      <c r="S430" s="78" t="b">
        <f t="shared" si="509"/>
        <v>0</v>
      </c>
      <c r="T430" s="78" t="b">
        <f t="shared" si="509"/>
        <v>0</v>
      </c>
      <c r="U430" s="78" t="b">
        <f t="shared" si="509"/>
        <v>0</v>
      </c>
      <c r="V430" s="78" t="b">
        <f t="shared" si="509"/>
        <v>0</v>
      </c>
      <c r="W430" s="78" t="b">
        <f t="shared" si="509"/>
        <v>0</v>
      </c>
      <c r="X430" s="78" t="b">
        <f t="shared" si="509"/>
        <v>0</v>
      </c>
      <c r="Y430" s="78" t="b">
        <f t="shared" si="509"/>
        <v>0</v>
      </c>
      <c r="Z430" s="78" t="b">
        <f t="shared" si="509"/>
        <v>0</v>
      </c>
      <c r="AA430" s="78" t="b">
        <f t="shared" si="509"/>
        <v>0</v>
      </c>
      <c r="AB430" s="78" t="b">
        <f t="shared" si="509"/>
        <v>0</v>
      </c>
      <c r="AC430" s="78" t="b">
        <f t="shared" si="509"/>
        <v>0</v>
      </c>
      <c r="AD430" s="78" t="b">
        <f t="shared" si="509"/>
        <v>0</v>
      </c>
      <c r="AE430" s="78" t="b">
        <f t="shared" si="509"/>
        <v>0</v>
      </c>
      <c r="AF430" s="78" t="b">
        <f t="shared" si="509"/>
        <v>0</v>
      </c>
      <c r="AG430" s="78" t="b">
        <f t="shared" si="509"/>
        <v>0</v>
      </c>
      <c r="AH430" s="78" t="b">
        <f t="shared" si="509"/>
        <v>0</v>
      </c>
      <c r="AI430" s="78" t="b">
        <f t="shared" si="509"/>
        <v>0</v>
      </c>
      <c r="AJ430" s="78" t="b">
        <f t="shared" si="509"/>
        <v>0</v>
      </c>
      <c r="AK430" s="78" t="b">
        <f t="shared" si="509"/>
        <v>0</v>
      </c>
      <c r="AL430" s="78" t="b">
        <f t="shared" si="509"/>
        <v>0</v>
      </c>
      <c r="AM430" s="78" t="b">
        <f t="shared" si="509"/>
        <v>0</v>
      </c>
      <c r="AN430" s="78" t="b">
        <f t="shared" si="509"/>
        <v>0</v>
      </c>
      <c r="AO430" s="78" t="b">
        <f t="shared" si="509"/>
        <v>0</v>
      </c>
      <c r="AP430" s="78"/>
    </row>
    <row r="431" spans="4:42" x14ac:dyDescent="0.35">
      <c r="D431" s="96"/>
      <c r="E431" s="96"/>
      <c r="G431" s="77">
        <f t="shared" si="459"/>
        <v>0</v>
      </c>
      <c r="H431" s="78">
        <f t="shared" si="460"/>
        <v>0</v>
      </c>
      <c r="I431" s="77">
        <f t="shared" si="461"/>
        <v>0</v>
      </c>
      <c r="J431" s="78">
        <f t="shared" si="462"/>
        <v>0</v>
      </c>
      <c r="K431" s="78" t="str">
        <f t="shared" si="463"/>
        <v>1900-01-00 00:0:00</v>
      </c>
      <c r="L431" s="78" t="str">
        <f t="shared" si="464"/>
        <v>1900-01-00 00:0:00</v>
      </c>
      <c r="M431" s="79">
        <f t="shared" si="465"/>
        <v>0</v>
      </c>
      <c r="N431">
        <f t="shared" si="466"/>
        <v>1</v>
      </c>
      <c r="O431" t="str">
        <f>IFERROR(_xlfn.XLOOKUP(A431,HC!A:A,HC!C:C),"")</f>
        <v>Workforce</v>
      </c>
      <c r="R431" s="78" t="b">
        <f t="shared" ref="R431:AO431" si="510">IFERROR(IF($B431=$D$1,IF(AND($K431&lt;R$1,$L431&lt;R$1),"",IF(AND($K431&gt;S$1,$L431&gt;S$1),"",IF(AND($K431&lt;R$1,$L431&lt;=S$1),$L431-R$1,IF(AND($K431&gt;=R$1,$L431&gt;S$1),S$1-$K431,IF(AND($K431&gt;=R$1,$L431&lt;=S$1),$L431-$K431,IF(AND($K431&lt;R$1,$L431&gt;S$1),S$1-R$1,""))))))),"")</f>
        <v>0</v>
      </c>
      <c r="S431" s="78" t="b">
        <f t="shared" si="510"/>
        <v>0</v>
      </c>
      <c r="T431" s="78" t="b">
        <f t="shared" si="510"/>
        <v>0</v>
      </c>
      <c r="U431" s="78" t="b">
        <f t="shared" si="510"/>
        <v>0</v>
      </c>
      <c r="V431" s="78" t="b">
        <f t="shared" si="510"/>
        <v>0</v>
      </c>
      <c r="W431" s="78" t="b">
        <f t="shared" si="510"/>
        <v>0</v>
      </c>
      <c r="X431" s="78" t="b">
        <f t="shared" si="510"/>
        <v>0</v>
      </c>
      <c r="Y431" s="78" t="b">
        <f t="shared" si="510"/>
        <v>0</v>
      </c>
      <c r="Z431" s="78" t="b">
        <f t="shared" si="510"/>
        <v>0</v>
      </c>
      <c r="AA431" s="78" t="b">
        <f t="shared" si="510"/>
        <v>0</v>
      </c>
      <c r="AB431" s="78" t="b">
        <f t="shared" si="510"/>
        <v>0</v>
      </c>
      <c r="AC431" s="78" t="b">
        <f t="shared" si="510"/>
        <v>0</v>
      </c>
      <c r="AD431" s="78" t="b">
        <f t="shared" si="510"/>
        <v>0</v>
      </c>
      <c r="AE431" s="78" t="b">
        <f t="shared" si="510"/>
        <v>0</v>
      </c>
      <c r="AF431" s="78" t="b">
        <f t="shared" si="510"/>
        <v>0</v>
      </c>
      <c r="AG431" s="78" t="b">
        <f t="shared" si="510"/>
        <v>0</v>
      </c>
      <c r="AH431" s="78" t="b">
        <f t="shared" si="510"/>
        <v>0</v>
      </c>
      <c r="AI431" s="78" t="b">
        <f t="shared" si="510"/>
        <v>0</v>
      </c>
      <c r="AJ431" s="78" t="b">
        <f t="shared" si="510"/>
        <v>0</v>
      </c>
      <c r="AK431" s="78" t="b">
        <f t="shared" si="510"/>
        <v>0</v>
      </c>
      <c r="AL431" s="78" t="b">
        <f t="shared" si="510"/>
        <v>0</v>
      </c>
      <c r="AM431" s="78" t="b">
        <f t="shared" si="510"/>
        <v>0</v>
      </c>
      <c r="AN431" s="78" t="b">
        <f t="shared" si="510"/>
        <v>0</v>
      </c>
      <c r="AO431" s="78" t="b">
        <f t="shared" si="510"/>
        <v>0</v>
      </c>
      <c r="AP431" s="78"/>
    </row>
    <row r="432" spans="4:42" x14ac:dyDescent="0.35">
      <c r="D432" s="96"/>
      <c r="E432" s="96"/>
      <c r="G432" s="77">
        <f t="shared" si="459"/>
        <v>0</v>
      </c>
      <c r="H432" s="78">
        <f t="shared" si="460"/>
        <v>0</v>
      </c>
      <c r="I432" s="77">
        <f t="shared" si="461"/>
        <v>0</v>
      </c>
      <c r="J432" s="78">
        <f t="shared" si="462"/>
        <v>0</v>
      </c>
      <c r="K432" s="78" t="str">
        <f t="shared" si="463"/>
        <v>1900-01-00 00:0:00</v>
      </c>
      <c r="L432" s="78" t="str">
        <f t="shared" si="464"/>
        <v>1900-01-00 00:0:00</v>
      </c>
      <c r="M432" s="79">
        <f t="shared" si="465"/>
        <v>0</v>
      </c>
      <c r="N432">
        <f t="shared" si="466"/>
        <v>1</v>
      </c>
      <c r="O432" t="str">
        <f>IFERROR(_xlfn.XLOOKUP(A432,HC!A:A,HC!C:C),"")</f>
        <v>Workforce</v>
      </c>
      <c r="R432" s="78" t="b">
        <f t="shared" ref="R432:AO432" si="511">IFERROR(IF($B432=$D$1,IF(AND($K432&lt;R$1,$L432&lt;R$1),"",IF(AND($K432&gt;S$1,$L432&gt;S$1),"",IF(AND($K432&lt;R$1,$L432&lt;=S$1),$L432-R$1,IF(AND($K432&gt;=R$1,$L432&gt;S$1),S$1-$K432,IF(AND($K432&gt;=R$1,$L432&lt;=S$1),$L432-$K432,IF(AND($K432&lt;R$1,$L432&gt;S$1),S$1-R$1,""))))))),"")</f>
        <v>0</v>
      </c>
      <c r="S432" s="78" t="b">
        <f t="shared" si="511"/>
        <v>0</v>
      </c>
      <c r="T432" s="78" t="b">
        <f t="shared" si="511"/>
        <v>0</v>
      </c>
      <c r="U432" s="78" t="b">
        <f t="shared" si="511"/>
        <v>0</v>
      </c>
      <c r="V432" s="78" t="b">
        <f t="shared" si="511"/>
        <v>0</v>
      </c>
      <c r="W432" s="78" t="b">
        <f t="shared" si="511"/>
        <v>0</v>
      </c>
      <c r="X432" s="78" t="b">
        <f t="shared" si="511"/>
        <v>0</v>
      </c>
      <c r="Y432" s="78" t="b">
        <f t="shared" si="511"/>
        <v>0</v>
      </c>
      <c r="Z432" s="78" t="b">
        <f t="shared" si="511"/>
        <v>0</v>
      </c>
      <c r="AA432" s="78" t="b">
        <f t="shared" si="511"/>
        <v>0</v>
      </c>
      <c r="AB432" s="78" t="b">
        <f t="shared" si="511"/>
        <v>0</v>
      </c>
      <c r="AC432" s="78" t="b">
        <f t="shared" si="511"/>
        <v>0</v>
      </c>
      <c r="AD432" s="78" t="b">
        <f t="shared" si="511"/>
        <v>0</v>
      </c>
      <c r="AE432" s="78" t="b">
        <f t="shared" si="511"/>
        <v>0</v>
      </c>
      <c r="AF432" s="78" t="b">
        <f t="shared" si="511"/>
        <v>0</v>
      </c>
      <c r="AG432" s="78" t="b">
        <f t="shared" si="511"/>
        <v>0</v>
      </c>
      <c r="AH432" s="78" t="b">
        <f t="shared" si="511"/>
        <v>0</v>
      </c>
      <c r="AI432" s="78" t="b">
        <f t="shared" si="511"/>
        <v>0</v>
      </c>
      <c r="AJ432" s="78" t="b">
        <f t="shared" si="511"/>
        <v>0</v>
      </c>
      <c r="AK432" s="78" t="b">
        <f t="shared" si="511"/>
        <v>0</v>
      </c>
      <c r="AL432" s="78" t="b">
        <f t="shared" si="511"/>
        <v>0</v>
      </c>
      <c r="AM432" s="78" t="b">
        <f t="shared" si="511"/>
        <v>0</v>
      </c>
      <c r="AN432" s="78" t="b">
        <f t="shared" si="511"/>
        <v>0</v>
      </c>
      <c r="AO432" s="78" t="b">
        <f t="shared" si="511"/>
        <v>0</v>
      </c>
      <c r="AP432" s="78"/>
    </row>
    <row r="433" spans="4:42" x14ac:dyDescent="0.35">
      <c r="D433" s="96"/>
      <c r="E433" s="96"/>
      <c r="G433" s="77">
        <f t="shared" si="459"/>
        <v>0</v>
      </c>
      <c r="H433" s="78">
        <f t="shared" si="460"/>
        <v>0</v>
      </c>
      <c r="I433" s="77">
        <f t="shared" si="461"/>
        <v>0</v>
      </c>
      <c r="J433" s="78">
        <f t="shared" si="462"/>
        <v>0</v>
      </c>
      <c r="K433" s="78" t="str">
        <f t="shared" si="463"/>
        <v>1900-01-00 00:0:00</v>
      </c>
      <c r="L433" s="78" t="str">
        <f t="shared" si="464"/>
        <v>1900-01-00 00:0:00</v>
      </c>
      <c r="M433" s="79">
        <f t="shared" si="465"/>
        <v>0</v>
      </c>
      <c r="N433">
        <f t="shared" si="466"/>
        <v>1</v>
      </c>
      <c r="O433" t="str">
        <f>IFERROR(_xlfn.XLOOKUP(A433,HC!A:A,HC!C:C),"")</f>
        <v>Workforce</v>
      </c>
      <c r="R433" s="78" t="b">
        <f t="shared" ref="R433:AO433" si="512">IFERROR(IF($B433=$D$1,IF(AND($K433&lt;R$1,$L433&lt;R$1),"",IF(AND($K433&gt;S$1,$L433&gt;S$1),"",IF(AND($K433&lt;R$1,$L433&lt;=S$1),$L433-R$1,IF(AND($K433&gt;=R$1,$L433&gt;S$1),S$1-$K433,IF(AND($K433&gt;=R$1,$L433&lt;=S$1),$L433-$K433,IF(AND($K433&lt;R$1,$L433&gt;S$1),S$1-R$1,""))))))),"")</f>
        <v>0</v>
      </c>
      <c r="S433" s="78" t="b">
        <f t="shared" si="512"/>
        <v>0</v>
      </c>
      <c r="T433" s="78" t="b">
        <f t="shared" si="512"/>
        <v>0</v>
      </c>
      <c r="U433" s="78" t="b">
        <f t="shared" si="512"/>
        <v>0</v>
      </c>
      <c r="V433" s="78" t="b">
        <f t="shared" si="512"/>
        <v>0</v>
      </c>
      <c r="W433" s="78" t="b">
        <f t="shared" si="512"/>
        <v>0</v>
      </c>
      <c r="X433" s="78" t="b">
        <f t="shared" si="512"/>
        <v>0</v>
      </c>
      <c r="Y433" s="78" t="b">
        <f t="shared" si="512"/>
        <v>0</v>
      </c>
      <c r="Z433" s="78" t="b">
        <f t="shared" si="512"/>
        <v>0</v>
      </c>
      <c r="AA433" s="78" t="b">
        <f t="shared" si="512"/>
        <v>0</v>
      </c>
      <c r="AB433" s="78" t="b">
        <f t="shared" si="512"/>
        <v>0</v>
      </c>
      <c r="AC433" s="78" t="b">
        <f t="shared" si="512"/>
        <v>0</v>
      </c>
      <c r="AD433" s="78" t="b">
        <f t="shared" si="512"/>
        <v>0</v>
      </c>
      <c r="AE433" s="78" t="b">
        <f t="shared" si="512"/>
        <v>0</v>
      </c>
      <c r="AF433" s="78" t="b">
        <f t="shared" si="512"/>
        <v>0</v>
      </c>
      <c r="AG433" s="78" t="b">
        <f t="shared" si="512"/>
        <v>0</v>
      </c>
      <c r="AH433" s="78" t="b">
        <f t="shared" si="512"/>
        <v>0</v>
      </c>
      <c r="AI433" s="78" t="b">
        <f t="shared" si="512"/>
        <v>0</v>
      </c>
      <c r="AJ433" s="78" t="b">
        <f t="shared" si="512"/>
        <v>0</v>
      </c>
      <c r="AK433" s="78" t="b">
        <f t="shared" si="512"/>
        <v>0</v>
      </c>
      <c r="AL433" s="78" t="b">
        <f t="shared" si="512"/>
        <v>0</v>
      </c>
      <c r="AM433" s="78" t="b">
        <f t="shared" si="512"/>
        <v>0</v>
      </c>
      <c r="AN433" s="78" t="b">
        <f t="shared" si="512"/>
        <v>0</v>
      </c>
      <c r="AO433" s="78" t="b">
        <f t="shared" si="512"/>
        <v>0</v>
      </c>
      <c r="AP433" s="78"/>
    </row>
    <row r="434" spans="4:42" x14ac:dyDescent="0.35">
      <c r="D434" s="96"/>
      <c r="E434" s="96"/>
      <c r="G434" s="77">
        <f t="shared" si="459"/>
        <v>0</v>
      </c>
      <c r="H434" s="78">
        <f t="shared" si="460"/>
        <v>0</v>
      </c>
      <c r="I434" s="77">
        <f t="shared" si="461"/>
        <v>0</v>
      </c>
      <c r="J434" s="78">
        <f t="shared" si="462"/>
        <v>0</v>
      </c>
      <c r="K434" s="78" t="str">
        <f t="shared" si="463"/>
        <v>1900-01-00 00:0:00</v>
      </c>
      <c r="L434" s="78" t="str">
        <f t="shared" si="464"/>
        <v>1900-01-00 00:0:00</v>
      </c>
      <c r="M434" s="79">
        <f t="shared" si="465"/>
        <v>0</v>
      </c>
      <c r="N434">
        <f t="shared" si="466"/>
        <v>1</v>
      </c>
      <c r="O434" t="str">
        <f>IFERROR(_xlfn.XLOOKUP(A434,HC!A:A,HC!C:C),"")</f>
        <v>Workforce</v>
      </c>
      <c r="R434" s="78" t="b">
        <f t="shared" ref="R434:AO434" si="513">IFERROR(IF($B434=$D$1,IF(AND($K434&lt;R$1,$L434&lt;R$1),"",IF(AND($K434&gt;S$1,$L434&gt;S$1),"",IF(AND($K434&lt;R$1,$L434&lt;=S$1),$L434-R$1,IF(AND($K434&gt;=R$1,$L434&gt;S$1),S$1-$K434,IF(AND($K434&gt;=R$1,$L434&lt;=S$1),$L434-$K434,IF(AND($K434&lt;R$1,$L434&gt;S$1),S$1-R$1,""))))))),"")</f>
        <v>0</v>
      </c>
      <c r="S434" s="78" t="b">
        <f t="shared" si="513"/>
        <v>0</v>
      </c>
      <c r="T434" s="78" t="b">
        <f t="shared" si="513"/>
        <v>0</v>
      </c>
      <c r="U434" s="78" t="b">
        <f t="shared" si="513"/>
        <v>0</v>
      </c>
      <c r="V434" s="78" t="b">
        <f t="shared" si="513"/>
        <v>0</v>
      </c>
      <c r="W434" s="78" t="b">
        <f t="shared" si="513"/>
        <v>0</v>
      </c>
      <c r="X434" s="78" t="b">
        <f t="shared" si="513"/>
        <v>0</v>
      </c>
      <c r="Y434" s="78" t="b">
        <f t="shared" si="513"/>
        <v>0</v>
      </c>
      <c r="Z434" s="78" t="b">
        <f t="shared" si="513"/>
        <v>0</v>
      </c>
      <c r="AA434" s="78" t="b">
        <f t="shared" si="513"/>
        <v>0</v>
      </c>
      <c r="AB434" s="78" t="b">
        <f t="shared" si="513"/>
        <v>0</v>
      </c>
      <c r="AC434" s="78" t="b">
        <f t="shared" si="513"/>
        <v>0</v>
      </c>
      <c r="AD434" s="78" t="b">
        <f t="shared" si="513"/>
        <v>0</v>
      </c>
      <c r="AE434" s="78" t="b">
        <f t="shared" si="513"/>
        <v>0</v>
      </c>
      <c r="AF434" s="78" t="b">
        <f t="shared" si="513"/>
        <v>0</v>
      </c>
      <c r="AG434" s="78" t="b">
        <f t="shared" si="513"/>
        <v>0</v>
      </c>
      <c r="AH434" s="78" t="b">
        <f t="shared" si="513"/>
        <v>0</v>
      </c>
      <c r="AI434" s="78" t="b">
        <f t="shared" si="513"/>
        <v>0</v>
      </c>
      <c r="AJ434" s="78" t="b">
        <f t="shared" si="513"/>
        <v>0</v>
      </c>
      <c r="AK434" s="78" t="b">
        <f t="shared" si="513"/>
        <v>0</v>
      </c>
      <c r="AL434" s="78" t="b">
        <f t="shared" si="513"/>
        <v>0</v>
      </c>
      <c r="AM434" s="78" t="b">
        <f t="shared" si="513"/>
        <v>0</v>
      </c>
      <c r="AN434" s="78" t="b">
        <f t="shared" si="513"/>
        <v>0</v>
      </c>
      <c r="AO434" s="78" t="b">
        <f t="shared" si="513"/>
        <v>0</v>
      </c>
      <c r="AP434" s="78"/>
    </row>
    <row r="435" spans="4:42" x14ac:dyDescent="0.35">
      <c r="D435" s="96"/>
      <c r="E435" s="96"/>
      <c r="G435" s="77">
        <f t="shared" si="459"/>
        <v>0</v>
      </c>
      <c r="H435" s="78">
        <f t="shared" si="460"/>
        <v>0</v>
      </c>
      <c r="I435" s="77">
        <f t="shared" si="461"/>
        <v>0</v>
      </c>
      <c r="J435" s="78">
        <f t="shared" si="462"/>
        <v>0</v>
      </c>
      <c r="K435" s="78" t="str">
        <f t="shared" si="463"/>
        <v>1900-01-00 00:0:00</v>
      </c>
      <c r="L435" s="78" t="str">
        <f t="shared" si="464"/>
        <v>1900-01-00 00:0:00</v>
      </c>
      <c r="M435" s="79">
        <f t="shared" si="465"/>
        <v>0</v>
      </c>
      <c r="N435">
        <f t="shared" si="466"/>
        <v>1</v>
      </c>
      <c r="O435" t="str">
        <f>IFERROR(_xlfn.XLOOKUP(A435,HC!A:A,HC!C:C),"")</f>
        <v>Workforce</v>
      </c>
      <c r="R435" s="78" t="b">
        <f t="shared" ref="R435:AO435" si="514">IFERROR(IF($B435=$D$1,IF(AND($K435&lt;R$1,$L435&lt;R$1),"",IF(AND($K435&gt;S$1,$L435&gt;S$1),"",IF(AND($K435&lt;R$1,$L435&lt;=S$1),$L435-R$1,IF(AND($K435&gt;=R$1,$L435&gt;S$1),S$1-$K435,IF(AND($K435&gt;=R$1,$L435&lt;=S$1),$L435-$K435,IF(AND($K435&lt;R$1,$L435&gt;S$1),S$1-R$1,""))))))),"")</f>
        <v>0</v>
      </c>
      <c r="S435" s="78" t="b">
        <f t="shared" si="514"/>
        <v>0</v>
      </c>
      <c r="T435" s="78" t="b">
        <f t="shared" si="514"/>
        <v>0</v>
      </c>
      <c r="U435" s="78" t="b">
        <f t="shared" si="514"/>
        <v>0</v>
      </c>
      <c r="V435" s="78" t="b">
        <f t="shared" si="514"/>
        <v>0</v>
      </c>
      <c r="W435" s="78" t="b">
        <f t="shared" si="514"/>
        <v>0</v>
      </c>
      <c r="X435" s="78" t="b">
        <f t="shared" si="514"/>
        <v>0</v>
      </c>
      <c r="Y435" s="78" t="b">
        <f t="shared" si="514"/>
        <v>0</v>
      </c>
      <c r="Z435" s="78" t="b">
        <f t="shared" si="514"/>
        <v>0</v>
      </c>
      <c r="AA435" s="78" t="b">
        <f t="shared" si="514"/>
        <v>0</v>
      </c>
      <c r="AB435" s="78" t="b">
        <f t="shared" si="514"/>
        <v>0</v>
      </c>
      <c r="AC435" s="78" t="b">
        <f t="shared" si="514"/>
        <v>0</v>
      </c>
      <c r="AD435" s="78" t="b">
        <f t="shared" si="514"/>
        <v>0</v>
      </c>
      <c r="AE435" s="78" t="b">
        <f t="shared" si="514"/>
        <v>0</v>
      </c>
      <c r="AF435" s="78" t="b">
        <f t="shared" si="514"/>
        <v>0</v>
      </c>
      <c r="AG435" s="78" t="b">
        <f t="shared" si="514"/>
        <v>0</v>
      </c>
      <c r="AH435" s="78" t="b">
        <f t="shared" si="514"/>
        <v>0</v>
      </c>
      <c r="AI435" s="78" t="b">
        <f t="shared" si="514"/>
        <v>0</v>
      </c>
      <c r="AJ435" s="78" t="b">
        <f t="shared" si="514"/>
        <v>0</v>
      </c>
      <c r="AK435" s="78" t="b">
        <f t="shared" si="514"/>
        <v>0</v>
      </c>
      <c r="AL435" s="78" t="b">
        <f t="shared" si="514"/>
        <v>0</v>
      </c>
      <c r="AM435" s="78" t="b">
        <f t="shared" si="514"/>
        <v>0</v>
      </c>
      <c r="AN435" s="78" t="b">
        <f t="shared" si="514"/>
        <v>0</v>
      </c>
      <c r="AO435" s="78" t="b">
        <f t="shared" si="514"/>
        <v>0</v>
      </c>
      <c r="AP435" s="78"/>
    </row>
    <row r="436" spans="4:42" x14ac:dyDescent="0.35">
      <c r="D436" s="96"/>
      <c r="E436" s="96"/>
      <c r="G436" s="77">
        <f t="shared" si="459"/>
        <v>0</v>
      </c>
      <c r="H436" s="78">
        <f t="shared" si="460"/>
        <v>0</v>
      </c>
      <c r="I436" s="77">
        <f t="shared" si="461"/>
        <v>0</v>
      </c>
      <c r="J436" s="78">
        <f t="shared" si="462"/>
        <v>0</v>
      </c>
      <c r="K436" s="78" t="str">
        <f t="shared" si="463"/>
        <v>1900-01-00 00:0:00</v>
      </c>
      <c r="L436" s="78" t="str">
        <f t="shared" si="464"/>
        <v>1900-01-00 00:0:00</v>
      </c>
      <c r="M436" s="79">
        <f t="shared" si="465"/>
        <v>0</v>
      </c>
      <c r="N436">
        <f t="shared" si="466"/>
        <v>1</v>
      </c>
      <c r="O436" t="str">
        <f>IFERROR(_xlfn.XLOOKUP(A436,HC!A:A,HC!C:C),"")</f>
        <v>Workforce</v>
      </c>
      <c r="R436" s="78" t="b">
        <f t="shared" ref="R436:AO436" si="515">IFERROR(IF($B436=$D$1,IF(AND($K436&lt;R$1,$L436&lt;R$1),"",IF(AND($K436&gt;S$1,$L436&gt;S$1),"",IF(AND($K436&lt;R$1,$L436&lt;=S$1),$L436-R$1,IF(AND($K436&gt;=R$1,$L436&gt;S$1),S$1-$K436,IF(AND($K436&gt;=R$1,$L436&lt;=S$1),$L436-$K436,IF(AND($K436&lt;R$1,$L436&gt;S$1),S$1-R$1,""))))))),"")</f>
        <v>0</v>
      </c>
      <c r="S436" s="78" t="b">
        <f t="shared" si="515"/>
        <v>0</v>
      </c>
      <c r="T436" s="78" t="b">
        <f t="shared" si="515"/>
        <v>0</v>
      </c>
      <c r="U436" s="78" t="b">
        <f t="shared" si="515"/>
        <v>0</v>
      </c>
      <c r="V436" s="78" t="b">
        <f t="shared" si="515"/>
        <v>0</v>
      </c>
      <c r="W436" s="78" t="b">
        <f t="shared" si="515"/>
        <v>0</v>
      </c>
      <c r="X436" s="78" t="b">
        <f t="shared" si="515"/>
        <v>0</v>
      </c>
      <c r="Y436" s="78" t="b">
        <f t="shared" si="515"/>
        <v>0</v>
      </c>
      <c r="Z436" s="78" t="b">
        <f t="shared" si="515"/>
        <v>0</v>
      </c>
      <c r="AA436" s="78" t="b">
        <f t="shared" si="515"/>
        <v>0</v>
      </c>
      <c r="AB436" s="78" t="b">
        <f t="shared" si="515"/>
        <v>0</v>
      </c>
      <c r="AC436" s="78" t="b">
        <f t="shared" si="515"/>
        <v>0</v>
      </c>
      <c r="AD436" s="78" t="b">
        <f t="shared" si="515"/>
        <v>0</v>
      </c>
      <c r="AE436" s="78" t="b">
        <f t="shared" si="515"/>
        <v>0</v>
      </c>
      <c r="AF436" s="78" t="b">
        <f t="shared" si="515"/>
        <v>0</v>
      </c>
      <c r="AG436" s="78" t="b">
        <f t="shared" si="515"/>
        <v>0</v>
      </c>
      <c r="AH436" s="78" t="b">
        <f t="shared" si="515"/>
        <v>0</v>
      </c>
      <c r="AI436" s="78" t="b">
        <f t="shared" si="515"/>
        <v>0</v>
      </c>
      <c r="AJ436" s="78" t="b">
        <f t="shared" si="515"/>
        <v>0</v>
      </c>
      <c r="AK436" s="78" t="b">
        <f t="shared" si="515"/>
        <v>0</v>
      </c>
      <c r="AL436" s="78" t="b">
        <f t="shared" si="515"/>
        <v>0</v>
      </c>
      <c r="AM436" s="78" t="b">
        <f t="shared" si="515"/>
        <v>0</v>
      </c>
      <c r="AN436" s="78" t="b">
        <f t="shared" si="515"/>
        <v>0</v>
      </c>
      <c r="AO436" s="78" t="b">
        <f t="shared" si="515"/>
        <v>0</v>
      </c>
      <c r="AP436" s="78"/>
    </row>
    <row r="437" spans="4:42" x14ac:dyDescent="0.35">
      <c r="D437" s="96"/>
      <c r="E437" s="96"/>
      <c r="G437" s="77">
        <f t="shared" si="459"/>
        <v>0</v>
      </c>
      <c r="H437" s="78">
        <f t="shared" si="460"/>
        <v>0</v>
      </c>
      <c r="I437" s="77">
        <f t="shared" si="461"/>
        <v>0</v>
      </c>
      <c r="J437" s="78">
        <f t="shared" si="462"/>
        <v>0</v>
      </c>
      <c r="K437" s="78" t="str">
        <f t="shared" si="463"/>
        <v>1900-01-00 00:0:00</v>
      </c>
      <c r="L437" s="78" t="str">
        <f t="shared" si="464"/>
        <v>1900-01-00 00:0:00</v>
      </c>
      <c r="M437" s="79">
        <f t="shared" si="465"/>
        <v>0</v>
      </c>
      <c r="N437">
        <f t="shared" si="466"/>
        <v>1</v>
      </c>
      <c r="O437" t="str">
        <f>IFERROR(_xlfn.XLOOKUP(A437,HC!A:A,HC!C:C),"")</f>
        <v>Workforce</v>
      </c>
      <c r="R437" s="78" t="b">
        <f t="shared" ref="R437:AO437" si="516">IFERROR(IF($B437=$D$1,IF(AND($K437&lt;R$1,$L437&lt;R$1),"",IF(AND($K437&gt;S$1,$L437&gt;S$1),"",IF(AND($K437&lt;R$1,$L437&lt;=S$1),$L437-R$1,IF(AND($K437&gt;=R$1,$L437&gt;S$1),S$1-$K437,IF(AND($K437&gt;=R$1,$L437&lt;=S$1),$L437-$K437,IF(AND($K437&lt;R$1,$L437&gt;S$1),S$1-R$1,""))))))),"")</f>
        <v>0</v>
      </c>
      <c r="S437" s="78" t="b">
        <f t="shared" si="516"/>
        <v>0</v>
      </c>
      <c r="T437" s="78" t="b">
        <f t="shared" si="516"/>
        <v>0</v>
      </c>
      <c r="U437" s="78" t="b">
        <f t="shared" si="516"/>
        <v>0</v>
      </c>
      <c r="V437" s="78" t="b">
        <f t="shared" si="516"/>
        <v>0</v>
      </c>
      <c r="W437" s="78" t="b">
        <f t="shared" si="516"/>
        <v>0</v>
      </c>
      <c r="X437" s="78" t="b">
        <f t="shared" si="516"/>
        <v>0</v>
      </c>
      <c r="Y437" s="78" t="b">
        <f t="shared" si="516"/>
        <v>0</v>
      </c>
      <c r="Z437" s="78" t="b">
        <f t="shared" si="516"/>
        <v>0</v>
      </c>
      <c r="AA437" s="78" t="b">
        <f t="shared" si="516"/>
        <v>0</v>
      </c>
      <c r="AB437" s="78" t="b">
        <f t="shared" si="516"/>
        <v>0</v>
      </c>
      <c r="AC437" s="78" t="b">
        <f t="shared" si="516"/>
        <v>0</v>
      </c>
      <c r="AD437" s="78" t="b">
        <f t="shared" si="516"/>
        <v>0</v>
      </c>
      <c r="AE437" s="78" t="b">
        <f t="shared" si="516"/>
        <v>0</v>
      </c>
      <c r="AF437" s="78" t="b">
        <f t="shared" si="516"/>
        <v>0</v>
      </c>
      <c r="AG437" s="78" t="b">
        <f t="shared" si="516"/>
        <v>0</v>
      </c>
      <c r="AH437" s="78" t="b">
        <f t="shared" si="516"/>
        <v>0</v>
      </c>
      <c r="AI437" s="78" t="b">
        <f t="shared" si="516"/>
        <v>0</v>
      </c>
      <c r="AJ437" s="78" t="b">
        <f t="shared" si="516"/>
        <v>0</v>
      </c>
      <c r="AK437" s="78" t="b">
        <f t="shared" si="516"/>
        <v>0</v>
      </c>
      <c r="AL437" s="78" t="b">
        <f t="shared" si="516"/>
        <v>0</v>
      </c>
      <c r="AM437" s="78" t="b">
        <f t="shared" si="516"/>
        <v>0</v>
      </c>
      <c r="AN437" s="78" t="b">
        <f t="shared" si="516"/>
        <v>0</v>
      </c>
      <c r="AO437" s="78" t="b">
        <f t="shared" si="516"/>
        <v>0</v>
      </c>
      <c r="AP437" s="78"/>
    </row>
    <row r="438" spans="4:42" x14ac:dyDescent="0.35">
      <c r="D438" s="96"/>
      <c r="E438" s="96"/>
      <c r="G438" s="77">
        <f t="shared" si="459"/>
        <v>0</v>
      </c>
      <c r="H438" s="78">
        <f t="shared" si="460"/>
        <v>0</v>
      </c>
      <c r="I438" s="77">
        <f t="shared" si="461"/>
        <v>0</v>
      </c>
      <c r="J438" s="78">
        <f t="shared" si="462"/>
        <v>0</v>
      </c>
      <c r="K438" s="78" t="str">
        <f t="shared" si="463"/>
        <v>1900-01-00 00:0:00</v>
      </c>
      <c r="L438" s="78" t="str">
        <f t="shared" si="464"/>
        <v>1900-01-00 00:0:00</v>
      </c>
      <c r="M438" s="79">
        <f t="shared" si="465"/>
        <v>0</v>
      </c>
      <c r="N438">
        <f t="shared" si="466"/>
        <v>1</v>
      </c>
      <c r="O438" t="str">
        <f>IFERROR(_xlfn.XLOOKUP(A438,HC!A:A,HC!C:C),"")</f>
        <v>Workforce</v>
      </c>
      <c r="R438" s="78" t="b">
        <f t="shared" ref="R438:AO438" si="517">IFERROR(IF($B438=$D$1,IF(AND($K438&lt;R$1,$L438&lt;R$1),"",IF(AND($K438&gt;S$1,$L438&gt;S$1),"",IF(AND($K438&lt;R$1,$L438&lt;=S$1),$L438-R$1,IF(AND($K438&gt;=R$1,$L438&gt;S$1),S$1-$K438,IF(AND($K438&gt;=R$1,$L438&lt;=S$1),$L438-$K438,IF(AND($K438&lt;R$1,$L438&gt;S$1),S$1-R$1,""))))))),"")</f>
        <v>0</v>
      </c>
      <c r="S438" s="78" t="b">
        <f t="shared" si="517"/>
        <v>0</v>
      </c>
      <c r="T438" s="78" t="b">
        <f t="shared" si="517"/>
        <v>0</v>
      </c>
      <c r="U438" s="78" t="b">
        <f t="shared" si="517"/>
        <v>0</v>
      </c>
      <c r="V438" s="78" t="b">
        <f t="shared" si="517"/>
        <v>0</v>
      </c>
      <c r="W438" s="78" t="b">
        <f t="shared" si="517"/>
        <v>0</v>
      </c>
      <c r="X438" s="78" t="b">
        <f t="shared" si="517"/>
        <v>0</v>
      </c>
      <c r="Y438" s="78" t="b">
        <f t="shared" si="517"/>
        <v>0</v>
      </c>
      <c r="Z438" s="78" t="b">
        <f t="shared" si="517"/>
        <v>0</v>
      </c>
      <c r="AA438" s="78" t="b">
        <f t="shared" si="517"/>
        <v>0</v>
      </c>
      <c r="AB438" s="78" t="b">
        <f t="shared" si="517"/>
        <v>0</v>
      </c>
      <c r="AC438" s="78" t="b">
        <f t="shared" si="517"/>
        <v>0</v>
      </c>
      <c r="AD438" s="78" t="b">
        <f t="shared" si="517"/>
        <v>0</v>
      </c>
      <c r="AE438" s="78" t="b">
        <f t="shared" si="517"/>
        <v>0</v>
      </c>
      <c r="AF438" s="78" t="b">
        <f t="shared" si="517"/>
        <v>0</v>
      </c>
      <c r="AG438" s="78" t="b">
        <f t="shared" si="517"/>
        <v>0</v>
      </c>
      <c r="AH438" s="78" t="b">
        <f t="shared" si="517"/>
        <v>0</v>
      </c>
      <c r="AI438" s="78" t="b">
        <f t="shared" si="517"/>
        <v>0</v>
      </c>
      <c r="AJ438" s="78" t="b">
        <f t="shared" si="517"/>
        <v>0</v>
      </c>
      <c r="AK438" s="78" t="b">
        <f t="shared" si="517"/>
        <v>0</v>
      </c>
      <c r="AL438" s="78" t="b">
        <f t="shared" si="517"/>
        <v>0</v>
      </c>
      <c r="AM438" s="78" t="b">
        <f t="shared" si="517"/>
        <v>0</v>
      </c>
      <c r="AN438" s="78" t="b">
        <f t="shared" si="517"/>
        <v>0</v>
      </c>
      <c r="AO438" s="78" t="b">
        <f t="shared" si="517"/>
        <v>0</v>
      </c>
      <c r="AP438" s="78"/>
    </row>
    <row r="439" spans="4:42" x14ac:dyDescent="0.35">
      <c r="D439" s="96"/>
      <c r="E439" s="96"/>
      <c r="G439" s="77">
        <f t="shared" si="459"/>
        <v>0</v>
      </c>
      <c r="H439" s="78">
        <f t="shared" si="460"/>
        <v>0</v>
      </c>
      <c r="I439" s="77">
        <f t="shared" si="461"/>
        <v>0</v>
      </c>
      <c r="J439" s="78">
        <f t="shared" si="462"/>
        <v>0</v>
      </c>
      <c r="K439" s="78" t="str">
        <f t="shared" si="463"/>
        <v>1900-01-00 00:0:00</v>
      </c>
      <c r="L439" s="78" t="str">
        <f t="shared" si="464"/>
        <v>1900-01-00 00:0:00</v>
      </c>
      <c r="M439" s="79">
        <f t="shared" si="465"/>
        <v>0</v>
      </c>
      <c r="N439">
        <f t="shared" si="466"/>
        <v>1</v>
      </c>
      <c r="O439" t="str">
        <f>IFERROR(_xlfn.XLOOKUP(A439,HC!A:A,HC!C:C),"")</f>
        <v>Workforce</v>
      </c>
      <c r="R439" s="78" t="b">
        <f t="shared" ref="R439:AO439" si="518">IFERROR(IF($B439=$D$1,IF(AND($K439&lt;R$1,$L439&lt;R$1),"",IF(AND($K439&gt;S$1,$L439&gt;S$1),"",IF(AND($K439&lt;R$1,$L439&lt;=S$1),$L439-R$1,IF(AND($K439&gt;=R$1,$L439&gt;S$1),S$1-$K439,IF(AND($K439&gt;=R$1,$L439&lt;=S$1),$L439-$K439,IF(AND($K439&lt;R$1,$L439&gt;S$1),S$1-R$1,""))))))),"")</f>
        <v>0</v>
      </c>
      <c r="S439" s="78" t="b">
        <f t="shared" si="518"/>
        <v>0</v>
      </c>
      <c r="T439" s="78" t="b">
        <f t="shared" si="518"/>
        <v>0</v>
      </c>
      <c r="U439" s="78" t="b">
        <f t="shared" si="518"/>
        <v>0</v>
      </c>
      <c r="V439" s="78" t="b">
        <f t="shared" si="518"/>
        <v>0</v>
      </c>
      <c r="W439" s="78" t="b">
        <f t="shared" si="518"/>
        <v>0</v>
      </c>
      <c r="X439" s="78" t="b">
        <f t="shared" si="518"/>
        <v>0</v>
      </c>
      <c r="Y439" s="78" t="b">
        <f t="shared" si="518"/>
        <v>0</v>
      </c>
      <c r="Z439" s="78" t="b">
        <f t="shared" si="518"/>
        <v>0</v>
      </c>
      <c r="AA439" s="78" t="b">
        <f t="shared" si="518"/>
        <v>0</v>
      </c>
      <c r="AB439" s="78" t="b">
        <f t="shared" si="518"/>
        <v>0</v>
      </c>
      <c r="AC439" s="78" t="b">
        <f t="shared" si="518"/>
        <v>0</v>
      </c>
      <c r="AD439" s="78" t="b">
        <f t="shared" si="518"/>
        <v>0</v>
      </c>
      <c r="AE439" s="78" t="b">
        <f t="shared" si="518"/>
        <v>0</v>
      </c>
      <c r="AF439" s="78" t="b">
        <f t="shared" si="518"/>
        <v>0</v>
      </c>
      <c r="AG439" s="78" t="b">
        <f t="shared" si="518"/>
        <v>0</v>
      </c>
      <c r="AH439" s="78" t="b">
        <f t="shared" si="518"/>
        <v>0</v>
      </c>
      <c r="AI439" s="78" t="b">
        <f t="shared" si="518"/>
        <v>0</v>
      </c>
      <c r="AJ439" s="78" t="b">
        <f t="shared" si="518"/>
        <v>0</v>
      </c>
      <c r="AK439" s="78" t="b">
        <f t="shared" si="518"/>
        <v>0</v>
      </c>
      <c r="AL439" s="78" t="b">
        <f t="shared" si="518"/>
        <v>0</v>
      </c>
      <c r="AM439" s="78" t="b">
        <f t="shared" si="518"/>
        <v>0</v>
      </c>
      <c r="AN439" s="78" t="b">
        <f t="shared" si="518"/>
        <v>0</v>
      </c>
      <c r="AO439" s="78" t="b">
        <f t="shared" si="518"/>
        <v>0</v>
      </c>
      <c r="AP439" s="78"/>
    </row>
    <row r="440" spans="4:42" x14ac:dyDescent="0.35">
      <c r="D440" s="96"/>
      <c r="E440" s="96"/>
      <c r="G440" s="77">
        <f t="shared" si="459"/>
        <v>0</v>
      </c>
      <c r="H440" s="78">
        <f t="shared" si="460"/>
        <v>0</v>
      </c>
      <c r="I440" s="77">
        <f t="shared" si="461"/>
        <v>0</v>
      </c>
      <c r="J440" s="78">
        <f t="shared" si="462"/>
        <v>0</v>
      </c>
      <c r="K440" s="78" t="str">
        <f t="shared" si="463"/>
        <v>1900-01-00 00:0:00</v>
      </c>
      <c r="L440" s="78" t="str">
        <f t="shared" si="464"/>
        <v>1900-01-00 00:0:00</v>
      </c>
      <c r="M440" s="79">
        <f t="shared" si="465"/>
        <v>0</v>
      </c>
      <c r="N440">
        <f t="shared" si="466"/>
        <v>1</v>
      </c>
      <c r="O440" t="str">
        <f>IFERROR(_xlfn.XLOOKUP(A440,HC!A:A,HC!C:C),"")</f>
        <v>Workforce</v>
      </c>
      <c r="R440" s="78" t="b">
        <f t="shared" ref="R440:AO440" si="519">IFERROR(IF($B440=$D$1,IF(AND($K440&lt;R$1,$L440&lt;R$1),"",IF(AND($K440&gt;S$1,$L440&gt;S$1),"",IF(AND($K440&lt;R$1,$L440&lt;=S$1),$L440-R$1,IF(AND($K440&gt;=R$1,$L440&gt;S$1),S$1-$K440,IF(AND($K440&gt;=R$1,$L440&lt;=S$1),$L440-$K440,IF(AND($K440&lt;R$1,$L440&gt;S$1),S$1-R$1,""))))))),"")</f>
        <v>0</v>
      </c>
      <c r="S440" s="78" t="b">
        <f t="shared" si="519"/>
        <v>0</v>
      </c>
      <c r="T440" s="78" t="b">
        <f t="shared" si="519"/>
        <v>0</v>
      </c>
      <c r="U440" s="78" t="b">
        <f t="shared" si="519"/>
        <v>0</v>
      </c>
      <c r="V440" s="78" t="b">
        <f t="shared" si="519"/>
        <v>0</v>
      </c>
      <c r="W440" s="78" t="b">
        <f t="shared" si="519"/>
        <v>0</v>
      </c>
      <c r="X440" s="78" t="b">
        <f t="shared" si="519"/>
        <v>0</v>
      </c>
      <c r="Y440" s="78" t="b">
        <f t="shared" si="519"/>
        <v>0</v>
      </c>
      <c r="Z440" s="78" t="b">
        <f t="shared" si="519"/>
        <v>0</v>
      </c>
      <c r="AA440" s="78" t="b">
        <f t="shared" si="519"/>
        <v>0</v>
      </c>
      <c r="AB440" s="78" t="b">
        <f t="shared" si="519"/>
        <v>0</v>
      </c>
      <c r="AC440" s="78" t="b">
        <f t="shared" si="519"/>
        <v>0</v>
      </c>
      <c r="AD440" s="78" t="b">
        <f t="shared" si="519"/>
        <v>0</v>
      </c>
      <c r="AE440" s="78" t="b">
        <f t="shared" si="519"/>
        <v>0</v>
      </c>
      <c r="AF440" s="78" t="b">
        <f t="shared" si="519"/>
        <v>0</v>
      </c>
      <c r="AG440" s="78" t="b">
        <f t="shared" si="519"/>
        <v>0</v>
      </c>
      <c r="AH440" s="78" t="b">
        <f t="shared" si="519"/>
        <v>0</v>
      </c>
      <c r="AI440" s="78" t="b">
        <f t="shared" si="519"/>
        <v>0</v>
      </c>
      <c r="AJ440" s="78" t="b">
        <f t="shared" si="519"/>
        <v>0</v>
      </c>
      <c r="AK440" s="78" t="b">
        <f t="shared" si="519"/>
        <v>0</v>
      </c>
      <c r="AL440" s="78" t="b">
        <f t="shared" si="519"/>
        <v>0</v>
      </c>
      <c r="AM440" s="78" t="b">
        <f t="shared" si="519"/>
        <v>0</v>
      </c>
      <c r="AN440" s="78" t="b">
        <f t="shared" si="519"/>
        <v>0</v>
      </c>
      <c r="AO440" s="78" t="b">
        <f t="shared" si="519"/>
        <v>0</v>
      </c>
      <c r="AP440" s="78"/>
    </row>
    <row r="441" spans="4:42" x14ac:dyDescent="0.35">
      <c r="D441" s="96"/>
      <c r="E441" s="96"/>
      <c r="G441" s="77">
        <f t="shared" si="459"/>
        <v>0</v>
      </c>
      <c r="H441" s="78">
        <f t="shared" si="460"/>
        <v>0</v>
      </c>
      <c r="I441" s="77">
        <f t="shared" si="461"/>
        <v>0</v>
      </c>
      <c r="J441" s="78">
        <f t="shared" si="462"/>
        <v>0</v>
      </c>
      <c r="K441" s="78" t="str">
        <f t="shared" si="463"/>
        <v>1900-01-00 00:0:00</v>
      </c>
      <c r="L441" s="78" t="str">
        <f t="shared" si="464"/>
        <v>1900-01-00 00:0:00</v>
      </c>
      <c r="M441" s="79">
        <f t="shared" si="465"/>
        <v>0</v>
      </c>
      <c r="N441">
        <f t="shared" si="466"/>
        <v>1</v>
      </c>
      <c r="O441" t="str">
        <f>IFERROR(_xlfn.XLOOKUP(A441,HC!A:A,HC!C:C),"")</f>
        <v>Workforce</v>
      </c>
      <c r="R441" s="78" t="b">
        <f t="shared" ref="R441:AO441" si="520">IFERROR(IF($B441=$D$1,IF(AND($K441&lt;R$1,$L441&lt;R$1),"",IF(AND($K441&gt;S$1,$L441&gt;S$1),"",IF(AND($K441&lt;R$1,$L441&lt;=S$1),$L441-R$1,IF(AND($K441&gt;=R$1,$L441&gt;S$1),S$1-$K441,IF(AND($K441&gt;=R$1,$L441&lt;=S$1),$L441-$K441,IF(AND($K441&lt;R$1,$L441&gt;S$1),S$1-R$1,""))))))),"")</f>
        <v>0</v>
      </c>
      <c r="S441" s="78" t="b">
        <f t="shared" si="520"/>
        <v>0</v>
      </c>
      <c r="T441" s="78" t="b">
        <f t="shared" si="520"/>
        <v>0</v>
      </c>
      <c r="U441" s="78" t="b">
        <f t="shared" si="520"/>
        <v>0</v>
      </c>
      <c r="V441" s="78" t="b">
        <f t="shared" si="520"/>
        <v>0</v>
      </c>
      <c r="W441" s="78" t="b">
        <f t="shared" si="520"/>
        <v>0</v>
      </c>
      <c r="X441" s="78" t="b">
        <f t="shared" si="520"/>
        <v>0</v>
      </c>
      <c r="Y441" s="78" t="b">
        <f t="shared" si="520"/>
        <v>0</v>
      </c>
      <c r="Z441" s="78" t="b">
        <f t="shared" si="520"/>
        <v>0</v>
      </c>
      <c r="AA441" s="78" t="b">
        <f t="shared" si="520"/>
        <v>0</v>
      </c>
      <c r="AB441" s="78" t="b">
        <f t="shared" si="520"/>
        <v>0</v>
      </c>
      <c r="AC441" s="78" t="b">
        <f t="shared" si="520"/>
        <v>0</v>
      </c>
      <c r="AD441" s="78" t="b">
        <f t="shared" si="520"/>
        <v>0</v>
      </c>
      <c r="AE441" s="78" t="b">
        <f t="shared" si="520"/>
        <v>0</v>
      </c>
      <c r="AF441" s="78" t="b">
        <f t="shared" si="520"/>
        <v>0</v>
      </c>
      <c r="AG441" s="78" t="b">
        <f t="shared" si="520"/>
        <v>0</v>
      </c>
      <c r="AH441" s="78" t="b">
        <f t="shared" si="520"/>
        <v>0</v>
      </c>
      <c r="AI441" s="78" t="b">
        <f t="shared" si="520"/>
        <v>0</v>
      </c>
      <c r="AJ441" s="78" t="b">
        <f t="shared" si="520"/>
        <v>0</v>
      </c>
      <c r="AK441" s="78" t="b">
        <f t="shared" si="520"/>
        <v>0</v>
      </c>
      <c r="AL441" s="78" t="b">
        <f t="shared" si="520"/>
        <v>0</v>
      </c>
      <c r="AM441" s="78" t="b">
        <f t="shared" si="520"/>
        <v>0</v>
      </c>
      <c r="AN441" s="78" t="b">
        <f t="shared" si="520"/>
        <v>0</v>
      </c>
      <c r="AO441" s="78" t="b">
        <f t="shared" si="520"/>
        <v>0</v>
      </c>
      <c r="AP441" s="78"/>
    </row>
    <row r="442" spans="4:42" x14ac:dyDescent="0.35">
      <c r="D442" s="96"/>
      <c r="E442" s="96"/>
      <c r="G442" s="77">
        <f t="shared" si="459"/>
        <v>0</v>
      </c>
      <c r="H442" s="78">
        <f t="shared" si="460"/>
        <v>0</v>
      </c>
      <c r="I442" s="77">
        <f t="shared" si="461"/>
        <v>0</v>
      </c>
      <c r="J442" s="78">
        <f t="shared" si="462"/>
        <v>0</v>
      </c>
      <c r="K442" s="78" t="str">
        <f t="shared" si="463"/>
        <v>1900-01-00 00:0:00</v>
      </c>
      <c r="L442" s="78" t="str">
        <f t="shared" si="464"/>
        <v>1900-01-00 00:0:00</v>
      </c>
      <c r="M442" s="79">
        <f t="shared" si="465"/>
        <v>0</v>
      </c>
      <c r="N442">
        <f t="shared" si="466"/>
        <v>1</v>
      </c>
      <c r="O442" t="str">
        <f>IFERROR(_xlfn.XLOOKUP(A442,HC!A:A,HC!C:C),"")</f>
        <v>Workforce</v>
      </c>
      <c r="R442" s="78" t="b">
        <f t="shared" ref="R442:AO442" si="521">IFERROR(IF($B442=$D$1,IF(AND($K442&lt;R$1,$L442&lt;R$1),"",IF(AND($K442&gt;S$1,$L442&gt;S$1),"",IF(AND($K442&lt;R$1,$L442&lt;=S$1),$L442-R$1,IF(AND($K442&gt;=R$1,$L442&gt;S$1),S$1-$K442,IF(AND($K442&gt;=R$1,$L442&lt;=S$1),$L442-$K442,IF(AND($K442&lt;R$1,$L442&gt;S$1),S$1-R$1,""))))))),"")</f>
        <v>0</v>
      </c>
      <c r="S442" s="78" t="b">
        <f t="shared" si="521"/>
        <v>0</v>
      </c>
      <c r="T442" s="78" t="b">
        <f t="shared" si="521"/>
        <v>0</v>
      </c>
      <c r="U442" s="78" t="b">
        <f t="shared" si="521"/>
        <v>0</v>
      </c>
      <c r="V442" s="78" t="b">
        <f t="shared" si="521"/>
        <v>0</v>
      </c>
      <c r="W442" s="78" t="b">
        <f t="shared" si="521"/>
        <v>0</v>
      </c>
      <c r="X442" s="78" t="b">
        <f t="shared" si="521"/>
        <v>0</v>
      </c>
      <c r="Y442" s="78" t="b">
        <f t="shared" si="521"/>
        <v>0</v>
      </c>
      <c r="Z442" s="78" t="b">
        <f t="shared" si="521"/>
        <v>0</v>
      </c>
      <c r="AA442" s="78" t="b">
        <f t="shared" si="521"/>
        <v>0</v>
      </c>
      <c r="AB442" s="78" t="b">
        <f t="shared" si="521"/>
        <v>0</v>
      </c>
      <c r="AC442" s="78" t="b">
        <f t="shared" si="521"/>
        <v>0</v>
      </c>
      <c r="AD442" s="78" t="b">
        <f t="shared" si="521"/>
        <v>0</v>
      </c>
      <c r="AE442" s="78" t="b">
        <f t="shared" si="521"/>
        <v>0</v>
      </c>
      <c r="AF442" s="78" t="b">
        <f t="shared" si="521"/>
        <v>0</v>
      </c>
      <c r="AG442" s="78" t="b">
        <f t="shared" si="521"/>
        <v>0</v>
      </c>
      <c r="AH442" s="78" t="b">
        <f t="shared" si="521"/>
        <v>0</v>
      </c>
      <c r="AI442" s="78" t="b">
        <f t="shared" si="521"/>
        <v>0</v>
      </c>
      <c r="AJ442" s="78" t="b">
        <f t="shared" si="521"/>
        <v>0</v>
      </c>
      <c r="AK442" s="78" t="b">
        <f t="shared" si="521"/>
        <v>0</v>
      </c>
      <c r="AL442" s="78" t="b">
        <f t="shared" si="521"/>
        <v>0</v>
      </c>
      <c r="AM442" s="78" t="b">
        <f t="shared" si="521"/>
        <v>0</v>
      </c>
      <c r="AN442" s="78" t="b">
        <f t="shared" si="521"/>
        <v>0</v>
      </c>
      <c r="AO442" s="78" t="b">
        <f t="shared" si="521"/>
        <v>0</v>
      </c>
      <c r="AP442" s="78"/>
    </row>
    <row r="443" spans="4:42" x14ac:dyDescent="0.35">
      <c r="D443" s="96"/>
      <c r="E443" s="96"/>
      <c r="G443" s="77">
        <f t="shared" si="459"/>
        <v>0</v>
      </c>
      <c r="H443" s="78">
        <f t="shared" si="460"/>
        <v>0</v>
      </c>
      <c r="I443" s="77">
        <f t="shared" si="461"/>
        <v>0</v>
      </c>
      <c r="J443" s="78">
        <f t="shared" si="462"/>
        <v>0</v>
      </c>
      <c r="K443" s="78" t="str">
        <f t="shared" si="463"/>
        <v>1900-01-00 00:0:00</v>
      </c>
      <c r="L443" s="78" t="str">
        <f t="shared" si="464"/>
        <v>1900-01-00 00:0:00</v>
      </c>
      <c r="M443" s="79">
        <f t="shared" si="465"/>
        <v>0</v>
      </c>
      <c r="N443">
        <f t="shared" si="466"/>
        <v>1</v>
      </c>
      <c r="O443" t="str">
        <f>IFERROR(_xlfn.XLOOKUP(A443,HC!A:A,HC!C:C),"")</f>
        <v>Workforce</v>
      </c>
      <c r="R443" s="78" t="b">
        <f t="shared" ref="R443:AO443" si="522">IFERROR(IF($B443=$D$1,IF(AND($K443&lt;R$1,$L443&lt;R$1),"",IF(AND($K443&gt;S$1,$L443&gt;S$1),"",IF(AND($K443&lt;R$1,$L443&lt;=S$1),$L443-R$1,IF(AND($K443&gt;=R$1,$L443&gt;S$1),S$1-$K443,IF(AND($K443&gt;=R$1,$L443&lt;=S$1),$L443-$K443,IF(AND($K443&lt;R$1,$L443&gt;S$1),S$1-R$1,""))))))),"")</f>
        <v>0</v>
      </c>
      <c r="S443" s="78" t="b">
        <f t="shared" si="522"/>
        <v>0</v>
      </c>
      <c r="T443" s="78" t="b">
        <f t="shared" si="522"/>
        <v>0</v>
      </c>
      <c r="U443" s="78" t="b">
        <f t="shared" si="522"/>
        <v>0</v>
      </c>
      <c r="V443" s="78" t="b">
        <f t="shared" si="522"/>
        <v>0</v>
      </c>
      <c r="W443" s="78" t="b">
        <f t="shared" si="522"/>
        <v>0</v>
      </c>
      <c r="X443" s="78" t="b">
        <f t="shared" si="522"/>
        <v>0</v>
      </c>
      <c r="Y443" s="78" t="b">
        <f t="shared" si="522"/>
        <v>0</v>
      </c>
      <c r="Z443" s="78" t="b">
        <f t="shared" si="522"/>
        <v>0</v>
      </c>
      <c r="AA443" s="78" t="b">
        <f t="shared" si="522"/>
        <v>0</v>
      </c>
      <c r="AB443" s="78" t="b">
        <f t="shared" si="522"/>
        <v>0</v>
      </c>
      <c r="AC443" s="78" t="b">
        <f t="shared" si="522"/>
        <v>0</v>
      </c>
      <c r="AD443" s="78" t="b">
        <f t="shared" si="522"/>
        <v>0</v>
      </c>
      <c r="AE443" s="78" t="b">
        <f t="shared" si="522"/>
        <v>0</v>
      </c>
      <c r="AF443" s="78" t="b">
        <f t="shared" si="522"/>
        <v>0</v>
      </c>
      <c r="AG443" s="78" t="b">
        <f t="shared" si="522"/>
        <v>0</v>
      </c>
      <c r="AH443" s="78" t="b">
        <f t="shared" si="522"/>
        <v>0</v>
      </c>
      <c r="AI443" s="78" t="b">
        <f t="shared" si="522"/>
        <v>0</v>
      </c>
      <c r="AJ443" s="78" t="b">
        <f t="shared" si="522"/>
        <v>0</v>
      </c>
      <c r="AK443" s="78" t="b">
        <f t="shared" si="522"/>
        <v>0</v>
      </c>
      <c r="AL443" s="78" t="b">
        <f t="shared" si="522"/>
        <v>0</v>
      </c>
      <c r="AM443" s="78" t="b">
        <f t="shared" si="522"/>
        <v>0</v>
      </c>
      <c r="AN443" s="78" t="b">
        <f t="shared" si="522"/>
        <v>0</v>
      </c>
      <c r="AO443" s="78" t="b">
        <f t="shared" si="522"/>
        <v>0</v>
      </c>
      <c r="AP443" s="78"/>
    </row>
    <row r="444" spans="4:42" x14ac:dyDescent="0.35">
      <c r="D444" s="96"/>
      <c r="E444" s="96"/>
      <c r="G444" s="77">
        <f t="shared" si="459"/>
        <v>0</v>
      </c>
      <c r="H444" s="78">
        <f t="shared" si="460"/>
        <v>0</v>
      </c>
      <c r="I444" s="77">
        <f t="shared" si="461"/>
        <v>0</v>
      </c>
      <c r="J444" s="78">
        <f t="shared" si="462"/>
        <v>0</v>
      </c>
      <c r="K444" s="78" t="str">
        <f t="shared" si="463"/>
        <v>1900-01-00 00:0:00</v>
      </c>
      <c r="L444" s="78" t="str">
        <f t="shared" si="464"/>
        <v>1900-01-00 00:0:00</v>
      </c>
      <c r="M444" s="79">
        <f t="shared" si="465"/>
        <v>0</v>
      </c>
      <c r="N444">
        <f t="shared" si="466"/>
        <v>1</v>
      </c>
      <c r="O444" t="str">
        <f>IFERROR(_xlfn.XLOOKUP(A444,HC!A:A,HC!C:C),"")</f>
        <v>Workforce</v>
      </c>
      <c r="R444" s="78" t="b">
        <f t="shared" ref="R444:AO444" si="523">IFERROR(IF($B444=$D$1,IF(AND($K444&lt;R$1,$L444&lt;R$1),"",IF(AND($K444&gt;S$1,$L444&gt;S$1),"",IF(AND($K444&lt;R$1,$L444&lt;=S$1),$L444-R$1,IF(AND($K444&gt;=R$1,$L444&gt;S$1),S$1-$K444,IF(AND($K444&gt;=R$1,$L444&lt;=S$1),$L444-$K444,IF(AND($K444&lt;R$1,$L444&gt;S$1),S$1-R$1,""))))))),"")</f>
        <v>0</v>
      </c>
      <c r="S444" s="78" t="b">
        <f t="shared" si="523"/>
        <v>0</v>
      </c>
      <c r="T444" s="78" t="b">
        <f t="shared" si="523"/>
        <v>0</v>
      </c>
      <c r="U444" s="78" t="b">
        <f t="shared" si="523"/>
        <v>0</v>
      </c>
      <c r="V444" s="78" t="b">
        <f t="shared" si="523"/>
        <v>0</v>
      </c>
      <c r="W444" s="78" t="b">
        <f t="shared" si="523"/>
        <v>0</v>
      </c>
      <c r="X444" s="78" t="b">
        <f t="shared" si="523"/>
        <v>0</v>
      </c>
      <c r="Y444" s="78" t="b">
        <f t="shared" si="523"/>
        <v>0</v>
      </c>
      <c r="Z444" s="78" t="b">
        <f t="shared" si="523"/>
        <v>0</v>
      </c>
      <c r="AA444" s="78" t="b">
        <f t="shared" si="523"/>
        <v>0</v>
      </c>
      <c r="AB444" s="78" t="b">
        <f t="shared" si="523"/>
        <v>0</v>
      </c>
      <c r="AC444" s="78" t="b">
        <f t="shared" si="523"/>
        <v>0</v>
      </c>
      <c r="AD444" s="78" t="b">
        <f t="shared" si="523"/>
        <v>0</v>
      </c>
      <c r="AE444" s="78" t="b">
        <f t="shared" si="523"/>
        <v>0</v>
      </c>
      <c r="AF444" s="78" t="b">
        <f t="shared" si="523"/>
        <v>0</v>
      </c>
      <c r="AG444" s="78" t="b">
        <f t="shared" si="523"/>
        <v>0</v>
      </c>
      <c r="AH444" s="78" t="b">
        <f t="shared" si="523"/>
        <v>0</v>
      </c>
      <c r="AI444" s="78" t="b">
        <f t="shared" si="523"/>
        <v>0</v>
      </c>
      <c r="AJ444" s="78" t="b">
        <f t="shared" si="523"/>
        <v>0</v>
      </c>
      <c r="AK444" s="78" t="b">
        <f t="shared" si="523"/>
        <v>0</v>
      </c>
      <c r="AL444" s="78" t="b">
        <f t="shared" si="523"/>
        <v>0</v>
      </c>
      <c r="AM444" s="78" t="b">
        <f t="shared" si="523"/>
        <v>0</v>
      </c>
      <c r="AN444" s="78" t="b">
        <f t="shared" si="523"/>
        <v>0</v>
      </c>
      <c r="AO444" s="78" t="b">
        <f t="shared" si="523"/>
        <v>0</v>
      </c>
      <c r="AP444" s="78"/>
    </row>
    <row r="445" spans="4:42" x14ac:dyDescent="0.35">
      <c r="D445" s="96"/>
      <c r="E445" s="96"/>
      <c r="G445" s="77">
        <f t="shared" si="459"/>
        <v>0</v>
      </c>
      <c r="H445" s="78">
        <f t="shared" si="460"/>
        <v>0</v>
      </c>
      <c r="I445" s="77">
        <f t="shared" si="461"/>
        <v>0</v>
      </c>
      <c r="J445" s="78">
        <f t="shared" si="462"/>
        <v>0</v>
      </c>
      <c r="K445" s="78" t="str">
        <f t="shared" si="463"/>
        <v>1900-01-00 00:0:00</v>
      </c>
      <c r="L445" s="78" t="str">
        <f t="shared" si="464"/>
        <v>1900-01-00 00:0:00</v>
      </c>
      <c r="M445" s="79">
        <f t="shared" si="465"/>
        <v>0</v>
      </c>
      <c r="N445">
        <f t="shared" si="466"/>
        <v>1</v>
      </c>
      <c r="O445" t="str">
        <f>IFERROR(_xlfn.XLOOKUP(A445,HC!A:A,HC!C:C),"")</f>
        <v>Workforce</v>
      </c>
      <c r="R445" s="78" t="b">
        <f t="shared" ref="R445:AO445" si="524">IFERROR(IF($B445=$D$1,IF(AND($K445&lt;R$1,$L445&lt;R$1),"",IF(AND($K445&gt;S$1,$L445&gt;S$1),"",IF(AND($K445&lt;R$1,$L445&lt;=S$1),$L445-R$1,IF(AND($K445&gt;=R$1,$L445&gt;S$1),S$1-$K445,IF(AND($K445&gt;=R$1,$L445&lt;=S$1),$L445-$K445,IF(AND($K445&lt;R$1,$L445&gt;S$1),S$1-R$1,""))))))),"")</f>
        <v>0</v>
      </c>
      <c r="S445" s="78" t="b">
        <f t="shared" si="524"/>
        <v>0</v>
      </c>
      <c r="T445" s="78" t="b">
        <f t="shared" si="524"/>
        <v>0</v>
      </c>
      <c r="U445" s="78" t="b">
        <f t="shared" si="524"/>
        <v>0</v>
      </c>
      <c r="V445" s="78" t="b">
        <f t="shared" si="524"/>
        <v>0</v>
      </c>
      <c r="W445" s="78" t="b">
        <f t="shared" si="524"/>
        <v>0</v>
      </c>
      <c r="X445" s="78" t="b">
        <f t="shared" si="524"/>
        <v>0</v>
      </c>
      <c r="Y445" s="78" t="b">
        <f t="shared" si="524"/>
        <v>0</v>
      </c>
      <c r="Z445" s="78" t="b">
        <f t="shared" si="524"/>
        <v>0</v>
      </c>
      <c r="AA445" s="78" t="b">
        <f t="shared" si="524"/>
        <v>0</v>
      </c>
      <c r="AB445" s="78" t="b">
        <f t="shared" si="524"/>
        <v>0</v>
      </c>
      <c r="AC445" s="78" t="b">
        <f t="shared" si="524"/>
        <v>0</v>
      </c>
      <c r="AD445" s="78" t="b">
        <f t="shared" si="524"/>
        <v>0</v>
      </c>
      <c r="AE445" s="78" t="b">
        <f t="shared" si="524"/>
        <v>0</v>
      </c>
      <c r="AF445" s="78" t="b">
        <f t="shared" si="524"/>
        <v>0</v>
      </c>
      <c r="AG445" s="78" t="b">
        <f t="shared" si="524"/>
        <v>0</v>
      </c>
      <c r="AH445" s="78" t="b">
        <f t="shared" si="524"/>
        <v>0</v>
      </c>
      <c r="AI445" s="78" t="b">
        <f t="shared" si="524"/>
        <v>0</v>
      </c>
      <c r="AJ445" s="78" t="b">
        <f t="shared" si="524"/>
        <v>0</v>
      </c>
      <c r="AK445" s="78" t="b">
        <f t="shared" si="524"/>
        <v>0</v>
      </c>
      <c r="AL445" s="78" t="b">
        <f t="shared" si="524"/>
        <v>0</v>
      </c>
      <c r="AM445" s="78" t="b">
        <f t="shared" si="524"/>
        <v>0</v>
      </c>
      <c r="AN445" s="78" t="b">
        <f t="shared" si="524"/>
        <v>0</v>
      </c>
      <c r="AO445" s="78" t="b">
        <f t="shared" si="524"/>
        <v>0</v>
      </c>
      <c r="AP445" s="78"/>
    </row>
    <row r="446" spans="4:42" x14ac:dyDescent="0.35">
      <c r="D446" s="96"/>
      <c r="E446" s="96"/>
      <c r="G446" s="77">
        <f t="shared" si="459"/>
        <v>0</v>
      </c>
      <c r="H446" s="78">
        <f t="shared" si="460"/>
        <v>0</v>
      </c>
      <c r="I446" s="77">
        <f t="shared" si="461"/>
        <v>0</v>
      </c>
      <c r="J446" s="78">
        <f t="shared" si="462"/>
        <v>0</v>
      </c>
      <c r="K446" s="78" t="str">
        <f t="shared" si="463"/>
        <v>1900-01-00 00:0:00</v>
      </c>
      <c r="L446" s="78" t="str">
        <f t="shared" si="464"/>
        <v>1900-01-00 00:0:00</v>
      </c>
      <c r="M446" s="79">
        <f t="shared" si="465"/>
        <v>0</v>
      </c>
      <c r="N446">
        <f t="shared" si="466"/>
        <v>1</v>
      </c>
      <c r="O446" t="str">
        <f>IFERROR(_xlfn.XLOOKUP(A446,HC!A:A,HC!C:C),"")</f>
        <v>Workforce</v>
      </c>
      <c r="R446" s="78" t="b">
        <f t="shared" ref="R446:AO446" si="525">IFERROR(IF($B446=$D$1,IF(AND($K446&lt;R$1,$L446&lt;R$1),"",IF(AND($K446&gt;S$1,$L446&gt;S$1),"",IF(AND($K446&lt;R$1,$L446&lt;=S$1),$L446-R$1,IF(AND($K446&gt;=R$1,$L446&gt;S$1),S$1-$K446,IF(AND($K446&gt;=R$1,$L446&lt;=S$1),$L446-$K446,IF(AND($K446&lt;R$1,$L446&gt;S$1),S$1-R$1,""))))))),"")</f>
        <v>0</v>
      </c>
      <c r="S446" s="78" t="b">
        <f t="shared" si="525"/>
        <v>0</v>
      </c>
      <c r="T446" s="78" t="b">
        <f t="shared" si="525"/>
        <v>0</v>
      </c>
      <c r="U446" s="78" t="b">
        <f t="shared" si="525"/>
        <v>0</v>
      </c>
      <c r="V446" s="78" t="b">
        <f t="shared" si="525"/>
        <v>0</v>
      </c>
      <c r="W446" s="78" t="b">
        <f t="shared" si="525"/>
        <v>0</v>
      </c>
      <c r="X446" s="78" t="b">
        <f t="shared" si="525"/>
        <v>0</v>
      </c>
      <c r="Y446" s="78" t="b">
        <f t="shared" si="525"/>
        <v>0</v>
      </c>
      <c r="Z446" s="78" t="b">
        <f t="shared" si="525"/>
        <v>0</v>
      </c>
      <c r="AA446" s="78" t="b">
        <f t="shared" si="525"/>
        <v>0</v>
      </c>
      <c r="AB446" s="78" t="b">
        <f t="shared" si="525"/>
        <v>0</v>
      </c>
      <c r="AC446" s="78" t="b">
        <f t="shared" si="525"/>
        <v>0</v>
      </c>
      <c r="AD446" s="78" t="b">
        <f t="shared" si="525"/>
        <v>0</v>
      </c>
      <c r="AE446" s="78" t="b">
        <f t="shared" si="525"/>
        <v>0</v>
      </c>
      <c r="AF446" s="78" t="b">
        <f t="shared" si="525"/>
        <v>0</v>
      </c>
      <c r="AG446" s="78" t="b">
        <f t="shared" si="525"/>
        <v>0</v>
      </c>
      <c r="AH446" s="78" t="b">
        <f t="shared" si="525"/>
        <v>0</v>
      </c>
      <c r="AI446" s="78" t="b">
        <f t="shared" si="525"/>
        <v>0</v>
      </c>
      <c r="AJ446" s="78" t="b">
        <f t="shared" si="525"/>
        <v>0</v>
      </c>
      <c r="AK446" s="78" t="b">
        <f t="shared" si="525"/>
        <v>0</v>
      </c>
      <c r="AL446" s="78" t="b">
        <f t="shared" si="525"/>
        <v>0</v>
      </c>
      <c r="AM446" s="78" t="b">
        <f t="shared" si="525"/>
        <v>0</v>
      </c>
      <c r="AN446" s="78" t="b">
        <f t="shared" si="525"/>
        <v>0</v>
      </c>
      <c r="AO446" s="78" t="b">
        <f t="shared" si="525"/>
        <v>0</v>
      </c>
      <c r="AP446" s="78"/>
    </row>
    <row r="447" spans="4:42" x14ac:dyDescent="0.35">
      <c r="D447" s="96"/>
      <c r="E447" s="96"/>
      <c r="G447" s="77">
        <f t="shared" si="459"/>
        <v>0</v>
      </c>
      <c r="H447" s="78">
        <f t="shared" si="460"/>
        <v>0</v>
      </c>
      <c r="I447" s="77">
        <f t="shared" si="461"/>
        <v>0</v>
      </c>
      <c r="J447" s="78">
        <f t="shared" si="462"/>
        <v>0</v>
      </c>
      <c r="K447" s="78" t="str">
        <f t="shared" si="463"/>
        <v>1900-01-00 00:0:00</v>
      </c>
      <c r="L447" s="78" t="str">
        <f t="shared" si="464"/>
        <v>1900-01-00 00:0:00</v>
      </c>
      <c r="M447" s="79">
        <f t="shared" si="465"/>
        <v>0</v>
      </c>
      <c r="N447">
        <f t="shared" si="466"/>
        <v>1</v>
      </c>
      <c r="O447" t="str">
        <f>IFERROR(_xlfn.XLOOKUP(A447,HC!A:A,HC!C:C),"")</f>
        <v>Workforce</v>
      </c>
      <c r="R447" s="78" t="b">
        <f t="shared" ref="R447:AO447" si="526">IFERROR(IF($B447=$D$1,IF(AND($K447&lt;R$1,$L447&lt;R$1),"",IF(AND($K447&gt;S$1,$L447&gt;S$1),"",IF(AND($K447&lt;R$1,$L447&lt;=S$1),$L447-R$1,IF(AND($K447&gt;=R$1,$L447&gt;S$1),S$1-$K447,IF(AND($K447&gt;=R$1,$L447&lt;=S$1),$L447-$K447,IF(AND($K447&lt;R$1,$L447&gt;S$1),S$1-R$1,""))))))),"")</f>
        <v>0</v>
      </c>
      <c r="S447" s="78" t="b">
        <f t="shared" si="526"/>
        <v>0</v>
      </c>
      <c r="T447" s="78" t="b">
        <f t="shared" si="526"/>
        <v>0</v>
      </c>
      <c r="U447" s="78" t="b">
        <f t="shared" si="526"/>
        <v>0</v>
      </c>
      <c r="V447" s="78" t="b">
        <f t="shared" si="526"/>
        <v>0</v>
      </c>
      <c r="W447" s="78" t="b">
        <f t="shared" si="526"/>
        <v>0</v>
      </c>
      <c r="X447" s="78" t="b">
        <f t="shared" si="526"/>
        <v>0</v>
      </c>
      <c r="Y447" s="78" t="b">
        <f t="shared" si="526"/>
        <v>0</v>
      </c>
      <c r="Z447" s="78" t="b">
        <f t="shared" si="526"/>
        <v>0</v>
      </c>
      <c r="AA447" s="78" t="b">
        <f t="shared" si="526"/>
        <v>0</v>
      </c>
      <c r="AB447" s="78" t="b">
        <f t="shared" si="526"/>
        <v>0</v>
      </c>
      <c r="AC447" s="78" t="b">
        <f t="shared" si="526"/>
        <v>0</v>
      </c>
      <c r="AD447" s="78" t="b">
        <f t="shared" si="526"/>
        <v>0</v>
      </c>
      <c r="AE447" s="78" t="b">
        <f t="shared" si="526"/>
        <v>0</v>
      </c>
      <c r="AF447" s="78" t="b">
        <f t="shared" si="526"/>
        <v>0</v>
      </c>
      <c r="AG447" s="78" t="b">
        <f t="shared" si="526"/>
        <v>0</v>
      </c>
      <c r="AH447" s="78" t="b">
        <f t="shared" si="526"/>
        <v>0</v>
      </c>
      <c r="AI447" s="78" t="b">
        <f t="shared" si="526"/>
        <v>0</v>
      </c>
      <c r="AJ447" s="78" t="b">
        <f t="shared" si="526"/>
        <v>0</v>
      </c>
      <c r="AK447" s="78" t="b">
        <f t="shared" si="526"/>
        <v>0</v>
      </c>
      <c r="AL447" s="78" t="b">
        <f t="shared" si="526"/>
        <v>0</v>
      </c>
      <c r="AM447" s="78" t="b">
        <f t="shared" si="526"/>
        <v>0</v>
      </c>
      <c r="AN447" s="78" t="b">
        <f t="shared" si="526"/>
        <v>0</v>
      </c>
      <c r="AO447" s="78" t="b">
        <f t="shared" si="526"/>
        <v>0</v>
      </c>
      <c r="AP447" s="78"/>
    </row>
    <row r="448" spans="4:42" x14ac:dyDescent="0.35">
      <c r="D448" s="96"/>
      <c r="E448" s="96"/>
      <c r="G448" s="77">
        <f t="shared" si="459"/>
        <v>0</v>
      </c>
      <c r="H448" s="78">
        <f t="shared" si="460"/>
        <v>0</v>
      </c>
      <c r="I448" s="77">
        <f t="shared" si="461"/>
        <v>0</v>
      </c>
      <c r="J448" s="78">
        <f t="shared" si="462"/>
        <v>0</v>
      </c>
      <c r="K448" s="78" t="str">
        <f t="shared" si="463"/>
        <v>1900-01-00 00:0:00</v>
      </c>
      <c r="L448" s="78" t="str">
        <f t="shared" si="464"/>
        <v>1900-01-00 00:0:00</v>
      </c>
      <c r="M448" s="79">
        <f t="shared" si="465"/>
        <v>0</v>
      </c>
      <c r="N448">
        <f t="shared" si="466"/>
        <v>1</v>
      </c>
      <c r="O448" t="str">
        <f>IFERROR(_xlfn.XLOOKUP(A448,HC!A:A,HC!C:C),"")</f>
        <v>Workforce</v>
      </c>
      <c r="R448" s="78" t="b">
        <f t="shared" ref="R448:AO448" si="527">IFERROR(IF($B448=$D$1,IF(AND($K448&lt;R$1,$L448&lt;R$1),"",IF(AND($K448&gt;S$1,$L448&gt;S$1),"",IF(AND($K448&lt;R$1,$L448&lt;=S$1),$L448-R$1,IF(AND($K448&gt;=R$1,$L448&gt;S$1),S$1-$K448,IF(AND($K448&gt;=R$1,$L448&lt;=S$1),$L448-$K448,IF(AND($K448&lt;R$1,$L448&gt;S$1),S$1-R$1,""))))))),"")</f>
        <v>0</v>
      </c>
      <c r="S448" s="78" t="b">
        <f t="shared" si="527"/>
        <v>0</v>
      </c>
      <c r="T448" s="78" t="b">
        <f t="shared" si="527"/>
        <v>0</v>
      </c>
      <c r="U448" s="78" t="b">
        <f t="shared" si="527"/>
        <v>0</v>
      </c>
      <c r="V448" s="78" t="b">
        <f t="shared" si="527"/>
        <v>0</v>
      </c>
      <c r="W448" s="78" t="b">
        <f t="shared" si="527"/>
        <v>0</v>
      </c>
      <c r="X448" s="78" t="b">
        <f t="shared" si="527"/>
        <v>0</v>
      </c>
      <c r="Y448" s="78" t="b">
        <f t="shared" si="527"/>
        <v>0</v>
      </c>
      <c r="Z448" s="78" t="b">
        <f t="shared" si="527"/>
        <v>0</v>
      </c>
      <c r="AA448" s="78" t="b">
        <f t="shared" si="527"/>
        <v>0</v>
      </c>
      <c r="AB448" s="78" t="b">
        <f t="shared" si="527"/>
        <v>0</v>
      </c>
      <c r="AC448" s="78" t="b">
        <f t="shared" si="527"/>
        <v>0</v>
      </c>
      <c r="AD448" s="78" t="b">
        <f t="shared" si="527"/>
        <v>0</v>
      </c>
      <c r="AE448" s="78" t="b">
        <f t="shared" si="527"/>
        <v>0</v>
      </c>
      <c r="AF448" s="78" t="b">
        <f t="shared" si="527"/>
        <v>0</v>
      </c>
      <c r="AG448" s="78" t="b">
        <f t="shared" si="527"/>
        <v>0</v>
      </c>
      <c r="AH448" s="78" t="b">
        <f t="shared" si="527"/>
        <v>0</v>
      </c>
      <c r="AI448" s="78" t="b">
        <f t="shared" si="527"/>
        <v>0</v>
      </c>
      <c r="AJ448" s="78" t="b">
        <f t="shared" si="527"/>
        <v>0</v>
      </c>
      <c r="AK448" s="78" t="b">
        <f t="shared" si="527"/>
        <v>0</v>
      </c>
      <c r="AL448" s="78" t="b">
        <f t="shared" si="527"/>
        <v>0</v>
      </c>
      <c r="AM448" s="78" t="b">
        <f t="shared" si="527"/>
        <v>0</v>
      </c>
      <c r="AN448" s="78" t="b">
        <f t="shared" si="527"/>
        <v>0</v>
      </c>
      <c r="AO448" s="78" t="b">
        <f t="shared" si="527"/>
        <v>0</v>
      </c>
      <c r="AP448" s="78"/>
    </row>
    <row r="449" spans="4:42" x14ac:dyDescent="0.35">
      <c r="D449" s="96"/>
      <c r="E449" s="96"/>
      <c r="G449" s="77">
        <f t="shared" si="459"/>
        <v>0</v>
      </c>
      <c r="H449" s="78">
        <f t="shared" si="460"/>
        <v>0</v>
      </c>
      <c r="I449" s="77">
        <f t="shared" si="461"/>
        <v>0</v>
      </c>
      <c r="J449" s="78">
        <f t="shared" si="462"/>
        <v>0</v>
      </c>
      <c r="K449" s="78" t="str">
        <f t="shared" si="463"/>
        <v>1900-01-00 00:0:00</v>
      </c>
      <c r="L449" s="78" t="str">
        <f t="shared" si="464"/>
        <v>1900-01-00 00:0:00</v>
      </c>
      <c r="M449" s="79">
        <f t="shared" si="465"/>
        <v>0</v>
      </c>
      <c r="N449">
        <f t="shared" si="466"/>
        <v>1</v>
      </c>
      <c r="O449" t="str">
        <f>IFERROR(_xlfn.XLOOKUP(A449,HC!A:A,HC!C:C),"")</f>
        <v>Workforce</v>
      </c>
      <c r="R449" s="78" t="b">
        <f t="shared" ref="R449:AO449" si="528">IFERROR(IF($B449=$D$1,IF(AND($K449&lt;R$1,$L449&lt;R$1),"",IF(AND($K449&gt;S$1,$L449&gt;S$1),"",IF(AND($K449&lt;R$1,$L449&lt;=S$1),$L449-R$1,IF(AND($K449&gt;=R$1,$L449&gt;S$1),S$1-$K449,IF(AND($K449&gt;=R$1,$L449&lt;=S$1),$L449-$K449,IF(AND($K449&lt;R$1,$L449&gt;S$1),S$1-R$1,""))))))),"")</f>
        <v>0</v>
      </c>
      <c r="S449" s="78" t="b">
        <f t="shared" si="528"/>
        <v>0</v>
      </c>
      <c r="T449" s="78" t="b">
        <f t="shared" si="528"/>
        <v>0</v>
      </c>
      <c r="U449" s="78" t="b">
        <f t="shared" si="528"/>
        <v>0</v>
      </c>
      <c r="V449" s="78" t="b">
        <f t="shared" si="528"/>
        <v>0</v>
      </c>
      <c r="W449" s="78" t="b">
        <f t="shared" si="528"/>
        <v>0</v>
      </c>
      <c r="X449" s="78" t="b">
        <f t="shared" si="528"/>
        <v>0</v>
      </c>
      <c r="Y449" s="78" t="b">
        <f t="shared" si="528"/>
        <v>0</v>
      </c>
      <c r="Z449" s="78" t="b">
        <f t="shared" si="528"/>
        <v>0</v>
      </c>
      <c r="AA449" s="78" t="b">
        <f t="shared" si="528"/>
        <v>0</v>
      </c>
      <c r="AB449" s="78" t="b">
        <f t="shared" si="528"/>
        <v>0</v>
      </c>
      <c r="AC449" s="78" t="b">
        <f t="shared" si="528"/>
        <v>0</v>
      </c>
      <c r="AD449" s="78" t="b">
        <f t="shared" si="528"/>
        <v>0</v>
      </c>
      <c r="AE449" s="78" t="b">
        <f t="shared" si="528"/>
        <v>0</v>
      </c>
      <c r="AF449" s="78" t="b">
        <f t="shared" si="528"/>
        <v>0</v>
      </c>
      <c r="AG449" s="78" t="b">
        <f t="shared" si="528"/>
        <v>0</v>
      </c>
      <c r="AH449" s="78" t="b">
        <f t="shared" si="528"/>
        <v>0</v>
      </c>
      <c r="AI449" s="78" t="b">
        <f t="shared" si="528"/>
        <v>0</v>
      </c>
      <c r="AJ449" s="78" t="b">
        <f t="shared" si="528"/>
        <v>0</v>
      </c>
      <c r="AK449" s="78" t="b">
        <f t="shared" si="528"/>
        <v>0</v>
      </c>
      <c r="AL449" s="78" t="b">
        <f t="shared" si="528"/>
        <v>0</v>
      </c>
      <c r="AM449" s="78" t="b">
        <f t="shared" si="528"/>
        <v>0</v>
      </c>
      <c r="AN449" s="78" t="b">
        <f t="shared" si="528"/>
        <v>0</v>
      </c>
      <c r="AO449" s="78" t="b">
        <f t="shared" si="528"/>
        <v>0</v>
      </c>
      <c r="AP449" s="78"/>
    </row>
    <row r="450" spans="4:42" x14ac:dyDescent="0.35">
      <c r="D450" s="96"/>
      <c r="E450" s="96"/>
      <c r="G450" s="77">
        <f t="shared" si="459"/>
        <v>0</v>
      </c>
      <c r="H450" s="78">
        <f t="shared" si="460"/>
        <v>0</v>
      </c>
      <c r="I450" s="77">
        <f t="shared" si="461"/>
        <v>0</v>
      </c>
      <c r="J450" s="78">
        <f t="shared" si="462"/>
        <v>0</v>
      </c>
      <c r="K450" s="78" t="str">
        <f t="shared" si="463"/>
        <v>1900-01-00 00:0:00</v>
      </c>
      <c r="L450" s="78" t="str">
        <f t="shared" si="464"/>
        <v>1900-01-00 00:0:00</v>
      </c>
      <c r="M450" s="79">
        <f t="shared" si="465"/>
        <v>0</v>
      </c>
      <c r="N450">
        <f t="shared" si="466"/>
        <v>1</v>
      </c>
      <c r="O450" t="str">
        <f>IFERROR(_xlfn.XLOOKUP(A450,HC!A:A,HC!C:C),"")</f>
        <v>Workforce</v>
      </c>
      <c r="R450" s="78" t="b">
        <f t="shared" ref="R450:AO450" si="529">IFERROR(IF($B450=$D$1,IF(AND($K450&lt;R$1,$L450&lt;R$1),"",IF(AND($K450&gt;S$1,$L450&gt;S$1),"",IF(AND($K450&lt;R$1,$L450&lt;=S$1),$L450-R$1,IF(AND($K450&gt;=R$1,$L450&gt;S$1),S$1-$K450,IF(AND($K450&gt;=R$1,$L450&lt;=S$1),$L450-$K450,IF(AND($K450&lt;R$1,$L450&gt;S$1),S$1-R$1,""))))))),"")</f>
        <v>0</v>
      </c>
      <c r="S450" s="78" t="b">
        <f t="shared" si="529"/>
        <v>0</v>
      </c>
      <c r="T450" s="78" t="b">
        <f t="shared" si="529"/>
        <v>0</v>
      </c>
      <c r="U450" s="78" t="b">
        <f t="shared" si="529"/>
        <v>0</v>
      </c>
      <c r="V450" s="78" t="b">
        <f t="shared" si="529"/>
        <v>0</v>
      </c>
      <c r="W450" s="78" t="b">
        <f t="shared" si="529"/>
        <v>0</v>
      </c>
      <c r="X450" s="78" t="b">
        <f t="shared" si="529"/>
        <v>0</v>
      </c>
      <c r="Y450" s="78" t="b">
        <f t="shared" si="529"/>
        <v>0</v>
      </c>
      <c r="Z450" s="78" t="b">
        <f t="shared" si="529"/>
        <v>0</v>
      </c>
      <c r="AA450" s="78" t="b">
        <f t="shared" si="529"/>
        <v>0</v>
      </c>
      <c r="AB450" s="78" t="b">
        <f t="shared" si="529"/>
        <v>0</v>
      </c>
      <c r="AC450" s="78" t="b">
        <f t="shared" si="529"/>
        <v>0</v>
      </c>
      <c r="AD450" s="78" t="b">
        <f t="shared" si="529"/>
        <v>0</v>
      </c>
      <c r="AE450" s="78" t="b">
        <f t="shared" si="529"/>
        <v>0</v>
      </c>
      <c r="AF450" s="78" t="b">
        <f t="shared" si="529"/>
        <v>0</v>
      </c>
      <c r="AG450" s="78" t="b">
        <f t="shared" si="529"/>
        <v>0</v>
      </c>
      <c r="AH450" s="78" t="b">
        <f t="shared" si="529"/>
        <v>0</v>
      </c>
      <c r="AI450" s="78" t="b">
        <f t="shared" si="529"/>
        <v>0</v>
      </c>
      <c r="AJ450" s="78" t="b">
        <f t="shared" si="529"/>
        <v>0</v>
      </c>
      <c r="AK450" s="78" t="b">
        <f t="shared" si="529"/>
        <v>0</v>
      </c>
      <c r="AL450" s="78" t="b">
        <f t="shared" si="529"/>
        <v>0</v>
      </c>
      <c r="AM450" s="78" t="b">
        <f t="shared" si="529"/>
        <v>0</v>
      </c>
      <c r="AN450" s="78" t="b">
        <f t="shared" si="529"/>
        <v>0</v>
      </c>
      <c r="AO450" s="78" t="b">
        <f t="shared" si="529"/>
        <v>0</v>
      </c>
      <c r="AP450" s="78"/>
    </row>
    <row r="451" spans="4:42" x14ac:dyDescent="0.35">
      <c r="D451" s="96"/>
      <c r="E451" s="96"/>
      <c r="G451" s="77">
        <f t="shared" si="459"/>
        <v>0</v>
      </c>
      <c r="H451" s="78">
        <f t="shared" si="460"/>
        <v>0</v>
      </c>
      <c r="I451" s="77">
        <f t="shared" si="461"/>
        <v>0</v>
      </c>
      <c r="J451" s="78">
        <f t="shared" si="462"/>
        <v>0</v>
      </c>
      <c r="K451" s="78" t="str">
        <f t="shared" si="463"/>
        <v>1900-01-00 00:0:00</v>
      </c>
      <c r="L451" s="78" t="str">
        <f t="shared" si="464"/>
        <v>1900-01-00 00:0:00</v>
      </c>
      <c r="M451" s="79">
        <f t="shared" si="465"/>
        <v>0</v>
      </c>
      <c r="N451">
        <f t="shared" si="466"/>
        <v>1</v>
      </c>
      <c r="O451" t="str">
        <f>IFERROR(_xlfn.XLOOKUP(A451,HC!A:A,HC!C:C),"")</f>
        <v>Workforce</v>
      </c>
      <c r="R451" s="78" t="b">
        <f t="shared" ref="R451:AO451" si="530">IFERROR(IF($B451=$D$1,IF(AND($K451&lt;R$1,$L451&lt;R$1),"",IF(AND($K451&gt;S$1,$L451&gt;S$1),"",IF(AND($K451&lt;R$1,$L451&lt;=S$1),$L451-R$1,IF(AND($K451&gt;=R$1,$L451&gt;S$1),S$1-$K451,IF(AND($K451&gt;=R$1,$L451&lt;=S$1),$L451-$K451,IF(AND($K451&lt;R$1,$L451&gt;S$1),S$1-R$1,""))))))),"")</f>
        <v>0</v>
      </c>
      <c r="S451" s="78" t="b">
        <f t="shared" si="530"/>
        <v>0</v>
      </c>
      <c r="T451" s="78" t="b">
        <f t="shared" si="530"/>
        <v>0</v>
      </c>
      <c r="U451" s="78" t="b">
        <f t="shared" si="530"/>
        <v>0</v>
      </c>
      <c r="V451" s="78" t="b">
        <f t="shared" si="530"/>
        <v>0</v>
      </c>
      <c r="W451" s="78" t="b">
        <f t="shared" si="530"/>
        <v>0</v>
      </c>
      <c r="X451" s="78" t="b">
        <f t="shared" si="530"/>
        <v>0</v>
      </c>
      <c r="Y451" s="78" t="b">
        <f t="shared" si="530"/>
        <v>0</v>
      </c>
      <c r="Z451" s="78" t="b">
        <f t="shared" si="530"/>
        <v>0</v>
      </c>
      <c r="AA451" s="78" t="b">
        <f t="shared" si="530"/>
        <v>0</v>
      </c>
      <c r="AB451" s="78" t="b">
        <f t="shared" si="530"/>
        <v>0</v>
      </c>
      <c r="AC451" s="78" t="b">
        <f t="shared" si="530"/>
        <v>0</v>
      </c>
      <c r="AD451" s="78" t="b">
        <f t="shared" si="530"/>
        <v>0</v>
      </c>
      <c r="AE451" s="78" t="b">
        <f t="shared" si="530"/>
        <v>0</v>
      </c>
      <c r="AF451" s="78" t="b">
        <f t="shared" si="530"/>
        <v>0</v>
      </c>
      <c r="AG451" s="78" t="b">
        <f t="shared" si="530"/>
        <v>0</v>
      </c>
      <c r="AH451" s="78" t="b">
        <f t="shared" si="530"/>
        <v>0</v>
      </c>
      <c r="AI451" s="78" t="b">
        <f t="shared" si="530"/>
        <v>0</v>
      </c>
      <c r="AJ451" s="78" t="b">
        <f t="shared" si="530"/>
        <v>0</v>
      </c>
      <c r="AK451" s="78" t="b">
        <f t="shared" si="530"/>
        <v>0</v>
      </c>
      <c r="AL451" s="78" t="b">
        <f t="shared" si="530"/>
        <v>0</v>
      </c>
      <c r="AM451" s="78" t="b">
        <f t="shared" si="530"/>
        <v>0</v>
      </c>
      <c r="AN451" s="78" t="b">
        <f t="shared" si="530"/>
        <v>0</v>
      </c>
      <c r="AO451" s="78" t="b">
        <f t="shared" si="530"/>
        <v>0</v>
      </c>
      <c r="AP451" s="78"/>
    </row>
    <row r="452" spans="4:42" x14ac:dyDescent="0.35">
      <c r="D452" s="96"/>
      <c r="E452" s="96"/>
      <c r="G452" s="77">
        <f t="shared" ref="G452:G515" si="531">INT(D452)</f>
        <v>0</v>
      </c>
      <c r="H452" s="78">
        <f t="shared" ref="H452:H515" si="532">D452-G452</f>
        <v>0</v>
      </c>
      <c r="I452" s="77">
        <f t="shared" ref="I452:I515" si="533">INT(E452)</f>
        <v>0</v>
      </c>
      <c r="J452" s="78">
        <f t="shared" ref="J452:J515" si="534">E452-I452</f>
        <v>0</v>
      </c>
      <c r="K452" s="78" t="str">
        <f t="shared" ref="K452:K515" si="535">TEXT(G452+H452,"yyyy-mm-dd hh:m:ss")</f>
        <v>1900-01-00 00:0:00</v>
      </c>
      <c r="L452" s="78" t="str">
        <f t="shared" ref="L452:L515" si="536">TEXT(I452+J452,"yyyy-mm-dd hh:m:ss")</f>
        <v>1900-01-00 00:0:00</v>
      </c>
      <c r="M452" s="79">
        <f t="shared" ref="M452:M515" si="537">E452-D452</f>
        <v>0</v>
      </c>
      <c r="N452">
        <f t="shared" ref="N452:N515" si="538">IF(M452&lt;$BA$1,1,0)</f>
        <v>1</v>
      </c>
      <c r="O452" t="str">
        <f>IFERROR(_xlfn.XLOOKUP(A452,HC!A:A,HC!C:C),"")</f>
        <v>Workforce</v>
      </c>
      <c r="R452" s="78" t="b">
        <f t="shared" ref="R452:AO452" si="539">IFERROR(IF($B452=$D$1,IF(AND($K452&lt;R$1,$L452&lt;R$1),"",IF(AND($K452&gt;S$1,$L452&gt;S$1),"",IF(AND($K452&lt;R$1,$L452&lt;=S$1),$L452-R$1,IF(AND($K452&gt;=R$1,$L452&gt;S$1),S$1-$K452,IF(AND($K452&gt;=R$1,$L452&lt;=S$1),$L452-$K452,IF(AND($K452&lt;R$1,$L452&gt;S$1),S$1-R$1,""))))))),"")</f>
        <v>0</v>
      </c>
      <c r="S452" s="78" t="b">
        <f t="shared" si="539"/>
        <v>0</v>
      </c>
      <c r="T452" s="78" t="b">
        <f t="shared" si="539"/>
        <v>0</v>
      </c>
      <c r="U452" s="78" t="b">
        <f t="shared" si="539"/>
        <v>0</v>
      </c>
      <c r="V452" s="78" t="b">
        <f t="shared" si="539"/>
        <v>0</v>
      </c>
      <c r="W452" s="78" t="b">
        <f t="shared" si="539"/>
        <v>0</v>
      </c>
      <c r="X452" s="78" t="b">
        <f t="shared" si="539"/>
        <v>0</v>
      </c>
      <c r="Y452" s="78" t="b">
        <f t="shared" si="539"/>
        <v>0</v>
      </c>
      <c r="Z452" s="78" t="b">
        <f t="shared" si="539"/>
        <v>0</v>
      </c>
      <c r="AA452" s="78" t="b">
        <f t="shared" si="539"/>
        <v>0</v>
      </c>
      <c r="AB452" s="78" t="b">
        <f t="shared" si="539"/>
        <v>0</v>
      </c>
      <c r="AC452" s="78" t="b">
        <f t="shared" si="539"/>
        <v>0</v>
      </c>
      <c r="AD452" s="78" t="b">
        <f t="shared" si="539"/>
        <v>0</v>
      </c>
      <c r="AE452" s="78" t="b">
        <f t="shared" si="539"/>
        <v>0</v>
      </c>
      <c r="AF452" s="78" t="b">
        <f t="shared" si="539"/>
        <v>0</v>
      </c>
      <c r="AG452" s="78" t="b">
        <f t="shared" si="539"/>
        <v>0</v>
      </c>
      <c r="AH452" s="78" t="b">
        <f t="shared" si="539"/>
        <v>0</v>
      </c>
      <c r="AI452" s="78" t="b">
        <f t="shared" si="539"/>
        <v>0</v>
      </c>
      <c r="AJ452" s="78" t="b">
        <f t="shared" si="539"/>
        <v>0</v>
      </c>
      <c r="AK452" s="78" t="b">
        <f t="shared" si="539"/>
        <v>0</v>
      </c>
      <c r="AL452" s="78" t="b">
        <f t="shared" si="539"/>
        <v>0</v>
      </c>
      <c r="AM452" s="78" t="b">
        <f t="shared" si="539"/>
        <v>0</v>
      </c>
      <c r="AN452" s="78" t="b">
        <f t="shared" si="539"/>
        <v>0</v>
      </c>
      <c r="AO452" s="78" t="b">
        <f t="shared" si="539"/>
        <v>0</v>
      </c>
      <c r="AP452" s="78"/>
    </row>
    <row r="453" spans="4:42" x14ac:dyDescent="0.35">
      <c r="D453" s="96"/>
      <c r="E453" s="96"/>
      <c r="G453" s="77">
        <f t="shared" si="531"/>
        <v>0</v>
      </c>
      <c r="H453" s="78">
        <f t="shared" si="532"/>
        <v>0</v>
      </c>
      <c r="I453" s="77">
        <f t="shared" si="533"/>
        <v>0</v>
      </c>
      <c r="J453" s="78">
        <f t="shared" si="534"/>
        <v>0</v>
      </c>
      <c r="K453" s="78" t="str">
        <f t="shared" si="535"/>
        <v>1900-01-00 00:0:00</v>
      </c>
      <c r="L453" s="78" t="str">
        <f t="shared" si="536"/>
        <v>1900-01-00 00:0:00</v>
      </c>
      <c r="M453" s="79">
        <f t="shared" si="537"/>
        <v>0</v>
      </c>
      <c r="N453">
        <f t="shared" si="538"/>
        <v>1</v>
      </c>
      <c r="O453" t="str">
        <f>IFERROR(_xlfn.XLOOKUP(A453,HC!A:A,HC!C:C),"")</f>
        <v>Workforce</v>
      </c>
      <c r="R453" s="78" t="b">
        <f t="shared" ref="R453:AO453" si="540">IFERROR(IF($B453=$D$1,IF(AND($K453&lt;R$1,$L453&lt;R$1),"",IF(AND($K453&gt;S$1,$L453&gt;S$1),"",IF(AND($K453&lt;R$1,$L453&lt;=S$1),$L453-R$1,IF(AND($K453&gt;=R$1,$L453&gt;S$1),S$1-$K453,IF(AND($K453&gt;=R$1,$L453&lt;=S$1),$L453-$K453,IF(AND($K453&lt;R$1,$L453&gt;S$1),S$1-R$1,""))))))),"")</f>
        <v>0</v>
      </c>
      <c r="S453" s="78" t="b">
        <f t="shared" si="540"/>
        <v>0</v>
      </c>
      <c r="T453" s="78" t="b">
        <f t="shared" si="540"/>
        <v>0</v>
      </c>
      <c r="U453" s="78" t="b">
        <f t="shared" si="540"/>
        <v>0</v>
      </c>
      <c r="V453" s="78" t="b">
        <f t="shared" si="540"/>
        <v>0</v>
      </c>
      <c r="W453" s="78" t="b">
        <f t="shared" si="540"/>
        <v>0</v>
      </c>
      <c r="X453" s="78" t="b">
        <f t="shared" si="540"/>
        <v>0</v>
      </c>
      <c r="Y453" s="78" t="b">
        <f t="shared" si="540"/>
        <v>0</v>
      </c>
      <c r="Z453" s="78" t="b">
        <f t="shared" si="540"/>
        <v>0</v>
      </c>
      <c r="AA453" s="78" t="b">
        <f t="shared" si="540"/>
        <v>0</v>
      </c>
      <c r="AB453" s="78" t="b">
        <f t="shared" si="540"/>
        <v>0</v>
      </c>
      <c r="AC453" s="78" t="b">
        <f t="shared" si="540"/>
        <v>0</v>
      </c>
      <c r="AD453" s="78" t="b">
        <f t="shared" si="540"/>
        <v>0</v>
      </c>
      <c r="AE453" s="78" t="b">
        <f t="shared" si="540"/>
        <v>0</v>
      </c>
      <c r="AF453" s="78" t="b">
        <f t="shared" si="540"/>
        <v>0</v>
      </c>
      <c r="AG453" s="78" t="b">
        <f t="shared" si="540"/>
        <v>0</v>
      </c>
      <c r="AH453" s="78" t="b">
        <f t="shared" si="540"/>
        <v>0</v>
      </c>
      <c r="AI453" s="78" t="b">
        <f t="shared" si="540"/>
        <v>0</v>
      </c>
      <c r="AJ453" s="78" t="b">
        <f t="shared" si="540"/>
        <v>0</v>
      </c>
      <c r="AK453" s="78" t="b">
        <f t="shared" si="540"/>
        <v>0</v>
      </c>
      <c r="AL453" s="78" t="b">
        <f t="shared" si="540"/>
        <v>0</v>
      </c>
      <c r="AM453" s="78" t="b">
        <f t="shared" si="540"/>
        <v>0</v>
      </c>
      <c r="AN453" s="78" t="b">
        <f t="shared" si="540"/>
        <v>0</v>
      </c>
      <c r="AO453" s="78" t="b">
        <f t="shared" si="540"/>
        <v>0</v>
      </c>
      <c r="AP453" s="78"/>
    </row>
    <row r="454" spans="4:42" x14ac:dyDescent="0.35">
      <c r="D454" s="96"/>
      <c r="E454" s="96"/>
      <c r="G454" s="77">
        <f t="shared" si="531"/>
        <v>0</v>
      </c>
      <c r="H454" s="78">
        <f t="shared" si="532"/>
        <v>0</v>
      </c>
      <c r="I454" s="77">
        <f t="shared" si="533"/>
        <v>0</v>
      </c>
      <c r="J454" s="78">
        <f t="shared" si="534"/>
        <v>0</v>
      </c>
      <c r="K454" s="78" t="str">
        <f t="shared" si="535"/>
        <v>1900-01-00 00:0:00</v>
      </c>
      <c r="L454" s="78" t="str">
        <f t="shared" si="536"/>
        <v>1900-01-00 00:0:00</v>
      </c>
      <c r="M454" s="79">
        <f t="shared" si="537"/>
        <v>0</v>
      </c>
      <c r="N454">
        <f t="shared" si="538"/>
        <v>1</v>
      </c>
      <c r="O454" t="str">
        <f>IFERROR(_xlfn.XLOOKUP(A454,HC!A:A,HC!C:C),"")</f>
        <v>Workforce</v>
      </c>
      <c r="R454" s="78" t="b">
        <f t="shared" ref="R454:AO454" si="541">IFERROR(IF($B454=$D$1,IF(AND($K454&lt;R$1,$L454&lt;R$1),"",IF(AND($K454&gt;S$1,$L454&gt;S$1),"",IF(AND($K454&lt;R$1,$L454&lt;=S$1),$L454-R$1,IF(AND($K454&gt;=R$1,$L454&gt;S$1),S$1-$K454,IF(AND($K454&gt;=R$1,$L454&lt;=S$1),$L454-$K454,IF(AND($K454&lt;R$1,$L454&gt;S$1),S$1-R$1,""))))))),"")</f>
        <v>0</v>
      </c>
      <c r="S454" s="78" t="b">
        <f t="shared" si="541"/>
        <v>0</v>
      </c>
      <c r="T454" s="78" t="b">
        <f t="shared" si="541"/>
        <v>0</v>
      </c>
      <c r="U454" s="78" t="b">
        <f t="shared" si="541"/>
        <v>0</v>
      </c>
      <c r="V454" s="78" t="b">
        <f t="shared" si="541"/>
        <v>0</v>
      </c>
      <c r="W454" s="78" t="b">
        <f t="shared" si="541"/>
        <v>0</v>
      </c>
      <c r="X454" s="78" t="b">
        <f t="shared" si="541"/>
        <v>0</v>
      </c>
      <c r="Y454" s="78" t="b">
        <f t="shared" si="541"/>
        <v>0</v>
      </c>
      <c r="Z454" s="78" t="b">
        <f t="shared" si="541"/>
        <v>0</v>
      </c>
      <c r="AA454" s="78" t="b">
        <f t="shared" si="541"/>
        <v>0</v>
      </c>
      <c r="AB454" s="78" t="b">
        <f t="shared" si="541"/>
        <v>0</v>
      </c>
      <c r="AC454" s="78" t="b">
        <f t="shared" si="541"/>
        <v>0</v>
      </c>
      <c r="AD454" s="78" t="b">
        <f t="shared" si="541"/>
        <v>0</v>
      </c>
      <c r="AE454" s="78" t="b">
        <f t="shared" si="541"/>
        <v>0</v>
      </c>
      <c r="AF454" s="78" t="b">
        <f t="shared" si="541"/>
        <v>0</v>
      </c>
      <c r="AG454" s="78" t="b">
        <f t="shared" si="541"/>
        <v>0</v>
      </c>
      <c r="AH454" s="78" t="b">
        <f t="shared" si="541"/>
        <v>0</v>
      </c>
      <c r="AI454" s="78" t="b">
        <f t="shared" si="541"/>
        <v>0</v>
      </c>
      <c r="AJ454" s="78" t="b">
        <f t="shared" si="541"/>
        <v>0</v>
      </c>
      <c r="AK454" s="78" t="b">
        <f t="shared" si="541"/>
        <v>0</v>
      </c>
      <c r="AL454" s="78" t="b">
        <f t="shared" si="541"/>
        <v>0</v>
      </c>
      <c r="AM454" s="78" t="b">
        <f t="shared" si="541"/>
        <v>0</v>
      </c>
      <c r="AN454" s="78" t="b">
        <f t="shared" si="541"/>
        <v>0</v>
      </c>
      <c r="AO454" s="78" t="b">
        <f t="shared" si="541"/>
        <v>0</v>
      </c>
      <c r="AP454" s="78"/>
    </row>
    <row r="455" spans="4:42" x14ac:dyDescent="0.35">
      <c r="D455" s="96"/>
      <c r="E455" s="96"/>
      <c r="G455" s="77">
        <f t="shared" si="531"/>
        <v>0</v>
      </c>
      <c r="H455" s="78">
        <f t="shared" si="532"/>
        <v>0</v>
      </c>
      <c r="I455" s="77">
        <f t="shared" si="533"/>
        <v>0</v>
      </c>
      <c r="J455" s="78">
        <f t="shared" si="534"/>
        <v>0</v>
      </c>
      <c r="K455" s="78" t="str">
        <f t="shared" si="535"/>
        <v>1900-01-00 00:0:00</v>
      </c>
      <c r="L455" s="78" t="str">
        <f t="shared" si="536"/>
        <v>1900-01-00 00:0:00</v>
      </c>
      <c r="M455" s="79">
        <f t="shared" si="537"/>
        <v>0</v>
      </c>
      <c r="N455">
        <f t="shared" si="538"/>
        <v>1</v>
      </c>
      <c r="O455" t="str">
        <f>IFERROR(_xlfn.XLOOKUP(A455,HC!A:A,HC!C:C),"")</f>
        <v>Workforce</v>
      </c>
      <c r="R455" s="78" t="b">
        <f t="shared" ref="R455:AO455" si="542">IFERROR(IF($B455=$D$1,IF(AND($K455&lt;R$1,$L455&lt;R$1),"",IF(AND($K455&gt;S$1,$L455&gt;S$1),"",IF(AND($K455&lt;R$1,$L455&lt;=S$1),$L455-R$1,IF(AND($K455&gt;=R$1,$L455&gt;S$1),S$1-$K455,IF(AND($K455&gt;=R$1,$L455&lt;=S$1),$L455-$K455,IF(AND($K455&lt;R$1,$L455&gt;S$1),S$1-R$1,""))))))),"")</f>
        <v>0</v>
      </c>
      <c r="S455" s="78" t="b">
        <f t="shared" si="542"/>
        <v>0</v>
      </c>
      <c r="T455" s="78" t="b">
        <f t="shared" si="542"/>
        <v>0</v>
      </c>
      <c r="U455" s="78" t="b">
        <f t="shared" si="542"/>
        <v>0</v>
      </c>
      <c r="V455" s="78" t="b">
        <f t="shared" si="542"/>
        <v>0</v>
      </c>
      <c r="W455" s="78" t="b">
        <f t="shared" si="542"/>
        <v>0</v>
      </c>
      <c r="X455" s="78" t="b">
        <f t="shared" si="542"/>
        <v>0</v>
      </c>
      <c r="Y455" s="78" t="b">
        <f t="shared" si="542"/>
        <v>0</v>
      </c>
      <c r="Z455" s="78" t="b">
        <f t="shared" si="542"/>
        <v>0</v>
      </c>
      <c r="AA455" s="78" t="b">
        <f t="shared" si="542"/>
        <v>0</v>
      </c>
      <c r="AB455" s="78" t="b">
        <f t="shared" si="542"/>
        <v>0</v>
      </c>
      <c r="AC455" s="78" t="b">
        <f t="shared" si="542"/>
        <v>0</v>
      </c>
      <c r="AD455" s="78" t="b">
        <f t="shared" si="542"/>
        <v>0</v>
      </c>
      <c r="AE455" s="78" t="b">
        <f t="shared" si="542"/>
        <v>0</v>
      </c>
      <c r="AF455" s="78" t="b">
        <f t="shared" si="542"/>
        <v>0</v>
      </c>
      <c r="AG455" s="78" t="b">
        <f t="shared" si="542"/>
        <v>0</v>
      </c>
      <c r="AH455" s="78" t="b">
        <f t="shared" si="542"/>
        <v>0</v>
      </c>
      <c r="AI455" s="78" t="b">
        <f t="shared" si="542"/>
        <v>0</v>
      </c>
      <c r="AJ455" s="78" t="b">
        <f t="shared" si="542"/>
        <v>0</v>
      </c>
      <c r="AK455" s="78" t="b">
        <f t="shared" si="542"/>
        <v>0</v>
      </c>
      <c r="AL455" s="78" t="b">
        <f t="shared" si="542"/>
        <v>0</v>
      </c>
      <c r="AM455" s="78" t="b">
        <f t="shared" si="542"/>
        <v>0</v>
      </c>
      <c r="AN455" s="78" t="b">
        <f t="shared" si="542"/>
        <v>0</v>
      </c>
      <c r="AO455" s="78" t="b">
        <f t="shared" si="542"/>
        <v>0</v>
      </c>
      <c r="AP455" s="78"/>
    </row>
    <row r="456" spans="4:42" x14ac:dyDescent="0.35">
      <c r="D456" s="96"/>
      <c r="E456" s="96"/>
      <c r="G456" s="77">
        <f t="shared" si="531"/>
        <v>0</v>
      </c>
      <c r="H456" s="78">
        <f t="shared" si="532"/>
        <v>0</v>
      </c>
      <c r="I456" s="77">
        <f t="shared" si="533"/>
        <v>0</v>
      </c>
      <c r="J456" s="78">
        <f t="shared" si="534"/>
        <v>0</v>
      </c>
      <c r="K456" s="78" t="str">
        <f t="shared" si="535"/>
        <v>1900-01-00 00:0:00</v>
      </c>
      <c r="L456" s="78" t="str">
        <f t="shared" si="536"/>
        <v>1900-01-00 00:0:00</v>
      </c>
      <c r="M456" s="79">
        <f t="shared" si="537"/>
        <v>0</v>
      </c>
      <c r="N456">
        <f t="shared" si="538"/>
        <v>1</v>
      </c>
      <c r="O456" t="str">
        <f>IFERROR(_xlfn.XLOOKUP(A456,HC!A:A,HC!C:C),"")</f>
        <v>Workforce</v>
      </c>
      <c r="R456" s="78" t="b">
        <f t="shared" ref="R456:AO456" si="543">IFERROR(IF($B456=$D$1,IF(AND($K456&lt;R$1,$L456&lt;R$1),"",IF(AND($K456&gt;S$1,$L456&gt;S$1),"",IF(AND($K456&lt;R$1,$L456&lt;=S$1),$L456-R$1,IF(AND($K456&gt;=R$1,$L456&gt;S$1),S$1-$K456,IF(AND($K456&gt;=R$1,$L456&lt;=S$1),$L456-$K456,IF(AND($K456&lt;R$1,$L456&gt;S$1),S$1-R$1,""))))))),"")</f>
        <v>0</v>
      </c>
      <c r="S456" s="78" t="b">
        <f t="shared" si="543"/>
        <v>0</v>
      </c>
      <c r="T456" s="78" t="b">
        <f t="shared" si="543"/>
        <v>0</v>
      </c>
      <c r="U456" s="78" t="b">
        <f t="shared" si="543"/>
        <v>0</v>
      </c>
      <c r="V456" s="78" t="b">
        <f t="shared" si="543"/>
        <v>0</v>
      </c>
      <c r="W456" s="78" t="b">
        <f t="shared" si="543"/>
        <v>0</v>
      </c>
      <c r="X456" s="78" t="b">
        <f t="shared" si="543"/>
        <v>0</v>
      </c>
      <c r="Y456" s="78" t="b">
        <f t="shared" si="543"/>
        <v>0</v>
      </c>
      <c r="Z456" s="78" t="b">
        <f t="shared" si="543"/>
        <v>0</v>
      </c>
      <c r="AA456" s="78" t="b">
        <f t="shared" si="543"/>
        <v>0</v>
      </c>
      <c r="AB456" s="78" t="b">
        <f t="shared" si="543"/>
        <v>0</v>
      </c>
      <c r="AC456" s="78" t="b">
        <f t="shared" si="543"/>
        <v>0</v>
      </c>
      <c r="AD456" s="78" t="b">
        <f t="shared" si="543"/>
        <v>0</v>
      </c>
      <c r="AE456" s="78" t="b">
        <f t="shared" si="543"/>
        <v>0</v>
      </c>
      <c r="AF456" s="78" t="b">
        <f t="shared" si="543"/>
        <v>0</v>
      </c>
      <c r="AG456" s="78" t="b">
        <f t="shared" si="543"/>
        <v>0</v>
      </c>
      <c r="AH456" s="78" t="b">
        <f t="shared" si="543"/>
        <v>0</v>
      </c>
      <c r="AI456" s="78" t="b">
        <f t="shared" si="543"/>
        <v>0</v>
      </c>
      <c r="AJ456" s="78" t="b">
        <f t="shared" si="543"/>
        <v>0</v>
      </c>
      <c r="AK456" s="78" t="b">
        <f t="shared" si="543"/>
        <v>0</v>
      </c>
      <c r="AL456" s="78" t="b">
        <f t="shared" si="543"/>
        <v>0</v>
      </c>
      <c r="AM456" s="78" t="b">
        <f t="shared" si="543"/>
        <v>0</v>
      </c>
      <c r="AN456" s="78" t="b">
        <f t="shared" si="543"/>
        <v>0</v>
      </c>
      <c r="AO456" s="78" t="b">
        <f t="shared" si="543"/>
        <v>0</v>
      </c>
      <c r="AP456" s="78"/>
    </row>
    <row r="457" spans="4:42" x14ac:dyDescent="0.35">
      <c r="D457" s="96"/>
      <c r="E457" s="96"/>
      <c r="G457" s="77">
        <f t="shared" si="531"/>
        <v>0</v>
      </c>
      <c r="H457" s="78">
        <f t="shared" si="532"/>
        <v>0</v>
      </c>
      <c r="I457" s="77">
        <f t="shared" si="533"/>
        <v>0</v>
      </c>
      <c r="J457" s="78">
        <f t="shared" si="534"/>
        <v>0</v>
      </c>
      <c r="K457" s="78" t="str">
        <f t="shared" si="535"/>
        <v>1900-01-00 00:0:00</v>
      </c>
      <c r="L457" s="78" t="str">
        <f t="shared" si="536"/>
        <v>1900-01-00 00:0:00</v>
      </c>
      <c r="M457" s="79">
        <f t="shared" si="537"/>
        <v>0</v>
      </c>
      <c r="N457">
        <f t="shared" si="538"/>
        <v>1</v>
      </c>
      <c r="O457" t="str">
        <f>IFERROR(_xlfn.XLOOKUP(A457,HC!A:A,HC!C:C),"")</f>
        <v>Workforce</v>
      </c>
      <c r="R457" s="78" t="b">
        <f t="shared" ref="R457:AO457" si="544">IFERROR(IF($B457=$D$1,IF(AND($K457&lt;R$1,$L457&lt;R$1),"",IF(AND($K457&gt;S$1,$L457&gt;S$1),"",IF(AND($K457&lt;R$1,$L457&lt;=S$1),$L457-R$1,IF(AND($K457&gt;=R$1,$L457&gt;S$1),S$1-$K457,IF(AND($K457&gt;=R$1,$L457&lt;=S$1),$L457-$K457,IF(AND($K457&lt;R$1,$L457&gt;S$1),S$1-R$1,""))))))),"")</f>
        <v>0</v>
      </c>
      <c r="S457" s="78" t="b">
        <f t="shared" si="544"/>
        <v>0</v>
      </c>
      <c r="T457" s="78" t="b">
        <f t="shared" si="544"/>
        <v>0</v>
      </c>
      <c r="U457" s="78" t="b">
        <f t="shared" si="544"/>
        <v>0</v>
      </c>
      <c r="V457" s="78" t="b">
        <f t="shared" si="544"/>
        <v>0</v>
      </c>
      <c r="W457" s="78" t="b">
        <f t="shared" si="544"/>
        <v>0</v>
      </c>
      <c r="X457" s="78" t="b">
        <f t="shared" si="544"/>
        <v>0</v>
      </c>
      <c r="Y457" s="78" t="b">
        <f t="shared" si="544"/>
        <v>0</v>
      </c>
      <c r="Z457" s="78" t="b">
        <f t="shared" si="544"/>
        <v>0</v>
      </c>
      <c r="AA457" s="78" t="b">
        <f t="shared" si="544"/>
        <v>0</v>
      </c>
      <c r="AB457" s="78" t="b">
        <f t="shared" si="544"/>
        <v>0</v>
      </c>
      <c r="AC457" s="78" t="b">
        <f t="shared" si="544"/>
        <v>0</v>
      </c>
      <c r="AD457" s="78" t="b">
        <f t="shared" si="544"/>
        <v>0</v>
      </c>
      <c r="AE457" s="78" t="b">
        <f t="shared" si="544"/>
        <v>0</v>
      </c>
      <c r="AF457" s="78" t="b">
        <f t="shared" si="544"/>
        <v>0</v>
      </c>
      <c r="AG457" s="78" t="b">
        <f t="shared" si="544"/>
        <v>0</v>
      </c>
      <c r="AH457" s="78" t="b">
        <f t="shared" si="544"/>
        <v>0</v>
      </c>
      <c r="AI457" s="78" t="b">
        <f t="shared" si="544"/>
        <v>0</v>
      </c>
      <c r="AJ457" s="78" t="b">
        <f t="shared" si="544"/>
        <v>0</v>
      </c>
      <c r="AK457" s="78" t="b">
        <f t="shared" si="544"/>
        <v>0</v>
      </c>
      <c r="AL457" s="78" t="b">
        <f t="shared" si="544"/>
        <v>0</v>
      </c>
      <c r="AM457" s="78" t="b">
        <f t="shared" si="544"/>
        <v>0</v>
      </c>
      <c r="AN457" s="78" t="b">
        <f t="shared" si="544"/>
        <v>0</v>
      </c>
      <c r="AO457" s="78" t="b">
        <f t="shared" si="544"/>
        <v>0</v>
      </c>
      <c r="AP457" s="78"/>
    </row>
    <row r="458" spans="4:42" x14ac:dyDescent="0.35">
      <c r="D458" s="96"/>
      <c r="E458" s="96"/>
      <c r="G458" s="77">
        <f t="shared" si="531"/>
        <v>0</v>
      </c>
      <c r="H458" s="78">
        <f t="shared" si="532"/>
        <v>0</v>
      </c>
      <c r="I458" s="77">
        <f t="shared" si="533"/>
        <v>0</v>
      </c>
      <c r="J458" s="78">
        <f t="shared" si="534"/>
        <v>0</v>
      </c>
      <c r="K458" s="78" t="str">
        <f t="shared" si="535"/>
        <v>1900-01-00 00:0:00</v>
      </c>
      <c r="L458" s="78" t="str">
        <f t="shared" si="536"/>
        <v>1900-01-00 00:0:00</v>
      </c>
      <c r="M458" s="79">
        <f t="shared" si="537"/>
        <v>0</v>
      </c>
      <c r="N458">
        <f t="shared" si="538"/>
        <v>1</v>
      </c>
      <c r="O458" t="str">
        <f>IFERROR(_xlfn.XLOOKUP(A458,HC!A:A,HC!C:C),"")</f>
        <v>Workforce</v>
      </c>
      <c r="R458" s="78" t="b">
        <f t="shared" ref="R458:AO458" si="545">IFERROR(IF($B458=$D$1,IF(AND($K458&lt;R$1,$L458&lt;R$1),"",IF(AND($K458&gt;S$1,$L458&gt;S$1),"",IF(AND($K458&lt;R$1,$L458&lt;=S$1),$L458-R$1,IF(AND($K458&gt;=R$1,$L458&gt;S$1),S$1-$K458,IF(AND($K458&gt;=R$1,$L458&lt;=S$1),$L458-$K458,IF(AND($K458&lt;R$1,$L458&gt;S$1),S$1-R$1,""))))))),"")</f>
        <v>0</v>
      </c>
      <c r="S458" s="78" t="b">
        <f t="shared" si="545"/>
        <v>0</v>
      </c>
      <c r="T458" s="78" t="b">
        <f t="shared" si="545"/>
        <v>0</v>
      </c>
      <c r="U458" s="78" t="b">
        <f t="shared" si="545"/>
        <v>0</v>
      </c>
      <c r="V458" s="78" t="b">
        <f t="shared" si="545"/>
        <v>0</v>
      </c>
      <c r="W458" s="78" t="b">
        <f t="shared" si="545"/>
        <v>0</v>
      </c>
      <c r="X458" s="78" t="b">
        <f t="shared" si="545"/>
        <v>0</v>
      </c>
      <c r="Y458" s="78" t="b">
        <f t="shared" si="545"/>
        <v>0</v>
      </c>
      <c r="Z458" s="78" t="b">
        <f t="shared" si="545"/>
        <v>0</v>
      </c>
      <c r="AA458" s="78" t="b">
        <f t="shared" si="545"/>
        <v>0</v>
      </c>
      <c r="AB458" s="78" t="b">
        <f t="shared" si="545"/>
        <v>0</v>
      </c>
      <c r="AC458" s="78" t="b">
        <f t="shared" si="545"/>
        <v>0</v>
      </c>
      <c r="AD458" s="78" t="b">
        <f t="shared" si="545"/>
        <v>0</v>
      </c>
      <c r="AE458" s="78" t="b">
        <f t="shared" si="545"/>
        <v>0</v>
      </c>
      <c r="AF458" s="78" t="b">
        <f t="shared" si="545"/>
        <v>0</v>
      </c>
      <c r="AG458" s="78" t="b">
        <f t="shared" si="545"/>
        <v>0</v>
      </c>
      <c r="AH458" s="78" t="b">
        <f t="shared" si="545"/>
        <v>0</v>
      </c>
      <c r="AI458" s="78" t="b">
        <f t="shared" si="545"/>
        <v>0</v>
      </c>
      <c r="AJ458" s="78" t="b">
        <f t="shared" si="545"/>
        <v>0</v>
      </c>
      <c r="AK458" s="78" t="b">
        <f t="shared" si="545"/>
        <v>0</v>
      </c>
      <c r="AL458" s="78" t="b">
        <f t="shared" si="545"/>
        <v>0</v>
      </c>
      <c r="AM458" s="78" t="b">
        <f t="shared" si="545"/>
        <v>0</v>
      </c>
      <c r="AN458" s="78" t="b">
        <f t="shared" si="545"/>
        <v>0</v>
      </c>
      <c r="AO458" s="78" t="b">
        <f t="shared" si="545"/>
        <v>0</v>
      </c>
      <c r="AP458" s="78"/>
    </row>
    <row r="459" spans="4:42" x14ac:dyDescent="0.35">
      <c r="D459" s="96"/>
      <c r="E459" s="96"/>
      <c r="G459" s="77">
        <f t="shared" si="531"/>
        <v>0</v>
      </c>
      <c r="H459" s="78">
        <f t="shared" si="532"/>
        <v>0</v>
      </c>
      <c r="I459" s="77">
        <f t="shared" si="533"/>
        <v>0</v>
      </c>
      <c r="J459" s="78">
        <f t="shared" si="534"/>
        <v>0</v>
      </c>
      <c r="K459" s="78" t="str">
        <f t="shared" si="535"/>
        <v>1900-01-00 00:0:00</v>
      </c>
      <c r="L459" s="78" t="str">
        <f t="shared" si="536"/>
        <v>1900-01-00 00:0:00</v>
      </c>
      <c r="M459" s="79">
        <f t="shared" si="537"/>
        <v>0</v>
      </c>
      <c r="N459">
        <f t="shared" si="538"/>
        <v>1</v>
      </c>
      <c r="O459" t="str">
        <f>IFERROR(_xlfn.XLOOKUP(A459,HC!A:A,HC!C:C),"")</f>
        <v>Workforce</v>
      </c>
      <c r="R459" s="78" t="b">
        <f t="shared" ref="R459:AO459" si="546">IFERROR(IF($B459=$D$1,IF(AND($K459&lt;R$1,$L459&lt;R$1),"",IF(AND($K459&gt;S$1,$L459&gt;S$1),"",IF(AND($K459&lt;R$1,$L459&lt;=S$1),$L459-R$1,IF(AND($K459&gt;=R$1,$L459&gt;S$1),S$1-$K459,IF(AND($K459&gt;=R$1,$L459&lt;=S$1),$L459-$K459,IF(AND($K459&lt;R$1,$L459&gt;S$1),S$1-R$1,""))))))),"")</f>
        <v>0</v>
      </c>
      <c r="S459" s="78" t="b">
        <f t="shared" si="546"/>
        <v>0</v>
      </c>
      <c r="T459" s="78" t="b">
        <f t="shared" si="546"/>
        <v>0</v>
      </c>
      <c r="U459" s="78" t="b">
        <f t="shared" si="546"/>
        <v>0</v>
      </c>
      <c r="V459" s="78" t="b">
        <f t="shared" si="546"/>
        <v>0</v>
      </c>
      <c r="W459" s="78" t="b">
        <f t="shared" si="546"/>
        <v>0</v>
      </c>
      <c r="X459" s="78" t="b">
        <f t="shared" si="546"/>
        <v>0</v>
      </c>
      <c r="Y459" s="78" t="b">
        <f t="shared" si="546"/>
        <v>0</v>
      </c>
      <c r="Z459" s="78" t="b">
        <f t="shared" si="546"/>
        <v>0</v>
      </c>
      <c r="AA459" s="78" t="b">
        <f t="shared" si="546"/>
        <v>0</v>
      </c>
      <c r="AB459" s="78" t="b">
        <f t="shared" si="546"/>
        <v>0</v>
      </c>
      <c r="AC459" s="78" t="b">
        <f t="shared" si="546"/>
        <v>0</v>
      </c>
      <c r="AD459" s="78" t="b">
        <f t="shared" si="546"/>
        <v>0</v>
      </c>
      <c r="AE459" s="78" t="b">
        <f t="shared" si="546"/>
        <v>0</v>
      </c>
      <c r="AF459" s="78" t="b">
        <f t="shared" si="546"/>
        <v>0</v>
      </c>
      <c r="AG459" s="78" t="b">
        <f t="shared" si="546"/>
        <v>0</v>
      </c>
      <c r="AH459" s="78" t="b">
        <f t="shared" si="546"/>
        <v>0</v>
      </c>
      <c r="AI459" s="78" t="b">
        <f t="shared" si="546"/>
        <v>0</v>
      </c>
      <c r="AJ459" s="78" t="b">
        <f t="shared" si="546"/>
        <v>0</v>
      </c>
      <c r="AK459" s="78" t="b">
        <f t="shared" si="546"/>
        <v>0</v>
      </c>
      <c r="AL459" s="78" t="b">
        <f t="shared" si="546"/>
        <v>0</v>
      </c>
      <c r="AM459" s="78" t="b">
        <f t="shared" si="546"/>
        <v>0</v>
      </c>
      <c r="AN459" s="78" t="b">
        <f t="shared" si="546"/>
        <v>0</v>
      </c>
      <c r="AO459" s="78" t="b">
        <f t="shared" si="546"/>
        <v>0</v>
      </c>
      <c r="AP459" s="78"/>
    </row>
    <row r="460" spans="4:42" x14ac:dyDescent="0.35">
      <c r="D460" s="96"/>
      <c r="E460" s="96"/>
      <c r="G460" s="77">
        <f t="shared" si="531"/>
        <v>0</v>
      </c>
      <c r="H460" s="78">
        <f t="shared" si="532"/>
        <v>0</v>
      </c>
      <c r="I460" s="77">
        <f t="shared" si="533"/>
        <v>0</v>
      </c>
      <c r="J460" s="78">
        <f t="shared" si="534"/>
        <v>0</v>
      </c>
      <c r="K460" s="78" t="str">
        <f t="shared" si="535"/>
        <v>1900-01-00 00:0:00</v>
      </c>
      <c r="L460" s="78" t="str">
        <f t="shared" si="536"/>
        <v>1900-01-00 00:0:00</v>
      </c>
      <c r="M460" s="79">
        <f t="shared" si="537"/>
        <v>0</v>
      </c>
      <c r="N460">
        <f t="shared" si="538"/>
        <v>1</v>
      </c>
      <c r="O460" t="str">
        <f>IFERROR(_xlfn.XLOOKUP(A460,HC!A:A,HC!C:C),"")</f>
        <v>Workforce</v>
      </c>
      <c r="R460" s="78" t="b">
        <f t="shared" ref="R460:AO460" si="547">IFERROR(IF($B460=$D$1,IF(AND($K460&lt;R$1,$L460&lt;R$1),"",IF(AND($K460&gt;S$1,$L460&gt;S$1),"",IF(AND($K460&lt;R$1,$L460&lt;=S$1),$L460-R$1,IF(AND($K460&gt;=R$1,$L460&gt;S$1),S$1-$K460,IF(AND($K460&gt;=R$1,$L460&lt;=S$1),$L460-$K460,IF(AND($K460&lt;R$1,$L460&gt;S$1),S$1-R$1,""))))))),"")</f>
        <v>0</v>
      </c>
      <c r="S460" s="78" t="b">
        <f t="shared" si="547"/>
        <v>0</v>
      </c>
      <c r="T460" s="78" t="b">
        <f t="shared" si="547"/>
        <v>0</v>
      </c>
      <c r="U460" s="78" t="b">
        <f t="shared" si="547"/>
        <v>0</v>
      </c>
      <c r="V460" s="78" t="b">
        <f t="shared" si="547"/>
        <v>0</v>
      </c>
      <c r="W460" s="78" t="b">
        <f t="shared" si="547"/>
        <v>0</v>
      </c>
      <c r="X460" s="78" t="b">
        <f t="shared" si="547"/>
        <v>0</v>
      </c>
      <c r="Y460" s="78" t="b">
        <f t="shared" si="547"/>
        <v>0</v>
      </c>
      <c r="Z460" s="78" t="b">
        <f t="shared" si="547"/>
        <v>0</v>
      </c>
      <c r="AA460" s="78" t="b">
        <f t="shared" si="547"/>
        <v>0</v>
      </c>
      <c r="AB460" s="78" t="b">
        <f t="shared" si="547"/>
        <v>0</v>
      </c>
      <c r="AC460" s="78" t="b">
        <f t="shared" si="547"/>
        <v>0</v>
      </c>
      <c r="AD460" s="78" t="b">
        <f t="shared" si="547"/>
        <v>0</v>
      </c>
      <c r="AE460" s="78" t="b">
        <f t="shared" si="547"/>
        <v>0</v>
      </c>
      <c r="AF460" s="78" t="b">
        <f t="shared" si="547"/>
        <v>0</v>
      </c>
      <c r="AG460" s="78" t="b">
        <f t="shared" si="547"/>
        <v>0</v>
      </c>
      <c r="AH460" s="78" t="b">
        <f t="shared" si="547"/>
        <v>0</v>
      </c>
      <c r="AI460" s="78" t="b">
        <f t="shared" si="547"/>
        <v>0</v>
      </c>
      <c r="AJ460" s="78" t="b">
        <f t="shared" si="547"/>
        <v>0</v>
      </c>
      <c r="AK460" s="78" t="b">
        <f t="shared" si="547"/>
        <v>0</v>
      </c>
      <c r="AL460" s="78" t="b">
        <f t="shared" si="547"/>
        <v>0</v>
      </c>
      <c r="AM460" s="78" t="b">
        <f t="shared" si="547"/>
        <v>0</v>
      </c>
      <c r="AN460" s="78" t="b">
        <f t="shared" si="547"/>
        <v>0</v>
      </c>
      <c r="AO460" s="78" t="b">
        <f t="shared" si="547"/>
        <v>0</v>
      </c>
      <c r="AP460" s="78"/>
    </row>
    <row r="461" spans="4:42" x14ac:dyDescent="0.35">
      <c r="D461" s="96"/>
      <c r="E461" s="96"/>
      <c r="G461" s="77">
        <f t="shared" si="531"/>
        <v>0</v>
      </c>
      <c r="H461" s="78">
        <f t="shared" si="532"/>
        <v>0</v>
      </c>
      <c r="I461" s="77">
        <f t="shared" si="533"/>
        <v>0</v>
      </c>
      <c r="J461" s="78">
        <f t="shared" si="534"/>
        <v>0</v>
      </c>
      <c r="K461" s="78" t="str">
        <f t="shared" si="535"/>
        <v>1900-01-00 00:0:00</v>
      </c>
      <c r="L461" s="78" t="str">
        <f t="shared" si="536"/>
        <v>1900-01-00 00:0:00</v>
      </c>
      <c r="M461" s="79">
        <f t="shared" si="537"/>
        <v>0</v>
      </c>
      <c r="N461">
        <f t="shared" si="538"/>
        <v>1</v>
      </c>
      <c r="O461" t="str">
        <f>IFERROR(_xlfn.XLOOKUP(A461,HC!A:A,HC!C:C),"")</f>
        <v>Workforce</v>
      </c>
      <c r="R461" s="78" t="b">
        <f t="shared" ref="R461:AO461" si="548">IFERROR(IF($B461=$D$1,IF(AND($K461&lt;R$1,$L461&lt;R$1),"",IF(AND($K461&gt;S$1,$L461&gt;S$1),"",IF(AND($K461&lt;R$1,$L461&lt;=S$1),$L461-R$1,IF(AND($K461&gt;=R$1,$L461&gt;S$1),S$1-$K461,IF(AND($K461&gt;=R$1,$L461&lt;=S$1),$L461-$K461,IF(AND($K461&lt;R$1,$L461&gt;S$1),S$1-R$1,""))))))),"")</f>
        <v>0</v>
      </c>
      <c r="S461" s="78" t="b">
        <f t="shared" si="548"/>
        <v>0</v>
      </c>
      <c r="T461" s="78" t="b">
        <f t="shared" si="548"/>
        <v>0</v>
      </c>
      <c r="U461" s="78" t="b">
        <f t="shared" si="548"/>
        <v>0</v>
      </c>
      <c r="V461" s="78" t="b">
        <f t="shared" si="548"/>
        <v>0</v>
      </c>
      <c r="W461" s="78" t="b">
        <f t="shared" si="548"/>
        <v>0</v>
      </c>
      <c r="X461" s="78" t="b">
        <f t="shared" si="548"/>
        <v>0</v>
      </c>
      <c r="Y461" s="78" t="b">
        <f t="shared" si="548"/>
        <v>0</v>
      </c>
      <c r="Z461" s="78" t="b">
        <f t="shared" si="548"/>
        <v>0</v>
      </c>
      <c r="AA461" s="78" t="b">
        <f t="shared" si="548"/>
        <v>0</v>
      </c>
      <c r="AB461" s="78" t="b">
        <f t="shared" si="548"/>
        <v>0</v>
      </c>
      <c r="AC461" s="78" t="b">
        <f t="shared" si="548"/>
        <v>0</v>
      </c>
      <c r="AD461" s="78" t="b">
        <f t="shared" si="548"/>
        <v>0</v>
      </c>
      <c r="AE461" s="78" t="b">
        <f t="shared" si="548"/>
        <v>0</v>
      </c>
      <c r="AF461" s="78" t="b">
        <f t="shared" si="548"/>
        <v>0</v>
      </c>
      <c r="AG461" s="78" t="b">
        <f t="shared" si="548"/>
        <v>0</v>
      </c>
      <c r="AH461" s="78" t="b">
        <f t="shared" si="548"/>
        <v>0</v>
      </c>
      <c r="AI461" s="78" t="b">
        <f t="shared" si="548"/>
        <v>0</v>
      </c>
      <c r="AJ461" s="78" t="b">
        <f t="shared" si="548"/>
        <v>0</v>
      </c>
      <c r="AK461" s="78" t="b">
        <f t="shared" si="548"/>
        <v>0</v>
      </c>
      <c r="AL461" s="78" t="b">
        <f t="shared" si="548"/>
        <v>0</v>
      </c>
      <c r="AM461" s="78" t="b">
        <f t="shared" si="548"/>
        <v>0</v>
      </c>
      <c r="AN461" s="78" t="b">
        <f t="shared" si="548"/>
        <v>0</v>
      </c>
      <c r="AO461" s="78" t="b">
        <f t="shared" si="548"/>
        <v>0</v>
      </c>
      <c r="AP461" s="78"/>
    </row>
    <row r="462" spans="4:42" x14ac:dyDescent="0.35">
      <c r="D462" s="96"/>
      <c r="E462" s="96"/>
      <c r="G462" s="77">
        <f t="shared" si="531"/>
        <v>0</v>
      </c>
      <c r="H462" s="78">
        <f t="shared" si="532"/>
        <v>0</v>
      </c>
      <c r="I462" s="77">
        <f t="shared" si="533"/>
        <v>0</v>
      </c>
      <c r="J462" s="78">
        <f t="shared" si="534"/>
        <v>0</v>
      </c>
      <c r="K462" s="78" t="str">
        <f t="shared" si="535"/>
        <v>1900-01-00 00:0:00</v>
      </c>
      <c r="L462" s="78" t="str">
        <f t="shared" si="536"/>
        <v>1900-01-00 00:0:00</v>
      </c>
      <c r="M462" s="79">
        <f t="shared" si="537"/>
        <v>0</v>
      </c>
      <c r="N462">
        <f t="shared" si="538"/>
        <v>1</v>
      </c>
      <c r="O462" t="str">
        <f>IFERROR(_xlfn.XLOOKUP(A462,HC!A:A,HC!C:C),"")</f>
        <v>Workforce</v>
      </c>
      <c r="R462" s="78" t="b">
        <f t="shared" ref="R462:AO462" si="549">IFERROR(IF($B462=$D$1,IF(AND($K462&lt;R$1,$L462&lt;R$1),"",IF(AND($K462&gt;S$1,$L462&gt;S$1),"",IF(AND($K462&lt;R$1,$L462&lt;=S$1),$L462-R$1,IF(AND($K462&gt;=R$1,$L462&gt;S$1),S$1-$K462,IF(AND($K462&gt;=R$1,$L462&lt;=S$1),$L462-$K462,IF(AND($K462&lt;R$1,$L462&gt;S$1),S$1-R$1,""))))))),"")</f>
        <v>0</v>
      </c>
      <c r="S462" s="78" t="b">
        <f t="shared" si="549"/>
        <v>0</v>
      </c>
      <c r="T462" s="78" t="b">
        <f t="shared" si="549"/>
        <v>0</v>
      </c>
      <c r="U462" s="78" t="b">
        <f t="shared" si="549"/>
        <v>0</v>
      </c>
      <c r="V462" s="78" t="b">
        <f t="shared" si="549"/>
        <v>0</v>
      </c>
      <c r="W462" s="78" t="b">
        <f t="shared" si="549"/>
        <v>0</v>
      </c>
      <c r="X462" s="78" t="b">
        <f t="shared" si="549"/>
        <v>0</v>
      </c>
      <c r="Y462" s="78" t="b">
        <f t="shared" si="549"/>
        <v>0</v>
      </c>
      <c r="Z462" s="78" t="b">
        <f t="shared" si="549"/>
        <v>0</v>
      </c>
      <c r="AA462" s="78" t="b">
        <f t="shared" si="549"/>
        <v>0</v>
      </c>
      <c r="AB462" s="78" t="b">
        <f t="shared" si="549"/>
        <v>0</v>
      </c>
      <c r="AC462" s="78" t="b">
        <f t="shared" si="549"/>
        <v>0</v>
      </c>
      <c r="AD462" s="78" t="b">
        <f t="shared" si="549"/>
        <v>0</v>
      </c>
      <c r="AE462" s="78" t="b">
        <f t="shared" si="549"/>
        <v>0</v>
      </c>
      <c r="AF462" s="78" t="b">
        <f t="shared" si="549"/>
        <v>0</v>
      </c>
      <c r="AG462" s="78" t="b">
        <f t="shared" si="549"/>
        <v>0</v>
      </c>
      <c r="AH462" s="78" t="b">
        <f t="shared" si="549"/>
        <v>0</v>
      </c>
      <c r="AI462" s="78" t="b">
        <f t="shared" si="549"/>
        <v>0</v>
      </c>
      <c r="AJ462" s="78" t="b">
        <f t="shared" si="549"/>
        <v>0</v>
      </c>
      <c r="AK462" s="78" t="b">
        <f t="shared" si="549"/>
        <v>0</v>
      </c>
      <c r="AL462" s="78" t="b">
        <f t="shared" si="549"/>
        <v>0</v>
      </c>
      <c r="AM462" s="78" t="b">
        <f t="shared" si="549"/>
        <v>0</v>
      </c>
      <c r="AN462" s="78" t="b">
        <f t="shared" si="549"/>
        <v>0</v>
      </c>
      <c r="AO462" s="78" t="b">
        <f t="shared" si="549"/>
        <v>0</v>
      </c>
      <c r="AP462" s="78"/>
    </row>
    <row r="463" spans="4:42" x14ac:dyDescent="0.35">
      <c r="D463" s="96"/>
      <c r="E463" s="96"/>
      <c r="G463" s="77">
        <f t="shared" si="531"/>
        <v>0</v>
      </c>
      <c r="H463" s="78">
        <f t="shared" si="532"/>
        <v>0</v>
      </c>
      <c r="I463" s="77">
        <f t="shared" si="533"/>
        <v>0</v>
      </c>
      <c r="J463" s="78">
        <f t="shared" si="534"/>
        <v>0</v>
      </c>
      <c r="K463" s="78" t="str">
        <f t="shared" si="535"/>
        <v>1900-01-00 00:0:00</v>
      </c>
      <c r="L463" s="78" t="str">
        <f t="shared" si="536"/>
        <v>1900-01-00 00:0:00</v>
      </c>
      <c r="M463" s="79">
        <f t="shared" si="537"/>
        <v>0</v>
      </c>
      <c r="N463">
        <f t="shared" si="538"/>
        <v>1</v>
      </c>
      <c r="O463" t="str">
        <f>IFERROR(_xlfn.XLOOKUP(A463,HC!A:A,HC!C:C),"")</f>
        <v>Workforce</v>
      </c>
      <c r="R463" s="78" t="b">
        <f t="shared" ref="R463:AO463" si="550">IFERROR(IF($B463=$D$1,IF(AND($K463&lt;R$1,$L463&lt;R$1),"",IF(AND($K463&gt;S$1,$L463&gt;S$1),"",IF(AND($K463&lt;R$1,$L463&lt;=S$1),$L463-R$1,IF(AND($K463&gt;=R$1,$L463&gt;S$1),S$1-$K463,IF(AND($K463&gt;=R$1,$L463&lt;=S$1),$L463-$K463,IF(AND($K463&lt;R$1,$L463&gt;S$1),S$1-R$1,""))))))),"")</f>
        <v>0</v>
      </c>
      <c r="S463" s="78" t="b">
        <f t="shared" si="550"/>
        <v>0</v>
      </c>
      <c r="T463" s="78" t="b">
        <f t="shared" si="550"/>
        <v>0</v>
      </c>
      <c r="U463" s="78" t="b">
        <f t="shared" si="550"/>
        <v>0</v>
      </c>
      <c r="V463" s="78" t="b">
        <f t="shared" si="550"/>
        <v>0</v>
      </c>
      <c r="W463" s="78" t="b">
        <f t="shared" si="550"/>
        <v>0</v>
      </c>
      <c r="X463" s="78" t="b">
        <f t="shared" si="550"/>
        <v>0</v>
      </c>
      <c r="Y463" s="78" t="b">
        <f t="shared" si="550"/>
        <v>0</v>
      </c>
      <c r="Z463" s="78" t="b">
        <f t="shared" si="550"/>
        <v>0</v>
      </c>
      <c r="AA463" s="78" t="b">
        <f t="shared" si="550"/>
        <v>0</v>
      </c>
      <c r="AB463" s="78" t="b">
        <f t="shared" si="550"/>
        <v>0</v>
      </c>
      <c r="AC463" s="78" t="b">
        <f t="shared" si="550"/>
        <v>0</v>
      </c>
      <c r="AD463" s="78" t="b">
        <f t="shared" si="550"/>
        <v>0</v>
      </c>
      <c r="AE463" s="78" t="b">
        <f t="shared" si="550"/>
        <v>0</v>
      </c>
      <c r="AF463" s="78" t="b">
        <f t="shared" si="550"/>
        <v>0</v>
      </c>
      <c r="AG463" s="78" t="b">
        <f t="shared" si="550"/>
        <v>0</v>
      </c>
      <c r="AH463" s="78" t="b">
        <f t="shared" si="550"/>
        <v>0</v>
      </c>
      <c r="AI463" s="78" t="b">
        <f t="shared" si="550"/>
        <v>0</v>
      </c>
      <c r="AJ463" s="78" t="b">
        <f t="shared" si="550"/>
        <v>0</v>
      </c>
      <c r="AK463" s="78" t="b">
        <f t="shared" si="550"/>
        <v>0</v>
      </c>
      <c r="AL463" s="78" t="b">
        <f t="shared" si="550"/>
        <v>0</v>
      </c>
      <c r="AM463" s="78" t="b">
        <f t="shared" si="550"/>
        <v>0</v>
      </c>
      <c r="AN463" s="78" t="b">
        <f t="shared" si="550"/>
        <v>0</v>
      </c>
      <c r="AO463" s="78" t="b">
        <f t="shared" si="550"/>
        <v>0</v>
      </c>
      <c r="AP463" s="78"/>
    </row>
    <row r="464" spans="4:42" x14ac:dyDescent="0.35">
      <c r="D464" s="96"/>
      <c r="E464" s="96"/>
      <c r="G464" s="77">
        <f t="shared" si="531"/>
        <v>0</v>
      </c>
      <c r="H464" s="78">
        <f t="shared" si="532"/>
        <v>0</v>
      </c>
      <c r="I464" s="77">
        <f t="shared" si="533"/>
        <v>0</v>
      </c>
      <c r="J464" s="78">
        <f t="shared" si="534"/>
        <v>0</v>
      </c>
      <c r="K464" s="78" t="str">
        <f t="shared" si="535"/>
        <v>1900-01-00 00:0:00</v>
      </c>
      <c r="L464" s="78" t="str">
        <f t="shared" si="536"/>
        <v>1900-01-00 00:0:00</v>
      </c>
      <c r="M464" s="79">
        <f t="shared" si="537"/>
        <v>0</v>
      </c>
      <c r="N464">
        <f t="shared" si="538"/>
        <v>1</v>
      </c>
      <c r="O464" t="str">
        <f>IFERROR(_xlfn.XLOOKUP(A464,HC!A:A,HC!C:C),"")</f>
        <v>Workforce</v>
      </c>
      <c r="R464" s="78" t="b">
        <f t="shared" ref="R464:AO464" si="551">IFERROR(IF($B464=$D$1,IF(AND($K464&lt;R$1,$L464&lt;R$1),"",IF(AND($K464&gt;S$1,$L464&gt;S$1),"",IF(AND($K464&lt;R$1,$L464&lt;=S$1),$L464-R$1,IF(AND($K464&gt;=R$1,$L464&gt;S$1),S$1-$K464,IF(AND($K464&gt;=R$1,$L464&lt;=S$1),$L464-$K464,IF(AND($K464&lt;R$1,$L464&gt;S$1),S$1-R$1,""))))))),"")</f>
        <v>0</v>
      </c>
      <c r="S464" s="78" t="b">
        <f t="shared" si="551"/>
        <v>0</v>
      </c>
      <c r="T464" s="78" t="b">
        <f t="shared" si="551"/>
        <v>0</v>
      </c>
      <c r="U464" s="78" t="b">
        <f t="shared" si="551"/>
        <v>0</v>
      </c>
      <c r="V464" s="78" t="b">
        <f t="shared" si="551"/>
        <v>0</v>
      </c>
      <c r="W464" s="78" t="b">
        <f t="shared" si="551"/>
        <v>0</v>
      </c>
      <c r="X464" s="78" t="b">
        <f t="shared" si="551"/>
        <v>0</v>
      </c>
      <c r="Y464" s="78" t="b">
        <f t="shared" si="551"/>
        <v>0</v>
      </c>
      <c r="Z464" s="78" t="b">
        <f t="shared" si="551"/>
        <v>0</v>
      </c>
      <c r="AA464" s="78" t="b">
        <f t="shared" si="551"/>
        <v>0</v>
      </c>
      <c r="AB464" s="78" t="b">
        <f t="shared" si="551"/>
        <v>0</v>
      </c>
      <c r="AC464" s="78" t="b">
        <f t="shared" si="551"/>
        <v>0</v>
      </c>
      <c r="AD464" s="78" t="b">
        <f t="shared" si="551"/>
        <v>0</v>
      </c>
      <c r="AE464" s="78" t="b">
        <f t="shared" si="551"/>
        <v>0</v>
      </c>
      <c r="AF464" s="78" t="b">
        <f t="shared" si="551"/>
        <v>0</v>
      </c>
      <c r="AG464" s="78" t="b">
        <f t="shared" si="551"/>
        <v>0</v>
      </c>
      <c r="AH464" s="78" t="b">
        <f t="shared" si="551"/>
        <v>0</v>
      </c>
      <c r="AI464" s="78" t="b">
        <f t="shared" si="551"/>
        <v>0</v>
      </c>
      <c r="AJ464" s="78" t="b">
        <f t="shared" si="551"/>
        <v>0</v>
      </c>
      <c r="AK464" s="78" t="b">
        <f t="shared" si="551"/>
        <v>0</v>
      </c>
      <c r="AL464" s="78" t="b">
        <f t="shared" si="551"/>
        <v>0</v>
      </c>
      <c r="AM464" s="78" t="b">
        <f t="shared" si="551"/>
        <v>0</v>
      </c>
      <c r="AN464" s="78" t="b">
        <f t="shared" si="551"/>
        <v>0</v>
      </c>
      <c r="AO464" s="78" t="b">
        <f t="shared" si="551"/>
        <v>0</v>
      </c>
      <c r="AP464" s="78"/>
    </row>
    <row r="465" spans="4:42" x14ac:dyDescent="0.35">
      <c r="D465" s="96"/>
      <c r="E465" s="96"/>
      <c r="G465" s="77">
        <f t="shared" si="531"/>
        <v>0</v>
      </c>
      <c r="H465" s="78">
        <f t="shared" si="532"/>
        <v>0</v>
      </c>
      <c r="I465" s="77">
        <f t="shared" si="533"/>
        <v>0</v>
      </c>
      <c r="J465" s="78">
        <f t="shared" si="534"/>
        <v>0</v>
      </c>
      <c r="K465" s="78" t="str">
        <f t="shared" si="535"/>
        <v>1900-01-00 00:0:00</v>
      </c>
      <c r="L465" s="78" t="str">
        <f t="shared" si="536"/>
        <v>1900-01-00 00:0:00</v>
      </c>
      <c r="M465" s="79">
        <f t="shared" si="537"/>
        <v>0</v>
      </c>
      <c r="N465">
        <f t="shared" si="538"/>
        <v>1</v>
      </c>
      <c r="O465" t="str">
        <f>IFERROR(_xlfn.XLOOKUP(A465,HC!A:A,HC!C:C),"")</f>
        <v>Workforce</v>
      </c>
      <c r="R465" s="78" t="b">
        <f t="shared" ref="R465:AO465" si="552">IFERROR(IF($B465=$D$1,IF(AND($K465&lt;R$1,$L465&lt;R$1),"",IF(AND($K465&gt;S$1,$L465&gt;S$1),"",IF(AND($K465&lt;R$1,$L465&lt;=S$1),$L465-R$1,IF(AND($K465&gt;=R$1,$L465&gt;S$1),S$1-$K465,IF(AND($K465&gt;=R$1,$L465&lt;=S$1),$L465-$K465,IF(AND($K465&lt;R$1,$L465&gt;S$1),S$1-R$1,""))))))),"")</f>
        <v>0</v>
      </c>
      <c r="S465" s="78" t="b">
        <f t="shared" si="552"/>
        <v>0</v>
      </c>
      <c r="T465" s="78" t="b">
        <f t="shared" si="552"/>
        <v>0</v>
      </c>
      <c r="U465" s="78" t="b">
        <f t="shared" si="552"/>
        <v>0</v>
      </c>
      <c r="V465" s="78" t="b">
        <f t="shared" si="552"/>
        <v>0</v>
      </c>
      <c r="W465" s="78" t="b">
        <f t="shared" si="552"/>
        <v>0</v>
      </c>
      <c r="X465" s="78" t="b">
        <f t="shared" si="552"/>
        <v>0</v>
      </c>
      <c r="Y465" s="78" t="b">
        <f t="shared" si="552"/>
        <v>0</v>
      </c>
      <c r="Z465" s="78" t="b">
        <f t="shared" si="552"/>
        <v>0</v>
      </c>
      <c r="AA465" s="78" t="b">
        <f t="shared" si="552"/>
        <v>0</v>
      </c>
      <c r="AB465" s="78" t="b">
        <f t="shared" si="552"/>
        <v>0</v>
      </c>
      <c r="AC465" s="78" t="b">
        <f t="shared" si="552"/>
        <v>0</v>
      </c>
      <c r="AD465" s="78" t="b">
        <f t="shared" si="552"/>
        <v>0</v>
      </c>
      <c r="AE465" s="78" t="b">
        <f t="shared" si="552"/>
        <v>0</v>
      </c>
      <c r="AF465" s="78" t="b">
        <f t="shared" si="552"/>
        <v>0</v>
      </c>
      <c r="AG465" s="78" t="b">
        <f t="shared" si="552"/>
        <v>0</v>
      </c>
      <c r="AH465" s="78" t="b">
        <f t="shared" si="552"/>
        <v>0</v>
      </c>
      <c r="AI465" s="78" t="b">
        <f t="shared" si="552"/>
        <v>0</v>
      </c>
      <c r="AJ465" s="78" t="b">
        <f t="shared" si="552"/>
        <v>0</v>
      </c>
      <c r="AK465" s="78" t="b">
        <f t="shared" si="552"/>
        <v>0</v>
      </c>
      <c r="AL465" s="78" t="b">
        <f t="shared" si="552"/>
        <v>0</v>
      </c>
      <c r="AM465" s="78" t="b">
        <f t="shared" si="552"/>
        <v>0</v>
      </c>
      <c r="AN465" s="78" t="b">
        <f t="shared" si="552"/>
        <v>0</v>
      </c>
      <c r="AO465" s="78" t="b">
        <f t="shared" si="552"/>
        <v>0</v>
      </c>
      <c r="AP465" s="78"/>
    </row>
    <row r="466" spans="4:42" x14ac:dyDescent="0.35">
      <c r="D466" s="96"/>
      <c r="E466" s="96"/>
      <c r="G466" s="77">
        <f t="shared" si="531"/>
        <v>0</v>
      </c>
      <c r="H466" s="78">
        <f t="shared" si="532"/>
        <v>0</v>
      </c>
      <c r="I466" s="77">
        <f t="shared" si="533"/>
        <v>0</v>
      </c>
      <c r="J466" s="78">
        <f t="shared" si="534"/>
        <v>0</v>
      </c>
      <c r="K466" s="78" t="str">
        <f t="shared" si="535"/>
        <v>1900-01-00 00:0:00</v>
      </c>
      <c r="L466" s="78" t="str">
        <f t="shared" si="536"/>
        <v>1900-01-00 00:0:00</v>
      </c>
      <c r="M466" s="79">
        <f t="shared" si="537"/>
        <v>0</v>
      </c>
      <c r="N466">
        <f t="shared" si="538"/>
        <v>1</v>
      </c>
      <c r="O466" t="str">
        <f>IFERROR(_xlfn.XLOOKUP(A466,HC!A:A,HC!C:C),"")</f>
        <v>Workforce</v>
      </c>
      <c r="R466" s="78" t="b">
        <f t="shared" ref="R466:AO466" si="553">IFERROR(IF($B466=$D$1,IF(AND($K466&lt;R$1,$L466&lt;R$1),"",IF(AND($K466&gt;S$1,$L466&gt;S$1),"",IF(AND($K466&lt;R$1,$L466&lt;=S$1),$L466-R$1,IF(AND($K466&gt;=R$1,$L466&gt;S$1),S$1-$K466,IF(AND($K466&gt;=R$1,$L466&lt;=S$1),$L466-$K466,IF(AND($K466&lt;R$1,$L466&gt;S$1),S$1-R$1,""))))))),"")</f>
        <v>0</v>
      </c>
      <c r="S466" s="78" t="b">
        <f t="shared" si="553"/>
        <v>0</v>
      </c>
      <c r="T466" s="78" t="b">
        <f t="shared" si="553"/>
        <v>0</v>
      </c>
      <c r="U466" s="78" t="b">
        <f t="shared" si="553"/>
        <v>0</v>
      </c>
      <c r="V466" s="78" t="b">
        <f t="shared" si="553"/>
        <v>0</v>
      </c>
      <c r="W466" s="78" t="b">
        <f t="shared" si="553"/>
        <v>0</v>
      </c>
      <c r="X466" s="78" t="b">
        <f t="shared" si="553"/>
        <v>0</v>
      </c>
      <c r="Y466" s="78" t="b">
        <f t="shared" si="553"/>
        <v>0</v>
      </c>
      <c r="Z466" s="78" t="b">
        <f t="shared" si="553"/>
        <v>0</v>
      </c>
      <c r="AA466" s="78" t="b">
        <f t="shared" si="553"/>
        <v>0</v>
      </c>
      <c r="AB466" s="78" t="b">
        <f t="shared" si="553"/>
        <v>0</v>
      </c>
      <c r="AC466" s="78" t="b">
        <f t="shared" si="553"/>
        <v>0</v>
      </c>
      <c r="AD466" s="78" t="b">
        <f t="shared" si="553"/>
        <v>0</v>
      </c>
      <c r="AE466" s="78" t="b">
        <f t="shared" si="553"/>
        <v>0</v>
      </c>
      <c r="AF466" s="78" t="b">
        <f t="shared" si="553"/>
        <v>0</v>
      </c>
      <c r="AG466" s="78" t="b">
        <f t="shared" si="553"/>
        <v>0</v>
      </c>
      <c r="AH466" s="78" t="b">
        <f t="shared" si="553"/>
        <v>0</v>
      </c>
      <c r="AI466" s="78" t="b">
        <f t="shared" si="553"/>
        <v>0</v>
      </c>
      <c r="AJ466" s="78" t="b">
        <f t="shared" si="553"/>
        <v>0</v>
      </c>
      <c r="AK466" s="78" t="b">
        <f t="shared" si="553"/>
        <v>0</v>
      </c>
      <c r="AL466" s="78" t="b">
        <f t="shared" si="553"/>
        <v>0</v>
      </c>
      <c r="AM466" s="78" t="b">
        <f t="shared" si="553"/>
        <v>0</v>
      </c>
      <c r="AN466" s="78" t="b">
        <f t="shared" si="553"/>
        <v>0</v>
      </c>
      <c r="AO466" s="78" t="b">
        <f t="shared" si="553"/>
        <v>0</v>
      </c>
      <c r="AP466" s="78"/>
    </row>
    <row r="467" spans="4:42" x14ac:dyDescent="0.35">
      <c r="D467" s="96"/>
      <c r="E467" s="96"/>
      <c r="G467" s="77">
        <f t="shared" si="531"/>
        <v>0</v>
      </c>
      <c r="H467" s="78">
        <f t="shared" si="532"/>
        <v>0</v>
      </c>
      <c r="I467" s="77">
        <f t="shared" si="533"/>
        <v>0</v>
      </c>
      <c r="J467" s="78">
        <f t="shared" si="534"/>
        <v>0</v>
      </c>
      <c r="K467" s="78" t="str">
        <f t="shared" si="535"/>
        <v>1900-01-00 00:0:00</v>
      </c>
      <c r="L467" s="78" t="str">
        <f t="shared" si="536"/>
        <v>1900-01-00 00:0:00</v>
      </c>
      <c r="M467" s="79">
        <f t="shared" si="537"/>
        <v>0</v>
      </c>
      <c r="N467">
        <f t="shared" si="538"/>
        <v>1</v>
      </c>
      <c r="O467" t="str">
        <f>IFERROR(_xlfn.XLOOKUP(A467,HC!A:A,HC!C:C),"")</f>
        <v>Workforce</v>
      </c>
      <c r="R467" s="78" t="b">
        <f t="shared" ref="R467:AO467" si="554">IFERROR(IF($B467=$D$1,IF(AND($K467&lt;R$1,$L467&lt;R$1),"",IF(AND($K467&gt;S$1,$L467&gt;S$1),"",IF(AND($K467&lt;R$1,$L467&lt;=S$1),$L467-R$1,IF(AND($K467&gt;=R$1,$L467&gt;S$1),S$1-$K467,IF(AND($K467&gt;=R$1,$L467&lt;=S$1),$L467-$K467,IF(AND($K467&lt;R$1,$L467&gt;S$1),S$1-R$1,""))))))),"")</f>
        <v>0</v>
      </c>
      <c r="S467" s="78" t="b">
        <f t="shared" si="554"/>
        <v>0</v>
      </c>
      <c r="T467" s="78" t="b">
        <f t="shared" si="554"/>
        <v>0</v>
      </c>
      <c r="U467" s="78" t="b">
        <f t="shared" si="554"/>
        <v>0</v>
      </c>
      <c r="V467" s="78" t="b">
        <f t="shared" si="554"/>
        <v>0</v>
      </c>
      <c r="W467" s="78" t="b">
        <f t="shared" si="554"/>
        <v>0</v>
      </c>
      <c r="X467" s="78" t="b">
        <f t="shared" si="554"/>
        <v>0</v>
      </c>
      <c r="Y467" s="78" t="b">
        <f t="shared" si="554"/>
        <v>0</v>
      </c>
      <c r="Z467" s="78" t="b">
        <f t="shared" si="554"/>
        <v>0</v>
      </c>
      <c r="AA467" s="78" t="b">
        <f t="shared" si="554"/>
        <v>0</v>
      </c>
      <c r="AB467" s="78" t="b">
        <f t="shared" si="554"/>
        <v>0</v>
      </c>
      <c r="AC467" s="78" t="b">
        <f t="shared" si="554"/>
        <v>0</v>
      </c>
      <c r="AD467" s="78" t="b">
        <f t="shared" si="554"/>
        <v>0</v>
      </c>
      <c r="AE467" s="78" t="b">
        <f t="shared" si="554"/>
        <v>0</v>
      </c>
      <c r="AF467" s="78" t="b">
        <f t="shared" si="554"/>
        <v>0</v>
      </c>
      <c r="AG467" s="78" t="b">
        <f t="shared" si="554"/>
        <v>0</v>
      </c>
      <c r="AH467" s="78" t="b">
        <f t="shared" si="554"/>
        <v>0</v>
      </c>
      <c r="AI467" s="78" t="b">
        <f t="shared" si="554"/>
        <v>0</v>
      </c>
      <c r="AJ467" s="78" t="b">
        <f t="shared" si="554"/>
        <v>0</v>
      </c>
      <c r="AK467" s="78" t="b">
        <f t="shared" si="554"/>
        <v>0</v>
      </c>
      <c r="AL467" s="78" t="b">
        <f t="shared" si="554"/>
        <v>0</v>
      </c>
      <c r="AM467" s="78" t="b">
        <f t="shared" si="554"/>
        <v>0</v>
      </c>
      <c r="AN467" s="78" t="b">
        <f t="shared" si="554"/>
        <v>0</v>
      </c>
      <c r="AO467" s="78" t="b">
        <f t="shared" si="554"/>
        <v>0</v>
      </c>
      <c r="AP467" s="78"/>
    </row>
    <row r="468" spans="4:42" x14ac:dyDescent="0.35">
      <c r="D468" s="96"/>
      <c r="E468" s="96"/>
      <c r="G468" s="77">
        <f t="shared" si="531"/>
        <v>0</v>
      </c>
      <c r="H468" s="78">
        <f t="shared" si="532"/>
        <v>0</v>
      </c>
      <c r="I468" s="77">
        <f t="shared" si="533"/>
        <v>0</v>
      </c>
      <c r="J468" s="78">
        <f t="shared" si="534"/>
        <v>0</v>
      </c>
      <c r="K468" s="78" t="str">
        <f t="shared" si="535"/>
        <v>1900-01-00 00:0:00</v>
      </c>
      <c r="L468" s="78" t="str">
        <f t="shared" si="536"/>
        <v>1900-01-00 00:0:00</v>
      </c>
      <c r="M468" s="79">
        <f t="shared" si="537"/>
        <v>0</v>
      </c>
      <c r="N468">
        <f t="shared" si="538"/>
        <v>1</v>
      </c>
      <c r="O468" t="str">
        <f>IFERROR(_xlfn.XLOOKUP(A468,HC!A:A,HC!C:C),"")</f>
        <v>Workforce</v>
      </c>
      <c r="R468" s="78" t="b">
        <f t="shared" ref="R468:AO468" si="555">IFERROR(IF($B468=$D$1,IF(AND($K468&lt;R$1,$L468&lt;R$1),"",IF(AND($K468&gt;S$1,$L468&gt;S$1),"",IF(AND($K468&lt;R$1,$L468&lt;=S$1),$L468-R$1,IF(AND($K468&gt;=R$1,$L468&gt;S$1),S$1-$K468,IF(AND($K468&gt;=R$1,$L468&lt;=S$1),$L468-$K468,IF(AND($K468&lt;R$1,$L468&gt;S$1),S$1-R$1,""))))))),"")</f>
        <v>0</v>
      </c>
      <c r="S468" s="78" t="b">
        <f t="shared" si="555"/>
        <v>0</v>
      </c>
      <c r="T468" s="78" t="b">
        <f t="shared" si="555"/>
        <v>0</v>
      </c>
      <c r="U468" s="78" t="b">
        <f t="shared" si="555"/>
        <v>0</v>
      </c>
      <c r="V468" s="78" t="b">
        <f t="shared" si="555"/>
        <v>0</v>
      </c>
      <c r="W468" s="78" t="b">
        <f t="shared" si="555"/>
        <v>0</v>
      </c>
      <c r="X468" s="78" t="b">
        <f t="shared" si="555"/>
        <v>0</v>
      </c>
      <c r="Y468" s="78" t="b">
        <f t="shared" si="555"/>
        <v>0</v>
      </c>
      <c r="Z468" s="78" t="b">
        <f t="shared" si="555"/>
        <v>0</v>
      </c>
      <c r="AA468" s="78" t="b">
        <f t="shared" si="555"/>
        <v>0</v>
      </c>
      <c r="AB468" s="78" t="b">
        <f t="shared" si="555"/>
        <v>0</v>
      </c>
      <c r="AC468" s="78" t="b">
        <f t="shared" si="555"/>
        <v>0</v>
      </c>
      <c r="AD468" s="78" t="b">
        <f t="shared" si="555"/>
        <v>0</v>
      </c>
      <c r="AE468" s="78" t="b">
        <f t="shared" si="555"/>
        <v>0</v>
      </c>
      <c r="AF468" s="78" t="b">
        <f t="shared" si="555"/>
        <v>0</v>
      </c>
      <c r="AG468" s="78" t="b">
        <f t="shared" si="555"/>
        <v>0</v>
      </c>
      <c r="AH468" s="78" t="b">
        <f t="shared" si="555"/>
        <v>0</v>
      </c>
      <c r="AI468" s="78" t="b">
        <f t="shared" si="555"/>
        <v>0</v>
      </c>
      <c r="AJ468" s="78" t="b">
        <f t="shared" si="555"/>
        <v>0</v>
      </c>
      <c r="AK468" s="78" t="b">
        <f t="shared" si="555"/>
        <v>0</v>
      </c>
      <c r="AL468" s="78" t="b">
        <f t="shared" si="555"/>
        <v>0</v>
      </c>
      <c r="AM468" s="78" t="b">
        <f t="shared" si="555"/>
        <v>0</v>
      </c>
      <c r="AN468" s="78" t="b">
        <f t="shared" si="555"/>
        <v>0</v>
      </c>
      <c r="AO468" s="78" t="b">
        <f t="shared" si="555"/>
        <v>0</v>
      </c>
      <c r="AP468" s="78"/>
    </row>
    <row r="469" spans="4:42" x14ac:dyDescent="0.35">
      <c r="D469" s="96"/>
      <c r="E469" s="96"/>
      <c r="G469" s="77">
        <f t="shared" si="531"/>
        <v>0</v>
      </c>
      <c r="H469" s="78">
        <f t="shared" si="532"/>
        <v>0</v>
      </c>
      <c r="I469" s="77">
        <f t="shared" si="533"/>
        <v>0</v>
      </c>
      <c r="J469" s="78">
        <f t="shared" si="534"/>
        <v>0</v>
      </c>
      <c r="K469" s="78" t="str">
        <f t="shared" si="535"/>
        <v>1900-01-00 00:0:00</v>
      </c>
      <c r="L469" s="78" t="str">
        <f t="shared" si="536"/>
        <v>1900-01-00 00:0:00</v>
      </c>
      <c r="M469" s="79">
        <f t="shared" si="537"/>
        <v>0</v>
      </c>
      <c r="N469">
        <f t="shared" si="538"/>
        <v>1</v>
      </c>
      <c r="O469" t="str">
        <f>IFERROR(_xlfn.XLOOKUP(A469,HC!A:A,HC!C:C),"")</f>
        <v>Workforce</v>
      </c>
      <c r="R469" s="78" t="b">
        <f t="shared" ref="R469:AO469" si="556">IFERROR(IF($B469=$D$1,IF(AND($K469&lt;R$1,$L469&lt;R$1),"",IF(AND($K469&gt;S$1,$L469&gt;S$1),"",IF(AND($K469&lt;R$1,$L469&lt;=S$1),$L469-R$1,IF(AND($K469&gt;=R$1,$L469&gt;S$1),S$1-$K469,IF(AND($K469&gt;=R$1,$L469&lt;=S$1),$L469-$K469,IF(AND($K469&lt;R$1,$L469&gt;S$1),S$1-R$1,""))))))),"")</f>
        <v>0</v>
      </c>
      <c r="S469" s="78" t="b">
        <f t="shared" si="556"/>
        <v>0</v>
      </c>
      <c r="T469" s="78" t="b">
        <f t="shared" si="556"/>
        <v>0</v>
      </c>
      <c r="U469" s="78" t="b">
        <f t="shared" si="556"/>
        <v>0</v>
      </c>
      <c r="V469" s="78" t="b">
        <f t="shared" si="556"/>
        <v>0</v>
      </c>
      <c r="W469" s="78" t="b">
        <f t="shared" si="556"/>
        <v>0</v>
      </c>
      <c r="X469" s="78" t="b">
        <f t="shared" si="556"/>
        <v>0</v>
      </c>
      <c r="Y469" s="78" t="b">
        <f t="shared" si="556"/>
        <v>0</v>
      </c>
      <c r="Z469" s="78" t="b">
        <f t="shared" si="556"/>
        <v>0</v>
      </c>
      <c r="AA469" s="78" t="b">
        <f t="shared" si="556"/>
        <v>0</v>
      </c>
      <c r="AB469" s="78" t="b">
        <f t="shared" si="556"/>
        <v>0</v>
      </c>
      <c r="AC469" s="78" t="b">
        <f t="shared" si="556"/>
        <v>0</v>
      </c>
      <c r="AD469" s="78" t="b">
        <f t="shared" si="556"/>
        <v>0</v>
      </c>
      <c r="AE469" s="78" t="b">
        <f t="shared" si="556"/>
        <v>0</v>
      </c>
      <c r="AF469" s="78" t="b">
        <f t="shared" si="556"/>
        <v>0</v>
      </c>
      <c r="AG469" s="78" t="b">
        <f t="shared" si="556"/>
        <v>0</v>
      </c>
      <c r="AH469" s="78" t="b">
        <f t="shared" si="556"/>
        <v>0</v>
      </c>
      <c r="AI469" s="78" t="b">
        <f t="shared" si="556"/>
        <v>0</v>
      </c>
      <c r="AJ469" s="78" t="b">
        <f t="shared" si="556"/>
        <v>0</v>
      </c>
      <c r="AK469" s="78" t="b">
        <f t="shared" si="556"/>
        <v>0</v>
      </c>
      <c r="AL469" s="78" t="b">
        <f t="shared" si="556"/>
        <v>0</v>
      </c>
      <c r="AM469" s="78" t="b">
        <f t="shared" si="556"/>
        <v>0</v>
      </c>
      <c r="AN469" s="78" t="b">
        <f t="shared" si="556"/>
        <v>0</v>
      </c>
      <c r="AO469" s="78" t="b">
        <f t="shared" si="556"/>
        <v>0</v>
      </c>
      <c r="AP469" s="78"/>
    </row>
    <row r="470" spans="4:42" x14ac:dyDescent="0.35">
      <c r="D470" s="96"/>
      <c r="E470" s="96"/>
      <c r="G470" s="77">
        <f t="shared" si="531"/>
        <v>0</v>
      </c>
      <c r="H470" s="78">
        <f t="shared" si="532"/>
        <v>0</v>
      </c>
      <c r="I470" s="77">
        <f t="shared" si="533"/>
        <v>0</v>
      </c>
      <c r="J470" s="78">
        <f t="shared" si="534"/>
        <v>0</v>
      </c>
      <c r="K470" s="78" t="str">
        <f t="shared" si="535"/>
        <v>1900-01-00 00:0:00</v>
      </c>
      <c r="L470" s="78" t="str">
        <f t="shared" si="536"/>
        <v>1900-01-00 00:0:00</v>
      </c>
      <c r="M470" s="79">
        <f t="shared" si="537"/>
        <v>0</v>
      </c>
      <c r="N470">
        <f t="shared" si="538"/>
        <v>1</v>
      </c>
      <c r="O470" t="str">
        <f>IFERROR(_xlfn.XLOOKUP(A470,HC!A:A,HC!C:C),"")</f>
        <v>Workforce</v>
      </c>
      <c r="R470" s="78" t="b">
        <f t="shared" ref="R470:AO470" si="557">IFERROR(IF($B470=$D$1,IF(AND($K470&lt;R$1,$L470&lt;R$1),"",IF(AND($K470&gt;S$1,$L470&gt;S$1),"",IF(AND($K470&lt;R$1,$L470&lt;=S$1),$L470-R$1,IF(AND($K470&gt;=R$1,$L470&gt;S$1),S$1-$K470,IF(AND($K470&gt;=R$1,$L470&lt;=S$1),$L470-$K470,IF(AND($K470&lt;R$1,$L470&gt;S$1),S$1-R$1,""))))))),"")</f>
        <v>0</v>
      </c>
      <c r="S470" s="78" t="b">
        <f t="shared" si="557"/>
        <v>0</v>
      </c>
      <c r="T470" s="78" t="b">
        <f t="shared" si="557"/>
        <v>0</v>
      </c>
      <c r="U470" s="78" t="b">
        <f t="shared" si="557"/>
        <v>0</v>
      </c>
      <c r="V470" s="78" t="b">
        <f t="shared" si="557"/>
        <v>0</v>
      </c>
      <c r="W470" s="78" t="b">
        <f t="shared" si="557"/>
        <v>0</v>
      </c>
      <c r="X470" s="78" t="b">
        <f t="shared" si="557"/>
        <v>0</v>
      </c>
      <c r="Y470" s="78" t="b">
        <f t="shared" si="557"/>
        <v>0</v>
      </c>
      <c r="Z470" s="78" t="b">
        <f t="shared" si="557"/>
        <v>0</v>
      </c>
      <c r="AA470" s="78" t="b">
        <f t="shared" si="557"/>
        <v>0</v>
      </c>
      <c r="AB470" s="78" t="b">
        <f t="shared" si="557"/>
        <v>0</v>
      </c>
      <c r="AC470" s="78" t="b">
        <f t="shared" si="557"/>
        <v>0</v>
      </c>
      <c r="AD470" s="78" t="b">
        <f t="shared" si="557"/>
        <v>0</v>
      </c>
      <c r="AE470" s="78" t="b">
        <f t="shared" si="557"/>
        <v>0</v>
      </c>
      <c r="AF470" s="78" t="b">
        <f t="shared" si="557"/>
        <v>0</v>
      </c>
      <c r="AG470" s="78" t="b">
        <f t="shared" si="557"/>
        <v>0</v>
      </c>
      <c r="AH470" s="78" t="b">
        <f t="shared" si="557"/>
        <v>0</v>
      </c>
      <c r="AI470" s="78" t="b">
        <f t="shared" si="557"/>
        <v>0</v>
      </c>
      <c r="AJ470" s="78" t="b">
        <f t="shared" si="557"/>
        <v>0</v>
      </c>
      <c r="AK470" s="78" t="b">
        <f t="shared" si="557"/>
        <v>0</v>
      </c>
      <c r="AL470" s="78" t="b">
        <f t="shared" si="557"/>
        <v>0</v>
      </c>
      <c r="AM470" s="78" t="b">
        <f t="shared" si="557"/>
        <v>0</v>
      </c>
      <c r="AN470" s="78" t="b">
        <f t="shared" si="557"/>
        <v>0</v>
      </c>
      <c r="AO470" s="78" t="b">
        <f t="shared" si="557"/>
        <v>0</v>
      </c>
      <c r="AP470" s="78"/>
    </row>
    <row r="471" spans="4:42" x14ac:dyDescent="0.35">
      <c r="D471" s="96"/>
      <c r="E471" s="96"/>
      <c r="G471" s="77">
        <f t="shared" si="531"/>
        <v>0</v>
      </c>
      <c r="H471" s="78">
        <f t="shared" si="532"/>
        <v>0</v>
      </c>
      <c r="I471" s="77">
        <f t="shared" si="533"/>
        <v>0</v>
      </c>
      <c r="J471" s="78">
        <f t="shared" si="534"/>
        <v>0</v>
      </c>
      <c r="K471" s="78" t="str">
        <f t="shared" si="535"/>
        <v>1900-01-00 00:0:00</v>
      </c>
      <c r="L471" s="78" t="str">
        <f t="shared" si="536"/>
        <v>1900-01-00 00:0:00</v>
      </c>
      <c r="M471" s="79">
        <f t="shared" si="537"/>
        <v>0</v>
      </c>
      <c r="N471">
        <f t="shared" si="538"/>
        <v>1</v>
      </c>
      <c r="O471" t="str">
        <f>IFERROR(_xlfn.XLOOKUP(A471,HC!A:A,HC!C:C),"")</f>
        <v>Workforce</v>
      </c>
      <c r="R471" s="78" t="b">
        <f t="shared" ref="R471:AO471" si="558">IFERROR(IF($B471=$D$1,IF(AND($K471&lt;R$1,$L471&lt;R$1),"",IF(AND($K471&gt;S$1,$L471&gt;S$1),"",IF(AND($K471&lt;R$1,$L471&lt;=S$1),$L471-R$1,IF(AND($K471&gt;=R$1,$L471&gt;S$1),S$1-$K471,IF(AND($K471&gt;=R$1,$L471&lt;=S$1),$L471-$K471,IF(AND($K471&lt;R$1,$L471&gt;S$1),S$1-R$1,""))))))),"")</f>
        <v>0</v>
      </c>
      <c r="S471" s="78" t="b">
        <f t="shared" si="558"/>
        <v>0</v>
      </c>
      <c r="T471" s="78" t="b">
        <f t="shared" si="558"/>
        <v>0</v>
      </c>
      <c r="U471" s="78" t="b">
        <f t="shared" si="558"/>
        <v>0</v>
      </c>
      <c r="V471" s="78" t="b">
        <f t="shared" si="558"/>
        <v>0</v>
      </c>
      <c r="W471" s="78" t="b">
        <f t="shared" si="558"/>
        <v>0</v>
      </c>
      <c r="X471" s="78" t="b">
        <f t="shared" si="558"/>
        <v>0</v>
      </c>
      <c r="Y471" s="78" t="b">
        <f t="shared" si="558"/>
        <v>0</v>
      </c>
      <c r="Z471" s="78" t="b">
        <f t="shared" si="558"/>
        <v>0</v>
      </c>
      <c r="AA471" s="78" t="b">
        <f t="shared" si="558"/>
        <v>0</v>
      </c>
      <c r="AB471" s="78" t="b">
        <f t="shared" si="558"/>
        <v>0</v>
      </c>
      <c r="AC471" s="78" t="b">
        <f t="shared" si="558"/>
        <v>0</v>
      </c>
      <c r="AD471" s="78" t="b">
        <f t="shared" si="558"/>
        <v>0</v>
      </c>
      <c r="AE471" s="78" t="b">
        <f t="shared" si="558"/>
        <v>0</v>
      </c>
      <c r="AF471" s="78" t="b">
        <f t="shared" si="558"/>
        <v>0</v>
      </c>
      <c r="AG471" s="78" t="b">
        <f t="shared" si="558"/>
        <v>0</v>
      </c>
      <c r="AH471" s="78" t="b">
        <f t="shared" si="558"/>
        <v>0</v>
      </c>
      <c r="AI471" s="78" t="b">
        <f t="shared" si="558"/>
        <v>0</v>
      </c>
      <c r="AJ471" s="78" t="b">
        <f t="shared" si="558"/>
        <v>0</v>
      </c>
      <c r="AK471" s="78" t="b">
        <f t="shared" si="558"/>
        <v>0</v>
      </c>
      <c r="AL471" s="78" t="b">
        <f t="shared" si="558"/>
        <v>0</v>
      </c>
      <c r="AM471" s="78" t="b">
        <f t="shared" si="558"/>
        <v>0</v>
      </c>
      <c r="AN471" s="78" t="b">
        <f t="shared" si="558"/>
        <v>0</v>
      </c>
      <c r="AO471" s="78" t="b">
        <f t="shared" si="558"/>
        <v>0</v>
      </c>
      <c r="AP471" s="78"/>
    </row>
    <row r="472" spans="4:42" x14ac:dyDescent="0.35">
      <c r="D472" s="96"/>
      <c r="E472" s="96"/>
      <c r="G472" s="77">
        <f t="shared" si="531"/>
        <v>0</v>
      </c>
      <c r="H472" s="78">
        <f t="shared" si="532"/>
        <v>0</v>
      </c>
      <c r="I472" s="77">
        <f t="shared" si="533"/>
        <v>0</v>
      </c>
      <c r="J472" s="78">
        <f t="shared" si="534"/>
        <v>0</v>
      </c>
      <c r="K472" s="78" t="str">
        <f t="shared" si="535"/>
        <v>1900-01-00 00:0:00</v>
      </c>
      <c r="L472" s="78" t="str">
        <f t="shared" si="536"/>
        <v>1900-01-00 00:0:00</v>
      </c>
      <c r="M472" s="79">
        <f t="shared" si="537"/>
        <v>0</v>
      </c>
      <c r="N472">
        <f t="shared" si="538"/>
        <v>1</v>
      </c>
      <c r="O472" t="str">
        <f>IFERROR(_xlfn.XLOOKUP(A472,HC!A:A,HC!C:C),"")</f>
        <v>Workforce</v>
      </c>
      <c r="R472" s="78" t="b">
        <f t="shared" ref="R472:AO472" si="559">IFERROR(IF($B472=$D$1,IF(AND($K472&lt;R$1,$L472&lt;R$1),"",IF(AND($K472&gt;S$1,$L472&gt;S$1),"",IF(AND($K472&lt;R$1,$L472&lt;=S$1),$L472-R$1,IF(AND($K472&gt;=R$1,$L472&gt;S$1),S$1-$K472,IF(AND($K472&gt;=R$1,$L472&lt;=S$1),$L472-$K472,IF(AND($K472&lt;R$1,$L472&gt;S$1),S$1-R$1,""))))))),"")</f>
        <v>0</v>
      </c>
      <c r="S472" s="78" t="b">
        <f t="shared" si="559"/>
        <v>0</v>
      </c>
      <c r="T472" s="78" t="b">
        <f t="shared" si="559"/>
        <v>0</v>
      </c>
      <c r="U472" s="78" t="b">
        <f t="shared" si="559"/>
        <v>0</v>
      </c>
      <c r="V472" s="78" t="b">
        <f t="shared" si="559"/>
        <v>0</v>
      </c>
      <c r="W472" s="78" t="b">
        <f t="shared" si="559"/>
        <v>0</v>
      </c>
      <c r="X472" s="78" t="b">
        <f t="shared" si="559"/>
        <v>0</v>
      </c>
      <c r="Y472" s="78" t="b">
        <f t="shared" si="559"/>
        <v>0</v>
      </c>
      <c r="Z472" s="78" t="b">
        <f t="shared" si="559"/>
        <v>0</v>
      </c>
      <c r="AA472" s="78" t="b">
        <f t="shared" si="559"/>
        <v>0</v>
      </c>
      <c r="AB472" s="78" t="b">
        <f t="shared" si="559"/>
        <v>0</v>
      </c>
      <c r="AC472" s="78" t="b">
        <f t="shared" si="559"/>
        <v>0</v>
      </c>
      <c r="AD472" s="78" t="b">
        <f t="shared" si="559"/>
        <v>0</v>
      </c>
      <c r="AE472" s="78" t="b">
        <f t="shared" si="559"/>
        <v>0</v>
      </c>
      <c r="AF472" s="78" t="b">
        <f t="shared" si="559"/>
        <v>0</v>
      </c>
      <c r="AG472" s="78" t="b">
        <f t="shared" si="559"/>
        <v>0</v>
      </c>
      <c r="AH472" s="78" t="b">
        <f t="shared" si="559"/>
        <v>0</v>
      </c>
      <c r="AI472" s="78" t="b">
        <f t="shared" si="559"/>
        <v>0</v>
      </c>
      <c r="AJ472" s="78" t="b">
        <f t="shared" si="559"/>
        <v>0</v>
      </c>
      <c r="AK472" s="78" t="b">
        <f t="shared" si="559"/>
        <v>0</v>
      </c>
      <c r="AL472" s="78" t="b">
        <f t="shared" si="559"/>
        <v>0</v>
      </c>
      <c r="AM472" s="78" t="b">
        <f t="shared" si="559"/>
        <v>0</v>
      </c>
      <c r="AN472" s="78" t="b">
        <f t="shared" si="559"/>
        <v>0</v>
      </c>
      <c r="AO472" s="78" t="b">
        <f t="shared" si="559"/>
        <v>0</v>
      </c>
      <c r="AP472" s="78"/>
    </row>
    <row r="473" spans="4:42" x14ac:dyDescent="0.35">
      <c r="D473" s="96"/>
      <c r="E473" s="96"/>
      <c r="G473" s="77">
        <f t="shared" si="531"/>
        <v>0</v>
      </c>
      <c r="H473" s="78">
        <f t="shared" si="532"/>
        <v>0</v>
      </c>
      <c r="I473" s="77">
        <f t="shared" si="533"/>
        <v>0</v>
      </c>
      <c r="J473" s="78">
        <f t="shared" si="534"/>
        <v>0</v>
      </c>
      <c r="K473" s="78" t="str">
        <f t="shared" si="535"/>
        <v>1900-01-00 00:0:00</v>
      </c>
      <c r="L473" s="78" t="str">
        <f t="shared" si="536"/>
        <v>1900-01-00 00:0:00</v>
      </c>
      <c r="M473" s="79">
        <f t="shared" si="537"/>
        <v>0</v>
      </c>
      <c r="N473">
        <f t="shared" si="538"/>
        <v>1</v>
      </c>
      <c r="O473" t="str">
        <f>IFERROR(_xlfn.XLOOKUP(A473,HC!A:A,HC!C:C),"")</f>
        <v>Workforce</v>
      </c>
      <c r="R473" s="78" t="b">
        <f t="shared" ref="R473:AO473" si="560">IFERROR(IF($B473=$D$1,IF(AND($K473&lt;R$1,$L473&lt;R$1),"",IF(AND($K473&gt;S$1,$L473&gt;S$1),"",IF(AND($K473&lt;R$1,$L473&lt;=S$1),$L473-R$1,IF(AND($K473&gt;=R$1,$L473&gt;S$1),S$1-$K473,IF(AND($K473&gt;=R$1,$L473&lt;=S$1),$L473-$K473,IF(AND($K473&lt;R$1,$L473&gt;S$1),S$1-R$1,""))))))),"")</f>
        <v>0</v>
      </c>
      <c r="S473" s="78" t="b">
        <f t="shared" si="560"/>
        <v>0</v>
      </c>
      <c r="T473" s="78" t="b">
        <f t="shared" si="560"/>
        <v>0</v>
      </c>
      <c r="U473" s="78" t="b">
        <f t="shared" si="560"/>
        <v>0</v>
      </c>
      <c r="V473" s="78" t="b">
        <f t="shared" si="560"/>
        <v>0</v>
      </c>
      <c r="W473" s="78" t="b">
        <f t="shared" si="560"/>
        <v>0</v>
      </c>
      <c r="X473" s="78" t="b">
        <f t="shared" si="560"/>
        <v>0</v>
      </c>
      <c r="Y473" s="78" t="b">
        <f t="shared" si="560"/>
        <v>0</v>
      </c>
      <c r="Z473" s="78" t="b">
        <f t="shared" si="560"/>
        <v>0</v>
      </c>
      <c r="AA473" s="78" t="b">
        <f t="shared" si="560"/>
        <v>0</v>
      </c>
      <c r="AB473" s="78" t="b">
        <f t="shared" si="560"/>
        <v>0</v>
      </c>
      <c r="AC473" s="78" t="b">
        <f t="shared" si="560"/>
        <v>0</v>
      </c>
      <c r="AD473" s="78" t="b">
        <f t="shared" si="560"/>
        <v>0</v>
      </c>
      <c r="AE473" s="78" t="b">
        <f t="shared" si="560"/>
        <v>0</v>
      </c>
      <c r="AF473" s="78" t="b">
        <f t="shared" si="560"/>
        <v>0</v>
      </c>
      <c r="AG473" s="78" t="b">
        <f t="shared" si="560"/>
        <v>0</v>
      </c>
      <c r="AH473" s="78" t="b">
        <f t="shared" si="560"/>
        <v>0</v>
      </c>
      <c r="AI473" s="78" t="b">
        <f t="shared" si="560"/>
        <v>0</v>
      </c>
      <c r="AJ473" s="78" t="b">
        <f t="shared" si="560"/>
        <v>0</v>
      </c>
      <c r="AK473" s="78" t="b">
        <f t="shared" si="560"/>
        <v>0</v>
      </c>
      <c r="AL473" s="78" t="b">
        <f t="shared" si="560"/>
        <v>0</v>
      </c>
      <c r="AM473" s="78" t="b">
        <f t="shared" si="560"/>
        <v>0</v>
      </c>
      <c r="AN473" s="78" t="b">
        <f t="shared" si="560"/>
        <v>0</v>
      </c>
      <c r="AO473" s="78" t="b">
        <f t="shared" si="560"/>
        <v>0</v>
      </c>
      <c r="AP473" s="78"/>
    </row>
    <row r="474" spans="4:42" x14ac:dyDescent="0.35">
      <c r="D474" s="96"/>
      <c r="E474" s="96"/>
      <c r="G474" s="77">
        <f t="shared" si="531"/>
        <v>0</v>
      </c>
      <c r="H474" s="78">
        <f t="shared" si="532"/>
        <v>0</v>
      </c>
      <c r="I474" s="77">
        <f t="shared" si="533"/>
        <v>0</v>
      </c>
      <c r="J474" s="78">
        <f t="shared" si="534"/>
        <v>0</v>
      </c>
      <c r="K474" s="78" t="str">
        <f t="shared" si="535"/>
        <v>1900-01-00 00:0:00</v>
      </c>
      <c r="L474" s="78" t="str">
        <f t="shared" si="536"/>
        <v>1900-01-00 00:0:00</v>
      </c>
      <c r="M474" s="79">
        <f t="shared" si="537"/>
        <v>0</v>
      </c>
      <c r="N474">
        <f t="shared" si="538"/>
        <v>1</v>
      </c>
      <c r="O474" t="str">
        <f>IFERROR(_xlfn.XLOOKUP(A474,HC!A:A,HC!C:C),"")</f>
        <v>Workforce</v>
      </c>
      <c r="R474" s="78" t="b">
        <f t="shared" ref="R474:AO474" si="561">IFERROR(IF($B474=$D$1,IF(AND($K474&lt;R$1,$L474&lt;R$1),"",IF(AND($K474&gt;S$1,$L474&gt;S$1),"",IF(AND($K474&lt;R$1,$L474&lt;=S$1),$L474-R$1,IF(AND($K474&gt;=R$1,$L474&gt;S$1),S$1-$K474,IF(AND($K474&gt;=R$1,$L474&lt;=S$1),$L474-$K474,IF(AND($K474&lt;R$1,$L474&gt;S$1),S$1-R$1,""))))))),"")</f>
        <v>0</v>
      </c>
      <c r="S474" s="78" t="b">
        <f t="shared" si="561"/>
        <v>0</v>
      </c>
      <c r="T474" s="78" t="b">
        <f t="shared" si="561"/>
        <v>0</v>
      </c>
      <c r="U474" s="78" t="b">
        <f t="shared" si="561"/>
        <v>0</v>
      </c>
      <c r="V474" s="78" t="b">
        <f t="shared" si="561"/>
        <v>0</v>
      </c>
      <c r="W474" s="78" t="b">
        <f t="shared" si="561"/>
        <v>0</v>
      </c>
      <c r="X474" s="78" t="b">
        <f t="shared" si="561"/>
        <v>0</v>
      </c>
      <c r="Y474" s="78" t="b">
        <f t="shared" si="561"/>
        <v>0</v>
      </c>
      <c r="Z474" s="78" t="b">
        <f t="shared" si="561"/>
        <v>0</v>
      </c>
      <c r="AA474" s="78" t="b">
        <f t="shared" si="561"/>
        <v>0</v>
      </c>
      <c r="AB474" s="78" t="b">
        <f t="shared" si="561"/>
        <v>0</v>
      </c>
      <c r="AC474" s="78" t="b">
        <f t="shared" si="561"/>
        <v>0</v>
      </c>
      <c r="AD474" s="78" t="b">
        <f t="shared" si="561"/>
        <v>0</v>
      </c>
      <c r="AE474" s="78" t="b">
        <f t="shared" si="561"/>
        <v>0</v>
      </c>
      <c r="AF474" s="78" t="b">
        <f t="shared" si="561"/>
        <v>0</v>
      </c>
      <c r="AG474" s="78" t="b">
        <f t="shared" si="561"/>
        <v>0</v>
      </c>
      <c r="AH474" s="78" t="b">
        <f t="shared" si="561"/>
        <v>0</v>
      </c>
      <c r="AI474" s="78" t="b">
        <f t="shared" si="561"/>
        <v>0</v>
      </c>
      <c r="AJ474" s="78" t="b">
        <f t="shared" si="561"/>
        <v>0</v>
      </c>
      <c r="AK474" s="78" t="b">
        <f t="shared" si="561"/>
        <v>0</v>
      </c>
      <c r="AL474" s="78" t="b">
        <f t="shared" si="561"/>
        <v>0</v>
      </c>
      <c r="AM474" s="78" t="b">
        <f t="shared" si="561"/>
        <v>0</v>
      </c>
      <c r="AN474" s="78" t="b">
        <f t="shared" si="561"/>
        <v>0</v>
      </c>
      <c r="AO474" s="78" t="b">
        <f t="shared" si="561"/>
        <v>0</v>
      </c>
      <c r="AP474" s="78"/>
    </row>
    <row r="475" spans="4:42" x14ac:dyDescent="0.35">
      <c r="D475" s="96"/>
      <c r="E475" s="96"/>
      <c r="G475" s="77">
        <f t="shared" si="531"/>
        <v>0</v>
      </c>
      <c r="H475" s="78">
        <f t="shared" si="532"/>
        <v>0</v>
      </c>
      <c r="I475" s="77">
        <f t="shared" si="533"/>
        <v>0</v>
      </c>
      <c r="J475" s="78">
        <f t="shared" si="534"/>
        <v>0</v>
      </c>
      <c r="K475" s="78" t="str">
        <f t="shared" si="535"/>
        <v>1900-01-00 00:0:00</v>
      </c>
      <c r="L475" s="78" t="str">
        <f t="shared" si="536"/>
        <v>1900-01-00 00:0:00</v>
      </c>
      <c r="M475" s="79">
        <f t="shared" si="537"/>
        <v>0</v>
      </c>
      <c r="N475">
        <f t="shared" si="538"/>
        <v>1</v>
      </c>
      <c r="O475" t="str">
        <f>IFERROR(_xlfn.XLOOKUP(A475,HC!A:A,HC!C:C),"")</f>
        <v>Workforce</v>
      </c>
      <c r="R475" s="78" t="b">
        <f t="shared" ref="R475:AO475" si="562">IFERROR(IF($B475=$D$1,IF(AND($K475&lt;R$1,$L475&lt;R$1),"",IF(AND($K475&gt;S$1,$L475&gt;S$1),"",IF(AND($K475&lt;R$1,$L475&lt;=S$1),$L475-R$1,IF(AND($K475&gt;=R$1,$L475&gt;S$1),S$1-$K475,IF(AND($K475&gt;=R$1,$L475&lt;=S$1),$L475-$K475,IF(AND($K475&lt;R$1,$L475&gt;S$1),S$1-R$1,""))))))),"")</f>
        <v>0</v>
      </c>
      <c r="S475" s="78" t="b">
        <f t="shared" si="562"/>
        <v>0</v>
      </c>
      <c r="T475" s="78" t="b">
        <f t="shared" si="562"/>
        <v>0</v>
      </c>
      <c r="U475" s="78" t="b">
        <f t="shared" si="562"/>
        <v>0</v>
      </c>
      <c r="V475" s="78" t="b">
        <f t="shared" si="562"/>
        <v>0</v>
      </c>
      <c r="W475" s="78" t="b">
        <f t="shared" si="562"/>
        <v>0</v>
      </c>
      <c r="X475" s="78" t="b">
        <f t="shared" si="562"/>
        <v>0</v>
      </c>
      <c r="Y475" s="78" t="b">
        <f t="shared" si="562"/>
        <v>0</v>
      </c>
      <c r="Z475" s="78" t="b">
        <f t="shared" si="562"/>
        <v>0</v>
      </c>
      <c r="AA475" s="78" t="b">
        <f t="shared" si="562"/>
        <v>0</v>
      </c>
      <c r="AB475" s="78" t="b">
        <f t="shared" si="562"/>
        <v>0</v>
      </c>
      <c r="AC475" s="78" t="b">
        <f t="shared" si="562"/>
        <v>0</v>
      </c>
      <c r="AD475" s="78" t="b">
        <f t="shared" si="562"/>
        <v>0</v>
      </c>
      <c r="AE475" s="78" t="b">
        <f t="shared" si="562"/>
        <v>0</v>
      </c>
      <c r="AF475" s="78" t="b">
        <f t="shared" si="562"/>
        <v>0</v>
      </c>
      <c r="AG475" s="78" t="b">
        <f t="shared" si="562"/>
        <v>0</v>
      </c>
      <c r="AH475" s="78" t="b">
        <f t="shared" si="562"/>
        <v>0</v>
      </c>
      <c r="AI475" s="78" t="b">
        <f t="shared" si="562"/>
        <v>0</v>
      </c>
      <c r="AJ475" s="78" t="b">
        <f t="shared" si="562"/>
        <v>0</v>
      </c>
      <c r="AK475" s="78" t="b">
        <f t="shared" si="562"/>
        <v>0</v>
      </c>
      <c r="AL475" s="78" t="b">
        <f t="shared" si="562"/>
        <v>0</v>
      </c>
      <c r="AM475" s="78" t="b">
        <f t="shared" si="562"/>
        <v>0</v>
      </c>
      <c r="AN475" s="78" t="b">
        <f t="shared" si="562"/>
        <v>0</v>
      </c>
      <c r="AO475" s="78" t="b">
        <f t="shared" si="562"/>
        <v>0</v>
      </c>
      <c r="AP475" s="78"/>
    </row>
    <row r="476" spans="4:42" x14ac:dyDescent="0.35">
      <c r="D476" s="96"/>
      <c r="E476" s="96"/>
      <c r="G476" s="77">
        <f t="shared" si="531"/>
        <v>0</v>
      </c>
      <c r="H476" s="78">
        <f t="shared" si="532"/>
        <v>0</v>
      </c>
      <c r="I476" s="77">
        <f t="shared" si="533"/>
        <v>0</v>
      </c>
      <c r="J476" s="78">
        <f t="shared" si="534"/>
        <v>0</v>
      </c>
      <c r="K476" s="78" t="str">
        <f t="shared" si="535"/>
        <v>1900-01-00 00:0:00</v>
      </c>
      <c r="L476" s="78" t="str">
        <f t="shared" si="536"/>
        <v>1900-01-00 00:0:00</v>
      </c>
      <c r="M476" s="79">
        <f t="shared" si="537"/>
        <v>0</v>
      </c>
      <c r="N476">
        <f t="shared" si="538"/>
        <v>1</v>
      </c>
      <c r="O476" t="str">
        <f>IFERROR(_xlfn.XLOOKUP(A476,HC!A:A,HC!C:C),"")</f>
        <v>Workforce</v>
      </c>
      <c r="R476" s="78" t="b">
        <f t="shared" ref="R476:AO476" si="563">IFERROR(IF($B476=$D$1,IF(AND($K476&lt;R$1,$L476&lt;R$1),"",IF(AND($K476&gt;S$1,$L476&gt;S$1),"",IF(AND($K476&lt;R$1,$L476&lt;=S$1),$L476-R$1,IF(AND($K476&gt;=R$1,$L476&gt;S$1),S$1-$K476,IF(AND($K476&gt;=R$1,$L476&lt;=S$1),$L476-$K476,IF(AND($K476&lt;R$1,$L476&gt;S$1),S$1-R$1,""))))))),"")</f>
        <v>0</v>
      </c>
      <c r="S476" s="78" t="b">
        <f t="shared" si="563"/>
        <v>0</v>
      </c>
      <c r="T476" s="78" t="b">
        <f t="shared" si="563"/>
        <v>0</v>
      </c>
      <c r="U476" s="78" t="b">
        <f t="shared" si="563"/>
        <v>0</v>
      </c>
      <c r="V476" s="78" t="b">
        <f t="shared" si="563"/>
        <v>0</v>
      </c>
      <c r="W476" s="78" t="b">
        <f t="shared" si="563"/>
        <v>0</v>
      </c>
      <c r="X476" s="78" t="b">
        <f t="shared" si="563"/>
        <v>0</v>
      </c>
      <c r="Y476" s="78" t="b">
        <f t="shared" si="563"/>
        <v>0</v>
      </c>
      <c r="Z476" s="78" t="b">
        <f t="shared" si="563"/>
        <v>0</v>
      </c>
      <c r="AA476" s="78" t="b">
        <f t="shared" si="563"/>
        <v>0</v>
      </c>
      <c r="AB476" s="78" t="b">
        <f t="shared" si="563"/>
        <v>0</v>
      </c>
      <c r="AC476" s="78" t="b">
        <f t="shared" si="563"/>
        <v>0</v>
      </c>
      <c r="AD476" s="78" t="b">
        <f t="shared" si="563"/>
        <v>0</v>
      </c>
      <c r="AE476" s="78" t="b">
        <f t="shared" si="563"/>
        <v>0</v>
      </c>
      <c r="AF476" s="78" t="b">
        <f t="shared" si="563"/>
        <v>0</v>
      </c>
      <c r="AG476" s="78" t="b">
        <f t="shared" si="563"/>
        <v>0</v>
      </c>
      <c r="AH476" s="78" t="b">
        <f t="shared" si="563"/>
        <v>0</v>
      </c>
      <c r="AI476" s="78" t="b">
        <f t="shared" si="563"/>
        <v>0</v>
      </c>
      <c r="AJ476" s="78" t="b">
        <f t="shared" si="563"/>
        <v>0</v>
      </c>
      <c r="AK476" s="78" t="b">
        <f t="shared" si="563"/>
        <v>0</v>
      </c>
      <c r="AL476" s="78" t="b">
        <f t="shared" si="563"/>
        <v>0</v>
      </c>
      <c r="AM476" s="78" t="b">
        <f t="shared" si="563"/>
        <v>0</v>
      </c>
      <c r="AN476" s="78" t="b">
        <f t="shared" si="563"/>
        <v>0</v>
      </c>
      <c r="AO476" s="78" t="b">
        <f t="shared" si="563"/>
        <v>0</v>
      </c>
      <c r="AP476" s="78"/>
    </row>
    <row r="477" spans="4:42" x14ac:dyDescent="0.35">
      <c r="D477" s="96"/>
      <c r="E477" s="96"/>
      <c r="G477" s="77">
        <f t="shared" si="531"/>
        <v>0</v>
      </c>
      <c r="H477" s="78">
        <f t="shared" si="532"/>
        <v>0</v>
      </c>
      <c r="I477" s="77">
        <f t="shared" si="533"/>
        <v>0</v>
      </c>
      <c r="J477" s="78">
        <f t="shared" si="534"/>
        <v>0</v>
      </c>
      <c r="K477" s="78" t="str">
        <f t="shared" si="535"/>
        <v>1900-01-00 00:0:00</v>
      </c>
      <c r="L477" s="78" t="str">
        <f t="shared" si="536"/>
        <v>1900-01-00 00:0:00</v>
      </c>
      <c r="M477" s="79">
        <f t="shared" si="537"/>
        <v>0</v>
      </c>
      <c r="N477">
        <f t="shared" si="538"/>
        <v>1</v>
      </c>
      <c r="O477" t="str">
        <f>IFERROR(_xlfn.XLOOKUP(A477,HC!A:A,HC!C:C),"")</f>
        <v>Workforce</v>
      </c>
      <c r="R477" s="78" t="b">
        <f t="shared" ref="R477:AO477" si="564">IFERROR(IF($B477=$D$1,IF(AND($K477&lt;R$1,$L477&lt;R$1),"",IF(AND($K477&gt;S$1,$L477&gt;S$1),"",IF(AND($K477&lt;R$1,$L477&lt;=S$1),$L477-R$1,IF(AND($K477&gt;=R$1,$L477&gt;S$1),S$1-$K477,IF(AND($K477&gt;=R$1,$L477&lt;=S$1),$L477-$K477,IF(AND($K477&lt;R$1,$L477&gt;S$1),S$1-R$1,""))))))),"")</f>
        <v>0</v>
      </c>
      <c r="S477" s="78" t="b">
        <f t="shared" si="564"/>
        <v>0</v>
      </c>
      <c r="T477" s="78" t="b">
        <f t="shared" si="564"/>
        <v>0</v>
      </c>
      <c r="U477" s="78" t="b">
        <f t="shared" si="564"/>
        <v>0</v>
      </c>
      <c r="V477" s="78" t="b">
        <f t="shared" si="564"/>
        <v>0</v>
      </c>
      <c r="W477" s="78" t="b">
        <f t="shared" si="564"/>
        <v>0</v>
      </c>
      <c r="X477" s="78" t="b">
        <f t="shared" si="564"/>
        <v>0</v>
      </c>
      <c r="Y477" s="78" t="b">
        <f t="shared" si="564"/>
        <v>0</v>
      </c>
      <c r="Z477" s="78" t="b">
        <f t="shared" si="564"/>
        <v>0</v>
      </c>
      <c r="AA477" s="78" t="b">
        <f t="shared" si="564"/>
        <v>0</v>
      </c>
      <c r="AB477" s="78" t="b">
        <f t="shared" si="564"/>
        <v>0</v>
      </c>
      <c r="AC477" s="78" t="b">
        <f t="shared" si="564"/>
        <v>0</v>
      </c>
      <c r="AD477" s="78" t="b">
        <f t="shared" si="564"/>
        <v>0</v>
      </c>
      <c r="AE477" s="78" t="b">
        <f t="shared" si="564"/>
        <v>0</v>
      </c>
      <c r="AF477" s="78" t="b">
        <f t="shared" si="564"/>
        <v>0</v>
      </c>
      <c r="AG477" s="78" t="b">
        <f t="shared" si="564"/>
        <v>0</v>
      </c>
      <c r="AH477" s="78" t="b">
        <f t="shared" si="564"/>
        <v>0</v>
      </c>
      <c r="AI477" s="78" t="b">
        <f t="shared" si="564"/>
        <v>0</v>
      </c>
      <c r="AJ477" s="78" t="b">
        <f t="shared" si="564"/>
        <v>0</v>
      </c>
      <c r="AK477" s="78" t="b">
        <f t="shared" si="564"/>
        <v>0</v>
      </c>
      <c r="AL477" s="78" t="b">
        <f t="shared" si="564"/>
        <v>0</v>
      </c>
      <c r="AM477" s="78" t="b">
        <f t="shared" si="564"/>
        <v>0</v>
      </c>
      <c r="AN477" s="78" t="b">
        <f t="shared" si="564"/>
        <v>0</v>
      </c>
      <c r="AO477" s="78" t="b">
        <f t="shared" si="564"/>
        <v>0</v>
      </c>
      <c r="AP477" s="78"/>
    </row>
    <row r="478" spans="4:42" x14ac:dyDescent="0.35">
      <c r="D478" s="96"/>
      <c r="E478" s="96"/>
      <c r="G478" s="77">
        <f t="shared" si="531"/>
        <v>0</v>
      </c>
      <c r="H478" s="78">
        <f t="shared" si="532"/>
        <v>0</v>
      </c>
      <c r="I478" s="77">
        <f t="shared" si="533"/>
        <v>0</v>
      </c>
      <c r="J478" s="78">
        <f t="shared" si="534"/>
        <v>0</v>
      </c>
      <c r="K478" s="78" t="str">
        <f t="shared" si="535"/>
        <v>1900-01-00 00:0:00</v>
      </c>
      <c r="L478" s="78" t="str">
        <f t="shared" si="536"/>
        <v>1900-01-00 00:0:00</v>
      </c>
      <c r="M478" s="79">
        <f t="shared" si="537"/>
        <v>0</v>
      </c>
      <c r="N478">
        <f t="shared" si="538"/>
        <v>1</v>
      </c>
      <c r="O478" t="str">
        <f>IFERROR(_xlfn.XLOOKUP(A478,HC!A:A,HC!C:C),"")</f>
        <v>Workforce</v>
      </c>
      <c r="R478" s="78" t="b">
        <f t="shared" ref="R478:AO478" si="565">IFERROR(IF($B478=$D$1,IF(AND($K478&lt;R$1,$L478&lt;R$1),"",IF(AND($K478&gt;S$1,$L478&gt;S$1),"",IF(AND($K478&lt;R$1,$L478&lt;=S$1),$L478-R$1,IF(AND($K478&gt;=R$1,$L478&gt;S$1),S$1-$K478,IF(AND($K478&gt;=R$1,$L478&lt;=S$1),$L478-$K478,IF(AND($K478&lt;R$1,$L478&gt;S$1),S$1-R$1,""))))))),"")</f>
        <v>0</v>
      </c>
      <c r="S478" s="78" t="b">
        <f t="shared" si="565"/>
        <v>0</v>
      </c>
      <c r="T478" s="78" t="b">
        <f t="shared" si="565"/>
        <v>0</v>
      </c>
      <c r="U478" s="78" t="b">
        <f t="shared" si="565"/>
        <v>0</v>
      </c>
      <c r="V478" s="78" t="b">
        <f t="shared" si="565"/>
        <v>0</v>
      </c>
      <c r="W478" s="78" t="b">
        <f t="shared" si="565"/>
        <v>0</v>
      </c>
      <c r="X478" s="78" t="b">
        <f t="shared" si="565"/>
        <v>0</v>
      </c>
      <c r="Y478" s="78" t="b">
        <f t="shared" si="565"/>
        <v>0</v>
      </c>
      <c r="Z478" s="78" t="b">
        <f t="shared" si="565"/>
        <v>0</v>
      </c>
      <c r="AA478" s="78" t="b">
        <f t="shared" si="565"/>
        <v>0</v>
      </c>
      <c r="AB478" s="78" t="b">
        <f t="shared" si="565"/>
        <v>0</v>
      </c>
      <c r="AC478" s="78" t="b">
        <f t="shared" si="565"/>
        <v>0</v>
      </c>
      <c r="AD478" s="78" t="b">
        <f t="shared" si="565"/>
        <v>0</v>
      </c>
      <c r="AE478" s="78" t="b">
        <f t="shared" si="565"/>
        <v>0</v>
      </c>
      <c r="AF478" s="78" t="b">
        <f t="shared" si="565"/>
        <v>0</v>
      </c>
      <c r="AG478" s="78" t="b">
        <f t="shared" si="565"/>
        <v>0</v>
      </c>
      <c r="AH478" s="78" t="b">
        <f t="shared" si="565"/>
        <v>0</v>
      </c>
      <c r="AI478" s="78" t="b">
        <f t="shared" si="565"/>
        <v>0</v>
      </c>
      <c r="AJ478" s="78" t="b">
        <f t="shared" si="565"/>
        <v>0</v>
      </c>
      <c r="AK478" s="78" t="b">
        <f t="shared" si="565"/>
        <v>0</v>
      </c>
      <c r="AL478" s="78" t="b">
        <f t="shared" si="565"/>
        <v>0</v>
      </c>
      <c r="AM478" s="78" t="b">
        <f t="shared" si="565"/>
        <v>0</v>
      </c>
      <c r="AN478" s="78" t="b">
        <f t="shared" si="565"/>
        <v>0</v>
      </c>
      <c r="AO478" s="78" t="b">
        <f t="shared" si="565"/>
        <v>0</v>
      </c>
      <c r="AP478" s="78"/>
    </row>
    <row r="479" spans="4:42" x14ac:dyDescent="0.35">
      <c r="D479" s="96"/>
      <c r="E479" s="96"/>
      <c r="G479" s="77">
        <f t="shared" si="531"/>
        <v>0</v>
      </c>
      <c r="H479" s="78">
        <f t="shared" si="532"/>
        <v>0</v>
      </c>
      <c r="I479" s="77">
        <f t="shared" si="533"/>
        <v>0</v>
      </c>
      <c r="J479" s="78">
        <f t="shared" si="534"/>
        <v>0</v>
      </c>
      <c r="K479" s="78" t="str">
        <f t="shared" si="535"/>
        <v>1900-01-00 00:0:00</v>
      </c>
      <c r="L479" s="78" t="str">
        <f t="shared" si="536"/>
        <v>1900-01-00 00:0:00</v>
      </c>
      <c r="M479" s="79">
        <f t="shared" si="537"/>
        <v>0</v>
      </c>
      <c r="N479">
        <f t="shared" si="538"/>
        <v>1</v>
      </c>
      <c r="O479" t="str">
        <f>IFERROR(_xlfn.XLOOKUP(A479,HC!A:A,HC!C:C),"")</f>
        <v>Workforce</v>
      </c>
      <c r="R479" s="78" t="b">
        <f t="shared" ref="R479:AO479" si="566">IFERROR(IF($B479=$D$1,IF(AND($K479&lt;R$1,$L479&lt;R$1),"",IF(AND($K479&gt;S$1,$L479&gt;S$1),"",IF(AND($K479&lt;R$1,$L479&lt;=S$1),$L479-R$1,IF(AND($K479&gt;=R$1,$L479&gt;S$1),S$1-$K479,IF(AND($K479&gt;=R$1,$L479&lt;=S$1),$L479-$K479,IF(AND($K479&lt;R$1,$L479&gt;S$1),S$1-R$1,""))))))),"")</f>
        <v>0</v>
      </c>
      <c r="S479" s="78" t="b">
        <f t="shared" si="566"/>
        <v>0</v>
      </c>
      <c r="T479" s="78" t="b">
        <f t="shared" si="566"/>
        <v>0</v>
      </c>
      <c r="U479" s="78" t="b">
        <f t="shared" si="566"/>
        <v>0</v>
      </c>
      <c r="V479" s="78" t="b">
        <f t="shared" si="566"/>
        <v>0</v>
      </c>
      <c r="W479" s="78" t="b">
        <f t="shared" si="566"/>
        <v>0</v>
      </c>
      <c r="X479" s="78" t="b">
        <f t="shared" si="566"/>
        <v>0</v>
      </c>
      <c r="Y479" s="78" t="b">
        <f t="shared" si="566"/>
        <v>0</v>
      </c>
      <c r="Z479" s="78" t="b">
        <f t="shared" si="566"/>
        <v>0</v>
      </c>
      <c r="AA479" s="78" t="b">
        <f t="shared" si="566"/>
        <v>0</v>
      </c>
      <c r="AB479" s="78" t="b">
        <f t="shared" si="566"/>
        <v>0</v>
      </c>
      <c r="AC479" s="78" t="b">
        <f t="shared" si="566"/>
        <v>0</v>
      </c>
      <c r="AD479" s="78" t="b">
        <f t="shared" si="566"/>
        <v>0</v>
      </c>
      <c r="AE479" s="78" t="b">
        <f t="shared" si="566"/>
        <v>0</v>
      </c>
      <c r="AF479" s="78" t="b">
        <f t="shared" si="566"/>
        <v>0</v>
      </c>
      <c r="AG479" s="78" t="b">
        <f t="shared" si="566"/>
        <v>0</v>
      </c>
      <c r="AH479" s="78" t="b">
        <f t="shared" si="566"/>
        <v>0</v>
      </c>
      <c r="AI479" s="78" t="b">
        <f t="shared" si="566"/>
        <v>0</v>
      </c>
      <c r="AJ479" s="78" t="b">
        <f t="shared" si="566"/>
        <v>0</v>
      </c>
      <c r="AK479" s="78" t="b">
        <f t="shared" si="566"/>
        <v>0</v>
      </c>
      <c r="AL479" s="78" t="b">
        <f t="shared" si="566"/>
        <v>0</v>
      </c>
      <c r="AM479" s="78" t="b">
        <f t="shared" si="566"/>
        <v>0</v>
      </c>
      <c r="AN479" s="78" t="b">
        <f t="shared" si="566"/>
        <v>0</v>
      </c>
      <c r="AO479" s="78" t="b">
        <f t="shared" si="566"/>
        <v>0</v>
      </c>
      <c r="AP479" s="78"/>
    </row>
    <row r="480" spans="4:42" x14ac:dyDescent="0.35">
      <c r="D480" s="96"/>
      <c r="E480" s="96"/>
      <c r="G480" s="77">
        <f t="shared" si="531"/>
        <v>0</v>
      </c>
      <c r="H480" s="78">
        <f t="shared" si="532"/>
        <v>0</v>
      </c>
      <c r="I480" s="77">
        <f t="shared" si="533"/>
        <v>0</v>
      </c>
      <c r="J480" s="78">
        <f t="shared" si="534"/>
        <v>0</v>
      </c>
      <c r="K480" s="78" t="str">
        <f t="shared" si="535"/>
        <v>1900-01-00 00:0:00</v>
      </c>
      <c r="L480" s="78" t="str">
        <f t="shared" si="536"/>
        <v>1900-01-00 00:0:00</v>
      </c>
      <c r="M480" s="79">
        <f t="shared" si="537"/>
        <v>0</v>
      </c>
      <c r="N480">
        <f t="shared" si="538"/>
        <v>1</v>
      </c>
      <c r="O480" t="str">
        <f>IFERROR(_xlfn.XLOOKUP(A480,HC!A:A,HC!C:C),"")</f>
        <v>Workforce</v>
      </c>
      <c r="R480" s="78" t="b">
        <f t="shared" ref="R480:AO480" si="567">IFERROR(IF($B480=$D$1,IF(AND($K480&lt;R$1,$L480&lt;R$1),"",IF(AND($K480&gt;S$1,$L480&gt;S$1),"",IF(AND($K480&lt;R$1,$L480&lt;=S$1),$L480-R$1,IF(AND($K480&gt;=R$1,$L480&gt;S$1),S$1-$K480,IF(AND($K480&gt;=R$1,$L480&lt;=S$1),$L480-$K480,IF(AND($K480&lt;R$1,$L480&gt;S$1),S$1-R$1,""))))))),"")</f>
        <v>0</v>
      </c>
      <c r="S480" s="78" t="b">
        <f t="shared" si="567"/>
        <v>0</v>
      </c>
      <c r="T480" s="78" t="b">
        <f t="shared" si="567"/>
        <v>0</v>
      </c>
      <c r="U480" s="78" t="b">
        <f t="shared" si="567"/>
        <v>0</v>
      </c>
      <c r="V480" s="78" t="b">
        <f t="shared" si="567"/>
        <v>0</v>
      </c>
      <c r="W480" s="78" t="b">
        <f t="shared" si="567"/>
        <v>0</v>
      </c>
      <c r="X480" s="78" t="b">
        <f t="shared" si="567"/>
        <v>0</v>
      </c>
      <c r="Y480" s="78" t="b">
        <f t="shared" si="567"/>
        <v>0</v>
      </c>
      <c r="Z480" s="78" t="b">
        <f t="shared" si="567"/>
        <v>0</v>
      </c>
      <c r="AA480" s="78" t="b">
        <f t="shared" si="567"/>
        <v>0</v>
      </c>
      <c r="AB480" s="78" t="b">
        <f t="shared" si="567"/>
        <v>0</v>
      </c>
      <c r="AC480" s="78" t="b">
        <f t="shared" si="567"/>
        <v>0</v>
      </c>
      <c r="AD480" s="78" t="b">
        <f t="shared" si="567"/>
        <v>0</v>
      </c>
      <c r="AE480" s="78" t="b">
        <f t="shared" si="567"/>
        <v>0</v>
      </c>
      <c r="AF480" s="78" t="b">
        <f t="shared" si="567"/>
        <v>0</v>
      </c>
      <c r="AG480" s="78" t="b">
        <f t="shared" si="567"/>
        <v>0</v>
      </c>
      <c r="AH480" s="78" t="b">
        <f t="shared" si="567"/>
        <v>0</v>
      </c>
      <c r="AI480" s="78" t="b">
        <f t="shared" si="567"/>
        <v>0</v>
      </c>
      <c r="AJ480" s="78" t="b">
        <f t="shared" si="567"/>
        <v>0</v>
      </c>
      <c r="AK480" s="78" t="b">
        <f t="shared" si="567"/>
        <v>0</v>
      </c>
      <c r="AL480" s="78" t="b">
        <f t="shared" si="567"/>
        <v>0</v>
      </c>
      <c r="AM480" s="78" t="b">
        <f t="shared" si="567"/>
        <v>0</v>
      </c>
      <c r="AN480" s="78" t="b">
        <f t="shared" si="567"/>
        <v>0</v>
      </c>
      <c r="AO480" s="78" t="b">
        <f t="shared" si="567"/>
        <v>0</v>
      </c>
      <c r="AP480" s="78"/>
    </row>
    <row r="481" spans="4:42" x14ac:dyDescent="0.35">
      <c r="D481" s="96"/>
      <c r="E481" s="96"/>
      <c r="G481" s="77">
        <f t="shared" si="531"/>
        <v>0</v>
      </c>
      <c r="H481" s="78">
        <f t="shared" si="532"/>
        <v>0</v>
      </c>
      <c r="I481" s="77">
        <f t="shared" si="533"/>
        <v>0</v>
      </c>
      <c r="J481" s="78">
        <f t="shared" si="534"/>
        <v>0</v>
      </c>
      <c r="K481" s="78" t="str">
        <f t="shared" si="535"/>
        <v>1900-01-00 00:0:00</v>
      </c>
      <c r="L481" s="78" t="str">
        <f t="shared" si="536"/>
        <v>1900-01-00 00:0:00</v>
      </c>
      <c r="M481" s="79">
        <f t="shared" si="537"/>
        <v>0</v>
      </c>
      <c r="N481">
        <f t="shared" si="538"/>
        <v>1</v>
      </c>
      <c r="O481" t="str">
        <f>IFERROR(_xlfn.XLOOKUP(A481,HC!A:A,HC!C:C),"")</f>
        <v>Workforce</v>
      </c>
      <c r="R481" s="78" t="b">
        <f t="shared" ref="R481:AO481" si="568">IFERROR(IF($B481=$D$1,IF(AND($K481&lt;R$1,$L481&lt;R$1),"",IF(AND($K481&gt;S$1,$L481&gt;S$1),"",IF(AND($K481&lt;R$1,$L481&lt;=S$1),$L481-R$1,IF(AND($K481&gt;=R$1,$L481&gt;S$1),S$1-$K481,IF(AND($K481&gt;=R$1,$L481&lt;=S$1),$L481-$K481,IF(AND($K481&lt;R$1,$L481&gt;S$1),S$1-R$1,""))))))),"")</f>
        <v>0</v>
      </c>
      <c r="S481" s="78" t="b">
        <f t="shared" si="568"/>
        <v>0</v>
      </c>
      <c r="T481" s="78" t="b">
        <f t="shared" si="568"/>
        <v>0</v>
      </c>
      <c r="U481" s="78" t="b">
        <f t="shared" si="568"/>
        <v>0</v>
      </c>
      <c r="V481" s="78" t="b">
        <f t="shared" si="568"/>
        <v>0</v>
      </c>
      <c r="W481" s="78" t="b">
        <f t="shared" si="568"/>
        <v>0</v>
      </c>
      <c r="X481" s="78" t="b">
        <f t="shared" si="568"/>
        <v>0</v>
      </c>
      <c r="Y481" s="78" t="b">
        <f t="shared" si="568"/>
        <v>0</v>
      </c>
      <c r="Z481" s="78" t="b">
        <f t="shared" si="568"/>
        <v>0</v>
      </c>
      <c r="AA481" s="78" t="b">
        <f t="shared" si="568"/>
        <v>0</v>
      </c>
      <c r="AB481" s="78" t="b">
        <f t="shared" si="568"/>
        <v>0</v>
      </c>
      <c r="AC481" s="78" t="b">
        <f t="shared" si="568"/>
        <v>0</v>
      </c>
      <c r="AD481" s="78" t="b">
        <f t="shared" si="568"/>
        <v>0</v>
      </c>
      <c r="AE481" s="78" t="b">
        <f t="shared" si="568"/>
        <v>0</v>
      </c>
      <c r="AF481" s="78" t="b">
        <f t="shared" si="568"/>
        <v>0</v>
      </c>
      <c r="AG481" s="78" t="b">
        <f t="shared" si="568"/>
        <v>0</v>
      </c>
      <c r="AH481" s="78" t="b">
        <f t="shared" si="568"/>
        <v>0</v>
      </c>
      <c r="AI481" s="78" t="b">
        <f t="shared" si="568"/>
        <v>0</v>
      </c>
      <c r="AJ481" s="78" t="b">
        <f t="shared" si="568"/>
        <v>0</v>
      </c>
      <c r="AK481" s="78" t="b">
        <f t="shared" si="568"/>
        <v>0</v>
      </c>
      <c r="AL481" s="78" t="b">
        <f t="shared" si="568"/>
        <v>0</v>
      </c>
      <c r="AM481" s="78" t="b">
        <f t="shared" si="568"/>
        <v>0</v>
      </c>
      <c r="AN481" s="78" t="b">
        <f t="shared" si="568"/>
        <v>0</v>
      </c>
      <c r="AO481" s="78" t="b">
        <f t="shared" si="568"/>
        <v>0</v>
      </c>
      <c r="AP481" s="78"/>
    </row>
    <row r="482" spans="4:42" x14ac:dyDescent="0.35">
      <c r="D482" s="96"/>
      <c r="E482" s="96"/>
      <c r="G482" s="77">
        <f t="shared" si="531"/>
        <v>0</v>
      </c>
      <c r="H482" s="78">
        <f t="shared" si="532"/>
        <v>0</v>
      </c>
      <c r="I482" s="77">
        <f t="shared" si="533"/>
        <v>0</v>
      </c>
      <c r="J482" s="78">
        <f t="shared" si="534"/>
        <v>0</v>
      </c>
      <c r="K482" s="78" t="str">
        <f t="shared" si="535"/>
        <v>1900-01-00 00:0:00</v>
      </c>
      <c r="L482" s="78" t="str">
        <f t="shared" si="536"/>
        <v>1900-01-00 00:0:00</v>
      </c>
      <c r="M482" s="79">
        <f t="shared" si="537"/>
        <v>0</v>
      </c>
      <c r="N482">
        <f t="shared" si="538"/>
        <v>1</v>
      </c>
      <c r="O482" t="str">
        <f>IFERROR(_xlfn.XLOOKUP(A482,HC!A:A,HC!C:C),"")</f>
        <v>Workforce</v>
      </c>
      <c r="R482" s="78" t="b">
        <f t="shared" ref="R482:AO482" si="569">IFERROR(IF($B482=$D$1,IF(AND($K482&lt;R$1,$L482&lt;R$1),"",IF(AND($K482&gt;S$1,$L482&gt;S$1),"",IF(AND($K482&lt;R$1,$L482&lt;=S$1),$L482-R$1,IF(AND($K482&gt;=R$1,$L482&gt;S$1),S$1-$K482,IF(AND($K482&gt;=R$1,$L482&lt;=S$1),$L482-$K482,IF(AND($K482&lt;R$1,$L482&gt;S$1),S$1-R$1,""))))))),"")</f>
        <v>0</v>
      </c>
      <c r="S482" s="78" t="b">
        <f t="shared" si="569"/>
        <v>0</v>
      </c>
      <c r="T482" s="78" t="b">
        <f t="shared" si="569"/>
        <v>0</v>
      </c>
      <c r="U482" s="78" t="b">
        <f t="shared" si="569"/>
        <v>0</v>
      </c>
      <c r="V482" s="78" t="b">
        <f t="shared" si="569"/>
        <v>0</v>
      </c>
      <c r="W482" s="78" t="b">
        <f t="shared" si="569"/>
        <v>0</v>
      </c>
      <c r="X482" s="78" t="b">
        <f t="shared" si="569"/>
        <v>0</v>
      </c>
      <c r="Y482" s="78" t="b">
        <f t="shared" si="569"/>
        <v>0</v>
      </c>
      <c r="Z482" s="78" t="b">
        <f t="shared" si="569"/>
        <v>0</v>
      </c>
      <c r="AA482" s="78" t="b">
        <f t="shared" si="569"/>
        <v>0</v>
      </c>
      <c r="AB482" s="78" t="b">
        <f t="shared" si="569"/>
        <v>0</v>
      </c>
      <c r="AC482" s="78" t="b">
        <f t="shared" si="569"/>
        <v>0</v>
      </c>
      <c r="AD482" s="78" t="b">
        <f t="shared" si="569"/>
        <v>0</v>
      </c>
      <c r="AE482" s="78" t="b">
        <f t="shared" si="569"/>
        <v>0</v>
      </c>
      <c r="AF482" s="78" t="b">
        <f t="shared" si="569"/>
        <v>0</v>
      </c>
      <c r="AG482" s="78" t="b">
        <f t="shared" si="569"/>
        <v>0</v>
      </c>
      <c r="AH482" s="78" t="b">
        <f t="shared" si="569"/>
        <v>0</v>
      </c>
      <c r="AI482" s="78" t="b">
        <f t="shared" si="569"/>
        <v>0</v>
      </c>
      <c r="AJ482" s="78" t="b">
        <f t="shared" si="569"/>
        <v>0</v>
      </c>
      <c r="AK482" s="78" t="b">
        <f t="shared" si="569"/>
        <v>0</v>
      </c>
      <c r="AL482" s="78" t="b">
        <f t="shared" si="569"/>
        <v>0</v>
      </c>
      <c r="AM482" s="78" t="b">
        <f t="shared" si="569"/>
        <v>0</v>
      </c>
      <c r="AN482" s="78" t="b">
        <f t="shared" si="569"/>
        <v>0</v>
      </c>
      <c r="AO482" s="78" t="b">
        <f t="shared" si="569"/>
        <v>0</v>
      </c>
      <c r="AP482" s="78"/>
    </row>
    <row r="483" spans="4:42" x14ac:dyDescent="0.35">
      <c r="D483" s="96"/>
      <c r="E483" s="96"/>
      <c r="G483" s="77">
        <f t="shared" si="531"/>
        <v>0</v>
      </c>
      <c r="H483" s="78">
        <f t="shared" si="532"/>
        <v>0</v>
      </c>
      <c r="I483" s="77">
        <f t="shared" si="533"/>
        <v>0</v>
      </c>
      <c r="J483" s="78">
        <f t="shared" si="534"/>
        <v>0</v>
      </c>
      <c r="K483" s="78" t="str">
        <f t="shared" si="535"/>
        <v>1900-01-00 00:0:00</v>
      </c>
      <c r="L483" s="78" t="str">
        <f t="shared" si="536"/>
        <v>1900-01-00 00:0:00</v>
      </c>
      <c r="M483" s="79">
        <f t="shared" si="537"/>
        <v>0</v>
      </c>
      <c r="N483">
        <f t="shared" si="538"/>
        <v>1</v>
      </c>
      <c r="O483" t="str">
        <f>IFERROR(_xlfn.XLOOKUP(A483,HC!A:A,HC!C:C),"")</f>
        <v>Workforce</v>
      </c>
      <c r="R483" s="78" t="b">
        <f t="shared" ref="R483:AO483" si="570">IFERROR(IF($B483=$D$1,IF(AND($K483&lt;R$1,$L483&lt;R$1),"",IF(AND($K483&gt;S$1,$L483&gt;S$1),"",IF(AND($K483&lt;R$1,$L483&lt;=S$1),$L483-R$1,IF(AND($K483&gt;=R$1,$L483&gt;S$1),S$1-$K483,IF(AND($K483&gt;=R$1,$L483&lt;=S$1),$L483-$K483,IF(AND($K483&lt;R$1,$L483&gt;S$1),S$1-R$1,""))))))),"")</f>
        <v>0</v>
      </c>
      <c r="S483" s="78" t="b">
        <f t="shared" si="570"/>
        <v>0</v>
      </c>
      <c r="T483" s="78" t="b">
        <f t="shared" si="570"/>
        <v>0</v>
      </c>
      <c r="U483" s="78" t="b">
        <f t="shared" si="570"/>
        <v>0</v>
      </c>
      <c r="V483" s="78" t="b">
        <f t="shared" si="570"/>
        <v>0</v>
      </c>
      <c r="W483" s="78" t="b">
        <f t="shared" si="570"/>
        <v>0</v>
      </c>
      <c r="X483" s="78" t="b">
        <f t="shared" si="570"/>
        <v>0</v>
      </c>
      <c r="Y483" s="78" t="b">
        <f t="shared" si="570"/>
        <v>0</v>
      </c>
      <c r="Z483" s="78" t="b">
        <f t="shared" si="570"/>
        <v>0</v>
      </c>
      <c r="AA483" s="78" t="b">
        <f t="shared" si="570"/>
        <v>0</v>
      </c>
      <c r="AB483" s="78" t="b">
        <f t="shared" si="570"/>
        <v>0</v>
      </c>
      <c r="AC483" s="78" t="b">
        <f t="shared" si="570"/>
        <v>0</v>
      </c>
      <c r="AD483" s="78" t="b">
        <f t="shared" si="570"/>
        <v>0</v>
      </c>
      <c r="AE483" s="78" t="b">
        <f t="shared" si="570"/>
        <v>0</v>
      </c>
      <c r="AF483" s="78" t="b">
        <f t="shared" si="570"/>
        <v>0</v>
      </c>
      <c r="AG483" s="78" t="b">
        <f t="shared" si="570"/>
        <v>0</v>
      </c>
      <c r="AH483" s="78" t="b">
        <f t="shared" si="570"/>
        <v>0</v>
      </c>
      <c r="AI483" s="78" t="b">
        <f t="shared" si="570"/>
        <v>0</v>
      </c>
      <c r="AJ483" s="78" t="b">
        <f t="shared" si="570"/>
        <v>0</v>
      </c>
      <c r="AK483" s="78" t="b">
        <f t="shared" si="570"/>
        <v>0</v>
      </c>
      <c r="AL483" s="78" t="b">
        <f t="shared" si="570"/>
        <v>0</v>
      </c>
      <c r="AM483" s="78" t="b">
        <f t="shared" si="570"/>
        <v>0</v>
      </c>
      <c r="AN483" s="78" t="b">
        <f t="shared" si="570"/>
        <v>0</v>
      </c>
      <c r="AO483" s="78" t="b">
        <f t="shared" si="570"/>
        <v>0</v>
      </c>
      <c r="AP483" s="78"/>
    </row>
    <row r="484" spans="4:42" x14ac:dyDescent="0.35">
      <c r="D484" s="96"/>
      <c r="E484" s="96"/>
      <c r="G484" s="77">
        <f t="shared" si="531"/>
        <v>0</v>
      </c>
      <c r="H484" s="78">
        <f t="shared" si="532"/>
        <v>0</v>
      </c>
      <c r="I484" s="77">
        <f t="shared" si="533"/>
        <v>0</v>
      </c>
      <c r="J484" s="78">
        <f t="shared" si="534"/>
        <v>0</v>
      </c>
      <c r="K484" s="78" t="str">
        <f t="shared" si="535"/>
        <v>1900-01-00 00:0:00</v>
      </c>
      <c r="L484" s="78" t="str">
        <f t="shared" si="536"/>
        <v>1900-01-00 00:0:00</v>
      </c>
      <c r="M484" s="79">
        <f t="shared" si="537"/>
        <v>0</v>
      </c>
      <c r="N484">
        <f t="shared" si="538"/>
        <v>1</v>
      </c>
      <c r="O484" t="str">
        <f>IFERROR(_xlfn.XLOOKUP(A484,HC!A:A,HC!C:C),"")</f>
        <v>Workforce</v>
      </c>
      <c r="R484" s="78" t="b">
        <f t="shared" ref="R484:AO484" si="571">IFERROR(IF($B484=$D$1,IF(AND($K484&lt;R$1,$L484&lt;R$1),"",IF(AND($K484&gt;S$1,$L484&gt;S$1),"",IF(AND($K484&lt;R$1,$L484&lt;=S$1),$L484-R$1,IF(AND($K484&gt;=R$1,$L484&gt;S$1),S$1-$K484,IF(AND($K484&gt;=R$1,$L484&lt;=S$1),$L484-$K484,IF(AND($K484&lt;R$1,$L484&gt;S$1),S$1-R$1,""))))))),"")</f>
        <v>0</v>
      </c>
      <c r="S484" s="78" t="b">
        <f t="shared" si="571"/>
        <v>0</v>
      </c>
      <c r="T484" s="78" t="b">
        <f t="shared" si="571"/>
        <v>0</v>
      </c>
      <c r="U484" s="78" t="b">
        <f t="shared" si="571"/>
        <v>0</v>
      </c>
      <c r="V484" s="78" t="b">
        <f t="shared" si="571"/>
        <v>0</v>
      </c>
      <c r="W484" s="78" t="b">
        <f t="shared" si="571"/>
        <v>0</v>
      </c>
      <c r="X484" s="78" t="b">
        <f t="shared" si="571"/>
        <v>0</v>
      </c>
      <c r="Y484" s="78" t="b">
        <f t="shared" si="571"/>
        <v>0</v>
      </c>
      <c r="Z484" s="78" t="b">
        <f t="shared" si="571"/>
        <v>0</v>
      </c>
      <c r="AA484" s="78" t="b">
        <f t="shared" si="571"/>
        <v>0</v>
      </c>
      <c r="AB484" s="78" t="b">
        <f t="shared" si="571"/>
        <v>0</v>
      </c>
      <c r="AC484" s="78" t="b">
        <f t="shared" si="571"/>
        <v>0</v>
      </c>
      <c r="AD484" s="78" t="b">
        <f t="shared" si="571"/>
        <v>0</v>
      </c>
      <c r="AE484" s="78" t="b">
        <f t="shared" si="571"/>
        <v>0</v>
      </c>
      <c r="AF484" s="78" t="b">
        <f t="shared" si="571"/>
        <v>0</v>
      </c>
      <c r="AG484" s="78" t="b">
        <f t="shared" si="571"/>
        <v>0</v>
      </c>
      <c r="AH484" s="78" t="b">
        <f t="shared" si="571"/>
        <v>0</v>
      </c>
      <c r="AI484" s="78" t="b">
        <f t="shared" si="571"/>
        <v>0</v>
      </c>
      <c r="AJ484" s="78" t="b">
        <f t="shared" si="571"/>
        <v>0</v>
      </c>
      <c r="AK484" s="78" t="b">
        <f t="shared" si="571"/>
        <v>0</v>
      </c>
      <c r="AL484" s="78" t="b">
        <f t="shared" si="571"/>
        <v>0</v>
      </c>
      <c r="AM484" s="78" t="b">
        <f t="shared" si="571"/>
        <v>0</v>
      </c>
      <c r="AN484" s="78" t="b">
        <f t="shared" si="571"/>
        <v>0</v>
      </c>
      <c r="AO484" s="78" t="b">
        <f t="shared" si="571"/>
        <v>0</v>
      </c>
      <c r="AP484" s="78"/>
    </row>
    <row r="485" spans="4:42" x14ac:dyDescent="0.35">
      <c r="D485" s="96"/>
      <c r="E485" s="96"/>
      <c r="G485" s="77">
        <f t="shared" si="531"/>
        <v>0</v>
      </c>
      <c r="H485" s="78">
        <f t="shared" si="532"/>
        <v>0</v>
      </c>
      <c r="I485" s="77">
        <f t="shared" si="533"/>
        <v>0</v>
      </c>
      <c r="J485" s="78">
        <f t="shared" si="534"/>
        <v>0</v>
      </c>
      <c r="K485" s="78" t="str">
        <f t="shared" si="535"/>
        <v>1900-01-00 00:0:00</v>
      </c>
      <c r="L485" s="78" t="str">
        <f t="shared" si="536"/>
        <v>1900-01-00 00:0:00</v>
      </c>
      <c r="M485" s="79">
        <f t="shared" si="537"/>
        <v>0</v>
      </c>
      <c r="N485">
        <f t="shared" si="538"/>
        <v>1</v>
      </c>
      <c r="O485" t="str">
        <f>IFERROR(_xlfn.XLOOKUP(A485,HC!A:A,HC!C:C),"")</f>
        <v>Workforce</v>
      </c>
      <c r="R485" s="78" t="b">
        <f t="shared" ref="R485:AO485" si="572">IFERROR(IF($B485=$D$1,IF(AND($K485&lt;R$1,$L485&lt;R$1),"",IF(AND($K485&gt;S$1,$L485&gt;S$1),"",IF(AND($K485&lt;R$1,$L485&lt;=S$1),$L485-R$1,IF(AND($K485&gt;=R$1,$L485&gt;S$1),S$1-$K485,IF(AND($K485&gt;=R$1,$L485&lt;=S$1),$L485-$K485,IF(AND($K485&lt;R$1,$L485&gt;S$1),S$1-R$1,""))))))),"")</f>
        <v>0</v>
      </c>
      <c r="S485" s="78" t="b">
        <f t="shared" si="572"/>
        <v>0</v>
      </c>
      <c r="T485" s="78" t="b">
        <f t="shared" si="572"/>
        <v>0</v>
      </c>
      <c r="U485" s="78" t="b">
        <f t="shared" si="572"/>
        <v>0</v>
      </c>
      <c r="V485" s="78" t="b">
        <f t="shared" si="572"/>
        <v>0</v>
      </c>
      <c r="W485" s="78" t="b">
        <f t="shared" si="572"/>
        <v>0</v>
      </c>
      <c r="X485" s="78" t="b">
        <f t="shared" si="572"/>
        <v>0</v>
      </c>
      <c r="Y485" s="78" t="b">
        <f t="shared" si="572"/>
        <v>0</v>
      </c>
      <c r="Z485" s="78" t="b">
        <f t="shared" si="572"/>
        <v>0</v>
      </c>
      <c r="AA485" s="78" t="b">
        <f t="shared" si="572"/>
        <v>0</v>
      </c>
      <c r="AB485" s="78" t="b">
        <f t="shared" si="572"/>
        <v>0</v>
      </c>
      <c r="AC485" s="78" t="b">
        <f t="shared" si="572"/>
        <v>0</v>
      </c>
      <c r="AD485" s="78" t="b">
        <f t="shared" si="572"/>
        <v>0</v>
      </c>
      <c r="AE485" s="78" t="b">
        <f t="shared" si="572"/>
        <v>0</v>
      </c>
      <c r="AF485" s="78" t="b">
        <f t="shared" si="572"/>
        <v>0</v>
      </c>
      <c r="AG485" s="78" t="b">
        <f t="shared" si="572"/>
        <v>0</v>
      </c>
      <c r="AH485" s="78" t="b">
        <f t="shared" si="572"/>
        <v>0</v>
      </c>
      <c r="AI485" s="78" t="b">
        <f t="shared" si="572"/>
        <v>0</v>
      </c>
      <c r="AJ485" s="78" t="b">
        <f t="shared" si="572"/>
        <v>0</v>
      </c>
      <c r="AK485" s="78" t="b">
        <f t="shared" si="572"/>
        <v>0</v>
      </c>
      <c r="AL485" s="78" t="b">
        <f t="shared" si="572"/>
        <v>0</v>
      </c>
      <c r="AM485" s="78" t="b">
        <f t="shared" si="572"/>
        <v>0</v>
      </c>
      <c r="AN485" s="78" t="b">
        <f t="shared" si="572"/>
        <v>0</v>
      </c>
      <c r="AO485" s="78" t="b">
        <f t="shared" si="572"/>
        <v>0</v>
      </c>
      <c r="AP485" s="78"/>
    </row>
    <row r="486" spans="4:42" x14ac:dyDescent="0.35">
      <c r="D486" s="96"/>
      <c r="E486" s="96"/>
      <c r="G486" s="77">
        <f t="shared" si="531"/>
        <v>0</v>
      </c>
      <c r="H486" s="78">
        <f t="shared" si="532"/>
        <v>0</v>
      </c>
      <c r="I486" s="77">
        <f t="shared" si="533"/>
        <v>0</v>
      </c>
      <c r="J486" s="78">
        <f t="shared" si="534"/>
        <v>0</v>
      </c>
      <c r="K486" s="78" t="str">
        <f t="shared" si="535"/>
        <v>1900-01-00 00:0:00</v>
      </c>
      <c r="L486" s="78" t="str">
        <f t="shared" si="536"/>
        <v>1900-01-00 00:0:00</v>
      </c>
      <c r="M486" s="79">
        <f t="shared" si="537"/>
        <v>0</v>
      </c>
      <c r="N486">
        <f t="shared" si="538"/>
        <v>1</v>
      </c>
      <c r="O486" t="str">
        <f>IFERROR(_xlfn.XLOOKUP(A486,HC!A:A,HC!C:C),"")</f>
        <v>Workforce</v>
      </c>
      <c r="R486" s="78" t="b">
        <f t="shared" ref="R486:AO486" si="573">IFERROR(IF($B486=$D$1,IF(AND($K486&lt;R$1,$L486&lt;R$1),"",IF(AND($K486&gt;S$1,$L486&gt;S$1),"",IF(AND($K486&lt;R$1,$L486&lt;=S$1),$L486-R$1,IF(AND($K486&gt;=R$1,$L486&gt;S$1),S$1-$K486,IF(AND($K486&gt;=R$1,$L486&lt;=S$1),$L486-$K486,IF(AND($K486&lt;R$1,$L486&gt;S$1),S$1-R$1,""))))))),"")</f>
        <v>0</v>
      </c>
      <c r="S486" s="78" t="b">
        <f t="shared" si="573"/>
        <v>0</v>
      </c>
      <c r="T486" s="78" t="b">
        <f t="shared" si="573"/>
        <v>0</v>
      </c>
      <c r="U486" s="78" t="b">
        <f t="shared" si="573"/>
        <v>0</v>
      </c>
      <c r="V486" s="78" t="b">
        <f t="shared" si="573"/>
        <v>0</v>
      </c>
      <c r="W486" s="78" t="b">
        <f t="shared" si="573"/>
        <v>0</v>
      </c>
      <c r="X486" s="78" t="b">
        <f t="shared" si="573"/>
        <v>0</v>
      </c>
      <c r="Y486" s="78" t="b">
        <f t="shared" si="573"/>
        <v>0</v>
      </c>
      <c r="Z486" s="78" t="b">
        <f t="shared" si="573"/>
        <v>0</v>
      </c>
      <c r="AA486" s="78" t="b">
        <f t="shared" si="573"/>
        <v>0</v>
      </c>
      <c r="AB486" s="78" t="b">
        <f t="shared" si="573"/>
        <v>0</v>
      </c>
      <c r="AC486" s="78" t="b">
        <f t="shared" si="573"/>
        <v>0</v>
      </c>
      <c r="AD486" s="78" t="b">
        <f t="shared" si="573"/>
        <v>0</v>
      </c>
      <c r="AE486" s="78" t="b">
        <f t="shared" si="573"/>
        <v>0</v>
      </c>
      <c r="AF486" s="78" t="b">
        <f t="shared" si="573"/>
        <v>0</v>
      </c>
      <c r="AG486" s="78" t="b">
        <f t="shared" si="573"/>
        <v>0</v>
      </c>
      <c r="AH486" s="78" t="b">
        <f t="shared" si="573"/>
        <v>0</v>
      </c>
      <c r="AI486" s="78" t="b">
        <f t="shared" si="573"/>
        <v>0</v>
      </c>
      <c r="AJ486" s="78" t="b">
        <f t="shared" si="573"/>
        <v>0</v>
      </c>
      <c r="AK486" s="78" t="b">
        <f t="shared" si="573"/>
        <v>0</v>
      </c>
      <c r="AL486" s="78" t="b">
        <f t="shared" si="573"/>
        <v>0</v>
      </c>
      <c r="AM486" s="78" t="b">
        <f t="shared" si="573"/>
        <v>0</v>
      </c>
      <c r="AN486" s="78" t="b">
        <f t="shared" si="573"/>
        <v>0</v>
      </c>
      <c r="AO486" s="78" t="b">
        <f t="shared" si="573"/>
        <v>0</v>
      </c>
      <c r="AP486" s="78"/>
    </row>
    <row r="487" spans="4:42" x14ac:dyDescent="0.35">
      <c r="D487" s="96"/>
      <c r="E487" s="96"/>
      <c r="G487" s="77">
        <f t="shared" si="531"/>
        <v>0</v>
      </c>
      <c r="H487" s="78">
        <f t="shared" si="532"/>
        <v>0</v>
      </c>
      <c r="I487" s="77">
        <f t="shared" si="533"/>
        <v>0</v>
      </c>
      <c r="J487" s="78">
        <f t="shared" si="534"/>
        <v>0</v>
      </c>
      <c r="K487" s="78" t="str">
        <f t="shared" si="535"/>
        <v>1900-01-00 00:0:00</v>
      </c>
      <c r="L487" s="78" t="str">
        <f t="shared" si="536"/>
        <v>1900-01-00 00:0:00</v>
      </c>
      <c r="M487" s="79">
        <f t="shared" si="537"/>
        <v>0</v>
      </c>
      <c r="N487">
        <f t="shared" si="538"/>
        <v>1</v>
      </c>
      <c r="O487" t="str">
        <f>IFERROR(_xlfn.XLOOKUP(A487,HC!A:A,HC!C:C),"")</f>
        <v>Workforce</v>
      </c>
      <c r="R487" s="78" t="b">
        <f t="shared" ref="R487:AO487" si="574">IFERROR(IF($B487=$D$1,IF(AND($K487&lt;R$1,$L487&lt;R$1),"",IF(AND($K487&gt;S$1,$L487&gt;S$1),"",IF(AND($K487&lt;R$1,$L487&lt;=S$1),$L487-R$1,IF(AND($K487&gt;=R$1,$L487&gt;S$1),S$1-$K487,IF(AND($K487&gt;=R$1,$L487&lt;=S$1),$L487-$K487,IF(AND($K487&lt;R$1,$L487&gt;S$1),S$1-R$1,""))))))),"")</f>
        <v>0</v>
      </c>
      <c r="S487" s="78" t="b">
        <f t="shared" si="574"/>
        <v>0</v>
      </c>
      <c r="T487" s="78" t="b">
        <f t="shared" si="574"/>
        <v>0</v>
      </c>
      <c r="U487" s="78" t="b">
        <f t="shared" si="574"/>
        <v>0</v>
      </c>
      <c r="V487" s="78" t="b">
        <f t="shared" si="574"/>
        <v>0</v>
      </c>
      <c r="W487" s="78" t="b">
        <f t="shared" si="574"/>
        <v>0</v>
      </c>
      <c r="X487" s="78" t="b">
        <f t="shared" si="574"/>
        <v>0</v>
      </c>
      <c r="Y487" s="78" t="b">
        <f t="shared" si="574"/>
        <v>0</v>
      </c>
      <c r="Z487" s="78" t="b">
        <f t="shared" si="574"/>
        <v>0</v>
      </c>
      <c r="AA487" s="78" t="b">
        <f t="shared" si="574"/>
        <v>0</v>
      </c>
      <c r="AB487" s="78" t="b">
        <f t="shared" si="574"/>
        <v>0</v>
      </c>
      <c r="AC487" s="78" t="b">
        <f t="shared" si="574"/>
        <v>0</v>
      </c>
      <c r="AD487" s="78" t="b">
        <f t="shared" si="574"/>
        <v>0</v>
      </c>
      <c r="AE487" s="78" t="b">
        <f t="shared" si="574"/>
        <v>0</v>
      </c>
      <c r="AF487" s="78" t="b">
        <f t="shared" si="574"/>
        <v>0</v>
      </c>
      <c r="AG487" s="78" t="b">
        <f t="shared" si="574"/>
        <v>0</v>
      </c>
      <c r="AH487" s="78" t="b">
        <f t="shared" si="574"/>
        <v>0</v>
      </c>
      <c r="AI487" s="78" t="b">
        <f t="shared" si="574"/>
        <v>0</v>
      </c>
      <c r="AJ487" s="78" t="b">
        <f t="shared" si="574"/>
        <v>0</v>
      </c>
      <c r="AK487" s="78" t="b">
        <f t="shared" si="574"/>
        <v>0</v>
      </c>
      <c r="AL487" s="78" t="b">
        <f t="shared" si="574"/>
        <v>0</v>
      </c>
      <c r="AM487" s="78" t="b">
        <f t="shared" si="574"/>
        <v>0</v>
      </c>
      <c r="AN487" s="78" t="b">
        <f t="shared" si="574"/>
        <v>0</v>
      </c>
      <c r="AO487" s="78" t="b">
        <f t="shared" si="574"/>
        <v>0</v>
      </c>
      <c r="AP487" s="78"/>
    </row>
    <row r="488" spans="4:42" x14ac:dyDescent="0.35">
      <c r="D488" s="96"/>
      <c r="E488" s="96"/>
      <c r="G488" s="77">
        <f t="shared" si="531"/>
        <v>0</v>
      </c>
      <c r="H488" s="78">
        <f t="shared" si="532"/>
        <v>0</v>
      </c>
      <c r="I488" s="77">
        <f t="shared" si="533"/>
        <v>0</v>
      </c>
      <c r="J488" s="78">
        <f t="shared" si="534"/>
        <v>0</v>
      </c>
      <c r="K488" s="78" t="str">
        <f t="shared" si="535"/>
        <v>1900-01-00 00:0:00</v>
      </c>
      <c r="L488" s="78" t="str">
        <f t="shared" si="536"/>
        <v>1900-01-00 00:0:00</v>
      </c>
      <c r="M488" s="79">
        <f t="shared" si="537"/>
        <v>0</v>
      </c>
      <c r="N488">
        <f t="shared" si="538"/>
        <v>1</v>
      </c>
      <c r="O488" t="str">
        <f>IFERROR(_xlfn.XLOOKUP(A488,HC!A:A,HC!C:C),"")</f>
        <v>Workforce</v>
      </c>
      <c r="R488" s="78" t="b">
        <f t="shared" ref="R488:AO488" si="575">IFERROR(IF($B488=$D$1,IF(AND($K488&lt;R$1,$L488&lt;R$1),"",IF(AND($K488&gt;S$1,$L488&gt;S$1),"",IF(AND($K488&lt;R$1,$L488&lt;=S$1),$L488-R$1,IF(AND($K488&gt;=R$1,$L488&gt;S$1),S$1-$K488,IF(AND($K488&gt;=R$1,$L488&lt;=S$1),$L488-$K488,IF(AND($K488&lt;R$1,$L488&gt;S$1),S$1-R$1,""))))))),"")</f>
        <v>0</v>
      </c>
      <c r="S488" s="78" t="b">
        <f t="shared" si="575"/>
        <v>0</v>
      </c>
      <c r="T488" s="78" t="b">
        <f t="shared" si="575"/>
        <v>0</v>
      </c>
      <c r="U488" s="78" t="b">
        <f t="shared" si="575"/>
        <v>0</v>
      </c>
      <c r="V488" s="78" t="b">
        <f t="shared" si="575"/>
        <v>0</v>
      </c>
      <c r="W488" s="78" t="b">
        <f t="shared" si="575"/>
        <v>0</v>
      </c>
      <c r="X488" s="78" t="b">
        <f t="shared" si="575"/>
        <v>0</v>
      </c>
      <c r="Y488" s="78" t="b">
        <f t="shared" si="575"/>
        <v>0</v>
      </c>
      <c r="Z488" s="78" t="b">
        <f t="shared" si="575"/>
        <v>0</v>
      </c>
      <c r="AA488" s="78" t="b">
        <f t="shared" si="575"/>
        <v>0</v>
      </c>
      <c r="AB488" s="78" t="b">
        <f t="shared" si="575"/>
        <v>0</v>
      </c>
      <c r="AC488" s="78" t="b">
        <f t="shared" si="575"/>
        <v>0</v>
      </c>
      <c r="AD488" s="78" t="b">
        <f t="shared" si="575"/>
        <v>0</v>
      </c>
      <c r="AE488" s="78" t="b">
        <f t="shared" si="575"/>
        <v>0</v>
      </c>
      <c r="AF488" s="78" t="b">
        <f t="shared" si="575"/>
        <v>0</v>
      </c>
      <c r="AG488" s="78" t="b">
        <f t="shared" si="575"/>
        <v>0</v>
      </c>
      <c r="AH488" s="78" t="b">
        <f t="shared" si="575"/>
        <v>0</v>
      </c>
      <c r="AI488" s="78" t="b">
        <f t="shared" si="575"/>
        <v>0</v>
      </c>
      <c r="AJ488" s="78" t="b">
        <f t="shared" si="575"/>
        <v>0</v>
      </c>
      <c r="AK488" s="78" t="b">
        <f t="shared" si="575"/>
        <v>0</v>
      </c>
      <c r="AL488" s="78" t="b">
        <f t="shared" si="575"/>
        <v>0</v>
      </c>
      <c r="AM488" s="78" t="b">
        <f t="shared" si="575"/>
        <v>0</v>
      </c>
      <c r="AN488" s="78" t="b">
        <f t="shared" si="575"/>
        <v>0</v>
      </c>
      <c r="AO488" s="78" t="b">
        <f t="shared" si="575"/>
        <v>0</v>
      </c>
      <c r="AP488" s="78"/>
    </row>
    <row r="489" spans="4:42" x14ac:dyDescent="0.35">
      <c r="D489" s="96"/>
      <c r="E489" s="96"/>
      <c r="G489" s="77">
        <f t="shared" si="531"/>
        <v>0</v>
      </c>
      <c r="H489" s="78">
        <f t="shared" si="532"/>
        <v>0</v>
      </c>
      <c r="I489" s="77">
        <f t="shared" si="533"/>
        <v>0</v>
      </c>
      <c r="J489" s="78">
        <f t="shared" si="534"/>
        <v>0</v>
      </c>
      <c r="K489" s="78" t="str">
        <f t="shared" si="535"/>
        <v>1900-01-00 00:0:00</v>
      </c>
      <c r="L489" s="78" t="str">
        <f t="shared" si="536"/>
        <v>1900-01-00 00:0:00</v>
      </c>
      <c r="M489" s="79">
        <f t="shared" si="537"/>
        <v>0</v>
      </c>
      <c r="N489">
        <f t="shared" si="538"/>
        <v>1</v>
      </c>
      <c r="O489" t="str">
        <f>IFERROR(_xlfn.XLOOKUP(A489,HC!A:A,HC!C:C),"")</f>
        <v>Workforce</v>
      </c>
      <c r="R489" s="78" t="b">
        <f t="shared" ref="R489:AO489" si="576">IFERROR(IF($B489=$D$1,IF(AND($K489&lt;R$1,$L489&lt;R$1),"",IF(AND($K489&gt;S$1,$L489&gt;S$1),"",IF(AND($K489&lt;R$1,$L489&lt;=S$1),$L489-R$1,IF(AND($K489&gt;=R$1,$L489&gt;S$1),S$1-$K489,IF(AND($K489&gt;=R$1,$L489&lt;=S$1),$L489-$K489,IF(AND($K489&lt;R$1,$L489&gt;S$1),S$1-R$1,""))))))),"")</f>
        <v>0</v>
      </c>
      <c r="S489" s="78" t="b">
        <f t="shared" si="576"/>
        <v>0</v>
      </c>
      <c r="T489" s="78" t="b">
        <f t="shared" si="576"/>
        <v>0</v>
      </c>
      <c r="U489" s="78" t="b">
        <f t="shared" si="576"/>
        <v>0</v>
      </c>
      <c r="V489" s="78" t="b">
        <f t="shared" si="576"/>
        <v>0</v>
      </c>
      <c r="W489" s="78" t="b">
        <f t="shared" si="576"/>
        <v>0</v>
      </c>
      <c r="X489" s="78" t="b">
        <f t="shared" si="576"/>
        <v>0</v>
      </c>
      <c r="Y489" s="78" t="b">
        <f t="shared" si="576"/>
        <v>0</v>
      </c>
      <c r="Z489" s="78" t="b">
        <f t="shared" si="576"/>
        <v>0</v>
      </c>
      <c r="AA489" s="78" t="b">
        <f t="shared" si="576"/>
        <v>0</v>
      </c>
      <c r="AB489" s="78" t="b">
        <f t="shared" si="576"/>
        <v>0</v>
      </c>
      <c r="AC489" s="78" t="b">
        <f t="shared" si="576"/>
        <v>0</v>
      </c>
      <c r="AD489" s="78" t="b">
        <f t="shared" si="576"/>
        <v>0</v>
      </c>
      <c r="AE489" s="78" t="b">
        <f t="shared" si="576"/>
        <v>0</v>
      </c>
      <c r="AF489" s="78" t="b">
        <f t="shared" si="576"/>
        <v>0</v>
      </c>
      <c r="AG489" s="78" t="b">
        <f t="shared" si="576"/>
        <v>0</v>
      </c>
      <c r="AH489" s="78" t="b">
        <f t="shared" si="576"/>
        <v>0</v>
      </c>
      <c r="AI489" s="78" t="b">
        <f t="shared" si="576"/>
        <v>0</v>
      </c>
      <c r="AJ489" s="78" t="b">
        <f t="shared" si="576"/>
        <v>0</v>
      </c>
      <c r="AK489" s="78" t="b">
        <f t="shared" si="576"/>
        <v>0</v>
      </c>
      <c r="AL489" s="78" t="b">
        <f t="shared" si="576"/>
        <v>0</v>
      </c>
      <c r="AM489" s="78" t="b">
        <f t="shared" si="576"/>
        <v>0</v>
      </c>
      <c r="AN489" s="78" t="b">
        <f t="shared" si="576"/>
        <v>0</v>
      </c>
      <c r="AO489" s="78" t="b">
        <f t="shared" si="576"/>
        <v>0</v>
      </c>
      <c r="AP489" s="78"/>
    </row>
    <row r="490" spans="4:42" x14ac:dyDescent="0.35">
      <c r="D490" s="96"/>
      <c r="E490" s="96"/>
      <c r="G490" s="77">
        <f t="shared" si="531"/>
        <v>0</v>
      </c>
      <c r="H490" s="78">
        <f t="shared" si="532"/>
        <v>0</v>
      </c>
      <c r="I490" s="77">
        <f t="shared" si="533"/>
        <v>0</v>
      </c>
      <c r="J490" s="78">
        <f t="shared" si="534"/>
        <v>0</v>
      </c>
      <c r="K490" s="78" t="str">
        <f t="shared" si="535"/>
        <v>1900-01-00 00:0:00</v>
      </c>
      <c r="L490" s="78" t="str">
        <f t="shared" si="536"/>
        <v>1900-01-00 00:0:00</v>
      </c>
      <c r="M490" s="79">
        <f t="shared" si="537"/>
        <v>0</v>
      </c>
      <c r="N490">
        <f t="shared" si="538"/>
        <v>1</v>
      </c>
      <c r="O490" t="str">
        <f>IFERROR(_xlfn.XLOOKUP(A490,HC!A:A,HC!C:C),"")</f>
        <v>Workforce</v>
      </c>
      <c r="R490" s="78" t="b">
        <f t="shared" ref="R490:AO490" si="577">IFERROR(IF($B490=$D$1,IF(AND($K490&lt;R$1,$L490&lt;R$1),"",IF(AND($K490&gt;S$1,$L490&gt;S$1),"",IF(AND($K490&lt;R$1,$L490&lt;=S$1),$L490-R$1,IF(AND($K490&gt;=R$1,$L490&gt;S$1),S$1-$K490,IF(AND($K490&gt;=R$1,$L490&lt;=S$1),$L490-$K490,IF(AND($K490&lt;R$1,$L490&gt;S$1),S$1-R$1,""))))))),"")</f>
        <v>0</v>
      </c>
      <c r="S490" s="78" t="b">
        <f t="shared" si="577"/>
        <v>0</v>
      </c>
      <c r="T490" s="78" t="b">
        <f t="shared" si="577"/>
        <v>0</v>
      </c>
      <c r="U490" s="78" t="b">
        <f t="shared" si="577"/>
        <v>0</v>
      </c>
      <c r="V490" s="78" t="b">
        <f t="shared" si="577"/>
        <v>0</v>
      </c>
      <c r="W490" s="78" t="b">
        <f t="shared" si="577"/>
        <v>0</v>
      </c>
      <c r="X490" s="78" t="b">
        <f t="shared" si="577"/>
        <v>0</v>
      </c>
      <c r="Y490" s="78" t="b">
        <f t="shared" si="577"/>
        <v>0</v>
      </c>
      <c r="Z490" s="78" t="b">
        <f t="shared" si="577"/>
        <v>0</v>
      </c>
      <c r="AA490" s="78" t="b">
        <f t="shared" si="577"/>
        <v>0</v>
      </c>
      <c r="AB490" s="78" t="b">
        <f t="shared" si="577"/>
        <v>0</v>
      </c>
      <c r="AC490" s="78" t="b">
        <f t="shared" si="577"/>
        <v>0</v>
      </c>
      <c r="AD490" s="78" t="b">
        <f t="shared" si="577"/>
        <v>0</v>
      </c>
      <c r="AE490" s="78" t="b">
        <f t="shared" si="577"/>
        <v>0</v>
      </c>
      <c r="AF490" s="78" t="b">
        <f t="shared" si="577"/>
        <v>0</v>
      </c>
      <c r="AG490" s="78" t="b">
        <f t="shared" si="577"/>
        <v>0</v>
      </c>
      <c r="AH490" s="78" t="b">
        <f t="shared" si="577"/>
        <v>0</v>
      </c>
      <c r="AI490" s="78" t="b">
        <f t="shared" si="577"/>
        <v>0</v>
      </c>
      <c r="AJ490" s="78" t="b">
        <f t="shared" si="577"/>
        <v>0</v>
      </c>
      <c r="AK490" s="78" t="b">
        <f t="shared" si="577"/>
        <v>0</v>
      </c>
      <c r="AL490" s="78" t="b">
        <f t="shared" si="577"/>
        <v>0</v>
      </c>
      <c r="AM490" s="78" t="b">
        <f t="shared" si="577"/>
        <v>0</v>
      </c>
      <c r="AN490" s="78" t="b">
        <f t="shared" si="577"/>
        <v>0</v>
      </c>
      <c r="AO490" s="78" t="b">
        <f t="shared" si="577"/>
        <v>0</v>
      </c>
      <c r="AP490" s="78"/>
    </row>
    <row r="491" spans="4:42" x14ac:dyDescent="0.35">
      <c r="D491" s="96"/>
      <c r="E491" s="96"/>
      <c r="G491" s="77">
        <f t="shared" si="531"/>
        <v>0</v>
      </c>
      <c r="H491" s="78">
        <f t="shared" si="532"/>
        <v>0</v>
      </c>
      <c r="I491" s="77">
        <f t="shared" si="533"/>
        <v>0</v>
      </c>
      <c r="J491" s="78">
        <f t="shared" si="534"/>
        <v>0</v>
      </c>
      <c r="K491" s="78" t="str">
        <f t="shared" si="535"/>
        <v>1900-01-00 00:0:00</v>
      </c>
      <c r="L491" s="78" t="str">
        <f t="shared" si="536"/>
        <v>1900-01-00 00:0:00</v>
      </c>
      <c r="M491" s="79">
        <f t="shared" si="537"/>
        <v>0</v>
      </c>
      <c r="N491">
        <f t="shared" si="538"/>
        <v>1</v>
      </c>
      <c r="O491" t="str">
        <f>IFERROR(_xlfn.XLOOKUP(A491,HC!A:A,HC!C:C),"")</f>
        <v>Workforce</v>
      </c>
      <c r="R491" s="78" t="b">
        <f t="shared" ref="R491:AO491" si="578">IFERROR(IF($B491=$D$1,IF(AND($K491&lt;R$1,$L491&lt;R$1),"",IF(AND($K491&gt;S$1,$L491&gt;S$1),"",IF(AND($K491&lt;R$1,$L491&lt;=S$1),$L491-R$1,IF(AND($K491&gt;=R$1,$L491&gt;S$1),S$1-$K491,IF(AND($K491&gt;=R$1,$L491&lt;=S$1),$L491-$K491,IF(AND($K491&lt;R$1,$L491&gt;S$1),S$1-R$1,""))))))),"")</f>
        <v>0</v>
      </c>
      <c r="S491" s="78" t="b">
        <f t="shared" si="578"/>
        <v>0</v>
      </c>
      <c r="T491" s="78" t="b">
        <f t="shared" si="578"/>
        <v>0</v>
      </c>
      <c r="U491" s="78" t="b">
        <f t="shared" si="578"/>
        <v>0</v>
      </c>
      <c r="V491" s="78" t="b">
        <f t="shared" si="578"/>
        <v>0</v>
      </c>
      <c r="W491" s="78" t="b">
        <f t="shared" si="578"/>
        <v>0</v>
      </c>
      <c r="X491" s="78" t="b">
        <f t="shared" si="578"/>
        <v>0</v>
      </c>
      <c r="Y491" s="78" t="b">
        <f t="shared" si="578"/>
        <v>0</v>
      </c>
      <c r="Z491" s="78" t="b">
        <f t="shared" si="578"/>
        <v>0</v>
      </c>
      <c r="AA491" s="78" t="b">
        <f t="shared" si="578"/>
        <v>0</v>
      </c>
      <c r="AB491" s="78" t="b">
        <f t="shared" si="578"/>
        <v>0</v>
      </c>
      <c r="AC491" s="78" t="b">
        <f t="shared" si="578"/>
        <v>0</v>
      </c>
      <c r="AD491" s="78" t="b">
        <f t="shared" si="578"/>
        <v>0</v>
      </c>
      <c r="AE491" s="78" t="b">
        <f t="shared" si="578"/>
        <v>0</v>
      </c>
      <c r="AF491" s="78" t="b">
        <f t="shared" si="578"/>
        <v>0</v>
      </c>
      <c r="AG491" s="78" t="b">
        <f t="shared" si="578"/>
        <v>0</v>
      </c>
      <c r="AH491" s="78" t="b">
        <f t="shared" si="578"/>
        <v>0</v>
      </c>
      <c r="AI491" s="78" t="b">
        <f t="shared" si="578"/>
        <v>0</v>
      </c>
      <c r="AJ491" s="78" t="b">
        <f t="shared" si="578"/>
        <v>0</v>
      </c>
      <c r="AK491" s="78" t="b">
        <f t="shared" si="578"/>
        <v>0</v>
      </c>
      <c r="AL491" s="78" t="b">
        <f t="shared" si="578"/>
        <v>0</v>
      </c>
      <c r="AM491" s="78" t="b">
        <f t="shared" si="578"/>
        <v>0</v>
      </c>
      <c r="AN491" s="78" t="b">
        <f t="shared" si="578"/>
        <v>0</v>
      </c>
      <c r="AO491" s="78" t="b">
        <f t="shared" si="578"/>
        <v>0</v>
      </c>
      <c r="AP491" s="78"/>
    </row>
    <row r="492" spans="4:42" x14ac:dyDescent="0.35">
      <c r="D492" s="96"/>
      <c r="E492" s="96"/>
      <c r="G492" s="77">
        <f t="shared" si="531"/>
        <v>0</v>
      </c>
      <c r="H492" s="78">
        <f t="shared" si="532"/>
        <v>0</v>
      </c>
      <c r="I492" s="77">
        <f t="shared" si="533"/>
        <v>0</v>
      </c>
      <c r="J492" s="78">
        <f t="shared" si="534"/>
        <v>0</v>
      </c>
      <c r="K492" s="78" t="str">
        <f t="shared" si="535"/>
        <v>1900-01-00 00:0:00</v>
      </c>
      <c r="L492" s="78" t="str">
        <f t="shared" si="536"/>
        <v>1900-01-00 00:0:00</v>
      </c>
      <c r="M492" s="79">
        <f t="shared" si="537"/>
        <v>0</v>
      </c>
      <c r="N492">
        <f t="shared" si="538"/>
        <v>1</v>
      </c>
      <c r="O492" t="str">
        <f>IFERROR(_xlfn.XLOOKUP(A492,HC!A:A,HC!C:C),"")</f>
        <v>Workforce</v>
      </c>
      <c r="R492" s="78" t="b">
        <f t="shared" ref="R492:AO492" si="579">IFERROR(IF($B492=$D$1,IF(AND($K492&lt;R$1,$L492&lt;R$1),"",IF(AND($K492&gt;S$1,$L492&gt;S$1),"",IF(AND($K492&lt;R$1,$L492&lt;=S$1),$L492-R$1,IF(AND($K492&gt;=R$1,$L492&gt;S$1),S$1-$K492,IF(AND($K492&gt;=R$1,$L492&lt;=S$1),$L492-$K492,IF(AND($K492&lt;R$1,$L492&gt;S$1),S$1-R$1,""))))))),"")</f>
        <v>0</v>
      </c>
      <c r="S492" s="78" t="b">
        <f t="shared" si="579"/>
        <v>0</v>
      </c>
      <c r="T492" s="78" t="b">
        <f t="shared" si="579"/>
        <v>0</v>
      </c>
      <c r="U492" s="78" t="b">
        <f t="shared" si="579"/>
        <v>0</v>
      </c>
      <c r="V492" s="78" t="b">
        <f t="shared" si="579"/>
        <v>0</v>
      </c>
      <c r="W492" s="78" t="b">
        <f t="shared" si="579"/>
        <v>0</v>
      </c>
      <c r="X492" s="78" t="b">
        <f t="shared" si="579"/>
        <v>0</v>
      </c>
      <c r="Y492" s="78" t="b">
        <f t="shared" si="579"/>
        <v>0</v>
      </c>
      <c r="Z492" s="78" t="b">
        <f t="shared" si="579"/>
        <v>0</v>
      </c>
      <c r="AA492" s="78" t="b">
        <f t="shared" si="579"/>
        <v>0</v>
      </c>
      <c r="AB492" s="78" t="b">
        <f t="shared" si="579"/>
        <v>0</v>
      </c>
      <c r="AC492" s="78" t="b">
        <f t="shared" si="579"/>
        <v>0</v>
      </c>
      <c r="AD492" s="78" t="b">
        <f t="shared" si="579"/>
        <v>0</v>
      </c>
      <c r="AE492" s="78" t="b">
        <f t="shared" si="579"/>
        <v>0</v>
      </c>
      <c r="AF492" s="78" t="b">
        <f t="shared" si="579"/>
        <v>0</v>
      </c>
      <c r="AG492" s="78" t="b">
        <f t="shared" si="579"/>
        <v>0</v>
      </c>
      <c r="AH492" s="78" t="b">
        <f t="shared" si="579"/>
        <v>0</v>
      </c>
      <c r="AI492" s="78" t="b">
        <f t="shared" si="579"/>
        <v>0</v>
      </c>
      <c r="AJ492" s="78" t="b">
        <f t="shared" si="579"/>
        <v>0</v>
      </c>
      <c r="AK492" s="78" t="b">
        <f t="shared" si="579"/>
        <v>0</v>
      </c>
      <c r="AL492" s="78" t="b">
        <f t="shared" si="579"/>
        <v>0</v>
      </c>
      <c r="AM492" s="78" t="b">
        <f t="shared" si="579"/>
        <v>0</v>
      </c>
      <c r="AN492" s="78" t="b">
        <f t="shared" si="579"/>
        <v>0</v>
      </c>
      <c r="AO492" s="78" t="b">
        <f t="shared" si="579"/>
        <v>0</v>
      </c>
      <c r="AP492" s="78"/>
    </row>
    <row r="493" spans="4:42" x14ac:dyDescent="0.35">
      <c r="D493" s="96"/>
      <c r="E493" s="96"/>
      <c r="G493" s="77">
        <f t="shared" si="531"/>
        <v>0</v>
      </c>
      <c r="H493" s="78">
        <f t="shared" si="532"/>
        <v>0</v>
      </c>
      <c r="I493" s="77">
        <f t="shared" si="533"/>
        <v>0</v>
      </c>
      <c r="J493" s="78">
        <f t="shared" si="534"/>
        <v>0</v>
      </c>
      <c r="K493" s="78" t="str">
        <f t="shared" si="535"/>
        <v>1900-01-00 00:0:00</v>
      </c>
      <c r="L493" s="78" t="str">
        <f t="shared" si="536"/>
        <v>1900-01-00 00:0:00</v>
      </c>
      <c r="M493" s="79">
        <f t="shared" si="537"/>
        <v>0</v>
      </c>
      <c r="N493">
        <f t="shared" si="538"/>
        <v>1</v>
      </c>
      <c r="O493" t="str">
        <f>IFERROR(_xlfn.XLOOKUP(A493,HC!A:A,HC!C:C),"")</f>
        <v>Workforce</v>
      </c>
      <c r="R493" s="78" t="b">
        <f t="shared" ref="R493:AO493" si="580">IFERROR(IF($B493=$D$1,IF(AND($K493&lt;R$1,$L493&lt;R$1),"",IF(AND($K493&gt;S$1,$L493&gt;S$1),"",IF(AND($K493&lt;R$1,$L493&lt;=S$1),$L493-R$1,IF(AND($K493&gt;=R$1,$L493&gt;S$1),S$1-$K493,IF(AND($K493&gt;=R$1,$L493&lt;=S$1),$L493-$K493,IF(AND($K493&lt;R$1,$L493&gt;S$1),S$1-R$1,""))))))),"")</f>
        <v>0</v>
      </c>
      <c r="S493" s="78" t="b">
        <f t="shared" si="580"/>
        <v>0</v>
      </c>
      <c r="T493" s="78" t="b">
        <f t="shared" si="580"/>
        <v>0</v>
      </c>
      <c r="U493" s="78" t="b">
        <f t="shared" si="580"/>
        <v>0</v>
      </c>
      <c r="V493" s="78" t="b">
        <f t="shared" si="580"/>
        <v>0</v>
      </c>
      <c r="W493" s="78" t="b">
        <f t="shared" si="580"/>
        <v>0</v>
      </c>
      <c r="X493" s="78" t="b">
        <f t="shared" si="580"/>
        <v>0</v>
      </c>
      <c r="Y493" s="78" t="b">
        <f t="shared" si="580"/>
        <v>0</v>
      </c>
      <c r="Z493" s="78" t="b">
        <f t="shared" si="580"/>
        <v>0</v>
      </c>
      <c r="AA493" s="78" t="b">
        <f t="shared" si="580"/>
        <v>0</v>
      </c>
      <c r="AB493" s="78" t="b">
        <f t="shared" si="580"/>
        <v>0</v>
      </c>
      <c r="AC493" s="78" t="b">
        <f t="shared" si="580"/>
        <v>0</v>
      </c>
      <c r="AD493" s="78" t="b">
        <f t="shared" si="580"/>
        <v>0</v>
      </c>
      <c r="AE493" s="78" t="b">
        <f t="shared" si="580"/>
        <v>0</v>
      </c>
      <c r="AF493" s="78" t="b">
        <f t="shared" si="580"/>
        <v>0</v>
      </c>
      <c r="AG493" s="78" t="b">
        <f t="shared" si="580"/>
        <v>0</v>
      </c>
      <c r="AH493" s="78" t="b">
        <f t="shared" si="580"/>
        <v>0</v>
      </c>
      <c r="AI493" s="78" t="b">
        <f t="shared" si="580"/>
        <v>0</v>
      </c>
      <c r="AJ493" s="78" t="b">
        <f t="shared" si="580"/>
        <v>0</v>
      </c>
      <c r="AK493" s="78" t="b">
        <f t="shared" si="580"/>
        <v>0</v>
      </c>
      <c r="AL493" s="78" t="b">
        <f t="shared" si="580"/>
        <v>0</v>
      </c>
      <c r="AM493" s="78" t="b">
        <f t="shared" si="580"/>
        <v>0</v>
      </c>
      <c r="AN493" s="78" t="b">
        <f t="shared" si="580"/>
        <v>0</v>
      </c>
      <c r="AO493" s="78" t="b">
        <f t="shared" si="580"/>
        <v>0</v>
      </c>
      <c r="AP493" s="78"/>
    </row>
    <row r="494" spans="4:42" x14ac:dyDescent="0.35">
      <c r="D494" s="96"/>
      <c r="E494" s="96"/>
      <c r="G494" s="77">
        <f t="shared" si="531"/>
        <v>0</v>
      </c>
      <c r="H494" s="78">
        <f t="shared" si="532"/>
        <v>0</v>
      </c>
      <c r="I494" s="77">
        <f t="shared" si="533"/>
        <v>0</v>
      </c>
      <c r="J494" s="78">
        <f t="shared" si="534"/>
        <v>0</v>
      </c>
      <c r="K494" s="78" t="str">
        <f t="shared" si="535"/>
        <v>1900-01-00 00:0:00</v>
      </c>
      <c r="L494" s="78" t="str">
        <f t="shared" si="536"/>
        <v>1900-01-00 00:0:00</v>
      </c>
      <c r="M494" s="79">
        <f t="shared" si="537"/>
        <v>0</v>
      </c>
      <c r="N494">
        <f t="shared" si="538"/>
        <v>1</v>
      </c>
      <c r="O494" t="str">
        <f>IFERROR(_xlfn.XLOOKUP(A494,HC!A:A,HC!C:C),"")</f>
        <v>Workforce</v>
      </c>
      <c r="R494" s="78" t="b">
        <f t="shared" ref="R494:AO494" si="581">IFERROR(IF($B494=$D$1,IF(AND($K494&lt;R$1,$L494&lt;R$1),"",IF(AND($K494&gt;S$1,$L494&gt;S$1),"",IF(AND($K494&lt;R$1,$L494&lt;=S$1),$L494-R$1,IF(AND($K494&gt;=R$1,$L494&gt;S$1),S$1-$K494,IF(AND($K494&gt;=R$1,$L494&lt;=S$1),$L494-$K494,IF(AND($K494&lt;R$1,$L494&gt;S$1),S$1-R$1,""))))))),"")</f>
        <v>0</v>
      </c>
      <c r="S494" s="78" t="b">
        <f t="shared" si="581"/>
        <v>0</v>
      </c>
      <c r="T494" s="78" t="b">
        <f t="shared" si="581"/>
        <v>0</v>
      </c>
      <c r="U494" s="78" t="b">
        <f t="shared" si="581"/>
        <v>0</v>
      </c>
      <c r="V494" s="78" t="b">
        <f t="shared" si="581"/>
        <v>0</v>
      </c>
      <c r="W494" s="78" t="b">
        <f t="shared" si="581"/>
        <v>0</v>
      </c>
      <c r="X494" s="78" t="b">
        <f t="shared" si="581"/>
        <v>0</v>
      </c>
      <c r="Y494" s="78" t="b">
        <f t="shared" si="581"/>
        <v>0</v>
      </c>
      <c r="Z494" s="78" t="b">
        <f t="shared" si="581"/>
        <v>0</v>
      </c>
      <c r="AA494" s="78" t="b">
        <f t="shared" si="581"/>
        <v>0</v>
      </c>
      <c r="AB494" s="78" t="b">
        <f t="shared" si="581"/>
        <v>0</v>
      </c>
      <c r="AC494" s="78" t="b">
        <f t="shared" si="581"/>
        <v>0</v>
      </c>
      <c r="AD494" s="78" t="b">
        <f t="shared" si="581"/>
        <v>0</v>
      </c>
      <c r="AE494" s="78" t="b">
        <f t="shared" si="581"/>
        <v>0</v>
      </c>
      <c r="AF494" s="78" t="b">
        <f t="shared" si="581"/>
        <v>0</v>
      </c>
      <c r="AG494" s="78" t="b">
        <f t="shared" si="581"/>
        <v>0</v>
      </c>
      <c r="AH494" s="78" t="b">
        <f t="shared" si="581"/>
        <v>0</v>
      </c>
      <c r="AI494" s="78" t="b">
        <f t="shared" si="581"/>
        <v>0</v>
      </c>
      <c r="AJ494" s="78" t="b">
        <f t="shared" si="581"/>
        <v>0</v>
      </c>
      <c r="AK494" s="78" t="b">
        <f t="shared" si="581"/>
        <v>0</v>
      </c>
      <c r="AL494" s="78" t="b">
        <f t="shared" si="581"/>
        <v>0</v>
      </c>
      <c r="AM494" s="78" t="b">
        <f t="shared" si="581"/>
        <v>0</v>
      </c>
      <c r="AN494" s="78" t="b">
        <f t="shared" si="581"/>
        <v>0</v>
      </c>
      <c r="AO494" s="78" t="b">
        <f t="shared" si="581"/>
        <v>0</v>
      </c>
      <c r="AP494" s="78"/>
    </row>
    <row r="495" spans="4:42" x14ac:dyDescent="0.35">
      <c r="D495" s="96"/>
      <c r="E495" s="96"/>
      <c r="G495" s="77">
        <f t="shared" si="531"/>
        <v>0</v>
      </c>
      <c r="H495" s="78">
        <f t="shared" si="532"/>
        <v>0</v>
      </c>
      <c r="I495" s="77">
        <f t="shared" si="533"/>
        <v>0</v>
      </c>
      <c r="J495" s="78">
        <f t="shared" si="534"/>
        <v>0</v>
      </c>
      <c r="K495" s="78" t="str">
        <f t="shared" si="535"/>
        <v>1900-01-00 00:0:00</v>
      </c>
      <c r="L495" s="78" t="str">
        <f t="shared" si="536"/>
        <v>1900-01-00 00:0:00</v>
      </c>
      <c r="M495" s="79">
        <f t="shared" si="537"/>
        <v>0</v>
      </c>
      <c r="N495">
        <f t="shared" si="538"/>
        <v>1</v>
      </c>
      <c r="O495" t="str">
        <f>IFERROR(_xlfn.XLOOKUP(A495,HC!A:A,HC!C:C),"")</f>
        <v>Workforce</v>
      </c>
      <c r="R495" s="78" t="b">
        <f t="shared" ref="R495:AO495" si="582">IFERROR(IF($B495=$D$1,IF(AND($K495&lt;R$1,$L495&lt;R$1),"",IF(AND($K495&gt;S$1,$L495&gt;S$1),"",IF(AND($K495&lt;R$1,$L495&lt;=S$1),$L495-R$1,IF(AND($K495&gt;=R$1,$L495&gt;S$1),S$1-$K495,IF(AND($K495&gt;=R$1,$L495&lt;=S$1),$L495-$K495,IF(AND($K495&lt;R$1,$L495&gt;S$1),S$1-R$1,""))))))),"")</f>
        <v>0</v>
      </c>
      <c r="S495" s="78" t="b">
        <f t="shared" si="582"/>
        <v>0</v>
      </c>
      <c r="T495" s="78" t="b">
        <f t="shared" si="582"/>
        <v>0</v>
      </c>
      <c r="U495" s="78" t="b">
        <f t="shared" si="582"/>
        <v>0</v>
      </c>
      <c r="V495" s="78" t="b">
        <f t="shared" si="582"/>
        <v>0</v>
      </c>
      <c r="W495" s="78" t="b">
        <f t="shared" si="582"/>
        <v>0</v>
      </c>
      <c r="X495" s="78" t="b">
        <f t="shared" si="582"/>
        <v>0</v>
      </c>
      <c r="Y495" s="78" t="b">
        <f t="shared" si="582"/>
        <v>0</v>
      </c>
      <c r="Z495" s="78" t="b">
        <f t="shared" si="582"/>
        <v>0</v>
      </c>
      <c r="AA495" s="78" t="b">
        <f t="shared" si="582"/>
        <v>0</v>
      </c>
      <c r="AB495" s="78" t="b">
        <f t="shared" si="582"/>
        <v>0</v>
      </c>
      <c r="AC495" s="78" t="b">
        <f t="shared" si="582"/>
        <v>0</v>
      </c>
      <c r="AD495" s="78" t="b">
        <f t="shared" si="582"/>
        <v>0</v>
      </c>
      <c r="AE495" s="78" t="b">
        <f t="shared" si="582"/>
        <v>0</v>
      </c>
      <c r="AF495" s="78" t="b">
        <f t="shared" si="582"/>
        <v>0</v>
      </c>
      <c r="AG495" s="78" t="b">
        <f t="shared" si="582"/>
        <v>0</v>
      </c>
      <c r="AH495" s="78" t="b">
        <f t="shared" si="582"/>
        <v>0</v>
      </c>
      <c r="AI495" s="78" t="b">
        <f t="shared" si="582"/>
        <v>0</v>
      </c>
      <c r="AJ495" s="78" t="b">
        <f t="shared" si="582"/>
        <v>0</v>
      </c>
      <c r="AK495" s="78" t="b">
        <f t="shared" si="582"/>
        <v>0</v>
      </c>
      <c r="AL495" s="78" t="b">
        <f t="shared" si="582"/>
        <v>0</v>
      </c>
      <c r="AM495" s="78" t="b">
        <f t="shared" si="582"/>
        <v>0</v>
      </c>
      <c r="AN495" s="78" t="b">
        <f t="shared" si="582"/>
        <v>0</v>
      </c>
      <c r="AO495" s="78" t="b">
        <f t="shared" si="582"/>
        <v>0</v>
      </c>
      <c r="AP495" s="78"/>
    </row>
    <row r="496" spans="4:42" x14ac:dyDescent="0.35">
      <c r="D496" s="96"/>
      <c r="E496" s="96"/>
      <c r="G496" s="77">
        <f t="shared" si="531"/>
        <v>0</v>
      </c>
      <c r="H496" s="78">
        <f t="shared" si="532"/>
        <v>0</v>
      </c>
      <c r="I496" s="77">
        <f t="shared" si="533"/>
        <v>0</v>
      </c>
      <c r="J496" s="78">
        <f t="shared" si="534"/>
        <v>0</v>
      </c>
      <c r="K496" s="78" t="str">
        <f t="shared" si="535"/>
        <v>1900-01-00 00:0:00</v>
      </c>
      <c r="L496" s="78" t="str">
        <f t="shared" si="536"/>
        <v>1900-01-00 00:0:00</v>
      </c>
      <c r="M496" s="79">
        <f t="shared" si="537"/>
        <v>0</v>
      </c>
      <c r="N496">
        <f t="shared" si="538"/>
        <v>1</v>
      </c>
      <c r="O496" t="str">
        <f>IFERROR(_xlfn.XLOOKUP(A496,HC!A:A,HC!C:C),"")</f>
        <v>Workforce</v>
      </c>
      <c r="R496" s="78" t="b">
        <f t="shared" ref="R496:AO496" si="583">IFERROR(IF($B496=$D$1,IF(AND($K496&lt;R$1,$L496&lt;R$1),"",IF(AND($K496&gt;S$1,$L496&gt;S$1),"",IF(AND($K496&lt;R$1,$L496&lt;=S$1),$L496-R$1,IF(AND($K496&gt;=R$1,$L496&gt;S$1),S$1-$K496,IF(AND($K496&gt;=R$1,$L496&lt;=S$1),$L496-$K496,IF(AND($K496&lt;R$1,$L496&gt;S$1),S$1-R$1,""))))))),"")</f>
        <v>0</v>
      </c>
      <c r="S496" s="78" t="b">
        <f t="shared" si="583"/>
        <v>0</v>
      </c>
      <c r="T496" s="78" t="b">
        <f t="shared" si="583"/>
        <v>0</v>
      </c>
      <c r="U496" s="78" t="b">
        <f t="shared" si="583"/>
        <v>0</v>
      </c>
      <c r="V496" s="78" t="b">
        <f t="shared" si="583"/>
        <v>0</v>
      </c>
      <c r="W496" s="78" t="b">
        <f t="shared" si="583"/>
        <v>0</v>
      </c>
      <c r="X496" s="78" t="b">
        <f t="shared" si="583"/>
        <v>0</v>
      </c>
      <c r="Y496" s="78" t="b">
        <f t="shared" si="583"/>
        <v>0</v>
      </c>
      <c r="Z496" s="78" t="b">
        <f t="shared" si="583"/>
        <v>0</v>
      </c>
      <c r="AA496" s="78" t="b">
        <f t="shared" si="583"/>
        <v>0</v>
      </c>
      <c r="AB496" s="78" t="b">
        <f t="shared" si="583"/>
        <v>0</v>
      </c>
      <c r="AC496" s="78" t="b">
        <f t="shared" si="583"/>
        <v>0</v>
      </c>
      <c r="AD496" s="78" t="b">
        <f t="shared" si="583"/>
        <v>0</v>
      </c>
      <c r="AE496" s="78" t="b">
        <f t="shared" si="583"/>
        <v>0</v>
      </c>
      <c r="AF496" s="78" t="b">
        <f t="shared" si="583"/>
        <v>0</v>
      </c>
      <c r="AG496" s="78" t="b">
        <f t="shared" si="583"/>
        <v>0</v>
      </c>
      <c r="AH496" s="78" t="b">
        <f t="shared" si="583"/>
        <v>0</v>
      </c>
      <c r="AI496" s="78" t="b">
        <f t="shared" si="583"/>
        <v>0</v>
      </c>
      <c r="AJ496" s="78" t="b">
        <f t="shared" si="583"/>
        <v>0</v>
      </c>
      <c r="AK496" s="78" t="b">
        <f t="shared" si="583"/>
        <v>0</v>
      </c>
      <c r="AL496" s="78" t="b">
        <f t="shared" si="583"/>
        <v>0</v>
      </c>
      <c r="AM496" s="78" t="b">
        <f t="shared" si="583"/>
        <v>0</v>
      </c>
      <c r="AN496" s="78" t="b">
        <f t="shared" si="583"/>
        <v>0</v>
      </c>
      <c r="AO496" s="78" t="b">
        <f t="shared" si="583"/>
        <v>0</v>
      </c>
      <c r="AP496" s="78"/>
    </row>
    <row r="497" spans="4:42" x14ac:dyDescent="0.35">
      <c r="D497" s="96"/>
      <c r="E497" s="96"/>
      <c r="G497" s="77">
        <f t="shared" si="531"/>
        <v>0</v>
      </c>
      <c r="H497" s="78">
        <f t="shared" si="532"/>
        <v>0</v>
      </c>
      <c r="I497" s="77">
        <f t="shared" si="533"/>
        <v>0</v>
      </c>
      <c r="J497" s="78">
        <f t="shared" si="534"/>
        <v>0</v>
      </c>
      <c r="K497" s="78" t="str">
        <f t="shared" si="535"/>
        <v>1900-01-00 00:0:00</v>
      </c>
      <c r="L497" s="78" t="str">
        <f t="shared" si="536"/>
        <v>1900-01-00 00:0:00</v>
      </c>
      <c r="M497" s="79">
        <f t="shared" si="537"/>
        <v>0</v>
      </c>
      <c r="N497">
        <f t="shared" si="538"/>
        <v>1</v>
      </c>
      <c r="O497" t="str">
        <f>IFERROR(_xlfn.XLOOKUP(A497,HC!A:A,HC!C:C),"")</f>
        <v>Workforce</v>
      </c>
      <c r="R497" s="78" t="b">
        <f t="shared" ref="R497:AO497" si="584">IFERROR(IF($B497=$D$1,IF(AND($K497&lt;R$1,$L497&lt;R$1),"",IF(AND($K497&gt;S$1,$L497&gt;S$1),"",IF(AND($K497&lt;R$1,$L497&lt;=S$1),$L497-R$1,IF(AND($K497&gt;=R$1,$L497&gt;S$1),S$1-$K497,IF(AND($K497&gt;=R$1,$L497&lt;=S$1),$L497-$K497,IF(AND($K497&lt;R$1,$L497&gt;S$1),S$1-R$1,""))))))),"")</f>
        <v>0</v>
      </c>
      <c r="S497" s="78" t="b">
        <f t="shared" si="584"/>
        <v>0</v>
      </c>
      <c r="T497" s="78" t="b">
        <f t="shared" si="584"/>
        <v>0</v>
      </c>
      <c r="U497" s="78" t="b">
        <f t="shared" si="584"/>
        <v>0</v>
      </c>
      <c r="V497" s="78" t="b">
        <f t="shared" si="584"/>
        <v>0</v>
      </c>
      <c r="W497" s="78" t="b">
        <f t="shared" si="584"/>
        <v>0</v>
      </c>
      <c r="X497" s="78" t="b">
        <f t="shared" si="584"/>
        <v>0</v>
      </c>
      <c r="Y497" s="78" t="b">
        <f t="shared" si="584"/>
        <v>0</v>
      </c>
      <c r="Z497" s="78" t="b">
        <f t="shared" si="584"/>
        <v>0</v>
      </c>
      <c r="AA497" s="78" t="b">
        <f t="shared" si="584"/>
        <v>0</v>
      </c>
      <c r="AB497" s="78" t="b">
        <f t="shared" si="584"/>
        <v>0</v>
      </c>
      <c r="AC497" s="78" t="b">
        <f t="shared" si="584"/>
        <v>0</v>
      </c>
      <c r="AD497" s="78" t="b">
        <f t="shared" si="584"/>
        <v>0</v>
      </c>
      <c r="AE497" s="78" t="b">
        <f t="shared" si="584"/>
        <v>0</v>
      </c>
      <c r="AF497" s="78" t="b">
        <f t="shared" si="584"/>
        <v>0</v>
      </c>
      <c r="AG497" s="78" t="b">
        <f t="shared" si="584"/>
        <v>0</v>
      </c>
      <c r="AH497" s="78" t="b">
        <f t="shared" si="584"/>
        <v>0</v>
      </c>
      <c r="AI497" s="78" t="b">
        <f t="shared" si="584"/>
        <v>0</v>
      </c>
      <c r="AJ497" s="78" t="b">
        <f t="shared" si="584"/>
        <v>0</v>
      </c>
      <c r="AK497" s="78" t="b">
        <f t="shared" si="584"/>
        <v>0</v>
      </c>
      <c r="AL497" s="78" t="b">
        <f t="shared" si="584"/>
        <v>0</v>
      </c>
      <c r="AM497" s="78" t="b">
        <f t="shared" si="584"/>
        <v>0</v>
      </c>
      <c r="AN497" s="78" t="b">
        <f t="shared" si="584"/>
        <v>0</v>
      </c>
      <c r="AO497" s="78" t="b">
        <f t="shared" si="584"/>
        <v>0</v>
      </c>
      <c r="AP497" s="78"/>
    </row>
    <row r="498" spans="4:42" x14ac:dyDescent="0.35">
      <c r="D498" s="96"/>
      <c r="E498" s="96"/>
      <c r="G498" s="77">
        <f t="shared" si="531"/>
        <v>0</v>
      </c>
      <c r="H498" s="78">
        <f t="shared" si="532"/>
        <v>0</v>
      </c>
      <c r="I498" s="77">
        <f t="shared" si="533"/>
        <v>0</v>
      </c>
      <c r="J498" s="78">
        <f t="shared" si="534"/>
        <v>0</v>
      </c>
      <c r="K498" s="78" t="str">
        <f t="shared" si="535"/>
        <v>1900-01-00 00:0:00</v>
      </c>
      <c r="L498" s="78" t="str">
        <f t="shared" si="536"/>
        <v>1900-01-00 00:0:00</v>
      </c>
      <c r="M498" s="79">
        <f t="shared" si="537"/>
        <v>0</v>
      </c>
      <c r="N498">
        <f t="shared" si="538"/>
        <v>1</v>
      </c>
      <c r="O498" t="str">
        <f>IFERROR(_xlfn.XLOOKUP(A498,HC!A:A,HC!C:C),"")</f>
        <v>Workforce</v>
      </c>
      <c r="R498" s="78" t="b">
        <f t="shared" ref="R498:AO498" si="585">IFERROR(IF($B498=$D$1,IF(AND($K498&lt;R$1,$L498&lt;R$1),"",IF(AND($K498&gt;S$1,$L498&gt;S$1),"",IF(AND($K498&lt;R$1,$L498&lt;=S$1),$L498-R$1,IF(AND($K498&gt;=R$1,$L498&gt;S$1),S$1-$K498,IF(AND($K498&gt;=R$1,$L498&lt;=S$1),$L498-$K498,IF(AND($K498&lt;R$1,$L498&gt;S$1),S$1-R$1,""))))))),"")</f>
        <v>0</v>
      </c>
      <c r="S498" s="78" t="b">
        <f t="shared" si="585"/>
        <v>0</v>
      </c>
      <c r="T498" s="78" t="b">
        <f t="shared" si="585"/>
        <v>0</v>
      </c>
      <c r="U498" s="78" t="b">
        <f t="shared" si="585"/>
        <v>0</v>
      </c>
      <c r="V498" s="78" t="b">
        <f t="shared" si="585"/>
        <v>0</v>
      </c>
      <c r="W498" s="78" t="b">
        <f t="shared" si="585"/>
        <v>0</v>
      </c>
      <c r="X498" s="78" t="b">
        <f t="shared" si="585"/>
        <v>0</v>
      </c>
      <c r="Y498" s="78" t="b">
        <f t="shared" si="585"/>
        <v>0</v>
      </c>
      <c r="Z498" s="78" t="b">
        <f t="shared" si="585"/>
        <v>0</v>
      </c>
      <c r="AA498" s="78" t="b">
        <f t="shared" si="585"/>
        <v>0</v>
      </c>
      <c r="AB498" s="78" t="b">
        <f t="shared" si="585"/>
        <v>0</v>
      </c>
      <c r="AC498" s="78" t="b">
        <f t="shared" si="585"/>
        <v>0</v>
      </c>
      <c r="AD498" s="78" t="b">
        <f t="shared" si="585"/>
        <v>0</v>
      </c>
      <c r="AE498" s="78" t="b">
        <f t="shared" si="585"/>
        <v>0</v>
      </c>
      <c r="AF498" s="78" t="b">
        <f t="shared" si="585"/>
        <v>0</v>
      </c>
      <c r="AG498" s="78" t="b">
        <f t="shared" si="585"/>
        <v>0</v>
      </c>
      <c r="AH498" s="78" t="b">
        <f t="shared" si="585"/>
        <v>0</v>
      </c>
      <c r="AI498" s="78" t="b">
        <f t="shared" si="585"/>
        <v>0</v>
      </c>
      <c r="AJ498" s="78" t="b">
        <f t="shared" si="585"/>
        <v>0</v>
      </c>
      <c r="AK498" s="78" t="b">
        <f t="shared" si="585"/>
        <v>0</v>
      </c>
      <c r="AL498" s="78" t="b">
        <f t="shared" si="585"/>
        <v>0</v>
      </c>
      <c r="AM498" s="78" t="b">
        <f t="shared" si="585"/>
        <v>0</v>
      </c>
      <c r="AN498" s="78" t="b">
        <f t="shared" si="585"/>
        <v>0</v>
      </c>
      <c r="AO498" s="78" t="b">
        <f t="shared" si="585"/>
        <v>0</v>
      </c>
      <c r="AP498" s="78"/>
    </row>
    <row r="499" spans="4:42" x14ac:dyDescent="0.35">
      <c r="D499" s="96"/>
      <c r="E499" s="96"/>
      <c r="G499" s="77">
        <f t="shared" si="531"/>
        <v>0</v>
      </c>
      <c r="H499" s="78">
        <f t="shared" si="532"/>
        <v>0</v>
      </c>
      <c r="I499" s="77">
        <f t="shared" si="533"/>
        <v>0</v>
      </c>
      <c r="J499" s="78">
        <f t="shared" si="534"/>
        <v>0</v>
      </c>
      <c r="K499" s="78" t="str">
        <f t="shared" si="535"/>
        <v>1900-01-00 00:0:00</v>
      </c>
      <c r="L499" s="78" t="str">
        <f t="shared" si="536"/>
        <v>1900-01-00 00:0:00</v>
      </c>
      <c r="M499" s="79">
        <f t="shared" si="537"/>
        <v>0</v>
      </c>
      <c r="N499">
        <f t="shared" si="538"/>
        <v>1</v>
      </c>
      <c r="O499" t="str">
        <f>IFERROR(_xlfn.XLOOKUP(A499,HC!A:A,HC!C:C),"")</f>
        <v>Workforce</v>
      </c>
      <c r="R499" s="78" t="b">
        <f t="shared" ref="R499:AO499" si="586">IFERROR(IF($B499=$D$1,IF(AND($K499&lt;R$1,$L499&lt;R$1),"",IF(AND($K499&gt;S$1,$L499&gt;S$1),"",IF(AND($K499&lt;R$1,$L499&lt;=S$1),$L499-R$1,IF(AND($K499&gt;=R$1,$L499&gt;S$1),S$1-$K499,IF(AND($K499&gt;=R$1,$L499&lt;=S$1),$L499-$K499,IF(AND($K499&lt;R$1,$L499&gt;S$1),S$1-R$1,""))))))),"")</f>
        <v>0</v>
      </c>
      <c r="S499" s="78" t="b">
        <f t="shared" si="586"/>
        <v>0</v>
      </c>
      <c r="T499" s="78" t="b">
        <f t="shared" si="586"/>
        <v>0</v>
      </c>
      <c r="U499" s="78" t="b">
        <f t="shared" si="586"/>
        <v>0</v>
      </c>
      <c r="V499" s="78" t="b">
        <f t="shared" si="586"/>
        <v>0</v>
      </c>
      <c r="W499" s="78" t="b">
        <f t="shared" si="586"/>
        <v>0</v>
      </c>
      <c r="X499" s="78" t="b">
        <f t="shared" si="586"/>
        <v>0</v>
      </c>
      <c r="Y499" s="78" t="b">
        <f t="shared" si="586"/>
        <v>0</v>
      </c>
      <c r="Z499" s="78" t="b">
        <f t="shared" si="586"/>
        <v>0</v>
      </c>
      <c r="AA499" s="78" t="b">
        <f t="shared" si="586"/>
        <v>0</v>
      </c>
      <c r="AB499" s="78" t="b">
        <f t="shared" si="586"/>
        <v>0</v>
      </c>
      <c r="AC499" s="78" t="b">
        <f t="shared" si="586"/>
        <v>0</v>
      </c>
      <c r="AD499" s="78" t="b">
        <f t="shared" si="586"/>
        <v>0</v>
      </c>
      <c r="AE499" s="78" t="b">
        <f t="shared" si="586"/>
        <v>0</v>
      </c>
      <c r="AF499" s="78" t="b">
        <f t="shared" si="586"/>
        <v>0</v>
      </c>
      <c r="AG499" s="78" t="b">
        <f t="shared" si="586"/>
        <v>0</v>
      </c>
      <c r="AH499" s="78" t="b">
        <f t="shared" si="586"/>
        <v>0</v>
      </c>
      <c r="AI499" s="78" t="b">
        <f t="shared" si="586"/>
        <v>0</v>
      </c>
      <c r="AJ499" s="78" t="b">
        <f t="shared" si="586"/>
        <v>0</v>
      </c>
      <c r="AK499" s="78" t="b">
        <f t="shared" si="586"/>
        <v>0</v>
      </c>
      <c r="AL499" s="78" t="b">
        <f t="shared" si="586"/>
        <v>0</v>
      </c>
      <c r="AM499" s="78" t="b">
        <f t="shared" si="586"/>
        <v>0</v>
      </c>
      <c r="AN499" s="78" t="b">
        <f t="shared" si="586"/>
        <v>0</v>
      </c>
      <c r="AO499" s="78" t="b">
        <f t="shared" si="586"/>
        <v>0</v>
      </c>
      <c r="AP499" s="78"/>
    </row>
    <row r="500" spans="4:42" x14ac:dyDescent="0.35">
      <c r="D500" s="96"/>
      <c r="E500" s="96"/>
      <c r="G500" s="77">
        <f t="shared" si="531"/>
        <v>0</v>
      </c>
      <c r="H500" s="78">
        <f t="shared" si="532"/>
        <v>0</v>
      </c>
      <c r="I500" s="77">
        <f t="shared" si="533"/>
        <v>0</v>
      </c>
      <c r="J500" s="78">
        <f t="shared" si="534"/>
        <v>0</v>
      </c>
      <c r="K500" s="78" t="str">
        <f t="shared" si="535"/>
        <v>1900-01-00 00:0:00</v>
      </c>
      <c r="L500" s="78" t="str">
        <f t="shared" si="536"/>
        <v>1900-01-00 00:0:00</v>
      </c>
      <c r="M500" s="79">
        <f t="shared" si="537"/>
        <v>0</v>
      </c>
      <c r="N500">
        <f t="shared" si="538"/>
        <v>1</v>
      </c>
      <c r="O500" t="str">
        <f>IFERROR(_xlfn.XLOOKUP(A500,HC!A:A,HC!C:C),"")</f>
        <v>Workforce</v>
      </c>
      <c r="R500" s="78" t="b">
        <f t="shared" ref="R500:AO500" si="587">IFERROR(IF($B500=$D$1,IF(AND($K500&lt;R$1,$L500&lt;R$1),"",IF(AND($K500&gt;S$1,$L500&gt;S$1),"",IF(AND($K500&lt;R$1,$L500&lt;=S$1),$L500-R$1,IF(AND($K500&gt;=R$1,$L500&gt;S$1),S$1-$K500,IF(AND($K500&gt;=R$1,$L500&lt;=S$1),$L500-$K500,IF(AND($K500&lt;R$1,$L500&gt;S$1),S$1-R$1,""))))))),"")</f>
        <v>0</v>
      </c>
      <c r="S500" s="78" t="b">
        <f t="shared" si="587"/>
        <v>0</v>
      </c>
      <c r="T500" s="78" t="b">
        <f t="shared" si="587"/>
        <v>0</v>
      </c>
      <c r="U500" s="78" t="b">
        <f t="shared" si="587"/>
        <v>0</v>
      </c>
      <c r="V500" s="78" t="b">
        <f t="shared" si="587"/>
        <v>0</v>
      </c>
      <c r="W500" s="78" t="b">
        <f t="shared" si="587"/>
        <v>0</v>
      </c>
      <c r="X500" s="78" t="b">
        <f t="shared" si="587"/>
        <v>0</v>
      </c>
      <c r="Y500" s="78" t="b">
        <f t="shared" si="587"/>
        <v>0</v>
      </c>
      <c r="Z500" s="78" t="b">
        <f t="shared" si="587"/>
        <v>0</v>
      </c>
      <c r="AA500" s="78" t="b">
        <f t="shared" si="587"/>
        <v>0</v>
      </c>
      <c r="AB500" s="78" t="b">
        <f t="shared" si="587"/>
        <v>0</v>
      </c>
      <c r="AC500" s="78" t="b">
        <f t="shared" si="587"/>
        <v>0</v>
      </c>
      <c r="AD500" s="78" t="b">
        <f t="shared" si="587"/>
        <v>0</v>
      </c>
      <c r="AE500" s="78" t="b">
        <f t="shared" si="587"/>
        <v>0</v>
      </c>
      <c r="AF500" s="78" t="b">
        <f t="shared" si="587"/>
        <v>0</v>
      </c>
      <c r="AG500" s="78" t="b">
        <f t="shared" si="587"/>
        <v>0</v>
      </c>
      <c r="AH500" s="78" t="b">
        <f t="shared" si="587"/>
        <v>0</v>
      </c>
      <c r="AI500" s="78" t="b">
        <f t="shared" si="587"/>
        <v>0</v>
      </c>
      <c r="AJ500" s="78" t="b">
        <f t="shared" si="587"/>
        <v>0</v>
      </c>
      <c r="AK500" s="78" t="b">
        <f t="shared" si="587"/>
        <v>0</v>
      </c>
      <c r="AL500" s="78" t="b">
        <f t="shared" si="587"/>
        <v>0</v>
      </c>
      <c r="AM500" s="78" t="b">
        <f t="shared" si="587"/>
        <v>0</v>
      </c>
      <c r="AN500" s="78" t="b">
        <f t="shared" si="587"/>
        <v>0</v>
      </c>
      <c r="AO500" s="78" t="b">
        <f t="shared" si="587"/>
        <v>0</v>
      </c>
      <c r="AP500" s="78"/>
    </row>
    <row r="501" spans="4:42" x14ac:dyDescent="0.35">
      <c r="D501" s="96"/>
      <c r="E501" s="96"/>
      <c r="G501" s="77">
        <f t="shared" si="531"/>
        <v>0</v>
      </c>
      <c r="H501" s="78">
        <f t="shared" si="532"/>
        <v>0</v>
      </c>
      <c r="I501" s="77">
        <f t="shared" si="533"/>
        <v>0</v>
      </c>
      <c r="J501" s="78">
        <f t="shared" si="534"/>
        <v>0</v>
      </c>
      <c r="K501" s="78" t="str">
        <f t="shared" si="535"/>
        <v>1900-01-00 00:0:00</v>
      </c>
      <c r="L501" s="78" t="str">
        <f t="shared" si="536"/>
        <v>1900-01-00 00:0:00</v>
      </c>
      <c r="M501" s="79">
        <f t="shared" si="537"/>
        <v>0</v>
      </c>
      <c r="N501">
        <f t="shared" si="538"/>
        <v>1</v>
      </c>
      <c r="O501" t="str">
        <f>IFERROR(_xlfn.XLOOKUP(A501,HC!A:A,HC!C:C),"")</f>
        <v>Workforce</v>
      </c>
      <c r="R501" s="78" t="b">
        <f t="shared" ref="R501:AO501" si="588">IFERROR(IF($B501=$D$1,IF(AND($K501&lt;R$1,$L501&lt;R$1),"",IF(AND($K501&gt;S$1,$L501&gt;S$1),"",IF(AND($K501&lt;R$1,$L501&lt;=S$1),$L501-R$1,IF(AND($K501&gt;=R$1,$L501&gt;S$1),S$1-$K501,IF(AND($K501&gt;=R$1,$L501&lt;=S$1),$L501-$K501,IF(AND($K501&lt;R$1,$L501&gt;S$1),S$1-R$1,""))))))),"")</f>
        <v>0</v>
      </c>
      <c r="S501" s="78" t="b">
        <f t="shared" si="588"/>
        <v>0</v>
      </c>
      <c r="T501" s="78" t="b">
        <f t="shared" si="588"/>
        <v>0</v>
      </c>
      <c r="U501" s="78" t="b">
        <f t="shared" si="588"/>
        <v>0</v>
      </c>
      <c r="V501" s="78" t="b">
        <f t="shared" si="588"/>
        <v>0</v>
      </c>
      <c r="W501" s="78" t="b">
        <f t="shared" si="588"/>
        <v>0</v>
      </c>
      <c r="X501" s="78" t="b">
        <f t="shared" si="588"/>
        <v>0</v>
      </c>
      <c r="Y501" s="78" t="b">
        <f t="shared" si="588"/>
        <v>0</v>
      </c>
      <c r="Z501" s="78" t="b">
        <f t="shared" si="588"/>
        <v>0</v>
      </c>
      <c r="AA501" s="78" t="b">
        <f t="shared" si="588"/>
        <v>0</v>
      </c>
      <c r="AB501" s="78" t="b">
        <f t="shared" si="588"/>
        <v>0</v>
      </c>
      <c r="AC501" s="78" t="b">
        <f t="shared" si="588"/>
        <v>0</v>
      </c>
      <c r="AD501" s="78" t="b">
        <f t="shared" si="588"/>
        <v>0</v>
      </c>
      <c r="AE501" s="78" t="b">
        <f t="shared" si="588"/>
        <v>0</v>
      </c>
      <c r="AF501" s="78" t="b">
        <f t="shared" si="588"/>
        <v>0</v>
      </c>
      <c r="AG501" s="78" t="b">
        <f t="shared" si="588"/>
        <v>0</v>
      </c>
      <c r="AH501" s="78" t="b">
        <f t="shared" si="588"/>
        <v>0</v>
      </c>
      <c r="AI501" s="78" t="b">
        <f t="shared" si="588"/>
        <v>0</v>
      </c>
      <c r="AJ501" s="78" t="b">
        <f t="shared" si="588"/>
        <v>0</v>
      </c>
      <c r="AK501" s="78" t="b">
        <f t="shared" si="588"/>
        <v>0</v>
      </c>
      <c r="AL501" s="78" t="b">
        <f t="shared" si="588"/>
        <v>0</v>
      </c>
      <c r="AM501" s="78" t="b">
        <f t="shared" si="588"/>
        <v>0</v>
      </c>
      <c r="AN501" s="78" t="b">
        <f t="shared" si="588"/>
        <v>0</v>
      </c>
      <c r="AO501" s="78" t="b">
        <f t="shared" si="588"/>
        <v>0</v>
      </c>
      <c r="AP501" s="78"/>
    </row>
    <row r="502" spans="4:42" x14ac:dyDescent="0.35">
      <c r="D502" s="96"/>
      <c r="E502" s="96"/>
      <c r="G502" s="77">
        <f t="shared" si="531"/>
        <v>0</v>
      </c>
      <c r="H502" s="78">
        <f t="shared" si="532"/>
        <v>0</v>
      </c>
      <c r="I502" s="77">
        <f t="shared" si="533"/>
        <v>0</v>
      </c>
      <c r="J502" s="78">
        <f t="shared" si="534"/>
        <v>0</v>
      </c>
      <c r="K502" s="78" t="str">
        <f t="shared" si="535"/>
        <v>1900-01-00 00:0:00</v>
      </c>
      <c r="L502" s="78" t="str">
        <f t="shared" si="536"/>
        <v>1900-01-00 00:0:00</v>
      </c>
      <c r="M502" s="79">
        <f t="shared" si="537"/>
        <v>0</v>
      </c>
      <c r="N502">
        <f t="shared" si="538"/>
        <v>1</v>
      </c>
      <c r="O502" t="str">
        <f>IFERROR(_xlfn.XLOOKUP(A502,HC!A:A,HC!C:C),"")</f>
        <v>Workforce</v>
      </c>
      <c r="R502" s="78" t="b">
        <f t="shared" ref="R502:AO502" si="589">IFERROR(IF($B502=$D$1,IF(AND($K502&lt;R$1,$L502&lt;R$1),"",IF(AND($K502&gt;S$1,$L502&gt;S$1),"",IF(AND($K502&lt;R$1,$L502&lt;=S$1),$L502-R$1,IF(AND($K502&gt;=R$1,$L502&gt;S$1),S$1-$K502,IF(AND($K502&gt;=R$1,$L502&lt;=S$1),$L502-$K502,IF(AND($K502&lt;R$1,$L502&gt;S$1),S$1-R$1,""))))))),"")</f>
        <v>0</v>
      </c>
      <c r="S502" s="78" t="b">
        <f t="shared" si="589"/>
        <v>0</v>
      </c>
      <c r="T502" s="78" t="b">
        <f t="shared" si="589"/>
        <v>0</v>
      </c>
      <c r="U502" s="78" t="b">
        <f t="shared" si="589"/>
        <v>0</v>
      </c>
      <c r="V502" s="78" t="b">
        <f t="shared" si="589"/>
        <v>0</v>
      </c>
      <c r="W502" s="78" t="b">
        <f t="shared" si="589"/>
        <v>0</v>
      </c>
      <c r="X502" s="78" t="b">
        <f t="shared" si="589"/>
        <v>0</v>
      </c>
      <c r="Y502" s="78" t="b">
        <f t="shared" si="589"/>
        <v>0</v>
      </c>
      <c r="Z502" s="78" t="b">
        <f t="shared" si="589"/>
        <v>0</v>
      </c>
      <c r="AA502" s="78" t="b">
        <f t="shared" si="589"/>
        <v>0</v>
      </c>
      <c r="AB502" s="78" t="b">
        <f t="shared" si="589"/>
        <v>0</v>
      </c>
      <c r="AC502" s="78" t="b">
        <f t="shared" si="589"/>
        <v>0</v>
      </c>
      <c r="AD502" s="78" t="b">
        <f t="shared" si="589"/>
        <v>0</v>
      </c>
      <c r="AE502" s="78" t="b">
        <f t="shared" si="589"/>
        <v>0</v>
      </c>
      <c r="AF502" s="78" t="b">
        <f t="shared" si="589"/>
        <v>0</v>
      </c>
      <c r="AG502" s="78" t="b">
        <f t="shared" si="589"/>
        <v>0</v>
      </c>
      <c r="AH502" s="78" t="b">
        <f t="shared" si="589"/>
        <v>0</v>
      </c>
      <c r="AI502" s="78" t="b">
        <f t="shared" si="589"/>
        <v>0</v>
      </c>
      <c r="AJ502" s="78" t="b">
        <f t="shared" si="589"/>
        <v>0</v>
      </c>
      <c r="AK502" s="78" t="b">
        <f t="shared" si="589"/>
        <v>0</v>
      </c>
      <c r="AL502" s="78" t="b">
        <f t="shared" si="589"/>
        <v>0</v>
      </c>
      <c r="AM502" s="78" t="b">
        <f t="shared" si="589"/>
        <v>0</v>
      </c>
      <c r="AN502" s="78" t="b">
        <f t="shared" si="589"/>
        <v>0</v>
      </c>
      <c r="AO502" s="78" t="b">
        <f t="shared" si="589"/>
        <v>0</v>
      </c>
      <c r="AP502" s="78"/>
    </row>
    <row r="503" spans="4:42" x14ac:dyDescent="0.35">
      <c r="D503" s="96"/>
      <c r="E503" s="96"/>
      <c r="G503" s="77">
        <f t="shared" si="531"/>
        <v>0</v>
      </c>
      <c r="H503" s="78">
        <f t="shared" si="532"/>
        <v>0</v>
      </c>
      <c r="I503" s="77">
        <f t="shared" si="533"/>
        <v>0</v>
      </c>
      <c r="J503" s="78">
        <f t="shared" si="534"/>
        <v>0</v>
      </c>
      <c r="K503" s="78" t="str">
        <f t="shared" si="535"/>
        <v>1900-01-00 00:0:00</v>
      </c>
      <c r="L503" s="78" t="str">
        <f t="shared" si="536"/>
        <v>1900-01-00 00:0:00</v>
      </c>
      <c r="M503" s="79">
        <f t="shared" si="537"/>
        <v>0</v>
      </c>
      <c r="N503">
        <f t="shared" si="538"/>
        <v>1</v>
      </c>
      <c r="O503" t="str">
        <f>IFERROR(_xlfn.XLOOKUP(A503,HC!A:A,HC!C:C),"")</f>
        <v>Workforce</v>
      </c>
      <c r="R503" s="78" t="b">
        <f t="shared" ref="R503:AO503" si="590">IFERROR(IF($B503=$D$1,IF(AND($K503&lt;R$1,$L503&lt;R$1),"",IF(AND($K503&gt;S$1,$L503&gt;S$1),"",IF(AND($K503&lt;R$1,$L503&lt;=S$1),$L503-R$1,IF(AND($K503&gt;=R$1,$L503&gt;S$1),S$1-$K503,IF(AND($K503&gt;=R$1,$L503&lt;=S$1),$L503-$K503,IF(AND($K503&lt;R$1,$L503&gt;S$1),S$1-R$1,""))))))),"")</f>
        <v>0</v>
      </c>
      <c r="S503" s="78" t="b">
        <f t="shared" si="590"/>
        <v>0</v>
      </c>
      <c r="T503" s="78" t="b">
        <f t="shared" si="590"/>
        <v>0</v>
      </c>
      <c r="U503" s="78" t="b">
        <f t="shared" si="590"/>
        <v>0</v>
      </c>
      <c r="V503" s="78" t="b">
        <f t="shared" si="590"/>
        <v>0</v>
      </c>
      <c r="W503" s="78" t="b">
        <f t="shared" si="590"/>
        <v>0</v>
      </c>
      <c r="X503" s="78" t="b">
        <f t="shared" si="590"/>
        <v>0</v>
      </c>
      <c r="Y503" s="78" t="b">
        <f t="shared" si="590"/>
        <v>0</v>
      </c>
      <c r="Z503" s="78" t="b">
        <f t="shared" si="590"/>
        <v>0</v>
      </c>
      <c r="AA503" s="78" t="b">
        <f t="shared" si="590"/>
        <v>0</v>
      </c>
      <c r="AB503" s="78" t="b">
        <f t="shared" si="590"/>
        <v>0</v>
      </c>
      <c r="AC503" s="78" t="b">
        <f t="shared" si="590"/>
        <v>0</v>
      </c>
      <c r="AD503" s="78" t="b">
        <f t="shared" si="590"/>
        <v>0</v>
      </c>
      <c r="AE503" s="78" t="b">
        <f t="shared" si="590"/>
        <v>0</v>
      </c>
      <c r="AF503" s="78" t="b">
        <f t="shared" si="590"/>
        <v>0</v>
      </c>
      <c r="AG503" s="78" t="b">
        <f t="shared" si="590"/>
        <v>0</v>
      </c>
      <c r="AH503" s="78" t="b">
        <f t="shared" si="590"/>
        <v>0</v>
      </c>
      <c r="AI503" s="78" t="b">
        <f t="shared" si="590"/>
        <v>0</v>
      </c>
      <c r="AJ503" s="78" t="b">
        <f t="shared" si="590"/>
        <v>0</v>
      </c>
      <c r="AK503" s="78" t="b">
        <f t="shared" si="590"/>
        <v>0</v>
      </c>
      <c r="AL503" s="78" t="b">
        <f t="shared" si="590"/>
        <v>0</v>
      </c>
      <c r="AM503" s="78" t="b">
        <f t="shared" si="590"/>
        <v>0</v>
      </c>
      <c r="AN503" s="78" t="b">
        <f t="shared" si="590"/>
        <v>0</v>
      </c>
      <c r="AO503" s="78" t="b">
        <f t="shared" si="590"/>
        <v>0</v>
      </c>
      <c r="AP503" s="78"/>
    </row>
    <row r="504" spans="4:42" x14ac:dyDescent="0.35">
      <c r="D504" s="96"/>
      <c r="E504" s="96"/>
      <c r="G504" s="77">
        <f t="shared" si="531"/>
        <v>0</v>
      </c>
      <c r="H504" s="78">
        <f t="shared" si="532"/>
        <v>0</v>
      </c>
      <c r="I504" s="77">
        <f t="shared" si="533"/>
        <v>0</v>
      </c>
      <c r="J504" s="78">
        <f t="shared" si="534"/>
        <v>0</v>
      </c>
      <c r="K504" s="78" t="str">
        <f t="shared" si="535"/>
        <v>1900-01-00 00:0:00</v>
      </c>
      <c r="L504" s="78" t="str">
        <f t="shared" si="536"/>
        <v>1900-01-00 00:0:00</v>
      </c>
      <c r="M504" s="79">
        <f t="shared" si="537"/>
        <v>0</v>
      </c>
      <c r="N504">
        <f t="shared" si="538"/>
        <v>1</v>
      </c>
      <c r="O504" t="str">
        <f>IFERROR(_xlfn.XLOOKUP(A504,HC!A:A,HC!C:C),"")</f>
        <v>Workforce</v>
      </c>
      <c r="R504" s="78" t="b">
        <f t="shared" ref="R504:AO504" si="591">IFERROR(IF($B504=$D$1,IF(AND($K504&lt;R$1,$L504&lt;R$1),"",IF(AND($K504&gt;S$1,$L504&gt;S$1),"",IF(AND($K504&lt;R$1,$L504&lt;=S$1),$L504-R$1,IF(AND($K504&gt;=R$1,$L504&gt;S$1),S$1-$K504,IF(AND($K504&gt;=R$1,$L504&lt;=S$1),$L504-$K504,IF(AND($K504&lt;R$1,$L504&gt;S$1),S$1-R$1,""))))))),"")</f>
        <v>0</v>
      </c>
      <c r="S504" s="78" t="b">
        <f t="shared" si="591"/>
        <v>0</v>
      </c>
      <c r="T504" s="78" t="b">
        <f t="shared" si="591"/>
        <v>0</v>
      </c>
      <c r="U504" s="78" t="b">
        <f t="shared" si="591"/>
        <v>0</v>
      </c>
      <c r="V504" s="78" t="b">
        <f t="shared" si="591"/>
        <v>0</v>
      </c>
      <c r="W504" s="78" t="b">
        <f t="shared" si="591"/>
        <v>0</v>
      </c>
      <c r="X504" s="78" t="b">
        <f t="shared" si="591"/>
        <v>0</v>
      </c>
      <c r="Y504" s="78" t="b">
        <f t="shared" si="591"/>
        <v>0</v>
      </c>
      <c r="Z504" s="78" t="b">
        <f t="shared" si="591"/>
        <v>0</v>
      </c>
      <c r="AA504" s="78" t="b">
        <f t="shared" si="591"/>
        <v>0</v>
      </c>
      <c r="AB504" s="78" t="b">
        <f t="shared" si="591"/>
        <v>0</v>
      </c>
      <c r="AC504" s="78" t="b">
        <f t="shared" si="591"/>
        <v>0</v>
      </c>
      <c r="AD504" s="78" t="b">
        <f t="shared" si="591"/>
        <v>0</v>
      </c>
      <c r="AE504" s="78" t="b">
        <f t="shared" si="591"/>
        <v>0</v>
      </c>
      <c r="AF504" s="78" t="b">
        <f t="shared" si="591"/>
        <v>0</v>
      </c>
      <c r="AG504" s="78" t="b">
        <f t="shared" si="591"/>
        <v>0</v>
      </c>
      <c r="AH504" s="78" t="b">
        <f t="shared" si="591"/>
        <v>0</v>
      </c>
      <c r="AI504" s="78" t="b">
        <f t="shared" si="591"/>
        <v>0</v>
      </c>
      <c r="AJ504" s="78" t="b">
        <f t="shared" si="591"/>
        <v>0</v>
      </c>
      <c r="AK504" s="78" t="b">
        <f t="shared" si="591"/>
        <v>0</v>
      </c>
      <c r="AL504" s="78" t="b">
        <f t="shared" si="591"/>
        <v>0</v>
      </c>
      <c r="AM504" s="78" t="b">
        <f t="shared" si="591"/>
        <v>0</v>
      </c>
      <c r="AN504" s="78" t="b">
        <f t="shared" si="591"/>
        <v>0</v>
      </c>
      <c r="AO504" s="78" t="b">
        <f t="shared" si="591"/>
        <v>0</v>
      </c>
      <c r="AP504" s="78"/>
    </row>
    <row r="505" spans="4:42" x14ac:dyDescent="0.35">
      <c r="D505" s="96"/>
      <c r="E505" s="96"/>
      <c r="G505" s="77">
        <f t="shared" si="531"/>
        <v>0</v>
      </c>
      <c r="H505" s="78">
        <f t="shared" si="532"/>
        <v>0</v>
      </c>
      <c r="I505" s="77">
        <f t="shared" si="533"/>
        <v>0</v>
      </c>
      <c r="J505" s="78">
        <f t="shared" si="534"/>
        <v>0</v>
      </c>
      <c r="K505" s="78" t="str">
        <f t="shared" si="535"/>
        <v>1900-01-00 00:0:00</v>
      </c>
      <c r="L505" s="78" t="str">
        <f t="shared" si="536"/>
        <v>1900-01-00 00:0:00</v>
      </c>
      <c r="M505" s="79">
        <f t="shared" si="537"/>
        <v>0</v>
      </c>
      <c r="N505">
        <f t="shared" si="538"/>
        <v>1</v>
      </c>
      <c r="O505" t="str">
        <f>IFERROR(_xlfn.XLOOKUP(A505,HC!A:A,HC!C:C),"")</f>
        <v>Workforce</v>
      </c>
      <c r="R505" s="78" t="b">
        <f t="shared" ref="R505:AO505" si="592">IFERROR(IF($B505=$D$1,IF(AND($K505&lt;R$1,$L505&lt;R$1),"",IF(AND($K505&gt;S$1,$L505&gt;S$1),"",IF(AND($K505&lt;R$1,$L505&lt;=S$1),$L505-R$1,IF(AND($K505&gt;=R$1,$L505&gt;S$1),S$1-$K505,IF(AND($K505&gt;=R$1,$L505&lt;=S$1),$L505-$K505,IF(AND($K505&lt;R$1,$L505&gt;S$1),S$1-R$1,""))))))),"")</f>
        <v>0</v>
      </c>
      <c r="S505" s="78" t="b">
        <f t="shared" si="592"/>
        <v>0</v>
      </c>
      <c r="T505" s="78" t="b">
        <f t="shared" si="592"/>
        <v>0</v>
      </c>
      <c r="U505" s="78" t="b">
        <f t="shared" si="592"/>
        <v>0</v>
      </c>
      <c r="V505" s="78" t="b">
        <f t="shared" si="592"/>
        <v>0</v>
      </c>
      <c r="W505" s="78" t="b">
        <f t="shared" si="592"/>
        <v>0</v>
      </c>
      <c r="X505" s="78" t="b">
        <f t="shared" si="592"/>
        <v>0</v>
      </c>
      <c r="Y505" s="78" t="b">
        <f t="shared" si="592"/>
        <v>0</v>
      </c>
      <c r="Z505" s="78" t="b">
        <f t="shared" si="592"/>
        <v>0</v>
      </c>
      <c r="AA505" s="78" t="b">
        <f t="shared" si="592"/>
        <v>0</v>
      </c>
      <c r="AB505" s="78" t="b">
        <f t="shared" si="592"/>
        <v>0</v>
      </c>
      <c r="AC505" s="78" t="b">
        <f t="shared" si="592"/>
        <v>0</v>
      </c>
      <c r="AD505" s="78" t="b">
        <f t="shared" si="592"/>
        <v>0</v>
      </c>
      <c r="AE505" s="78" t="b">
        <f t="shared" si="592"/>
        <v>0</v>
      </c>
      <c r="AF505" s="78" t="b">
        <f t="shared" si="592"/>
        <v>0</v>
      </c>
      <c r="AG505" s="78" t="b">
        <f t="shared" si="592"/>
        <v>0</v>
      </c>
      <c r="AH505" s="78" t="b">
        <f t="shared" si="592"/>
        <v>0</v>
      </c>
      <c r="AI505" s="78" t="b">
        <f t="shared" si="592"/>
        <v>0</v>
      </c>
      <c r="AJ505" s="78" t="b">
        <f t="shared" si="592"/>
        <v>0</v>
      </c>
      <c r="AK505" s="78" t="b">
        <f t="shared" si="592"/>
        <v>0</v>
      </c>
      <c r="AL505" s="78" t="b">
        <f t="shared" si="592"/>
        <v>0</v>
      </c>
      <c r="AM505" s="78" t="b">
        <f t="shared" si="592"/>
        <v>0</v>
      </c>
      <c r="AN505" s="78" t="b">
        <f t="shared" si="592"/>
        <v>0</v>
      </c>
      <c r="AO505" s="78" t="b">
        <f t="shared" si="592"/>
        <v>0</v>
      </c>
      <c r="AP505" s="78"/>
    </row>
    <row r="506" spans="4:42" x14ac:dyDescent="0.35">
      <c r="D506" s="96"/>
      <c r="E506" s="96"/>
      <c r="G506" s="77">
        <f t="shared" si="531"/>
        <v>0</v>
      </c>
      <c r="H506" s="78">
        <f t="shared" si="532"/>
        <v>0</v>
      </c>
      <c r="I506" s="77">
        <f t="shared" si="533"/>
        <v>0</v>
      </c>
      <c r="J506" s="78">
        <f t="shared" si="534"/>
        <v>0</v>
      </c>
      <c r="K506" s="78" t="str">
        <f t="shared" si="535"/>
        <v>1900-01-00 00:0:00</v>
      </c>
      <c r="L506" s="78" t="str">
        <f t="shared" si="536"/>
        <v>1900-01-00 00:0:00</v>
      </c>
      <c r="M506" s="79">
        <f t="shared" si="537"/>
        <v>0</v>
      </c>
      <c r="N506">
        <f t="shared" si="538"/>
        <v>1</v>
      </c>
      <c r="O506" t="str">
        <f>IFERROR(_xlfn.XLOOKUP(A506,HC!A:A,HC!C:C),"")</f>
        <v>Workforce</v>
      </c>
      <c r="R506" s="78" t="b">
        <f t="shared" ref="R506:AO506" si="593">IFERROR(IF($B506=$D$1,IF(AND($K506&lt;R$1,$L506&lt;R$1),"",IF(AND($K506&gt;S$1,$L506&gt;S$1),"",IF(AND($K506&lt;R$1,$L506&lt;=S$1),$L506-R$1,IF(AND($K506&gt;=R$1,$L506&gt;S$1),S$1-$K506,IF(AND($K506&gt;=R$1,$L506&lt;=S$1),$L506-$K506,IF(AND($K506&lt;R$1,$L506&gt;S$1),S$1-R$1,""))))))),"")</f>
        <v>0</v>
      </c>
      <c r="S506" s="78" t="b">
        <f t="shared" si="593"/>
        <v>0</v>
      </c>
      <c r="T506" s="78" t="b">
        <f t="shared" si="593"/>
        <v>0</v>
      </c>
      <c r="U506" s="78" t="b">
        <f t="shared" si="593"/>
        <v>0</v>
      </c>
      <c r="V506" s="78" t="b">
        <f t="shared" si="593"/>
        <v>0</v>
      </c>
      <c r="W506" s="78" t="b">
        <f t="shared" si="593"/>
        <v>0</v>
      </c>
      <c r="X506" s="78" t="b">
        <f t="shared" si="593"/>
        <v>0</v>
      </c>
      <c r="Y506" s="78" t="b">
        <f t="shared" si="593"/>
        <v>0</v>
      </c>
      <c r="Z506" s="78" t="b">
        <f t="shared" si="593"/>
        <v>0</v>
      </c>
      <c r="AA506" s="78" t="b">
        <f t="shared" si="593"/>
        <v>0</v>
      </c>
      <c r="AB506" s="78" t="b">
        <f t="shared" si="593"/>
        <v>0</v>
      </c>
      <c r="AC506" s="78" t="b">
        <f t="shared" si="593"/>
        <v>0</v>
      </c>
      <c r="AD506" s="78" t="b">
        <f t="shared" si="593"/>
        <v>0</v>
      </c>
      <c r="AE506" s="78" t="b">
        <f t="shared" si="593"/>
        <v>0</v>
      </c>
      <c r="AF506" s="78" t="b">
        <f t="shared" si="593"/>
        <v>0</v>
      </c>
      <c r="AG506" s="78" t="b">
        <f t="shared" si="593"/>
        <v>0</v>
      </c>
      <c r="AH506" s="78" t="b">
        <f t="shared" si="593"/>
        <v>0</v>
      </c>
      <c r="AI506" s="78" t="b">
        <f t="shared" si="593"/>
        <v>0</v>
      </c>
      <c r="AJ506" s="78" t="b">
        <f t="shared" si="593"/>
        <v>0</v>
      </c>
      <c r="AK506" s="78" t="b">
        <f t="shared" si="593"/>
        <v>0</v>
      </c>
      <c r="AL506" s="78" t="b">
        <f t="shared" si="593"/>
        <v>0</v>
      </c>
      <c r="AM506" s="78" t="b">
        <f t="shared" si="593"/>
        <v>0</v>
      </c>
      <c r="AN506" s="78" t="b">
        <f t="shared" si="593"/>
        <v>0</v>
      </c>
      <c r="AO506" s="78" t="b">
        <f t="shared" si="593"/>
        <v>0</v>
      </c>
      <c r="AP506" s="78"/>
    </row>
    <row r="507" spans="4:42" x14ac:dyDescent="0.35">
      <c r="D507" s="96"/>
      <c r="E507" s="96"/>
      <c r="G507" s="77">
        <f t="shared" si="531"/>
        <v>0</v>
      </c>
      <c r="H507" s="78">
        <f t="shared" si="532"/>
        <v>0</v>
      </c>
      <c r="I507" s="77">
        <f t="shared" si="533"/>
        <v>0</v>
      </c>
      <c r="J507" s="78">
        <f t="shared" si="534"/>
        <v>0</v>
      </c>
      <c r="K507" s="78" t="str">
        <f t="shared" si="535"/>
        <v>1900-01-00 00:0:00</v>
      </c>
      <c r="L507" s="78" t="str">
        <f t="shared" si="536"/>
        <v>1900-01-00 00:0:00</v>
      </c>
      <c r="M507" s="79">
        <f t="shared" si="537"/>
        <v>0</v>
      </c>
      <c r="N507">
        <f t="shared" si="538"/>
        <v>1</v>
      </c>
      <c r="O507" t="str">
        <f>IFERROR(_xlfn.XLOOKUP(A507,HC!A:A,HC!C:C),"")</f>
        <v>Workforce</v>
      </c>
      <c r="R507" s="78" t="b">
        <f t="shared" ref="R507:AO507" si="594">IFERROR(IF($B507=$D$1,IF(AND($K507&lt;R$1,$L507&lt;R$1),"",IF(AND($K507&gt;S$1,$L507&gt;S$1),"",IF(AND($K507&lt;R$1,$L507&lt;=S$1),$L507-R$1,IF(AND($K507&gt;=R$1,$L507&gt;S$1),S$1-$K507,IF(AND($K507&gt;=R$1,$L507&lt;=S$1),$L507-$K507,IF(AND($K507&lt;R$1,$L507&gt;S$1),S$1-R$1,""))))))),"")</f>
        <v>0</v>
      </c>
      <c r="S507" s="78" t="b">
        <f t="shared" si="594"/>
        <v>0</v>
      </c>
      <c r="T507" s="78" t="b">
        <f t="shared" si="594"/>
        <v>0</v>
      </c>
      <c r="U507" s="78" t="b">
        <f t="shared" si="594"/>
        <v>0</v>
      </c>
      <c r="V507" s="78" t="b">
        <f t="shared" si="594"/>
        <v>0</v>
      </c>
      <c r="W507" s="78" t="b">
        <f t="shared" si="594"/>
        <v>0</v>
      </c>
      <c r="X507" s="78" t="b">
        <f t="shared" si="594"/>
        <v>0</v>
      </c>
      <c r="Y507" s="78" t="b">
        <f t="shared" si="594"/>
        <v>0</v>
      </c>
      <c r="Z507" s="78" t="b">
        <f t="shared" si="594"/>
        <v>0</v>
      </c>
      <c r="AA507" s="78" t="b">
        <f t="shared" si="594"/>
        <v>0</v>
      </c>
      <c r="AB507" s="78" t="b">
        <f t="shared" si="594"/>
        <v>0</v>
      </c>
      <c r="AC507" s="78" t="b">
        <f t="shared" si="594"/>
        <v>0</v>
      </c>
      <c r="AD507" s="78" t="b">
        <f t="shared" si="594"/>
        <v>0</v>
      </c>
      <c r="AE507" s="78" t="b">
        <f t="shared" si="594"/>
        <v>0</v>
      </c>
      <c r="AF507" s="78" t="b">
        <f t="shared" si="594"/>
        <v>0</v>
      </c>
      <c r="AG507" s="78" t="b">
        <f t="shared" si="594"/>
        <v>0</v>
      </c>
      <c r="AH507" s="78" t="b">
        <f t="shared" si="594"/>
        <v>0</v>
      </c>
      <c r="AI507" s="78" t="b">
        <f t="shared" si="594"/>
        <v>0</v>
      </c>
      <c r="AJ507" s="78" t="b">
        <f t="shared" si="594"/>
        <v>0</v>
      </c>
      <c r="AK507" s="78" t="b">
        <f t="shared" si="594"/>
        <v>0</v>
      </c>
      <c r="AL507" s="78" t="b">
        <f t="shared" si="594"/>
        <v>0</v>
      </c>
      <c r="AM507" s="78" t="b">
        <f t="shared" si="594"/>
        <v>0</v>
      </c>
      <c r="AN507" s="78" t="b">
        <f t="shared" si="594"/>
        <v>0</v>
      </c>
      <c r="AO507" s="78" t="b">
        <f t="shared" si="594"/>
        <v>0</v>
      </c>
      <c r="AP507" s="78"/>
    </row>
    <row r="508" spans="4:42" x14ac:dyDescent="0.35">
      <c r="D508" s="96"/>
      <c r="E508" s="96"/>
      <c r="G508" s="77">
        <f t="shared" si="531"/>
        <v>0</v>
      </c>
      <c r="H508" s="78">
        <f t="shared" si="532"/>
        <v>0</v>
      </c>
      <c r="I508" s="77">
        <f t="shared" si="533"/>
        <v>0</v>
      </c>
      <c r="J508" s="78">
        <f t="shared" si="534"/>
        <v>0</v>
      </c>
      <c r="K508" s="78" t="str">
        <f t="shared" si="535"/>
        <v>1900-01-00 00:0:00</v>
      </c>
      <c r="L508" s="78" t="str">
        <f t="shared" si="536"/>
        <v>1900-01-00 00:0:00</v>
      </c>
      <c r="M508" s="79">
        <f t="shared" si="537"/>
        <v>0</v>
      </c>
      <c r="N508">
        <f t="shared" si="538"/>
        <v>1</v>
      </c>
      <c r="O508" t="str">
        <f>IFERROR(_xlfn.XLOOKUP(A508,HC!A:A,HC!C:C),"")</f>
        <v>Workforce</v>
      </c>
      <c r="R508" s="78" t="b">
        <f t="shared" ref="R508:AO508" si="595">IFERROR(IF($B508=$D$1,IF(AND($K508&lt;R$1,$L508&lt;R$1),"",IF(AND($K508&gt;S$1,$L508&gt;S$1),"",IF(AND($K508&lt;R$1,$L508&lt;=S$1),$L508-R$1,IF(AND($K508&gt;=R$1,$L508&gt;S$1),S$1-$K508,IF(AND($K508&gt;=R$1,$L508&lt;=S$1),$L508-$K508,IF(AND($K508&lt;R$1,$L508&gt;S$1),S$1-R$1,""))))))),"")</f>
        <v>0</v>
      </c>
      <c r="S508" s="78" t="b">
        <f t="shared" si="595"/>
        <v>0</v>
      </c>
      <c r="T508" s="78" t="b">
        <f t="shared" si="595"/>
        <v>0</v>
      </c>
      <c r="U508" s="78" t="b">
        <f t="shared" si="595"/>
        <v>0</v>
      </c>
      <c r="V508" s="78" t="b">
        <f t="shared" si="595"/>
        <v>0</v>
      </c>
      <c r="W508" s="78" t="b">
        <f t="shared" si="595"/>
        <v>0</v>
      </c>
      <c r="X508" s="78" t="b">
        <f t="shared" si="595"/>
        <v>0</v>
      </c>
      <c r="Y508" s="78" t="b">
        <f t="shared" si="595"/>
        <v>0</v>
      </c>
      <c r="Z508" s="78" t="b">
        <f t="shared" si="595"/>
        <v>0</v>
      </c>
      <c r="AA508" s="78" t="b">
        <f t="shared" si="595"/>
        <v>0</v>
      </c>
      <c r="AB508" s="78" t="b">
        <f t="shared" si="595"/>
        <v>0</v>
      </c>
      <c r="AC508" s="78" t="b">
        <f t="shared" si="595"/>
        <v>0</v>
      </c>
      <c r="AD508" s="78" t="b">
        <f t="shared" si="595"/>
        <v>0</v>
      </c>
      <c r="AE508" s="78" t="b">
        <f t="shared" si="595"/>
        <v>0</v>
      </c>
      <c r="AF508" s="78" t="b">
        <f t="shared" si="595"/>
        <v>0</v>
      </c>
      <c r="AG508" s="78" t="b">
        <f t="shared" si="595"/>
        <v>0</v>
      </c>
      <c r="AH508" s="78" t="b">
        <f t="shared" si="595"/>
        <v>0</v>
      </c>
      <c r="AI508" s="78" t="b">
        <f t="shared" si="595"/>
        <v>0</v>
      </c>
      <c r="AJ508" s="78" t="b">
        <f t="shared" si="595"/>
        <v>0</v>
      </c>
      <c r="AK508" s="78" t="b">
        <f t="shared" si="595"/>
        <v>0</v>
      </c>
      <c r="AL508" s="78" t="b">
        <f t="shared" si="595"/>
        <v>0</v>
      </c>
      <c r="AM508" s="78" t="b">
        <f t="shared" si="595"/>
        <v>0</v>
      </c>
      <c r="AN508" s="78" t="b">
        <f t="shared" si="595"/>
        <v>0</v>
      </c>
      <c r="AO508" s="78" t="b">
        <f t="shared" si="595"/>
        <v>0</v>
      </c>
      <c r="AP508" s="78"/>
    </row>
    <row r="509" spans="4:42" x14ac:dyDescent="0.35">
      <c r="D509" s="96"/>
      <c r="E509" s="96"/>
      <c r="G509" s="77">
        <f t="shared" si="531"/>
        <v>0</v>
      </c>
      <c r="H509" s="78">
        <f t="shared" si="532"/>
        <v>0</v>
      </c>
      <c r="I509" s="77">
        <f t="shared" si="533"/>
        <v>0</v>
      </c>
      <c r="J509" s="78">
        <f t="shared" si="534"/>
        <v>0</v>
      </c>
      <c r="K509" s="78" t="str">
        <f t="shared" si="535"/>
        <v>1900-01-00 00:0:00</v>
      </c>
      <c r="L509" s="78" t="str">
        <f t="shared" si="536"/>
        <v>1900-01-00 00:0:00</v>
      </c>
      <c r="M509" s="79">
        <f t="shared" si="537"/>
        <v>0</v>
      </c>
      <c r="N509">
        <f t="shared" si="538"/>
        <v>1</v>
      </c>
      <c r="O509" t="str">
        <f>IFERROR(_xlfn.XLOOKUP(A509,HC!A:A,HC!C:C),"")</f>
        <v>Workforce</v>
      </c>
      <c r="R509" s="78" t="b">
        <f t="shared" ref="R509:AO509" si="596">IFERROR(IF($B509=$D$1,IF(AND($K509&lt;R$1,$L509&lt;R$1),"",IF(AND($K509&gt;S$1,$L509&gt;S$1),"",IF(AND($K509&lt;R$1,$L509&lt;=S$1),$L509-R$1,IF(AND($K509&gt;=R$1,$L509&gt;S$1),S$1-$K509,IF(AND($K509&gt;=R$1,$L509&lt;=S$1),$L509-$K509,IF(AND($K509&lt;R$1,$L509&gt;S$1),S$1-R$1,""))))))),"")</f>
        <v>0</v>
      </c>
      <c r="S509" s="78" t="b">
        <f t="shared" si="596"/>
        <v>0</v>
      </c>
      <c r="T509" s="78" t="b">
        <f t="shared" si="596"/>
        <v>0</v>
      </c>
      <c r="U509" s="78" t="b">
        <f t="shared" si="596"/>
        <v>0</v>
      </c>
      <c r="V509" s="78" t="b">
        <f t="shared" si="596"/>
        <v>0</v>
      </c>
      <c r="W509" s="78" t="b">
        <f t="shared" si="596"/>
        <v>0</v>
      </c>
      <c r="X509" s="78" t="b">
        <f t="shared" si="596"/>
        <v>0</v>
      </c>
      <c r="Y509" s="78" t="b">
        <f t="shared" si="596"/>
        <v>0</v>
      </c>
      <c r="Z509" s="78" t="b">
        <f t="shared" si="596"/>
        <v>0</v>
      </c>
      <c r="AA509" s="78" t="b">
        <f t="shared" si="596"/>
        <v>0</v>
      </c>
      <c r="AB509" s="78" t="b">
        <f t="shared" si="596"/>
        <v>0</v>
      </c>
      <c r="AC509" s="78" t="b">
        <f t="shared" si="596"/>
        <v>0</v>
      </c>
      <c r="AD509" s="78" t="b">
        <f t="shared" si="596"/>
        <v>0</v>
      </c>
      <c r="AE509" s="78" t="b">
        <f t="shared" si="596"/>
        <v>0</v>
      </c>
      <c r="AF509" s="78" t="b">
        <f t="shared" si="596"/>
        <v>0</v>
      </c>
      <c r="AG509" s="78" t="b">
        <f t="shared" si="596"/>
        <v>0</v>
      </c>
      <c r="AH509" s="78" t="b">
        <f t="shared" si="596"/>
        <v>0</v>
      </c>
      <c r="AI509" s="78" t="b">
        <f t="shared" si="596"/>
        <v>0</v>
      </c>
      <c r="AJ509" s="78" t="b">
        <f t="shared" si="596"/>
        <v>0</v>
      </c>
      <c r="AK509" s="78" t="b">
        <f t="shared" si="596"/>
        <v>0</v>
      </c>
      <c r="AL509" s="78" t="b">
        <f t="shared" si="596"/>
        <v>0</v>
      </c>
      <c r="AM509" s="78" t="b">
        <f t="shared" si="596"/>
        <v>0</v>
      </c>
      <c r="AN509" s="78" t="b">
        <f t="shared" si="596"/>
        <v>0</v>
      </c>
      <c r="AO509" s="78" t="b">
        <f t="shared" si="596"/>
        <v>0</v>
      </c>
      <c r="AP509" s="78"/>
    </row>
    <row r="510" spans="4:42" x14ac:dyDescent="0.35">
      <c r="D510" s="96"/>
      <c r="E510" s="96"/>
      <c r="G510" s="77">
        <f t="shared" si="531"/>
        <v>0</v>
      </c>
      <c r="H510" s="78">
        <f t="shared" si="532"/>
        <v>0</v>
      </c>
      <c r="I510" s="77">
        <f t="shared" si="533"/>
        <v>0</v>
      </c>
      <c r="J510" s="78">
        <f t="shared" si="534"/>
        <v>0</v>
      </c>
      <c r="K510" s="78" t="str">
        <f t="shared" si="535"/>
        <v>1900-01-00 00:0:00</v>
      </c>
      <c r="L510" s="78" t="str">
        <f t="shared" si="536"/>
        <v>1900-01-00 00:0:00</v>
      </c>
      <c r="M510" s="79">
        <f t="shared" si="537"/>
        <v>0</v>
      </c>
      <c r="N510">
        <f t="shared" si="538"/>
        <v>1</v>
      </c>
      <c r="O510" t="str">
        <f>IFERROR(_xlfn.XLOOKUP(A510,HC!A:A,HC!C:C),"")</f>
        <v>Workforce</v>
      </c>
      <c r="R510" s="78" t="b">
        <f t="shared" ref="R510:AO510" si="597">IFERROR(IF($B510=$D$1,IF(AND($K510&lt;R$1,$L510&lt;R$1),"",IF(AND($K510&gt;S$1,$L510&gt;S$1),"",IF(AND($K510&lt;R$1,$L510&lt;=S$1),$L510-R$1,IF(AND($K510&gt;=R$1,$L510&gt;S$1),S$1-$K510,IF(AND($K510&gt;=R$1,$L510&lt;=S$1),$L510-$K510,IF(AND($K510&lt;R$1,$L510&gt;S$1),S$1-R$1,""))))))),"")</f>
        <v>0</v>
      </c>
      <c r="S510" s="78" t="b">
        <f t="shared" si="597"/>
        <v>0</v>
      </c>
      <c r="T510" s="78" t="b">
        <f t="shared" si="597"/>
        <v>0</v>
      </c>
      <c r="U510" s="78" t="b">
        <f t="shared" si="597"/>
        <v>0</v>
      </c>
      <c r="V510" s="78" t="b">
        <f t="shared" si="597"/>
        <v>0</v>
      </c>
      <c r="W510" s="78" t="b">
        <f t="shared" si="597"/>
        <v>0</v>
      </c>
      <c r="X510" s="78" t="b">
        <f t="shared" si="597"/>
        <v>0</v>
      </c>
      <c r="Y510" s="78" t="b">
        <f t="shared" si="597"/>
        <v>0</v>
      </c>
      <c r="Z510" s="78" t="b">
        <f t="shared" si="597"/>
        <v>0</v>
      </c>
      <c r="AA510" s="78" t="b">
        <f t="shared" si="597"/>
        <v>0</v>
      </c>
      <c r="AB510" s="78" t="b">
        <f t="shared" si="597"/>
        <v>0</v>
      </c>
      <c r="AC510" s="78" t="b">
        <f t="shared" si="597"/>
        <v>0</v>
      </c>
      <c r="AD510" s="78" t="b">
        <f t="shared" si="597"/>
        <v>0</v>
      </c>
      <c r="AE510" s="78" t="b">
        <f t="shared" si="597"/>
        <v>0</v>
      </c>
      <c r="AF510" s="78" t="b">
        <f t="shared" si="597"/>
        <v>0</v>
      </c>
      <c r="AG510" s="78" t="b">
        <f t="shared" si="597"/>
        <v>0</v>
      </c>
      <c r="AH510" s="78" t="b">
        <f t="shared" si="597"/>
        <v>0</v>
      </c>
      <c r="AI510" s="78" t="b">
        <f t="shared" si="597"/>
        <v>0</v>
      </c>
      <c r="AJ510" s="78" t="b">
        <f t="shared" si="597"/>
        <v>0</v>
      </c>
      <c r="AK510" s="78" t="b">
        <f t="shared" si="597"/>
        <v>0</v>
      </c>
      <c r="AL510" s="78" t="b">
        <f t="shared" si="597"/>
        <v>0</v>
      </c>
      <c r="AM510" s="78" t="b">
        <f t="shared" si="597"/>
        <v>0</v>
      </c>
      <c r="AN510" s="78" t="b">
        <f t="shared" si="597"/>
        <v>0</v>
      </c>
      <c r="AO510" s="78" t="b">
        <f t="shared" si="597"/>
        <v>0</v>
      </c>
      <c r="AP510" s="78"/>
    </row>
    <row r="511" spans="4:42" x14ac:dyDescent="0.35">
      <c r="D511" s="96"/>
      <c r="E511" s="96"/>
      <c r="G511" s="77">
        <f t="shared" si="531"/>
        <v>0</v>
      </c>
      <c r="H511" s="78">
        <f t="shared" si="532"/>
        <v>0</v>
      </c>
      <c r="I511" s="77">
        <f t="shared" si="533"/>
        <v>0</v>
      </c>
      <c r="J511" s="78">
        <f t="shared" si="534"/>
        <v>0</v>
      </c>
      <c r="K511" s="78" t="str">
        <f t="shared" si="535"/>
        <v>1900-01-00 00:0:00</v>
      </c>
      <c r="L511" s="78" t="str">
        <f t="shared" si="536"/>
        <v>1900-01-00 00:0:00</v>
      </c>
      <c r="M511" s="79">
        <f t="shared" si="537"/>
        <v>0</v>
      </c>
      <c r="N511">
        <f t="shared" si="538"/>
        <v>1</v>
      </c>
      <c r="O511" t="str">
        <f>IFERROR(_xlfn.XLOOKUP(A511,HC!A:A,HC!C:C),"")</f>
        <v>Workforce</v>
      </c>
      <c r="R511" s="78" t="b">
        <f t="shared" ref="R511:AO511" si="598">IFERROR(IF($B511=$D$1,IF(AND($K511&lt;R$1,$L511&lt;R$1),"",IF(AND($K511&gt;S$1,$L511&gt;S$1),"",IF(AND($K511&lt;R$1,$L511&lt;=S$1),$L511-R$1,IF(AND($K511&gt;=R$1,$L511&gt;S$1),S$1-$K511,IF(AND($K511&gt;=R$1,$L511&lt;=S$1),$L511-$K511,IF(AND($K511&lt;R$1,$L511&gt;S$1),S$1-R$1,""))))))),"")</f>
        <v>0</v>
      </c>
      <c r="S511" s="78" t="b">
        <f t="shared" si="598"/>
        <v>0</v>
      </c>
      <c r="T511" s="78" t="b">
        <f t="shared" si="598"/>
        <v>0</v>
      </c>
      <c r="U511" s="78" t="b">
        <f t="shared" si="598"/>
        <v>0</v>
      </c>
      <c r="V511" s="78" t="b">
        <f t="shared" si="598"/>
        <v>0</v>
      </c>
      <c r="W511" s="78" t="b">
        <f t="shared" si="598"/>
        <v>0</v>
      </c>
      <c r="X511" s="78" t="b">
        <f t="shared" si="598"/>
        <v>0</v>
      </c>
      <c r="Y511" s="78" t="b">
        <f t="shared" si="598"/>
        <v>0</v>
      </c>
      <c r="Z511" s="78" t="b">
        <f t="shared" si="598"/>
        <v>0</v>
      </c>
      <c r="AA511" s="78" t="b">
        <f t="shared" si="598"/>
        <v>0</v>
      </c>
      <c r="AB511" s="78" t="b">
        <f t="shared" si="598"/>
        <v>0</v>
      </c>
      <c r="AC511" s="78" t="b">
        <f t="shared" si="598"/>
        <v>0</v>
      </c>
      <c r="AD511" s="78" t="b">
        <f t="shared" si="598"/>
        <v>0</v>
      </c>
      <c r="AE511" s="78" t="b">
        <f t="shared" si="598"/>
        <v>0</v>
      </c>
      <c r="AF511" s="78" t="b">
        <f t="shared" si="598"/>
        <v>0</v>
      </c>
      <c r="AG511" s="78" t="b">
        <f t="shared" si="598"/>
        <v>0</v>
      </c>
      <c r="AH511" s="78" t="b">
        <f t="shared" si="598"/>
        <v>0</v>
      </c>
      <c r="AI511" s="78" t="b">
        <f t="shared" si="598"/>
        <v>0</v>
      </c>
      <c r="AJ511" s="78" t="b">
        <f t="shared" si="598"/>
        <v>0</v>
      </c>
      <c r="AK511" s="78" t="b">
        <f t="shared" si="598"/>
        <v>0</v>
      </c>
      <c r="AL511" s="78" t="b">
        <f t="shared" si="598"/>
        <v>0</v>
      </c>
      <c r="AM511" s="78" t="b">
        <f t="shared" si="598"/>
        <v>0</v>
      </c>
      <c r="AN511" s="78" t="b">
        <f t="shared" si="598"/>
        <v>0</v>
      </c>
      <c r="AO511" s="78" t="b">
        <f t="shared" si="598"/>
        <v>0</v>
      </c>
      <c r="AP511" s="78"/>
    </row>
    <row r="512" spans="4:42" x14ac:dyDescent="0.35">
      <c r="D512" s="96"/>
      <c r="E512" s="96"/>
      <c r="G512" s="77">
        <f t="shared" si="531"/>
        <v>0</v>
      </c>
      <c r="H512" s="78">
        <f t="shared" si="532"/>
        <v>0</v>
      </c>
      <c r="I512" s="77">
        <f t="shared" si="533"/>
        <v>0</v>
      </c>
      <c r="J512" s="78">
        <f t="shared" si="534"/>
        <v>0</v>
      </c>
      <c r="K512" s="78" t="str">
        <f t="shared" si="535"/>
        <v>1900-01-00 00:0:00</v>
      </c>
      <c r="L512" s="78" t="str">
        <f t="shared" si="536"/>
        <v>1900-01-00 00:0:00</v>
      </c>
      <c r="M512" s="79">
        <f t="shared" si="537"/>
        <v>0</v>
      </c>
      <c r="N512">
        <f t="shared" si="538"/>
        <v>1</v>
      </c>
      <c r="O512" t="str">
        <f>IFERROR(_xlfn.XLOOKUP(A512,HC!A:A,HC!C:C),"")</f>
        <v>Workforce</v>
      </c>
      <c r="R512" s="78" t="b">
        <f t="shared" ref="R512:AO512" si="599">IFERROR(IF($B512=$D$1,IF(AND($K512&lt;R$1,$L512&lt;R$1),"",IF(AND($K512&gt;S$1,$L512&gt;S$1),"",IF(AND($K512&lt;R$1,$L512&lt;=S$1),$L512-R$1,IF(AND($K512&gt;=R$1,$L512&gt;S$1),S$1-$K512,IF(AND($K512&gt;=R$1,$L512&lt;=S$1),$L512-$K512,IF(AND($K512&lt;R$1,$L512&gt;S$1),S$1-R$1,""))))))),"")</f>
        <v>0</v>
      </c>
      <c r="S512" s="78" t="b">
        <f t="shared" si="599"/>
        <v>0</v>
      </c>
      <c r="T512" s="78" t="b">
        <f t="shared" si="599"/>
        <v>0</v>
      </c>
      <c r="U512" s="78" t="b">
        <f t="shared" si="599"/>
        <v>0</v>
      </c>
      <c r="V512" s="78" t="b">
        <f t="shared" si="599"/>
        <v>0</v>
      </c>
      <c r="W512" s="78" t="b">
        <f t="shared" si="599"/>
        <v>0</v>
      </c>
      <c r="X512" s="78" t="b">
        <f t="shared" si="599"/>
        <v>0</v>
      </c>
      <c r="Y512" s="78" t="b">
        <f t="shared" si="599"/>
        <v>0</v>
      </c>
      <c r="Z512" s="78" t="b">
        <f t="shared" si="599"/>
        <v>0</v>
      </c>
      <c r="AA512" s="78" t="b">
        <f t="shared" si="599"/>
        <v>0</v>
      </c>
      <c r="AB512" s="78" t="b">
        <f t="shared" si="599"/>
        <v>0</v>
      </c>
      <c r="AC512" s="78" t="b">
        <f t="shared" si="599"/>
        <v>0</v>
      </c>
      <c r="AD512" s="78" t="b">
        <f t="shared" si="599"/>
        <v>0</v>
      </c>
      <c r="AE512" s="78" t="b">
        <f t="shared" si="599"/>
        <v>0</v>
      </c>
      <c r="AF512" s="78" t="b">
        <f t="shared" si="599"/>
        <v>0</v>
      </c>
      <c r="AG512" s="78" t="b">
        <f t="shared" si="599"/>
        <v>0</v>
      </c>
      <c r="AH512" s="78" t="b">
        <f t="shared" si="599"/>
        <v>0</v>
      </c>
      <c r="AI512" s="78" t="b">
        <f t="shared" si="599"/>
        <v>0</v>
      </c>
      <c r="AJ512" s="78" t="b">
        <f t="shared" si="599"/>
        <v>0</v>
      </c>
      <c r="AK512" s="78" t="b">
        <f t="shared" si="599"/>
        <v>0</v>
      </c>
      <c r="AL512" s="78" t="b">
        <f t="shared" si="599"/>
        <v>0</v>
      </c>
      <c r="AM512" s="78" t="b">
        <f t="shared" si="599"/>
        <v>0</v>
      </c>
      <c r="AN512" s="78" t="b">
        <f t="shared" si="599"/>
        <v>0</v>
      </c>
      <c r="AO512" s="78" t="b">
        <f t="shared" si="599"/>
        <v>0</v>
      </c>
      <c r="AP512" s="78"/>
    </row>
    <row r="513" spans="4:42" x14ac:dyDescent="0.35">
      <c r="D513" s="96"/>
      <c r="E513" s="96"/>
      <c r="G513" s="77">
        <f t="shared" si="531"/>
        <v>0</v>
      </c>
      <c r="H513" s="78">
        <f t="shared" si="532"/>
        <v>0</v>
      </c>
      <c r="I513" s="77">
        <f t="shared" si="533"/>
        <v>0</v>
      </c>
      <c r="J513" s="78">
        <f t="shared" si="534"/>
        <v>0</v>
      </c>
      <c r="K513" s="78" t="str">
        <f t="shared" si="535"/>
        <v>1900-01-00 00:0:00</v>
      </c>
      <c r="L513" s="78" t="str">
        <f t="shared" si="536"/>
        <v>1900-01-00 00:0:00</v>
      </c>
      <c r="M513" s="79">
        <f t="shared" si="537"/>
        <v>0</v>
      </c>
      <c r="N513">
        <f t="shared" si="538"/>
        <v>1</v>
      </c>
      <c r="O513" t="str">
        <f>IFERROR(_xlfn.XLOOKUP(A513,HC!A:A,HC!C:C),"")</f>
        <v>Workforce</v>
      </c>
      <c r="R513" s="78" t="b">
        <f t="shared" ref="R513:AO513" si="600">IFERROR(IF($B513=$D$1,IF(AND($K513&lt;R$1,$L513&lt;R$1),"",IF(AND($K513&gt;S$1,$L513&gt;S$1),"",IF(AND($K513&lt;R$1,$L513&lt;=S$1),$L513-R$1,IF(AND($K513&gt;=R$1,$L513&gt;S$1),S$1-$K513,IF(AND($K513&gt;=R$1,$L513&lt;=S$1),$L513-$K513,IF(AND($K513&lt;R$1,$L513&gt;S$1),S$1-R$1,""))))))),"")</f>
        <v>0</v>
      </c>
      <c r="S513" s="78" t="b">
        <f t="shared" si="600"/>
        <v>0</v>
      </c>
      <c r="T513" s="78" t="b">
        <f t="shared" si="600"/>
        <v>0</v>
      </c>
      <c r="U513" s="78" t="b">
        <f t="shared" si="600"/>
        <v>0</v>
      </c>
      <c r="V513" s="78" t="b">
        <f t="shared" si="600"/>
        <v>0</v>
      </c>
      <c r="W513" s="78" t="b">
        <f t="shared" si="600"/>
        <v>0</v>
      </c>
      <c r="X513" s="78" t="b">
        <f t="shared" si="600"/>
        <v>0</v>
      </c>
      <c r="Y513" s="78" t="b">
        <f t="shared" si="600"/>
        <v>0</v>
      </c>
      <c r="Z513" s="78" t="b">
        <f t="shared" si="600"/>
        <v>0</v>
      </c>
      <c r="AA513" s="78" t="b">
        <f t="shared" si="600"/>
        <v>0</v>
      </c>
      <c r="AB513" s="78" t="b">
        <f t="shared" si="600"/>
        <v>0</v>
      </c>
      <c r="AC513" s="78" t="b">
        <f t="shared" si="600"/>
        <v>0</v>
      </c>
      <c r="AD513" s="78" t="b">
        <f t="shared" si="600"/>
        <v>0</v>
      </c>
      <c r="AE513" s="78" t="b">
        <f t="shared" si="600"/>
        <v>0</v>
      </c>
      <c r="AF513" s="78" t="b">
        <f t="shared" si="600"/>
        <v>0</v>
      </c>
      <c r="AG513" s="78" t="b">
        <f t="shared" si="600"/>
        <v>0</v>
      </c>
      <c r="AH513" s="78" t="b">
        <f t="shared" si="600"/>
        <v>0</v>
      </c>
      <c r="AI513" s="78" t="b">
        <f t="shared" si="600"/>
        <v>0</v>
      </c>
      <c r="AJ513" s="78" t="b">
        <f t="shared" si="600"/>
        <v>0</v>
      </c>
      <c r="AK513" s="78" t="b">
        <f t="shared" si="600"/>
        <v>0</v>
      </c>
      <c r="AL513" s="78" t="b">
        <f t="shared" si="600"/>
        <v>0</v>
      </c>
      <c r="AM513" s="78" t="b">
        <f t="shared" si="600"/>
        <v>0</v>
      </c>
      <c r="AN513" s="78" t="b">
        <f t="shared" si="600"/>
        <v>0</v>
      </c>
      <c r="AO513" s="78" t="b">
        <f t="shared" si="600"/>
        <v>0</v>
      </c>
      <c r="AP513" s="78"/>
    </row>
    <row r="514" spans="4:42" x14ac:dyDescent="0.35">
      <c r="D514" s="96"/>
      <c r="E514" s="96"/>
      <c r="G514" s="77">
        <f t="shared" si="531"/>
        <v>0</v>
      </c>
      <c r="H514" s="78">
        <f t="shared" si="532"/>
        <v>0</v>
      </c>
      <c r="I514" s="77">
        <f t="shared" si="533"/>
        <v>0</v>
      </c>
      <c r="J514" s="78">
        <f t="shared" si="534"/>
        <v>0</v>
      </c>
      <c r="K514" s="78" t="str">
        <f t="shared" si="535"/>
        <v>1900-01-00 00:0:00</v>
      </c>
      <c r="L514" s="78" t="str">
        <f t="shared" si="536"/>
        <v>1900-01-00 00:0:00</v>
      </c>
      <c r="M514" s="79">
        <f t="shared" si="537"/>
        <v>0</v>
      </c>
      <c r="N514">
        <f t="shared" si="538"/>
        <v>1</v>
      </c>
      <c r="O514" t="str">
        <f>IFERROR(_xlfn.XLOOKUP(A514,HC!A:A,HC!C:C),"")</f>
        <v>Workforce</v>
      </c>
      <c r="R514" s="78" t="b">
        <f t="shared" ref="R514:AO514" si="601">IFERROR(IF($B514=$D$1,IF(AND($K514&lt;R$1,$L514&lt;R$1),"",IF(AND($K514&gt;S$1,$L514&gt;S$1),"",IF(AND($K514&lt;R$1,$L514&lt;=S$1),$L514-R$1,IF(AND($K514&gt;=R$1,$L514&gt;S$1),S$1-$K514,IF(AND($K514&gt;=R$1,$L514&lt;=S$1),$L514-$K514,IF(AND($K514&lt;R$1,$L514&gt;S$1),S$1-R$1,""))))))),"")</f>
        <v>0</v>
      </c>
      <c r="S514" s="78" t="b">
        <f t="shared" si="601"/>
        <v>0</v>
      </c>
      <c r="T514" s="78" t="b">
        <f t="shared" si="601"/>
        <v>0</v>
      </c>
      <c r="U514" s="78" t="b">
        <f t="shared" si="601"/>
        <v>0</v>
      </c>
      <c r="V514" s="78" t="b">
        <f t="shared" si="601"/>
        <v>0</v>
      </c>
      <c r="W514" s="78" t="b">
        <f t="shared" si="601"/>
        <v>0</v>
      </c>
      <c r="X514" s="78" t="b">
        <f t="shared" si="601"/>
        <v>0</v>
      </c>
      <c r="Y514" s="78" t="b">
        <f t="shared" si="601"/>
        <v>0</v>
      </c>
      <c r="Z514" s="78" t="b">
        <f t="shared" si="601"/>
        <v>0</v>
      </c>
      <c r="AA514" s="78" t="b">
        <f t="shared" si="601"/>
        <v>0</v>
      </c>
      <c r="AB514" s="78" t="b">
        <f t="shared" si="601"/>
        <v>0</v>
      </c>
      <c r="AC514" s="78" t="b">
        <f t="shared" si="601"/>
        <v>0</v>
      </c>
      <c r="AD514" s="78" t="b">
        <f t="shared" si="601"/>
        <v>0</v>
      </c>
      <c r="AE514" s="78" t="b">
        <f t="shared" si="601"/>
        <v>0</v>
      </c>
      <c r="AF514" s="78" t="b">
        <f t="shared" si="601"/>
        <v>0</v>
      </c>
      <c r="AG514" s="78" t="b">
        <f t="shared" si="601"/>
        <v>0</v>
      </c>
      <c r="AH514" s="78" t="b">
        <f t="shared" si="601"/>
        <v>0</v>
      </c>
      <c r="AI514" s="78" t="b">
        <f t="shared" si="601"/>
        <v>0</v>
      </c>
      <c r="AJ514" s="78" t="b">
        <f t="shared" si="601"/>
        <v>0</v>
      </c>
      <c r="AK514" s="78" t="b">
        <f t="shared" si="601"/>
        <v>0</v>
      </c>
      <c r="AL514" s="78" t="b">
        <f t="shared" si="601"/>
        <v>0</v>
      </c>
      <c r="AM514" s="78" t="b">
        <f t="shared" si="601"/>
        <v>0</v>
      </c>
      <c r="AN514" s="78" t="b">
        <f t="shared" si="601"/>
        <v>0</v>
      </c>
      <c r="AO514" s="78" t="b">
        <f t="shared" si="601"/>
        <v>0</v>
      </c>
      <c r="AP514" s="78"/>
    </row>
    <row r="515" spans="4:42" x14ac:dyDescent="0.35">
      <c r="D515" s="96"/>
      <c r="E515" s="96"/>
      <c r="G515" s="77">
        <f t="shared" si="531"/>
        <v>0</v>
      </c>
      <c r="H515" s="78">
        <f t="shared" si="532"/>
        <v>0</v>
      </c>
      <c r="I515" s="77">
        <f t="shared" si="533"/>
        <v>0</v>
      </c>
      <c r="J515" s="78">
        <f t="shared" si="534"/>
        <v>0</v>
      </c>
      <c r="K515" s="78" t="str">
        <f t="shared" si="535"/>
        <v>1900-01-00 00:0:00</v>
      </c>
      <c r="L515" s="78" t="str">
        <f t="shared" si="536"/>
        <v>1900-01-00 00:0:00</v>
      </c>
      <c r="M515" s="79">
        <f t="shared" si="537"/>
        <v>0</v>
      </c>
      <c r="N515">
        <f t="shared" si="538"/>
        <v>1</v>
      </c>
      <c r="O515" t="str">
        <f>IFERROR(_xlfn.XLOOKUP(A515,HC!A:A,HC!C:C),"")</f>
        <v>Workforce</v>
      </c>
      <c r="R515" s="78" t="b">
        <f t="shared" ref="R515:AO515" si="602">IFERROR(IF($B515=$D$1,IF(AND($K515&lt;R$1,$L515&lt;R$1),"",IF(AND($K515&gt;S$1,$L515&gt;S$1),"",IF(AND($K515&lt;R$1,$L515&lt;=S$1),$L515-R$1,IF(AND($K515&gt;=R$1,$L515&gt;S$1),S$1-$K515,IF(AND($K515&gt;=R$1,$L515&lt;=S$1),$L515-$K515,IF(AND($K515&lt;R$1,$L515&gt;S$1),S$1-R$1,""))))))),"")</f>
        <v>0</v>
      </c>
      <c r="S515" s="78" t="b">
        <f t="shared" si="602"/>
        <v>0</v>
      </c>
      <c r="T515" s="78" t="b">
        <f t="shared" si="602"/>
        <v>0</v>
      </c>
      <c r="U515" s="78" t="b">
        <f t="shared" si="602"/>
        <v>0</v>
      </c>
      <c r="V515" s="78" t="b">
        <f t="shared" si="602"/>
        <v>0</v>
      </c>
      <c r="W515" s="78" t="b">
        <f t="shared" si="602"/>
        <v>0</v>
      </c>
      <c r="X515" s="78" t="b">
        <f t="shared" si="602"/>
        <v>0</v>
      </c>
      <c r="Y515" s="78" t="b">
        <f t="shared" si="602"/>
        <v>0</v>
      </c>
      <c r="Z515" s="78" t="b">
        <f t="shared" si="602"/>
        <v>0</v>
      </c>
      <c r="AA515" s="78" t="b">
        <f t="shared" si="602"/>
        <v>0</v>
      </c>
      <c r="AB515" s="78" t="b">
        <f t="shared" si="602"/>
        <v>0</v>
      </c>
      <c r="AC515" s="78" t="b">
        <f t="shared" si="602"/>
        <v>0</v>
      </c>
      <c r="AD515" s="78" t="b">
        <f t="shared" si="602"/>
        <v>0</v>
      </c>
      <c r="AE515" s="78" t="b">
        <f t="shared" si="602"/>
        <v>0</v>
      </c>
      <c r="AF515" s="78" t="b">
        <f t="shared" si="602"/>
        <v>0</v>
      </c>
      <c r="AG515" s="78" t="b">
        <f t="shared" si="602"/>
        <v>0</v>
      </c>
      <c r="AH515" s="78" t="b">
        <f t="shared" si="602"/>
        <v>0</v>
      </c>
      <c r="AI515" s="78" t="b">
        <f t="shared" si="602"/>
        <v>0</v>
      </c>
      <c r="AJ515" s="78" t="b">
        <f t="shared" si="602"/>
        <v>0</v>
      </c>
      <c r="AK515" s="78" t="b">
        <f t="shared" si="602"/>
        <v>0</v>
      </c>
      <c r="AL515" s="78" t="b">
        <f t="shared" si="602"/>
        <v>0</v>
      </c>
      <c r="AM515" s="78" t="b">
        <f t="shared" si="602"/>
        <v>0</v>
      </c>
      <c r="AN515" s="78" t="b">
        <f t="shared" si="602"/>
        <v>0</v>
      </c>
      <c r="AO515" s="78" t="b">
        <f t="shared" si="602"/>
        <v>0</v>
      </c>
      <c r="AP515" s="78"/>
    </row>
    <row r="516" spans="4:42" x14ac:dyDescent="0.35">
      <c r="D516" s="96"/>
      <c r="E516" s="96"/>
      <c r="G516" s="77">
        <f t="shared" ref="G516:G579" si="603">INT(D516)</f>
        <v>0</v>
      </c>
      <c r="H516" s="78">
        <f t="shared" ref="H516:H579" si="604">D516-G516</f>
        <v>0</v>
      </c>
      <c r="I516" s="77">
        <f t="shared" ref="I516:I579" si="605">INT(E516)</f>
        <v>0</v>
      </c>
      <c r="J516" s="78">
        <f t="shared" ref="J516:J579" si="606">E516-I516</f>
        <v>0</v>
      </c>
      <c r="K516" s="78" t="str">
        <f t="shared" ref="K516:K579" si="607">TEXT(G516+H516,"yyyy-mm-dd hh:m:ss")</f>
        <v>1900-01-00 00:0:00</v>
      </c>
      <c r="L516" s="78" t="str">
        <f t="shared" ref="L516:L579" si="608">TEXT(I516+J516,"yyyy-mm-dd hh:m:ss")</f>
        <v>1900-01-00 00:0:00</v>
      </c>
      <c r="M516" s="79">
        <f t="shared" ref="M516:M579" si="609">E516-D516</f>
        <v>0</v>
      </c>
      <c r="N516">
        <f t="shared" ref="N516:N579" si="610">IF(M516&lt;$BA$1,1,0)</f>
        <v>1</v>
      </c>
      <c r="O516" t="str">
        <f>IFERROR(_xlfn.XLOOKUP(A516,HC!A:A,HC!C:C),"")</f>
        <v>Workforce</v>
      </c>
      <c r="R516" s="78" t="b">
        <f t="shared" ref="R516:AO516" si="611">IFERROR(IF($B516=$D$1,IF(AND($K516&lt;R$1,$L516&lt;R$1),"",IF(AND($K516&gt;S$1,$L516&gt;S$1),"",IF(AND($K516&lt;R$1,$L516&lt;=S$1),$L516-R$1,IF(AND($K516&gt;=R$1,$L516&gt;S$1),S$1-$K516,IF(AND($K516&gt;=R$1,$L516&lt;=S$1),$L516-$K516,IF(AND($K516&lt;R$1,$L516&gt;S$1),S$1-R$1,""))))))),"")</f>
        <v>0</v>
      </c>
      <c r="S516" s="78" t="b">
        <f t="shared" si="611"/>
        <v>0</v>
      </c>
      <c r="T516" s="78" t="b">
        <f t="shared" si="611"/>
        <v>0</v>
      </c>
      <c r="U516" s="78" t="b">
        <f t="shared" si="611"/>
        <v>0</v>
      </c>
      <c r="V516" s="78" t="b">
        <f t="shared" si="611"/>
        <v>0</v>
      </c>
      <c r="W516" s="78" t="b">
        <f t="shared" si="611"/>
        <v>0</v>
      </c>
      <c r="X516" s="78" t="b">
        <f t="shared" si="611"/>
        <v>0</v>
      </c>
      <c r="Y516" s="78" t="b">
        <f t="shared" si="611"/>
        <v>0</v>
      </c>
      <c r="Z516" s="78" t="b">
        <f t="shared" si="611"/>
        <v>0</v>
      </c>
      <c r="AA516" s="78" t="b">
        <f t="shared" si="611"/>
        <v>0</v>
      </c>
      <c r="AB516" s="78" t="b">
        <f t="shared" si="611"/>
        <v>0</v>
      </c>
      <c r="AC516" s="78" t="b">
        <f t="shared" si="611"/>
        <v>0</v>
      </c>
      <c r="AD516" s="78" t="b">
        <f t="shared" si="611"/>
        <v>0</v>
      </c>
      <c r="AE516" s="78" t="b">
        <f t="shared" si="611"/>
        <v>0</v>
      </c>
      <c r="AF516" s="78" t="b">
        <f t="shared" si="611"/>
        <v>0</v>
      </c>
      <c r="AG516" s="78" t="b">
        <f t="shared" si="611"/>
        <v>0</v>
      </c>
      <c r="AH516" s="78" t="b">
        <f t="shared" si="611"/>
        <v>0</v>
      </c>
      <c r="AI516" s="78" t="b">
        <f t="shared" si="611"/>
        <v>0</v>
      </c>
      <c r="AJ516" s="78" t="b">
        <f t="shared" si="611"/>
        <v>0</v>
      </c>
      <c r="AK516" s="78" t="b">
        <f t="shared" si="611"/>
        <v>0</v>
      </c>
      <c r="AL516" s="78" t="b">
        <f t="shared" si="611"/>
        <v>0</v>
      </c>
      <c r="AM516" s="78" t="b">
        <f t="shared" si="611"/>
        <v>0</v>
      </c>
      <c r="AN516" s="78" t="b">
        <f t="shared" si="611"/>
        <v>0</v>
      </c>
      <c r="AO516" s="78" t="b">
        <f t="shared" si="611"/>
        <v>0</v>
      </c>
      <c r="AP516" s="78"/>
    </row>
    <row r="517" spans="4:42" x14ac:dyDescent="0.35">
      <c r="D517" s="96"/>
      <c r="E517" s="96"/>
      <c r="G517" s="77">
        <f t="shared" si="603"/>
        <v>0</v>
      </c>
      <c r="H517" s="78">
        <f t="shared" si="604"/>
        <v>0</v>
      </c>
      <c r="I517" s="77">
        <f t="shared" si="605"/>
        <v>0</v>
      </c>
      <c r="J517" s="78">
        <f t="shared" si="606"/>
        <v>0</v>
      </c>
      <c r="K517" s="78" t="str">
        <f t="shared" si="607"/>
        <v>1900-01-00 00:0:00</v>
      </c>
      <c r="L517" s="78" t="str">
        <f t="shared" si="608"/>
        <v>1900-01-00 00:0:00</v>
      </c>
      <c r="M517" s="79">
        <f t="shared" si="609"/>
        <v>0</v>
      </c>
      <c r="N517">
        <f t="shared" si="610"/>
        <v>1</v>
      </c>
      <c r="O517" t="str">
        <f>IFERROR(_xlfn.XLOOKUP(A517,HC!A:A,HC!C:C),"")</f>
        <v>Workforce</v>
      </c>
      <c r="R517" s="78" t="b">
        <f t="shared" ref="R517:AO517" si="612">IFERROR(IF($B517=$D$1,IF(AND($K517&lt;R$1,$L517&lt;R$1),"",IF(AND($K517&gt;S$1,$L517&gt;S$1),"",IF(AND($K517&lt;R$1,$L517&lt;=S$1),$L517-R$1,IF(AND($K517&gt;=R$1,$L517&gt;S$1),S$1-$K517,IF(AND($K517&gt;=R$1,$L517&lt;=S$1),$L517-$K517,IF(AND($K517&lt;R$1,$L517&gt;S$1),S$1-R$1,""))))))),"")</f>
        <v>0</v>
      </c>
      <c r="S517" s="78" t="b">
        <f t="shared" si="612"/>
        <v>0</v>
      </c>
      <c r="T517" s="78" t="b">
        <f t="shared" si="612"/>
        <v>0</v>
      </c>
      <c r="U517" s="78" t="b">
        <f t="shared" si="612"/>
        <v>0</v>
      </c>
      <c r="V517" s="78" t="b">
        <f t="shared" si="612"/>
        <v>0</v>
      </c>
      <c r="W517" s="78" t="b">
        <f t="shared" si="612"/>
        <v>0</v>
      </c>
      <c r="X517" s="78" t="b">
        <f t="shared" si="612"/>
        <v>0</v>
      </c>
      <c r="Y517" s="78" t="b">
        <f t="shared" si="612"/>
        <v>0</v>
      </c>
      <c r="Z517" s="78" t="b">
        <f t="shared" si="612"/>
        <v>0</v>
      </c>
      <c r="AA517" s="78" t="b">
        <f t="shared" si="612"/>
        <v>0</v>
      </c>
      <c r="AB517" s="78" t="b">
        <f t="shared" si="612"/>
        <v>0</v>
      </c>
      <c r="AC517" s="78" t="b">
        <f t="shared" si="612"/>
        <v>0</v>
      </c>
      <c r="AD517" s="78" t="b">
        <f t="shared" si="612"/>
        <v>0</v>
      </c>
      <c r="AE517" s="78" t="b">
        <f t="shared" si="612"/>
        <v>0</v>
      </c>
      <c r="AF517" s="78" t="b">
        <f t="shared" si="612"/>
        <v>0</v>
      </c>
      <c r="AG517" s="78" t="b">
        <f t="shared" si="612"/>
        <v>0</v>
      </c>
      <c r="AH517" s="78" t="b">
        <f t="shared" si="612"/>
        <v>0</v>
      </c>
      <c r="AI517" s="78" t="b">
        <f t="shared" si="612"/>
        <v>0</v>
      </c>
      <c r="AJ517" s="78" t="b">
        <f t="shared" si="612"/>
        <v>0</v>
      </c>
      <c r="AK517" s="78" t="b">
        <f t="shared" si="612"/>
        <v>0</v>
      </c>
      <c r="AL517" s="78" t="b">
        <f t="shared" si="612"/>
        <v>0</v>
      </c>
      <c r="AM517" s="78" t="b">
        <f t="shared" si="612"/>
        <v>0</v>
      </c>
      <c r="AN517" s="78" t="b">
        <f t="shared" si="612"/>
        <v>0</v>
      </c>
      <c r="AO517" s="78" t="b">
        <f t="shared" si="612"/>
        <v>0</v>
      </c>
      <c r="AP517" s="78"/>
    </row>
    <row r="518" spans="4:42" x14ac:dyDescent="0.35">
      <c r="D518" s="96"/>
      <c r="E518" s="96"/>
      <c r="G518" s="77">
        <f t="shared" si="603"/>
        <v>0</v>
      </c>
      <c r="H518" s="78">
        <f t="shared" si="604"/>
        <v>0</v>
      </c>
      <c r="I518" s="77">
        <f t="shared" si="605"/>
        <v>0</v>
      </c>
      <c r="J518" s="78">
        <f t="shared" si="606"/>
        <v>0</v>
      </c>
      <c r="K518" s="78" t="str">
        <f t="shared" si="607"/>
        <v>1900-01-00 00:0:00</v>
      </c>
      <c r="L518" s="78" t="str">
        <f t="shared" si="608"/>
        <v>1900-01-00 00:0:00</v>
      </c>
      <c r="M518" s="79">
        <f t="shared" si="609"/>
        <v>0</v>
      </c>
      <c r="N518">
        <f t="shared" si="610"/>
        <v>1</v>
      </c>
      <c r="O518" t="str">
        <f>IFERROR(_xlfn.XLOOKUP(A518,HC!A:A,HC!C:C),"")</f>
        <v>Workforce</v>
      </c>
      <c r="R518" s="78" t="b">
        <f t="shared" ref="R518:AO518" si="613">IFERROR(IF($B518=$D$1,IF(AND($K518&lt;R$1,$L518&lt;R$1),"",IF(AND($K518&gt;S$1,$L518&gt;S$1),"",IF(AND($K518&lt;R$1,$L518&lt;=S$1),$L518-R$1,IF(AND($K518&gt;=R$1,$L518&gt;S$1),S$1-$K518,IF(AND($K518&gt;=R$1,$L518&lt;=S$1),$L518-$K518,IF(AND($K518&lt;R$1,$L518&gt;S$1),S$1-R$1,""))))))),"")</f>
        <v>0</v>
      </c>
      <c r="S518" s="78" t="b">
        <f t="shared" si="613"/>
        <v>0</v>
      </c>
      <c r="T518" s="78" t="b">
        <f t="shared" si="613"/>
        <v>0</v>
      </c>
      <c r="U518" s="78" t="b">
        <f t="shared" si="613"/>
        <v>0</v>
      </c>
      <c r="V518" s="78" t="b">
        <f t="shared" si="613"/>
        <v>0</v>
      </c>
      <c r="W518" s="78" t="b">
        <f t="shared" si="613"/>
        <v>0</v>
      </c>
      <c r="X518" s="78" t="b">
        <f t="shared" si="613"/>
        <v>0</v>
      </c>
      <c r="Y518" s="78" t="b">
        <f t="shared" si="613"/>
        <v>0</v>
      </c>
      <c r="Z518" s="78" t="b">
        <f t="shared" si="613"/>
        <v>0</v>
      </c>
      <c r="AA518" s="78" t="b">
        <f t="shared" si="613"/>
        <v>0</v>
      </c>
      <c r="AB518" s="78" t="b">
        <f t="shared" si="613"/>
        <v>0</v>
      </c>
      <c r="AC518" s="78" t="b">
        <f t="shared" si="613"/>
        <v>0</v>
      </c>
      <c r="AD518" s="78" t="b">
        <f t="shared" si="613"/>
        <v>0</v>
      </c>
      <c r="AE518" s="78" t="b">
        <f t="shared" si="613"/>
        <v>0</v>
      </c>
      <c r="AF518" s="78" t="b">
        <f t="shared" si="613"/>
        <v>0</v>
      </c>
      <c r="AG518" s="78" t="b">
        <f t="shared" si="613"/>
        <v>0</v>
      </c>
      <c r="AH518" s="78" t="b">
        <f t="shared" si="613"/>
        <v>0</v>
      </c>
      <c r="AI518" s="78" t="b">
        <f t="shared" si="613"/>
        <v>0</v>
      </c>
      <c r="AJ518" s="78" t="b">
        <f t="shared" si="613"/>
        <v>0</v>
      </c>
      <c r="AK518" s="78" t="b">
        <f t="shared" si="613"/>
        <v>0</v>
      </c>
      <c r="AL518" s="78" t="b">
        <f t="shared" si="613"/>
        <v>0</v>
      </c>
      <c r="AM518" s="78" t="b">
        <f t="shared" si="613"/>
        <v>0</v>
      </c>
      <c r="AN518" s="78" t="b">
        <f t="shared" si="613"/>
        <v>0</v>
      </c>
      <c r="AO518" s="78" t="b">
        <f t="shared" si="613"/>
        <v>0</v>
      </c>
      <c r="AP518" s="78"/>
    </row>
    <row r="519" spans="4:42" x14ac:dyDescent="0.35">
      <c r="D519" s="96"/>
      <c r="E519" s="96"/>
      <c r="G519" s="77">
        <f t="shared" si="603"/>
        <v>0</v>
      </c>
      <c r="H519" s="78">
        <f t="shared" si="604"/>
        <v>0</v>
      </c>
      <c r="I519" s="77">
        <f t="shared" si="605"/>
        <v>0</v>
      </c>
      <c r="J519" s="78">
        <f t="shared" si="606"/>
        <v>0</v>
      </c>
      <c r="K519" s="78" t="str">
        <f t="shared" si="607"/>
        <v>1900-01-00 00:0:00</v>
      </c>
      <c r="L519" s="78" t="str">
        <f t="shared" si="608"/>
        <v>1900-01-00 00:0:00</v>
      </c>
      <c r="M519" s="79">
        <f t="shared" si="609"/>
        <v>0</v>
      </c>
      <c r="N519">
        <f t="shared" si="610"/>
        <v>1</v>
      </c>
      <c r="O519" t="str">
        <f>IFERROR(_xlfn.XLOOKUP(A519,HC!A:A,HC!C:C),"")</f>
        <v>Workforce</v>
      </c>
      <c r="R519" s="78" t="b">
        <f t="shared" ref="R519:AO519" si="614">IFERROR(IF($B519=$D$1,IF(AND($K519&lt;R$1,$L519&lt;R$1),"",IF(AND($K519&gt;S$1,$L519&gt;S$1),"",IF(AND($K519&lt;R$1,$L519&lt;=S$1),$L519-R$1,IF(AND($K519&gt;=R$1,$L519&gt;S$1),S$1-$K519,IF(AND($K519&gt;=R$1,$L519&lt;=S$1),$L519-$K519,IF(AND($K519&lt;R$1,$L519&gt;S$1),S$1-R$1,""))))))),"")</f>
        <v>0</v>
      </c>
      <c r="S519" s="78" t="b">
        <f t="shared" si="614"/>
        <v>0</v>
      </c>
      <c r="T519" s="78" t="b">
        <f t="shared" si="614"/>
        <v>0</v>
      </c>
      <c r="U519" s="78" t="b">
        <f t="shared" si="614"/>
        <v>0</v>
      </c>
      <c r="V519" s="78" t="b">
        <f t="shared" si="614"/>
        <v>0</v>
      </c>
      <c r="W519" s="78" t="b">
        <f t="shared" si="614"/>
        <v>0</v>
      </c>
      <c r="X519" s="78" t="b">
        <f t="shared" si="614"/>
        <v>0</v>
      </c>
      <c r="Y519" s="78" t="b">
        <f t="shared" si="614"/>
        <v>0</v>
      </c>
      <c r="Z519" s="78" t="b">
        <f t="shared" si="614"/>
        <v>0</v>
      </c>
      <c r="AA519" s="78" t="b">
        <f t="shared" si="614"/>
        <v>0</v>
      </c>
      <c r="AB519" s="78" t="b">
        <f t="shared" si="614"/>
        <v>0</v>
      </c>
      <c r="AC519" s="78" t="b">
        <f t="shared" si="614"/>
        <v>0</v>
      </c>
      <c r="AD519" s="78" t="b">
        <f t="shared" si="614"/>
        <v>0</v>
      </c>
      <c r="AE519" s="78" t="b">
        <f t="shared" si="614"/>
        <v>0</v>
      </c>
      <c r="AF519" s="78" t="b">
        <f t="shared" si="614"/>
        <v>0</v>
      </c>
      <c r="AG519" s="78" t="b">
        <f t="shared" si="614"/>
        <v>0</v>
      </c>
      <c r="AH519" s="78" t="b">
        <f t="shared" si="614"/>
        <v>0</v>
      </c>
      <c r="AI519" s="78" t="b">
        <f t="shared" si="614"/>
        <v>0</v>
      </c>
      <c r="AJ519" s="78" t="b">
        <f t="shared" si="614"/>
        <v>0</v>
      </c>
      <c r="AK519" s="78" t="b">
        <f t="shared" si="614"/>
        <v>0</v>
      </c>
      <c r="AL519" s="78" t="b">
        <f t="shared" si="614"/>
        <v>0</v>
      </c>
      <c r="AM519" s="78" t="b">
        <f t="shared" si="614"/>
        <v>0</v>
      </c>
      <c r="AN519" s="78" t="b">
        <f t="shared" si="614"/>
        <v>0</v>
      </c>
      <c r="AO519" s="78" t="b">
        <f t="shared" si="614"/>
        <v>0</v>
      </c>
      <c r="AP519" s="78"/>
    </row>
    <row r="520" spans="4:42" x14ac:dyDescent="0.35">
      <c r="D520" s="96"/>
      <c r="E520" s="96"/>
      <c r="G520" s="77">
        <f t="shared" si="603"/>
        <v>0</v>
      </c>
      <c r="H520" s="78">
        <f t="shared" si="604"/>
        <v>0</v>
      </c>
      <c r="I520" s="77">
        <f t="shared" si="605"/>
        <v>0</v>
      </c>
      <c r="J520" s="78">
        <f t="shared" si="606"/>
        <v>0</v>
      </c>
      <c r="K520" s="78" t="str">
        <f t="shared" si="607"/>
        <v>1900-01-00 00:0:00</v>
      </c>
      <c r="L520" s="78" t="str">
        <f t="shared" si="608"/>
        <v>1900-01-00 00:0:00</v>
      </c>
      <c r="M520" s="79">
        <f t="shared" si="609"/>
        <v>0</v>
      </c>
      <c r="N520">
        <f t="shared" si="610"/>
        <v>1</v>
      </c>
      <c r="O520" t="str">
        <f>IFERROR(_xlfn.XLOOKUP(A520,HC!A:A,HC!C:C),"")</f>
        <v>Workforce</v>
      </c>
      <c r="R520" s="78" t="b">
        <f t="shared" ref="R520:AO520" si="615">IFERROR(IF($B520=$D$1,IF(AND($K520&lt;R$1,$L520&lt;R$1),"",IF(AND($K520&gt;S$1,$L520&gt;S$1),"",IF(AND($K520&lt;R$1,$L520&lt;=S$1),$L520-R$1,IF(AND($K520&gt;=R$1,$L520&gt;S$1),S$1-$K520,IF(AND($K520&gt;=R$1,$L520&lt;=S$1),$L520-$K520,IF(AND($K520&lt;R$1,$L520&gt;S$1),S$1-R$1,""))))))),"")</f>
        <v>0</v>
      </c>
      <c r="S520" s="78" t="b">
        <f t="shared" si="615"/>
        <v>0</v>
      </c>
      <c r="T520" s="78" t="b">
        <f t="shared" si="615"/>
        <v>0</v>
      </c>
      <c r="U520" s="78" t="b">
        <f t="shared" si="615"/>
        <v>0</v>
      </c>
      <c r="V520" s="78" t="b">
        <f t="shared" si="615"/>
        <v>0</v>
      </c>
      <c r="W520" s="78" t="b">
        <f t="shared" si="615"/>
        <v>0</v>
      </c>
      <c r="X520" s="78" t="b">
        <f t="shared" si="615"/>
        <v>0</v>
      </c>
      <c r="Y520" s="78" t="b">
        <f t="shared" si="615"/>
        <v>0</v>
      </c>
      <c r="Z520" s="78" t="b">
        <f t="shared" si="615"/>
        <v>0</v>
      </c>
      <c r="AA520" s="78" t="b">
        <f t="shared" si="615"/>
        <v>0</v>
      </c>
      <c r="AB520" s="78" t="b">
        <f t="shared" si="615"/>
        <v>0</v>
      </c>
      <c r="AC520" s="78" t="b">
        <f t="shared" si="615"/>
        <v>0</v>
      </c>
      <c r="AD520" s="78" t="b">
        <f t="shared" si="615"/>
        <v>0</v>
      </c>
      <c r="AE520" s="78" t="b">
        <f t="shared" si="615"/>
        <v>0</v>
      </c>
      <c r="AF520" s="78" t="b">
        <f t="shared" si="615"/>
        <v>0</v>
      </c>
      <c r="AG520" s="78" t="b">
        <f t="shared" si="615"/>
        <v>0</v>
      </c>
      <c r="AH520" s="78" t="b">
        <f t="shared" si="615"/>
        <v>0</v>
      </c>
      <c r="AI520" s="78" t="b">
        <f t="shared" si="615"/>
        <v>0</v>
      </c>
      <c r="AJ520" s="78" t="b">
        <f t="shared" si="615"/>
        <v>0</v>
      </c>
      <c r="AK520" s="78" t="b">
        <f t="shared" si="615"/>
        <v>0</v>
      </c>
      <c r="AL520" s="78" t="b">
        <f t="shared" si="615"/>
        <v>0</v>
      </c>
      <c r="AM520" s="78" t="b">
        <f t="shared" si="615"/>
        <v>0</v>
      </c>
      <c r="AN520" s="78" t="b">
        <f t="shared" si="615"/>
        <v>0</v>
      </c>
      <c r="AO520" s="78" t="b">
        <f t="shared" si="615"/>
        <v>0</v>
      </c>
      <c r="AP520" s="78"/>
    </row>
    <row r="521" spans="4:42" x14ac:dyDescent="0.35">
      <c r="D521" s="96"/>
      <c r="E521" s="96"/>
      <c r="G521" s="77">
        <f t="shared" si="603"/>
        <v>0</v>
      </c>
      <c r="H521" s="78">
        <f t="shared" si="604"/>
        <v>0</v>
      </c>
      <c r="I521" s="77">
        <f t="shared" si="605"/>
        <v>0</v>
      </c>
      <c r="J521" s="78">
        <f t="shared" si="606"/>
        <v>0</v>
      </c>
      <c r="K521" s="78" t="str">
        <f t="shared" si="607"/>
        <v>1900-01-00 00:0:00</v>
      </c>
      <c r="L521" s="78" t="str">
        <f t="shared" si="608"/>
        <v>1900-01-00 00:0:00</v>
      </c>
      <c r="M521" s="79">
        <f t="shared" si="609"/>
        <v>0</v>
      </c>
      <c r="N521">
        <f t="shared" si="610"/>
        <v>1</v>
      </c>
      <c r="O521" t="str">
        <f>IFERROR(_xlfn.XLOOKUP(A521,HC!A:A,HC!C:C),"")</f>
        <v>Workforce</v>
      </c>
      <c r="R521" s="78" t="b">
        <f t="shared" ref="R521:AO521" si="616">IFERROR(IF($B521=$D$1,IF(AND($K521&lt;R$1,$L521&lt;R$1),"",IF(AND($K521&gt;S$1,$L521&gt;S$1),"",IF(AND($K521&lt;R$1,$L521&lt;=S$1),$L521-R$1,IF(AND($K521&gt;=R$1,$L521&gt;S$1),S$1-$K521,IF(AND($K521&gt;=R$1,$L521&lt;=S$1),$L521-$K521,IF(AND($K521&lt;R$1,$L521&gt;S$1),S$1-R$1,""))))))),"")</f>
        <v>0</v>
      </c>
      <c r="S521" s="78" t="b">
        <f t="shared" si="616"/>
        <v>0</v>
      </c>
      <c r="T521" s="78" t="b">
        <f t="shared" si="616"/>
        <v>0</v>
      </c>
      <c r="U521" s="78" t="b">
        <f t="shared" si="616"/>
        <v>0</v>
      </c>
      <c r="V521" s="78" t="b">
        <f t="shared" si="616"/>
        <v>0</v>
      </c>
      <c r="W521" s="78" t="b">
        <f t="shared" si="616"/>
        <v>0</v>
      </c>
      <c r="X521" s="78" t="b">
        <f t="shared" si="616"/>
        <v>0</v>
      </c>
      <c r="Y521" s="78" t="b">
        <f t="shared" si="616"/>
        <v>0</v>
      </c>
      <c r="Z521" s="78" t="b">
        <f t="shared" si="616"/>
        <v>0</v>
      </c>
      <c r="AA521" s="78" t="b">
        <f t="shared" si="616"/>
        <v>0</v>
      </c>
      <c r="AB521" s="78" t="b">
        <f t="shared" si="616"/>
        <v>0</v>
      </c>
      <c r="AC521" s="78" t="b">
        <f t="shared" si="616"/>
        <v>0</v>
      </c>
      <c r="AD521" s="78" t="b">
        <f t="shared" si="616"/>
        <v>0</v>
      </c>
      <c r="AE521" s="78" t="b">
        <f t="shared" si="616"/>
        <v>0</v>
      </c>
      <c r="AF521" s="78" t="b">
        <f t="shared" si="616"/>
        <v>0</v>
      </c>
      <c r="AG521" s="78" t="b">
        <f t="shared" si="616"/>
        <v>0</v>
      </c>
      <c r="AH521" s="78" t="b">
        <f t="shared" si="616"/>
        <v>0</v>
      </c>
      <c r="AI521" s="78" t="b">
        <f t="shared" si="616"/>
        <v>0</v>
      </c>
      <c r="AJ521" s="78" t="b">
        <f t="shared" si="616"/>
        <v>0</v>
      </c>
      <c r="AK521" s="78" t="b">
        <f t="shared" si="616"/>
        <v>0</v>
      </c>
      <c r="AL521" s="78" t="b">
        <f t="shared" si="616"/>
        <v>0</v>
      </c>
      <c r="AM521" s="78" t="b">
        <f t="shared" si="616"/>
        <v>0</v>
      </c>
      <c r="AN521" s="78" t="b">
        <f t="shared" si="616"/>
        <v>0</v>
      </c>
      <c r="AO521" s="78" t="b">
        <f t="shared" si="616"/>
        <v>0</v>
      </c>
      <c r="AP521" s="78"/>
    </row>
    <row r="522" spans="4:42" x14ac:dyDescent="0.35">
      <c r="D522" s="96"/>
      <c r="E522" s="96"/>
      <c r="G522" s="77">
        <f t="shared" si="603"/>
        <v>0</v>
      </c>
      <c r="H522" s="78">
        <f t="shared" si="604"/>
        <v>0</v>
      </c>
      <c r="I522" s="77">
        <f t="shared" si="605"/>
        <v>0</v>
      </c>
      <c r="J522" s="78">
        <f t="shared" si="606"/>
        <v>0</v>
      </c>
      <c r="K522" s="78" t="str">
        <f t="shared" si="607"/>
        <v>1900-01-00 00:0:00</v>
      </c>
      <c r="L522" s="78" t="str">
        <f t="shared" si="608"/>
        <v>1900-01-00 00:0:00</v>
      </c>
      <c r="M522" s="79">
        <f t="shared" si="609"/>
        <v>0</v>
      </c>
      <c r="N522">
        <f t="shared" si="610"/>
        <v>1</v>
      </c>
      <c r="O522" t="str">
        <f>IFERROR(_xlfn.XLOOKUP(A522,HC!A:A,HC!C:C),"")</f>
        <v>Workforce</v>
      </c>
      <c r="R522" s="78" t="b">
        <f t="shared" ref="R522:AO522" si="617">IFERROR(IF($B522=$D$1,IF(AND($K522&lt;R$1,$L522&lt;R$1),"",IF(AND($K522&gt;S$1,$L522&gt;S$1),"",IF(AND($K522&lt;R$1,$L522&lt;=S$1),$L522-R$1,IF(AND($K522&gt;=R$1,$L522&gt;S$1),S$1-$K522,IF(AND($K522&gt;=R$1,$L522&lt;=S$1),$L522-$K522,IF(AND($K522&lt;R$1,$L522&gt;S$1),S$1-R$1,""))))))),"")</f>
        <v>0</v>
      </c>
      <c r="S522" s="78" t="b">
        <f t="shared" si="617"/>
        <v>0</v>
      </c>
      <c r="T522" s="78" t="b">
        <f t="shared" si="617"/>
        <v>0</v>
      </c>
      <c r="U522" s="78" t="b">
        <f t="shared" si="617"/>
        <v>0</v>
      </c>
      <c r="V522" s="78" t="b">
        <f t="shared" si="617"/>
        <v>0</v>
      </c>
      <c r="W522" s="78" t="b">
        <f t="shared" si="617"/>
        <v>0</v>
      </c>
      <c r="X522" s="78" t="b">
        <f t="shared" si="617"/>
        <v>0</v>
      </c>
      <c r="Y522" s="78" t="b">
        <f t="shared" si="617"/>
        <v>0</v>
      </c>
      <c r="Z522" s="78" t="b">
        <f t="shared" si="617"/>
        <v>0</v>
      </c>
      <c r="AA522" s="78" t="b">
        <f t="shared" si="617"/>
        <v>0</v>
      </c>
      <c r="AB522" s="78" t="b">
        <f t="shared" si="617"/>
        <v>0</v>
      </c>
      <c r="AC522" s="78" t="b">
        <f t="shared" si="617"/>
        <v>0</v>
      </c>
      <c r="AD522" s="78" t="b">
        <f t="shared" si="617"/>
        <v>0</v>
      </c>
      <c r="AE522" s="78" t="b">
        <f t="shared" si="617"/>
        <v>0</v>
      </c>
      <c r="AF522" s="78" t="b">
        <f t="shared" si="617"/>
        <v>0</v>
      </c>
      <c r="AG522" s="78" t="b">
        <f t="shared" si="617"/>
        <v>0</v>
      </c>
      <c r="AH522" s="78" t="b">
        <f t="shared" si="617"/>
        <v>0</v>
      </c>
      <c r="AI522" s="78" t="b">
        <f t="shared" si="617"/>
        <v>0</v>
      </c>
      <c r="AJ522" s="78" t="b">
        <f t="shared" si="617"/>
        <v>0</v>
      </c>
      <c r="AK522" s="78" t="b">
        <f t="shared" si="617"/>
        <v>0</v>
      </c>
      <c r="AL522" s="78" t="b">
        <f t="shared" si="617"/>
        <v>0</v>
      </c>
      <c r="AM522" s="78" t="b">
        <f t="shared" si="617"/>
        <v>0</v>
      </c>
      <c r="AN522" s="78" t="b">
        <f t="shared" si="617"/>
        <v>0</v>
      </c>
      <c r="AO522" s="78" t="b">
        <f t="shared" si="617"/>
        <v>0</v>
      </c>
      <c r="AP522" s="78"/>
    </row>
    <row r="523" spans="4:42" x14ac:dyDescent="0.35">
      <c r="D523" s="96"/>
      <c r="E523" s="96"/>
      <c r="G523" s="77">
        <f t="shared" si="603"/>
        <v>0</v>
      </c>
      <c r="H523" s="78">
        <f t="shared" si="604"/>
        <v>0</v>
      </c>
      <c r="I523" s="77">
        <f t="shared" si="605"/>
        <v>0</v>
      </c>
      <c r="J523" s="78">
        <f t="shared" si="606"/>
        <v>0</v>
      </c>
      <c r="K523" s="78" t="str">
        <f t="shared" si="607"/>
        <v>1900-01-00 00:0:00</v>
      </c>
      <c r="L523" s="78" t="str">
        <f t="shared" si="608"/>
        <v>1900-01-00 00:0:00</v>
      </c>
      <c r="M523" s="79">
        <f t="shared" si="609"/>
        <v>0</v>
      </c>
      <c r="N523">
        <f t="shared" si="610"/>
        <v>1</v>
      </c>
      <c r="O523" t="str">
        <f>IFERROR(_xlfn.XLOOKUP(A523,HC!A:A,HC!C:C),"")</f>
        <v>Workforce</v>
      </c>
      <c r="R523" s="78" t="b">
        <f t="shared" ref="R523:AO523" si="618">IFERROR(IF($B523=$D$1,IF(AND($K523&lt;R$1,$L523&lt;R$1),"",IF(AND($K523&gt;S$1,$L523&gt;S$1),"",IF(AND($K523&lt;R$1,$L523&lt;=S$1),$L523-R$1,IF(AND($K523&gt;=R$1,$L523&gt;S$1),S$1-$K523,IF(AND($K523&gt;=R$1,$L523&lt;=S$1),$L523-$K523,IF(AND($K523&lt;R$1,$L523&gt;S$1),S$1-R$1,""))))))),"")</f>
        <v>0</v>
      </c>
      <c r="S523" s="78" t="b">
        <f t="shared" si="618"/>
        <v>0</v>
      </c>
      <c r="T523" s="78" t="b">
        <f t="shared" si="618"/>
        <v>0</v>
      </c>
      <c r="U523" s="78" t="b">
        <f t="shared" si="618"/>
        <v>0</v>
      </c>
      <c r="V523" s="78" t="b">
        <f t="shared" si="618"/>
        <v>0</v>
      </c>
      <c r="W523" s="78" t="b">
        <f t="shared" si="618"/>
        <v>0</v>
      </c>
      <c r="X523" s="78" t="b">
        <f t="shared" si="618"/>
        <v>0</v>
      </c>
      <c r="Y523" s="78" t="b">
        <f t="shared" si="618"/>
        <v>0</v>
      </c>
      <c r="Z523" s="78" t="b">
        <f t="shared" si="618"/>
        <v>0</v>
      </c>
      <c r="AA523" s="78" t="b">
        <f t="shared" si="618"/>
        <v>0</v>
      </c>
      <c r="AB523" s="78" t="b">
        <f t="shared" si="618"/>
        <v>0</v>
      </c>
      <c r="AC523" s="78" t="b">
        <f t="shared" si="618"/>
        <v>0</v>
      </c>
      <c r="AD523" s="78" t="b">
        <f t="shared" si="618"/>
        <v>0</v>
      </c>
      <c r="AE523" s="78" t="b">
        <f t="shared" si="618"/>
        <v>0</v>
      </c>
      <c r="AF523" s="78" t="b">
        <f t="shared" si="618"/>
        <v>0</v>
      </c>
      <c r="AG523" s="78" t="b">
        <f t="shared" si="618"/>
        <v>0</v>
      </c>
      <c r="AH523" s="78" t="b">
        <f t="shared" si="618"/>
        <v>0</v>
      </c>
      <c r="AI523" s="78" t="b">
        <f t="shared" si="618"/>
        <v>0</v>
      </c>
      <c r="AJ523" s="78" t="b">
        <f t="shared" si="618"/>
        <v>0</v>
      </c>
      <c r="AK523" s="78" t="b">
        <f t="shared" si="618"/>
        <v>0</v>
      </c>
      <c r="AL523" s="78" t="b">
        <f t="shared" si="618"/>
        <v>0</v>
      </c>
      <c r="AM523" s="78" t="b">
        <f t="shared" si="618"/>
        <v>0</v>
      </c>
      <c r="AN523" s="78" t="b">
        <f t="shared" si="618"/>
        <v>0</v>
      </c>
      <c r="AO523" s="78" t="b">
        <f t="shared" si="618"/>
        <v>0</v>
      </c>
      <c r="AP523" s="78"/>
    </row>
    <row r="524" spans="4:42" x14ac:dyDescent="0.35">
      <c r="D524" s="96"/>
      <c r="E524" s="96"/>
      <c r="G524" s="77">
        <f t="shared" si="603"/>
        <v>0</v>
      </c>
      <c r="H524" s="78">
        <f t="shared" si="604"/>
        <v>0</v>
      </c>
      <c r="I524" s="77">
        <f t="shared" si="605"/>
        <v>0</v>
      </c>
      <c r="J524" s="78">
        <f t="shared" si="606"/>
        <v>0</v>
      </c>
      <c r="K524" s="78" t="str">
        <f t="shared" si="607"/>
        <v>1900-01-00 00:0:00</v>
      </c>
      <c r="L524" s="78" t="str">
        <f t="shared" si="608"/>
        <v>1900-01-00 00:0:00</v>
      </c>
      <c r="M524" s="79">
        <f t="shared" si="609"/>
        <v>0</v>
      </c>
      <c r="N524">
        <f t="shared" si="610"/>
        <v>1</v>
      </c>
      <c r="O524" t="str">
        <f>IFERROR(_xlfn.XLOOKUP(A524,HC!A:A,HC!C:C),"")</f>
        <v>Workforce</v>
      </c>
      <c r="R524" s="78" t="b">
        <f t="shared" ref="R524:AO524" si="619">IFERROR(IF($B524=$D$1,IF(AND($K524&lt;R$1,$L524&lt;R$1),"",IF(AND($K524&gt;S$1,$L524&gt;S$1),"",IF(AND($K524&lt;R$1,$L524&lt;=S$1),$L524-R$1,IF(AND($K524&gt;=R$1,$L524&gt;S$1),S$1-$K524,IF(AND($K524&gt;=R$1,$L524&lt;=S$1),$L524-$K524,IF(AND($K524&lt;R$1,$L524&gt;S$1),S$1-R$1,""))))))),"")</f>
        <v>0</v>
      </c>
      <c r="S524" s="78" t="b">
        <f t="shared" si="619"/>
        <v>0</v>
      </c>
      <c r="T524" s="78" t="b">
        <f t="shared" si="619"/>
        <v>0</v>
      </c>
      <c r="U524" s="78" t="b">
        <f t="shared" si="619"/>
        <v>0</v>
      </c>
      <c r="V524" s="78" t="b">
        <f t="shared" si="619"/>
        <v>0</v>
      </c>
      <c r="W524" s="78" t="b">
        <f t="shared" si="619"/>
        <v>0</v>
      </c>
      <c r="X524" s="78" t="b">
        <f t="shared" si="619"/>
        <v>0</v>
      </c>
      <c r="Y524" s="78" t="b">
        <f t="shared" si="619"/>
        <v>0</v>
      </c>
      <c r="Z524" s="78" t="b">
        <f t="shared" si="619"/>
        <v>0</v>
      </c>
      <c r="AA524" s="78" t="b">
        <f t="shared" si="619"/>
        <v>0</v>
      </c>
      <c r="AB524" s="78" t="b">
        <f t="shared" si="619"/>
        <v>0</v>
      </c>
      <c r="AC524" s="78" t="b">
        <f t="shared" si="619"/>
        <v>0</v>
      </c>
      <c r="AD524" s="78" t="b">
        <f t="shared" si="619"/>
        <v>0</v>
      </c>
      <c r="AE524" s="78" t="b">
        <f t="shared" si="619"/>
        <v>0</v>
      </c>
      <c r="AF524" s="78" t="b">
        <f t="shared" si="619"/>
        <v>0</v>
      </c>
      <c r="AG524" s="78" t="b">
        <f t="shared" si="619"/>
        <v>0</v>
      </c>
      <c r="AH524" s="78" t="b">
        <f t="shared" si="619"/>
        <v>0</v>
      </c>
      <c r="AI524" s="78" t="b">
        <f t="shared" si="619"/>
        <v>0</v>
      </c>
      <c r="AJ524" s="78" t="b">
        <f t="shared" si="619"/>
        <v>0</v>
      </c>
      <c r="AK524" s="78" t="b">
        <f t="shared" si="619"/>
        <v>0</v>
      </c>
      <c r="AL524" s="78" t="b">
        <f t="shared" si="619"/>
        <v>0</v>
      </c>
      <c r="AM524" s="78" t="b">
        <f t="shared" si="619"/>
        <v>0</v>
      </c>
      <c r="AN524" s="78" t="b">
        <f t="shared" si="619"/>
        <v>0</v>
      </c>
      <c r="AO524" s="78" t="b">
        <f t="shared" si="619"/>
        <v>0</v>
      </c>
      <c r="AP524" s="78"/>
    </row>
    <row r="525" spans="4:42" x14ac:dyDescent="0.35">
      <c r="D525" s="96"/>
      <c r="E525" s="96"/>
      <c r="G525" s="77">
        <f t="shared" si="603"/>
        <v>0</v>
      </c>
      <c r="H525" s="78">
        <f t="shared" si="604"/>
        <v>0</v>
      </c>
      <c r="I525" s="77">
        <f t="shared" si="605"/>
        <v>0</v>
      </c>
      <c r="J525" s="78">
        <f t="shared" si="606"/>
        <v>0</v>
      </c>
      <c r="K525" s="78" t="str">
        <f t="shared" si="607"/>
        <v>1900-01-00 00:0:00</v>
      </c>
      <c r="L525" s="78" t="str">
        <f t="shared" si="608"/>
        <v>1900-01-00 00:0:00</v>
      </c>
      <c r="M525" s="79">
        <f t="shared" si="609"/>
        <v>0</v>
      </c>
      <c r="N525">
        <f t="shared" si="610"/>
        <v>1</v>
      </c>
      <c r="O525" t="str">
        <f>IFERROR(_xlfn.XLOOKUP(A525,HC!A:A,HC!C:C),"")</f>
        <v>Workforce</v>
      </c>
      <c r="R525" s="78" t="b">
        <f t="shared" ref="R525:AO525" si="620">IFERROR(IF($B525=$D$1,IF(AND($K525&lt;R$1,$L525&lt;R$1),"",IF(AND($K525&gt;S$1,$L525&gt;S$1),"",IF(AND($K525&lt;R$1,$L525&lt;=S$1),$L525-R$1,IF(AND($K525&gt;=R$1,$L525&gt;S$1),S$1-$K525,IF(AND($K525&gt;=R$1,$L525&lt;=S$1),$L525-$K525,IF(AND($K525&lt;R$1,$L525&gt;S$1),S$1-R$1,""))))))),"")</f>
        <v>0</v>
      </c>
      <c r="S525" s="78" t="b">
        <f t="shared" si="620"/>
        <v>0</v>
      </c>
      <c r="T525" s="78" t="b">
        <f t="shared" si="620"/>
        <v>0</v>
      </c>
      <c r="U525" s="78" t="b">
        <f t="shared" si="620"/>
        <v>0</v>
      </c>
      <c r="V525" s="78" t="b">
        <f t="shared" si="620"/>
        <v>0</v>
      </c>
      <c r="W525" s="78" t="b">
        <f t="shared" si="620"/>
        <v>0</v>
      </c>
      <c r="X525" s="78" t="b">
        <f t="shared" si="620"/>
        <v>0</v>
      </c>
      <c r="Y525" s="78" t="b">
        <f t="shared" si="620"/>
        <v>0</v>
      </c>
      <c r="Z525" s="78" t="b">
        <f t="shared" si="620"/>
        <v>0</v>
      </c>
      <c r="AA525" s="78" t="b">
        <f t="shared" si="620"/>
        <v>0</v>
      </c>
      <c r="AB525" s="78" t="b">
        <f t="shared" si="620"/>
        <v>0</v>
      </c>
      <c r="AC525" s="78" t="b">
        <f t="shared" si="620"/>
        <v>0</v>
      </c>
      <c r="AD525" s="78" t="b">
        <f t="shared" si="620"/>
        <v>0</v>
      </c>
      <c r="AE525" s="78" t="b">
        <f t="shared" si="620"/>
        <v>0</v>
      </c>
      <c r="AF525" s="78" t="b">
        <f t="shared" si="620"/>
        <v>0</v>
      </c>
      <c r="AG525" s="78" t="b">
        <f t="shared" si="620"/>
        <v>0</v>
      </c>
      <c r="AH525" s="78" t="b">
        <f t="shared" si="620"/>
        <v>0</v>
      </c>
      <c r="AI525" s="78" t="b">
        <f t="shared" si="620"/>
        <v>0</v>
      </c>
      <c r="AJ525" s="78" t="b">
        <f t="shared" si="620"/>
        <v>0</v>
      </c>
      <c r="AK525" s="78" t="b">
        <f t="shared" si="620"/>
        <v>0</v>
      </c>
      <c r="AL525" s="78" t="b">
        <f t="shared" si="620"/>
        <v>0</v>
      </c>
      <c r="AM525" s="78" t="b">
        <f t="shared" si="620"/>
        <v>0</v>
      </c>
      <c r="AN525" s="78" t="b">
        <f t="shared" si="620"/>
        <v>0</v>
      </c>
      <c r="AO525" s="78" t="b">
        <f t="shared" si="620"/>
        <v>0</v>
      </c>
      <c r="AP525" s="78"/>
    </row>
    <row r="526" spans="4:42" x14ac:dyDescent="0.35">
      <c r="D526" s="96"/>
      <c r="E526" s="96"/>
      <c r="G526" s="77">
        <f t="shared" si="603"/>
        <v>0</v>
      </c>
      <c r="H526" s="78">
        <f t="shared" si="604"/>
        <v>0</v>
      </c>
      <c r="I526" s="77">
        <f t="shared" si="605"/>
        <v>0</v>
      </c>
      <c r="J526" s="78">
        <f t="shared" si="606"/>
        <v>0</v>
      </c>
      <c r="K526" s="78" t="str">
        <f t="shared" si="607"/>
        <v>1900-01-00 00:0:00</v>
      </c>
      <c r="L526" s="78" t="str">
        <f t="shared" si="608"/>
        <v>1900-01-00 00:0:00</v>
      </c>
      <c r="M526" s="79">
        <f t="shared" si="609"/>
        <v>0</v>
      </c>
      <c r="N526">
        <f t="shared" si="610"/>
        <v>1</v>
      </c>
      <c r="O526" t="str">
        <f>IFERROR(_xlfn.XLOOKUP(A526,HC!A:A,HC!C:C),"")</f>
        <v>Workforce</v>
      </c>
      <c r="R526" s="78" t="b">
        <f t="shared" ref="R526:AO526" si="621">IFERROR(IF($B526=$D$1,IF(AND($K526&lt;R$1,$L526&lt;R$1),"",IF(AND($K526&gt;S$1,$L526&gt;S$1),"",IF(AND($K526&lt;R$1,$L526&lt;=S$1),$L526-R$1,IF(AND($K526&gt;=R$1,$L526&gt;S$1),S$1-$K526,IF(AND($K526&gt;=R$1,$L526&lt;=S$1),$L526-$K526,IF(AND($K526&lt;R$1,$L526&gt;S$1),S$1-R$1,""))))))),"")</f>
        <v>0</v>
      </c>
      <c r="S526" s="78" t="b">
        <f t="shared" si="621"/>
        <v>0</v>
      </c>
      <c r="T526" s="78" t="b">
        <f t="shared" si="621"/>
        <v>0</v>
      </c>
      <c r="U526" s="78" t="b">
        <f t="shared" si="621"/>
        <v>0</v>
      </c>
      <c r="V526" s="78" t="b">
        <f t="shared" si="621"/>
        <v>0</v>
      </c>
      <c r="W526" s="78" t="b">
        <f t="shared" si="621"/>
        <v>0</v>
      </c>
      <c r="X526" s="78" t="b">
        <f t="shared" si="621"/>
        <v>0</v>
      </c>
      <c r="Y526" s="78" t="b">
        <f t="shared" si="621"/>
        <v>0</v>
      </c>
      <c r="Z526" s="78" t="b">
        <f t="shared" si="621"/>
        <v>0</v>
      </c>
      <c r="AA526" s="78" t="b">
        <f t="shared" si="621"/>
        <v>0</v>
      </c>
      <c r="AB526" s="78" t="b">
        <f t="shared" si="621"/>
        <v>0</v>
      </c>
      <c r="AC526" s="78" t="b">
        <f t="shared" si="621"/>
        <v>0</v>
      </c>
      <c r="AD526" s="78" t="b">
        <f t="shared" si="621"/>
        <v>0</v>
      </c>
      <c r="AE526" s="78" t="b">
        <f t="shared" si="621"/>
        <v>0</v>
      </c>
      <c r="AF526" s="78" t="b">
        <f t="shared" si="621"/>
        <v>0</v>
      </c>
      <c r="AG526" s="78" t="b">
        <f t="shared" si="621"/>
        <v>0</v>
      </c>
      <c r="AH526" s="78" t="b">
        <f t="shared" si="621"/>
        <v>0</v>
      </c>
      <c r="AI526" s="78" t="b">
        <f t="shared" si="621"/>
        <v>0</v>
      </c>
      <c r="AJ526" s="78" t="b">
        <f t="shared" si="621"/>
        <v>0</v>
      </c>
      <c r="AK526" s="78" t="b">
        <f t="shared" si="621"/>
        <v>0</v>
      </c>
      <c r="AL526" s="78" t="b">
        <f t="shared" si="621"/>
        <v>0</v>
      </c>
      <c r="AM526" s="78" t="b">
        <f t="shared" si="621"/>
        <v>0</v>
      </c>
      <c r="AN526" s="78" t="b">
        <f t="shared" si="621"/>
        <v>0</v>
      </c>
      <c r="AO526" s="78" t="b">
        <f t="shared" si="621"/>
        <v>0</v>
      </c>
      <c r="AP526" s="78"/>
    </row>
    <row r="527" spans="4:42" x14ac:dyDescent="0.35">
      <c r="D527" s="96"/>
      <c r="E527" s="96"/>
      <c r="G527" s="77">
        <f t="shared" si="603"/>
        <v>0</v>
      </c>
      <c r="H527" s="78">
        <f t="shared" si="604"/>
        <v>0</v>
      </c>
      <c r="I527" s="77">
        <f t="shared" si="605"/>
        <v>0</v>
      </c>
      <c r="J527" s="78">
        <f t="shared" si="606"/>
        <v>0</v>
      </c>
      <c r="K527" s="78" t="str">
        <f t="shared" si="607"/>
        <v>1900-01-00 00:0:00</v>
      </c>
      <c r="L527" s="78" t="str">
        <f t="shared" si="608"/>
        <v>1900-01-00 00:0:00</v>
      </c>
      <c r="M527" s="79">
        <f t="shared" si="609"/>
        <v>0</v>
      </c>
      <c r="N527">
        <f t="shared" si="610"/>
        <v>1</v>
      </c>
      <c r="O527" t="str">
        <f>IFERROR(_xlfn.XLOOKUP(A527,HC!A:A,HC!C:C),"")</f>
        <v>Workforce</v>
      </c>
      <c r="R527" s="78" t="b">
        <f t="shared" ref="R527:AO527" si="622">IFERROR(IF($B527=$D$1,IF(AND($K527&lt;R$1,$L527&lt;R$1),"",IF(AND($K527&gt;S$1,$L527&gt;S$1),"",IF(AND($K527&lt;R$1,$L527&lt;=S$1),$L527-R$1,IF(AND($K527&gt;=R$1,$L527&gt;S$1),S$1-$K527,IF(AND($K527&gt;=R$1,$L527&lt;=S$1),$L527-$K527,IF(AND($K527&lt;R$1,$L527&gt;S$1),S$1-R$1,""))))))),"")</f>
        <v>0</v>
      </c>
      <c r="S527" s="78" t="b">
        <f t="shared" si="622"/>
        <v>0</v>
      </c>
      <c r="T527" s="78" t="b">
        <f t="shared" si="622"/>
        <v>0</v>
      </c>
      <c r="U527" s="78" t="b">
        <f t="shared" si="622"/>
        <v>0</v>
      </c>
      <c r="V527" s="78" t="b">
        <f t="shared" si="622"/>
        <v>0</v>
      </c>
      <c r="W527" s="78" t="b">
        <f t="shared" si="622"/>
        <v>0</v>
      </c>
      <c r="X527" s="78" t="b">
        <f t="shared" si="622"/>
        <v>0</v>
      </c>
      <c r="Y527" s="78" t="b">
        <f t="shared" si="622"/>
        <v>0</v>
      </c>
      <c r="Z527" s="78" t="b">
        <f t="shared" si="622"/>
        <v>0</v>
      </c>
      <c r="AA527" s="78" t="b">
        <f t="shared" si="622"/>
        <v>0</v>
      </c>
      <c r="AB527" s="78" t="b">
        <f t="shared" si="622"/>
        <v>0</v>
      </c>
      <c r="AC527" s="78" t="b">
        <f t="shared" si="622"/>
        <v>0</v>
      </c>
      <c r="AD527" s="78" t="b">
        <f t="shared" si="622"/>
        <v>0</v>
      </c>
      <c r="AE527" s="78" t="b">
        <f t="shared" si="622"/>
        <v>0</v>
      </c>
      <c r="AF527" s="78" t="b">
        <f t="shared" si="622"/>
        <v>0</v>
      </c>
      <c r="AG527" s="78" t="b">
        <f t="shared" si="622"/>
        <v>0</v>
      </c>
      <c r="AH527" s="78" t="b">
        <f t="shared" si="622"/>
        <v>0</v>
      </c>
      <c r="AI527" s="78" t="b">
        <f t="shared" si="622"/>
        <v>0</v>
      </c>
      <c r="AJ527" s="78" t="b">
        <f t="shared" si="622"/>
        <v>0</v>
      </c>
      <c r="AK527" s="78" t="b">
        <f t="shared" si="622"/>
        <v>0</v>
      </c>
      <c r="AL527" s="78" t="b">
        <f t="shared" si="622"/>
        <v>0</v>
      </c>
      <c r="AM527" s="78" t="b">
        <f t="shared" si="622"/>
        <v>0</v>
      </c>
      <c r="AN527" s="78" t="b">
        <f t="shared" si="622"/>
        <v>0</v>
      </c>
      <c r="AO527" s="78" t="b">
        <f t="shared" si="622"/>
        <v>0</v>
      </c>
      <c r="AP527" s="78"/>
    </row>
    <row r="528" spans="4:42" x14ac:dyDescent="0.35">
      <c r="D528" s="96"/>
      <c r="E528" s="96"/>
      <c r="G528" s="77">
        <f t="shared" si="603"/>
        <v>0</v>
      </c>
      <c r="H528" s="78">
        <f t="shared" si="604"/>
        <v>0</v>
      </c>
      <c r="I528" s="77">
        <f t="shared" si="605"/>
        <v>0</v>
      </c>
      <c r="J528" s="78">
        <f t="shared" si="606"/>
        <v>0</v>
      </c>
      <c r="K528" s="78" t="str">
        <f t="shared" si="607"/>
        <v>1900-01-00 00:0:00</v>
      </c>
      <c r="L528" s="78" t="str">
        <f t="shared" si="608"/>
        <v>1900-01-00 00:0:00</v>
      </c>
      <c r="M528" s="79">
        <f t="shared" si="609"/>
        <v>0</v>
      </c>
      <c r="N528">
        <f t="shared" si="610"/>
        <v>1</v>
      </c>
      <c r="O528" t="str">
        <f>IFERROR(_xlfn.XLOOKUP(A528,HC!A:A,HC!C:C),"")</f>
        <v>Workforce</v>
      </c>
      <c r="R528" s="78" t="b">
        <f t="shared" ref="R528:AO528" si="623">IFERROR(IF($B528=$D$1,IF(AND($K528&lt;R$1,$L528&lt;R$1),"",IF(AND($K528&gt;S$1,$L528&gt;S$1),"",IF(AND($K528&lt;R$1,$L528&lt;=S$1),$L528-R$1,IF(AND($K528&gt;=R$1,$L528&gt;S$1),S$1-$K528,IF(AND($K528&gt;=R$1,$L528&lt;=S$1),$L528-$K528,IF(AND($K528&lt;R$1,$L528&gt;S$1),S$1-R$1,""))))))),"")</f>
        <v>0</v>
      </c>
      <c r="S528" s="78" t="b">
        <f t="shared" si="623"/>
        <v>0</v>
      </c>
      <c r="T528" s="78" t="b">
        <f t="shared" si="623"/>
        <v>0</v>
      </c>
      <c r="U528" s="78" t="b">
        <f t="shared" si="623"/>
        <v>0</v>
      </c>
      <c r="V528" s="78" t="b">
        <f t="shared" si="623"/>
        <v>0</v>
      </c>
      <c r="W528" s="78" t="b">
        <f t="shared" si="623"/>
        <v>0</v>
      </c>
      <c r="X528" s="78" t="b">
        <f t="shared" si="623"/>
        <v>0</v>
      </c>
      <c r="Y528" s="78" t="b">
        <f t="shared" si="623"/>
        <v>0</v>
      </c>
      <c r="Z528" s="78" t="b">
        <f t="shared" si="623"/>
        <v>0</v>
      </c>
      <c r="AA528" s="78" t="b">
        <f t="shared" si="623"/>
        <v>0</v>
      </c>
      <c r="AB528" s="78" t="b">
        <f t="shared" si="623"/>
        <v>0</v>
      </c>
      <c r="AC528" s="78" t="b">
        <f t="shared" si="623"/>
        <v>0</v>
      </c>
      <c r="AD528" s="78" t="b">
        <f t="shared" si="623"/>
        <v>0</v>
      </c>
      <c r="AE528" s="78" t="b">
        <f t="shared" si="623"/>
        <v>0</v>
      </c>
      <c r="AF528" s="78" t="b">
        <f t="shared" si="623"/>
        <v>0</v>
      </c>
      <c r="AG528" s="78" t="b">
        <f t="shared" si="623"/>
        <v>0</v>
      </c>
      <c r="AH528" s="78" t="b">
        <f t="shared" si="623"/>
        <v>0</v>
      </c>
      <c r="AI528" s="78" t="b">
        <f t="shared" si="623"/>
        <v>0</v>
      </c>
      <c r="AJ528" s="78" t="b">
        <f t="shared" si="623"/>
        <v>0</v>
      </c>
      <c r="AK528" s="78" t="b">
        <f t="shared" si="623"/>
        <v>0</v>
      </c>
      <c r="AL528" s="78" t="b">
        <f t="shared" si="623"/>
        <v>0</v>
      </c>
      <c r="AM528" s="78" t="b">
        <f t="shared" si="623"/>
        <v>0</v>
      </c>
      <c r="AN528" s="78" t="b">
        <f t="shared" si="623"/>
        <v>0</v>
      </c>
      <c r="AO528" s="78" t="b">
        <f t="shared" si="623"/>
        <v>0</v>
      </c>
      <c r="AP528" s="78"/>
    </row>
    <row r="529" spans="4:42" x14ac:dyDescent="0.35">
      <c r="D529" s="96"/>
      <c r="E529" s="96"/>
      <c r="G529" s="77">
        <f t="shared" si="603"/>
        <v>0</v>
      </c>
      <c r="H529" s="78">
        <f t="shared" si="604"/>
        <v>0</v>
      </c>
      <c r="I529" s="77">
        <f t="shared" si="605"/>
        <v>0</v>
      </c>
      <c r="J529" s="78">
        <f t="shared" si="606"/>
        <v>0</v>
      </c>
      <c r="K529" s="78" t="str">
        <f t="shared" si="607"/>
        <v>1900-01-00 00:0:00</v>
      </c>
      <c r="L529" s="78" t="str">
        <f t="shared" si="608"/>
        <v>1900-01-00 00:0:00</v>
      </c>
      <c r="M529" s="79">
        <f t="shared" si="609"/>
        <v>0</v>
      </c>
      <c r="N529">
        <f t="shared" si="610"/>
        <v>1</v>
      </c>
      <c r="O529" t="str">
        <f>IFERROR(_xlfn.XLOOKUP(A529,HC!A:A,HC!C:C),"")</f>
        <v>Workforce</v>
      </c>
      <c r="R529" s="78" t="b">
        <f t="shared" ref="R529:AO529" si="624">IFERROR(IF($B529=$D$1,IF(AND($K529&lt;R$1,$L529&lt;R$1),"",IF(AND($K529&gt;S$1,$L529&gt;S$1),"",IF(AND($K529&lt;R$1,$L529&lt;=S$1),$L529-R$1,IF(AND($K529&gt;=R$1,$L529&gt;S$1),S$1-$K529,IF(AND($K529&gt;=R$1,$L529&lt;=S$1),$L529-$K529,IF(AND($K529&lt;R$1,$L529&gt;S$1),S$1-R$1,""))))))),"")</f>
        <v>0</v>
      </c>
      <c r="S529" s="78" t="b">
        <f t="shared" si="624"/>
        <v>0</v>
      </c>
      <c r="T529" s="78" t="b">
        <f t="shared" si="624"/>
        <v>0</v>
      </c>
      <c r="U529" s="78" t="b">
        <f t="shared" si="624"/>
        <v>0</v>
      </c>
      <c r="V529" s="78" t="b">
        <f t="shared" si="624"/>
        <v>0</v>
      </c>
      <c r="W529" s="78" t="b">
        <f t="shared" si="624"/>
        <v>0</v>
      </c>
      <c r="X529" s="78" t="b">
        <f t="shared" si="624"/>
        <v>0</v>
      </c>
      <c r="Y529" s="78" t="b">
        <f t="shared" si="624"/>
        <v>0</v>
      </c>
      <c r="Z529" s="78" t="b">
        <f t="shared" si="624"/>
        <v>0</v>
      </c>
      <c r="AA529" s="78" t="b">
        <f t="shared" si="624"/>
        <v>0</v>
      </c>
      <c r="AB529" s="78" t="b">
        <f t="shared" si="624"/>
        <v>0</v>
      </c>
      <c r="AC529" s="78" t="b">
        <f t="shared" si="624"/>
        <v>0</v>
      </c>
      <c r="AD529" s="78" t="b">
        <f t="shared" si="624"/>
        <v>0</v>
      </c>
      <c r="AE529" s="78" t="b">
        <f t="shared" si="624"/>
        <v>0</v>
      </c>
      <c r="AF529" s="78" t="b">
        <f t="shared" si="624"/>
        <v>0</v>
      </c>
      <c r="AG529" s="78" t="b">
        <f t="shared" si="624"/>
        <v>0</v>
      </c>
      <c r="AH529" s="78" t="b">
        <f t="shared" si="624"/>
        <v>0</v>
      </c>
      <c r="AI529" s="78" t="b">
        <f t="shared" si="624"/>
        <v>0</v>
      </c>
      <c r="AJ529" s="78" t="b">
        <f t="shared" si="624"/>
        <v>0</v>
      </c>
      <c r="AK529" s="78" t="b">
        <f t="shared" si="624"/>
        <v>0</v>
      </c>
      <c r="AL529" s="78" t="b">
        <f t="shared" si="624"/>
        <v>0</v>
      </c>
      <c r="AM529" s="78" t="b">
        <f t="shared" si="624"/>
        <v>0</v>
      </c>
      <c r="AN529" s="78" t="b">
        <f t="shared" si="624"/>
        <v>0</v>
      </c>
      <c r="AO529" s="78" t="b">
        <f t="shared" si="624"/>
        <v>0</v>
      </c>
      <c r="AP529" s="78"/>
    </row>
    <row r="530" spans="4:42" x14ac:dyDescent="0.35">
      <c r="D530" s="96"/>
      <c r="E530" s="96"/>
      <c r="G530" s="77">
        <f t="shared" si="603"/>
        <v>0</v>
      </c>
      <c r="H530" s="78">
        <f t="shared" si="604"/>
        <v>0</v>
      </c>
      <c r="I530" s="77">
        <f t="shared" si="605"/>
        <v>0</v>
      </c>
      <c r="J530" s="78">
        <f t="shared" si="606"/>
        <v>0</v>
      </c>
      <c r="K530" s="78" t="str">
        <f t="shared" si="607"/>
        <v>1900-01-00 00:0:00</v>
      </c>
      <c r="L530" s="78" t="str">
        <f t="shared" si="608"/>
        <v>1900-01-00 00:0:00</v>
      </c>
      <c r="M530" s="79">
        <f t="shared" si="609"/>
        <v>0</v>
      </c>
      <c r="N530">
        <f t="shared" si="610"/>
        <v>1</v>
      </c>
      <c r="O530" t="str">
        <f>IFERROR(_xlfn.XLOOKUP(A530,HC!A:A,HC!C:C),"")</f>
        <v>Workforce</v>
      </c>
      <c r="R530" s="78" t="b">
        <f t="shared" ref="R530:AO530" si="625">IFERROR(IF($B530=$D$1,IF(AND($K530&lt;R$1,$L530&lt;R$1),"",IF(AND($K530&gt;S$1,$L530&gt;S$1),"",IF(AND($K530&lt;R$1,$L530&lt;=S$1),$L530-R$1,IF(AND($K530&gt;=R$1,$L530&gt;S$1),S$1-$K530,IF(AND($K530&gt;=R$1,$L530&lt;=S$1),$L530-$K530,IF(AND($K530&lt;R$1,$L530&gt;S$1),S$1-R$1,""))))))),"")</f>
        <v>0</v>
      </c>
      <c r="S530" s="78" t="b">
        <f t="shared" si="625"/>
        <v>0</v>
      </c>
      <c r="T530" s="78" t="b">
        <f t="shared" si="625"/>
        <v>0</v>
      </c>
      <c r="U530" s="78" t="b">
        <f t="shared" si="625"/>
        <v>0</v>
      </c>
      <c r="V530" s="78" t="b">
        <f t="shared" si="625"/>
        <v>0</v>
      </c>
      <c r="W530" s="78" t="b">
        <f t="shared" si="625"/>
        <v>0</v>
      </c>
      <c r="X530" s="78" t="b">
        <f t="shared" si="625"/>
        <v>0</v>
      </c>
      <c r="Y530" s="78" t="b">
        <f t="shared" si="625"/>
        <v>0</v>
      </c>
      <c r="Z530" s="78" t="b">
        <f t="shared" si="625"/>
        <v>0</v>
      </c>
      <c r="AA530" s="78" t="b">
        <f t="shared" si="625"/>
        <v>0</v>
      </c>
      <c r="AB530" s="78" t="b">
        <f t="shared" si="625"/>
        <v>0</v>
      </c>
      <c r="AC530" s="78" t="b">
        <f t="shared" si="625"/>
        <v>0</v>
      </c>
      <c r="AD530" s="78" t="b">
        <f t="shared" si="625"/>
        <v>0</v>
      </c>
      <c r="AE530" s="78" t="b">
        <f t="shared" si="625"/>
        <v>0</v>
      </c>
      <c r="AF530" s="78" t="b">
        <f t="shared" si="625"/>
        <v>0</v>
      </c>
      <c r="AG530" s="78" t="b">
        <f t="shared" si="625"/>
        <v>0</v>
      </c>
      <c r="AH530" s="78" t="b">
        <f t="shared" si="625"/>
        <v>0</v>
      </c>
      <c r="AI530" s="78" t="b">
        <f t="shared" si="625"/>
        <v>0</v>
      </c>
      <c r="AJ530" s="78" t="b">
        <f t="shared" si="625"/>
        <v>0</v>
      </c>
      <c r="AK530" s="78" t="b">
        <f t="shared" si="625"/>
        <v>0</v>
      </c>
      <c r="AL530" s="78" t="b">
        <f t="shared" si="625"/>
        <v>0</v>
      </c>
      <c r="AM530" s="78" t="b">
        <f t="shared" si="625"/>
        <v>0</v>
      </c>
      <c r="AN530" s="78" t="b">
        <f t="shared" si="625"/>
        <v>0</v>
      </c>
      <c r="AO530" s="78" t="b">
        <f t="shared" si="625"/>
        <v>0</v>
      </c>
      <c r="AP530" s="78"/>
    </row>
    <row r="531" spans="4:42" x14ac:dyDescent="0.35">
      <c r="D531" s="96"/>
      <c r="E531" s="96"/>
      <c r="G531" s="77">
        <f t="shared" si="603"/>
        <v>0</v>
      </c>
      <c r="H531" s="78">
        <f t="shared" si="604"/>
        <v>0</v>
      </c>
      <c r="I531" s="77">
        <f t="shared" si="605"/>
        <v>0</v>
      </c>
      <c r="J531" s="78">
        <f t="shared" si="606"/>
        <v>0</v>
      </c>
      <c r="K531" s="78" t="str">
        <f t="shared" si="607"/>
        <v>1900-01-00 00:0:00</v>
      </c>
      <c r="L531" s="78" t="str">
        <f t="shared" si="608"/>
        <v>1900-01-00 00:0:00</v>
      </c>
      <c r="M531" s="79">
        <f t="shared" si="609"/>
        <v>0</v>
      </c>
      <c r="N531">
        <f t="shared" si="610"/>
        <v>1</v>
      </c>
      <c r="O531" t="str">
        <f>IFERROR(_xlfn.XLOOKUP(A531,HC!A:A,HC!C:C),"")</f>
        <v>Workforce</v>
      </c>
      <c r="R531" s="78" t="b">
        <f t="shared" ref="R531:AO531" si="626">IFERROR(IF($B531=$D$1,IF(AND($K531&lt;R$1,$L531&lt;R$1),"",IF(AND($K531&gt;S$1,$L531&gt;S$1),"",IF(AND($K531&lt;R$1,$L531&lt;=S$1),$L531-R$1,IF(AND($K531&gt;=R$1,$L531&gt;S$1),S$1-$K531,IF(AND($K531&gt;=R$1,$L531&lt;=S$1),$L531-$K531,IF(AND($K531&lt;R$1,$L531&gt;S$1),S$1-R$1,""))))))),"")</f>
        <v>0</v>
      </c>
      <c r="S531" s="78" t="b">
        <f t="shared" si="626"/>
        <v>0</v>
      </c>
      <c r="T531" s="78" t="b">
        <f t="shared" si="626"/>
        <v>0</v>
      </c>
      <c r="U531" s="78" t="b">
        <f t="shared" si="626"/>
        <v>0</v>
      </c>
      <c r="V531" s="78" t="b">
        <f t="shared" si="626"/>
        <v>0</v>
      </c>
      <c r="W531" s="78" t="b">
        <f t="shared" si="626"/>
        <v>0</v>
      </c>
      <c r="X531" s="78" t="b">
        <f t="shared" si="626"/>
        <v>0</v>
      </c>
      <c r="Y531" s="78" t="b">
        <f t="shared" si="626"/>
        <v>0</v>
      </c>
      <c r="Z531" s="78" t="b">
        <f t="shared" si="626"/>
        <v>0</v>
      </c>
      <c r="AA531" s="78" t="b">
        <f t="shared" si="626"/>
        <v>0</v>
      </c>
      <c r="AB531" s="78" t="b">
        <f t="shared" si="626"/>
        <v>0</v>
      </c>
      <c r="AC531" s="78" t="b">
        <f t="shared" si="626"/>
        <v>0</v>
      </c>
      <c r="AD531" s="78" t="b">
        <f t="shared" si="626"/>
        <v>0</v>
      </c>
      <c r="AE531" s="78" t="b">
        <f t="shared" si="626"/>
        <v>0</v>
      </c>
      <c r="AF531" s="78" t="b">
        <f t="shared" si="626"/>
        <v>0</v>
      </c>
      <c r="AG531" s="78" t="b">
        <f t="shared" si="626"/>
        <v>0</v>
      </c>
      <c r="AH531" s="78" t="b">
        <f t="shared" si="626"/>
        <v>0</v>
      </c>
      <c r="AI531" s="78" t="b">
        <f t="shared" si="626"/>
        <v>0</v>
      </c>
      <c r="AJ531" s="78" t="b">
        <f t="shared" si="626"/>
        <v>0</v>
      </c>
      <c r="AK531" s="78" t="b">
        <f t="shared" si="626"/>
        <v>0</v>
      </c>
      <c r="AL531" s="78" t="b">
        <f t="shared" si="626"/>
        <v>0</v>
      </c>
      <c r="AM531" s="78" t="b">
        <f t="shared" si="626"/>
        <v>0</v>
      </c>
      <c r="AN531" s="78" t="b">
        <f t="shared" si="626"/>
        <v>0</v>
      </c>
      <c r="AO531" s="78" t="b">
        <f t="shared" si="626"/>
        <v>0</v>
      </c>
      <c r="AP531" s="78"/>
    </row>
    <row r="532" spans="4:42" x14ac:dyDescent="0.35">
      <c r="D532" s="96"/>
      <c r="E532" s="96"/>
      <c r="G532" s="77">
        <f t="shared" si="603"/>
        <v>0</v>
      </c>
      <c r="H532" s="78">
        <f t="shared" si="604"/>
        <v>0</v>
      </c>
      <c r="I532" s="77">
        <f t="shared" si="605"/>
        <v>0</v>
      </c>
      <c r="J532" s="78">
        <f t="shared" si="606"/>
        <v>0</v>
      </c>
      <c r="K532" s="78" t="str">
        <f t="shared" si="607"/>
        <v>1900-01-00 00:0:00</v>
      </c>
      <c r="L532" s="78" t="str">
        <f t="shared" si="608"/>
        <v>1900-01-00 00:0:00</v>
      </c>
      <c r="M532" s="79">
        <f t="shared" si="609"/>
        <v>0</v>
      </c>
      <c r="N532">
        <f t="shared" si="610"/>
        <v>1</v>
      </c>
      <c r="O532" t="str">
        <f>IFERROR(_xlfn.XLOOKUP(A532,HC!A:A,HC!C:C),"")</f>
        <v>Workforce</v>
      </c>
      <c r="R532" s="78" t="b">
        <f t="shared" ref="R532:AO532" si="627">IFERROR(IF($B532=$D$1,IF(AND($K532&lt;R$1,$L532&lt;R$1),"",IF(AND($K532&gt;S$1,$L532&gt;S$1),"",IF(AND($K532&lt;R$1,$L532&lt;=S$1),$L532-R$1,IF(AND($K532&gt;=R$1,$L532&gt;S$1),S$1-$K532,IF(AND($K532&gt;=R$1,$L532&lt;=S$1),$L532-$K532,IF(AND($K532&lt;R$1,$L532&gt;S$1),S$1-R$1,""))))))),"")</f>
        <v>0</v>
      </c>
      <c r="S532" s="78" t="b">
        <f t="shared" si="627"/>
        <v>0</v>
      </c>
      <c r="T532" s="78" t="b">
        <f t="shared" si="627"/>
        <v>0</v>
      </c>
      <c r="U532" s="78" t="b">
        <f t="shared" si="627"/>
        <v>0</v>
      </c>
      <c r="V532" s="78" t="b">
        <f t="shared" si="627"/>
        <v>0</v>
      </c>
      <c r="W532" s="78" t="b">
        <f t="shared" si="627"/>
        <v>0</v>
      </c>
      <c r="X532" s="78" t="b">
        <f t="shared" si="627"/>
        <v>0</v>
      </c>
      <c r="Y532" s="78" t="b">
        <f t="shared" si="627"/>
        <v>0</v>
      </c>
      <c r="Z532" s="78" t="b">
        <f t="shared" si="627"/>
        <v>0</v>
      </c>
      <c r="AA532" s="78" t="b">
        <f t="shared" si="627"/>
        <v>0</v>
      </c>
      <c r="AB532" s="78" t="b">
        <f t="shared" si="627"/>
        <v>0</v>
      </c>
      <c r="AC532" s="78" t="b">
        <f t="shared" si="627"/>
        <v>0</v>
      </c>
      <c r="AD532" s="78" t="b">
        <f t="shared" si="627"/>
        <v>0</v>
      </c>
      <c r="AE532" s="78" t="b">
        <f t="shared" si="627"/>
        <v>0</v>
      </c>
      <c r="AF532" s="78" t="b">
        <f t="shared" si="627"/>
        <v>0</v>
      </c>
      <c r="AG532" s="78" t="b">
        <f t="shared" si="627"/>
        <v>0</v>
      </c>
      <c r="AH532" s="78" t="b">
        <f t="shared" si="627"/>
        <v>0</v>
      </c>
      <c r="AI532" s="78" t="b">
        <f t="shared" si="627"/>
        <v>0</v>
      </c>
      <c r="AJ532" s="78" t="b">
        <f t="shared" si="627"/>
        <v>0</v>
      </c>
      <c r="AK532" s="78" t="b">
        <f t="shared" si="627"/>
        <v>0</v>
      </c>
      <c r="AL532" s="78" t="b">
        <f t="shared" si="627"/>
        <v>0</v>
      </c>
      <c r="AM532" s="78" t="b">
        <f t="shared" si="627"/>
        <v>0</v>
      </c>
      <c r="AN532" s="78" t="b">
        <f t="shared" si="627"/>
        <v>0</v>
      </c>
      <c r="AO532" s="78" t="b">
        <f t="shared" si="627"/>
        <v>0</v>
      </c>
      <c r="AP532" s="78"/>
    </row>
    <row r="533" spans="4:42" x14ac:dyDescent="0.35">
      <c r="D533" s="96"/>
      <c r="E533" s="96"/>
      <c r="G533" s="77">
        <f t="shared" si="603"/>
        <v>0</v>
      </c>
      <c r="H533" s="78">
        <f t="shared" si="604"/>
        <v>0</v>
      </c>
      <c r="I533" s="77">
        <f t="shared" si="605"/>
        <v>0</v>
      </c>
      <c r="J533" s="78">
        <f t="shared" si="606"/>
        <v>0</v>
      </c>
      <c r="K533" s="78" t="str">
        <f t="shared" si="607"/>
        <v>1900-01-00 00:0:00</v>
      </c>
      <c r="L533" s="78" t="str">
        <f t="shared" si="608"/>
        <v>1900-01-00 00:0:00</v>
      </c>
      <c r="M533" s="79">
        <f t="shared" si="609"/>
        <v>0</v>
      </c>
      <c r="N533">
        <f t="shared" si="610"/>
        <v>1</v>
      </c>
      <c r="O533" t="str">
        <f>IFERROR(_xlfn.XLOOKUP(A533,HC!A:A,HC!C:C),"")</f>
        <v>Workforce</v>
      </c>
      <c r="R533" s="78" t="b">
        <f t="shared" ref="R533:AO533" si="628">IFERROR(IF($B533=$D$1,IF(AND($K533&lt;R$1,$L533&lt;R$1),"",IF(AND($K533&gt;S$1,$L533&gt;S$1),"",IF(AND($K533&lt;R$1,$L533&lt;=S$1),$L533-R$1,IF(AND($K533&gt;=R$1,$L533&gt;S$1),S$1-$K533,IF(AND($K533&gt;=R$1,$L533&lt;=S$1),$L533-$K533,IF(AND($K533&lt;R$1,$L533&gt;S$1),S$1-R$1,""))))))),"")</f>
        <v>0</v>
      </c>
      <c r="S533" s="78" t="b">
        <f t="shared" si="628"/>
        <v>0</v>
      </c>
      <c r="T533" s="78" t="b">
        <f t="shared" si="628"/>
        <v>0</v>
      </c>
      <c r="U533" s="78" t="b">
        <f t="shared" si="628"/>
        <v>0</v>
      </c>
      <c r="V533" s="78" t="b">
        <f t="shared" si="628"/>
        <v>0</v>
      </c>
      <c r="W533" s="78" t="b">
        <f t="shared" si="628"/>
        <v>0</v>
      </c>
      <c r="X533" s="78" t="b">
        <f t="shared" si="628"/>
        <v>0</v>
      </c>
      <c r="Y533" s="78" t="b">
        <f t="shared" si="628"/>
        <v>0</v>
      </c>
      <c r="Z533" s="78" t="b">
        <f t="shared" si="628"/>
        <v>0</v>
      </c>
      <c r="AA533" s="78" t="b">
        <f t="shared" si="628"/>
        <v>0</v>
      </c>
      <c r="AB533" s="78" t="b">
        <f t="shared" si="628"/>
        <v>0</v>
      </c>
      <c r="AC533" s="78" t="b">
        <f t="shared" si="628"/>
        <v>0</v>
      </c>
      <c r="AD533" s="78" t="b">
        <f t="shared" si="628"/>
        <v>0</v>
      </c>
      <c r="AE533" s="78" t="b">
        <f t="shared" si="628"/>
        <v>0</v>
      </c>
      <c r="AF533" s="78" t="b">
        <f t="shared" si="628"/>
        <v>0</v>
      </c>
      <c r="AG533" s="78" t="b">
        <f t="shared" si="628"/>
        <v>0</v>
      </c>
      <c r="AH533" s="78" t="b">
        <f t="shared" si="628"/>
        <v>0</v>
      </c>
      <c r="AI533" s="78" t="b">
        <f t="shared" si="628"/>
        <v>0</v>
      </c>
      <c r="AJ533" s="78" t="b">
        <f t="shared" si="628"/>
        <v>0</v>
      </c>
      <c r="AK533" s="78" t="b">
        <f t="shared" si="628"/>
        <v>0</v>
      </c>
      <c r="AL533" s="78" t="b">
        <f t="shared" si="628"/>
        <v>0</v>
      </c>
      <c r="AM533" s="78" t="b">
        <f t="shared" si="628"/>
        <v>0</v>
      </c>
      <c r="AN533" s="78" t="b">
        <f t="shared" si="628"/>
        <v>0</v>
      </c>
      <c r="AO533" s="78" t="b">
        <f t="shared" si="628"/>
        <v>0</v>
      </c>
      <c r="AP533" s="78"/>
    </row>
    <row r="534" spans="4:42" x14ac:dyDescent="0.35">
      <c r="D534" s="96"/>
      <c r="E534" s="96"/>
      <c r="G534" s="77">
        <f t="shared" si="603"/>
        <v>0</v>
      </c>
      <c r="H534" s="78">
        <f t="shared" si="604"/>
        <v>0</v>
      </c>
      <c r="I534" s="77">
        <f t="shared" si="605"/>
        <v>0</v>
      </c>
      <c r="J534" s="78">
        <f t="shared" si="606"/>
        <v>0</v>
      </c>
      <c r="K534" s="78" t="str">
        <f t="shared" si="607"/>
        <v>1900-01-00 00:0:00</v>
      </c>
      <c r="L534" s="78" t="str">
        <f t="shared" si="608"/>
        <v>1900-01-00 00:0:00</v>
      </c>
      <c r="M534" s="79">
        <f t="shared" si="609"/>
        <v>0</v>
      </c>
      <c r="N534">
        <f t="shared" si="610"/>
        <v>1</v>
      </c>
      <c r="O534" t="str">
        <f>IFERROR(_xlfn.XLOOKUP(A534,HC!A:A,HC!C:C),"")</f>
        <v>Workforce</v>
      </c>
      <c r="R534" s="78" t="b">
        <f t="shared" ref="R534:AO534" si="629">IFERROR(IF($B534=$D$1,IF(AND($K534&lt;R$1,$L534&lt;R$1),"",IF(AND($K534&gt;S$1,$L534&gt;S$1),"",IF(AND($K534&lt;R$1,$L534&lt;=S$1),$L534-R$1,IF(AND($K534&gt;=R$1,$L534&gt;S$1),S$1-$K534,IF(AND($K534&gt;=R$1,$L534&lt;=S$1),$L534-$K534,IF(AND($K534&lt;R$1,$L534&gt;S$1),S$1-R$1,""))))))),"")</f>
        <v>0</v>
      </c>
      <c r="S534" s="78" t="b">
        <f t="shared" si="629"/>
        <v>0</v>
      </c>
      <c r="T534" s="78" t="b">
        <f t="shared" si="629"/>
        <v>0</v>
      </c>
      <c r="U534" s="78" t="b">
        <f t="shared" si="629"/>
        <v>0</v>
      </c>
      <c r="V534" s="78" t="b">
        <f t="shared" si="629"/>
        <v>0</v>
      </c>
      <c r="W534" s="78" t="b">
        <f t="shared" si="629"/>
        <v>0</v>
      </c>
      <c r="X534" s="78" t="b">
        <f t="shared" si="629"/>
        <v>0</v>
      </c>
      <c r="Y534" s="78" t="b">
        <f t="shared" si="629"/>
        <v>0</v>
      </c>
      <c r="Z534" s="78" t="b">
        <f t="shared" si="629"/>
        <v>0</v>
      </c>
      <c r="AA534" s="78" t="b">
        <f t="shared" si="629"/>
        <v>0</v>
      </c>
      <c r="AB534" s="78" t="b">
        <f t="shared" si="629"/>
        <v>0</v>
      </c>
      <c r="AC534" s="78" t="b">
        <f t="shared" si="629"/>
        <v>0</v>
      </c>
      <c r="AD534" s="78" t="b">
        <f t="shared" si="629"/>
        <v>0</v>
      </c>
      <c r="AE534" s="78" t="b">
        <f t="shared" si="629"/>
        <v>0</v>
      </c>
      <c r="AF534" s="78" t="b">
        <f t="shared" si="629"/>
        <v>0</v>
      </c>
      <c r="AG534" s="78" t="b">
        <f t="shared" si="629"/>
        <v>0</v>
      </c>
      <c r="AH534" s="78" t="b">
        <f t="shared" si="629"/>
        <v>0</v>
      </c>
      <c r="AI534" s="78" t="b">
        <f t="shared" si="629"/>
        <v>0</v>
      </c>
      <c r="AJ534" s="78" t="b">
        <f t="shared" si="629"/>
        <v>0</v>
      </c>
      <c r="AK534" s="78" t="b">
        <f t="shared" si="629"/>
        <v>0</v>
      </c>
      <c r="AL534" s="78" t="b">
        <f t="shared" si="629"/>
        <v>0</v>
      </c>
      <c r="AM534" s="78" t="b">
        <f t="shared" si="629"/>
        <v>0</v>
      </c>
      <c r="AN534" s="78" t="b">
        <f t="shared" si="629"/>
        <v>0</v>
      </c>
      <c r="AO534" s="78" t="b">
        <f t="shared" si="629"/>
        <v>0</v>
      </c>
      <c r="AP534" s="78"/>
    </row>
    <row r="535" spans="4:42" x14ac:dyDescent="0.35">
      <c r="D535" s="96"/>
      <c r="E535" s="96"/>
      <c r="G535" s="77">
        <f t="shared" si="603"/>
        <v>0</v>
      </c>
      <c r="H535" s="78">
        <f t="shared" si="604"/>
        <v>0</v>
      </c>
      <c r="I535" s="77">
        <f t="shared" si="605"/>
        <v>0</v>
      </c>
      <c r="J535" s="78">
        <f t="shared" si="606"/>
        <v>0</v>
      </c>
      <c r="K535" s="78" t="str">
        <f t="shared" si="607"/>
        <v>1900-01-00 00:0:00</v>
      </c>
      <c r="L535" s="78" t="str">
        <f t="shared" si="608"/>
        <v>1900-01-00 00:0:00</v>
      </c>
      <c r="M535" s="79">
        <f t="shared" si="609"/>
        <v>0</v>
      </c>
      <c r="N535">
        <f t="shared" si="610"/>
        <v>1</v>
      </c>
      <c r="O535" t="str">
        <f>IFERROR(_xlfn.XLOOKUP(A535,HC!A:A,HC!C:C),"")</f>
        <v>Workforce</v>
      </c>
      <c r="R535" s="78" t="b">
        <f t="shared" ref="R535:AO535" si="630">IFERROR(IF($B535=$D$1,IF(AND($K535&lt;R$1,$L535&lt;R$1),"",IF(AND($K535&gt;S$1,$L535&gt;S$1),"",IF(AND($K535&lt;R$1,$L535&lt;=S$1),$L535-R$1,IF(AND($K535&gt;=R$1,$L535&gt;S$1),S$1-$K535,IF(AND($K535&gt;=R$1,$L535&lt;=S$1),$L535-$K535,IF(AND($K535&lt;R$1,$L535&gt;S$1),S$1-R$1,""))))))),"")</f>
        <v>0</v>
      </c>
      <c r="S535" s="78" t="b">
        <f t="shared" si="630"/>
        <v>0</v>
      </c>
      <c r="T535" s="78" t="b">
        <f t="shared" si="630"/>
        <v>0</v>
      </c>
      <c r="U535" s="78" t="b">
        <f t="shared" si="630"/>
        <v>0</v>
      </c>
      <c r="V535" s="78" t="b">
        <f t="shared" si="630"/>
        <v>0</v>
      </c>
      <c r="W535" s="78" t="b">
        <f t="shared" si="630"/>
        <v>0</v>
      </c>
      <c r="X535" s="78" t="b">
        <f t="shared" si="630"/>
        <v>0</v>
      </c>
      <c r="Y535" s="78" t="b">
        <f t="shared" si="630"/>
        <v>0</v>
      </c>
      <c r="Z535" s="78" t="b">
        <f t="shared" si="630"/>
        <v>0</v>
      </c>
      <c r="AA535" s="78" t="b">
        <f t="shared" si="630"/>
        <v>0</v>
      </c>
      <c r="AB535" s="78" t="b">
        <f t="shared" si="630"/>
        <v>0</v>
      </c>
      <c r="AC535" s="78" t="b">
        <f t="shared" si="630"/>
        <v>0</v>
      </c>
      <c r="AD535" s="78" t="b">
        <f t="shared" si="630"/>
        <v>0</v>
      </c>
      <c r="AE535" s="78" t="b">
        <f t="shared" si="630"/>
        <v>0</v>
      </c>
      <c r="AF535" s="78" t="b">
        <f t="shared" si="630"/>
        <v>0</v>
      </c>
      <c r="AG535" s="78" t="b">
        <f t="shared" si="630"/>
        <v>0</v>
      </c>
      <c r="AH535" s="78" t="b">
        <f t="shared" si="630"/>
        <v>0</v>
      </c>
      <c r="AI535" s="78" t="b">
        <f t="shared" si="630"/>
        <v>0</v>
      </c>
      <c r="AJ535" s="78" t="b">
        <f t="shared" si="630"/>
        <v>0</v>
      </c>
      <c r="AK535" s="78" t="b">
        <f t="shared" si="630"/>
        <v>0</v>
      </c>
      <c r="AL535" s="78" t="b">
        <f t="shared" si="630"/>
        <v>0</v>
      </c>
      <c r="AM535" s="78" t="b">
        <f t="shared" si="630"/>
        <v>0</v>
      </c>
      <c r="AN535" s="78" t="b">
        <f t="shared" si="630"/>
        <v>0</v>
      </c>
      <c r="AO535" s="78" t="b">
        <f t="shared" si="630"/>
        <v>0</v>
      </c>
      <c r="AP535" s="78"/>
    </row>
    <row r="536" spans="4:42" x14ac:dyDescent="0.35">
      <c r="D536" s="96"/>
      <c r="E536" s="96"/>
      <c r="G536" s="77">
        <f t="shared" si="603"/>
        <v>0</v>
      </c>
      <c r="H536" s="78">
        <f t="shared" si="604"/>
        <v>0</v>
      </c>
      <c r="I536" s="77">
        <f t="shared" si="605"/>
        <v>0</v>
      </c>
      <c r="J536" s="78">
        <f t="shared" si="606"/>
        <v>0</v>
      </c>
      <c r="K536" s="78" t="str">
        <f t="shared" si="607"/>
        <v>1900-01-00 00:0:00</v>
      </c>
      <c r="L536" s="78" t="str">
        <f t="shared" si="608"/>
        <v>1900-01-00 00:0:00</v>
      </c>
      <c r="M536" s="79">
        <f t="shared" si="609"/>
        <v>0</v>
      </c>
      <c r="N536">
        <f t="shared" si="610"/>
        <v>1</v>
      </c>
      <c r="O536" t="str">
        <f>IFERROR(_xlfn.XLOOKUP(A536,HC!A:A,HC!C:C),"")</f>
        <v>Workforce</v>
      </c>
      <c r="R536" s="78" t="b">
        <f t="shared" ref="R536:AO536" si="631">IFERROR(IF($B536=$D$1,IF(AND($K536&lt;R$1,$L536&lt;R$1),"",IF(AND($K536&gt;S$1,$L536&gt;S$1),"",IF(AND($K536&lt;R$1,$L536&lt;=S$1),$L536-R$1,IF(AND($K536&gt;=R$1,$L536&gt;S$1),S$1-$K536,IF(AND($K536&gt;=R$1,$L536&lt;=S$1),$L536-$K536,IF(AND($K536&lt;R$1,$L536&gt;S$1),S$1-R$1,""))))))),"")</f>
        <v>0</v>
      </c>
      <c r="S536" s="78" t="b">
        <f t="shared" si="631"/>
        <v>0</v>
      </c>
      <c r="T536" s="78" t="b">
        <f t="shared" si="631"/>
        <v>0</v>
      </c>
      <c r="U536" s="78" t="b">
        <f t="shared" si="631"/>
        <v>0</v>
      </c>
      <c r="V536" s="78" t="b">
        <f t="shared" si="631"/>
        <v>0</v>
      </c>
      <c r="W536" s="78" t="b">
        <f t="shared" si="631"/>
        <v>0</v>
      </c>
      <c r="X536" s="78" t="b">
        <f t="shared" si="631"/>
        <v>0</v>
      </c>
      <c r="Y536" s="78" t="b">
        <f t="shared" si="631"/>
        <v>0</v>
      </c>
      <c r="Z536" s="78" t="b">
        <f t="shared" si="631"/>
        <v>0</v>
      </c>
      <c r="AA536" s="78" t="b">
        <f t="shared" si="631"/>
        <v>0</v>
      </c>
      <c r="AB536" s="78" t="b">
        <f t="shared" si="631"/>
        <v>0</v>
      </c>
      <c r="AC536" s="78" t="b">
        <f t="shared" si="631"/>
        <v>0</v>
      </c>
      <c r="AD536" s="78" t="b">
        <f t="shared" si="631"/>
        <v>0</v>
      </c>
      <c r="AE536" s="78" t="b">
        <f t="shared" si="631"/>
        <v>0</v>
      </c>
      <c r="AF536" s="78" t="b">
        <f t="shared" si="631"/>
        <v>0</v>
      </c>
      <c r="AG536" s="78" t="b">
        <f t="shared" si="631"/>
        <v>0</v>
      </c>
      <c r="AH536" s="78" t="b">
        <f t="shared" si="631"/>
        <v>0</v>
      </c>
      <c r="AI536" s="78" t="b">
        <f t="shared" si="631"/>
        <v>0</v>
      </c>
      <c r="AJ536" s="78" t="b">
        <f t="shared" si="631"/>
        <v>0</v>
      </c>
      <c r="AK536" s="78" t="b">
        <f t="shared" si="631"/>
        <v>0</v>
      </c>
      <c r="AL536" s="78" t="b">
        <f t="shared" si="631"/>
        <v>0</v>
      </c>
      <c r="AM536" s="78" t="b">
        <f t="shared" si="631"/>
        <v>0</v>
      </c>
      <c r="AN536" s="78" t="b">
        <f t="shared" si="631"/>
        <v>0</v>
      </c>
      <c r="AO536" s="78" t="b">
        <f t="shared" si="631"/>
        <v>0</v>
      </c>
      <c r="AP536" s="78"/>
    </row>
    <row r="537" spans="4:42" x14ac:dyDescent="0.35">
      <c r="D537" s="96"/>
      <c r="E537" s="96"/>
      <c r="G537" s="77">
        <f t="shared" si="603"/>
        <v>0</v>
      </c>
      <c r="H537" s="78">
        <f t="shared" si="604"/>
        <v>0</v>
      </c>
      <c r="I537" s="77">
        <f t="shared" si="605"/>
        <v>0</v>
      </c>
      <c r="J537" s="78">
        <f t="shared" si="606"/>
        <v>0</v>
      </c>
      <c r="K537" s="78" t="str">
        <f t="shared" si="607"/>
        <v>1900-01-00 00:0:00</v>
      </c>
      <c r="L537" s="78" t="str">
        <f t="shared" si="608"/>
        <v>1900-01-00 00:0:00</v>
      </c>
      <c r="M537" s="79">
        <f t="shared" si="609"/>
        <v>0</v>
      </c>
      <c r="N537">
        <f t="shared" si="610"/>
        <v>1</v>
      </c>
      <c r="O537" t="str">
        <f>IFERROR(_xlfn.XLOOKUP(A537,HC!A:A,HC!C:C),"")</f>
        <v>Workforce</v>
      </c>
      <c r="R537" s="78" t="b">
        <f t="shared" ref="R537:AO537" si="632">IFERROR(IF($B537=$D$1,IF(AND($K537&lt;R$1,$L537&lt;R$1),"",IF(AND($K537&gt;S$1,$L537&gt;S$1),"",IF(AND($K537&lt;R$1,$L537&lt;=S$1),$L537-R$1,IF(AND($K537&gt;=R$1,$L537&gt;S$1),S$1-$K537,IF(AND($K537&gt;=R$1,$L537&lt;=S$1),$L537-$K537,IF(AND($K537&lt;R$1,$L537&gt;S$1),S$1-R$1,""))))))),"")</f>
        <v>0</v>
      </c>
      <c r="S537" s="78" t="b">
        <f t="shared" si="632"/>
        <v>0</v>
      </c>
      <c r="T537" s="78" t="b">
        <f t="shared" si="632"/>
        <v>0</v>
      </c>
      <c r="U537" s="78" t="b">
        <f t="shared" si="632"/>
        <v>0</v>
      </c>
      <c r="V537" s="78" t="b">
        <f t="shared" si="632"/>
        <v>0</v>
      </c>
      <c r="W537" s="78" t="b">
        <f t="shared" si="632"/>
        <v>0</v>
      </c>
      <c r="X537" s="78" t="b">
        <f t="shared" si="632"/>
        <v>0</v>
      </c>
      <c r="Y537" s="78" t="b">
        <f t="shared" si="632"/>
        <v>0</v>
      </c>
      <c r="Z537" s="78" t="b">
        <f t="shared" si="632"/>
        <v>0</v>
      </c>
      <c r="AA537" s="78" t="b">
        <f t="shared" si="632"/>
        <v>0</v>
      </c>
      <c r="AB537" s="78" t="b">
        <f t="shared" si="632"/>
        <v>0</v>
      </c>
      <c r="AC537" s="78" t="b">
        <f t="shared" si="632"/>
        <v>0</v>
      </c>
      <c r="AD537" s="78" t="b">
        <f t="shared" si="632"/>
        <v>0</v>
      </c>
      <c r="AE537" s="78" t="b">
        <f t="shared" si="632"/>
        <v>0</v>
      </c>
      <c r="AF537" s="78" t="b">
        <f t="shared" si="632"/>
        <v>0</v>
      </c>
      <c r="AG537" s="78" t="b">
        <f t="shared" si="632"/>
        <v>0</v>
      </c>
      <c r="AH537" s="78" t="b">
        <f t="shared" si="632"/>
        <v>0</v>
      </c>
      <c r="AI537" s="78" t="b">
        <f t="shared" si="632"/>
        <v>0</v>
      </c>
      <c r="AJ537" s="78" t="b">
        <f t="shared" si="632"/>
        <v>0</v>
      </c>
      <c r="AK537" s="78" t="b">
        <f t="shared" si="632"/>
        <v>0</v>
      </c>
      <c r="AL537" s="78" t="b">
        <f t="shared" si="632"/>
        <v>0</v>
      </c>
      <c r="AM537" s="78" t="b">
        <f t="shared" si="632"/>
        <v>0</v>
      </c>
      <c r="AN537" s="78" t="b">
        <f t="shared" si="632"/>
        <v>0</v>
      </c>
      <c r="AO537" s="78" t="b">
        <f t="shared" si="632"/>
        <v>0</v>
      </c>
      <c r="AP537" s="78"/>
    </row>
    <row r="538" spans="4:42" x14ac:dyDescent="0.35">
      <c r="D538" s="96"/>
      <c r="E538" s="96"/>
      <c r="G538" s="77">
        <f t="shared" si="603"/>
        <v>0</v>
      </c>
      <c r="H538" s="78">
        <f t="shared" si="604"/>
        <v>0</v>
      </c>
      <c r="I538" s="77">
        <f t="shared" si="605"/>
        <v>0</v>
      </c>
      <c r="J538" s="78">
        <f t="shared" si="606"/>
        <v>0</v>
      </c>
      <c r="K538" s="78" t="str">
        <f t="shared" si="607"/>
        <v>1900-01-00 00:0:00</v>
      </c>
      <c r="L538" s="78" t="str">
        <f t="shared" si="608"/>
        <v>1900-01-00 00:0:00</v>
      </c>
      <c r="M538" s="79">
        <f t="shared" si="609"/>
        <v>0</v>
      </c>
      <c r="N538">
        <f t="shared" si="610"/>
        <v>1</v>
      </c>
      <c r="O538" t="str">
        <f>IFERROR(_xlfn.XLOOKUP(A538,HC!A:A,HC!C:C),"")</f>
        <v>Workforce</v>
      </c>
      <c r="R538" s="78" t="b">
        <f t="shared" ref="R538:AO538" si="633">IFERROR(IF($B538=$D$1,IF(AND($K538&lt;R$1,$L538&lt;R$1),"",IF(AND($K538&gt;S$1,$L538&gt;S$1),"",IF(AND($K538&lt;R$1,$L538&lt;=S$1),$L538-R$1,IF(AND($K538&gt;=R$1,$L538&gt;S$1),S$1-$K538,IF(AND($K538&gt;=R$1,$L538&lt;=S$1),$L538-$K538,IF(AND($K538&lt;R$1,$L538&gt;S$1),S$1-R$1,""))))))),"")</f>
        <v>0</v>
      </c>
      <c r="S538" s="78" t="b">
        <f t="shared" si="633"/>
        <v>0</v>
      </c>
      <c r="T538" s="78" t="b">
        <f t="shared" si="633"/>
        <v>0</v>
      </c>
      <c r="U538" s="78" t="b">
        <f t="shared" si="633"/>
        <v>0</v>
      </c>
      <c r="V538" s="78" t="b">
        <f t="shared" si="633"/>
        <v>0</v>
      </c>
      <c r="W538" s="78" t="b">
        <f t="shared" si="633"/>
        <v>0</v>
      </c>
      <c r="X538" s="78" t="b">
        <f t="shared" si="633"/>
        <v>0</v>
      </c>
      <c r="Y538" s="78" t="b">
        <f t="shared" si="633"/>
        <v>0</v>
      </c>
      <c r="Z538" s="78" t="b">
        <f t="shared" si="633"/>
        <v>0</v>
      </c>
      <c r="AA538" s="78" t="b">
        <f t="shared" si="633"/>
        <v>0</v>
      </c>
      <c r="AB538" s="78" t="b">
        <f t="shared" si="633"/>
        <v>0</v>
      </c>
      <c r="AC538" s="78" t="b">
        <f t="shared" si="633"/>
        <v>0</v>
      </c>
      <c r="AD538" s="78" t="b">
        <f t="shared" si="633"/>
        <v>0</v>
      </c>
      <c r="AE538" s="78" t="b">
        <f t="shared" si="633"/>
        <v>0</v>
      </c>
      <c r="AF538" s="78" t="b">
        <f t="shared" si="633"/>
        <v>0</v>
      </c>
      <c r="AG538" s="78" t="b">
        <f t="shared" si="633"/>
        <v>0</v>
      </c>
      <c r="AH538" s="78" t="b">
        <f t="shared" si="633"/>
        <v>0</v>
      </c>
      <c r="AI538" s="78" t="b">
        <f t="shared" si="633"/>
        <v>0</v>
      </c>
      <c r="AJ538" s="78" t="b">
        <f t="shared" si="633"/>
        <v>0</v>
      </c>
      <c r="AK538" s="78" t="b">
        <f t="shared" si="633"/>
        <v>0</v>
      </c>
      <c r="AL538" s="78" t="b">
        <f t="shared" si="633"/>
        <v>0</v>
      </c>
      <c r="AM538" s="78" t="b">
        <f t="shared" si="633"/>
        <v>0</v>
      </c>
      <c r="AN538" s="78" t="b">
        <f t="shared" si="633"/>
        <v>0</v>
      </c>
      <c r="AO538" s="78" t="b">
        <f t="shared" si="633"/>
        <v>0</v>
      </c>
      <c r="AP538" s="78"/>
    </row>
    <row r="539" spans="4:42" x14ac:dyDescent="0.35">
      <c r="D539" s="96"/>
      <c r="E539" s="96"/>
      <c r="G539" s="77">
        <f t="shared" si="603"/>
        <v>0</v>
      </c>
      <c r="H539" s="78">
        <f t="shared" si="604"/>
        <v>0</v>
      </c>
      <c r="I539" s="77">
        <f t="shared" si="605"/>
        <v>0</v>
      </c>
      <c r="J539" s="78">
        <f t="shared" si="606"/>
        <v>0</v>
      </c>
      <c r="K539" s="78" t="str">
        <f t="shared" si="607"/>
        <v>1900-01-00 00:0:00</v>
      </c>
      <c r="L539" s="78" t="str">
        <f t="shared" si="608"/>
        <v>1900-01-00 00:0:00</v>
      </c>
      <c r="M539" s="79">
        <f t="shared" si="609"/>
        <v>0</v>
      </c>
      <c r="N539">
        <f t="shared" si="610"/>
        <v>1</v>
      </c>
      <c r="O539" t="str">
        <f>IFERROR(_xlfn.XLOOKUP(A539,HC!A:A,HC!C:C),"")</f>
        <v>Workforce</v>
      </c>
      <c r="R539" s="78" t="b">
        <f t="shared" ref="R539:AO539" si="634">IFERROR(IF($B539=$D$1,IF(AND($K539&lt;R$1,$L539&lt;R$1),"",IF(AND($K539&gt;S$1,$L539&gt;S$1),"",IF(AND($K539&lt;R$1,$L539&lt;=S$1),$L539-R$1,IF(AND($K539&gt;=R$1,$L539&gt;S$1),S$1-$K539,IF(AND($K539&gt;=R$1,$L539&lt;=S$1),$L539-$K539,IF(AND($K539&lt;R$1,$L539&gt;S$1),S$1-R$1,""))))))),"")</f>
        <v>0</v>
      </c>
      <c r="S539" s="78" t="b">
        <f t="shared" si="634"/>
        <v>0</v>
      </c>
      <c r="T539" s="78" t="b">
        <f t="shared" si="634"/>
        <v>0</v>
      </c>
      <c r="U539" s="78" t="b">
        <f t="shared" si="634"/>
        <v>0</v>
      </c>
      <c r="V539" s="78" t="b">
        <f t="shared" si="634"/>
        <v>0</v>
      </c>
      <c r="W539" s="78" t="b">
        <f t="shared" si="634"/>
        <v>0</v>
      </c>
      <c r="X539" s="78" t="b">
        <f t="shared" si="634"/>
        <v>0</v>
      </c>
      <c r="Y539" s="78" t="b">
        <f t="shared" si="634"/>
        <v>0</v>
      </c>
      <c r="Z539" s="78" t="b">
        <f t="shared" si="634"/>
        <v>0</v>
      </c>
      <c r="AA539" s="78" t="b">
        <f t="shared" si="634"/>
        <v>0</v>
      </c>
      <c r="AB539" s="78" t="b">
        <f t="shared" si="634"/>
        <v>0</v>
      </c>
      <c r="AC539" s="78" t="b">
        <f t="shared" si="634"/>
        <v>0</v>
      </c>
      <c r="AD539" s="78" t="b">
        <f t="shared" si="634"/>
        <v>0</v>
      </c>
      <c r="AE539" s="78" t="b">
        <f t="shared" si="634"/>
        <v>0</v>
      </c>
      <c r="AF539" s="78" t="b">
        <f t="shared" si="634"/>
        <v>0</v>
      </c>
      <c r="AG539" s="78" t="b">
        <f t="shared" si="634"/>
        <v>0</v>
      </c>
      <c r="AH539" s="78" t="b">
        <f t="shared" si="634"/>
        <v>0</v>
      </c>
      <c r="AI539" s="78" t="b">
        <f t="shared" si="634"/>
        <v>0</v>
      </c>
      <c r="AJ539" s="78" t="b">
        <f t="shared" si="634"/>
        <v>0</v>
      </c>
      <c r="AK539" s="78" t="b">
        <f t="shared" si="634"/>
        <v>0</v>
      </c>
      <c r="AL539" s="78" t="b">
        <f t="shared" si="634"/>
        <v>0</v>
      </c>
      <c r="AM539" s="78" t="b">
        <f t="shared" si="634"/>
        <v>0</v>
      </c>
      <c r="AN539" s="78" t="b">
        <f t="shared" si="634"/>
        <v>0</v>
      </c>
      <c r="AO539" s="78" t="b">
        <f t="shared" si="634"/>
        <v>0</v>
      </c>
      <c r="AP539" s="78"/>
    </row>
    <row r="540" spans="4:42" x14ac:dyDescent="0.35">
      <c r="D540" s="96"/>
      <c r="E540" s="96"/>
      <c r="G540" s="77">
        <f t="shared" si="603"/>
        <v>0</v>
      </c>
      <c r="H540" s="78">
        <f t="shared" si="604"/>
        <v>0</v>
      </c>
      <c r="I540" s="77">
        <f t="shared" si="605"/>
        <v>0</v>
      </c>
      <c r="J540" s="78">
        <f t="shared" si="606"/>
        <v>0</v>
      </c>
      <c r="K540" s="78" t="str">
        <f t="shared" si="607"/>
        <v>1900-01-00 00:0:00</v>
      </c>
      <c r="L540" s="78" t="str">
        <f t="shared" si="608"/>
        <v>1900-01-00 00:0:00</v>
      </c>
      <c r="M540" s="79">
        <f t="shared" si="609"/>
        <v>0</v>
      </c>
      <c r="N540">
        <f t="shared" si="610"/>
        <v>1</v>
      </c>
      <c r="O540" t="str">
        <f>IFERROR(_xlfn.XLOOKUP(A540,HC!A:A,HC!C:C),"")</f>
        <v>Workforce</v>
      </c>
      <c r="R540" s="78" t="b">
        <f t="shared" ref="R540:AO540" si="635">IFERROR(IF($B540=$D$1,IF(AND($K540&lt;R$1,$L540&lt;R$1),"",IF(AND($K540&gt;S$1,$L540&gt;S$1),"",IF(AND($K540&lt;R$1,$L540&lt;=S$1),$L540-R$1,IF(AND($K540&gt;=R$1,$L540&gt;S$1),S$1-$K540,IF(AND($K540&gt;=R$1,$L540&lt;=S$1),$L540-$K540,IF(AND($K540&lt;R$1,$L540&gt;S$1),S$1-R$1,""))))))),"")</f>
        <v>0</v>
      </c>
      <c r="S540" s="78" t="b">
        <f t="shared" si="635"/>
        <v>0</v>
      </c>
      <c r="T540" s="78" t="b">
        <f t="shared" si="635"/>
        <v>0</v>
      </c>
      <c r="U540" s="78" t="b">
        <f t="shared" si="635"/>
        <v>0</v>
      </c>
      <c r="V540" s="78" t="b">
        <f t="shared" si="635"/>
        <v>0</v>
      </c>
      <c r="W540" s="78" t="b">
        <f t="shared" si="635"/>
        <v>0</v>
      </c>
      <c r="X540" s="78" t="b">
        <f t="shared" si="635"/>
        <v>0</v>
      </c>
      <c r="Y540" s="78" t="b">
        <f t="shared" si="635"/>
        <v>0</v>
      </c>
      <c r="Z540" s="78" t="b">
        <f t="shared" si="635"/>
        <v>0</v>
      </c>
      <c r="AA540" s="78" t="b">
        <f t="shared" si="635"/>
        <v>0</v>
      </c>
      <c r="AB540" s="78" t="b">
        <f t="shared" si="635"/>
        <v>0</v>
      </c>
      <c r="AC540" s="78" t="b">
        <f t="shared" si="635"/>
        <v>0</v>
      </c>
      <c r="AD540" s="78" t="b">
        <f t="shared" si="635"/>
        <v>0</v>
      </c>
      <c r="AE540" s="78" t="b">
        <f t="shared" si="635"/>
        <v>0</v>
      </c>
      <c r="AF540" s="78" t="b">
        <f t="shared" si="635"/>
        <v>0</v>
      </c>
      <c r="AG540" s="78" t="b">
        <f t="shared" si="635"/>
        <v>0</v>
      </c>
      <c r="AH540" s="78" t="b">
        <f t="shared" si="635"/>
        <v>0</v>
      </c>
      <c r="AI540" s="78" t="b">
        <f t="shared" si="635"/>
        <v>0</v>
      </c>
      <c r="AJ540" s="78" t="b">
        <f t="shared" si="635"/>
        <v>0</v>
      </c>
      <c r="AK540" s="78" t="b">
        <f t="shared" si="635"/>
        <v>0</v>
      </c>
      <c r="AL540" s="78" t="b">
        <f t="shared" si="635"/>
        <v>0</v>
      </c>
      <c r="AM540" s="78" t="b">
        <f t="shared" si="635"/>
        <v>0</v>
      </c>
      <c r="AN540" s="78" t="b">
        <f t="shared" si="635"/>
        <v>0</v>
      </c>
      <c r="AO540" s="78" t="b">
        <f t="shared" si="635"/>
        <v>0</v>
      </c>
      <c r="AP540" s="78"/>
    </row>
    <row r="541" spans="4:42" x14ac:dyDescent="0.35">
      <c r="D541" s="96"/>
      <c r="E541" s="96"/>
      <c r="G541" s="77">
        <f t="shared" si="603"/>
        <v>0</v>
      </c>
      <c r="H541" s="78">
        <f t="shared" si="604"/>
        <v>0</v>
      </c>
      <c r="I541" s="77">
        <f t="shared" si="605"/>
        <v>0</v>
      </c>
      <c r="J541" s="78">
        <f t="shared" si="606"/>
        <v>0</v>
      </c>
      <c r="K541" s="78" t="str">
        <f t="shared" si="607"/>
        <v>1900-01-00 00:0:00</v>
      </c>
      <c r="L541" s="78" t="str">
        <f t="shared" si="608"/>
        <v>1900-01-00 00:0:00</v>
      </c>
      <c r="M541" s="79">
        <f t="shared" si="609"/>
        <v>0</v>
      </c>
      <c r="N541">
        <f t="shared" si="610"/>
        <v>1</v>
      </c>
      <c r="O541" t="str">
        <f>IFERROR(_xlfn.XLOOKUP(A541,HC!A:A,HC!C:C),"")</f>
        <v>Workforce</v>
      </c>
      <c r="R541" s="78" t="b">
        <f t="shared" ref="R541:AO541" si="636">IFERROR(IF($B541=$D$1,IF(AND($K541&lt;R$1,$L541&lt;R$1),"",IF(AND($K541&gt;S$1,$L541&gt;S$1),"",IF(AND($K541&lt;R$1,$L541&lt;=S$1),$L541-R$1,IF(AND($K541&gt;=R$1,$L541&gt;S$1),S$1-$K541,IF(AND($K541&gt;=R$1,$L541&lt;=S$1),$L541-$K541,IF(AND($K541&lt;R$1,$L541&gt;S$1),S$1-R$1,""))))))),"")</f>
        <v>0</v>
      </c>
      <c r="S541" s="78" t="b">
        <f t="shared" si="636"/>
        <v>0</v>
      </c>
      <c r="T541" s="78" t="b">
        <f t="shared" si="636"/>
        <v>0</v>
      </c>
      <c r="U541" s="78" t="b">
        <f t="shared" si="636"/>
        <v>0</v>
      </c>
      <c r="V541" s="78" t="b">
        <f t="shared" si="636"/>
        <v>0</v>
      </c>
      <c r="W541" s="78" t="b">
        <f t="shared" si="636"/>
        <v>0</v>
      </c>
      <c r="X541" s="78" t="b">
        <f t="shared" si="636"/>
        <v>0</v>
      </c>
      <c r="Y541" s="78" t="b">
        <f t="shared" si="636"/>
        <v>0</v>
      </c>
      <c r="Z541" s="78" t="b">
        <f t="shared" si="636"/>
        <v>0</v>
      </c>
      <c r="AA541" s="78" t="b">
        <f t="shared" si="636"/>
        <v>0</v>
      </c>
      <c r="AB541" s="78" t="b">
        <f t="shared" si="636"/>
        <v>0</v>
      </c>
      <c r="AC541" s="78" t="b">
        <f t="shared" si="636"/>
        <v>0</v>
      </c>
      <c r="AD541" s="78" t="b">
        <f t="shared" si="636"/>
        <v>0</v>
      </c>
      <c r="AE541" s="78" t="b">
        <f t="shared" si="636"/>
        <v>0</v>
      </c>
      <c r="AF541" s="78" t="b">
        <f t="shared" si="636"/>
        <v>0</v>
      </c>
      <c r="AG541" s="78" t="b">
        <f t="shared" si="636"/>
        <v>0</v>
      </c>
      <c r="AH541" s="78" t="b">
        <f t="shared" si="636"/>
        <v>0</v>
      </c>
      <c r="AI541" s="78" t="b">
        <f t="shared" si="636"/>
        <v>0</v>
      </c>
      <c r="AJ541" s="78" t="b">
        <f t="shared" si="636"/>
        <v>0</v>
      </c>
      <c r="AK541" s="78" t="b">
        <f t="shared" si="636"/>
        <v>0</v>
      </c>
      <c r="AL541" s="78" t="b">
        <f t="shared" si="636"/>
        <v>0</v>
      </c>
      <c r="AM541" s="78" t="b">
        <f t="shared" si="636"/>
        <v>0</v>
      </c>
      <c r="AN541" s="78" t="b">
        <f t="shared" si="636"/>
        <v>0</v>
      </c>
      <c r="AO541" s="78" t="b">
        <f t="shared" si="636"/>
        <v>0</v>
      </c>
      <c r="AP541" s="78"/>
    </row>
    <row r="542" spans="4:42" x14ac:dyDescent="0.35">
      <c r="D542" s="96"/>
      <c r="E542" s="96"/>
      <c r="G542" s="77">
        <f t="shared" si="603"/>
        <v>0</v>
      </c>
      <c r="H542" s="78">
        <f t="shared" si="604"/>
        <v>0</v>
      </c>
      <c r="I542" s="77">
        <f t="shared" si="605"/>
        <v>0</v>
      </c>
      <c r="J542" s="78">
        <f t="shared" si="606"/>
        <v>0</v>
      </c>
      <c r="K542" s="78" t="str">
        <f t="shared" si="607"/>
        <v>1900-01-00 00:0:00</v>
      </c>
      <c r="L542" s="78" t="str">
        <f t="shared" si="608"/>
        <v>1900-01-00 00:0:00</v>
      </c>
      <c r="M542" s="79">
        <f t="shared" si="609"/>
        <v>0</v>
      </c>
      <c r="N542">
        <f t="shared" si="610"/>
        <v>1</v>
      </c>
      <c r="O542" t="str">
        <f>IFERROR(_xlfn.XLOOKUP(A542,HC!A:A,HC!C:C),"")</f>
        <v>Workforce</v>
      </c>
      <c r="R542" s="78" t="b">
        <f t="shared" ref="R542:AO542" si="637">IFERROR(IF($B542=$D$1,IF(AND($K542&lt;R$1,$L542&lt;R$1),"",IF(AND($K542&gt;S$1,$L542&gt;S$1),"",IF(AND($K542&lt;R$1,$L542&lt;=S$1),$L542-R$1,IF(AND($K542&gt;=R$1,$L542&gt;S$1),S$1-$K542,IF(AND($K542&gt;=R$1,$L542&lt;=S$1),$L542-$K542,IF(AND($K542&lt;R$1,$L542&gt;S$1),S$1-R$1,""))))))),"")</f>
        <v>0</v>
      </c>
      <c r="S542" s="78" t="b">
        <f t="shared" si="637"/>
        <v>0</v>
      </c>
      <c r="T542" s="78" t="b">
        <f t="shared" si="637"/>
        <v>0</v>
      </c>
      <c r="U542" s="78" t="b">
        <f t="shared" si="637"/>
        <v>0</v>
      </c>
      <c r="V542" s="78" t="b">
        <f t="shared" si="637"/>
        <v>0</v>
      </c>
      <c r="W542" s="78" t="b">
        <f t="shared" si="637"/>
        <v>0</v>
      </c>
      <c r="X542" s="78" t="b">
        <f t="shared" si="637"/>
        <v>0</v>
      </c>
      <c r="Y542" s="78" t="b">
        <f t="shared" si="637"/>
        <v>0</v>
      </c>
      <c r="Z542" s="78" t="b">
        <f t="shared" si="637"/>
        <v>0</v>
      </c>
      <c r="AA542" s="78" t="b">
        <f t="shared" si="637"/>
        <v>0</v>
      </c>
      <c r="AB542" s="78" t="b">
        <f t="shared" si="637"/>
        <v>0</v>
      </c>
      <c r="AC542" s="78" t="b">
        <f t="shared" si="637"/>
        <v>0</v>
      </c>
      <c r="AD542" s="78" t="b">
        <f t="shared" si="637"/>
        <v>0</v>
      </c>
      <c r="AE542" s="78" t="b">
        <f t="shared" si="637"/>
        <v>0</v>
      </c>
      <c r="AF542" s="78" t="b">
        <f t="shared" si="637"/>
        <v>0</v>
      </c>
      <c r="AG542" s="78" t="b">
        <f t="shared" si="637"/>
        <v>0</v>
      </c>
      <c r="AH542" s="78" t="b">
        <f t="shared" si="637"/>
        <v>0</v>
      </c>
      <c r="AI542" s="78" t="b">
        <f t="shared" si="637"/>
        <v>0</v>
      </c>
      <c r="AJ542" s="78" t="b">
        <f t="shared" si="637"/>
        <v>0</v>
      </c>
      <c r="AK542" s="78" t="b">
        <f t="shared" si="637"/>
        <v>0</v>
      </c>
      <c r="AL542" s="78" t="b">
        <f t="shared" si="637"/>
        <v>0</v>
      </c>
      <c r="AM542" s="78" t="b">
        <f t="shared" si="637"/>
        <v>0</v>
      </c>
      <c r="AN542" s="78" t="b">
        <f t="shared" si="637"/>
        <v>0</v>
      </c>
      <c r="AO542" s="78" t="b">
        <f t="shared" si="637"/>
        <v>0</v>
      </c>
      <c r="AP542" s="78"/>
    </row>
    <row r="543" spans="4:42" x14ac:dyDescent="0.35">
      <c r="D543" s="96"/>
      <c r="E543" s="96"/>
      <c r="G543" s="77">
        <f t="shared" si="603"/>
        <v>0</v>
      </c>
      <c r="H543" s="78">
        <f t="shared" si="604"/>
        <v>0</v>
      </c>
      <c r="I543" s="77">
        <f t="shared" si="605"/>
        <v>0</v>
      </c>
      <c r="J543" s="78">
        <f t="shared" si="606"/>
        <v>0</v>
      </c>
      <c r="K543" s="78" t="str">
        <f t="shared" si="607"/>
        <v>1900-01-00 00:0:00</v>
      </c>
      <c r="L543" s="78" t="str">
        <f t="shared" si="608"/>
        <v>1900-01-00 00:0:00</v>
      </c>
      <c r="M543" s="79">
        <f t="shared" si="609"/>
        <v>0</v>
      </c>
      <c r="N543">
        <f t="shared" si="610"/>
        <v>1</v>
      </c>
      <c r="O543" t="str">
        <f>IFERROR(_xlfn.XLOOKUP(A543,HC!A:A,HC!C:C),"")</f>
        <v>Workforce</v>
      </c>
      <c r="R543" s="78" t="b">
        <f t="shared" ref="R543:AO543" si="638">IFERROR(IF($B543=$D$1,IF(AND($K543&lt;R$1,$L543&lt;R$1),"",IF(AND($K543&gt;S$1,$L543&gt;S$1),"",IF(AND($K543&lt;R$1,$L543&lt;=S$1),$L543-R$1,IF(AND($K543&gt;=R$1,$L543&gt;S$1),S$1-$K543,IF(AND($K543&gt;=R$1,$L543&lt;=S$1),$L543-$K543,IF(AND($K543&lt;R$1,$L543&gt;S$1),S$1-R$1,""))))))),"")</f>
        <v>0</v>
      </c>
      <c r="S543" s="78" t="b">
        <f t="shared" si="638"/>
        <v>0</v>
      </c>
      <c r="T543" s="78" t="b">
        <f t="shared" si="638"/>
        <v>0</v>
      </c>
      <c r="U543" s="78" t="b">
        <f t="shared" si="638"/>
        <v>0</v>
      </c>
      <c r="V543" s="78" t="b">
        <f t="shared" si="638"/>
        <v>0</v>
      </c>
      <c r="W543" s="78" t="b">
        <f t="shared" si="638"/>
        <v>0</v>
      </c>
      <c r="X543" s="78" t="b">
        <f t="shared" si="638"/>
        <v>0</v>
      </c>
      <c r="Y543" s="78" t="b">
        <f t="shared" si="638"/>
        <v>0</v>
      </c>
      <c r="Z543" s="78" t="b">
        <f t="shared" si="638"/>
        <v>0</v>
      </c>
      <c r="AA543" s="78" t="b">
        <f t="shared" si="638"/>
        <v>0</v>
      </c>
      <c r="AB543" s="78" t="b">
        <f t="shared" si="638"/>
        <v>0</v>
      </c>
      <c r="AC543" s="78" t="b">
        <f t="shared" si="638"/>
        <v>0</v>
      </c>
      <c r="AD543" s="78" t="b">
        <f t="shared" si="638"/>
        <v>0</v>
      </c>
      <c r="AE543" s="78" t="b">
        <f t="shared" si="638"/>
        <v>0</v>
      </c>
      <c r="AF543" s="78" t="b">
        <f t="shared" si="638"/>
        <v>0</v>
      </c>
      <c r="AG543" s="78" t="b">
        <f t="shared" si="638"/>
        <v>0</v>
      </c>
      <c r="AH543" s="78" t="b">
        <f t="shared" si="638"/>
        <v>0</v>
      </c>
      <c r="AI543" s="78" t="b">
        <f t="shared" si="638"/>
        <v>0</v>
      </c>
      <c r="AJ543" s="78" t="b">
        <f t="shared" si="638"/>
        <v>0</v>
      </c>
      <c r="AK543" s="78" t="b">
        <f t="shared" si="638"/>
        <v>0</v>
      </c>
      <c r="AL543" s="78" t="b">
        <f t="shared" si="638"/>
        <v>0</v>
      </c>
      <c r="AM543" s="78" t="b">
        <f t="shared" si="638"/>
        <v>0</v>
      </c>
      <c r="AN543" s="78" t="b">
        <f t="shared" si="638"/>
        <v>0</v>
      </c>
      <c r="AO543" s="78" t="b">
        <f t="shared" si="638"/>
        <v>0</v>
      </c>
      <c r="AP543" s="78"/>
    </row>
    <row r="544" spans="4:42" x14ac:dyDescent="0.35">
      <c r="D544" s="96"/>
      <c r="E544" s="96"/>
      <c r="G544" s="77">
        <f t="shared" si="603"/>
        <v>0</v>
      </c>
      <c r="H544" s="78">
        <f t="shared" si="604"/>
        <v>0</v>
      </c>
      <c r="I544" s="77">
        <f t="shared" si="605"/>
        <v>0</v>
      </c>
      <c r="J544" s="78">
        <f t="shared" si="606"/>
        <v>0</v>
      </c>
      <c r="K544" s="78" t="str">
        <f t="shared" si="607"/>
        <v>1900-01-00 00:0:00</v>
      </c>
      <c r="L544" s="78" t="str">
        <f t="shared" si="608"/>
        <v>1900-01-00 00:0:00</v>
      </c>
      <c r="M544" s="79">
        <f t="shared" si="609"/>
        <v>0</v>
      </c>
      <c r="N544">
        <f t="shared" si="610"/>
        <v>1</v>
      </c>
      <c r="O544" t="str">
        <f>IFERROR(_xlfn.XLOOKUP(A544,HC!A:A,HC!C:C),"")</f>
        <v>Workforce</v>
      </c>
      <c r="R544" s="78" t="b">
        <f t="shared" ref="R544:AO544" si="639">IFERROR(IF($B544=$D$1,IF(AND($K544&lt;R$1,$L544&lt;R$1),"",IF(AND($K544&gt;S$1,$L544&gt;S$1),"",IF(AND($K544&lt;R$1,$L544&lt;=S$1),$L544-R$1,IF(AND($K544&gt;=R$1,$L544&gt;S$1),S$1-$K544,IF(AND($K544&gt;=R$1,$L544&lt;=S$1),$L544-$K544,IF(AND($K544&lt;R$1,$L544&gt;S$1),S$1-R$1,""))))))),"")</f>
        <v>0</v>
      </c>
      <c r="S544" s="78" t="b">
        <f t="shared" si="639"/>
        <v>0</v>
      </c>
      <c r="T544" s="78" t="b">
        <f t="shared" si="639"/>
        <v>0</v>
      </c>
      <c r="U544" s="78" t="b">
        <f t="shared" si="639"/>
        <v>0</v>
      </c>
      <c r="V544" s="78" t="b">
        <f t="shared" si="639"/>
        <v>0</v>
      </c>
      <c r="W544" s="78" t="b">
        <f t="shared" si="639"/>
        <v>0</v>
      </c>
      <c r="X544" s="78" t="b">
        <f t="shared" si="639"/>
        <v>0</v>
      </c>
      <c r="Y544" s="78" t="b">
        <f t="shared" si="639"/>
        <v>0</v>
      </c>
      <c r="Z544" s="78" t="b">
        <f t="shared" si="639"/>
        <v>0</v>
      </c>
      <c r="AA544" s="78" t="b">
        <f t="shared" si="639"/>
        <v>0</v>
      </c>
      <c r="AB544" s="78" t="b">
        <f t="shared" si="639"/>
        <v>0</v>
      </c>
      <c r="AC544" s="78" t="b">
        <f t="shared" si="639"/>
        <v>0</v>
      </c>
      <c r="AD544" s="78" t="b">
        <f t="shared" si="639"/>
        <v>0</v>
      </c>
      <c r="AE544" s="78" t="b">
        <f t="shared" si="639"/>
        <v>0</v>
      </c>
      <c r="AF544" s="78" t="b">
        <f t="shared" si="639"/>
        <v>0</v>
      </c>
      <c r="AG544" s="78" t="b">
        <f t="shared" si="639"/>
        <v>0</v>
      </c>
      <c r="AH544" s="78" t="b">
        <f t="shared" si="639"/>
        <v>0</v>
      </c>
      <c r="AI544" s="78" t="b">
        <f t="shared" si="639"/>
        <v>0</v>
      </c>
      <c r="AJ544" s="78" t="b">
        <f t="shared" si="639"/>
        <v>0</v>
      </c>
      <c r="AK544" s="78" t="b">
        <f t="shared" si="639"/>
        <v>0</v>
      </c>
      <c r="AL544" s="78" t="b">
        <f t="shared" si="639"/>
        <v>0</v>
      </c>
      <c r="AM544" s="78" t="b">
        <f t="shared" si="639"/>
        <v>0</v>
      </c>
      <c r="AN544" s="78" t="b">
        <f t="shared" si="639"/>
        <v>0</v>
      </c>
      <c r="AO544" s="78" t="b">
        <f t="shared" si="639"/>
        <v>0</v>
      </c>
      <c r="AP544" s="78"/>
    </row>
    <row r="545" spans="4:42" x14ac:dyDescent="0.35">
      <c r="D545" s="96"/>
      <c r="E545" s="96"/>
      <c r="G545" s="77">
        <f t="shared" si="603"/>
        <v>0</v>
      </c>
      <c r="H545" s="78">
        <f t="shared" si="604"/>
        <v>0</v>
      </c>
      <c r="I545" s="77">
        <f t="shared" si="605"/>
        <v>0</v>
      </c>
      <c r="J545" s="78">
        <f t="shared" si="606"/>
        <v>0</v>
      </c>
      <c r="K545" s="78" t="str">
        <f t="shared" si="607"/>
        <v>1900-01-00 00:0:00</v>
      </c>
      <c r="L545" s="78" t="str">
        <f t="shared" si="608"/>
        <v>1900-01-00 00:0:00</v>
      </c>
      <c r="M545" s="79">
        <f t="shared" si="609"/>
        <v>0</v>
      </c>
      <c r="N545">
        <f t="shared" si="610"/>
        <v>1</v>
      </c>
      <c r="O545" t="str">
        <f>IFERROR(_xlfn.XLOOKUP(A545,HC!A:A,HC!C:C),"")</f>
        <v>Workforce</v>
      </c>
      <c r="R545" s="78" t="b">
        <f t="shared" ref="R545:AO545" si="640">IFERROR(IF($B545=$D$1,IF(AND($K545&lt;R$1,$L545&lt;R$1),"",IF(AND($K545&gt;S$1,$L545&gt;S$1),"",IF(AND($K545&lt;R$1,$L545&lt;=S$1),$L545-R$1,IF(AND($K545&gt;=R$1,$L545&gt;S$1),S$1-$K545,IF(AND($K545&gt;=R$1,$L545&lt;=S$1),$L545-$K545,IF(AND($K545&lt;R$1,$L545&gt;S$1),S$1-R$1,""))))))),"")</f>
        <v>0</v>
      </c>
      <c r="S545" s="78" t="b">
        <f t="shared" si="640"/>
        <v>0</v>
      </c>
      <c r="T545" s="78" t="b">
        <f t="shared" si="640"/>
        <v>0</v>
      </c>
      <c r="U545" s="78" t="b">
        <f t="shared" si="640"/>
        <v>0</v>
      </c>
      <c r="V545" s="78" t="b">
        <f t="shared" si="640"/>
        <v>0</v>
      </c>
      <c r="W545" s="78" t="b">
        <f t="shared" si="640"/>
        <v>0</v>
      </c>
      <c r="X545" s="78" t="b">
        <f t="shared" si="640"/>
        <v>0</v>
      </c>
      <c r="Y545" s="78" t="b">
        <f t="shared" si="640"/>
        <v>0</v>
      </c>
      <c r="Z545" s="78" t="b">
        <f t="shared" si="640"/>
        <v>0</v>
      </c>
      <c r="AA545" s="78" t="b">
        <f t="shared" si="640"/>
        <v>0</v>
      </c>
      <c r="AB545" s="78" t="b">
        <f t="shared" si="640"/>
        <v>0</v>
      </c>
      <c r="AC545" s="78" t="b">
        <f t="shared" si="640"/>
        <v>0</v>
      </c>
      <c r="AD545" s="78" t="b">
        <f t="shared" si="640"/>
        <v>0</v>
      </c>
      <c r="AE545" s="78" t="b">
        <f t="shared" si="640"/>
        <v>0</v>
      </c>
      <c r="AF545" s="78" t="b">
        <f t="shared" si="640"/>
        <v>0</v>
      </c>
      <c r="AG545" s="78" t="b">
        <f t="shared" si="640"/>
        <v>0</v>
      </c>
      <c r="AH545" s="78" t="b">
        <f t="shared" si="640"/>
        <v>0</v>
      </c>
      <c r="AI545" s="78" t="b">
        <f t="shared" si="640"/>
        <v>0</v>
      </c>
      <c r="AJ545" s="78" t="b">
        <f t="shared" si="640"/>
        <v>0</v>
      </c>
      <c r="AK545" s="78" t="b">
        <f t="shared" si="640"/>
        <v>0</v>
      </c>
      <c r="AL545" s="78" t="b">
        <f t="shared" si="640"/>
        <v>0</v>
      </c>
      <c r="AM545" s="78" t="b">
        <f t="shared" si="640"/>
        <v>0</v>
      </c>
      <c r="AN545" s="78" t="b">
        <f t="shared" si="640"/>
        <v>0</v>
      </c>
      <c r="AO545" s="78" t="b">
        <f t="shared" si="640"/>
        <v>0</v>
      </c>
      <c r="AP545" s="78"/>
    </row>
    <row r="546" spans="4:42" x14ac:dyDescent="0.35">
      <c r="D546" s="96"/>
      <c r="E546" s="96"/>
      <c r="G546" s="77">
        <f t="shared" si="603"/>
        <v>0</v>
      </c>
      <c r="H546" s="78">
        <f t="shared" si="604"/>
        <v>0</v>
      </c>
      <c r="I546" s="77">
        <f t="shared" si="605"/>
        <v>0</v>
      </c>
      <c r="J546" s="78">
        <f t="shared" si="606"/>
        <v>0</v>
      </c>
      <c r="K546" s="78" t="str">
        <f t="shared" si="607"/>
        <v>1900-01-00 00:0:00</v>
      </c>
      <c r="L546" s="78" t="str">
        <f t="shared" si="608"/>
        <v>1900-01-00 00:0:00</v>
      </c>
      <c r="M546" s="79">
        <f t="shared" si="609"/>
        <v>0</v>
      </c>
      <c r="N546">
        <f t="shared" si="610"/>
        <v>1</v>
      </c>
      <c r="O546" t="str">
        <f>IFERROR(_xlfn.XLOOKUP(A546,HC!A:A,HC!C:C),"")</f>
        <v>Workforce</v>
      </c>
      <c r="R546" s="78" t="b">
        <f t="shared" ref="R546:AO546" si="641">IFERROR(IF($B546=$D$1,IF(AND($K546&lt;R$1,$L546&lt;R$1),"",IF(AND($K546&gt;S$1,$L546&gt;S$1),"",IF(AND($K546&lt;R$1,$L546&lt;=S$1),$L546-R$1,IF(AND($K546&gt;=R$1,$L546&gt;S$1),S$1-$K546,IF(AND($K546&gt;=R$1,$L546&lt;=S$1),$L546-$K546,IF(AND($K546&lt;R$1,$L546&gt;S$1),S$1-R$1,""))))))),"")</f>
        <v>0</v>
      </c>
      <c r="S546" s="78" t="b">
        <f t="shared" si="641"/>
        <v>0</v>
      </c>
      <c r="T546" s="78" t="b">
        <f t="shared" si="641"/>
        <v>0</v>
      </c>
      <c r="U546" s="78" t="b">
        <f t="shared" si="641"/>
        <v>0</v>
      </c>
      <c r="V546" s="78" t="b">
        <f t="shared" si="641"/>
        <v>0</v>
      </c>
      <c r="W546" s="78" t="b">
        <f t="shared" si="641"/>
        <v>0</v>
      </c>
      <c r="X546" s="78" t="b">
        <f t="shared" si="641"/>
        <v>0</v>
      </c>
      <c r="Y546" s="78" t="b">
        <f t="shared" si="641"/>
        <v>0</v>
      </c>
      <c r="Z546" s="78" t="b">
        <f t="shared" si="641"/>
        <v>0</v>
      </c>
      <c r="AA546" s="78" t="b">
        <f t="shared" si="641"/>
        <v>0</v>
      </c>
      <c r="AB546" s="78" t="b">
        <f t="shared" si="641"/>
        <v>0</v>
      </c>
      <c r="AC546" s="78" t="b">
        <f t="shared" si="641"/>
        <v>0</v>
      </c>
      <c r="AD546" s="78" t="b">
        <f t="shared" si="641"/>
        <v>0</v>
      </c>
      <c r="AE546" s="78" t="b">
        <f t="shared" si="641"/>
        <v>0</v>
      </c>
      <c r="AF546" s="78" t="b">
        <f t="shared" si="641"/>
        <v>0</v>
      </c>
      <c r="AG546" s="78" t="b">
        <f t="shared" si="641"/>
        <v>0</v>
      </c>
      <c r="AH546" s="78" t="b">
        <f t="shared" si="641"/>
        <v>0</v>
      </c>
      <c r="AI546" s="78" t="b">
        <f t="shared" si="641"/>
        <v>0</v>
      </c>
      <c r="AJ546" s="78" t="b">
        <f t="shared" si="641"/>
        <v>0</v>
      </c>
      <c r="AK546" s="78" t="b">
        <f t="shared" si="641"/>
        <v>0</v>
      </c>
      <c r="AL546" s="78" t="b">
        <f t="shared" si="641"/>
        <v>0</v>
      </c>
      <c r="AM546" s="78" t="b">
        <f t="shared" si="641"/>
        <v>0</v>
      </c>
      <c r="AN546" s="78" t="b">
        <f t="shared" si="641"/>
        <v>0</v>
      </c>
      <c r="AO546" s="78" t="b">
        <f t="shared" si="641"/>
        <v>0</v>
      </c>
      <c r="AP546" s="78"/>
    </row>
    <row r="547" spans="4:42" x14ac:dyDescent="0.35">
      <c r="D547" s="96"/>
      <c r="E547" s="96"/>
      <c r="G547" s="77">
        <f t="shared" si="603"/>
        <v>0</v>
      </c>
      <c r="H547" s="78">
        <f t="shared" si="604"/>
        <v>0</v>
      </c>
      <c r="I547" s="77">
        <f t="shared" si="605"/>
        <v>0</v>
      </c>
      <c r="J547" s="78">
        <f t="shared" si="606"/>
        <v>0</v>
      </c>
      <c r="K547" s="78" t="str">
        <f t="shared" si="607"/>
        <v>1900-01-00 00:0:00</v>
      </c>
      <c r="L547" s="78" t="str">
        <f t="shared" si="608"/>
        <v>1900-01-00 00:0:00</v>
      </c>
      <c r="M547" s="79">
        <f t="shared" si="609"/>
        <v>0</v>
      </c>
      <c r="N547">
        <f t="shared" si="610"/>
        <v>1</v>
      </c>
      <c r="O547" t="str">
        <f>IFERROR(_xlfn.XLOOKUP(A547,HC!A:A,HC!C:C),"")</f>
        <v>Workforce</v>
      </c>
      <c r="R547" s="78" t="b">
        <f t="shared" ref="R547:AO547" si="642">IFERROR(IF($B547=$D$1,IF(AND($K547&lt;R$1,$L547&lt;R$1),"",IF(AND($K547&gt;S$1,$L547&gt;S$1),"",IF(AND($K547&lt;R$1,$L547&lt;=S$1),$L547-R$1,IF(AND($K547&gt;=R$1,$L547&gt;S$1),S$1-$K547,IF(AND($K547&gt;=R$1,$L547&lt;=S$1),$L547-$K547,IF(AND($K547&lt;R$1,$L547&gt;S$1),S$1-R$1,""))))))),"")</f>
        <v>0</v>
      </c>
      <c r="S547" s="78" t="b">
        <f t="shared" si="642"/>
        <v>0</v>
      </c>
      <c r="T547" s="78" t="b">
        <f t="shared" si="642"/>
        <v>0</v>
      </c>
      <c r="U547" s="78" t="b">
        <f t="shared" si="642"/>
        <v>0</v>
      </c>
      <c r="V547" s="78" t="b">
        <f t="shared" si="642"/>
        <v>0</v>
      </c>
      <c r="W547" s="78" t="b">
        <f t="shared" si="642"/>
        <v>0</v>
      </c>
      <c r="X547" s="78" t="b">
        <f t="shared" si="642"/>
        <v>0</v>
      </c>
      <c r="Y547" s="78" t="b">
        <f t="shared" si="642"/>
        <v>0</v>
      </c>
      <c r="Z547" s="78" t="b">
        <f t="shared" si="642"/>
        <v>0</v>
      </c>
      <c r="AA547" s="78" t="b">
        <f t="shared" si="642"/>
        <v>0</v>
      </c>
      <c r="AB547" s="78" t="b">
        <f t="shared" si="642"/>
        <v>0</v>
      </c>
      <c r="AC547" s="78" t="b">
        <f t="shared" si="642"/>
        <v>0</v>
      </c>
      <c r="AD547" s="78" t="b">
        <f t="shared" si="642"/>
        <v>0</v>
      </c>
      <c r="AE547" s="78" t="b">
        <f t="shared" si="642"/>
        <v>0</v>
      </c>
      <c r="AF547" s="78" t="b">
        <f t="shared" si="642"/>
        <v>0</v>
      </c>
      <c r="AG547" s="78" t="b">
        <f t="shared" si="642"/>
        <v>0</v>
      </c>
      <c r="AH547" s="78" t="b">
        <f t="shared" si="642"/>
        <v>0</v>
      </c>
      <c r="AI547" s="78" t="b">
        <f t="shared" si="642"/>
        <v>0</v>
      </c>
      <c r="AJ547" s="78" t="b">
        <f t="shared" si="642"/>
        <v>0</v>
      </c>
      <c r="AK547" s="78" t="b">
        <f t="shared" si="642"/>
        <v>0</v>
      </c>
      <c r="AL547" s="78" t="b">
        <f t="shared" si="642"/>
        <v>0</v>
      </c>
      <c r="AM547" s="78" t="b">
        <f t="shared" si="642"/>
        <v>0</v>
      </c>
      <c r="AN547" s="78" t="b">
        <f t="shared" si="642"/>
        <v>0</v>
      </c>
      <c r="AO547" s="78" t="b">
        <f t="shared" si="642"/>
        <v>0</v>
      </c>
      <c r="AP547" s="78"/>
    </row>
    <row r="548" spans="4:42" x14ac:dyDescent="0.35">
      <c r="D548" s="96"/>
      <c r="E548" s="96"/>
      <c r="G548" s="77">
        <f t="shared" si="603"/>
        <v>0</v>
      </c>
      <c r="H548" s="78">
        <f t="shared" si="604"/>
        <v>0</v>
      </c>
      <c r="I548" s="77">
        <f t="shared" si="605"/>
        <v>0</v>
      </c>
      <c r="J548" s="78">
        <f t="shared" si="606"/>
        <v>0</v>
      </c>
      <c r="K548" s="78" t="str">
        <f t="shared" si="607"/>
        <v>1900-01-00 00:0:00</v>
      </c>
      <c r="L548" s="78" t="str">
        <f t="shared" si="608"/>
        <v>1900-01-00 00:0:00</v>
      </c>
      <c r="M548" s="79">
        <f t="shared" si="609"/>
        <v>0</v>
      </c>
      <c r="N548">
        <f t="shared" si="610"/>
        <v>1</v>
      </c>
      <c r="O548" t="str">
        <f>IFERROR(_xlfn.XLOOKUP(A548,HC!A:A,HC!C:C),"")</f>
        <v>Workforce</v>
      </c>
      <c r="R548" s="78" t="b">
        <f t="shared" ref="R548:AO548" si="643">IFERROR(IF($B548=$D$1,IF(AND($K548&lt;R$1,$L548&lt;R$1),"",IF(AND($K548&gt;S$1,$L548&gt;S$1),"",IF(AND($K548&lt;R$1,$L548&lt;=S$1),$L548-R$1,IF(AND($K548&gt;=R$1,$L548&gt;S$1),S$1-$K548,IF(AND($K548&gt;=R$1,$L548&lt;=S$1),$L548-$K548,IF(AND($K548&lt;R$1,$L548&gt;S$1),S$1-R$1,""))))))),"")</f>
        <v>0</v>
      </c>
      <c r="S548" s="78" t="b">
        <f t="shared" si="643"/>
        <v>0</v>
      </c>
      <c r="T548" s="78" t="b">
        <f t="shared" si="643"/>
        <v>0</v>
      </c>
      <c r="U548" s="78" t="b">
        <f t="shared" si="643"/>
        <v>0</v>
      </c>
      <c r="V548" s="78" t="b">
        <f t="shared" si="643"/>
        <v>0</v>
      </c>
      <c r="W548" s="78" t="b">
        <f t="shared" si="643"/>
        <v>0</v>
      </c>
      <c r="X548" s="78" t="b">
        <f t="shared" si="643"/>
        <v>0</v>
      </c>
      <c r="Y548" s="78" t="b">
        <f t="shared" si="643"/>
        <v>0</v>
      </c>
      <c r="Z548" s="78" t="b">
        <f t="shared" si="643"/>
        <v>0</v>
      </c>
      <c r="AA548" s="78" t="b">
        <f t="shared" si="643"/>
        <v>0</v>
      </c>
      <c r="AB548" s="78" t="b">
        <f t="shared" si="643"/>
        <v>0</v>
      </c>
      <c r="AC548" s="78" t="b">
        <f t="shared" si="643"/>
        <v>0</v>
      </c>
      <c r="AD548" s="78" t="b">
        <f t="shared" si="643"/>
        <v>0</v>
      </c>
      <c r="AE548" s="78" t="b">
        <f t="shared" si="643"/>
        <v>0</v>
      </c>
      <c r="AF548" s="78" t="b">
        <f t="shared" si="643"/>
        <v>0</v>
      </c>
      <c r="AG548" s="78" t="b">
        <f t="shared" si="643"/>
        <v>0</v>
      </c>
      <c r="AH548" s="78" t="b">
        <f t="shared" si="643"/>
        <v>0</v>
      </c>
      <c r="AI548" s="78" t="b">
        <f t="shared" si="643"/>
        <v>0</v>
      </c>
      <c r="AJ548" s="78" t="b">
        <f t="shared" si="643"/>
        <v>0</v>
      </c>
      <c r="AK548" s="78" t="b">
        <f t="shared" si="643"/>
        <v>0</v>
      </c>
      <c r="AL548" s="78" t="b">
        <f t="shared" si="643"/>
        <v>0</v>
      </c>
      <c r="AM548" s="78" t="b">
        <f t="shared" si="643"/>
        <v>0</v>
      </c>
      <c r="AN548" s="78" t="b">
        <f t="shared" si="643"/>
        <v>0</v>
      </c>
      <c r="AO548" s="78" t="b">
        <f t="shared" si="643"/>
        <v>0</v>
      </c>
      <c r="AP548" s="78"/>
    </row>
    <row r="549" spans="4:42" x14ac:dyDescent="0.35">
      <c r="D549" s="96"/>
      <c r="E549" s="96"/>
      <c r="G549" s="77">
        <f t="shared" si="603"/>
        <v>0</v>
      </c>
      <c r="H549" s="78">
        <f t="shared" si="604"/>
        <v>0</v>
      </c>
      <c r="I549" s="77">
        <f t="shared" si="605"/>
        <v>0</v>
      </c>
      <c r="J549" s="78">
        <f t="shared" si="606"/>
        <v>0</v>
      </c>
      <c r="K549" s="78" t="str">
        <f t="shared" si="607"/>
        <v>1900-01-00 00:0:00</v>
      </c>
      <c r="L549" s="78" t="str">
        <f t="shared" si="608"/>
        <v>1900-01-00 00:0:00</v>
      </c>
      <c r="M549" s="79">
        <f t="shared" si="609"/>
        <v>0</v>
      </c>
      <c r="N549">
        <f t="shared" si="610"/>
        <v>1</v>
      </c>
      <c r="O549" t="str">
        <f>IFERROR(_xlfn.XLOOKUP(A549,HC!A:A,HC!C:C),"")</f>
        <v>Workforce</v>
      </c>
      <c r="R549" s="78" t="b">
        <f t="shared" ref="R549:AO549" si="644">IFERROR(IF($B549=$D$1,IF(AND($K549&lt;R$1,$L549&lt;R$1),"",IF(AND($K549&gt;S$1,$L549&gt;S$1),"",IF(AND($K549&lt;R$1,$L549&lt;=S$1),$L549-R$1,IF(AND($K549&gt;=R$1,$L549&gt;S$1),S$1-$K549,IF(AND($K549&gt;=R$1,$L549&lt;=S$1),$L549-$K549,IF(AND($K549&lt;R$1,$L549&gt;S$1),S$1-R$1,""))))))),"")</f>
        <v>0</v>
      </c>
      <c r="S549" s="78" t="b">
        <f t="shared" si="644"/>
        <v>0</v>
      </c>
      <c r="T549" s="78" t="b">
        <f t="shared" si="644"/>
        <v>0</v>
      </c>
      <c r="U549" s="78" t="b">
        <f t="shared" si="644"/>
        <v>0</v>
      </c>
      <c r="V549" s="78" t="b">
        <f t="shared" si="644"/>
        <v>0</v>
      </c>
      <c r="W549" s="78" t="b">
        <f t="shared" si="644"/>
        <v>0</v>
      </c>
      <c r="X549" s="78" t="b">
        <f t="shared" si="644"/>
        <v>0</v>
      </c>
      <c r="Y549" s="78" t="b">
        <f t="shared" si="644"/>
        <v>0</v>
      </c>
      <c r="Z549" s="78" t="b">
        <f t="shared" si="644"/>
        <v>0</v>
      </c>
      <c r="AA549" s="78" t="b">
        <f t="shared" si="644"/>
        <v>0</v>
      </c>
      <c r="AB549" s="78" t="b">
        <f t="shared" si="644"/>
        <v>0</v>
      </c>
      <c r="AC549" s="78" t="b">
        <f t="shared" si="644"/>
        <v>0</v>
      </c>
      <c r="AD549" s="78" t="b">
        <f t="shared" si="644"/>
        <v>0</v>
      </c>
      <c r="AE549" s="78" t="b">
        <f t="shared" si="644"/>
        <v>0</v>
      </c>
      <c r="AF549" s="78" t="b">
        <f t="shared" si="644"/>
        <v>0</v>
      </c>
      <c r="AG549" s="78" t="b">
        <f t="shared" si="644"/>
        <v>0</v>
      </c>
      <c r="AH549" s="78" t="b">
        <f t="shared" si="644"/>
        <v>0</v>
      </c>
      <c r="AI549" s="78" t="b">
        <f t="shared" si="644"/>
        <v>0</v>
      </c>
      <c r="AJ549" s="78" t="b">
        <f t="shared" si="644"/>
        <v>0</v>
      </c>
      <c r="AK549" s="78" t="b">
        <f t="shared" si="644"/>
        <v>0</v>
      </c>
      <c r="AL549" s="78" t="b">
        <f t="shared" si="644"/>
        <v>0</v>
      </c>
      <c r="AM549" s="78" t="b">
        <f t="shared" si="644"/>
        <v>0</v>
      </c>
      <c r="AN549" s="78" t="b">
        <f t="shared" si="644"/>
        <v>0</v>
      </c>
      <c r="AO549" s="78" t="b">
        <f t="shared" si="644"/>
        <v>0</v>
      </c>
      <c r="AP549" s="78"/>
    </row>
    <row r="550" spans="4:42" x14ac:dyDescent="0.35">
      <c r="D550" s="96"/>
      <c r="E550" s="96"/>
      <c r="G550" s="77">
        <f t="shared" si="603"/>
        <v>0</v>
      </c>
      <c r="H550" s="78">
        <f t="shared" si="604"/>
        <v>0</v>
      </c>
      <c r="I550" s="77">
        <f t="shared" si="605"/>
        <v>0</v>
      </c>
      <c r="J550" s="78">
        <f t="shared" si="606"/>
        <v>0</v>
      </c>
      <c r="K550" s="78" t="str">
        <f t="shared" si="607"/>
        <v>1900-01-00 00:0:00</v>
      </c>
      <c r="L550" s="78" t="str">
        <f t="shared" si="608"/>
        <v>1900-01-00 00:0:00</v>
      </c>
      <c r="M550" s="79">
        <f t="shared" si="609"/>
        <v>0</v>
      </c>
      <c r="N550">
        <f t="shared" si="610"/>
        <v>1</v>
      </c>
      <c r="O550" t="str">
        <f>IFERROR(_xlfn.XLOOKUP(A550,HC!A:A,HC!C:C),"")</f>
        <v>Workforce</v>
      </c>
      <c r="R550" s="78" t="b">
        <f t="shared" ref="R550:AO550" si="645">IFERROR(IF($B550=$D$1,IF(AND($K550&lt;R$1,$L550&lt;R$1),"",IF(AND($K550&gt;S$1,$L550&gt;S$1),"",IF(AND($K550&lt;R$1,$L550&lt;=S$1),$L550-R$1,IF(AND($K550&gt;=R$1,$L550&gt;S$1),S$1-$K550,IF(AND($K550&gt;=R$1,$L550&lt;=S$1),$L550-$K550,IF(AND($K550&lt;R$1,$L550&gt;S$1),S$1-R$1,""))))))),"")</f>
        <v>0</v>
      </c>
      <c r="S550" s="78" t="b">
        <f t="shared" si="645"/>
        <v>0</v>
      </c>
      <c r="T550" s="78" t="b">
        <f t="shared" si="645"/>
        <v>0</v>
      </c>
      <c r="U550" s="78" t="b">
        <f t="shared" si="645"/>
        <v>0</v>
      </c>
      <c r="V550" s="78" t="b">
        <f t="shared" si="645"/>
        <v>0</v>
      </c>
      <c r="W550" s="78" t="b">
        <f t="shared" si="645"/>
        <v>0</v>
      </c>
      <c r="X550" s="78" t="b">
        <f t="shared" si="645"/>
        <v>0</v>
      </c>
      <c r="Y550" s="78" t="b">
        <f t="shared" si="645"/>
        <v>0</v>
      </c>
      <c r="Z550" s="78" t="b">
        <f t="shared" si="645"/>
        <v>0</v>
      </c>
      <c r="AA550" s="78" t="b">
        <f t="shared" si="645"/>
        <v>0</v>
      </c>
      <c r="AB550" s="78" t="b">
        <f t="shared" si="645"/>
        <v>0</v>
      </c>
      <c r="AC550" s="78" t="b">
        <f t="shared" si="645"/>
        <v>0</v>
      </c>
      <c r="AD550" s="78" t="b">
        <f t="shared" si="645"/>
        <v>0</v>
      </c>
      <c r="AE550" s="78" t="b">
        <f t="shared" si="645"/>
        <v>0</v>
      </c>
      <c r="AF550" s="78" t="b">
        <f t="shared" si="645"/>
        <v>0</v>
      </c>
      <c r="AG550" s="78" t="b">
        <f t="shared" si="645"/>
        <v>0</v>
      </c>
      <c r="AH550" s="78" t="b">
        <f t="shared" si="645"/>
        <v>0</v>
      </c>
      <c r="AI550" s="78" t="b">
        <f t="shared" si="645"/>
        <v>0</v>
      </c>
      <c r="AJ550" s="78" t="b">
        <f t="shared" si="645"/>
        <v>0</v>
      </c>
      <c r="AK550" s="78" t="b">
        <f t="shared" si="645"/>
        <v>0</v>
      </c>
      <c r="AL550" s="78" t="b">
        <f t="shared" si="645"/>
        <v>0</v>
      </c>
      <c r="AM550" s="78" t="b">
        <f t="shared" si="645"/>
        <v>0</v>
      </c>
      <c r="AN550" s="78" t="b">
        <f t="shared" si="645"/>
        <v>0</v>
      </c>
      <c r="AO550" s="78" t="b">
        <f t="shared" si="645"/>
        <v>0</v>
      </c>
      <c r="AP550" s="78"/>
    </row>
    <row r="551" spans="4:42" x14ac:dyDescent="0.35">
      <c r="D551" s="96"/>
      <c r="E551" s="96"/>
      <c r="G551" s="77">
        <f t="shared" si="603"/>
        <v>0</v>
      </c>
      <c r="H551" s="78">
        <f t="shared" si="604"/>
        <v>0</v>
      </c>
      <c r="I551" s="77">
        <f t="shared" si="605"/>
        <v>0</v>
      </c>
      <c r="J551" s="78">
        <f t="shared" si="606"/>
        <v>0</v>
      </c>
      <c r="K551" s="78" t="str">
        <f t="shared" si="607"/>
        <v>1900-01-00 00:0:00</v>
      </c>
      <c r="L551" s="78" t="str">
        <f t="shared" si="608"/>
        <v>1900-01-00 00:0:00</v>
      </c>
      <c r="M551" s="79">
        <f t="shared" si="609"/>
        <v>0</v>
      </c>
      <c r="N551">
        <f t="shared" si="610"/>
        <v>1</v>
      </c>
      <c r="O551" t="str">
        <f>IFERROR(_xlfn.XLOOKUP(A551,HC!A:A,HC!C:C),"")</f>
        <v>Workforce</v>
      </c>
      <c r="R551" s="78" t="b">
        <f t="shared" ref="R551:AO551" si="646">IFERROR(IF($B551=$D$1,IF(AND($K551&lt;R$1,$L551&lt;R$1),"",IF(AND($K551&gt;S$1,$L551&gt;S$1),"",IF(AND($K551&lt;R$1,$L551&lt;=S$1),$L551-R$1,IF(AND($K551&gt;=R$1,$L551&gt;S$1),S$1-$K551,IF(AND($K551&gt;=R$1,$L551&lt;=S$1),$L551-$K551,IF(AND($K551&lt;R$1,$L551&gt;S$1),S$1-R$1,""))))))),"")</f>
        <v>0</v>
      </c>
      <c r="S551" s="78" t="b">
        <f t="shared" si="646"/>
        <v>0</v>
      </c>
      <c r="T551" s="78" t="b">
        <f t="shared" si="646"/>
        <v>0</v>
      </c>
      <c r="U551" s="78" t="b">
        <f t="shared" si="646"/>
        <v>0</v>
      </c>
      <c r="V551" s="78" t="b">
        <f t="shared" si="646"/>
        <v>0</v>
      </c>
      <c r="W551" s="78" t="b">
        <f t="shared" si="646"/>
        <v>0</v>
      </c>
      <c r="X551" s="78" t="b">
        <f t="shared" si="646"/>
        <v>0</v>
      </c>
      <c r="Y551" s="78" t="b">
        <f t="shared" si="646"/>
        <v>0</v>
      </c>
      <c r="Z551" s="78" t="b">
        <f t="shared" si="646"/>
        <v>0</v>
      </c>
      <c r="AA551" s="78" t="b">
        <f t="shared" si="646"/>
        <v>0</v>
      </c>
      <c r="AB551" s="78" t="b">
        <f t="shared" si="646"/>
        <v>0</v>
      </c>
      <c r="AC551" s="78" t="b">
        <f t="shared" si="646"/>
        <v>0</v>
      </c>
      <c r="AD551" s="78" t="b">
        <f t="shared" si="646"/>
        <v>0</v>
      </c>
      <c r="AE551" s="78" t="b">
        <f t="shared" si="646"/>
        <v>0</v>
      </c>
      <c r="AF551" s="78" t="b">
        <f t="shared" si="646"/>
        <v>0</v>
      </c>
      <c r="AG551" s="78" t="b">
        <f t="shared" si="646"/>
        <v>0</v>
      </c>
      <c r="AH551" s="78" t="b">
        <f t="shared" si="646"/>
        <v>0</v>
      </c>
      <c r="AI551" s="78" t="b">
        <f t="shared" si="646"/>
        <v>0</v>
      </c>
      <c r="AJ551" s="78" t="b">
        <f t="shared" si="646"/>
        <v>0</v>
      </c>
      <c r="AK551" s="78" t="b">
        <f t="shared" si="646"/>
        <v>0</v>
      </c>
      <c r="AL551" s="78" t="b">
        <f t="shared" si="646"/>
        <v>0</v>
      </c>
      <c r="AM551" s="78" t="b">
        <f t="shared" si="646"/>
        <v>0</v>
      </c>
      <c r="AN551" s="78" t="b">
        <f t="shared" si="646"/>
        <v>0</v>
      </c>
      <c r="AO551" s="78" t="b">
        <f t="shared" si="646"/>
        <v>0</v>
      </c>
      <c r="AP551" s="78"/>
    </row>
    <row r="552" spans="4:42" x14ac:dyDescent="0.35">
      <c r="D552" s="96"/>
      <c r="E552" s="96"/>
      <c r="G552" s="77">
        <f t="shared" si="603"/>
        <v>0</v>
      </c>
      <c r="H552" s="78">
        <f t="shared" si="604"/>
        <v>0</v>
      </c>
      <c r="I552" s="77">
        <f t="shared" si="605"/>
        <v>0</v>
      </c>
      <c r="J552" s="78">
        <f t="shared" si="606"/>
        <v>0</v>
      </c>
      <c r="K552" s="78" t="str">
        <f t="shared" si="607"/>
        <v>1900-01-00 00:0:00</v>
      </c>
      <c r="L552" s="78" t="str">
        <f t="shared" si="608"/>
        <v>1900-01-00 00:0:00</v>
      </c>
      <c r="M552" s="79">
        <f t="shared" si="609"/>
        <v>0</v>
      </c>
      <c r="N552">
        <f t="shared" si="610"/>
        <v>1</v>
      </c>
      <c r="O552" t="str">
        <f>IFERROR(_xlfn.XLOOKUP(A552,HC!A:A,HC!C:C),"")</f>
        <v>Workforce</v>
      </c>
      <c r="R552" s="78" t="b">
        <f t="shared" ref="R552:AO552" si="647">IFERROR(IF($B552=$D$1,IF(AND($K552&lt;R$1,$L552&lt;R$1),"",IF(AND($K552&gt;S$1,$L552&gt;S$1),"",IF(AND($K552&lt;R$1,$L552&lt;=S$1),$L552-R$1,IF(AND($K552&gt;=R$1,$L552&gt;S$1),S$1-$K552,IF(AND($K552&gt;=R$1,$L552&lt;=S$1),$L552-$K552,IF(AND($K552&lt;R$1,$L552&gt;S$1),S$1-R$1,""))))))),"")</f>
        <v>0</v>
      </c>
      <c r="S552" s="78" t="b">
        <f t="shared" si="647"/>
        <v>0</v>
      </c>
      <c r="T552" s="78" t="b">
        <f t="shared" si="647"/>
        <v>0</v>
      </c>
      <c r="U552" s="78" t="b">
        <f t="shared" si="647"/>
        <v>0</v>
      </c>
      <c r="V552" s="78" t="b">
        <f t="shared" si="647"/>
        <v>0</v>
      </c>
      <c r="W552" s="78" t="b">
        <f t="shared" si="647"/>
        <v>0</v>
      </c>
      <c r="X552" s="78" t="b">
        <f t="shared" si="647"/>
        <v>0</v>
      </c>
      <c r="Y552" s="78" t="b">
        <f t="shared" si="647"/>
        <v>0</v>
      </c>
      <c r="Z552" s="78" t="b">
        <f t="shared" si="647"/>
        <v>0</v>
      </c>
      <c r="AA552" s="78" t="b">
        <f t="shared" si="647"/>
        <v>0</v>
      </c>
      <c r="AB552" s="78" t="b">
        <f t="shared" si="647"/>
        <v>0</v>
      </c>
      <c r="AC552" s="78" t="b">
        <f t="shared" si="647"/>
        <v>0</v>
      </c>
      <c r="AD552" s="78" t="b">
        <f t="shared" si="647"/>
        <v>0</v>
      </c>
      <c r="AE552" s="78" t="b">
        <f t="shared" si="647"/>
        <v>0</v>
      </c>
      <c r="AF552" s="78" t="b">
        <f t="shared" si="647"/>
        <v>0</v>
      </c>
      <c r="AG552" s="78" t="b">
        <f t="shared" si="647"/>
        <v>0</v>
      </c>
      <c r="AH552" s="78" t="b">
        <f t="shared" si="647"/>
        <v>0</v>
      </c>
      <c r="AI552" s="78" t="b">
        <f t="shared" si="647"/>
        <v>0</v>
      </c>
      <c r="AJ552" s="78" t="b">
        <f t="shared" si="647"/>
        <v>0</v>
      </c>
      <c r="AK552" s="78" t="b">
        <f t="shared" si="647"/>
        <v>0</v>
      </c>
      <c r="AL552" s="78" t="b">
        <f t="shared" si="647"/>
        <v>0</v>
      </c>
      <c r="AM552" s="78" t="b">
        <f t="shared" si="647"/>
        <v>0</v>
      </c>
      <c r="AN552" s="78" t="b">
        <f t="shared" si="647"/>
        <v>0</v>
      </c>
      <c r="AO552" s="78" t="b">
        <f t="shared" si="647"/>
        <v>0</v>
      </c>
      <c r="AP552" s="78"/>
    </row>
    <row r="553" spans="4:42" x14ac:dyDescent="0.35">
      <c r="D553" s="96"/>
      <c r="E553" s="96"/>
      <c r="G553" s="77">
        <f t="shared" si="603"/>
        <v>0</v>
      </c>
      <c r="H553" s="78">
        <f t="shared" si="604"/>
        <v>0</v>
      </c>
      <c r="I553" s="77">
        <f t="shared" si="605"/>
        <v>0</v>
      </c>
      <c r="J553" s="78">
        <f t="shared" si="606"/>
        <v>0</v>
      </c>
      <c r="K553" s="78" t="str">
        <f t="shared" si="607"/>
        <v>1900-01-00 00:0:00</v>
      </c>
      <c r="L553" s="78" t="str">
        <f t="shared" si="608"/>
        <v>1900-01-00 00:0:00</v>
      </c>
      <c r="M553" s="79">
        <f t="shared" si="609"/>
        <v>0</v>
      </c>
      <c r="N553">
        <f t="shared" si="610"/>
        <v>1</v>
      </c>
      <c r="O553" t="str">
        <f>IFERROR(_xlfn.XLOOKUP(A553,HC!A:A,HC!C:C),"")</f>
        <v>Workforce</v>
      </c>
      <c r="R553" s="78" t="b">
        <f t="shared" ref="R553:AO553" si="648">IFERROR(IF($B553=$D$1,IF(AND($K553&lt;R$1,$L553&lt;R$1),"",IF(AND($K553&gt;S$1,$L553&gt;S$1),"",IF(AND($K553&lt;R$1,$L553&lt;=S$1),$L553-R$1,IF(AND($K553&gt;=R$1,$L553&gt;S$1),S$1-$K553,IF(AND($K553&gt;=R$1,$L553&lt;=S$1),$L553-$K553,IF(AND($K553&lt;R$1,$L553&gt;S$1),S$1-R$1,""))))))),"")</f>
        <v>0</v>
      </c>
      <c r="S553" s="78" t="b">
        <f t="shared" si="648"/>
        <v>0</v>
      </c>
      <c r="T553" s="78" t="b">
        <f t="shared" si="648"/>
        <v>0</v>
      </c>
      <c r="U553" s="78" t="b">
        <f t="shared" si="648"/>
        <v>0</v>
      </c>
      <c r="V553" s="78" t="b">
        <f t="shared" si="648"/>
        <v>0</v>
      </c>
      <c r="W553" s="78" t="b">
        <f t="shared" si="648"/>
        <v>0</v>
      </c>
      <c r="X553" s="78" t="b">
        <f t="shared" si="648"/>
        <v>0</v>
      </c>
      <c r="Y553" s="78" t="b">
        <f t="shared" si="648"/>
        <v>0</v>
      </c>
      <c r="Z553" s="78" t="b">
        <f t="shared" si="648"/>
        <v>0</v>
      </c>
      <c r="AA553" s="78" t="b">
        <f t="shared" si="648"/>
        <v>0</v>
      </c>
      <c r="AB553" s="78" t="b">
        <f t="shared" si="648"/>
        <v>0</v>
      </c>
      <c r="AC553" s="78" t="b">
        <f t="shared" si="648"/>
        <v>0</v>
      </c>
      <c r="AD553" s="78" t="b">
        <f t="shared" si="648"/>
        <v>0</v>
      </c>
      <c r="AE553" s="78" t="b">
        <f t="shared" si="648"/>
        <v>0</v>
      </c>
      <c r="AF553" s="78" t="b">
        <f t="shared" si="648"/>
        <v>0</v>
      </c>
      <c r="AG553" s="78" t="b">
        <f t="shared" si="648"/>
        <v>0</v>
      </c>
      <c r="AH553" s="78" t="b">
        <f t="shared" si="648"/>
        <v>0</v>
      </c>
      <c r="AI553" s="78" t="b">
        <f t="shared" si="648"/>
        <v>0</v>
      </c>
      <c r="AJ553" s="78" t="b">
        <f t="shared" si="648"/>
        <v>0</v>
      </c>
      <c r="AK553" s="78" t="b">
        <f t="shared" si="648"/>
        <v>0</v>
      </c>
      <c r="AL553" s="78" t="b">
        <f t="shared" si="648"/>
        <v>0</v>
      </c>
      <c r="AM553" s="78" t="b">
        <f t="shared" si="648"/>
        <v>0</v>
      </c>
      <c r="AN553" s="78" t="b">
        <f t="shared" si="648"/>
        <v>0</v>
      </c>
      <c r="AO553" s="78" t="b">
        <f t="shared" si="648"/>
        <v>0</v>
      </c>
      <c r="AP553" s="78"/>
    </row>
    <row r="554" spans="4:42" x14ac:dyDescent="0.35">
      <c r="D554" s="96"/>
      <c r="E554" s="96"/>
      <c r="G554" s="77">
        <f t="shared" si="603"/>
        <v>0</v>
      </c>
      <c r="H554" s="78">
        <f t="shared" si="604"/>
        <v>0</v>
      </c>
      <c r="I554" s="77">
        <f t="shared" si="605"/>
        <v>0</v>
      </c>
      <c r="J554" s="78">
        <f t="shared" si="606"/>
        <v>0</v>
      </c>
      <c r="K554" s="78" t="str">
        <f t="shared" si="607"/>
        <v>1900-01-00 00:0:00</v>
      </c>
      <c r="L554" s="78" t="str">
        <f t="shared" si="608"/>
        <v>1900-01-00 00:0:00</v>
      </c>
      <c r="M554" s="79">
        <f t="shared" si="609"/>
        <v>0</v>
      </c>
      <c r="N554">
        <f t="shared" si="610"/>
        <v>1</v>
      </c>
      <c r="O554" t="str">
        <f>IFERROR(_xlfn.XLOOKUP(A554,HC!A:A,HC!C:C),"")</f>
        <v>Workforce</v>
      </c>
      <c r="R554" s="78" t="b">
        <f t="shared" ref="R554:AO554" si="649">IFERROR(IF($B554=$D$1,IF(AND($K554&lt;R$1,$L554&lt;R$1),"",IF(AND($K554&gt;S$1,$L554&gt;S$1),"",IF(AND($K554&lt;R$1,$L554&lt;=S$1),$L554-R$1,IF(AND($K554&gt;=R$1,$L554&gt;S$1),S$1-$K554,IF(AND($K554&gt;=R$1,$L554&lt;=S$1),$L554-$K554,IF(AND($K554&lt;R$1,$L554&gt;S$1),S$1-R$1,""))))))),"")</f>
        <v>0</v>
      </c>
      <c r="S554" s="78" t="b">
        <f t="shared" si="649"/>
        <v>0</v>
      </c>
      <c r="T554" s="78" t="b">
        <f t="shared" si="649"/>
        <v>0</v>
      </c>
      <c r="U554" s="78" t="b">
        <f t="shared" si="649"/>
        <v>0</v>
      </c>
      <c r="V554" s="78" t="b">
        <f t="shared" si="649"/>
        <v>0</v>
      </c>
      <c r="W554" s="78" t="b">
        <f t="shared" si="649"/>
        <v>0</v>
      </c>
      <c r="X554" s="78" t="b">
        <f t="shared" si="649"/>
        <v>0</v>
      </c>
      <c r="Y554" s="78" t="b">
        <f t="shared" si="649"/>
        <v>0</v>
      </c>
      <c r="Z554" s="78" t="b">
        <f t="shared" si="649"/>
        <v>0</v>
      </c>
      <c r="AA554" s="78" t="b">
        <f t="shared" si="649"/>
        <v>0</v>
      </c>
      <c r="AB554" s="78" t="b">
        <f t="shared" si="649"/>
        <v>0</v>
      </c>
      <c r="AC554" s="78" t="b">
        <f t="shared" si="649"/>
        <v>0</v>
      </c>
      <c r="AD554" s="78" t="b">
        <f t="shared" si="649"/>
        <v>0</v>
      </c>
      <c r="AE554" s="78" t="b">
        <f t="shared" si="649"/>
        <v>0</v>
      </c>
      <c r="AF554" s="78" t="b">
        <f t="shared" si="649"/>
        <v>0</v>
      </c>
      <c r="AG554" s="78" t="b">
        <f t="shared" si="649"/>
        <v>0</v>
      </c>
      <c r="AH554" s="78" t="b">
        <f t="shared" si="649"/>
        <v>0</v>
      </c>
      <c r="AI554" s="78" t="b">
        <f t="shared" si="649"/>
        <v>0</v>
      </c>
      <c r="AJ554" s="78" t="b">
        <f t="shared" si="649"/>
        <v>0</v>
      </c>
      <c r="AK554" s="78" t="b">
        <f t="shared" si="649"/>
        <v>0</v>
      </c>
      <c r="AL554" s="78" t="b">
        <f t="shared" si="649"/>
        <v>0</v>
      </c>
      <c r="AM554" s="78" t="b">
        <f t="shared" si="649"/>
        <v>0</v>
      </c>
      <c r="AN554" s="78" t="b">
        <f t="shared" si="649"/>
        <v>0</v>
      </c>
      <c r="AO554" s="78" t="b">
        <f t="shared" si="649"/>
        <v>0</v>
      </c>
      <c r="AP554" s="78"/>
    </row>
    <row r="555" spans="4:42" x14ac:dyDescent="0.35">
      <c r="D555" s="96"/>
      <c r="E555" s="96"/>
      <c r="G555" s="77">
        <f t="shared" si="603"/>
        <v>0</v>
      </c>
      <c r="H555" s="78">
        <f t="shared" si="604"/>
        <v>0</v>
      </c>
      <c r="I555" s="77">
        <f t="shared" si="605"/>
        <v>0</v>
      </c>
      <c r="J555" s="78">
        <f t="shared" si="606"/>
        <v>0</v>
      </c>
      <c r="K555" s="78" t="str">
        <f t="shared" si="607"/>
        <v>1900-01-00 00:0:00</v>
      </c>
      <c r="L555" s="78" t="str">
        <f t="shared" si="608"/>
        <v>1900-01-00 00:0:00</v>
      </c>
      <c r="M555" s="79">
        <f t="shared" si="609"/>
        <v>0</v>
      </c>
      <c r="N555">
        <f t="shared" si="610"/>
        <v>1</v>
      </c>
      <c r="O555" t="str">
        <f>IFERROR(_xlfn.XLOOKUP(A555,HC!A:A,HC!C:C),"")</f>
        <v>Workforce</v>
      </c>
      <c r="R555" s="78" t="b">
        <f t="shared" ref="R555:AO555" si="650">IFERROR(IF($B555=$D$1,IF(AND($K555&lt;R$1,$L555&lt;R$1),"",IF(AND($K555&gt;S$1,$L555&gt;S$1),"",IF(AND($K555&lt;R$1,$L555&lt;=S$1),$L555-R$1,IF(AND($K555&gt;=R$1,$L555&gt;S$1),S$1-$K555,IF(AND($K555&gt;=R$1,$L555&lt;=S$1),$L555-$K555,IF(AND($K555&lt;R$1,$L555&gt;S$1),S$1-R$1,""))))))),"")</f>
        <v>0</v>
      </c>
      <c r="S555" s="78" t="b">
        <f t="shared" si="650"/>
        <v>0</v>
      </c>
      <c r="T555" s="78" t="b">
        <f t="shared" si="650"/>
        <v>0</v>
      </c>
      <c r="U555" s="78" t="b">
        <f t="shared" si="650"/>
        <v>0</v>
      </c>
      <c r="V555" s="78" t="b">
        <f t="shared" si="650"/>
        <v>0</v>
      </c>
      <c r="W555" s="78" t="b">
        <f t="shared" si="650"/>
        <v>0</v>
      </c>
      <c r="X555" s="78" t="b">
        <f t="shared" si="650"/>
        <v>0</v>
      </c>
      <c r="Y555" s="78" t="b">
        <f t="shared" si="650"/>
        <v>0</v>
      </c>
      <c r="Z555" s="78" t="b">
        <f t="shared" si="650"/>
        <v>0</v>
      </c>
      <c r="AA555" s="78" t="b">
        <f t="shared" si="650"/>
        <v>0</v>
      </c>
      <c r="AB555" s="78" t="b">
        <f t="shared" si="650"/>
        <v>0</v>
      </c>
      <c r="AC555" s="78" t="b">
        <f t="shared" si="650"/>
        <v>0</v>
      </c>
      <c r="AD555" s="78" t="b">
        <f t="shared" si="650"/>
        <v>0</v>
      </c>
      <c r="AE555" s="78" t="b">
        <f t="shared" si="650"/>
        <v>0</v>
      </c>
      <c r="AF555" s="78" t="b">
        <f t="shared" si="650"/>
        <v>0</v>
      </c>
      <c r="AG555" s="78" t="b">
        <f t="shared" si="650"/>
        <v>0</v>
      </c>
      <c r="AH555" s="78" t="b">
        <f t="shared" si="650"/>
        <v>0</v>
      </c>
      <c r="AI555" s="78" t="b">
        <f t="shared" si="650"/>
        <v>0</v>
      </c>
      <c r="AJ555" s="78" t="b">
        <f t="shared" si="650"/>
        <v>0</v>
      </c>
      <c r="AK555" s="78" t="b">
        <f t="shared" si="650"/>
        <v>0</v>
      </c>
      <c r="AL555" s="78" t="b">
        <f t="shared" si="650"/>
        <v>0</v>
      </c>
      <c r="AM555" s="78" t="b">
        <f t="shared" si="650"/>
        <v>0</v>
      </c>
      <c r="AN555" s="78" t="b">
        <f t="shared" si="650"/>
        <v>0</v>
      </c>
      <c r="AO555" s="78" t="b">
        <f t="shared" si="650"/>
        <v>0</v>
      </c>
      <c r="AP555" s="78"/>
    </row>
    <row r="556" spans="4:42" x14ac:dyDescent="0.35">
      <c r="D556" s="96"/>
      <c r="E556" s="96"/>
      <c r="G556" s="77">
        <f t="shared" si="603"/>
        <v>0</v>
      </c>
      <c r="H556" s="78">
        <f t="shared" si="604"/>
        <v>0</v>
      </c>
      <c r="I556" s="77">
        <f t="shared" si="605"/>
        <v>0</v>
      </c>
      <c r="J556" s="78">
        <f t="shared" si="606"/>
        <v>0</v>
      </c>
      <c r="K556" s="78" t="str">
        <f t="shared" si="607"/>
        <v>1900-01-00 00:0:00</v>
      </c>
      <c r="L556" s="78" t="str">
        <f t="shared" si="608"/>
        <v>1900-01-00 00:0:00</v>
      </c>
      <c r="M556" s="79">
        <f t="shared" si="609"/>
        <v>0</v>
      </c>
      <c r="N556">
        <f t="shared" si="610"/>
        <v>1</v>
      </c>
      <c r="O556" t="str">
        <f>IFERROR(_xlfn.XLOOKUP(A556,HC!A:A,HC!C:C),"")</f>
        <v>Workforce</v>
      </c>
      <c r="R556" s="78" t="b">
        <f t="shared" ref="R556:AO556" si="651">IFERROR(IF($B556=$D$1,IF(AND($K556&lt;R$1,$L556&lt;R$1),"",IF(AND($K556&gt;S$1,$L556&gt;S$1),"",IF(AND($K556&lt;R$1,$L556&lt;=S$1),$L556-R$1,IF(AND($K556&gt;=R$1,$L556&gt;S$1),S$1-$K556,IF(AND($K556&gt;=R$1,$L556&lt;=S$1),$L556-$K556,IF(AND($K556&lt;R$1,$L556&gt;S$1),S$1-R$1,""))))))),"")</f>
        <v>0</v>
      </c>
      <c r="S556" s="78" t="b">
        <f t="shared" si="651"/>
        <v>0</v>
      </c>
      <c r="T556" s="78" t="b">
        <f t="shared" si="651"/>
        <v>0</v>
      </c>
      <c r="U556" s="78" t="b">
        <f t="shared" si="651"/>
        <v>0</v>
      </c>
      <c r="V556" s="78" t="b">
        <f t="shared" si="651"/>
        <v>0</v>
      </c>
      <c r="W556" s="78" t="b">
        <f t="shared" si="651"/>
        <v>0</v>
      </c>
      <c r="X556" s="78" t="b">
        <f t="shared" si="651"/>
        <v>0</v>
      </c>
      <c r="Y556" s="78" t="b">
        <f t="shared" si="651"/>
        <v>0</v>
      </c>
      <c r="Z556" s="78" t="b">
        <f t="shared" si="651"/>
        <v>0</v>
      </c>
      <c r="AA556" s="78" t="b">
        <f t="shared" si="651"/>
        <v>0</v>
      </c>
      <c r="AB556" s="78" t="b">
        <f t="shared" si="651"/>
        <v>0</v>
      </c>
      <c r="AC556" s="78" t="b">
        <f t="shared" si="651"/>
        <v>0</v>
      </c>
      <c r="AD556" s="78" t="b">
        <f t="shared" si="651"/>
        <v>0</v>
      </c>
      <c r="AE556" s="78" t="b">
        <f t="shared" si="651"/>
        <v>0</v>
      </c>
      <c r="AF556" s="78" t="b">
        <f t="shared" si="651"/>
        <v>0</v>
      </c>
      <c r="AG556" s="78" t="b">
        <f t="shared" si="651"/>
        <v>0</v>
      </c>
      <c r="AH556" s="78" t="b">
        <f t="shared" si="651"/>
        <v>0</v>
      </c>
      <c r="AI556" s="78" t="b">
        <f t="shared" si="651"/>
        <v>0</v>
      </c>
      <c r="AJ556" s="78" t="b">
        <f t="shared" si="651"/>
        <v>0</v>
      </c>
      <c r="AK556" s="78" t="b">
        <f t="shared" si="651"/>
        <v>0</v>
      </c>
      <c r="AL556" s="78" t="b">
        <f t="shared" si="651"/>
        <v>0</v>
      </c>
      <c r="AM556" s="78" t="b">
        <f t="shared" si="651"/>
        <v>0</v>
      </c>
      <c r="AN556" s="78" t="b">
        <f t="shared" si="651"/>
        <v>0</v>
      </c>
      <c r="AO556" s="78" t="b">
        <f t="shared" si="651"/>
        <v>0</v>
      </c>
      <c r="AP556" s="78"/>
    </row>
    <row r="557" spans="4:42" x14ac:dyDescent="0.35">
      <c r="D557" s="96"/>
      <c r="E557" s="96"/>
      <c r="G557" s="77">
        <f t="shared" si="603"/>
        <v>0</v>
      </c>
      <c r="H557" s="78">
        <f t="shared" si="604"/>
        <v>0</v>
      </c>
      <c r="I557" s="77">
        <f t="shared" si="605"/>
        <v>0</v>
      </c>
      <c r="J557" s="78">
        <f t="shared" si="606"/>
        <v>0</v>
      </c>
      <c r="K557" s="78" t="str">
        <f t="shared" si="607"/>
        <v>1900-01-00 00:0:00</v>
      </c>
      <c r="L557" s="78" t="str">
        <f t="shared" si="608"/>
        <v>1900-01-00 00:0:00</v>
      </c>
      <c r="M557" s="79">
        <f t="shared" si="609"/>
        <v>0</v>
      </c>
      <c r="N557">
        <f t="shared" si="610"/>
        <v>1</v>
      </c>
      <c r="O557" t="str">
        <f>IFERROR(_xlfn.XLOOKUP(A557,HC!A:A,HC!C:C),"")</f>
        <v>Workforce</v>
      </c>
      <c r="R557" s="78" t="b">
        <f t="shared" ref="R557:AO557" si="652">IFERROR(IF($B557=$D$1,IF(AND($K557&lt;R$1,$L557&lt;R$1),"",IF(AND($K557&gt;S$1,$L557&gt;S$1),"",IF(AND($K557&lt;R$1,$L557&lt;=S$1),$L557-R$1,IF(AND($K557&gt;=R$1,$L557&gt;S$1),S$1-$K557,IF(AND($K557&gt;=R$1,$L557&lt;=S$1),$L557-$K557,IF(AND($K557&lt;R$1,$L557&gt;S$1),S$1-R$1,""))))))),"")</f>
        <v>0</v>
      </c>
      <c r="S557" s="78" t="b">
        <f t="shared" si="652"/>
        <v>0</v>
      </c>
      <c r="T557" s="78" t="b">
        <f t="shared" si="652"/>
        <v>0</v>
      </c>
      <c r="U557" s="78" t="b">
        <f t="shared" si="652"/>
        <v>0</v>
      </c>
      <c r="V557" s="78" t="b">
        <f t="shared" si="652"/>
        <v>0</v>
      </c>
      <c r="W557" s="78" t="b">
        <f t="shared" si="652"/>
        <v>0</v>
      </c>
      <c r="X557" s="78" t="b">
        <f t="shared" si="652"/>
        <v>0</v>
      </c>
      <c r="Y557" s="78" t="b">
        <f t="shared" si="652"/>
        <v>0</v>
      </c>
      <c r="Z557" s="78" t="b">
        <f t="shared" si="652"/>
        <v>0</v>
      </c>
      <c r="AA557" s="78" t="b">
        <f t="shared" si="652"/>
        <v>0</v>
      </c>
      <c r="AB557" s="78" t="b">
        <f t="shared" si="652"/>
        <v>0</v>
      </c>
      <c r="AC557" s="78" t="b">
        <f t="shared" si="652"/>
        <v>0</v>
      </c>
      <c r="AD557" s="78" t="b">
        <f t="shared" si="652"/>
        <v>0</v>
      </c>
      <c r="AE557" s="78" t="b">
        <f t="shared" si="652"/>
        <v>0</v>
      </c>
      <c r="AF557" s="78" t="b">
        <f t="shared" si="652"/>
        <v>0</v>
      </c>
      <c r="AG557" s="78" t="b">
        <f t="shared" si="652"/>
        <v>0</v>
      </c>
      <c r="AH557" s="78" t="b">
        <f t="shared" si="652"/>
        <v>0</v>
      </c>
      <c r="AI557" s="78" t="b">
        <f t="shared" si="652"/>
        <v>0</v>
      </c>
      <c r="AJ557" s="78" t="b">
        <f t="shared" si="652"/>
        <v>0</v>
      </c>
      <c r="AK557" s="78" t="b">
        <f t="shared" si="652"/>
        <v>0</v>
      </c>
      <c r="AL557" s="78" t="b">
        <f t="shared" si="652"/>
        <v>0</v>
      </c>
      <c r="AM557" s="78" t="b">
        <f t="shared" si="652"/>
        <v>0</v>
      </c>
      <c r="AN557" s="78" t="b">
        <f t="shared" si="652"/>
        <v>0</v>
      </c>
      <c r="AO557" s="78" t="b">
        <f t="shared" si="652"/>
        <v>0</v>
      </c>
      <c r="AP557" s="78"/>
    </row>
    <row r="558" spans="4:42" x14ac:dyDescent="0.35">
      <c r="D558" s="96"/>
      <c r="E558" s="96"/>
      <c r="G558" s="77">
        <f t="shared" si="603"/>
        <v>0</v>
      </c>
      <c r="H558" s="78">
        <f t="shared" si="604"/>
        <v>0</v>
      </c>
      <c r="I558" s="77">
        <f t="shared" si="605"/>
        <v>0</v>
      </c>
      <c r="J558" s="78">
        <f t="shared" si="606"/>
        <v>0</v>
      </c>
      <c r="K558" s="78" t="str">
        <f t="shared" si="607"/>
        <v>1900-01-00 00:0:00</v>
      </c>
      <c r="L558" s="78" t="str">
        <f t="shared" si="608"/>
        <v>1900-01-00 00:0:00</v>
      </c>
      <c r="M558" s="79">
        <f t="shared" si="609"/>
        <v>0</v>
      </c>
      <c r="N558">
        <f t="shared" si="610"/>
        <v>1</v>
      </c>
      <c r="O558" t="str">
        <f>IFERROR(_xlfn.XLOOKUP(A558,HC!A:A,HC!C:C),"")</f>
        <v>Workforce</v>
      </c>
      <c r="R558" s="78" t="b">
        <f t="shared" ref="R558:AO558" si="653">IFERROR(IF($B558=$D$1,IF(AND($K558&lt;R$1,$L558&lt;R$1),"",IF(AND($K558&gt;S$1,$L558&gt;S$1),"",IF(AND($K558&lt;R$1,$L558&lt;=S$1),$L558-R$1,IF(AND($K558&gt;=R$1,$L558&gt;S$1),S$1-$K558,IF(AND($K558&gt;=R$1,$L558&lt;=S$1),$L558-$K558,IF(AND($K558&lt;R$1,$L558&gt;S$1),S$1-R$1,""))))))),"")</f>
        <v>0</v>
      </c>
      <c r="S558" s="78" t="b">
        <f t="shared" si="653"/>
        <v>0</v>
      </c>
      <c r="T558" s="78" t="b">
        <f t="shared" si="653"/>
        <v>0</v>
      </c>
      <c r="U558" s="78" t="b">
        <f t="shared" si="653"/>
        <v>0</v>
      </c>
      <c r="V558" s="78" t="b">
        <f t="shared" si="653"/>
        <v>0</v>
      </c>
      <c r="W558" s="78" t="b">
        <f t="shared" si="653"/>
        <v>0</v>
      </c>
      <c r="X558" s="78" t="b">
        <f t="shared" si="653"/>
        <v>0</v>
      </c>
      <c r="Y558" s="78" t="b">
        <f t="shared" si="653"/>
        <v>0</v>
      </c>
      <c r="Z558" s="78" t="b">
        <f t="shared" si="653"/>
        <v>0</v>
      </c>
      <c r="AA558" s="78" t="b">
        <f t="shared" si="653"/>
        <v>0</v>
      </c>
      <c r="AB558" s="78" t="b">
        <f t="shared" si="653"/>
        <v>0</v>
      </c>
      <c r="AC558" s="78" t="b">
        <f t="shared" si="653"/>
        <v>0</v>
      </c>
      <c r="AD558" s="78" t="b">
        <f t="shared" si="653"/>
        <v>0</v>
      </c>
      <c r="AE558" s="78" t="b">
        <f t="shared" si="653"/>
        <v>0</v>
      </c>
      <c r="AF558" s="78" t="b">
        <f t="shared" si="653"/>
        <v>0</v>
      </c>
      <c r="AG558" s="78" t="b">
        <f t="shared" si="653"/>
        <v>0</v>
      </c>
      <c r="AH558" s="78" t="b">
        <f t="shared" si="653"/>
        <v>0</v>
      </c>
      <c r="AI558" s="78" t="b">
        <f t="shared" si="653"/>
        <v>0</v>
      </c>
      <c r="AJ558" s="78" t="b">
        <f t="shared" si="653"/>
        <v>0</v>
      </c>
      <c r="AK558" s="78" t="b">
        <f t="shared" si="653"/>
        <v>0</v>
      </c>
      <c r="AL558" s="78" t="b">
        <f t="shared" si="653"/>
        <v>0</v>
      </c>
      <c r="AM558" s="78" t="b">
        <f t="shared" si="653"/>
        <v>0</v>
      </c>
      <c r="AN558" s="78" t="b">
        <f t="shared" si="653"/>
        <v>0</v>
      </c>
      <c r="AO558" s="78" t="b">
        <f t="shared" si="653"/>
        <v>0</v>
      </c>
      <c r="AP558" s="78"/>
    </row>
    <row r="559" spans="4:42" x14ac:dyDescent="0.35">
      <c r="D559" s="96"/>
      <c r="E559" s="96"/>
      <c r="G559" s="77">
        <f t="shared" si="603"/>
        <v>0</v>
      </c>
      <c r="H559" s="78">
        <f t="shared" si="604"/>
        <v>0</v>
      </c>
      <c r="I559" s="77">
        <f t="shared" si="605"/>
        <v>0</v>
      </c>
      <c r="J559" s="78">
        <f t="shared" si="606"/>
        <v>0</v>
      </c>
      <c r="K559" s="78" t="str">
        <f t="shared" si="607"/>
        <v>1900-01-00 00:0:00</v>
      </c>
      <c r="L559" s="78" t="str">
        <f t="shared" si="608"/>
        <v>1900-01-00 00:0:00</v>
      </c>
      <c r="M559" s="79">
        <f t="shared" si="609"/>
        <v>0</v>
      </c>
      <c r="N559">
        <f t="shared" si="610"/>
        <v>1</v>
      </c>
      <c r="O559" t="str">
        <f>IFERROR(_xlfn.XLOOKUP(A559,HC!A:A,HC!C:C),"")</f>
        <v>Workforce</v>
      </c>
      <c r="R559" s="78" t="b">
        <f t="shared" ref="R559:AO559" si="654">IFERROR(IF($B559=$D$1,IF(AND($K559&lt;R$1,$L559&lt;R$1),"",IF(AND($K559&gt;S$1,$L559&gt;S$1),"",IF(AND($K559&lt;R$1,$L559&lt;=S$1),$L559-R$1,IF(AND($K559&gt;=R$1,$L559&gt;S$1),S$1-$K559,IF(AND($K559&gt;=R$1,$L559&lt;=S$1),$L559-$K559,IF(AND($K559&lt;R$1,$L559&gt;S$1),S$1-R$1,""))))))),"")</f>
        <v>0</v>
      </c>
      <c r="S559" s="78" t="b">
        <f t="shared" si="654"/>
        <v>0</v>
      </c>
      <c r="T559" s="78" t="b">
        <f t="shared" si="654"/>
        <v>0</v>
      </c>
      <c r="U559" s="78" t="b">
        <f t="shared" si="654"/>
        <v>0</v>
      </c>
      <c r="V559" s="78" t="b">
        <f t="shared" si="654"/>
        <v>0</v>
      </c>
      <c r="W559" s="78" t="b">
        <f t="shared" si="654"/>
        <v>0</v>
      </c>
      <c r="X559" s="78" t="b">
        <f t="shared" si="654"/>
        <v>0</v>
      </c>
      <c r="Y559" s="78" t="b">
        <f t="shared" si="654"/>
        <v>0</v>
      </c>
      <c r="Z559" s="78" t="b">
        <f t="shared" si="654"/>
        <v>0</v>
      </c>
      <c r="AA559" s="78" t="b">
        <f t="shared" si="654"/>
        <v>0</v>
      </c>
      <c r="AB559" s="78" t="b">
        <f t="shared" si="654"/>
        <v>0</v>
      </c>
      <c r="AC559" s="78" t="b">
        <f t="shared" si="654"/>
        <v>0</v>
      </c>
      <c r="AD559" s="78" t="b">
        <f t="shared" si="654"/>
        <v>0</v>
      </c>
      <c r="AE559" s="78" t="b">
        <f t="shared" si="654"/>
        <v>0</v>
      </c>
      <c r="AF559" s="78" t="b">
        <f t="shared" si="654"/>
        <v>0</v>
      </c>
      <c r="AG559" s="78" t="b">
        <f t="shared" si="654"/>
        <v>0</v>
      </c>
      <c r="AH559" s="78" t="b">
        <f t="shared" si="654"/>
        <v>0</v>
      </c>
      <c r="AI559" s="78" t="b">
        <f t="shared" si="654"/>
        <v>0</v>
      </c>
      <c r="AJ559" s="78" t="b">
        <f t="shared" si="654"/>
        <v>0</v>
      </c>
      <c r="AK559" s="78" t="b">
        <f t="shared" si="654"/>
        <v>0</v>
      </c>
      <c r="AL559" s="78" t="b">
        <f t="shared" si="654"/>
        <v>0</v>
      </c>
      <c r="AM559" s="78" t="b">
        <f t="shared" si="654"/>
        <v>0</v>
      </c>
      <c r="AN559" s="78" t="b">
        <f t="shared" si="654"/>
        <v>0</v>
      </c>
      <c r="AO559" s="78" t="b">
        <f t="shared" si="654"/>
        <v>0</v>
      </c>
      <c r="AP559" s="78"/>
    </row>
    <row r="560" spans="4:42" x14ac:dyDescent="0.35">
      <c r="D560" s="96"/>
      <c r="E560" s="96"/>
      <c r="G560" s="77">
        <f t="shared" si="603"/>
        <v>0</v>
      </c>
      <c r="H560" s="78">
        <f t="shared" si="604"/>
        <v>0</v>
      </c>
      <c r="I560" s="77">
        <f t="shared" si="605"/>
        <v>0</v>
      </c>
      <c r="J560" s="78">
        <f t="shared" si="606"/>
        <v>0</v>
      </c>
      <c r="K560" s="78" t="str">
        <f t="shared" si="607"/>
        <v>1900-01-00 00:0:00</v>
      </c>
      <c r="L560" s="78" t="str">
        <f t="shared" si="608"/>
        <v>1900-01-00 00:0:00</v>
      </c>
      <c r="M560" s="79">
        <f t="shared" si="609"/>
        <v>0</v>
      </c>
      <c r="N560">
        <f t="shared" si="610"/>
        <v>1</v>
      </c>
      <c r="O560" t="str">
        <f>IFERROR(_xlfn.XLOOKUP(A560,HC!A:A,HC!C:C),"")</f>
        <v>Workforce</v>
      </c>
      <c r="R560" s="78" t="b">
        <f t="shared" ref="R560:AO560" si="655">IFERROR(IF($B560=$D$1,IF(AND($K560&lt;R$1,$L560&lt;R$1),"",IF(AND($K560&gt;S$1,$L560&gt;S$1),"",IF(AND($K560&lt;R$1,$L560&lt;=S$1),$L560-R$1,IF(AND($K560&gt;=R$1,$L560&gt;S$1),S$1-$K560,IF(AND($K560&gt;=R$1,$L560&lt;=S$1),$L560-$K560,IF(AND($K560&lt;R$1,$L560&gt;S$1),S$1-R$1,""))))))),"")</f>
        <v>0</v>
      </c>
      <c r="S560" s="78" t="b">
        <f t="shared" si="655"/>
        <v>0</v>
      </c>
      <c r="T560" s="78" t="b">
        <f t="shared" si="655"/>
        <v>0</v>
      </c>
      <c r="U560" s="78" t="b">
        <f t="shared" si="655"/>
        <v>0</v>
      </c>
      <c r="V560" s="78" t="b">
        <f t="shared" si="655"/>
        <v>0</v>
      </c>
      <c r="W560" s="78" t="b">
        <f t="shared" si="655"/>
        <v>0</v>
      </c>
      <c r="X560" s="78" t="b">
        <f t="shared" si="655"/>
        <v>0</v>
      </c>
      <c r="Y560" s="78" t="b">
        <f t="shared" si="655"/>
        <v>0</v>
      </c>
      <c r="Z560" s="78" t="b">
        <f t="shared" si="655"/>
        <v>0</v>
      </c>
      <c r="AA560" s="78" t="b">
        <f t="shared" si="655"/>
        <v>0</v>
      </c>
      <c r="AB560" s="78" t="b">
        <f t="shared" si="655"/>
        <v>0</v>
      </c>
      <c r="AC560" s="78" t="b">
        <f t="shared" si="655"/>
        <v>0</v>
      </c>
      <c r="AD560" s="78" t="b">
        <f t="shared" si="655"/>
        <v>0</v>
      </c>
      <c r="AE560" s="78" t="b">
        <f t="shared" si="655"/>
        <v>0</v>
      </c>
      <c r="AF560" s="78" t="b">
        <f t="shared" si="655"/>
        <v>0</v>
      </c>
      <c r="AG560" s="78" t="b">
        <f t="shared" si="655"/>
        <v>0</v>
      </c>
      <c r="AH560" s="78" t="b">
        <f t="shared" si="655"/>
        <v>0</v>
      </c>
      <c r="AI560" s="78" t="b">
        <f t="shared" si="655"/>
        <v>0</v>
      </c>
      <c r="AJ560" s="78" t="b">
        <f t="shared" si="655"/>
        <v>0</v>
      </c>
      <c r="AK560" s="78" t="b">
        <f t="shared" si="655"/>
        <v>0</v>
      </c>
      <c r="AL560" s="78" t="b">
        <f t="shared" si="655"/>
        <v>0</v>
      </c>
      <c r="AM560" s="78" t="b">
        <f t="shared" si="655"/>
        <v>0</v>
      </c>
      <c r="AN560" s="78" t="b">
        <f t="shared" si="655"/>
        <v>0</v>
      </c>
      <c r="AO560" s="78" t="b">
        <f t="shared" si="655"/>
        <v>0</v>
      </c>
      <c r="AP560" s="78"/>
    </row>
    <row r="561" spans="4:42" x14ac:dyDescent="0.35">
      <c r="D561" s="96"/>
      <c r="E561" s="96"/>
      <c r="G561" s="77">
        <f t="shared" si="603"/>
        <v>0</v>
      </c>
      <c r="H561" s="78">
        <f t="shared" si="604"/>
        <v>0</v>
      </c>
      <c r="I561" s="77">
        <f t="shared" si="605"/>
        <v>0</v>
      </c>
      <c r="J561" s="78">
        <f t="shared" si="606"/>
        <v>0</v>
      </c>
      <c r="K561" s="78" t="str">
        <f t="shared" si="607"/>
        <v>1900-01-00 00:0:00</v>
      </c>
      <c r="L561" s="78" t="str">
        <f t="shared" si="608"/>
        <v>1900-01-00 00:0:00</v>
      </c>
      <c r="M561" s="79">
        <f t="shared" si="609"/>
        <v>0</v>
      </c>
      <c r="N561">
        <f t="shared" si="610"/>
        <v>1</v>
      </c>
      <c r="O561" t="str">
        <f>IFERROR(_xlfn.XLOOKUP(A561,HC!A:A,HC!C:C),"")</f>
        <v>Workforce</v>
      </c>
      <c r="R561" s="78" t="b">
        <f t="shared" ref="R561:AO561" si="656">IFERROR(IF($B561=$D$1,IF(AND($K561&lt;R$1,$L561&lt;R$1),"",IF(AND($K561&gt;S$1,$L561&gt;S$1),"",IF(AND($K561&lt;R$1,$L561&lt;=S$1),$L561-R$1,IF(AND($K561&gt;=R$1,$L561&gt;S$1),S$1-$K561,IF(AND($K561&gt;=R$1,$L561&lt;=S$1),$L561-$K561,IF(AND($K561&lt;R$1,$L561&gt;S$1),S$1-R$1,""))))))),"")</f>
        <v>0</v>
      </c>
      <c r="S561" s="78" t="b">
        <f t="shared" si="656"/>
        <v>0</v>
      </c>
      <c r="T561" s="78" t="b">
        <f t="shared" si="656"/>
        <v>0</v>
      </c>
      <c r="U561" s="78" t="b">
        <f t="shared" si="656"/>
        <v>0</v>
      </c>
      <c r="V561" s="78" t="b">
        <f t="shared" si="656"/>
        <v>0</v>
      </c>
      <c r="W561" s="78" t="b">
        <f t="shared" si="656"/>
        <v>0</v>
      </c>
      <c r="X561" s="78" t="b">
        <f t="shared" si="656"/>
        <v>0</v>
      </c>
      <c r="Y561" s="78" t="b">
        <f t="shared" si="656"/>
        <v>0</v>
      </c>
      <c r="Z561" s="78" t="b">
        <f t="shared" si="656"/>
        <v>0</v>
      </c>
      <c r="AA561" s="78" t="b">
        <f t="shared" si="656"/>
        <v>0</v>
      </c>
      <c r="AB561" s="78" t="b">
        <f t="shared" si="656"/>
        <v>0</v>
      </c>
      <c r="AC561" s="78" t="b">
        <f t="shared" si="656"/>
        <v>0</v>
      </c>
      <c r="AD561" s="78" t="b">
        <f t="shared" si="656"/>
        <v>0</v>
      </c>
      <c r="AE561" s="78" t="b">
        <f t="shared" si="656"/>
        <v>0</v>
      </c>
      <c r="AF561" s="78" t="b">
        <f t="shared" si="656"/>
        <v>0</v>
      </c>
      <c r="AG561" s="78" t="b">
        <f t="shared" si="656"/>
        <v>0</v>
      </c>
      <c r="AH561" s="78" t="b">
        <f t="shared" si="656"/>
        <v>0</v>
      </c>
      <c r="AI561" s="78" t="b">
        <f t="shared" si="656"/>
        <v>0</v>
      </c>
      <c r="AJ561" s="78" t="b">
        <f t="shared" si="656"/>
        <v>0</v>
      </c>
      <c r="AK561" s="78" t="b">
        <f t="shared" si="656"/>
        <v>0</v>
      </c>
      <c r="AL561" s="78" t="b">
        <f t="shared" si="656"/>
        <v>0</v>
      </c>
      <c r="AM561" s="78" t="b">
        <f t="shared" si="656"/>
        <v>0</v>
      </c>
      <c r="AN561" s="78" t="b">
        <f t="shared" si="656"/>
        <v>0</v>
      </c>
      <c r="AO561" s="78" t="b">
        <f t="shared" si="656"/>
        <v>0</v>
      </c>
      <c r="AP561" s="78"/>
    </row>
    <row r="562" spans="4:42" x14ac:dyDescent="0.35">
      <c r="D562" s="96"/>
      <c r="E562" s="96"/>
      <c r="G562" s="77">
        <f t="shared" si="603"/>
        <v>0</v>
      </c>
      <c r="H562" s="78">
        <f t="shared" si="604"/>
        <v>0</v>
      </c>
      <c r="I562" s="77">
        <f t="shared" si="605"/>
        <v>0</v>
      </c>
      <c r="J562" s="78">
        <f t="shared" si="606"/>
        <v>0</v>
      </c>
      <c r="K562" s="78" t="str">
        <f t="shared" si="607"/>
        <v>1900-01-00 00:0:00</v>
      </c>
      <c r="L562" s="78" t="str">
        <f t="shared" si="608"/>
        <v>1900-01-00 00:0:00</v>
      </c>
      <c r="M562" s="79">
        <f t="shared" si="609"/>
        <v>0</v>
      </c>
      <c r="N562">
        <f t="shared" si="610"/>
        <v>1</v>
      </c>
      <c r="O562" t="str">
        <f>IFERROR(_xlfn.XLOOKUP(A562,HC!A:A,HC!C:C),"")</f>
        <v>Workforce</v>
      </c>
      <c r="R562" s="78" t="b">
        <f t="shared" ref="R562:AO562" si="657">IFERROR(IF($B562=$D$1,IF(AND($K562&lt;R$1,$L562&lt;R$1),"",IF(AND($K562&gt;S$1,$L562&gt;S$1),"",IF(AND($K562&lt;R$1,$L562&lt;=S$1),$L562-R$1,IF(AND($K562&gt;=R$1,$L562&gt;S$1),S$1-$K562,IF(AND($K562&gt;=R$1,$L562&lt;=S$1),$L562-$K562,IF(AND($K562&lt;R$1,$L562&gt;S$1),S$1-R$1,""))))))),"")</f>
        <v>0</v>
      </c>
      <c r="S562" s="78" t="b">
        <f t="shared" si="657"/>
        <v>0</v>
      </c>
      <c r="T562" s="78" t="b">
        <f t="shared" si="657"/>
        <v>0</v>
      </c>
      <c r="U562" s="78" t="b">
        <f t="shared" si="657"/>
        <v>0</v>
      </c>
      <c r="V562" s="78" t="b">
        <f t="shared" si="657"/>
        <v>0</v>
      </c>
      <c r="W562" s="78" t="b">
        <f t="shared" si="657"/>
        <v>0</v>
      </c>
      <c r="X562" s="78" t="b">
        <f t="shared" si="657"/>
        <v>0</v>
      </c>
      <c r="Y562" s="78" t="b">
        <f t="shared" si="657"/>
        <v>0</v>
      </c>
      <c r="Z562" s="78" t="b">
        <f t="shared" si="657"/>
        <v>0</v>
      </c>
      <c r="AA562" s="78" t="b">
        <f t="shared" si="657"/>
        <v>0</v>
      </c>
      <c r="AB562" s="78" t="b">
        <f t="shared" si="657"/>
        <v>0</v>
      </c>
      <c r="AC562" s="78" t="b">
        <f t="shared" si="657"/>
        <v>0</v>
      </c>
      <c r="AD562" s="78" t="b">
        <f t="shared" si="657"/>
        <v>0</v>
      </c>
      <c r="AE562" s="78" t="b">
        <f t="shared" si="657"/>
        <v>0</v>
      </c>
      <c r="AF562" s="78" t="b">
        <f t="shared" si="657"/>
        <v>0</v>
      </c>
      <c r="AG562" s="78" t="b">
        <f t="shared" si="657"/>
        <v>0</v>
      </c>
      <c r="AH562" s="78" t="b">
        <f t="shared" si="657"/>
        <v>0</v>
      </c>
      <c r="AI562" s="78" t="b">
        <f t="shared" si="657"/>
        <v>0</v>
      </c>
      <c r="AJ562" s="78" t="b">
        <f t="shared" si="657"/>
        <v>0</v>
      </c>
      <c r="AK562" s="78" t="b">
        <f t="shared" si="657"/>
        <v>0</v>
      </c>
      <c r="AL562" s="78" t="b">
        <f t="shared" si="657"/>
        <v>0</v>
      </c>
      <c r="AM562" s="78" t="b">
        <f t="shared" si="657"/>
        <v>0</v>
      </c>
      <c r="AN562" s="78" t="b">
        <f t="shared" si="657"/>
        <v>0</v>
      </c>
      <c r="AO562" s="78" t="b">
        <f t="shared" si="657"/>
        <v>0</v>
      </c>
      <c r="AP562" s="78"/>
    </row>
    <row r="563" spans="4:42" x14ac:dyDescent="0.35">
      <c r="D563" s="96"/>
      <c r="E563" s="96"/>
      <c r="G563" s="77">
        <f t="shared" si="603"/>
        <v>0</v>
      </c>
      <c r="H563" s="78">
        <f t="shared" si="604"/>
        <v>0</v>
      </c>
      <c r="I563" s="77">
        <f t="shared" si="605"/>
        <v>0</v>
      </c>
      <c r="J563" s="78">
        <f t="shared" si="606"/>
        <v>0</v>
      </c>
      <c r="K563" s="78" t="str">
        <f t="shared" si="607"/>
        <v>1900-01-00 00:0:00</v>
      </c>
      <c r="L563" s="78" t="str">
        <f t="shared" si="608"/>
        <v>1900-01-00 00:0:00</v>
      </c>
      <c r="M563" s="79">
        <f t="shared" si="609"/>
        <v>0</v>
      </c>
      <c r="N563">
        <f t="shared" si="610"/>
        <v>1</v>
      </c>
      <c r="O563" t="str">
        <f>IFERROR(_xlfn.XLOOKUP(A563,HC!A:A,HC!C:C),"")</f>
        <v>Workforce</v>
      </c>
      <c r="R563" s="78" t="b">
        <f t="shared" ref="R563:AO563" si="658">IFERROR(IF($B563=$D$1,IF(AND($K563&lt;R$1,$L563&lt;R$1),"",IF(AND($K563&gt;S$1,$L563&gt;S$1),"",IF(AND($K563&lt;R$1,$L563&lt;=S$1),$L563-R$1,IF(AND($K563&gt;=R$1,$L563&gt;S$1),S$1-$K563,IF(AND($K563&gt;=R$1,$L563&lt;=S$1),$L563-$K563,IF(AND($K563&lt;R$1,$L563&gt;S$1),S$1-R$1,""))))))),"")</f>
        <v>0</v>
      </c>
      <c r="S563" s="78" t="b">
        <f t="shared" si="658"/>
        <v>0</v>
      </c>
      <c r="T563" s="78" t="b">
        <f t="shared" si="658"/>
        <v>0</v>
      </c>
      <c r="U563" s="78" t="b">
        <f t="shared" si="658"/>
        <v>0</v>
      </c>
      <c r="V563" s="78" t="b">
        <f t="shared" si="658"/>
        <v>0</v>
      </c>
      <c r="W563" s="78" t="b">
        <f t="shared" si="658"/>
        <v>0</v>
      </c>
      <c r="X563" s="78" t="b">
        <f t="shared" si="658"/>
        <v>0</v>
      </c>
      <c r="Y563" s="78" t="b">
        <f t="shared" si="658"/>
        <v>0</v>
      </c>
      <c r="Z563" s="78" t="b">
        <f t="shared" si="658"/>
        <v>0</v>
      </c>
      <c r="AA563" s="78" t="b">
        <f t="shared" si="658"/>
        <v>0</v>
      </c>
      <c r="AB563" s="78" t="b">
        <f t="shared" si="658"/>
        <v>0</v>
      </c>
      <c r="AC563" s="78" t="b">
        <f t="shared" si="658"/>
        <v>0</v>
      </c>
      <c r="AD563" s="78" t="b">
        <f t="shared" si="658"/>
        <v>0</v>
      </c>
      <c r="AE563" s="78" t="b">
        <f t="shared" si="658"/>
        <v>0</v>
      </c>
      <c r="AF563" s="78" t="b">
        <f t="shared" si="658"/>
        <v>0</v>
      </c>
      <c r="AG563" s="78" t="b">
        <f t="shared" si="658"/>
        <v>0</v>
      </c>
      <c r="AH563" s="78" t="b">
        <f t="shared" si="658"/>
        <v>0</v>
      </c>
      <c r="AI563" s="78" t="b">
        <f t="shared" si="658"/>
        <v>0</v>
      </c>
      <c r="AJ563" s="78" t="b">
        <f t="shared" si="658"/>
        <v>0</v>
      </c>
      <c r="AK563" s="78" t="b">
        <f t="shared" si="658"/>
        <v>0</v>
      </c>
      <c r="AL563" s="78" t="b">
        <f t="shared" si="658"/>
        <v>0</v>
      </c>
      <c r="AM563" s="78" t="b">
        <f t="shared" si="658"/>
        <v>0</v>
      </c>
      <c r="AN563" s="78" t="b">
        <f t="shared" si="658"/>
        <v>0</v>
      </c>
      <c r="AO563" s="78" t="b">
        <f t="shared" si="658"/>
        <v>0</v>
      </c>
      <c r="AP563" s="78"/>
    </row>
    <row r="564" spans="4:42" x14ac:dyDescent="0.35">
      <c r="D564" s="96"/>
      <c r="E564" s="96"/>
      <c r="G564" s="77">
        <f t="shared" si="603"/>
        <v>0</v>
      </c>
      <c r="H564" s="78">
        <f t="shared" si="604"/>
        <v>0</v>
      </c>
      <c r="I564" s="77">
        <f t="shared" si="605"/>
        <v>0</v>
      </c>
      <c r="J564" s="78">
        <f t="shared" si="606"/>
        <v>0</v>
      </c>
      <c r="K564" s="78" t="str">
        <f t="shared" si="607"/>
        <v>1900-01-00 00:0:00</v>
      </c>
      <c r="L564" s="78" t="str">
        <f t="shared" si="608"/>
        <v>1900-01-00 00:0:00</v>
      </c>
      <c r="M564" s="79">
        <f t="shared" si="609"/>
        <v>0</v>
      </c>
      <c r="N564">
        <f t="shared" si="610"/>
        <v>1</v>
      </c>
      <c r="O564" t="str">
        <f>IFERROR(_xlfn.XLOOKUP(A564,HC!A:A,HC!C:C),"")</f>
        <v>Workforce</v>
      </c>
      <c r="R564" s="78" t="b">
        <f t="shared" ref="R564:AO564" si="659">IFERROR(IF($B564=$D$1,IF(AND($K564&lt;R$1,$L564&lt;R$1),"",IF(AND($K564&gt;S$1,$L564&gt;S$1),"",IF(AND($K564&lt;R$1,$L564&lt;=S$1),$L564-R$1,IF(AND($K564&gt;=R$1,$L564&gt;S$1),S$1-$K564,IF(AND($K564&gt;=R$1,$L564&lt;=S$1),$L564-$K564,IF(AND($K564&lt;R$1,$L564&gt;S$1),S$1-R$1,""))))))),"")</f>
        <v>0</v>
      </c>
      <c r="S564" s="78" t="b">
        <f t="shared" si="659"/>
        <v>0</v>
      </c>
      <c r="T564" s="78" t="b">
        <f t="shared" si="659"/>
        <v>0</v>
      </c>
      <c r="U564" s="78" t="b">
        <f t="shared" si="659"/>
        <v>0</v>
      </c>
      <c r="V564" s="78" t="b">
        <f t="shared" si="659"/>
        <v>0</v>
      </c>
      <c r="W564" s="78" t="b">
        <f t="shared" si="659"/>
        <v>0</v>
      </c>
      <c r="X564" s="78" t="b">
        <f t="shared" si="659"/>
        <v>0</v>
      </c>
      <c r="Y564" s="78" t="b">
        <f t="shared" si="659"/>
        <v>0</v>
      </c>
      <c r="Z564" s="78" t="b">
        <f t="shared" si="659"/>
        <v>0</v>
      </c>
      <c r="AA564" s="78" t="b">
        <f t="shared" si="659"/>
        <v>0</v>
      </c>
      <c r="AB564" s="78" t="b">
        <f t="shared" si="659"/>
        <v>0</v>
      </c>
      <c r="AC564" s="78" t="b">
        <f t="shared" si="659"/>
        <v>0</v>
      </c>
      <c r="AD564" s="78" t="b">
        <f t="shared" si="659"/>
        <v>0</v>
      </c>
      <c r="AE564" s="78" t="b">
        <f t="shared" si="659"/>
        <v>0</v>
      </c>
      <c r="AF564" s="78" t="b">
        <f t="shared" si="659"/>
        <v>0</v>
      </c>
      <c r="AG564" s="78" t="b">
        <f t="shared" si="659"/>
        <v>0</v>
      </c>
      <c r="AH564" s="78" t="b">
        <f t="shared" si="659"/>
        <v>0</v>
      </c>
      <c r="AI564" s="78" t="b">
        <f t="shared" si="659"/>
        <v>0</v>
      </c>
      <c r="AJ564" s="78" t="b">
        <f t="shared" si="659"/>
        <v>0</v>
      </c>
      <c r="AK564" s="78" t="b">
        <f t="shared" si="659"/>
        <v>0</v>
      </c>
      <c r="AL564" s="78" t="b">
        <f t="shared" si="659"/>
        <v>0</v>
      </c>
      <c r="AM564" s="78" t="b">
        <f t="shared" si="659"/>
        <v>0</v>
      </c>
      <c r="AN564" s="78" t="b">
        <f t="shared" si="659"/>
        <v>0</v>
      </c>
      <c r="AO564" s="78" t="b">
        <f t="shared" si="659"/>
        <v>0</v>
      </c>
      <c r="AP564" s="78"/>
    </row>
    <row r="565" spans="4:42" x14ac:dyDescent="0.35">
      <c r="D565" s="96"/>
      <c r="E565" s="96"/>
      <c r="G565" s="77">
        <f t="shared" si="603"/>
        <v>0</v>
      </c>
      <c r="H565" s="78">
        <f t="shared" si="604"/>
        <v>0</v>
      </c>
      <c r="I565" s="77">
        <f t="shared" si="605"/>
        <v>0</v>
      </c>
      <c r="J565" s="78">
        <f t="shared" si="606"/>
        <v>0</v>
      </c>
      <c r="K565" s="78" t="str">
        <f t="shared" si="607"/>
        <v>1900-01-00 00:0:00</v>
      </c>
      <c r="L565" s="78" t="str">
        <f t="shared" si="608"/>
        <v>1900-01-00 00:0:00</v>
      </c>
      <c r="M565" s="79">
        <f t="shared" si="609"/>
        <v>0</v>
      </c>
      <c r="N565">
        <f t="shared" si="610"/>
        <v>1</v>
      </c>
      <c r="O565" t="str">
        <f>IFERROR(_xlfn.XLOOKUP(A565,HC!A:A,HC!C:C),"")</f>
        <v>Workforce</v>
      </c>
      <c r="R565" s="78" t="b">
        <f t="shared" ref="R565:AO565" si="660">IFERROR(IF($B565=$D$1,IF(AND($K565&lt;R$1,$L565&lt;R$1),"",IF(AND($K565&gt;S$1,$L565&gt;S$1),"",IF(AND($K565&lt;R$1,$L565&lt;=S$1),$L565-R$1,IF(AND($K565&gt;=R$1,$L565&gt;S$1),S$1-$K565,IF(AND($K565&gt;=R$1,$L565&lt;=S$1),$L565-$K565,IF(AND($K565&lt;R$1,$L565&gt;S$1),S$1-R$1,""))))))),"")</f>
        <v>0</v>
      </c>
      <c r="S565" s="78" t="b">
        <f t="shared" si="660"/>
        <v>0</v>
      </c>
      <c r="T565" s="78" t="b">
        <f t="shared" si="660"/>
        <v>0</v>
      </c>
      <c r="U565" s="78" t="b">
        <f t="shared" si="660"/>
        <v>0</v>
      </c>
      <c r="V565" s="78" t="b">
        <f t="shared" si="660"/>
        <v>0</v>
      </c>
      <c r="W565" s="78" t="b">
        <f t="shared" si="660"/>
        <v>0</v>
      </c>
      <c r="X565" s="78" t="b">
        <f t="shared" si="660"/>
        <v>0</v>
      </c>
      <c r="Y565" s="78" t="b">
        <f t="shared" si="660"/>
        <v>0</v>
      </c>
      <c r="Z565" s="78" t="b">
        <f t="shared" si="660"/>
        <v>0</v>
      </c>
      <c r="AA565" s="78" t="b">
        <f t="shared" si="660"/>
        <v>0</v>
      </c>
      <c r="AB565" s="78" t="b">
        <f t="shared" si="660"/>
        <v>0</v>
      </c>
      <c r="AC565" s="78" t="b">
        <f t="shared" si="660"/>
        <v>0</v>
      </c>
      <c r="AD565" s="78" t="b">
        <f t="shared" si="660"/>
        <v>0</v>
      </c>
      <c r="AE565" s="78" t="b">
        <f t="shared" si="660"/>
        <v>0</v>
      </c>
      <c r="AF565" s="78" t="b">
        <f t="shared" si="660"/>
        <v>0</v>
      </c>
      <c r="AG565" s="78" t="b">
        <f t="shared" si="660"/>
        <v>0</v>
      </c>
      <c r="AH565" s="78" t="b">
        <f t="shared" si="660"/>
        <v>0</v>
      </c>
      <c r="AI565" s="78" t="b">
        <f t="shared" si="660"/>
        <v>0</v>
      </c>
      <c r="AJ565" s="78" t="b">
        <f t="shared" si="660"/>
        <v>0</v>
      </c>
      <c r="AK565" s="78" t="b">
        <f t="shared" si="660"/>
        <v>0</v>
      </c>
      <c r="AL565" s="78" t="b">
        <f t="shared" si="660"/>
        <v>0</v>
      </c>
      <c r="AM565" s="78" t="b">
        <f t="shared" si="660"/>
        <v>0</v>
      </c>
      <c r="AN565" s="78" t="b">
        <f t="shared" si="660"/>
        <v>0</v>
      </c>
      <c r="AO565" s="78" t="b">
        <f t="shared" si="660"/>
        <v>0</v>
      </c>
      <c r="AP565" s="78"/>
    </row>
    <row r="566" spans="4:42" x14ac:dyDescent="0.35">
      <c r="D566" s="96"/>
      <c r="E566" s="96"/>
      <c r="G566" s="77">
        <f t="shared" si="603"/>
        <v>0</v>
      </c>
      <c r="H566" s="78">
        <f t="shared" si="604"/>
        <v>0</v>
      </c>
      <c r="I566" s="77">
        <f t="shared" si="605"/>
        <v>0</v>
      </c>
      <c r="J566" s="78">
        <f t="shared" si="606"/>
        <v>0</v>
      </c>
      <c r="K566" s="78" t="str">
        <f t="shared" si="607"/>
        <v>1900-01-00 00:0:00</v>
      </c>
      <c r="L566" s="78" t="str">
        <f t="shared" si="608"/>
        <v>1900-01-00 00:0:00</v>
      </c>
      <c r="M566" s="79">
        <f t="shared" si="609"/>
        <v>0</v>
      </c>
      <c r="N566">
        <f t="shared" si="610"/>
        <v>1</v>
      </c>
      <c r="O566" t="str">
        <f>IFERROR(_xlfn.XLOOKUP(A566,HC!A:A,HC!C:C),"")</f>
        <v>Workforce</v>
      </c>
      <c r="R566" s="78" t="b">
        <f t="shared" ref="R566:AO566" si="661">IFERROR(IF($B566=$D$1,IF(AND($K566&lt;R$1,$L566&lt;R$1),"",IF(AND($K566&gt;S$1,$L566&gt;S$1),"",IF(AND($K566&lt;R$1,$L566&lt;=S$1),$L566-R$1,IF(AND($K566&gt;=R$1,$L566&gt;S$1),S$1-$K566,IF(AND($K566&gt;=R$1,$L566&lt;=S$1),$L566-$K566,IF(AND($K566&lt;R$1,$L566&gt;S$1),S$1-R$1,""))))))),"")</f>
        <v>0</v>
      </c>
      <c r="S566" s="78" t="b">
        <f t="shared" si="661"/>
        <v>0</v>
      </c>
      <c r="T566" s="78" t="b">
        <f t="shared" si="661"/>
        <v>0</v>
      </c>
      <c r="U566" s="78" t="b">
        <f t="shared" si="661"/>
        <v>0</v>
      </c>
      <c r="V566" s="78" t="b">
        <f t="shared" si="661"/>
        <v>0</v>
      </c>
      <c r="W566" s="78" t="b">
        <f t="shared" si="661"/>
        <v>0</v>
      </c>
      <c r="X566" s="78" t="b">
        <f t="shared" si="661"/>
        <v>0</v>
      </c>
      <c r="Y566" s="78" t="b">
        <f t="shared" si="661"/>
        <v>0</v>
      </c>
      <c r="Z566" s="78" t="b">
        <f t="shared" si="661"/>
        <v>0</v>
      </c>
      <c r="AA566" s="78" t="b">
        <f t="shared" si="661"/>
        <v>0</v>
      </c>
      <c r="AB566" s="78" t="b">
        <f t="shared" si="661"/>
        <v>0</v>
      </c>
      <c r="AC566" s="78" t="b">
        <f t="shared" si="661"/>
        <v>0</v>
      </c>
      <c r="AD566" s="78" t="b">
        <f t="shared" si="661"/>
        <v>0</v>
      </c>
      <c r="AE566" s="78" t="b">
        <f t="shared" si="661"/>
        <v>0</v>
      </c>
      <c r="AF566" s="78" t="b">
        <f t="shared" si="661"/>
        <v>0</v>
      </c>
      <c r="AG566" s="78" t="b">
        <f t="shared" si="661"/>
        <v>0</v>
      </c>
      <c r="AH566" s="78" t="b">
        <f t="shared" si="661"/>
        <v>0</v>
      </c>
      <c r="AI566" s="78" t="b">
        <f t="shared" si="661"/>
        <v>0</v>
      </c>
      <c r="AJ566" s="78" t="b">
        <f t="shared" si="661"/>
        <v>0</v>
      </c>
      <c r="AK566" s="78" t="b">
        <f t="shared" si="661"/>
        <v>0</v>
      </c>
      <c r="AL566" s="78" t="b">
        <f t="shared" si="661"/>
        <v>0</v>
      </c>
      <c r="AM566" s="78" t="b">
        <f t="shared" si="661"/>
        <v>0</v>
      </c>
      <c r="AN566" s="78" t="b">
        <f t="shared" si="661"/>
        <v>0</v>
      </c>
      <c r="AO566" s="78" t="b">
        <f t="shared" si="661"/>
        <v>0</v>
      </c>
      <c r="AP566" s="78"/>
    </row>
    <row r="567" spans="4:42" x14ac:dyDescent="0.35">
      <c r="D567" s="96"/>
      <c r="E567" s="96"/>
      <c r="G567" s="77">
        <f t="shared" si="603"/>
        <v>0</v>
      </c>
      <c r="H567" s="78">
        <f t="shared" si="604"/>
        <v>0</v>
      </c>
      <c r="I567" s="77">
        <f t="shared" si="605"/>
        <v>0</v>
      </c>
      <c r="J567" s="78">
        <f t="shared" si="606"/>
        <v>0</v>
      </c>
      <c r="K567" s="78" t="str">
        <f t="shared" si="607"/>
        <v>1900-01-00 00:0:00</v>
      </c>
      <c r="L567" s="78" t="str">
        <f t="shared" si="608"/>
        <v>1900-01-00 00:0:00</v>
      </c>
      <c r="M567" s="79">
        <f t="shared" si="609"/>
        <v>0</v>
      </c>
      <c r="N567">
        <f t="shared" si="610"/>
        <v>1</v>
      </c>
      <c r="O567" t="str">
        <f>IFERROR(_xlfn.XLOOKUP(A567,HC!A:A,HC!C:C),"")</f>
        <v>Workforce</v>
      </c>
      <c r="R567" s="78" t="b">
        <f t="shared" ref="R567:AO567" si="662">IFERROR(IF($B567=$D$1,IF(AND($K567&lt;R$1,$L567&lt;R$1),"",IF(AND($K567&gt;S$1,$L567&gt;S$1),"",IF(AND($K567&lt;R$1,$L567&lt;=S$1),$L567-R$1,IF(AND($K567&gt;=R$1,$L567&gt;S$1),S$1-$K567,IF(AND($K567&gt;=R$1,$L567&lt;=S$1),$L567-$K567,IF(AND($K567&lt;R$1,$L567&gt;S$1),S$1-R$1,""))))))),"")</f>
        <v>0</v>
      </c>
      <c r="S567" s="78" t="b">
        <f t="shared" si="662"/>
        <v>0</v>
      </c>
      <c r="T567" s="78" t="b">
        <f t="shared" si="662"/>
        <v>0</v>
      </c>
      <c r="U567" s="78" t="b">
        <f t="shared" si="662"/>
        <v>0</v>
      </c>
      <c r="V567" s="78" t="b">
        <f t="shared" si="662"/>
        <v>0</v>
      </c>
      <c r="W567" s="78" t="b">
        <f t="shared" si="662"/>
        <v>0</v>
      </c>
      <c r="X567" s="78" t="b">
        <f t="shared" si="662"/>
        <v>0</v>
      </c>
      <c r="Y567" s="78" t="b">
        <f t="shared" si="662"/>
        <v>0</v>
      </c>
      <c r="Z567" s="78" t="b">
        <f t="shared" si="662"/>
        <v>0</v>
      </c>
      <c r="AA567" s="78" t="b">
        <f t="shared" si="662"/>
        <v>0</v>
      </c>
      <c r="AB567" s="78" t="b">
        <f t="shared" si="662"/>
        <v>0</v>
      </c>
      <c r="AC567" s="78" t="b">
        <f t="shared" si="662"/>
        <v>0</v>
      </c>
      <c r="AD567" s="78" t="b">
        <f t="shared" si="662"/>
        <v>0</v>
      </c>
      <c r="AE567" s="78" t="b">
        <f t="shared" si="662"/>
        <v>0</v>
      </c>
      <c r="AF567" s="78" t="b">
        <f t="shared" si="662"/>
        <v>0</v>
      </c>
      <c r="AG567" s="78" t="b">
        <f t="shared" si="662"/>
        <v>0</v>
      </c>
      <c r="AH567" s="78" t="b">
        <f t="shared" si="662"/>
        <v>0</v>
      </c>
      <c r="AI567" s="78" t="b">
        <f t="shared" si="662"/>
        <v>0</v>
      </c>
      <c r="AJ567" s="78" t="b">
        <f t="shared" si="662"/>
        <v>0</v>
      </c>
      <c r="AK567" s="78" t="b">
        <f t="shared" si="662"/>
        <v>0</v>
      </c>
      <c r="AL567" s="78" t="b">
        <f t="shared" si="662"/>
        <v>0</v>
      </c>
      <c r="AM567" s="78" t="b">
        <f t="shared" si="662"/>
        <v>0</v>
      </c>
      <c r="AN567" s="78" t="b">
        <f t="shared" si="662"/>
        <v>0</v>
      </c>
      <c r="AO567" s="78" t="b">
        <f t="shared" si="662"/>
        <v>0</v>
      </c>
      <c r="AP567" s="78"/>
    </row>
    <row r="568" spans="4:42" x14ac:dyDescent="0.35">
      <c r="D568" s="96"/>
      <c r="E568" s="96"/>
      <c r="G568" s="77">
        <f t="shared" si="603"/>
        <v>0</v>
      </c>
      <c r="H568" s="78">
        <f t="shared" si="604"/>
        <v>0</v>
      </c>
      <c r="I568" s="77">
        <f t="shared" si="605"/>
        <v>0</v>
      </c>
      <c r="J568" s="78">
        <f t="shared" si="606"/>
        <v>0</v>
      </c>
      <c r="K568" s="78" t="str">
        <f t="shared" si="607"/>
        <v>1900-01-00 00:0:00</v>
      </c>
      <c r="L568" s="78" t="str">
        <f t="shared" si="608"/>
        <v>1900-01-00 00:0:00</v>
      </c>
      <c r="M568" s="79">
        <f t="shared" si="609"/>
        <v>0</v>
      </c>
      <c r="N568">
        <f t="shared" si="610"/>
        <v>1</v>
      </c>
      <c r="O568" t="str">
        <f>IFERROR(_xlfn.XLOOKUP(A568,HC!A:A,HC!C:C),"")</f>
        <v>Workforce</v>
      </c>
      <c r="R568" s="78" t="b">
        <f t="shared" ref="R568:AO568" si="663">IFERROR(IF($B568=$D$1,IF(AND($K568&lt;R$1,$L568&lt;R$1),"",IF(AND($K568&gt;S$1,$L568&gt;S$1),"",IF(AND($K568&lt;R$1,$L568&lt;=S$1),$L568-R$1,IF(AND($K568&gt;=R$1,$L568&gt;S$1),S$1-$K568,IF(AND($K568&gt;=R$1,$L568&lt;=S$1),$L568-$K568,IF(AND($K568&lt;R$1,$L568&gt;S$1),S$1-R$1,""))))))),"")</f>
        <v>0</v>
      </c>
      <c r="S568" s="78" t="b">
        <f t="shared" si="663"/>
        <v>0</v>
      </c>
      <c r="T568" s="78" t="b">
        <f t="shared" si="663"/>
        <v>0</v>
      </c>
      <c r="U568" s="78" t="b">
        <f t="shared" si="663"/>
        <v>0</v>
      </c>
      <c r="V568" s="78" t="b">
        <f t="shared" si="663"/>
        <v>0</v>
      </c>
      <c r="W568" s="78" t="b">
        <f t="shared" si="663"/>
        <v>0</v>
      </c>
      <c r="X568" s="78" t="b">
        <f t="shared" si="663"/>
        <v>0</v>
      </c>
      <c r="Y568" s="78" t="b">
        <f t="shared" si="663"/>
        <v>0</v>
      </c>
      <c r="Z568" s="78" t="b">
        <f t="shared" si="663"/>
        <v>0</v>
      </c>
      <c r="AA568" s="78" t="b">
        <f t="shared" si="663"/>
        <v>0</v>
      </c>
      <c r="AB568" s="78" t="b">
        <f t="shared" si="663"/>
        <v>0</v>
      </c>
      <c r="AC568" s="78" t="b">
        <f t="shared" si="663"/>
        <v>0</v>
      </c>
      <c r="AD568" s="78" t="b">
        <f t="shared" si="663"/>
        <v>0</v>
      </c>
      <c r="AE568" s="78" t="b">
        <f t="shared" si="663"/>
        <v>0</v>
      </c>
      <c r="AF568" s="78" t="b">
        <f t="shared" si="663"/>
        <v>0</v>
      </c>
      <c r="AG568" s="78" t="b">
        <f t="shared" si="663"/>
        <v>0</v>
      </c>
      <c r="AH568" s="78" t="b">
        <f t="shared" si="663"/>
        <v>0</v>
      </c>
      <c r="AI568" s="78" t="b">
        <f t="shared" si="663"/>
        <v>0</v>
      </c>
      <c r="AJ568" s="78" t="b">
        <f t="shared" si="663"/>
        <v>0</v>
      </c>
      <c r="AK568" s="78" t="b">
        <f t="shared" si="663"/>
        <v>0</v>
      </c>
      <c r="AL568" s="78" t="b">
        <f t="shared" si="663"/>
        <v>0</v>
      </c>
      <c r="AM568" s="78" t="b">
        <f t="shared" si="663"/>
        <v>0</v>
      </c>
      <c r="AN568" s="78" t="b">
        <f t="shared" si="663"/>
        <v>0</v>
      </c>
      <c r="AO568" s="78" t="b">
        <f t="shared" si="663"/>
        <v>0</v>
      </c>
      <c r="AP568" s="78"/>
    </row>
    <row r="569" spans="4:42" x14ac:dyDescent="0.35">
      <c r="D569" s="96"/>
      <c r="E569" s="96"/>
      <c r="G569" s="77">
        <f t="shared" si="603"/>
        <v>0</v>
      </c>
      <c r="H569" s="78">
        <f t="shared" si="604"/>
        <v>0</v>
      </c>
      <c r="I569" s="77">
        <f t="shared" si="605"/>
        <v>0</v>
      </c>
      <c r="J569" s="78">
        <f t="shared" si="606"/>
        <v>0</v>
      </c>
      <c r="K569" s="78" t="str">
        <f t="shared" si="607"/>
        <v>1900-01-00 00:0:00</v>
      </c>
      <c r="L569" s="78" t="str">
        <f t="shared" si="608"/>
        <v>1900-01-00 00:0:00</v>
      </c>
      <c r="M569" s="79">
        <f t="shared" si="609"/>
        <v>0</v>
      </c>
      <c r="N569">
        <f t="shared" si="610"/>
        <v>1</v>
      </c>
      <c r="O569" t="str">
        <f>IFERROR(_xlfn.XLOOKUP(A569,HC!A:A,HC!C:C),"")</f>
        <v>Workforce</v>
      </c>
      <c r="R569" s="78" t="b">
        <f t="shared" ref="R569:AO569" si="664">IFERROR(IF($B569=$D$1,IF(AND($K569&lt;R$1,$L569&lt;R$1),"",IF(AND($K569&gt;S$1,$L569&gt;S$1),"",IF(AND($K569&lt;R$1,$L569&lt;=S$1),$L569-R$1,IF(AND($K569&gt;=R$1,$L569&gt;S$1),S$1-$K569,IF(AND($K569&gt;=R$1,$L569&lt;=S$1),$L569-$K569,IF(AND($K569&lt;R$1,$L569&gt;S$1),S$1-R$1,""))))))),"")</f>
        <v>0</v>
      </c>
      <c r="S569" s="78" t="b">
        <f t="shared" si="664"/>
        <v>0</v>
      </c>
      <c r="T569" s="78" t="b">
        <f t="shared" si="664"/>
        <v>0</v>
      </c>
      <c r="U569" s="78" t="b">
        <f t="shared" si="664"/>
        <v>0</v>
      </c>
      <c r="V569" s="78" t="b">
        <f t="shared" si="664"/>
        <v>0</v>
      </c>
      <c r="W569" s="78" t="b">
        <f t="shared" si="664"/>
        <v>0</v>
      </c>
      <c r="X569" s="78" t="b">
        <f t="shared" si="664"/>
        <v>0</v>
      </c>
      <c r="Y569" s="78" t="b">
        <f t="shared" si="664"/>
        <v>0</v>
      </c>
      <c r="Z569" s="78" t="b">
        <f t="shared" si="664"/>
        <v>0</v>
      </c>
      <c r="AA569" s="78" t="b">
        <f t="shared" si="664"/>
        <v>0</v>
      </c>
      <c r="AB569" s="78" t="b">
        <f t="shared" si="664"/>
        <v>0</v>
      </c>
      <c r="AC569" s="78" t="b">
        <f t="shared" si="664"/>
        <v>0</v>
      </c>
      <c r="AD569" s="78" t="b">
        <f t="shared" si="664"/>
        <v>0</v>
      </c>
      <c r="AE569" s="78" t="b">
        <f t="shared" si="664"/>
        <v>0</v>
      </c>
      <c r="AF569" s="78" t="b">
        <f t="shared" si="664"/>
        <v>0</v>
      </c>
      <c r="AG569" s="78" t="b">
        <f t="shared" si="664"/>
        <v>0</v>
      </c>
      <c r="AH569" s="78" t="b">
        <f t="shared" si="664"/>
        <v>0</v>
      </c>
      <c r="AI569" s="78" t="b">
        <f t="shared" si="664"/>
        <v>0</v>
      </c>
      <c r="AJ569" s="78" t="b">
        <f t="shared" si="664"/>
        <v>0</v>
      </c>
      <c r="AK569" s="78" t="b">
        <f t="shared" si="664"/>
        <v>0</v>
      </c>
      <c r="AL569" s="78" t="b">
        <f t="shared" si="664"/>
        <v>0</v>
      </c>
      <c r="AM569" s="78" t="b">
        <f t="shared" si="664"/>
        <v>0</v>
      </c>
      <c r="AN569" s="78" t="b">
        <f t="shared" si="664"/>
        <v>0</v>
      </c>
      <c r="AO569" s="78" t="b">
        <f t="shared" si="664"/>
        <v>0</v>
      </c>
      <c r="AP569" s="78"/>
    </row>
    <row r="570" spans="4:42" x14ac:dyDescent="0.35">
      <c r="D570" s="96"/>
      <c r="E570" s="96"/>
      <c r="G570" s="77">
        <f t="shared" si="603"/>
        <v>0</v>
      </c>
      <c r="H570" s="78">
        <f t="shared" si="604"/>
        <v>0</v>
      </c>
      <c r="I570" s="77">
        <f t="shared" si="605"/>
        <v>0</v>
      </c>
      <c r="J570" s="78">
        <f t="shared" si="606"/>
        <v>0</v>
      </c>
      <c r="K570" s="78" t="str">
        <f t="shared" si="607"/>
        <v>1900-01-00 00:0:00</v>
      </c>
      <c r="L570" s="78" t="str">
        <f t="shared" si="608"/>
        <v>1900-01-00 00:0:00</v>
      </c>
      <c r="M570" s="79">
        <f t="shared" si="609"/>
        <v>0</v>
      </c>
      <c r="N570">
        <f t="shared" si="610"/>
        <v>1</v>
      </c>
      <c r="O570" t="str">
        <f>IFERROR(_xlfn.XLOOKUP(A570,HC!A:A,HC!C:C),"")</f>
        <v>Workforce</v>
      </c>
      <c r="R570" s="78" t="b">
        <f t="shared" ref="R570:AO570" si="665">IFERROR(IF($B570=$D$1,IF(AND($K570&lt;R$1,$L570&lt;R$1),"",IF(AND($K570&gt;S$1,$L570&gt;S$1),"",IF(AND($K570&lt;R$1,$L570&lt;=S$1),$L570-R$1,IF(AND($K570&gt;=R$1,$L570&gt;S$1),S$1-$K570,IF(AND($K570&gt;=R$1,$L570&lt;=S$1),$L570-$K570,IF(AND($K570&lt;R$1,$L570&gt;S$1),S$1-R$1,""))))))),"")</f>
        <v>0</v>
      </c>
      <c r="S570" s="78" t="b">
        <f t="shared" si="665"/>
        <v>0</v>
      </c>
      <c r="T570" s="78" t="b">
        <f t="shared" si="665"/>
        <v>0</v>
      </c>
      <c r="U570" s="78" t="b">
        <f t="shared" si="665"/>
        <v>0</v>
      </c>
      <c r="V570" s="78" t="b">
        <f t="shared" si="665"/>
        <v>0</v>
      </c>
      <c r="W570" s="78" t="b">
        <f t="shared" si="665"/>
        <v>0</v>
      </c>
      <c r="X570" s="78" t="b">
        <f t="shared" si="665"/>
        <v>0</v>
      </c>
      <c r="Y570" s="78" t="b">
        <f t="shared" si="665"/>
        <v>0</v>
      </c>
      <c r="Z570" s="78" t="b">
        <f t="shared" si="665"/>
        <v>0</v>
      </c>
      <c r="AA570" s="78" t="b">
        <f t="shared" si="665"/>
        <v>0</v>
      </c>
      <c r="AB570" s="78" t="b">
        <f t="shared" si="665"/>
        <v>0</v>
      </c>
      <c r="AC570" s="78" t="b">
        <f t="shared" si="665"/>
        <v>0</v>
      </c>
      <c r="AD570" s="78" t="b">
        <f t="shared" si="665"/>
        <v>0</v>
      </c>
      <c r="AE570" s="78" t="b">
        <f t="shared" si="665"/>
        <v>0</v>
      </c>
      <c r="AF570" s="78" t="b">
        <f t="shared" si="665"/>
        <v>0</v>
      </c>
      <c r="AG570" s="78" t="b">
        <f t="shared" si="665"/>
        <v>0</v>
      </c>
      <c r="AH570" s="78" t="b">
        <f t="shared" si="665"/>
        <v>0</v>
      </c>
      <c r="AI570" s="78" t="b">
        <f t="shared" si="665"/>
        <v>0</v>
      </c>
      <c r="AJ570" s="78" t="b">
        <f t="shared" si="665"/>
        <v>0</v>
      </c>
      <c r="AK570" s="78" t="b">
        <f t="shared" si="665"/>
        <v>0</v>
      </c>
      <c r="AL570" s="78" t="b">
        <f t="shared" si="665"/>
        <v>0</v>
      </c>
      <c r="AM570" s="78" t="b">
        <f t="shared" si="665"/>
        <v>0</v>
      </c>
      <c r="AN570" s="78" t="b">
        <f t="shared" si="665"/>
        <v>0</v>
      </c>
      <c r="AO570" s="78" t="b">
        <f t="shared" si="665"/>
        <v>0</v>
      </c>
      <c r="AP570" s="78"/>
    </row>
    <row r="571" spans="4:42" x14ac:dyDescent="0.35">
      <c r="D571" s="96"/>
      <c r="E571" s="96"/>
      <c r="G571" s="77">
        <f t="shared" si="603"/>
        <v>0</v>
      </c>
      <c r="H571" s="78">
        <f t="shared" si="604"/>
        <v>0</v>
      </c>
      <c r="I571" s="77">
        <f t="shared" si="605"/>
        <v>0</v>
      </c>
      <c r="J571" s="78">
        <f t="shared" si="606"/>
        <v>0</v>
      </c>
      <c r="K571" s="78" t="str">
        <f t="shared" si="607"/>
        <v>1900-01-00 00:0:00</v>
      </c>
      <c r="L571" s="78" t="str">
        <f t="shared" si="608"/>
        <v>1900-01-00 00:0:00</v>
      </c>
      <c r="M571" s="79">
        <f t="shared" si="609"/>
        <v>0</v>
      </c>
      <c r="N571">
        <f t="shared" si="610"/>
        <v>1</v>
      </c>
      <c r="O571" t="str">
        <f>IFERROR(_xlfn.XLOOKUP(A571,HC!A:A,HC!C:C),"")</f>
        <v>Workforce</v>
      </c>
      <c r="R571" s="78" t="b">
        <f t="shared" ref="R571:AO571" si="666">IFERROR(IF($B571=$D$1,IF(AND($K571&lt;R$1,$L571&lt;R$1),"",IF(AND($K571&gt;S$1,$L571&gt;S$1),"",IF(AND($K571&lt;R$1,$L571&lt;=S$1),$L571-R$1,IF(AND($K571&gt;=R$1,$L571&gt;S$1),S$1-$K571,IF(AND($K571&gt;=R$1,$L571&lt;=S$1),$L571-$K571,IF(AND($K571&lt;R$1,$L571&gt;S$1),S$1-R$1,""))))))),"")</f>
        <v>0</v>
      </c>
      <c r="S571" s="78" t="b">
        <f t="shared" si="666"/>
        <v>0</v>
      </c>
      <c r="T571" s="78" t="b">
        <f t="shared" si="666"/>
        <v>0</v>
      </c>
      <c r="U571" s="78" t="b">
        <f t="shared" si="666"/>
        <v>0</v>
      </c>
      <c r="V571" s="78" t="b">
        <f t="shared" si="666"/>
        <v>0</v>
      </c>
      <c r="W571" s="78" t="b">
        <f t="shared" si="666"/>
        <v>0</v>
      </c>
      <c r="X571" s="78" t="b">
        <f t="shared" si="666"/>
        <v>0</v>
      </c>
      <c r="Y571" s="78" t="b">
        <f t="shared" si="666"/>
        <v>0</v>
      </c>
      <c r="Z571" s="78" t="b">
        <f t="shared" si="666"/>
        <v>0</v>
      </c>
      <c r="AA571" s="78" t="b">
        <f t="shared" si="666"/>
        <v>0</v>
      </c>
      <c r="AB571" s="78" t="b">
        <f t="shared" si="666"/>
        <v>0</v>
      </c>
      <c r="AC571" s="78" t="b">
        <f t="shared" si="666"/>
        <v>0</v>
      </c>
      <c r="AD571" s="78" t="b">
        <f t="shared" si="666"/>
        <v>0</v>
      </c>
      <c r="AE571" s="78" t="b">
        <f t="shared" si="666"/>
        <v>0</v>
      </c>
      <c r="AF571" s="78" t="b">
        <f t="shared" si="666"/>
        <v>0</v>
      </c>
      <c r="AG571" s="78" t="b">
        <f t="shared" si="666"/>
        <v>0</v>
      </c>
      <c r="AH571" s="78" t="b">
        <f t="shared" si="666"/>
        <v>0</v>
      </c>
      <c r="AI571" s="78" t="b">
        <f t="shared" si="666"/>
        <v>0</v>
      </c>
      <c r="AJ571" s="78" t="b">
        <f t="shared" si="666"/>
        <v>0</v>
      </c>
      <c r="AK571" s="78" t="b">
        <f t="shared" si="666"/>
        <v>0</v>
      </c>
      <c r="AL571" s="78" t="b">
        <f t="shared" si="666"/>
        <v>0</v>
      </c>
      <c r="AM571" s="78" t="b">
        <f t="shared" si="666"/>
        <v>0</v>
      </c>
      <c r="AN571" s="78" t="b">
        <f t="shared" si="666"/>
        <v>0</v>
      </c>
      <c r="AO571" s="78" t="b">
        <f t="shared" si="666"/>
        <v>0</v>
      </c>
      <c r="AP571" s="78"/>
    </row>
    <row r="572" spans="4:42" x14ac:dyDescent="0.35">
      <c r="D572" s="96"/>
      <c r="E572" s="96"/>
      <c r="G572" s="77">
        <f t="shared" si="603"/>
        <v>0</v>
      </c>
      <c r="H572" s="78">
        <f t="shared" si="604"/>
        <v>0</v>
      </c>
      <c r="I572" s="77">
        <f t="shared" si="605"/>
        <v>0</v>
      </c>
      <c r="J572" s="78">
        <f t="shared" si="606"/>
        <v>0</v>
      </c>
      <c r="K572" s="78" t="str">
        <f t="shared" si="607"/>
        <v>1900-01-00 00:0:00</v>
      </c>
      <c r="L572" s="78" t="str">
        <f t="shared" si="608"/>
        <v>1900-01-00 00:0:00</v>
      </c>
      <c r="M572" s="79">
        <f t="shared" si="609"/>
        <v>0</v>
      </c>
      <c r="N572">
        <f t="shared" si="610"/>
        <v>1</v>
      </c>
      <c r="O572" t="str">
        <f>IFERROR(_xlfn.XLOOKUP(A572,HC!A:A,HC!C:C),"")</f>
        <v>Workforce</v>
      </c>
      <c r="R572" s="78" t="b">
        <f t="shared" ref="R572:AO572" si="667">IFERROR(IF($B572=$D$1,IF(AND($K572&lt;R$1,$L572&lt;R$1),"",IF(AND($K572&gt;S$1,$L572&gt;S$1),"",IF(AND($K572&lt;R$1,$L572&lt;=S$1),$L572-R$1,IF(AND($K572&gt;=R$1,$L572&gt;S$1),S$1-$K572,IF(AND($K572&gt;=R$1,$L572&lt;=S$1),$L572-$K572,IF(AND($K572&lt;R$1,$L572&gt;S$1),S$1-R$1,""))))))),"")</f>
        <v>0</v>
      </c>
      <c r="S572" s="78" t="b">
        <f t="shared" si="667"/>
        <v>0</v>
      </c>
      <c r="T572" s="78" t="b">
        <f t="shared" si="667"/>
        <v>0</v>
      </c>
      <c r="U572" s="78" t="b">
        <f t="shared" si="667"/>
        <v>0</v>
      </c>
      <c r="V572" s="78" t="b">
        <f t="shared" si="667"/>
        <v>0</v>
      </c>
      <c r="W572" s="78" t="b">
        <f t="shared" si="667"/>
        <v>0</v>
      </c>
      <c r="X572" s="78" t="b">
        <f t="shared" si="667"/>
        <v>0</v>
      </c>
      <c r="Y572" s="78" t="b">
        <f t="shared" si="667"/>
        <v>0</v>
      </c>
      <c r="Z572" s="78" t="b">
        <f t="shared" si="667"/>
        <v>0</v>
      </c>
      <c r="AA572" s="78" t="b">
        <f t="shared" si="667"/>
        <v>0</v>
      </c>
      <c r="AB572" s="78" t="b">
        <f t="shared" si="667"/>
        <v>0</v>
      </c>
      <c r="AC572" s="78" t="b">
        <f t="shared" si="667"/>
        <v>0</v>
      </c>
      <c r="AD572" s="78" t="b">
        <f t="shared" si="667"/>
        <v>0</v>
      </c>
      <c r="AE572" s="78" t="b">
        <f t="shared" si="667"/>
        <v>0</v>
      </c>
      <c r="AF572" s="78" t="b">
        <f t="shared" si="667"/>
        <v>0</v>
      </c>
      <c r="AG572" s="78" t="b">
        <f t="shared" si="667"/>
        <v>0</v>
      </c>
      <c r="AH572" s="78" t="b">
        <f t="shared" si="667"/>
        <v>0</v>
      </c>
      <c r="AI572" s="78" t="b">
        <f t="shared" si="667"/>
        <v>0</v>
      </c>
      <c r="AJ572" s="78" t="b">
        <f t="shared" si="667"/>
        <v>0</v>
      </c>
      <c r="AK572" s="78" t="b">
        <f t="shared" si="667"/>
        <v>0</v>
      </c>
      <c r="AL572" s="78" t="b">
        <f t="shared" si="667"/>
        <v>0</v>
      </c>
      <c r="AM572" s="78" t="b">
        <f t="shared" si="667"/>
        <v>0</v>
      </c>
      <c r="AN572" s="78" t="b">
        <f t="shared" si="667"/>
        <v>0</v>
      </c>
      <c r="AO572" s="78" t="b">
        <f t="shared" si="667"/>
        <v>0</v>
      </c>
      <c r="AP572" s="78"/>
    </row>
    <row r="573" spans="4:42" x14ac:dyDescent="0.35">
      <c r="D573" s="96"/>
      <c r="E573" s="96"/>
      <c r="G573" s="77">
        <f t="shared" si="603"/>
        <v>0</v>
      </c>
      <c r="H573" s="78">
        <f t="shared" si="604"/>
        <v>0</v>
      </c>
      <c r="I573" s="77">
        <f t="shared" si="605"/>
        <v>0</v>
      </c>
      <c r="J573" s="78">
        <f t="shared" si="606"/>
        <v>0</v>
      </c>
      <c r="K573" s="78" t="str">
        <f t="shared" si="607"/>
        <v>1900-01-00 00:0:00</v>
      </c>
      <c r="L573" s="78" t="str">
        <f t="shared" si="608"/>
        <v>1900-01-00 00:0:00</v>
      </c>
      <c r="M573" s="79">
        <f t="shared" si="609"/>
        <v>0</v>
      </c>
      <c r="N573">
        <f t="shared" si="610"/>
        <v>1</v>
      </c>
      <c r="O573" t="str">
        <f>IFERROR(_xlfn.XLOOKUP(A573,HC!A:A,HC!C:C),"")</f>
        <v>Workforce</v>
      </c>
      <c r="R573" s="78" t="b">
        <f t="shared" ref="R573:AO573" si="668">IFERROR(IF($B573=$D$1,IF(AND($K573&lt;R$1,$L573&lt;R$1),"",IF(AND($K573&gt;S$1,$L573&gt;S$1),"",IF(AND($K573&lt;R$1,$L573&lt;=S$1),$L573-R$1,IF(AND($K573&gt;=R$1,$L573&gt;S$1),S$1-$K573,IF(AND($K573&gt;=R$1,$L573&lt;=S$1),$L573-$K573,IF(AND($K573&lt;R$1,$L573&gt;S$1),S$1-R$1,""))))))),"")</f>
        <v>0</v>
      </c>
      <c r="S573" s="78" t="b">
        <f t="shared" si="668"/>
        <v>0</v>
      </c>
      <c r="T573" s="78" t="b">
        <f t="shared" si="668"/>
        <v>0</v>
      </c>
      <c r="U573" s="78" t="b">
        <f t="shared" si="668"/>
        <v>0</v>
      </c>
      <c r="V573" s="78" t="b">
        <f t="shared" si="668"/>
        <v>0</v>
      </c>
      <c r="W573" s="78" t="b">
        <f t="shared" si="668"/>
        <v>0</v>
      </c>
      <c r="X573" s="78" t="b">
        <f t="shared" si="668"/>
        <v>0</v>
      </c>
      <c r="Y573" s="78" t="b">
        <f t="shared" si="668"/>
        <v>0</v>
      </c>
      <c r="Z573" s="78" t="b">
        <f t="shared" si="668"/>
        <v>0</v>
      </c>
      <c r="AA573" s="78" t="b">
        <f t="shared" si="668"/>
        <v>0</v>
      </c>
      <c r="AB573" s="78" t="b">
        <f t="shared" si="668"/>
        <v>0</v>
      </c>
      <c r="AC573" s="78" t="b">
        <f t="shared" si="668"/>
        <v>0</v>
      </c>
      <c r="AD573" s="78" t="b">
        <f t="shared" si="668"/>
        <v>0</v>
      </c>
      <c r="AE573" s="78" t="b">
        <f t="shared" si="668"/>
        <v>0</v>
      </c>
      <c r="AF573" s="78" t="b">
        <f t="shared" si="668"/>
        <v>0</v>
      </c>
      <c r="AG573" s="78" t="b">
        <f t="shared" si="668"/>
        <v>0</v>
      </c>
      <c r="AH573" s="78" t="b">
        <f t="shared" si="668"/>
        <v>0</v>
      </c>
      <c r="AI573" s="78" t="b">
        <f t="shared" si="668"/>
        <v>0</v>
      </c>
      <c r="AJ573" s="78" t="b">
        <f t="shared" si="668"/>
        <v>0</v>
      </c>
      <c r="AK573" s="78" t="b">
        <f t="shared" si="668"/>
        <v>0</v>
      </c>
      <c r="AL573" s="78" t="b">
        <f t="shared" si="668"/>
        <v>0</v>
      </c>
      <c r="AM573" s="78" t="b">
        <f t="shared" si="668"/>
        <v>0</v>
      </c>
      <c r="AN573" s="78" t="b">
        <f t="shared" si="668"/>
        <v>0</v>
      </c>
      <c r="AO573" s="78" t="b">
        <f t="shared" si="668"/>
        <v>0</v>
      </c>
      <c r="AP573" s="78"/>
    </row>
    <row r="574" spans="4:42" x14ac:dyDescent="0.35">
      <c r="D574" s="96"/>
      <c r="E574" s="96"/>
      <c r="G574" s="77">
        <f t="shared" si="603"/>
        <v>0</v>
      </c>
      <c r="H574" s="78">
        <f t="shared" si="604"/>
        <v>0</v>
      </c>
      <c r="I574" s="77">
        <f t="shared" si="605"/>
        <v>0</v>
      </c>
      <c r="J574" s="78">
        <f t="shared" si="606"/>
        <v>0</v>
      </c>
      <c r="K574" s="78" t="str">
        <f t="shared" si="607"/>
        <v>1900-01-00 00:0:00</v>
      </c>
      <c r="L574" s="78" t="str">
        <f t="shared" si="608"/>
        <v>1900-01-00 00:0:00</v>
      </c>
      <c r="M574" s="79">
        <f t="shared" si="609"/>
        <v>0</v>
      </c>
      <c r="N574">
        <f t="shared" si="610"/>
        <v>1</v>
      </c>
      <c r="O574" t="str">
        <f>IFERROR(_xlfn.XLOOKUP(A574,HC!A:A,HC!C:C),"")</f>
        <v>Workforce</v>
      </c>
      <c r="R574" s="78" t="b">
        <f t="shared" ref="R574:AO574" si="669">IFERROR(IF($B574=$D$1,IF(AND($K574&lt;R$1,$L574&lt;R$1),"",IF(AND($K574&gt;S$1,$L574&gt;S$1),"",IF(AND($K574&lt;R$1,$L574&lt;=S$1),$L574-R$1,IF(AND($K574&gt;=R$1,$L574&gt;S$1),S$1-$K574,IF(AND($K574&gt;=R$1,$L574&lt;=S$1),$L574-$K574,IF(AND($K574&lt;R$1,$L574&gt;S$1),S$1-R$1,""))))))),"")</f>
        <v>0</v>
      </c>
      <c r="S574" s="78" t="b">
        <f t="shared" si="669"/>
        <v>0</v>
      </c>
      <c r="T574" s="78" t="b">
        <f t="shared" si="669"/>
        <v>0</v>
      </c>
      <c r="U574" s="78" t="b">
        <f t="shared" si="669"/>
        <v>0</v>
      </c>
      <c r="V574" s="78" t="b">
        <f t="shared" si="669"/>
        <v>0</v>
      </c>
      <c r="W574" s="78" t="b">
        <f t="shared" si="669"/>
        <v>0</v>
      </c>
      <c r="X574" s="78" t="b">
        <f t="shared" si="669"/>
        <v>0</v>
      </c>
      <c r="Y574" s="78" t="b">
        <f t="shared" si="669"/>
        <v>0</v>
      </c>
      <c r="Z574" s="78" t="b">
        <f t="shared" si="669"/>
        <v>0</v>
      </c>
      <c r="AA574" s="78" t="b">
        <f t="shared" si="669"/>
        <v>0</v>
      </c>
      <c r="AB574" s="78" t="b">
        <f t="shared" si="669"/>
        <v>0</v>
      </c>
      <c r="AC574" s="78" t="b">
        <f t="shared" si="669"/>
        <v>0</v>
      </c>
      <c r="AD574" s="78" t="b">
        <f t="shared" si="669"/>
        <v>0</v>
      </c>
      <c r="AE574" s="78" t="b">
        <f t="shared" si="669"/>
        <v>0</v>
      </c>
      <c r="AF574" s="78" t="b">
        <f t="shared" si="669"/>
        <v>0</v>
      </c>
      <c r="AG574" s="78" t="b">
        <f t="shared" si="669"/>
        <v>0</v>
      </c>
      <c r="AH574" s="78" t="b">
        <f t="shared" si="669"/>
        <v>0</v>
      </c>
      <c r="AI574" s="78" t="b">
        <f t="shared" si="669"/>
        <v>0</v>
      </c>
      <c r="AJ574" s="78" t="b">
        <f t="shared" si="669"/>
        <v>0</v>
      </c>
      <c r="AK574" s="78" t="b">
        <f t="shared" si="669"/>
        <v>0</v>
      </c>
      <c r="AL574" s="78" t="b">
        <f t="shared" si="669"/>
        <v>0</v>
      </c>
      <c r="AM574" s="78" t="b">
        <f t="shared" si="669"/>
        <v>0</v>
      </c>
      <c r="AN574" s="78" t="b">
        <f t="shared" si="669"/>
        <v>0</v>
      </c>
      <c r="AO574" s="78" t="b">
        <f t="shared" si="669"/>
        <v>0</v>
      </c>
      <c r="AP574" s="78"/>
    </row>
    <row r="575" spans="4:42" x14ac:dyDescent="0.35">
      <c r="D575" s="96"/>
      <c r="E575" s="96"/>
      <c r="G575" s="77">
        <f t="shared" si="603"/>
        <v>0</v>
      </c>
      <c r="H575" s="78">
        <f t="shared" si="604"/>
        <v>0</v>
      </c>
      <c r="I575" s="77">
        <f t="shared" si="605"/>
        <v>0</v>
      </c>
      <c r="J575" s="78">
        <f t="shared" si="606"/>
        <v>0</v>
      </c>
      <c r="K575" s="78" t="str">
        <f t="shared" si="607"/>
        <v>1900-01-00 00:0:00</v>
      </c>
      <c r="L575" s="78" t="str">
        <f t="shared" si="608"/>
        <v>1900-01-00 00:0:00</v>
      </c>
      <c r="M575" s="79">
        <f t="shared" si="609"/>
        <v>0</v>
      </c>
      <c r="N575">
        <f t="shared" si="610"/>
        <v>1</v>
      </c>
      <c r="O575" t="str">
        <f>IFERROR(_xlfn.XLOOKUP(A575,HC!A:A,HC!C:C),"")</f>
        <v>Workforce</v>
      </c>
      <c r="R575" s="78" t="b">
        <f t="shared" ref="R575:AO575" si="670">IFERROR(IF($B575=$D$1,IF(AND($K575&lt;R$1,$L575&lt;R$1),"",IF(AND($K575&gt;S$1,$L575&gt;S$1),"",IF(AND($K575&lt;R$1,$L575&lt;=S$1),$L575-R$1,IF(AND($K575&gt;=R$1,$L575&gt;S$1),S$1-$K575,IF(AND($K575&gt;=R$1,$L575&lt;=S$1),$L575-$K575,IF(AND($K575&lt;R$1,$L575&gt;S$1),S$1-R$1,""))))))),"")</f>
        <v>0</v>
      </c>
      <c r="S575" s="78" t="b">
        <f t="shared" si="670"/>
        <v>0</v>
      </c>
      <c r="T575" s="78" t="b">
        <f t="shared" si="670"/>
        <v>0</v>
      </c>
      <c r="U575" s="78" t="b">
        <f t="shared" si="670"/>
        <v>0</v>
      </c>
      <c r="V575" s="78" t="b">
        <f t="shared" si="670"/>
        <v>0</v>
      </c>
      <c r="W575" s="78" t="b">
        <f t="shared" si="670"/>
        <v>0</v>
      </c>
      <c r="X575" s="78" t="b">
        <f t="shared" si="670"/>
        <v>0</v>
      </c>
      <c r="Y575" s="78" t="b">
        <f t="shared" si="670"/>
        <v>0</v>
      </c>
      <c r="Z575" s="78" t="b">
        <f t="shared" si="670"/>
        <v>0</v>
      </c>
      <c r="AA575" s="78" t="b">
        <f t="shared" si="670"/>
        <v>0</v>
      </c>
      <c r="AB575" s="78" t="b">
        <f t="shared" si="670"/>
        <v>0</v>
      </c>
      <c r="AC575" s="78" t="b">
        <f t="shared" si="670"/>
        <v>0</v>
      </c>
      <c r="AD575" s="78" t="b">
        <f t="shared" si="670"/>
        <v>0</v>
      </c>
      <c r="AE575" s="78" t="b">
        <f t="shared" si="670"/>
        <v>0</v>
      </c>
      <c r="AF575" s="78" t="b">
        <f t="shared" si="670"/>
        <v>0</v>
      </c>
      <c r="AG575" s="78" t="b">
        <f t="shared" si="670"/>
        <v>0</v>
      </c>
      <c r="AH575" s="78" t="b">
        <f t="shared" si="670"/>
        <v>0</v>
      </c>
      <c r="AI575" s="78" t="b">
        <f t="shared" si="670"/>
        <v>0</v>
      </c>
      <c r="AJ575" s="78" t="b">
        <f t="shared" si="670"/>
        <v>0</v>
      </c>
      <c r="AK575" s="78" t="b">
        <f t="shared" si="670"/>
        <v>0</v>
      </c>
      <c r="AL575" s="78" t="b">
        <f t="shared" si="670"/>
        <v>0</v>
      </c>
      <c r="AM575" s="78" t="b">
        <f t="shared" si="670"/>
        <v>0</v>
      </c>
      <c r="AN575" s="78" t="b">
        <f t="shared" si="670"/>
        <v>0</v>
      </c>
      <c r="AO575" s="78" t="b">
        <f t="shared" si="670"/>
        <v>0</v>
      </c>
      <c r="AP575" s="78"/>
    </row>
    <row r="576" spans="4:42" x14ac:dyDescent="0.35">
      <c r="D576" s="96"/>
      <c r="E576" s="96"/>
      <c r="G576" s="77">
        <f t="shared" si="603"/>
        <v>0</v>
      </c>
      <c r="H576" s="78">
        <f t="shared" si="604"/>
        <v>0</v>
      </c>
      <c r="I576" s="77">
        <f t="shared" si="605"/>
        <v>0</v>
      </c>
      <c r="J576" s="78">
        <f t="shared" si="606"/>
        <v>0</v>
      </c>
      <c r="K576" s="78" t="str">
        <f t="shared" si="607"/>
        <v>1900-01-00 00:0:00</v>
      </c>
      <c r="L576" s="78" t="str">
        <f t="shared" si="608"/>
        <v>1900-01-00 00:0:00</v>
      </c>
      <c r="M576" s="79">
        <f t="shared" si="609"/>
        <v>0</v>
      </c>
      <c r="N576">
        <f t="shared" si="610"/>
        <v>1</v>
      </c>
      <c r="O576" t="str">
        <f>IFERROR(_xlfn.XLOOKUP(A576,HC!A:A,HC!C:C),"")</f>
        <v>Workforce</v>
      </c>
      <c r="R576" s="78" t="b">
        <f t="shared" ref="R576:AO576" si="671">IFERROR(IF($B576=$D$1,IF(AND($K576&lt;R$1,$L576&lt;R$1),"",IF(AND($K576&gt;S$1,$L576&gt;S$1),"",IF(AND($K576&lt;R$1,$L576&lt;=S$1),$L576-R$1,IF(AND($K576&gt;=R$1,$L576&gt;S$1),S$1-$K576,IF(AND($K576&gt;=R$1,$L576&lt;=S$1),$L576-$K576,IF(AND($K576&lt;R$1,$L576&gt;S$1),S$1-R$1,""))))))),"")</f>
        <v>0</v>
      </c>
      <c r="S576" s="78" t="b">
        <f t="shared" si="671"/>
        <v>0</v>
      </c>
      <c r="T576" s="78" t="b">
        <f t="shared" si="671"/>
        <v>0</v>
      </c>
      <c r="U576" s="78" t="b">
        <f t="shared" si="671"/>
        <v>0</v>
      </c>
      <c r="V576" s="78" t="b">
        <f t="shared" si="671"/>
        <v>0</v>
      </c>
      <c r="W576" s="78" t="b">
        <f t="shared" si="671"/>
        <v>0</v>
      </c>
      <c r="X576" s="78" t="b">
        <f t="shared" si="671"/>
        <v>0</v>
      </c>
      <c r="Y576" s="78" t="b">
        <f t="shared" si="671"/>
        <v>0</v>
      </c>
      <c r="Z576" s="78" t="b">
        <f t="shared" si="671"/>
        <v>0</v>
      </c>
      <c r="AA576" s="78" t="b">
        <f t="shared" si="671"/>
        <v>0</v>
      </c>
      <c r="AB576" s="78" t="b">
        <f t="shared" si="671"/>
        <v>0</v>
      </c>
      <c r="AC576" s="78" t="b">
        <f t="shared" si="671"/>
        <v>0</v>
      </c>
      <c r="AD576" s="78" t="b">
        <f t="shared" si="671"/>
        <v>0</v>
      </c>
      <c r="AE576" s="78" t="b">
        <f t="shared" si="671"/>
        <v>0</v>
      </c>
      <c r="AF576" s="78" t="b">
        <f t="shared" si="671"/>
        <v>0</v>
      </c>
      <c r="AG576" s="78" t="b">
        <f t="shared" si="671"/>
        <v>0</v>
      </c>
      <c r="AH576" s="78" t="b">
        <f t="shared" si="671"/>
        <v>0</v>
      </c>
      <c r="AI576" s="78" t="b">
        <f t="shared" si="671"/>
        <v>0</v>
      </c>
      <c r="AJ576" s="78" t="b">
        <f t="shared" si="671"/>
        <v>0</v>
      </c>
      <c r="AK576" s="78" t="b">
        <f t="shared" si="671"/>
        <v>0</v>
      </c>
      <c r="AL576" s="78" t="b">
        <f t="shared" si="671"/>
        <v>0</v>
      </c>
      <c r="AM576" s="78" t="b">
        <f t="shared" si="671"/>
        <v>0</v>
      </c>
      <c r="AN576" s="78" t="b">
        <f t="shared" si="671"/>
        <v>0</v>
      </c>
      <c r="AO576" s="78" t="b">
        <f t="shared" si="671"/>
        <v>0</v>
      </c>
      <c r="AP576" s="78"/>
    </row>
    <row r="577" spans="4:42" x14ac:dyDescent="0.35">
      <c r="D577" s="96"/>
      <c r="E577" s="96"/>
      <c r="G577" s="77">
        <f t="shared" si="603"/>
        <v>0</v>
      </c>
      <c r="H577" s="78">
        <f t="shared" si="604"/>
        <v>0</v>
      </c>
      <c r="I577" s="77">
        <f t="shared" si="605"/>
        <v>0</v>
      </c>
      <c r="J577" s="78">
        <f t="shared" si="606"/>
        <v>0</v>
      </c>
      <c r="K577" s="78" t="str">
        <f t="shared" si="607"/>
        <v>1900-01-00 00:0:00</v>
      </c>
      <c r="L577" s="78" t="str">
        <f t="shared" si="608"/>
        <v>1900-01-00 00:0:00</v>
      </c>
      <c r="M577" s="79">
        <f t="shared" si="609"/>
        <v>0</v>
      </c>
      <c r="N577">
        <f t="shared" si="610"/>
        <v>1</v>
      </c>
      <c r="O577" t="str">
        <f>IFERROR(_xlfn.XLOOKUP(A577,HC!A:A,HC!C:C),"")</f>
        <v>Workforce</v>
      </c>
      <c r="R577" s="78" t="b">
        <f t="shared" ref="R577:AO577" si="672">IFERROR(IF($B577=$D$1,IF(AND($K577&lt;R$1,$L577&lt;R$1),"",IF(AND($K577&gt;S$1,$L577&gt;S$1),"",IF(AND($K577&lt;R$1,$L577&lt;=S$1),$L577-R$1,IF(AND($K577&gt;=R$1,$L577&gt;S$1),S$1-$K577,IF(AND($K577&gt;=R$1,$L577&lt;=S$1),$L577-$K577,IF(AND($K577&lt;R$1,$L577&gt;S$1),S$1-R$1,""))))))),"")</f>
        <v>0</v>
      </c>
      <c r="S577" s="78" t="b">
        <f t="shared" si="672"/>
        <v>0</v>
      </c>
      <c r="T577" s="78" t="b">
        <f t="shared" si="672"/>
        <v>0</v>
      </c>
      <c r="U577" s="78" t="b">
        <f t="shared" si="672"/>
        <v>0</v>
      </c>
      <c r="V577" s="78" t="b">
        <f t="shared" si="672"/>
        <v>0</v>
      </c>
      <c r="W577" s="78" t="b">
        <f t="shared" si="672"/>
        <v>0</v>
      </c>
      <c r="X577" s="78" t="b">
        <f t="shared" si="672"/>
        <v>0</v>
      </c>
      <c r="Y577" s="78" t="b">
        <f t="shared" si="672"/>
        <v>0</v>
      </c>
      <c r="Z577" s="78" t="b">
        <f t="shared" si="672"/>
        <v>0</v>
      </c>
      <c r="AA577" s="78" t="b">
        <f t="shared" si="672"/>
        <v>0</v>
      </c>
      <c r="AB577" s="78" t="b">
        <f t="shared" si="672"/>
        <v>0</v>
      </c>
      <c r="AC577" s="78" t="b">
        <f t="shared" si="672"/>
        <v>0</v>
      </c>
      <c r="AD577" s="78" t="b">
        <f t="shared" si="672"/>
        <v>0</v>
      </c>
      <c r="AE577" s="78" t="b">
        <f t="shared" si="672"/>
        <v>0</v>
      </c>
      <c r="AF577" s="78" t="b">
        <f t="shared" si="672"/>
        <v>0</v>
      </c>
      <c r="AG577" s="78" t="b">
        <f t="shared" si="672"/>
        <v>0</v>
      </c>
      <c r="AH577" s="78" t="b">
        <f t="shared" si="672"/>
        <v>0</v>
      </c>
      <c r="AI577" s="78" t="b">
        <f t="shared" si="672"/>
        <v>0</v>
      </c>
      <c r="AJ577" s="78" t="b">
        <f t="shared" si="672"/>
        <v>0</v>
      </c>
      <c r="AK577" s="78" t="b">
        <f t="shared" si="672"/>
        <v>0</v>
      </c>
      <c r="AL577" s="78" t="b">
        <f t="shared" si="672"/>
        <v>0</v>
      </c>
      <c r="AM577" s="78" t="b">
        <f t="shared" si="672"/>
        <v>0</v>
      </c>
      <c r="AN577" s="78" t="b">
        <f t="shared" si="672"/>
        <v>0</v>
      </c>
      <c r="AO577" s="78" t="b">
        <f t="shared" si="672"/>
        <v>0</v>
      </c>
      <c r="AP577" s="78"/>
    </row>
    <row r="578" spans="4:42" x14ac:dyDescent="0.35">
      <c r="D578" s="96"/>
      <c r="E578" s="96"/>
      <c r="G578" s="77">
        <f t="shared" si="603"/>
        <v>0</v>
      </c>
      <c r="H578" s="78">
        <f t="shared" si="604"/>
        <v>0</v>
      </c>
      <c r="I578" s="77">
        <f t="shared" si="605"/>
        <v>0</v>
      </c>
      <c r="J578" s="78">
        <f t="shared" si="606"/>
        <v>0</v>
      </c>
      <c r="K578" s="78" t="str">
        <f t="shared" si="607"/>
        <v>1900-01-00 00:0:00</v>
      </c>
      <c r="L578" s="78" t="str">
        <f t="shared" si="608"/>
        <v>1900-01-00 00:0:00</v>
      </c>
      <c r="M578" s="79">
        <f t="shared" si="609"/>
        <v>0</v>
      </c>
      <c r="N578">
        <f t="shared" si="610"/>
        <v>1</v>
      </c>
      <c r="O578" t="str">
        <f>IFERROR(_xlfn.XLOOKUP(A578,HC!A:A,HC!C:C),"")</f>
        <v>Workforce</v>
      </c>
      <c r="R578" s="78" t="b">
        <f t="shared" ref="R578:AO578" si="673">IFERROR(IF($B578=$D$1,IF(AND($K578&lt;R$1,$L578&lt;R$1),"",IF(AND($K578&gt;S$1,$L578&gt;S$1),"",IF(AND($K578&lt;R$1,$L578&lt;=S$1),$L578-R$1,IF(AND($K578&gt;=R$1,$L578&gt;S$1),S$1-$K578,IF(AND($K578&gt;=R$1,$L578&lt;=S$1),$L578-$K578,IF(AND($K578&lt;R$1,$L578&gt;S$1),S$1-R$1,""))))))),"")</f>
        <v>0</v>
      </c>
      <c r="S578" s="78" t="b">
        <f t="shared" si="673"/>
        <v>0</v>
      </c>
      <c r="T578" s="78" t="b">
        <f t="shared" si="673"/>
        <v>0</v>
      </c>
      <c r="U578" s="78" t="b">
        <f t="shared" si="673"/>
        <v>0</v>
      </c>
      <c r="V578" s="78" t="b">
        <f t="shared" si="673"/>
        <v>0</v>
      </c>
      <c r="W578" s="78" t="b">
        <f t="shared" si="673"/>
        <v>0</v>
      </c>
      <c r="X578" s="78" t="b">
        <f t="shared" si="673"/>
        <v>0</v>
      </c>
      <c r="Y578" s="78" t="b">
        <f t="shared" si="673"/>
        <v>0</v>
      </c>
      <c r="Z578" s="78" t="b">
        <f t="shared" si="673"/>
        <v>0</v>
      </c>
      <c r="AA578" s="78" t="b">
        <f t="shared" si="673"/>
        <v>0</v>
      </c>
      <c r="AB578" s="78" t="b">
        <f t="shared" si="673"/>
        <v>0</v>
      </c>
      <c r="AC578" s="78" t="b">
        <f t="shared" si="673"/>
        <v>0</v>
      </c>
      <c r="AD578" s="78" t="b">
        <f t="shared" si="673"/>
        <v>0</v>
      </c>
      <c r="AE578" s="78" t="b">
        <f t="shared" si="673"/>
        <v>0</v>
      </c>
      <c r="AF578" s="78" t="b">
        <f t="shared" si="673"/>
        <v>0</v>
      </c>
      <c r="AG578" s="78" t="b">
        <f t="shared" si="673"/>
        <v>0</v>
      </c>
      <c r="AH578" s="78" t="b">
        <f t="shared" si="673"/>
        <v>0</v>
      </c>
      <c r="AI578" s="78" t="b">
        <f t="shared" si="673"/>
        <v>0</v>
      </c>
      <c r="AJ578" s="78" t="b">
        <f t="shared" si="673"/>
        <v>0</v>
      </c>
      <c r="AK578" s="78" t="b">
        <f t="shared" si="673"/>
        <v>0</v>
      </c>
      <c r="AL578" s="78" t="b">
        <f t="shared" si="673"/>
        <v>0</v>
      </c>
      <c r="AM578" s="78" t="b">
        <f t="shared" si="673"/>
        <v>0</v>
      </c>
      <c r="AN578" s="78" t="b">
        <f t="shared" si="673"/>
        <v>0</v>
      </c>
      <c r="AO578" s="78" t="b">
        <f t="shared" si="673"/>
        <v>0</v>
      </c>
      <c r="AP578" s="78"/>
    </row>
    <row r="579" spans="4:42" x14ac:dyDescent="0.35">
      <c r="D579" s="96"/>
      <c r="E579" s="96"/>
      <c r="G579" s="77">
        <f t="shared" si="603"/>
        <v>0</v>
      </c>
      <c r="H579" s="78">
        <f t="shared" si="604"/>
        <v>0</v>
      </c>
      <c r="I579" s="77">
        <f t="shared" si="605"/>
        <v>0</v>
      </c>
      <c r="J579" s="78">
        <f t="shared" si="606"/>
        <v>0</v>
      </c>
      <c r="K579" s="78" t="str">
        <f t="shared" si="607"/>
        <v>1900-01-00 00:0:00</v>
      </c>
      <c r="L579" s="78" t="str">
        <f t="shared" si="608"/>
        <v>1900-01-00 00:0:00</v>
      </c>
      <c r="M579" s="79">
        <f t="shared" si="609"/>
        <v>0</v>
      </c>
      <c r="N579">
        <f t="shared" si="610"/>
        <v>1</v>
      </c>
      <c r="O579" t="str">
        <f>IFERROR(_xlfn.XLOOKUP(A579,HC!A:A,HC!C:C),"")</f>
        <v>Workforce</v>
      </c>
      <c r="R579" s="78" t="b">
        <f t="shared" ref="R579:AO579" si="674">IFERROR(IF($B579=$D$1,IF(AND($K579&lt;R$1,$L579&lt;R$1),"",IF(AND($K579&gt;S$1,$L579&gt;S$1),"",IF(AND($K579&lt;R$1,$L579&lt;=S$1),$L579-R$1,IF(AND($K579&gt;=R$1,$L579&gt;S$1),S$1-$K579,IF(AND($K579&gt;=R$1,$L579&lt;=S$1),$L579-$K579,IF(AND($K579&lt;R$1,$L579&gt;S$1),S$1-R$1,""))))))),"")</f>
        <v>0</v>
      </c>
      <c r="S579" s="78" t="b">
        <f t="shared" si="674"/>
        <v>0</v>
      </c>
      <c r="T579" s="78" t="b">
        <f t="shared" si="674"/>
        <v>0</v>
      </c>
      <c r="U579" s="78" t="b">
        <f t="shared" si="674"/>
        <v>0</v>
      </c>
      <c r="V579" s="78" t="b">
        <f t="shared" si="674"/>
        <v>0</v>
      </c>
      <c r="W579" s="78" t="b">
        <f t="shared" si="674"/>
        <v>0</v>
      </c>
      <c r="X579" s="78" t="b">
        <f t="shared" si="674"/>
        <v>0</v>
      </c>
      <c r="Y579" s="78" t="b">
        <f t="shared" si="674"/>
        <v>0</v>
      </c>
      <c r="Z579" s="78" t="b">
        <f t="shared" si="674"/>
        <v>0</v>
      </c>
      <c r="AA579" s="78" t="b">
        <f t="shared" si="674"/>
        <v>0</v>
      </c>
      <c r="AB579" s="78" t="b">
        <f t="shared" si="674"/>
        <v>0</v>
      </c>
      <c r="AC579" s="78" t="b">
        <f t="shared" si="674"/>
        <v>0</v>
      </c>
      <c r="AD579" s="78" t="b">
        <f t="shared" si="674"/>
        <v>0</v>
      </c>
      <c r="AE579" s="78" t="b">
        <f t="shared" si="674"/>
        <v>0</v>
      </c>
      <c r="AF579" s="78" t="b">
        <f t="shared" si="674"/>
        <v>0</v>
      </c>
      <c r="AG579" s="78" t="b">
        <f t="shared" si="674"/>
        <v>0</v>
      </c>
      <c r="AH579" s="78" t="b">
        <f t="shared" si="674"/>
        <v>0</v>
      </c>
      <c r="AI579" s="78" t="b">
        <f t="shared" si="674"/>
        <v>0</v>
      </c>
      <c r="AJ579" s="78" t="b">
        <f t="shared" si="674"/>
        <v>0</v>
      </c>
      <c r="AK579" s="78" t="b">
        <f t="shared" si="674"/>
        <v>0</v>
      </c>
      <c r="AL579" s="78" t="b">
        <f t="shared" si="674"/>
        <v>0</v>
      </c>
      <c r="AM579" s="78" t="b">
        <f t="shared" si="674"/>
        <v>0</v>
      </c>
      <c r="AN579" s="78" t="b">
        <f t="shared" si="674"/>
        <v>0</v>
      </c>
      <c r="AO579" s="78" t="b">
        <f t="shared" si="674"/>
        <v>0</v>
      </c>
      <c r="AP579" s="78"/>
    </row>
    <row r="580" spans="4:42" x14ac:dyDescent="0.35">
      <c r="D580" s="96"/>
      <c r="E580" s="96"/>
      <c r="G580" s="77">
        <f t="shared" ref="G580:G643" si="675">INT(D580)</f>
        <v>0</v>
      </c>
      <c r="H580" s="78">
        <f t="shared" ref="H580:H643" si="676">D580-G580</f>
        <v>0</v>
      </c>
      <c r="I580" s="77">
        <f t="shared" ref="I580:I643" si="677">INT(E580)</f>
        <v>0</v>
      </c>
      <c r="J580" s="78">
        <f t="shared" ref="J580:J643" si="678">E580-I580</f>
        <v>0</v>
      </c>
      <c r="K580" s="78" t="str">
        <f t="shared" ref="K580:K643" si="679">TEXT(G580+H580,"yyyy-mm-dd hh:m:ss")</f>
        <v>1900-01-00 00:0:00</v>
      </c>
      <c r="L580" s="78" t="str">
        <f t="shared" ref="L580:L643" si="680">TEXT(I580+J580,"yyyy-mm-dd hh:m:ss")</f>
        <v>1900-01-00 00:0:00</v>
      </c>
      <c r="M580" s="79">
        <f t="shared" ref="M580:M643" si="681">E580-D580</f>
        <v>0</v>
      </c>
      <c r="N580">
        <f t="shared" ref="N580:N643" si="682">IF(M580&lt;$BA$1,1,0)</f>
        <v>1</v>
      </c>
      <c r="O580" t="str">
        <f>IFERROR(_xlfn.XLOOKUP(A580,HC!A:A,HC!C:C),"")</f>
        <v>Workforce</v>
      </c>
      <c r="R580" s="78" t="b">
        <f t="shared" ref="R580:AO580" si="683">IFERROR(IF($B580=$D$1,IF(AND($K580&lt;R$1,$L580&lt;R$1),"",IF(AND($K580&gt;S$1,$L580&gt;S$1),"",IF(AND($K580&lt;R$1,$L580&lt;=S$1),$L580-R$1,IF(AND($K580&gt;=R$1,$L580&gt;S$1),S$1-$K580,IF(AND($K580&gt;=R$1,$L580&lt;=S$1),$L580-$K580,IF(AND($K580&lt;R$1,$L580&gt;S$1),S$1-R$1,""))))))),"")</f>
        <v>0</v>
      </c>
      <c r="S580" s="78" t="b">
        <f t="shared" si="683"/>
        <v>0</v>
      </c>
      <c r="T580" s="78" t="b">
        <f t="shared" si="683"/>
        <v>0</v>
      </c>
      <c r="U580" s="78" t="b">
        <f t="shared" si="683"/>
        <v>0</v>
      </c>
      <c r="V580" s="78" t="b">
        <f t="shared" si="683"/>
        <v>0</v>
      </c>
      <c r="W580" s="78" t="b">
        <f t="shared" si="683"/>
        <v>0</v>
      </c>
      <c r="X580" s="78" t="b">
        <f t="shared" si="683"/>
        <v>0</v>
      </c>
      <c r="Y580" s="78" t="b">
        <f t="shared" si="683"/>
        <v>0</v>
      </c>
      <c r="Z580" s="78" t="b">
        <f t="shared" si="683"/>
        <v>0</v>
      </c>
      <c r="AA580" s="78" t="b">
        <f t="shared" si="683"/>
        <v>0</v>
      </c>
      <c r="AB580" s="78" t="b">
        <f t="shared" si="683"/>
        <v>0</v>
      </c>
      <c r="AC580" s="78" t="b">
        <f t="shared" si="683"/>
        <v>0</v>
      </c>
      <c r="AD580" s="78" t="b">
        <f t="shared" si="683"/>
        <v>0</v>
      </c>
      <c r="AE580" s="78" t="b">
        <f t="shared" si="683"/>
        <v>0</v>
      </c>
      <c r="AF580" s="78" t="b">
        <f t="shared" si="683"/>
        <v>0</v>
      </c>
      <c r="AG580" s="78" t="b">
        <f t="shared" si="683"/>
        <v>0</v>
      </c>
      <c r="AH580" s="78" t="b">
        <f t="shared" si="683"/>
        <v>0</v>
      </c>
      <c r="AI580" s="78" t="b">
        <f t="shared" si="683"/>
        <v>0</v>
      </c>
      <c r="AJ580" s="78" t="b">
        <f t="shared" si="683"/>
        <v>0</v>
      </c>
      <c r="AK580" s="78" t="b">
        <f t="shared" si="683"/>
        <v>0</v>
      </c>
      <c r="AL580" s="78" t="b">
        <f t="shared" si="683"/>
        <v>0</v>
      </c>
      <c r="AM580" s="78" t="b">
        <f t="shared" si="683"/>
        <v>0</v>
      </c>
      <c r="AN580" s="78" t="b">
        <f t="shared" si="683"/>
        <v>0</v>
      </c>
      <c r="AO580" s="78" t="b">
        <f t="shared" si="683"/>
        <v>0</v>
      </c>
      <c r="AP580" s="78"/>
    </row>
    <row r="581" spans="4:42" x14ac:dyDescent="0.35">
      <c r="D581" s="96"/>
      <c r="E581" s="96"/>
      <c r="G581" s="77">
        <f t="shared" si="675"/>
        <v>0</v>
      </c>
      <c r="H581" s="78">
        <f t="shared" si="676"/>
        <v>0</v>
      </c>
      <c r="I581" s="77">
        <f t="shared" si="677"/>
        <v>0</v>
      </c>
      <c r="J581" s="78">
        <f t="shared" si="678"/>
        <v>0</v>
      </c>
      <c r="K581" s="78" t="str">
        <f t="shared" si="679"/>
        <v>1900-01-00 00:0:00</v>
      </c>
      <c r="L581" s="78" t="str">
        <f t="shared" si="680"/>
        <v>1900-01-00 00:0:00</v>
      </c>
      <c r="M581" s="79">
        <f t="shared" si="681"/>
        <v>0</v>
      </c>
      <c r="N581">
        <f t="shared" si="682"/>
        <v>1</v>
      </c>
      <c r="O581" t="str">
        <f>IFERROR(_xlfn.XLOOKUP(A581,HC!A:A,HC!C:C),"")</f>
        <v>Workforce</v>
      </c>
      <c r="R581" s="78" t="b">
        <f t="shared" ref="R581:AO581" si="684">IFERROR(IF($B581=$D$1,IF(AND($K581&lt;R$1,$L581&lt;R$1),"",IF(AND($K581&gt;S$1,$L581&gt;S$1),"",IF(AND($K581&lt;R$1,$L581&lt;=S$1),$L581-R$1,IF(AND($K581&gt;=R$1,$L581&gt;S$1),S$1-$K581,IF(AND($K581&gt;=R$1,$L581&lt;=S$1),$L581-$K581,IF(AND($K581&lt;R$1,$L581&gt;S$1),S$1-R$1,""))))))),"")</f>
        <v>0</v>
      </c>
      <c r="S581" s="78" t="b">
        <f t="shared" si="684"/>
        <v>0</v>
      </c>
      <c r="T581" s="78" t="b">
        <f t="shared" si="684"/>
        <v>0</v>
      </c>
      <c r="U581" s="78" t="b">
        <f t="shared" si="684"/>
        <v>0</v>
      </c>
      <c r="V581" s="78" t="b">
        <f t="shared" si="684"/>
        <v>0</v>
      </c>
      <c r="W581" s="78" t="b">
        <f t="shared" si="684"/>
        <v>0</v>
      </c>
      <c r="X581" s="78" t="b">
        <f t="shared" si="684"/>
        <v>0</v>
      </c>
      <c r="Y581" s="78" t="b">
        <f t="shared" si="684"/>
        <v>0</v>
      </c>
      <c r="Z581" s="78" t="b">
        <f t="shared" si="684"/>
        <v>0</v>
      </c>
      <c r="AA581" s="78" t="b">
        <f t="shared" si="684"/>
        <v>0</v>
      </c>
      <c r="AB581" s="78" t="b">
        <f t="shared" si="684"/>
        <v>0</v>
      </c>
      <c r="AC581" s="78" t="b">
        <f t="shared" si="684"/>
        <v>0</v>
      </c>
      <c r="AD581" s="78" t="b">
        <f t="shared" si="684"/>
        <v>0</v>
      </c>
      <c r="AE581" s="78" t="b">
        <f t="shared" si="684"/>
        <v>0</v>
      </c>
      <c r="AF581" s="78" t="b">
        <f t="shared" si="684"/>
        <v>0</v>
      </c>
      <c r="AG581" s="78" t="b">
        <f t="shared" si="684"/>
        <v>0</v>
      </c>
      <c r="AH581" s="78" t="b">
        <f t="shared" si="684"/>
        <v>0</v>
      </c>
      <c r="AI581" s="78" t="b">
        <f t="shared" si="684"/>
        <v>0</v>
      </c>
      <c r="AJ581" s="78" t="b">
        <f t="shared" si="684"/>
        <v>0</v>
      </c>
      <c r="AK581" s="78" t="b">
        <f t="shared" si="684"/>
        <v>0</v>
      </c>
      <c r="AL581" s="78" t="b">
        <f t="shared" si="684"/>
        <v>0</v>
      </c>
      <c r="AM581" s="78" t="b">
        <f t="shared" si="684"/>
        <v>0</v>
      </c>
      <c r="AN581" s="78" t="b">
        <f t="shared" si="684"/>
        <v>0</v>
      </c>
      <c r="AO581" s="78" t="b">
        <f t="shared" si="684"/>
        <v>0</v>
      </c>
      <c r="AP581" s="78"/>
    </row>
    <row r="582" spans="4:42" x14ac:dyDescent="0.35">
      <c r="D582" s="96"/>
      <c r="E582" s="96"/>
      <c r="G582" s="77">
        <f t="shared" si="675"/>
        <v>0</v>
      </c>
      <c r="H582" s="78">
        <f t="shared" si="676"/>
        <v>0</v>
      </c>
      <c r="I582" s="77">
        <f t="shared" si="677"/>
        <v>0</v>
      </c>
      <c r="J582" s="78">
        <f t="shared" si="678"/>
        <v>0</v>
      </c>
      <c r="K582" s="78" t="str">
        <f t="shared" si="679"/>
        <v>1900-01-00 00:0:00</v>
      </c>
      <c r="L582" s="78" t="str">
        <f t="shared" si="680"/>
        <v>1900-01-00 00:0:00</v>
      </c>
      <c r="M582" s="79">
        <f t="shared" si="681"/>
        <v>0</v>
      </c>
      <c r="N582">
        <f t="shared" si="682"/>
        <v>1</v>
      </c>
      <c r="O582" t="str">
        <f>IFERROR(_xlfn.XLOOKUP(A582,HC!A:A,HC!C:C),"")</f>
        <v>Workforce</v>
      </c>
      <c r="R582" s="78" t="b">
        <f t="shared" ref="R582:AO582" si="685">IFERROR(IF($B582=$D$1,IF(AND($K582&lt;R$1,$L582&lt;R$1),"",IF(AND($K582&gt;S$1,$L582&gt;S$1),"",IF(AND($K582&lt;R$1,$L582&lt;=S$1),$L582-R$1,IF(AND($K582&gt;=R$1,$L582&gt;S$1),S$1-$K582,IF(AND($K582&gt;=R$1,$L582&lt;=S$1),$L582-$K582,IF(AND($K582&lt;R$1,$L582&gt;S$1),S$1-R$1,""))))))),"")</f>
        <v>0</v>
      </c>
      <c r="S582" s="78" t="b">
        <f t="shared" si="685"/>
        <v>0</v>
      </c>
      <c r="T582" s="78" t="b">
        <f t="shared" si="685"/>
        <v>0</v>
      </c>
      <c r="U582" s="78" t="b">
        <f t="shared" si="685"/>
        <v>0</v>
      </c>
      <c r="V582" s="78" t="b">
        <f t="shared" si="685"/>
        <v>0</v>
      </c>
      <c r="W582" s="78" t="b">
        <f t="shared" si="685"/>
        <v>0</v>
      </c>
      <c r="X582" s="78" t="b">
        <f t="shared" si="685"/>
        <v>0</v>
      </c>
      <c r="Y582" s="78" t="b">
        <f t="shared" si="685"/>
        <v>0</v>
      </c>
      <c r="Z582" s="78" t="b">
        <f t="shared" si="685"/>
        <v>0</v>
      </c>
      <c r="AA582" s="78" t="b">
        <f t="shared" si="685"/>
        <v>0</v>
      </c>
      <c r="AB582" s="78" t="b">
        <f t="shared" si="685"/>
        <v>0</v>
      </c>
      <c r="AC582" s="78" t="b">
        <f t="shared" si="685"/>
        <v>0</v>
      </c>
      <c r="AD582" s="78" t="b">
        <f t="shared" si="685"/>
        <v>0</v>
      </c>
      <c r="AE582" s="78" t="b">
        <f t="shared" si="685"/>
        <v>0</v>
      </c>
      <c r="AF582" s="78" t="b">
        <f t="shared" si="685"/>
        <v>0</v>
      </c>
      <c r="AG582" s="78" t="b">
        <f t="shared" si="685"/>
        <v>0</v>
      </c>
      <c r="AH582" s="78" t="b">
        <f t="shared" si="685"/>
        <v>0</v>
      </c>
      <c r="AI582" s="78" t="b">
        <f t="shared" si="685"/>
        <v>0</v>
      </c>
      <c r="AJ582" s="78" t="b">
        <f t="shared" si="685"/>
        <v>0</v>
      </c>
      <c r="AK582" s="78" t="b">
        <f t="shared" si="685"/>
        <v>0</v>
      </c>
      <c r="AL582" s="78" t="b">
        <f t="shared" si="685"/>
        <v>0</v>
      </c>
      <c r="AM582" s="78" t="b">
        <f t="shared" si="685"/>
        <v>0</v>
      </c>
      <c r="AN582" s="78" t="b">
        <f t="shared" si="685"/>
        <v>0</v>
      </c>
      <c r="AO582" s="78" t="b">
        <f t="shared" si="685"/>
        <v>0</v>
      </c>
      <c r="AP582" s="78"/>
    </row>
    <row r="583" spans="4:42" x14ac:dyDescent="0.35">
      <c r="D583" s="96"/>
      <c r="E583" s="96"/>
      <c r="G583" s="77">
        <f t="shared" si="675"/>
        <v>0</v>
      </c>
      <c r="H583" s="78">
        <f t="shared" si="676"/>
        <v>0</v>
      </c>
      <c r="I583" s="77">
        <f t="shared" si="677"/>
        <v>0</v>
      </c>
      <c r="J583" s="78">
        <f t="shared" si="678"/>
        <v>0</v>
      </c>
      <c r="K583" s="78" t="str">
        <f t="shared" si="679"/>
        <v>1900-01-00 00:0:00</v>
      </c>
      <c r="L583" s="78" t="str">
        <f t="shared" si="680"/>
        <v>1900-01-00 00:0:00</v>
      </c>
      <c r="M583" s="79">
        <f t="shared" si="681"/>
        <v>0</v>
      </c>
      <c r="N583">
        <f t="shared" si="682"/>
        <v>1</v>
      </c>
      <c r="O583" t="str">
        <f>IFERROR(_xlfn.XLOOKUP(A583,HC!A:A,HC!C:C),"")</f>
        <v>Workforce</v>
      </c>
      <c r="R583" s="78" t="b">
        <f t="shared" ref="R583:AO583" si="686">IFERROR(IF($B583=$D$1,IF(AND($K583&lt;R$1,$L583&lt;R$1),"",IF(AND($K583&gt;S$1,$L583&gt;S$1),"",IF(AND($K583&lt;R$1,$L583&lt;=S$1),$L583-R$1,IF(AND($K583&gt;=R$1,$L583&gt;S$1),S$1-$K583,IF(AND($K583&gt;=R$1,$L583&lt;=S$1),$L583-$K583,IF(AND($K583&lt;R$1,$L583&gt;S$1),S$1-R$1,""))))))),"")</f>
        <v>0</v>
      </c>
      <c r="S583" s="78" t="b">
        <f t="shared" si="686"/>
        <v>0</v>
      </c>
      <c r="T583" s="78" t="b">
        <f t="shared" si="686"/>
        <v>0</v>
      </c>
      <c r="U583" s="78" t="b">
        <f t="shared" si="686"/>
        <v>0</v>
      </c>
      <c r="V583" s="78" t="b">
        <f t="shared" si="686"/>
        <v>0</v>
      </c>
      <c r="W583" s="78" t="b">
        <f t="shared" si="686"/>
        <v>0</v>
      </c>
      <c r="X583" s="78" t="b">
        <f t="shared" si="686"/>
        <v>0</v>
      </c>
      <c r="Y583" s="78" t="b">
        <f t="shared" si="686"/>
        <v>0</v>
      </c>
      <c r="Z583" s="78" t="b">
        <f t="shared" si="686"/>
        <v>0</v>
      </c>
      <c r="AA583" s="78" t="b">
        <f t="shared" si="686"/>
        <v>0</v>
      </c>
      <c r="AB583" s="78" t="b">
        <f t="shared" si="686"/>
        <v>0</v>
      </c>
      <c r="AC583" s="78" t="b">
        <f t="shared" si="686"/>
        <v>0</v>
      </c>
      <c r="AD583" s="78" t="b">
        <f t="shared" si="686"/>
        <v>0</v>
      </c>
      <c r="AE583" s="78" t="b">
        <f t="shared" si="686"/>
        <v>0</v>
      </c>
      <c r="AF583" s="78" t="b">
        <f t="shared" si="686"/>
        <v>0</v>
      </c>
      <c r="AG583" s="78" t="b">
        <f t="shared" si="686"/>
        <v>0</v>
      </c>
      <c r="AH583" s="78" t="b">
        <f t="shared" si="686"/>
        <v>0</v>
      </c>
      <c r="AI583" s="78" t="b">
        <f t="shared" si="686"/>
        <v>0</v>
      </c>
      <c r="AJ583" s="78" t="b">
        <f t="shared" si="686"/>
        <v>0</v>
      </c>
      <c r="AK583" s="78" t="b">
        <f t="shared" si="686"/>
        <v>0</v>
      </c>
      <c r="AL583" s="78" t="b">
        <f t="shared" si="686"/>
        <v>0</v>
      </c>
      <c r="AM583" s="78" t="b">
        <f t="shared" si="686"/>
        <v>0</v>
      </c>
      <c r="AN583" s="78" t="b">
        <f t="shared" si="686"/>
        <v>0</v>
      </c>
      <c r="AO583" s="78" t="b">
        <f t="shared" si="686"/>
        <v>0</v>
      </c>
      <c r="AP583" s="78"/>
    </row>
    <row r="584" spans="4:42" x14ac:dyDescent="0.35">
      <c r="D584" s="96"/>
      <c r="E584" s="96"/>
      <c r="G584" s="77">
        <f t="shared" si="675"/>
        <v>0</v>
      </c>
      <c r="H584" s="78">
        <f t="shared" si="676"/>
        <v>0</v>
      </c>
      <c r="I584" s="77">
        <f t="shared" si="677"/>
        <v>0</v>
      </c>
      <c r="J584" s="78">
        <f t="shared" si="678"/>
        <v>0</v>
      </c>
      <c r="K584" s="78" t="str">
        <f t="shared" si="679"/>
        <v>1900-01-00 00:0:00</v>
      </c>
      <c r="L584" s="78" t="str">
        <f t="shared" si="680"/>
        <v>1900-01-00 00:0:00</v>
      </c>
      <c r="M584" s="79">
        <f t="shared" si="681"/>
        <v>0</v>
      </c>
      <c r="N584">
        <f t="shared" si="682"/>
        <v>1</v>
      </c>
      <c r="O584" t="str">
        <f>IFERROR(_xlfn.XLOOKUP(A584,HC!A:A,HC!C:C),"")</f>
        <v>Workforce</v>
      </c>
      <c r="R584" s="78" t="b">
        <f t="shared" ref="R584:AO584" si="687">IFERROR(IF($B584=$D$1,IF(AND($K584&lt;R$1,$L584&lt;R$1),"",IF(AND($K584&gt;S$1,$L584&gt;S$1),"",IF(AND($K584&lt;R$1,$L584&lt;=S$1),$L584-R$1,IF(AND($K584&gt;=R$1,$L584&gt;S$1),S$1-$K584,IF(AND($K584&gt;=R$1,$L584&lt;=S$1),$L584-$K584,IF(AND($K584&lt;R$1,$L584&gt;S$1),S$1-R$1,""))))))),"")</f>
        <v>0</v>
      </c>
      <c r="S584" s="78" t="b">
        <f t="shared" si="687"/>
        <v>0</v>
      </c>
      <c r="T584" s="78" t="b">
        <f t="shared" si="687"/>
        <v>0</v>
      </c>
      <c r="U584" s="78" t="b">
        <f t="shared" si="687"/>
        <v>0</v>
      </c>
      <c r="V584" s="78" t="b">
        <f t="shared" si="687"/>
        <v>0</v>
      </c>
      <c r="W584" s="78" t="b">
        <f t="shared" si="687"/>
        <v>0</v>
      </c>
      <c r="X584" s="78" t="b">
        <f t="shared" si="687"/>
        <v>0</v>
      </c>
      <c r="Y584" s="78" t="b">
        <f t="shared" si="687"/>
        <v>0</v>
      </c>
      <c r="Z584" s="78" t="b">
        <f t="shared" si="687"/>
        <v>0</v>
      </c>
      <c r="AA584" s="78" t="b">
        <f t="shared" si="687"/>
        <v>0</v>
      </c>
      <c r="AB584" s="78" t="b">
        <f t="shared" si="687"/>
        <v>0</v>
      </c>
      <c r="AC584" s="78" t="b">
        <f t="shared" si="687"/>
        <v>0</v>
      </c>
      <c r="AD584" s="78" t="b">
        <f t="shared" si="687"/>
        <v>0</v>
      </c>
      <c r="AE584" s="78" t="b">
        <f t="shared" si="687"/>
        <v>0</v>
      </c>
      <c r="AF584" s="78" t="b">
        <f t="shared" si="687"/>
        <v>0</v>
      </c>
      <c r="AG584" s="78" t="b">
        <f t="shared" si="687"/>
        <v>0</v>
      </c>
      <c r="AH584" s="78" t="b">
        <f t="shared" si="687"/>
        <v>0</v>
      </c>
      <c r="AI584" s="78" t="b">
        <f t="shared" si="687"/>
        <v>0</v>
      </c>
      <c r="AJ584" s="78" t="b">
        <f t="shared" si="687"/>
        <v>0</v>
      </c>
      <c r="AK584" s="78" t="b">
        <f t="shared" si="687"/>
        <v>0</v>
      </c>
      <c r="AL584" s="78" t="b">
        <f t="shared" si="687"/>
        <v>0</v>
      </c>
      <c r="AM584" s="78" t="b">
        <f t="shared" si="687"/>
        <v>0</v>
      </c>
      <c r="AN584" s="78" t="b">
        <f t="shared" si="687"/>
        <v>0</v>
      </c>
      <c r="AO584" s="78" t="b">
        <f t="shared" si="687"/>
        <v>0</v>
      </c>
      <c r="AP584" s="78"/>
    </row>
    <row r="585" spans="4:42" x14ac:dyDescent="0.35">
      <c r="D585" s="96"/>
      <c r="E585" s="96"/>
      <c r="G585" s="77">
        <f t="shared" si="675"/>
        <v>0</v>
      </c>
      <c r="H585" s="78">
        <f t="shared" si="676"/>
        <v>0</v>
      </c>
      <c r="I585" s="77">
        <f t="shared" si="677"/>
        <v>0</v>
      </c>
      <c r="J585" s="78">
        <f t="shared" si="678"/>
        <v>0</v>
      </c>
      <c r="K585" s="78" t="str">
        <f t="shared" si="679"/>
        <v>1900-01-00 00:0:00</v>
      </c>
      <c r="L585" s="78" t="str">
        <f t="shared" si="680"/>
        <v>1900-01-00 00:0:00</v>
      </c>
      <c r="M585" s="79">
        <f t="shared" si="681"/>
        <v>0</v>
      </c>
      <c r="N585">
        <f t="shared" si="682"/>
        <v>1</v>
      </c>
      <c r="O585" t="str">
        <f>IFERROR(_xlfn.XLOOKUP(A585,HC!A:A,HC!C:C),"")</f>
        <v>Workforce</v>
      </c>
      <c r="R585" s="78" t="b">
        <f t="shared" ref="R585:AO585" si="688">IFERROR(IF($B585=$D$1,IF(AND($K585&lt;R$1,$L585&lt;R$1),"",IF(AND($K585&gt;S$1,$L585&gt;S$1),"",IF(AND($K585&lt;R$1,$L585&lt;=S$1),$L585-R$1,IF(AND($K585&gt;=R$1,$L585&gt;S$1),S$1-$K585,IF(AND($K585&gt;=R$1,$L585&lt;=S$1),$L585-$K585,IF(AND($K585&lt;R$1,$L585&gt;S$1),S$1-R$1,""))))))),"")</f>
        <v>0</v>
      </c>
      <c r="S585" s="78" t="b">
        <f t="shared" si="688"/>
        <v>0</v>
      </c>
      <c r="T585" s="78" t="b">
        <f t="shared" si="688"/>
        <v>0</v>
      </c>
      <c r="U585" s="78" t="b">
        <f t="shared" si="688"/>
        <v>0</v>
      </c>
      <c r="V585" s="78" t="b">
        <f t="shared" si="688"/>
        <v>0</v>
      </c>
      <c r="W585" s="78" t="b">
        <f t="shared" si="688"/>
        <v>0</v>
      </c>
      <c r="X585" s="78" t="b">
        <f t="shared" si="688"/>
        <v>0</v>
      </c>
      <c r="Y585" s="78" t="b">
        <f t="shared" si="688"/>
        <v>0</v>
      </c>
      <c r="Z585" s="78" t="b">
        <f t="shared" si="688"/>
        <v>0</v>
      </c>
      <c r="AA585" s="78" t="b">
        <f t="shared" si="688"/>
        <v>0</v>
      </c>
      <c r="AB585" s="78" t="b">
        <f t="shared" si="688"/>
        <v>0</v>
      </c>
      <c r="AC585" s="78" t="b">
        <f t="shared" si="688"/>
        <v>0</v>
      </c>
      <c r="AD585" s="78" t="b">
        <f t="shared" si="688"/>
        <v>0</v>
      </c>
      <c r="AE585" s="78" t="b">
        <f t="shared" si="688"/>
        <v>0</v>
      </c>
      <c r="AF585" s="78" t="b">
        <f t="shared" si="688"/>
        <v>0</v>
      </c>
      <c r="AG585" s="78" t="b">
        <f t="shared" si="688"/>
        <v>0</v>
      </c>
      <c r="AH585" s="78" t="b">
        <f t="shared" si="688"/>
        <v>0</v>
      </c>
      <c r="AI585" s="78" t="b">
        <f t="shared" si="688"/>
        <v>0</v>
      </c>
      <c r="AJ585" s="78" t="b">
        <f t="shared" si="688"/>
        <v>0</v>
      </c>
      <c r="AK585" s="78" t="b">
        <f t="shared" si="688"/>
        <v>0</v>
      </c>
      <c r="AL585" s="78" t="b">
        <f t="shared" si="688"/>
        <v>0</v>
      </c>
      <c r="AM585" s="78" t="b">
        <f t="shared" si="688"/>
        <v>0</v>
      </c>
      <c r="AN585" s="78" t="b">
        <f t="shared" si="688"/>
        <v>0</v>
      </c>
      <c r="AO585" s="78" t="b">
        <f t="shared" si="688"/>
        <v>0</v>
      </c>
      <c r="AP585" s="78"/>
    </row>
    <row r="586" spans="4:42" x14ac:dyDescent="0.35">
      <c r="D586" s="96"/>
      <c r="E586" s="96"/>
      <c r="G586" s="77">
        <f t="shared" si="675"/>
        <v>0</v>
      </c>
      <c r="H586" s="78">
        <f t="shared" si="676"/>
        <v>0</v>
      </c>
      <c r="I586" s="77">
        <f t="shared" si="677"/>
        <v>0</v>
      </c>
      <c r="J586" s="78">
        <f t="shared" si="678"/>
        <v>0</v>
      </c>
      <c r="K586" s="78" t="str">
        <f t="shared" si="679"/>
        <v>1900-01-00 00:0:00</v>
      </c>
      <c r="L586" s="78" t="str">
        <f t="shared" si="680"/>
        <v>1900-01-00 00:0:00</v>
      </c>
      <c r="M586" s="79">
        <f t="shared" si="681"/>
        <v>0</v>
      </c>
      <c r="N586">
        <f t="shared" si="682"/>
        <v>1</v>
      </c>
      <c r="O586" t="str">
        <f>IFERROR(_xlfn.XLOOKUP(A586,HC!A:A,HC!C:C),"")</f>
        <v>Workforce</v>
      </c>
      <c r="R586" s="78" t="b">
        <f t="shared" ref="R586:AO586" si="689">IFERROR(IF($B586=$D$1,IF(AND($K586&lt;R$1,$L586&lt;R$1),"",IF(AND($K586&gt;S$1,$L586&gt;S$1),"",IF(AND($K586&lt;R$1,$L586&lt;=S$1),$L586-R$1,IF(AND($K586&gt;=R$1,$L586&gt;S$1),S$1-$K586,IF(AND($K586&gt;=R$1,$L586&lt;=S$1),$L586-$K586,IF(AND($K586&lt;R$1,$L586&gt;S$1),S$1-R$1,""))))))),"")</f>
        <v>0</v>
      </c>
      <c r="S586" s="78" t="b">
        <f t="shared" si="689"/>
        <v>0</v>
      </c>
      <c r="T586" s="78" t="b">
        <f t="shared" si="689"/>
        <v>0</v>
      </c>
      <c r="U586" s="78" t="b">
        <f t="shared" si="689"/>
        <v>0</v>
      </c>
      <c r="V586" s="78" t="b">
        <f t="shared" si="689"/>
        <v>0</v>
      </c>
      <c r="W586" s="78" t="b">
        <f t="shared" si="689"/>
        <v>0</v>
      </c>
      <c r="X586" s="78" t="b">
        <f t="shared" si="689"/>
        <v>0</v>
      </c>
      <c r="Y586" s="78" t="b">
        <f t="shared" si="689"/>
        <v>0</v>
      </c>
      <c r="Z586" s="78" t="b">
        <f t="shared" si="689"/>
        <v>0</v>
      </c>
      <c r="AA586" s="78" t="b">
        <f t="shared" si="689"/>
        <v>0</v>
      </c>
      <c r="AB586" s="78" t="b">
        <f t="shared" si="689"/>
        <v>0</v>
      </c>
      <c r="AC586" s="78" t="b">
        <f t="shared" si="689"/>
        <v>0</v>
      </c>
      <c r="AD586" s="78" t="b">
        <f t="shared" si="689"/>
        <v>0</v>
      </c>
      <c r="AE586" s="78" t="b">
        <f t="shared" si="689"/>
        <v>0</v>
      </c>
      <c r="AF586" s="78" t="b">
        <f t="shared" si="689"/>
        <v>0</v>
      </c>
      <c r="AG586" s="78" t="b">
        <f t="shared" si="689"/>
        <v>0</v>
      </c>
      <c r="AH586" s="78" t="b">
        <f t="shared" si="689"/>
        <v>0</v>
      </c>
      <c r="AI586" s="78" t="b">
        <f t="shared" si="689"/>
        <v>0</v>
      </c>
      <c r="AJ586" s="78" t="b">
        <f t="shared" si="689"/>
        <v>0</v>
      </c>
      <c r="AK586" s="78" t="b">
        <f t="shared" si="689"/>
        <v>0</v>
      </c>
      <c r="AL586" s="78" t="b">
        <f t="shared" si="689"/>
        <v>0</v>
      </c>
      <c r="AM586" s="78" t="b">
        <f t="shared" si="689"/>
        <v>0</v>
      </c>
      <c r="AN586" s="78" t="b">
        <f t="shared" si="689"/>
        <v>0</v>
      </c>
      <c r="AO586" s="78" t="b">
        <f t="shared" si="689"/>
        <v>0</v>
      </c>
      <c r="AP586" s="78"/>
    </row>
    <row r="587" spans="4:42" x14ac:dyDescent="0.35">
      <c r="D587" s="96"/>
      <c r="E587" s="96"/>
      <c r="G587" s="77">
        <f t="shared" si="675"/>
        <v>0</v>
      </c>
      <c r="H587" s="78">
        <f t="shared" si="676"/>
        <v>0</v>
      </c>
      <c r="I587" s="77">
        <f t="shared" si="677"/>
        <v>0</v>
      </c>
      <c r="J587" s="78">
        <f t="shared" si="678"/>
        <v>0</v>
      </c>
      <c r="K587" s="78" t="str">
        <f t="shared" si="679"/>
        <v>1900-01-00 00:0:00</v>
      </c>
      <c r="L587" s="78" t="str">
        <f t="shared" si="680"/>
        <v>1900-01-00 00:0:00</v>
      </c>
      <c r="M587" s="79">
        <f t="shared" si="681"/>
        <v>0</v>
      </c>
      <c r="N587">
        <f t="shared" si="682"/>
        <v>1</v>
      </c>
      <c r="O587" t="str">
        <f>IFERROR(_xlfn.XLOOKUP(A587,HC!A:A,HC!C:C),"")</f>
        <v>Workforce</v>
      </c>
      <c r="R587" s="78" t="b">
        <f t="shared" ref="R587:AO587" si="690">IFERROR(IF($B587=$D$1,IF(AND($K587&lt;R$1,$L587&lt;R$1),"",IF(AND($K587&gt;S$1,$L587&gt;S$1),"",IF(AND($K587&lt;R$1,$L587&lt;=S$1),$L587-R$1,IF(AND($K587&gt;=R$1,$L587&gt;S$1),S$1-$K587,IF(AND($K587&gt;=R$1,$L587&lt;=S$1),$L587-$K587,IF(AND($K587&lt;R$1,$L587&gt;S$1),S$1-R$1,""))))))),"")</f>
        <v>0</v>
      </c>
      <c r="S587" s="78" t="b">
        <f t="shared" si="690"/>
        <v>0</v>
      </c>
      <c r="T587" s="78" t="b">
        <f t="shared" si="690"/>
        <v>0</v>
      </c>
      <c r="U587" s="78" t="b">
        <f t="shared" si="690"/>
        <v>0</v>
      </c>
      <c r="V587" s="78" t="b">
        <f t="shared" si="690"/>
        <v>0</v>
      </c>
      <c r="W587" s="78" t="b">
        <f t="shared" si="690"/>
        <v>0</v>
      </c>
      <c r="X587" s="78" t="b">
        <f t="shared" si="690"/>
        <v>0</v>
      </c>
      <c r="Y587" s="78" t="b">
        <f t="shared" si="690"/>
        <v>0</v>
      </c>
      <c r="Z587" s="78" t="b">
        <f t="shared" si="690"/>
        <v>0</v>
      </c>
      <c r="AA587" s="78" t="b">
        <f t="shared" si="690"/>
        <v>0</v>
      </c>
      <c r="AB587" s="78" t="b">
        <f t="shared" si="690"/>
        <v>0</v>
      </c>
      <c r="AC587" s="78" t="b">
        <f t="shared" si="690"/>
        <v>0</v>
      </c>
      <c r="AD587" s="78" t="b">
        <f t="shared" si="690"/>
        <v>0</v>
      </c>
      <c r="AE587" s="78" t="b">
        <f t="shared" si="690"/>
        <v>0</v>
      </c>
      <c r="AF587" s="78" t="b">
        <f t="shared" si="690"/>
        <v>0</v>
      </c>
      <c r="AG587" s="78" t="b">
        <f t="shared" si="690"/>
        <v>0</v>
      </c>
      <c r="AH587" s="78" t="b">
        <f t="shared" si="690"/>
        <v>0</v>
      </c>
      <c r="AI587" s="78" t="b">
        <f t="shared" si="690"/>
        <v>0</v>
      </c>
      <c r="AJ587" s="78" t="b">
        <f t="shared" si="690"/>
        <v>0</v>
      </c>
      <c r="AK587" s="78" t="b">
        <f t="shared" si="690"/>
        <v>0</v>
      </c>
      <c r="AL587" s="78" t="b">
        <f t="shared" si="690"/>
        <v>0</v>
      </c>
      <c r="AM587" s="78" t="b">
        <f t="shared" si="690"/>
        <v>0</v>
      </c>
      <c r="AN587" s="78" t="b">
        <f t="shared" si="690"/>
        <v>0</v>
      </c>
      <c r="AO587" s="78" t="b">
        <f t="shared" si="690"/>
        <v>0</v>
      </c>
      <c r="AP587" s="78"/>
    </row>
    <row r="588" spans="4:42" x14ac:dyDescent="0.35">
      <c r="D588" s="96"/>
      <c r="E588" s="96"/>
      <c r="G588" s="77">
        <f t="shared" si="675"/>
        <v>0</v>
      </c>
      <c r="H588" s="78">
        <f t="shared" si="676"/>
        <v>0</v>
      </c>
      <c r="I588" s="77">
        <f t="shared" si="677"/>
        <v>0</v>
      </c>
      <c r="J588" s="78">
        <f t="shared" si="678"/>
        <v>0</v>
      </c>
      <c r="K588" s="78" t="str">
        <f t="shared" si="679"/>
        <v>1900-01-00 00:0:00</v>
      </c>
      <c r="L588" s="78" t="str">
        <f t="shared" si="680"/>
        <v>1900-01-00 00:0:00</v>
      </c>
      <c r="M588" s="79">
        <f t="shared" si="681"/>
        <v>0</v>
      </c>
      <c r="N588">
        <f t="shared" si="682"/>
        <v>1</v>
      </c>
      <c r="O588" t="str">
        <f>IFERROR(_xlfn.XLOOKUP(A588,HC!A:A,HC!C:C),"")</f>
        <v>Workforce</v>
      </c>
      <c r="R588" s="78" t="b">
        <f t="shared" ref="R588:AO588" si="691">IFERROR(IF($B588=$D$1,IF(AND($K588&lt;R$1,$L588&lt;R$1),"",IF(AND($K588&gt;S$1,$L588&gt;S$1),"",IF(AND($K588&lt;R$1,$L588&lt;=S$1),$L588-R$1,IF(AND($K588&gt;=R$1,$L588&gt;S$1),S$1-$K588,IF(AND($K588&gt;=R$1,$L588&lt;=S$1),$L588-$K588,IF(AND($K588&lt;R$1,$L588&gt;S$1),S$1-R$1,""))))))),"")</f>
        <v>0</v>
      </c>
      <c r="S588" s="78" t="b">
        <f t="shared" si="691"/>
        <v>0</v>
      </c>
      <c r="T588" s="78" t="b">
        <f t="shared" si="691"/>
        <v>0</v>
      </c>
      <c r="U588" s="78" t="b">
        <f t="shared" si="691"/>
        <v>0</v>
      </c>
      <c r="V588" s="78" t="b">
        <f t="shared" si="691"/>
        <v>0</v>
      </c>
      <c r="W588" s="78" t="b">
        <f t="shared" si="691"/>
        <v>0</v>
      </c>
      <c r="X588" s="78" t="b">
        <f t="shared" si="691"/>
        <v>0</v>
      </c>
      <c r="Y588" s="78" t="b">
        <f t="shared" si="691"/>
        <v>0</v>
      </c>
      <c r="Z588" s="78" t="b">
        <f t="shared" si="691"/>
        <v>0</v>
      </c>
      <c r="AA588" s="78" t="b">
        <f t="shared" si="691"/>
        <v>0</v>
      </c>
      <c r="AB588" s="78" t="b">
        <f t="shared" si="691"/>
        <v>0</v>
      </c>
      <c r="AC588" s="78" t="b">
        <f t="shared" si="691"/>
        <v>0</v>
      </c>
      <c r="AD588" s="78" t="b">
        <f t="shared" si="691"/>
        <v>0</v>
      </c>
      <c r="AE588" s="78" t="b">
        <f t="shared" si="691"/>
        <v>0</v>
      </c>
      <c r="AF588" s="78" t="b">
        <f t="shared" si="691"/>
        <v>0</v>
      </c>
      <c r="AG588" s="78" t="b">
        <f t="shared" si="691"/>
        <v>0</v>
      </c>
      <c r="AH588" s="78" t="b">
        <f t="shared" si="691"/>
        <v>0</v>
      </c>
      <c r="AI588" s="78" t="b">
        <f t="shared" si="691"/>
        <v>0</v>
      </c>
      <c r="AJ588" s="78" t="b">
        <f t="shared" si="691"/>
        <v>0</v>
      </c>
      <c r="AK588" s="78" t="b">
        <f t="shared" si="691"/>
        <v>0</v>
      </c>
      <c r="AL588" s="78" t="b">
        <f t="shared" si="691"/>
        <v>0</v>
      </c>
      <c r="AM588" s="78" t="b">
        <f t="shared" si="691"/>
        <v>0</v>
      </c>
      <c r="AN588" s="78" t="b">
        <f t="shared" si="691"/>
        <v>0</v>
      </c>
      <c r="AO588" s="78" t="b">
        <f t="shared" si="691"/>
        <v>0</v>
      </c>
      <c r="AP588" s="78"/>
    </row>
    <row r="589" spans="4:42" x14ac:dyDescent="0.35">
      <c r="D589" s="96"/>
      <c r="E589" s="96"/>
      <c r="G589" s="77">
        <f t="shared" si="675"/>
        <v>0</v>
      </c>
      <c r="H589" s="78">
        <f t="shared" si="676"/>
        <v>0</v>
      </c>
      <c r="I589" s="77">
        <f t="shared" si="677"/>
        <v>0</v>
      </c>
      <c r="J589" s="78">
        <f t="shared" si="678"/>
        <v>0</v>
      </c>
      <c r="K589" s="78" t="str">
        <f t="shared" si="679"/>
        <v>1900-01-00 00:0:00</v>
      </c>
      <c r="L589" s="78" t="str">
        <f t="shared" si="680"/>
        <v>1900-01-00 00:0:00</v>
      </c>
      <c r="M589" s="79">
        <f t="shared" si="681"/>
        <v>0</v>
      </c>
      <c r="N589">
        <f t="shared" si="682"/>
        <v>1</v>
      </c>
      <c r="O589" t="str">
        <f>IFERROR(_xlfn.XLOOKUP(A589,HC!A:A,HC!C:C),"")</f>
        <v>Workforce</v>
      </c>
      <c r="R589" s="78" t="b">
        <f t="shared" ref="R589:AO589" si="692">IFERROR(IF($B589=$D$1,IF(AND($K589&lt;R$1,$L589&lt;R$1),"",IF(AND($K589&gt;S$1,$L589&gt;S$1),"",IF(AND($K589&lt;R$1,$L589&lt;=S$1),$L589-R$1,IF(AND($K589&gt;=R$1,$L589&gt;S$1),S$1-$K589,IF(AND($K589&gt;=R$1,$L589&lt;=S$1),$L589-$K589,IF(AND($K589&lt;R$1,$L589&gt;S$1),S$1-R$1,""))))))),"")</f>
        <v>0</v>
      </c>
      <c r="S589" s="78" t="b">
        <f t="shared" si="692"/>
        <v>0</v>
      </c>
      <c r="T589" s="78" t="b">
        <f t="shared" si="692"/>
        <v>0</v>
      </c>
      <c r="U589" s="78" t="b">
        <f t="shared" si="692"/>
        <v>0</v>
      </c>
      <c r="V589" s="78" t="b">
        <f t="shared" si="692"/>
        <v>0</v>
      </c>
      <c r="W589" s="78" t="b">
        <f t="shared" si="692"/>
        <v>0</v>
      </c>
      <c r="X589" s="78" t="b">
        <f t="shared" si="692"/>
        <v>0</v>
      </c>
      <c r="Y589" s="78" t="b">
        <f t="shared" si="692"/>
        <v>0</v>
      </c>
      <c r="Z589" s="78" t="b">
        <f t="shared" si="692"/>
        <v>0</v>
      </c>
      <c r="AA589" s="78" t="b">
        <f t="shared" si="692"/>
        <v>0</v>
      </c>
      <c r="AB589" s="78" t="b">
        <f t="shared" si="692"/>
        <v>0</v>
      </c>
      <c r="AC589" s="78" t="b">
        <f t="shared" si="692"/>
        <v>0</v>
      </c>
      <c r="AD589" s="78" t="b">
        <f t="shared" si="692"/>
        <v>0</v>
      </c>
      <c r="AE589" s="78" t="b">
        <f t="shared" si="692"/>
        <v>0</v>
      </c>
      <c r="AF589" s="78" t="b">
        <f t="shared" si="692"/>
        <v>0</v>
      </c>
      <c r="AG589" s="78" t="b">
        <f t="shared" si="692"/>
        <v>0</v>
      </c>
      <c r="AH589" s="78" t="b">
        <f t="shared" si="692"/>
        <v>0</v>
      </c>
      <c r="AI589" s="78" t="b">
        <f t="shared" si="692"/>
        <v>0</v>
      </c>
      <c r="AJ589" s="78" t="b">
        <f t="shared" si="692"/>
        <v>0</v>
      </c>
      <c r="AK589" s="78" t="b">
        <f t="shared" si="692"/>
        <v>0</v>
      </c>
      <c r="AL589" s="78" t="b">
        <f t="shared" si="692"/>
        <v>0</v>
      </c>
      <c r="AM589" s="78" t="b">
        <f t="shared" si="692"/>
        <v>0</v>
      </c>
      <c r="AN589" s="78" t="b">
        <f t="shared" si="692"/>
        <v>0</v>
      </c>
      <c r="AO589" s="78" t="b">
        <f t="shared" si="692"/>
        <v>0</v>
      </c>
      <c r="AP589" s="78"/>
    </row>
    <row r="590" spans="4:42" x14ac:dyDescent="0.35">
      <c r="D590" s="96"/>
      <c r="E590" s="96"/>
      <c r="G590" s="77">
        <f t="shared" si="675"/>
        <v>0</v>
      </c>
      <c r="H590" s="78">
        <f t="shared" si="676"/>
        <v>0</v>
      </c>
      <c r="I590" s="77">
        <f t="shared" si="677"/>
        <v>0</v>
      </c>
      <c r="J590" s="78">
        <f t="shared" si="678"/>
        <v>0</v>
      </c>
      <c r="K590" s="78" t="str">
        <f t="shared" si="679"/>
        <v>1900-01-00 00:0:00</v>
      </c>
      <c r="L590" s="78" t="str">
        <f t="shared" si="680"/>
        <v>1900-01-00 00:0:00</v>
      </c>
      <c r="M590" s="79">
        <f t="shared" si="681"/>
        <v>0</v>
      </c>
      <c r="N590">
        <f t="shared" si="682"/>
        <v>1</v>
      </c>
      <c r="O590" t="str">
        <f>IFERROR(_xlfn.XLOOKUP(A590,HC!A:A,HC!C:C),"")</f>
        <v>Workforce</v>
      </c>
      <c r="R590" s="78" t="b">
        <f t="shared" ref="R590:AO590" si="693">IFERROR(IF($B590=$D$1,IF(AND($K590&lt;R$1,$L590&lt;R$1),"",IF(AND($K590&gt;S$1,$L590&gt;S$1),"",IF(AND($K590&lt;R$1,$L590&lt;=S$1),$L590-R$1,IF(AND($K590&gt;=R$1,$L590&gt;S$1),S$1-$K590,IF(AND($K590&gt;=R$1,$L590&lt;=S$1),$L590-$K590,IF(AND($K590&lt;R$1,$L590&gt;S$1),S$1-R$1,""))))))),"")</f>
        <v>0</v>
      </c>
      <c r="S590" s="78" t="b">
        <f t="shared" si="693"/>
        <v>0</v>
      </c>
      <c r="T590" s="78" t="b">
        <f t="shared" si="693"/>
        <v>0</v>
      </c>
      <c r="U590" s="78" t="b">
        <f t="shared" si="693"/>
        <v>0</v>
      </c>
      <c r="V590" s="78" t="b">
        <f t="shared" si="693"/>
        <v>0</v>
      </c>
      <c r="W590" s="78" t="b">
        <f t="shared" si="693"/>
        <v>0</v>
      </c>
      <c r="X590" s="78" t="b">
        <f t="shared" si="693"/>
        <v>0</v>
      </c>
      <c r="Y590" s="78" t="b">
        <f t="shared" si="693"/>
        <v>0</v>
      </c>
      <c r="Z590" s="78" t="b">
        <f t="shared" si="693"/>
        <v>0</v>
      </c>
      <c r="AA590" s="78" t="b">
        <f t="shared" si="693"/>
        <v>0</v>
      </c>
      <c r="AB590" s="78" t="b">
        <f t="shared" si="693"/>
        <v>0</v>
      </c>
      <c r="AC590" s="78" t="b">
        <f t="shared" si="693"/>
        <v>0</v>
      </c>
      <c r="AD590" s="78" t="b">
        <f t="shared" si="693"/>
        <v>0</v>
      </c>
      <c r="AE590" s="78" t="b">
        <f t="shared" si="693"/>
        <v>0</v>
      </c>
      <c r="AF590" s="78" t="b">
        <f t="shared" si="693"/>
        <v>0</v>
      </c>
      <c r="AG590" s="78" t="b">
        <f t="shared" si="693"/>
        <v>0</v>
      </c>
      <c r="AH590" s="78" t="b">
        <f t="shared" si="693"/>
        <v>0</v>
      </c>
      <c r="AI590" s="78" t="b">
        <f t="shared" si="693"/>
        <v>0</v>
      </c>
      <c r="AJ590" s="78" t="b">
        <f t="shared" si="693"/>
        <v>0</v>
      </c>
      <c r="AK590" s="78" t="b">
        <f t="shared" si="693"/>
        <v>0</v>
      </c>
      <c r="AL590" s="78" t="b">
        <f t="shared" si="693"/>
        <v>0</v>
      </c>
      <c r="AM590" s="78" t="b">
        <f t="shared" si="693"/>
        <v>0</v>
      </c>
      <c r="AN590" s="78" t="b">
        <f t="shared" si="693"/>
        <v>0</v>
      </c>
      <c r="AO590" s="78" t="b">
        <f t="shared" si="693"/>
        <v>0</v>
      </c>
      <c r="AP590" s="78"/>
    </row>
    <row r="591" spans="4:42" x14ac:dyDescent="0.35">
      <c r="D591" s="96"/>
      <c r="E591" s="96"/>
      <c r="G591" s="77">
        <f t="shared" si="675"/>
        <v>0</v>
      </c>
      <c r="H591" s="78">
        <f t="shared" si="676"/>
        <v>0</v>
      </c>
      <c r="I591" s="77">
        <f t="shared" si="677"/>
        <v>0</v>
      </c>
      <c r="J591" s="78">
        <f t="shared" si="678"/>
        <v>0</v>
      </c>
      <c r="K591" s="78" t="str">
        <f t="shared" si="679"/>
        <v>1900-01-00 00:0:00</v>
      </c>
      <c r="L591" s="78" t="str">
        <f t="shared" si="680"/>
        <v>1900-01-00 00:0:00</v>
      </c>
      <c r="M591" s="79">
        <f t="shared" si="681"/>
        <v>0</v>
      </c>
      <c r="N591">
        <f t="shared" si="682"/>
        <v>1</v>
      </c>
      <c r="O591" t="str">
        <f>IFERROR(_xlfn.XLOOKUP(A591,HC!A:A,HC!C:C),"")</f>
        <v>Workforce</v>
      </c>
      <c r="R591" s="78" t="b">
        <f t="shared" ref="R591:AO591" si="694">IFERROR(IF($B591=$D$1,IF(AND($K591&lt;R$1,$L591&lt;R$1),"",IF(AND($K591&gt;S$1,$L591&gt;S$1),"",IF(AND($K591&lt;R$1,$L591&lt;=S$1),$L591-R$1,IF(AND($K591&gt;=R$1,$L591&gt;S$1),S$1-$K591,IF(AND($K591&gt;=R$1,$L591&lt;=S$1),$L591-$K591,IF(AND($K591&lt;R$1,$L591&gt;S$1),S$1-R$1,""))))))),"")</f>
        <v>0</v>
      </c>
      <c r="S591" s="78" t="b">
        <f t="shared" si="694"/>
        <v>0</v>
      </c>
      <c r="T591" s="78" t="b">
        <f t="shared" si="694"/>
        <v>0</v>
      </c>
      <c r="U591" s="78" t="b">
        <f t="shared" si="694"/>
        <v>0</v>
      </c>
      <c r="V591" s="78" t="b">
        <f t="shared" si="694"/>
        <v>0</v>
      </c>
      <c r="W591" s="78" t="b">
        <f t="shared" si="694"/>
        <v>0</v>
      </c>
      <c r="X591" s="78" t="b">
        <f t="shared" si="694"/>
        <v>0</v>
      </c>
      <c r="Y591" s="78" t="b">
        <f t="shared" si="694"/>
        <v>0</v>
      </c>
      <c r="Z591" s="78" t="b">
        <f t="shared" si="694"/>
        <v>0</v>
      </c>
      <c r="AA591" s="78" t="b">
        <f t="shared" si="694"/>
        <v>0</v>
      </c>
      <c r="AB591" s="78" t="b">
        <f t="shared" si="694"/>
        <v>0</v>
      </c>
      <c r="AC591" s="78" t="b">
        <f t="shared" si="694"/>
        <v>0</v>
      </c>
      <c r="AD591" s="78" t="b">
        <f t="shared" si="694"/>
        <v>0</v>
      </c>
      <c r="AE591" s="78" t="b">
        <f t="shared" si="694"/>
        <v>0</v>
      </c>
      <c r="AF591" s="78" t="b">
        <f t="shared" si="694"/>
        <v>0</v>
      </c>
      <c r="AG591" s="78" t="b">
        <f t="shared" si="694"/>
        <v>0</v>
      </c>
      <c r="AH591" s="78" t="b">
        <f t="shared" si="694"/>
        <v>0</v>
      </c>
      <c r="AI591" s="78" t="b">
        <f t="shared" si="694"/>
        <v>0</v>
      </c>
      <c r="AJ591" s="78" t="b">
        <f t="shared" si="694"/>
        <v>0</v>
      </c>
      <c r="AK591" s="78" t="b">
        <f t="shared" si="694"/>
        <v>0</v>
      </c>
      <c r="AL591" s="78" t="b">
        <f t="shared" si="694"/>
        <v>0</v>
      </c>
      <c r="AM591" s="78" t="b">
        <f t="shared" si="694"/>
        <v>0</v>
      </c>
      <c r="AN591" s="78" t="b">
        <f t="shared" si="694"/>
        <v>0</v>
      </c>
      <c r="AO591" s="78" t="b">
        <f t="shared" si="694"/>
        <v>0</v>
      </c>
      <c r="AP591" s="78"/>
    </row>
    <row r="592" spans="4:42" x14ac:dyDescent="0.35">
      <c r="D592" s="96"/>
      <c r="E592" s="96"/>
      <c r="G592" s="77">
        <f t="shared" si="675"/>
        <v>0</v>
      </c>
      <c r="H592" s="78">
        <f t="shared" si="676"/>
        <v>0</v>
      </c>
      <c r="I592" s="77">
        <f t="shared" si="677"/>
        <v>0</v>
      </c>
      <c r="J592" s="78">
        <f t="shared" si="678"/>
        <v>0</v>
      </c>
      <c r="K592" s="78" t="str">
        <f t="shared" si="679"/>
        <v>1900-01-00 00:0:00</v>
      </c>
      <c r="L592" s="78" t="str">
        <f t="shared" si="680"/>
        <v>1900-01-00 00:0:00</v>
      </c>
      <c r="M592" s="79">
        <f t="shared" si="681"/>
        <v>0</v>
      </c>
      <c r="N592">
        <f t="shared" si="682"/>
        <v>1</v>
      </c>
      <c r="O592" t="str">
        <f>IFERROR(_xlfn.XLOOKUP(A592,HC!A:A,HC!C:C),"")</f>
        <v>Workforce</v>
      </c>
      <c r="R592" s="78" t="b">
        <f t="shared" ref="R592:AO592" si="695">IFERROR(IF($B592=$D$1,IF(AND($K592&lt;R$1,$L592&lt;R$1),"",IF(AND($K592&gt;S$1,$L592&gt;S$1),"",IF(AND($K592&lt;R$1,$L592&lt;=S$1),$L592-R$1,IF(AND($K592&gt;=R$1,$L592&gt;S$1),S$1-$K592,IF(AND($K592&gt;=R$1,$L592&lt;=S$1),$L592-$K592,IF(AND($K592&lt;R$1,$L592&gt;S$1),S$1-R$1,""))))))),"")</f>
        <v>0</v>
      </c>
      <c r="S592" s="78" t="b">
        <f t="shared" si="695"/>
        <v>0</v>
      </c>
      <c r="T592" s="78" t="b">
        <f t="shared" si="695"/>
        <v>0</v>
      </c>
      <c r="U592" s="78" t="b">
        <f t="shared" si="695"/>
        <v>0</v>
      </c>
      <c r="V592" s="78" t="b">
        <f t="shared" si="695"/>
        <v>0</v>
      </c>
      <c r="W592" s="78" t="b">
        <f t="shared" si="695"/>
        <v>0</v>
      </c>
      <c r="X592" s="78" t="b">
        <f t="shared" si="695"/>
        <v>0</v>
      </c>
      <c r="Y592" s="78" t="b">
        <f t="shared" si="695"/>
        <v>0</v>
      </c>
      <c r="Z592" s="78" t="b">
        <f t="shared" si="695"/>
        <v>0</v>
      </c>
      <c r="AA592" s="78" t="b">
        <f t="shared" si="695"/>
        <v>0</v>
      </c>
      <c r="AB592" s="78" t="b">
        <f t="shared" si="695"/>
        <v>0</v>
      </c>
      <c r="AC592" s="78" t="b">
        <f t="shared" si="695"/>
        <v>0</v>
      </c>
      <c r="AD592" s="78" t="b">
        <f t="shared" si="695"/>
        <v>0</v>
      </c>
      <c r="AE592" s="78" t="b">
        <f t="shared" si="695"/>
        <v>0</v>
      </c>
      <c r="AF592" s="78" t="b">
        <f t="shared" si="695"/>
        <v>0</v>
      </c>
      <c r="AG592" s="78" t="b">
        <f t="shared" si="695"/>
        <v>0</v>
      </c>
      <c r="AH592" s="78" t="b">
        <f t="shared" si="695"/>
        <v>0</v>
      </c>
      <c r="AI592" s="78" t="b">
        <f t="shared" si="695"/>
        <v>0</v>
      </c>
      <c r="AJ592" s="78" t="b">
        <f t="shared" si="695"/>
        <v>0</v>
      </c>
      <c r="AK592" s="78" t="b">
        <f t="shared" si="695"/>
        <v>0</v>
      </c>
      <c r="AL592" s="78" t="b">
        <f t="shared" si="695"/>
        <v>0</v>
      </c>
      <c r="AM592" s="78" t="b">
        <f t="shared" si="695"/>
        <v>0</v>
      </c>
      <c r="AN592" s="78" t="b">
        <f t="shared" si="695"/>
        <v>0</v>
      </c>
      <c r="AO592" s="78" t="b">
        <f t="shared" si="695"/>
        <v>0</v>
      </c>
      <c r="AP592" s="78"/>
    </row>
    <row r="593" spans="4:42" x14ac:dyDescent="0.35">
      <c r="D593" s="96"/>
      <c r="E593" s="96"/>
      <c r="G593" s="77">
        <f t="shared" si="675"/>
        <v>0</v>
      </c>
      <c r="H593" s="78">
        <f t="shared" si="676"/>
        <v>0</v>
      </c>
      <c r="I593" s="77">
        <f t="shared" si="677"/>
        <v>0</v>
      </c>
      <c r="J593" s="78">
        <f t="shared" si="678"/>
        <v>0</v>
      </c>
      <c r="K593" s="78" t="str">
        <f t="shared" si="679"/>
        <v>1900-01-00 00:0:00</v>
      </c>
      <c r="L593" s="78" t="str">
        <f t="shared" si="680"/>
        <v>1900-01-00 00:0:00</v>
      </c>
      <c r="M593" s="79">
        <f t="shared" si="681"/>
        <v>0</v>
      </c>
      <c r="N593">
        <f t="shared" si="682"/>
        <v>1</v>
      </c>
      <c r="O593" t="str">
        <f>IFERROR(_xlfn.XLOOKUP(A593,HC!A:A,HC!C:C),"")</f>
        <v>Workforce</v>
      </c>
      <c r="R593" s="78" t="b">
        <f t="shared" ref="R593:AO593" si="696">IFERROR(IF($B593=$D$1,IF(AND($K593&lt;R$1,$L593&lt;R$1),"",IF(AND($K593&gt;S$1,$L593&gt;S$1),"",IF(AND($K593&lt;R$1,$L593&lt;=S$1),$L593-R$1,IF(AND($K593&gt;=R$1,$L593&gt;S$1),S$1-$K593,IF(AND($K593&gt;=R$1,$L593&lt;=S$1),$L593-$K593,IF(AND($K593&lt;R$1,$L593&gt;S$1),S$1-R$1,""))))))),"")</f>
        <v>0</v>
      </c>
      <c r="S593" s="78" t="b">
        <f t="shared" si="696"/>
        <v>0</v>
      </c>
      <c r="T593" s="78" t="b">
        <f t="shared" si="696"/>
        <v>0</v>
      </c>
      <c r="U593" s="78" t="b">
        <f t="shared" si="696"/>
        <v>0</v>
      </c>
      <c r="V593" s="78" t="b">
        <f t="shared" si="696"/>
        <v>0</v>
      </c>
      <c r="W593" s="78" t="b">
        <f t="shared" si="696"/>
        <v>0</v>
      </c>
      <c r="X593" s="78" t="b">
        <f t="shared" si="696"/>
        <v>0</v>
      </c>
      <c r="Y593" s="78" t="b">
        <f t="shared" si="696"/>
        <v>0</v>
      </c>
      <c r="Z593" s="78" t="b">
        <f t="shared" si="696"/>
        <v>0</v>
      </c>
      <c r="AA593" s="78" t="b">
        <f t="shared" si="696"/>
        <v>0</v>
      </c>
      <c r="AB593" s="78" t="b">
        <f t="shared" si="696"/>
        <v>0</v>
      </c>
      <c r="AC593" s="78" t="b">
        <f t="shared" si="696"/>
        <v>0</v>
      </c>
      <c r="AD593" s="78" t="b">
        <f t="shared" si="696"/>
        <v>0</v>
      </c>
      <c r="AE593" s="78" t="b">
        <f t="shared" si="696"/>
        <v>0</v>
      </c>
      <c r="AF593" s="78" t="b">
        <f t="shared" si="696"/>
        <v>0</v>
      </c>
      <c r="AG593" s="78" t="b">
        <f t="shared" si="696"/>
        <v>0</v>
      </c>
      <c r="AH593" s="78" t="b">
        <f t="shared" si="696"/>
        <v>0</v>
      </c>
      <c r="AI593" s="78" t="b">
        <f t="shared" si="696"/>
        <v>0</v>
      </c>
      <c r="AJ593" s="78" t="b">
        <f t="shared" si="696"/>
        <v>0</v>
      </c>
      <c r="AK593" s="78" t="b">
        <f t="shared" si="696"/>
        <v>0</v>
      </c>
      <c r="AL593" s="78" t="b">
        <f t="shared" si="696"/>
        <v>0</v>
      </c>
      <c r="AM593" s="78" t="b">
        <f t="shared" si="696"/>
        <v>0</v>
      </c>
      <c r="AN593" s="78" t="b">
        <f t="shared" si="696"/>
        <v>0</v>
      </c>
      <c r="AO593" s="78" t="b">
        <f t="shared" si="696"/>
        <v>0</v>
      </c>
      <c r="AP593" s="78"/>
    </row>
    <row r="594" spans="4:42" x14ac:dyDescent="0.35">
      <c r="D594" s="96"/>
      <c r="E594" s="96"/>
      <c r="G594" s="77">
        <f t="shared" si="675"/>
        <v>0</v>
      </c>
      <c r="H594" s="78">
        <f t="shared" si="676"/>
        <v>0</v>
      </c>
      <c r="I594" s="77">
        <f t="shared" si="677"/>
        <v>0</v>
      </c>
      <c r="J594" s="78">
        <f t="shared" si="678"/>
        <v>0</v>
      </c>
      <c r="K594" s="78" t="str">
        <f t="shared" si="679"/>
        <v>1900-01-00 00:0:00</v>
      </c>
      <c r="L594" s="78" t="str">
        <f t="shared" si="680"/>
        <v>1900-01-00 00:0:00</v>
      </c>
      <c r="M594" s="79">
        <f t="shared" si="681"/>
        <v>0</v>
      </c>
      <c r="N594">
        <f t="shared" si="682"/>
        <v>1</v>
      </c>
      <c r="O594" t="str">
        <f>IFERROR(_xlfn.XLOOKUP(A594,HC!A:A,HC!C:C),"")</f>
        <v>Workforce</v>
      </c>
      <c r="R594" s="78" t="b">
        <f t="shared" ref="R594:AO594" si="697">IFERROR(IF($B594=$D$1,IF(AND($K594&lt;R$1,$L594&lt;R$1),"",IF(AND($K594&gt;S$1,$L594&gt;S$1),"",IF(AND($K594&lt;R$1,$L594&lt;=S$1),$L594-R$1,IF(AND($K594&gt;=R$1,$L594&gt;S$1),S$1-$K594,IF(AND($K594&gt;=R$1,$L594&lt;=S$1),$L594-$K594,IF(AND($K594&lt;R$1,$L594&gt;S$1),S$1-R$1,""))))))),"")</f>
        <v>0</v>
      </c>
      <c r="S594" s="78" t="b">
        <f t="shared" si="697"/>
        <v>0</v>
      </c>
      <c r="T594" s="78" t="b">
        <f t="shared" si="697"/>
        <v>0</v>
      </c>
      <c r="U594" s="78" t="b">
        <f t="shared" si="697"/>
        <v>0</v>
      </c>
      <c r="V594" s="78" t="b">
        <f t="shared" si="697"/>
        <v>0</v>
      </c>
      <c r="W594" s="78" t="b">
        <f t="shared" si="697"/>
        <v>0</v>
      </c>
      <c r="X594" s="78" t="b">
        <f t="shared" si="697"/>
        <v>0</v>
      </c>
      <c r="Y594" s="78" t="b">
        <f t="shared" si="697"/>
        <v>0</v>
      </c>
      <c r="Z594" s="78" t="b">
        <f t="shared" si="697"/>
        <v>0</v>
      </c>
      <c r="AA594" s="78" t="b">
        <f t="shared" si="697"/>
        <v>0</v>
      </c>
      <c r="AB594" s="78" t="b">
        <f t="shared" si="697"/>
        <v>0</v>
      </c>
      <c r="AC594" s="78" t="b">
        <f t="shared" si="697"/>
        <v>0</v>
      </c>
      <c r="AD594" s="78" t="b">
        <f t="shared" si="697"/>
        <v>0</v>
      </c>
      <c r="AE594" s="78" t="b">
        <f t="shared" si="697"/>
        <v>0</v>
      </c>
      <c r="AF594" s="78" t="b">
        <f t="shared" si="697"/>
        <v>0</v>
      </c>
      <c r="AG594" s="78" t="b">
        <f t="shared" si="697"/>
        <v>0</v>
      </c>
      <c r="AH594" s="78" t="b">
        <f t="shared" si="697"/>
        <v>0</v>
      </c>
      <c r="AI594" s="78" t="b">
        <f t="shared" si="697"/>
        <v>0</v>
      </c>
      <c r="AJ594" s="78" t="b">
        <f t="shared" si="697"/>
        <v>0</v>
      </c>
      <c r="AK594" s="78" t="b">
        <f t="shared" si="697"/>
        <v>0</v>
      </c>
      <c r="AL594" s="78" t="b">
        <f t="shared" si="697"/>
        <v>0</v>
      </c>
      <c r="AM594" s="78" t="b">
        <f t="shared" si="697"/>
        <v>0</v>
      </c>
      <c r="AN594" s="78" t="b">
        <f t="shared" si="697"/>
        <v>0</v>
      </c>
      <c r="AO594" s="78" t="b">
        <f t="shared" si="697"/>
        <v>0</v>
      </c>
      <c r="AP594" s="78"/>
    </row>
    <row r="595" spans="4:42" x14ac:dyDescent="0.35">
      <c r="D595" s="96"/>
      <c r="E595" s="96"/>
      <c r="G595" s="77">
        <f t="shared" si="675"/>
        <v>0</v>
      </c>
      <c r="H595" s="78">
        <f t="shared" si="676"/>
        <v>0</v>
      </c>
      <c r="I595" s="77">
        <f t="shared" si="677"/>
        <v>0</v>
      </c>
      <c r="J595" s="78">
        <f t="shared" si="678"/>
        <v>0</v>
      </c>
      <c r="K595" s="78" t="str">
        <f t="shared" si="679"/>
        <v>1900-01-00 00:0:00</v>
      </c>
      <c r="L595" s="78" t="str">
        <f t="shared" si="680"/>
        <v>1900-01-00 00:0:00</v>
      </c>
      <c r="M595" s="79">
        <f t="shared" si="681"/>
        <v>0</v>
      </c>
      <c r="N595">
        <f t="shared" si="682"/>
        <v>1</v>
      </c>
      <c r="O595" t="str">
        <f>IFERROR(_xlfn.XLOOKUP(A595,HC!A:A,HC!C:C),"")</f>
        <v>Workforce</v>
      </c>
      <c r="R595" s="78" t="b">
        <f t="shared" ref="R595:AO595" si="698">IFERROR(IF($B595=$D$1,IF(AND($K595&lt;R$1,$L595&lt;R$1),"",IF(AND($K595&gt;S$1,$L595&gt;S$1),"",IF(AND($K595&lt;R$1,$L595&lt;=S$1),$L595-R$1,IF(AND($K595&gt;=R$1,$L595&gt;S$1),S$1-$K595,IF(AND($K595&gt;=R$1,$L595&lt;=S$1),$L595-$K595,IF(AND($K595&lt;R$1,$L595&gt;S$1),S$1-R$1,""))))))),"")</f>
        <v>0</v>
      </c>
      <c r="S595" s="78" t="b">
        <f t="shared" si="698"/>
        <v>0</v>
      </c>
      <c r="T595" s="78" t="b">
        <f t="shared" si="698"/>
        <v>0</v>
      </c>
      <c r="U595" s="78" t="b">
        <f t="shared" si="698"/>
        <v>0</v>
      </c>
      <c r="V595" s="78" t="b">
        <f t="shared" si="698"/>
        <v>0</v>
      </c>
      <c r="W595" s="78" t="b">
        <f t="shared" si="698"/>
        <v>0</v>
      </c>
      <c r="X595" s="78" t="b">
        <f t="shared" si="698"/>
        <v>0</v>
      </c>
      <c r="Y595" s="78" t="b">
        <f t="shared" si="698"/>
        <v>0</v>
      </c>
      <c r="Z595" s="78" t="b">
        <f t="shared" si="698"/>
        <v>0</v>
      </c>
      <c r="AA595" s="78" t="b">
        <f t="shared" si="698"/>
        <v>0</v>
      </c>
      <c r="AB595" s="78" t="b">
        <f t="shared" si="698"/>
        <v>0</v>
      </c>
      <c r="AC595" s="78" t="b">
        <f t="shared" si="698"/>
        <v>0</v>
      </c>
      <c r="AD595" s="78" t="b">
        <f t="shared" si="698"/>
        <v>0</v>
      </c>
      <c r="AE595" s="78" t="b">
        <f t="shared" si="698"/>
        <v>0</v>
      </c>
      <c r="AF595" s="78" t="b">
        <f t="shared" si="698"/>
        <v>0</v>
      </c>
      <c r="AG595" s="78" t="b">
        <f t="shared" si="698"/>
        <v>0</v>
      </c>
      <c r="AH595" s="78" t="b">
        <f t="shared" si="698"/>
        <v>0</v>
      </c>
      <c r="AI595" s="78" t="b">
        <f t="shared" si="698"/>
        <v>0</v>
      </c>
      <c r="AJ595" s="78" t="b">
        <f t="shared" si="698"/>
        <v>0</v>
      </c>
      <c r="AK595" s="78" t="b">
        <f t="shared" si="698"/>
        <v>0</v>
      </c>
      <c r="AL595" s="78" t="b">
        <f t="shared" si="698"/>
        <v>0</v>
      </c>
      <c r="AM595" s="78" t="b">
        <f t="shared" si="698"/>
        <v>0</v>
      </c>
      <c r="AN595" s="78" t="b">
        <f t="shared" si="698"/>
        <v>0</v>
      </c>
      <c r="AO595" s="78" t="b">
        <f t="shared" si="698"/>
        <v>0</v>
      </c>
      <c r="AP595" s="78"/>
    </row>
    <row r="596" spans="4:42" x14ac:dyDescent="0.35">
      <c r="D596" s="96"/>
      <c r="E596" s="96"/>
      <c r="G596" s="77">
        <f t="shared" si="675"/>
        <v>0</v>
      </c>
      <c r="H596" s="78">
        <f t="shared" si="676"/>
        <v>0</v>
      </c>
      <c r="I596" s="77">
        <f t="shared" si="677"/>
        <v>0</v>
      </c>
      <c r="J596" s="78">
        <f t="shared" si="678"/>
        <v>0</v>
      </c>
      <c r="K596" s="78" t="str">
        <f t="shared" si="679"/>
        <v>1900-01-00 00:0:00</v>
      </c>
      <c r="L596" s="78" t="str">
        <f t="shared" si="680"/>
        <v>1900-01-00 00:0:00</v>
      </c>
      <c r="M596" s="79">
        <f t="shared" si="681"/>
        <v>0</v>
      </c>
      <c r="N596">
        <f t="shared" si="682"/>
        <v>1</v>
      </c>
      <c r="O596" t="str">
        <f>IFERROR(_xlfn.XLOOKUP(A596,HC!A:A,HC!C:C),"")</f>
        <v>Workforce</v>
      </c>
      <c r="R596" s="78" t="b">
        <f t="shared" ref="R596:AO596" si="699">IFERROR(IF($B596=$D$1,IF(AND($K596&lt;R$1,$L596&lt;R$1),"",IF(AND($K596&gt;S$1,$L596&gt;S$1),"",IF(AND($K596&lt;R$1,$L596&lt;=S$1),$L596-R$1,IF(AND($K596&gt;=R$1,$L596&gt;S$1),S$1-$K596,IF(AND($K596&gt;=R$1,$L596&lt;=S$1),$L596-$K596,IF(AND($K596&lt;R$1,$L596&gt;S$1),S$1-R$1,""))))))),"")</f>
        <v>0</v>
      </c>
      <c r="S596" s="78" t="b">
        <f t="shared" si="699"/>
        <v>0</v>
      </c>
      <c r="T596" s="78" t="b">
        <f t="shared" si="699"/>
        <v>0</v>
      </c>
      <c r="U596" s="78" t="b">
        <f t="shared" si="699"/>
        <v>0</v>
      </c>
      <c r="V596" s="78" t="b">
        <f t="shared" si="699"/>
        <v>0</v>
      </c>
      <c r="W596" s="78" t="b">
        <f t="shared" si="699"/>
        <v>0</v>
      </c>
      <c r="X596" s="78" t="b">
        <f t="shared" si="699"/>
        <v>0</v>
      </c>
      <c r="Y596" s="78" t="b">
        <f t="shared" si="699"/>
        <v>0</v>
      </c>
      <c r="Z596" s="78" t="b">
        <f t="shared" si="699"/>
        <v>0</v>
      </c>
      <c r="AA596" s="78" t="b">
        <f t="shared" si="699"/>
        <v>0</v>
      </c>
      <c r="AB596" s="78" t="b">
        <f t="shared" si="699"/>
        <v>0</v>
      </c>
      <c r="AC596" s="78" t="b">
        <f t="shared" si="699"/>
        <v>0</v>
      </c>
      <c r="AD596" s="78" t="b">
        <f t="shared" si="699"/>
        <v>0</v>
      </c>
      <c r="AE596" s="78" t="b">
        <f t="shared" si="699"/>
        <v>0</v>
      </c>
      <c r="AF596" s="78" t="b">
        <f t="shared" si="699"/>
        <v>0</v>
      </c>
      <c r="AG596" s="78" t="b">
        <f t="shared" si="699"/>
        <v>0</v>
      </c>
      <c r="AH596" s="78" t="b">
        <f t="shared" si="699"/>
        <v>0</v>
      </c>
      <c r="AI596" s="78" t="b">
        <f t="shared" si="699"/>
        <v>0</v>
      </c>
      <c r="AJ596" s="78" t="b">
        <f t="shared" si="699"/>
        <v>0</v>
      </c>
      <c r="AK596" s="78" t="b">
        <f t="shared" si="699"/>
        <v>0</v>
      </c>
      <c r="AL596" s="78" t="b">
        <f t="shared" si="699"/>
        <v>0</v>
      </c>
      <c r="AM596" s="78" t="b">
        <f t="shared" si="699"/>
        <v>0</v>
      </c>
      <c r="AN596" s="78" t="b">
        <f t="shared" si="699"/>
        <v>0</v>
      </c>
      <c r="AO596" s="78" t="b">
        <f t="shared" si="699"/>
        <v>0</v>
      </c>
      <c r="AP596" s="78"/>
    </row>
    <row r="597" spans="4:42" x14ac:dyDescent="0.35">
      <c r="D597" s="96"/>
      <c r="E597" s="96"/>
      <c r="G597" s="77">
        <f t="shared" si="675"/>
        <v>0</v>
      </c>
      <c r="H597" s="78">
        <f t="shared" si="676"/>
        <v>0</v>
      </c>
      <c r="I597" s="77">
        <f t="shared" si="677"/>
        <v>0</v>
      </c>
      <c r="J597" s="78">
        <f t="shared" si="678"/>
        <v>0</v>
      </c>
      <c r="K597" s="78" t="str">
        <f t="shared" si="679"/>
        <v>1900-01-00 00:0:00</v>
      </c>
      <c r="L597" s="78" t="str">
        <f t="shared" si="680"/>
        <v>1900-01-00 00:0:00</v>
      </c>
      <c r="M597" s="79">
        <f t="shared" si="681"/>
        <v>0</v>
      </c>
      <c r="N597">
        <f t="shared" si="682"/>
        <v>1</v>
      </c>
      <c r="O597" t="str">
        <f>IFERROR(_xlfn.XLOOKUP(A597,HC!A:A,HC!C:C),"")</f>
        <v>Workforce</v>
      </c>
      <c r="R597" s="78" t="b">
        <f t="shared" ref="R597:AO597" si="700">IFERROR(IF($B597=$D$1,IF(AND($K597&lt;R$1,$L597&lt;R$1),"",IF(AND($K597&gt;S$1,$L597&gt;S$1),"",IF(AND($K597&lt;R$1,$L597&lt;=S$1),$L597-R$1,IF(AND($K597&gt;=R$1,$L597&gt;S$1),S$1-$K597,IF(AND($K597&gt;=R$1,$L597&lt;=S$1),$L597-$K597,IF(AND($K597&lt;R$1,$L597&gt;S$1),S$1-R$1,""))))))),"")</f>
        <v>0</v>
      </c>
      <c r="S597" s="78" t="b">
        <f t="shared" si="700"/>
        <v>0</v>
      </c>
      <c r="T597" s="78" t="b">
        <f t="shared" si="700"/>
        <v>0</v>
      </c>
      <c r="U597" s="78" t="b">
        <f t="shared" si="700"/>
        <v>0</v>
      </c>
      <c r="V597" s="78" t="b">
        <f t="shared" si="700"/>
        <v>0</v>
      </c>
      <c r="W597" s="78" t="b">
        <f t="shared" si="700"/>
        <v>0</v>
      </c>
      <c r="X597" s="78" t="b">
        <f t="shared" si="700"/>
        <v>0</v>
      </c>
      <c r="Y597" s="78" t="b">
        <f t="shared" si="700"/>
        <v>0</v>
      </c>
      <c r="Z597" s="78" t="b">
        <f t="shared" si="700"/>
        <v>0</v>
      </c>
      <c r="AA597" s="78" t="b">
        <f t="shared" si="700"/>
        <v>0</v>
      </c>
      <c r="AB597" s="78" t="b">
        <f t="shared" si="700"/>
        <v>0</v>
      </c>
      <c r="AC597" s="78" t="b">
        <f t="shared" si="700"/>
        <v>0</v>
      </c>
      <c r="AD597" s="78" t="b">
        <f t="shared" si="700"/>
        <v>0</v>
      </c>
      <c r="AE597" s="78" t="b">
        <f t="shared" si="700"/>
        <v>0</v>
      </c>
      <c r="AF597" s="78" t="b">
        <f t="shared" si="700"/>
        <v>0</v>
      </c>
      <c r="AG597" s="78" t="b">
        <f t="shared" si="700"/>
        <v>0</v>
      </c>
      <c r="AH597" s="78" t="b">
        <f t="shared" si="700"/>
        <v>0</v>
      </c>
      <c r="AI597" s="78" t="b">
        <f t="shared" si="700"/>
        <v>0</v>
      </c>
      <c r="AJ597" s="78" t="b">
        <f t="shared" si="700"/>
        <v>0</v>
      </c>
      <c r="AK597" s="78" t="b">
        <f t="shared" si="700"/>
        <v>0</v>
      </c>
      <c r="AL597" s="78" t="b">
        <f t="shared" si="700"/>
        <v>0</v>
      </c>
      <c r="AM597" s="78" t="b">
        <f t="shared" si="700"/>
        <v>0</v>
      </c>
      <c r="AN597" s="78" t="b">
        <f t="shared" si="700"/>
        <v>0</v>
      </c>
      <c r="AO597" s="78" t="b">
        <f t="shared" si="700"/>
        <v>0</v>
      </c>
      <c r="AP597" s="78"/>
    </row>
    <row r="598" spans="4:42" x14ac:dyDescent="0.35">
      <c r="D598" s="96"/>
      <c r="E598" s="96"/>
      <c r="G598" s="77">
        <f t="shared" si="675"/>
        <v>0</v>
      </c>
      <c r="H598" s="78">
        <f t="shared" si="676"/>
        <v>0</v>
      </c>
      <c r="I598" s="77">
        <f t="shared" si="677"/>
        <v>0</v>
      </c>
      <c r="J598" s="78">
        <f t="shared" si="678"/>
        <v>0</v>
      </c>
      <c r="K598" s="78" t="str">
        <f t="shared" si="679"/>
        <v>1900-01-00 00:0:00</v>
      </c>
      <c r="L598" s="78" t="str">
        <f t="shared" si="680"/>
        <v>1900-01-00 00:0:00</v>
      </c>
      <c r="M598" s="79">
        <f t="shared" si="681"/>
        <v>0</v>
      </c>
      <c r="N598">
        <f t="shared" si="682"/>
        <v>1</v>
      </c>
      <c r="O598" t="str">
        <f>IFERROR(_xlfn.XLOOKUP(A598,HC!A:A,HC!C:C),"")</f>
        <v>Workforce</v>
      </c>
      <c r="R598" s="78" t="b">
        <f t="shared" ref="R598:AO598" si="701">IFERROR(IF($B598=$D$1,IF(AND($K598&lt;R$1,$L598&lt;R$1),"",IF(AND($K598&gt;S$1,$L598&gt;S$1),"",IF(AND($K598&lt;R$1,$L598&lt;=S$1),$L598-R$1,IF(AND($K598&gt;=R$1,$L598&gt;S$1),S$1-$K598,IF(AND($K598&gt;=R$1,$L598&lt;=S$1),$L598-$K598,IF(AND($K598&lt;R$1,$L598&gt;S$1),S$1-R$1,""))))))),"")</f>
        <v>0</v>
      </c>
      <c r="S598" s="78" t="b">
        <f t="shared" si="701"/>
        <v>0</v>
      </c>
      <c r="T598" s="78" t="b">
        <f t="shared" si="701"/>
        <v>0</v>
      </c>
      <c r="U598" s="78" t="b">
        <f t="shared" si="701"/>
        <v>0</v>
      </c>
      <c r="V598" s="78" t="b">
        <f t="shared" si="701"/>
        <v>0</v>
      </c>
      <c r="W598" s="78" t="b">
        <f t="shared" si="701"/>
        <v>0</v>
      </c>
      <c r="X598" s="78" t="b">
        <f t="shared" si="701"/>
        <v>0</v>
      </c>
      <c r="Y598" s="78" t="b">
        <f t="shared" si="701"/>
        <v>0</v>
      </c>
      <c r="Z598" s="78" t="b">
        <f t="shared" si="701"/>
        <v>0</v>
      </c>
      <c r="AA598" s="78" t="b">
        <f t="shared" si="701"/>
        <v>0</v>
      </c>
      <c r="AB598" s="78" t="b">
        <f t="shared" si="701"/>
        <v>0</v>
      </c>
      <c r="AC598" s="78" t="b">
        <f t="shared" si="701"/>
        <v>0</v>
      </c>
      <c r="AD598" s="78" t="b">
        <f t="shared" si="701"/>
        <v>0</v>
      </c>
      <c r="AE598" s="78" t="b">
        <f t="shared" si="701"/>
        <v>0</v>
      </c>
      <c r="AF598" s="78" t="b">
        <f t="shared" si="701"/>
        <v>0</v>
      </c>
      <c r="AG598" s="78" t="b">
        <f t="shared" si="701"/>
        <v>0</v>
      </c>
      <c r="AH598" s="78" t="b">
        <f t="shared" si="701"/>
        <v>0</v>
      </c>
      <c r="AI598" s="78" t="b">
        <f t="shared" si="701"/>
        <v>0</v>
      </c>
      <c r="AJ598" s="78" t="b">
        <f t="shared" si="701"/>
        <v>0</v>
      </c>
      <c r="AK598" s="78" t="b">
        <f t="shared" si="701"/>
        <v>0</v>
      </c>
      <c r="AL598" s="78" t="b">
        <f t="shared" si="701"/>
        <v>0</v>
      </c>
      <c r="AM598" s="78" t="b">
        <f t="shared" si="701"/>
        <v>0</v>
      </c>
      <c r="AN598" s="78" t="b">
        <f t="shared" si="701"/>
        <v>0</v>
      </c>
      <c r="AO598" s="78" t="b">
        <f t="shared" si="701"/>
        <v>0</v>
      </c>
      <c r="AP598" s="78"/>
    </row>
    <row r="599" spans="4:42" x14ac:dyDescent="0.35">
      <c r="D599" s="96"/>
      <c r="E599" s="96"/>
      <c r="G599" s="77">
        <f t="shared" si="675"/>
        <v>0</v>
      </c>
      <c r="H599" s="78">
        <f t="shared" si="676"/>
        <v>0</v>
      </c>
      <c r="I599" s="77">
        <f t="shared" si="677"/>
        <v>0</v>
      </c>
      <c r="J599" s="78">
        <f t="shared" si="678"/>
        <v>0</v>
      </c>
      <c r="K599" s="78" t="str">
        <f t="shared" si="679"/>
        <v>1900-01-00 00:0:00</v>
      </c>
      <c r="L599" s="78" t="str">
        <f t="shared" si="680"/>
        <v>1900-01-00 00:0:00</v>
      </c>
      <c r="M599" s="79">
        <f t="shared" si="681"/>
        <v>0</v>
      </c>
      <c r="N599">
        <f t="shared" si="682"/>
        <v>1</v>
      </c>
      <c r="O599" t="str">
        <f>IFERROR(_xlfn.XLOOKUP(A599,HC!A:A,HC!C:C),"")</f>
        <v>Workforce</v>
      </c>
      <c r="R599" s="78" t="b">
        <f t="shared" ref="R599:AO599" si="702">IFERROR(IF($B599=$D$1,IF(AND($K599&lt;R$1,$L599&lt;R$1),"",IF(AND($K599&gt;S$1,$L599&gt;S$1),"",IF(AND($K599&lt;R$1,$L599&lt;=S$1),$L599-R$1,IF(AND($K599&gt;=R$1,$L599&gt;S$1),S$1-$K599,IF(AND($K599&gt;=R$1,$L599&lt;=S$1),$L599-$K599,IF(AND($K599&lt;R$1,$L599&gt;S$1),S$1-R$1,""))))))),"")</f>
        <v>0</v>
      </c>
      <c r="S599" s="78" t="b">
        <f t="shared" si="702"/>
        <v>0</v>
      </c>
      <c r="T599" s="78" t="b">
        <f t="shared" si="702"/>
        <v>0</v>
      </c>
      <c r="U599" s="78" t="b">
        <f t="shared" si="702"/>
        <v>0</v>
      </c>
      <c r="V599" s="78" t="b">
        <f t="shared" si="702"/>
        <v>0</v>
      </c>
      <c r="W599" s="78" t="b">
        <f t="shared" si="702"/>
        <v>0</v>
      </c>
      <c r="X599" s="78" t="b">
        <f t="shared" si="702"/>
        <v>0</v>
      </c>
      <c r="Y599" s="78" t="b">
        <f t="shared" si="702"/>
        <v>0</v>
      </c>
      <c r="Z599" s="78" t="b">
        <f t="shared" si="702"/>
        <v>0</v>
      </c>
      <c r="AA599" s="78" t="b">
        <f t="shared" si="702"/>
        <v>0</v>
      </c>
      <c r="AB599" s="78" t="b">
        <f t="shared" si="702"/>
        <v>0</v>
      </c>
      <c r="AC599" s="78" t="b">
        <f t="shared" si="702"/>
        <v>0</v>
      </c>
      <c r="AD599" s="78" t="b">
        <f t="shared" si="702"/>
        <v>0</v>
      </c>
      <c r="AE599" s="78" t="b">
        <f t="shared" si="702"/>
        <v>0</v>
      </c>
      <c r="AF599" s="78" t="b">
        <f t="shared" si="702"/>
        <v>0</v>
      </c>
      <c r="AG599" s="78" t="b">
        <f t="shared" si="702"/>
        <v>0</v>
      </c>
      <c r="AH599" s="78" t="b">
        <f t="shared" si="702"/>
        <v>0</v>
      </c>
      <c r="AI599" s="78" t="b">
        <f t="shared" si="702"/>
        <v>0</v>
      </c>
      <c r="AJ599" s="78" t="b">
        <f t="shared" si="702"/>
        <v>0</v>
      </c>
      <c r="AK599" s="78" t="b">
        <f t="shared" si="702"/>
        <v>0</v>
      </c>
      <c r="AL599" s="78" t="b">
        <f t="shared" si="702"/>
        <v>0</v>
      </c>
      <c r="AM599" s="78" t="b">
        <f t="shared" si="702"/>
        <v>0</v>
      </c>
      <c r="AN599" s="78" t="b">
        <f t="shared" si="702"/>
        <v>0</v>
      </c>
      <c r="AO599" s="78" t="b">
        <f t="shared" si="702"/>
        <v>0</v>
      </c>
      <c r="AP599" s="78"/>
    </row>
    <row r="600" spans="4:42" x14ac:dyDescent="0.35">
      <c r="D600" s="96"/>
      <c r="E600" s="96"/>
      <c r="G600" s="77">
        <f t="shared" si="675"/>
        <v>0</v>
      </c>
      <c r="H600" s="78">
        <f t="shared" si="676"/>
        <v>0</v>
      </c>
      <c r="I600" s="77">
        <f t="shared" si="677"/>
        <v>0</v>
      </c>
      <c r="J600" s="78">
        <f t="shared" si="678"/>
        <v>0</v>
      </c>
      <c r="K600" s="78" t="str">
        <f t="shared" si="679"/>
        <v>1900-01-00 00:0:00</v>
      </c>
      <c r="L600" s="78" t="str">
        <f t="shared" si="680"/>
        <v>1900-01-00 00:0:00</v>
      </c>
      <c r="M600" s="79">
        <f t="shared" si="681"/>
        <v>0</v>
      </c>
      <c r="N600">
        <f t="shared" si="682"/>
        <v>1</v>
      </c>
      <c r="O600" t="str">
        <f>IFERROR(_xlfn.XLOOKUP(A600,HC!A:A,HC!C:C),"")</f>
        <v>Workforce</v>
      </c>
      <c r="R600" s="78" t="b">
        <f t="shared" ref="R600:AO600" si="703">IFERROR(IF($B600=$D$1,IF(AND($K600&lt;R$1,$L600&lt;R$1),"",IF(AND($K600&gt;S$1,$L600&gt;S$1),"",IF(AND($K600&lt;R$1,$L600&lt;=S$1),$L600-R$1,IF(AND($K600&gt;=R$1,$L600&gt;S$1),S$1-$K600,IF(AND($K600&gt;=R$1,$L600&lt;=S$1),$L600-$K600,IF(AND($K600&lt;R$1,$L600&gt;S$1),S$1-R$1,""))))))),"")</f>
        <v>0</v>
      </c>
      <c r="S600" s="78" t="b">
        <f t="shared" si="703"/>
        <v>0</v>
      </c>
      <c r="T600" s="78" t="b">
        <f t="shared" si="703"/>
        <v>0</v>
      </c>
      <c r="U600" s="78" t="b">
        <f t="shared" si="703"/>
        <v>0</v>
      </c>
      <c r="V600" s="78" t="b">
        <f t="shared" si="703"/>
        <v>0</v>
      </c>
      <c r="W600" s="78" t="b">
        <f t="shared" si="703"/>
        <v>0</v>
      </c>
      <c r="X600" s="78" t="b">
        <f t="shared" si="703"/>
        <v>0</v>
      </c>
      <c r="Y600" s="78" t="b">
        <f t="shared" si="703"/>
        <v>0</v>
      </c>
      <c r="Z600" s="78" t="b">
        <f t="shared" si="703"/>
        <v>0</v>
      </c>
      <c r="AA600" s="78" t="b">
        <f t="shared" si="703"/>
        <v>0</v>
      </c>
      <c r="AB600" s="78" t="b">
        <f t="shared" si="703"/>
        <v>0</v>
      </c>
      <c r="AC600" s="78" t="b">
        <f t="shared" si="703"/>
        <v>0</v>
      </c>
      <c r="AD600" s="78" t="b">
        <f t="shared" si="703"/>
        <v>0</v>
      </c>
      <c r="AE600" s="78" t="b">
        <f t="shared" si="703"/>
        <v>0</v>
      </c>
      <c r="AF600" s="78" t="b">
        <f t="shared" si="703"/>
        <v>0</v>
      </c>
      <c r="AG600" s="78" t="b">
        <f t="shared" si="703"/>
        <v>0</v>
      </c>
      <c r="AH600" s="78" t="b">
        <f t="shared" si="703"/>
        <v>0</v>
      </c>
      <c r="AI600" s="78" t="b">
        <f t="shared" si="703"/>
        <v>0</v>
      </c>
      <c r="AJ600" s="78" t="b">
        <f t="shared" si="703"/>
        <v>0</v>
      </c>
      <c r="AK600" s="78" t="b">
        <f t="shared" si="703"/>
        <v>0</v>
      </c>
      <c r="AL600" s="78" t="b">
        <f t="shared" si="703"/>
        <v>0</v>
      </c>
      <c r="AM600" s="78" t="b">
        <f t="shared" si="703"/>
        <v>0</v>
      </c>
      <c r="AN600" s="78" t="b">
        <f t="shared" si="703"/>
        <v>0</v>
      </c>
      <c r="AO600" s="78" t="b">
        <f t="shared" si="703"/>
        <v>0</v>
      </c>
      <c r="AP600" s="78"/>
    </row>
    <row r="601" spans="4:42" x14ac:dyDescent="0.35">
      <c r="D601" s="96"/>
      <c r="E601" s="96"/>
      <c r="G601" s="77">
        <f t="shared" si="675"/>
        <v>0</v>
      </c>
      <c r="H601" s="78">
        <f t="shared" si="676"/>
        <v>0</v>
      </c>
      <c r="I601" s="77">
        <f t="shared" si="677"/>
        <v>0</v>
      </c>
      <c r="J601" s="78">
        <f t="shared" si="678"/>
        <v>0</v>
      </c>
      <c r="K601" s="78" t="str">
        <f t="shared" si="679"/>
        <v>1900-01-00 00:0:00</v>
      </c>
      <c r="L601" s="78" t="str">
        <f t="shared" si="680"/>
        <v>1900-01-00 00:0:00</v>
      </c>
      <c r="M601" s="79">
        <f t="shared" si="681"/>
        <v>0</v>
      </c>
      <c r="N601">
        <f t="shared" si="682"/>
        <v>1</v>
      </c>
      <c r="O601" t="str">
        <f>IFERROR(_xlfn.XLOOKUP(A601,HC!A:A,HC!C:C),"")</f>
        <v>Workforce</v>
      </c>
      <c r="R601" s="78" t="b">
        <f t="shared" ref="R601:AO601" si="704">IFERROR(IF($B601=$D$1,IF(AND($K601&lt;R$1,$L601&lt;R$1),"",IF(AND($K601&gt;S$1,$L601&gt;S$1),"",IF(AND($K601&lt;R$1,$L601&lt;=S$1),$L601-R$1,IF(AND($K601&gt;=R$1,$L601&gt;S$1),S$1-$K601,IF(AND($K601&gt;=R$1,$L601&lt;=S$1),$L601-$K601,IF(AND($K601&lt;R$1,$L601&gt;S$1),S$1-R$1,""))))))),"")</f>
        <v>0</v>
      </c>
      <c r="S601" s="78" t="b">
        <f t="shared" si="704"/>
        <v>0</v>
      </c>
      <c r="T601" s="78" t="b">
        <f t="shared" si="704"/>
        <v>0</v>
      </c>
      <c r="U601" s="78" t="b">
        <f t="shared" si="704"/>
        <v>0</v>
      </c>
      <c r="V601" s="78" t="b">
        <f t="shared" si="704"/>
        <v>0</v>
      </c>
      <c r="W601" s="78" t="b">
        <f t="shared" si="704"/>
        <v>0</v>
      </c>
      <c r="X601" s="78" t="b">
        <f t="shared" si="704"/>
        <v>0</v>
      </c>
      <c r="Y601" s="78" t="b">
        <f t="shared" si="704"/>
        <v>0</v>
      </c>
      <c r="Z601" s="78" t="b">
        <f t="shared" si="704"/>
        <v>0</v>
      </c>
      <c r="AA601" s="78" t="b">
        <f t="shared" si="704"/>
        <v>0</v>
      </c>
      <c r="AB601" s="78" t="b">
        <f t="shared" si="704"/>
        <v>0</v>
      </c>
      <c r="AC601" s="78" t="b">
        <f t="shared" si="704"/>
        <v>0</v>
      </c>
      <c r="AD601" s="78" t="b">
        <f t="shared" si="704"/>
        <v>0</v>
      </c>
      <c r="AE601" s="78" t="b">
        <f t="shared" si="704"/>
        <v>0</v>
      </c>
      <c r="AF601" s="78" t="b">
        <f t="shared" si="704"/>
        <v>0</v>
      </c>
      <c r="AG601" s="78" t="b">
        <f t="shared" si="704"/>
        <v>0</v>
      </c>
      <c r="AH601" s="78" t="b">
        <f t="shared" si="704"/>
        <v>0</v>
      </c>
      <c r="AI601" s="78" t="b">
        <f t="shared" si="704"/>
        <v>0</v>
      </c>
      <c r="AJ601" s="78" t="b">
        <f t="shared" si="704"/>
        <v>0</v>
      </c>
      <c r="AK601" s="78" t="b">
        <f t="shared" si="704"/>
        <v>0</v>
      </c>
      <c r="AL601" s="78" t="b">
        <f t="shared" si="704"/>
        <v>0</v>
      </c>
      <c r="AM601" s="78" t="b">
        <f t="shared" si="704"/>
        <v>0</v>
      </c>
      <c r="AN601" s="78" t="b">
        <f t="shared" si="704"/>
        <v>0</v>
      </c>
      <c r="AO601" s="78" t="b">
        <f t="shared" si="704"/>
        <v>0</v>
      </c>
      <c r="AP601" s="78"/>
    </row>
    <row r="602" spans="4:42" x14ac:dyDescent="0.35">
      <c r="D602" s="96"/>
      <c r="E602" s="96"/>
      <c r="G602" s="77">
        <f t="shared" si="675"/>
        <v>0</v>
      </c>
      <c r="H602" s="78">
        <f t="shared" si="676"/>
        <v>0</v>
      </c>
      <c r="I602" s="77">
        <f t="shared" si="677"/>
        <v>0</v>
      </c>
      <c r="J602" s="78">
        <f t="shared" si="678"/>
        <v>0</v>
      </c>
      <c r="K602" s="78" t="str">
        <f t="shared" si="679"/>
        <v>1900-01-00 00:0:00</v>
      </c>
      <c r="L602" s="78" t="str">
        <f t="shared" si="680"/>
        <v>1900-01-00 00:0:00</v>
      </c>
      <c r="M602" s="79">
        <f t="shared" si="681"/>
        <v>0</v>
      </c>
      <c r="N602">
        <f t="shared" si="682"/>
        <v>1</v>
      </c>
      <c r="O602" t="str">
        <f>IFERROR(_xlfn.XLOOKUP(A602,HC!A:A,HC!C:C),"")</f>
        <v>Workforce</v>
      </c>
      <c r="R602" s="78" t="b">
        <f t="shared" ref="R602:AO602" si="705">IFERROR(IF($B602=$D$1,IF(AND($K602&lt;R$1,$L602&lt;R$1),"",IF(AND($K602&gt;S$1,$L602&gt;S$1),"",IF(AND($K602&lt;R$1,$L602&lt;=S$1),$L602-R$1,IF(AND($K602&gt;=R$1,$L602&gt;S$1),S$1-$K602,IF(AND($K602&gt;=R$1,$L602&lt;=S$1),$L602-$K602,IF(AND($K602&lt;R$1,$L602&gt;S$1),S$1-R$1,""))))))),"")</f>
        <v>0</v>
      </c>
      <c r="S602" s="78" t="b">
        <f t="shared" si="705"/>
        <v>0</v>
      </c>
      <c r="T602" s="78" t="b">
        <f t="shared" si="705"/>
        <v>0</v>
      </c>
      <c r="U602" s="78" t="b">
        <f t="shared" si="705"/>
        <v>0</v>
      </c>
      <c r="V602" s="78" t="b">
        <f t="shared" si="705"/>
        <v>0</v>
      </c>
      <c r="W602" s="78" t="b">
        <f t="shared" si="705"/>
        <v>0</v>
      </c>
      <c r="X602" s="78" t="b">
        <f t="shared" si="705"/>
        <v>0</v>
      </c>
      <c r="Y602" s="78" t="b">
        <f t="shared" si="705"/>
        <v>0</v>
      </c>
      <c r="Z602" s="78" t="b">
        <f t="shared" si="705"/>
        <v>0</v>
      </c>
      <c r="AA602" s="78" t="b">
        <f t="shared" si="705"/>
        <v>0</v>
      </c>
      <c r="AB602" s="78" t="b">
        <f t="shared" si="705"/>
        <v>0</v>
      </c>
      <c r="AC602" s="78" t="b">
        <f t="shared" si="705"/>
        <v>0</v>
      </c>
      <c r="AD602" s="78" t="b">
        <f t="shared" si="705"/>
        <v>0</v>
      </c>
      <c r="AE602" s="78" t="b">
        <f t="shared" si="705"/>
        <v>0</v>
      </c>
      <c r="AF602" s="78" t="b">
        <f t="shared" si="705"/>
        <v>0</v>
      </c>
      <c r="AG602" s="78" t="b">
        <f t="shared" si="705"/>
        <v>0</v>
      </c>
      <c r="AH602" s="78" t="b">
        <f t="shared" si="705"/>
        <v>0</v>
      </c>
      <c r="AI602" s="78" t="b">
        <f t="shared" si="705"/>
        <v>0</v>
      </c>
      <c r="AJ602" s="78" t="b">
        <f t="shared" si="705"/>
        <v>0</v>
      </c>
      <c r="AK602" s="78" t="b">
        <f t="shared" si="705"/>
        <v>0</v>
      </c>
      <c r="AL602" s="78" t="b">
        <f t="shared" si="705"/>
        <v>0</v>
      </c>
      <c r="AM602" s="78" t="b">
        <f t="shared" si="705"/>
        <v>0</v>
      </c>
      <c r="AN602" s="78" t="b">
        <f t="shared" si="705"/>
        <v>0</v>
      </c>
      <c r="AO602" s="78" t="b">
        <f t="shared" si="705"/>
        <v>0</v>
      </c>
      <c r="AP602" s="78"/>
    </row>
    <row r="603" spans="4:42" x14ac:dyDescent="0.35">
      <c r="D603" s="96"/>
      <c r="E603" s="96"/>
      <c r="G603" s="77">
        <f t="shared" si="675"/>
        <v>0</v>
      </c>
      <c r="H603" s="78">
        <f t="shared" si="676"/>
        <v>0</v>
      </c>
      <c r="I603" s="77">
        <f t="shared" si="677"/>
        <v>0</v>
      </c>
      <c r="J603" s="78">
        <f t="shared" si="678"/>
        <v>0</v>
      </c>
      <c r="K603" s="78" t="str">
        <f t="shared" si="679"/>
        <v>1900-01-00 00:0:00</v>
      </c>
      <c r="L603" s="78" t="str">
        <f t="shared" si="680"/>
        <v>1900-01-00 00:0:00</v>
      </c>
      <c r="M603" s="79">
        <f t="shared" si="681"/>
        <v>0</v>
      </c>
      <c r="N603">
        <f t="shared" si="682"/>
        <v>1</v>
      </c>
      <c r="O603" t="str">
        <f>IFERROR(_xlfn.XLOOKUP(A603,HC!A:A,HC!C:C),"")</f>
        <v>Workforce</v>
      </c>
      <c r="R603" s="78" t="b">
        <f t="shared" ref="R603:AO603" si="706">IFERROR(IF($B603=$D$1,IF(AND($K603&lt;R$1,$L603&lt;R$1),"",IF(AND($K603&gt;S$1,$L603&gt;S$1),"",IF(AND($K603&lt;R$1,$L603&lt;=S$1),$L603-R$1,IF(AND($K603&gt;=R$1,$L603&gt;S$1),S$1-$K603,IF(AND($K603&gt;=R$1,$L603&lt;=S$1),$L603-$K603,IF(AND($K603&lt;R$1,$L603&gt;S$1),S$1-R$1,""))))))),"")</f>
        <v>0</v>
      </c>
      <c r="S603" s="78" t="b">
        <f t="shared" si="706"/>
        <v>0</v>
      </c>
      <c r="T603" s="78" t="b">
        <f t="shared" si="706"/>
        <v>0</v>
      </c>
      <c r="U603" s="78" t="b">
        <f t="shared" si="706"/>
        <v>0</v>
      </c>
      <c r="V603" s="78" t="b">
        <f t="shared" si="706"/>
        <v>0</v>
      </c>
      <c r="W603" s="78" t="b">
        <f t="shared" si="706"/>
        <v>0</v>
      </c>
      <c r="X603" s="78" t="b">
        <f t="shared" si="706"/>
        <v>0</v>
      </c>
      <c r="Y603" s="78" t="b">
        <f t="shared" si="706"/>
        <v>0</v>
      </c>
      <c r="Z603" s="78" t="b">
        <f t="shared" si="706"/>
        <v>0</v>
      </c>
      <c r="AA603" s="78" t="b">
        <f t="shared" si="706"/>
        <v>0</v>
      </c>
      <c r="AB603" s="78" t="b">
        <f t="shared" si="706"/>
        <v>0</v>
      </c>
      <c r="AC603" s="78" t="b">
        <f t="shared" si="706"/>
        <v>0</v>
      </c>
      <c r="AD603" s="78" t="b">
        <f t="shared" si="706"/>
        <v>0</v>
      </c>
      <c r="AE603" s="78" t="b">
        <f t="shared" si="706"/>
        <v>0</v>
      </c>
      <c r="AF603" s="78" t="b">
        <f t="shared" si="706"/>
        <v>0</v>
      </c>
      <c r="AG603" s="78" t="b">
        <f t="shared" si="706"/>
        <v>0</v>
      </c>
      <c r="AH603" s="78" t="b">
        <f t="shared" si="706"/>
        <v>0</v>
      </c>
      <c r="AI603" s="78" t="b">
        <f t="shared" si="706"/>
        <v>0</v>
      </c>
      <c r="AJ603" s="78" t="b">
        <f t="shared" si="706"/>
        <v>0</v>
      </c>
      <c r="AK603" s="78" t="b">
        <f t="shared" si="706"/>
        <v>0</v>
      </c>
      <c r="AL603" s="78" t="b">
        <f t="shared" si="706"/>
        <v>0</v>
      </c>
      <c r="AM603" s="78" t="b">
        <f t="shared" si="706"/>
        <v>0</v>
      </c>
      <c r="AN603" s="78" t="b">
        <f t="shared" si="706"/>
        <v>0</v>
      </c>
      <c r="AO603" s="78" t="b">
        <f t="shared" si="706"/>
        <v>0</v>
      </c>
      <c r="AP603" s="78"/>
    </row>
    <row r="604" spans="4:42" x14ac:dyDescent="0.35">
      <c r="D604" s="96"/>
      <c r="E604" s="96"/>
      <c r="G604" s="77">
        <f t="shared" si="675"/>
        <v>0</v>
      </c>
      <c r="H604" s="78">
        <f t="shared" si="676"/>
        <v>0</v>
      </c>
      <c r="I604" s="77">
        <f t="shared" si="677"/>
        <v>0</v>
      </c>
      <c r="J604" s="78">
        <f t="shared" si="678"/>
        <v>0</v>
      </c>
      <c r="K604" s="78" t="str">
        <f t="shared" si="679"/>
        <v>1900-01-00 00:0:00</v>
      </c>
      <c r="L604" s="78" t="str">
        <f t="shared" si="680"/>
        <v>1900-01-00 00:0:00</v>
      </c>
      <c r="M604" s="79">
        <f t="shared" si="681"/>
        <v>0</v>
      </c>
      <c r="N604">
        <f t="shared" si="682"/>
        <v>1</v>
      </c>
      <c r="O604" t="str">
        <f>IFERROR(_xlfn.XLOOKUP(A604,HC!A:A,HC!C:C),"")</f>
        <v>Workforce</v>
      </c>
      <c r="R604" s="78" t="b">
        <f t="shared" ref="R604:AO604" si="707">IFERROR(IF($B604=$D$1,IF(AND($K604&lt;R$1,$L604&lt;R$1),"",IF(AND($K604&gt;S$1,$L604&gt;S$1),"",IF(AND($K604&lt;R$1,$L604&lt;=S$1),$L604-R$1,IF(AND($K604&gt;=R$1,$L604&gt;S$1),S$1-$K604,IF(AND($K604&gt;=R$1,$L604&lt;=S$1),$L604-$K604,IF(AND($K604&lt;R$1,$L604&gt;S$1),S$1-R$1,""))))))),"")</f>
        <v>0</v>
      </c>
      <c r="S604" s="78" t="b">
        <f t="shared" si="707"/>
        <v>0</v>
      </c>
      <c r="T604" s="78" t="b">
        <f t="shared" si="707"/>
        <v>0</v>
      </c>
      <c r="U604" s="78" t="b">
        <f t="shared" si="707"/>
        <v>0</v>
      </c>
      <c r="V604" s="78" t="b">
        <f t="shared" si="707"/>
        <v>0</v>
      </c>
      <c r="W604" s="78" t="b">
        <f t="shared" si="707"/>
        <v>0</v>
      </c>
      <c r="X604" s="78" t="b">
        <f t="shared" si="707"/>
        <v>0</v>
      </c>
      <c r="Y604" s="78" t="b">
        <f t="shared" si="707"/>
        <v>0</v>
      </c>
      <c r="Z604" s="78" t="b">
        <f t="shared" si="707"/>
        <v>0</v>
      </c>
      <c r="AA604" s="78" t="b">
        <f t="shared" si="707"/>
        <v>0</v>
      </c>
      <c r="AB604" s="78" t="b">
        <f t="shared" si="707"/>
        <v>0</v>
      </c>
      <c r="AC604" s="78" t="b">
        <f t="shared" si="707"/>
        <v>0</v>
      </c>
      <c r="AD604" s="78" t="b">
        <f t="shared" si="707"/>
        <v>0</v>
      </c>
      <c r="AE604" s="78" t="b">
        <f t="shared" si="707"/>
        <v>0</v>
      </c>
      <c r="AF604" s="78" t="b">
        <f t="shared" si="707"/>
        <v>0</v>
      </c>
      <c r="AG604" s="78" t="b">
        <f t="shared" si="707"/>
        <v>0</v>
      </c>
      <c r="AH604" s="78" t="b">
        <f t="shared" si="707"/>
        <v>0</v>
      </c>
      <c r="AI604" s="78" t="b">
        <f t="shared" si="707"/>
        <v>0</v>
      </c>
      <c r="AJ604" s="78" t="b">
        <f t="shared" si="707"/>
        <v>0</v>
      </c>
      <c r="AK604" s="78" t="b">
        <f t="shared" si="707"/>
        <v>0</v>
      </c>
      <c r="AL604" s="78" t="b">
        <f t="shared" si="707"/>
        <v>0</v>
      </c>
      <c r="AM604" s="78" t="b">
        <f t="shared" si="707"/>
        <v>0</v>
      </c>
      <c r="AN604" s="78" t="b">
        <f t="shared" si="707"/>
        <v>0</v>
      </c>
      <c r="AO604" s="78" t="b">
        <f t="shared" si="707"/>
        <v>0</v>
      </c>
      <c r="AP604" s="78"/>
    </row>
    <row r="605" spans="4:42" x14ac:dyDescent="0.35">
      <c r="D605" s="96"/>
      <c r="E605" s="96"/>
      <c r="G605" s="77">
        <f t="shared" si="675"/>
        <v>0</v>
      </c>
      <c r="H605" s="78">
        <f t="shared" si="676"/>
        <v>0</v>
      </c>
      <c r="I605" s="77">
        <f t="shared" si="677"/>
        <v>0</v>
      </c>
      <c r="J605" s="78">
        <f t="shared" si="678"/>
        <v>0</v>
      </c>
      <c r="K605" s="78" t="str">
        <f t="shared" si="679"/>
        <v>1900-01-00 00:0:00</v>
      </c>
      <c r="L605" s="78" t="str">
        <f t="shared" si="680"/>
        <v>1900-01-00 00:0:00</v>
      </c>
      <c r="M605" s="79">
        <f t="shared" si="681"/>
        <v>0</v>
      </c>
      <c r="N605">
        <f t="shared" si="682"/>
        <v>1</v>
      </c>
      <c r="O605" t="str">
        <f>IFERROR(_xlfn.XLOOKUP(A605,HC!A:A,HC!C:C),"")</f>
        <v>Workforce</v>
      </c>
      <c r="R605" s="78" t="b">
        <f t="shared" ref="R605:AO605" si="708">IFERROR(IF($B605=$D$1,IF(AND($K605&lt;R$1,$L605&lt;R$1),"",IF(AND($K605&gt;S$1,$L605&gt;S$1),"",IF(AND($K605&lt;R$1,$L605&lt;=S$1),$L605-R$1,IF(AND($K605&gt;=R$1,$L605&gt;S$1),S$1-$K605,IF(AND($K605&gt;=R$1,$L605&lt;=S$1),$L605-$K605,IF(AND($K605&lt;R$1,$L605&gt;S$1),S$1-R$1,""))))))),"")</f>
        <v>0</v>
      </c>
      <c r="S605" s="78" t="b">
        <f t="shared" si="708"/>
        <v>0</v>
      </c>
      <c r="T605" s="78" t="b">
        <f t="shared" si="708"/>
        <v>0</v>
      </c>
      <c r="U605" s="78" t="b">
        <f t="shared" si="708"/>
        <v>0</v>
      </c>
      <c r="V605" s="78" t="b">
        <f t="shared" si="708"/>
        <v>0</v>
      </c>
      <c r="W605" s="78" t="b">
        <f t="shared" si="708"/>
        <v>0</v>
      </c>
      <c r="X605" s="78" t="b">
        <f t="shared" si="708"/>
        <v>0</v>
      </c>
      <c r="Y605" s="78" t="b">
        <f t="shared" si="708"/>
        <v>0</v>
      </c>
      <c r="Z605" s="78" t="b">
        <f t="shared" si="708"/>
        <v>0</v>
      </c>
      <c r="AA605" s="78" t="b">
        <f t="shared" si="708"/>
        <v>0</v>
      </c>
      <c r="AB605" s="78" t="b">
        <f t="shared" si="708"/>
        <v>0</v>
      </c>
      <c r="AC605" s="78" t="b">
        <f t="shared" si="708"/>
        <v>0</v>
      </c>
      <c r="AD605" s="78" t="b">
        <f t="shared" si="708"/>
        <v>0</v>
      </c>
      <c r="AE605" s="78" t="b">
        <f t="shared" si="708"/>
        <v>0</v>
      </c>
      <c r="AF605" s="78" t="b">
        <f t="shared" si="708"/>
        <v>0</v>
      </c>
      <c r="AG605" s="78" t="b">
        <f t="shared" si="708"/>
        <v>0</v>
      </c>
      <c r="AH605" s="78" t="b">
        <f t="shared" si="708"/>
        <v>0</v>
      </c>
      <c r="AI605" s="78" t="b">
        <f t="shared" si="708"/>
        <v>0</v>
      </c>
      <c r="AJ605" s="78" t="b">
        <f t="shared" si="708"/>
        <v>0</v>
      </c>
      <c r="AK605" s="78" t="b">
        <f t="shared" si="708"/>
        <v>0</v>
      </c>
      <c r="AL605" s="78" t="b">
        <f t="shared" si="708"/>
        <v>0</v>
      </c>
      <c r="AM605" s="78" t="b">
        <f t="shared" si="708"/>
        <v>0</v>
      </c>
      <c r="AN605" s="78" t="b">
        <f t="shared" si="708"/>
        <v>0</v>
      </c>
      <c r="AO605" s="78" t="b">
        <f t="shared" si="708"/>
        <v>0</v>
      </c>
      <c r="AP605" s="78"/>
    </row>
    <row r="606" spans="4:42" x14ac:dyDescent="0.35">
      <c r="D606" s="96"/>
      <c r="E606" s="96"/>
      <c r="G606" s="77">
        <f t="shared" si="675"/>
        <v>0</v>
      </c>
      <c r="H606" s="78">
        <f t="shared" si="676"/>
        <v>0</v>
      </c>
      <c r="I606" s="77">
        <f t="shared" si="677"/>
        <v>0</v>
      </c>
      <c r="J606" s="78">
        <f t="shared" si="678"/>
        <v>0</v>
      </c>
      <c r="K606" s="78" t="str">
        <f t="shared" si="679"/>
        <v>1900-01-00 00:0:00</v>
      </c>
      <c r="L606" s="78" t="str">
        <f t="shared" si="680"/>
        <v>1900-01-00 00:0:00</v>
      </c>
      <c r="M606" s="79">
        <f t="shared" si="681"/>
        <v>0</v>
      </c>
      <c r="N606">
        <f t="shared" si="682"/>
        <v>1</v>
      </c>
      <c r="O606" t="str">
        <f>IFERROR(_xlfn.XLOOKUP(A606,HC!A:A,HC!C:C),"")</f>
        <v>Workforce</v>
      </c>
      <c r="R606" s="78" t="b">
        <f t="shared" ref="R606:AO606" si="709">IFERROR(IF($B606=$D$1,IF(AND($K606&lt;R$1,$L606&lt;R$1),"",IF(AND($K606&gt;S$1,$L606&gt;S$1),"",IF(AND($K606&lt;R$1,$L606&lt;=S$1),$L606-R$1,IF(AND($K606&gt;=R$1,$L606&gt;S$1),S$1-$K606,IF(AND($K606&gt;=R$1,$L606&lt;=S$1),$L606-$K606,IF(AND($K606&lt;R$1,$L606&gt;S$1),S$1-R$1,""))))))),"")</f>
        <v>0</v>
      </c>
      <c r="S606" s="78" t="b">
        <f t="shared" si="709"/>
        <v>0</v>
      </c>
      <c r="T606" s="78" t="b">
        <f t="shared" si="709"/>
        <v>0</v>
      </c>
      <c r="U606" s="78" t="b">
        <f t="shared" si="709"/>
        <v>0</v>
      </c>
      <c r="V606" s="78" t="b">
        <f t="shared" si="709"/>
        <v>0</v>
      </c>
      <c r="W606" s="78" t="b">
        <f t="shared" si="709"/>
        <v>0</v>
      </c>
      <c r="X606" s="78" t="b">
        <f t="shared" si="709"/>
        <v>0</v>
      </c>
      <c r="Y606" s="78" t="b">
        <f t="shared" si="709"/>
        <v>0</v>
      </c>
      <c r="Z606" s="78" t="b">
        <f t="shared" si="709"/>
        <v>0</v>
      </c>
      <c r="AA606" s="78" t="b">
        <f t="shared" si="709"/>
        <v>0</v>
      </c>
      <c r="AB606" s="78" t="b">
        <f t="shared" si="709"/>
        <v>0</v>
      </c>
      <c r="AC606" s="78" t="b">
        <f t="shared" si="709"/>
        <v>0</v>
      </c>
      <c r="AD606" s="78" t="b">
        <f t="shared" si="709"/>
        <v>0</v>
      </c>
      <c r="AE606" s="78" t="b">
        <f t="shared" si="709"/>
        <v>0</v>
      </c>
      <c r="AF606" s="78" t="b">
        <f t="shared" si="709"/>
        <v>0</v>
      </c>
      <c r="AG606" s="78" t="b">
        <f t="shared" si="709"/>
        <v>0</v>
      </c>
      <c r="AH606" s="78" t="b">
        <f t="shared" si="709"/>
        <v>0</v>
      </c>
      <c r="AI606" s="78" t="b">
        <f t="shared" si="709"/>
        <v>0</v>
      </c>
      <c r="AJ606" s="78" t="b">
        <f t="shared" si="709"/>
        <v>0</v>
      </c>
      <c r="AK606" s="78" t="b">
        <f t="shared" si="709"/>
        <v>0</v>
      </c>
      <c r="AL606" s="78" t="b">
        <f t="shared" si="709"/>
        <v>0</v>
      </c>
      <c r="AM606" s="78" t="b">
        <f t="shared" si="709"/>
        <v>0</v>
      </c>
      <c r="AN606" s="78" t="b">
        <f t="shared" si="709"/>
        <v>0</v>
      </c>
      <c r="AO606" s="78" t="b">
        <f t="shared" si="709"/>
        <v>0</v>
      </c>
      <c r="AP606" s="78"/>
    </row>
    <row r="607" spans="4:42" x14ac:dyDescent="0.35">
      <c r="D607" s="96"/>
      <c r="E607" s="96"/>
      <c r="G607" s="77">
        <f t="shared" si="675"/>
        <v>0</v>
      </c>
      <c r="H607" s="78">
        <f t="shared" si="676"/>
        <v>0</v>
      </c>
      <c r="I607" s="77">
        <f t="shared" si="677"/>
        <v>0</v>
      </c>
      <c r="J607" s="78">
        <f t="shared" si="678"/>
        <v>0</v>
      </c>
      <c r="K607" s="78" t="str">
        <f t="shared" si="679"/>
        <v>1900-01-00 00:0:00</v>
      </c>
      <c r="L607" s="78" t="str">
        <f t="shared" si="680"/>
        <v>1900-01-00 00:0:00</v>
      </c>
      <c r="M607" s="79">
        <f t="shared" si="681"/>
        <v>0</v>
      </c>
      <c r="N607">
        <f t="shared" si="682"/>
        <v>1</v>
      </c>
      <c r="O607" t="str">
        <f>IFERROR(_xlfn.XLOOKUP(A607,HC!A:A,HC!C:C),"")</f>
        <v>Workforce</v>
      </c>
      <c r="R607" s="78" t="b">
        <f t="shared" ref="R607:AO607" si="710">IFERROR(IF($B607=$D$1,IF(AND($K607&lt;R$1,$L607&lt;R$1),"",IF(AND($K607&gt;S$1,$L607&gt;S$1),"",IF(AND($K607&lt;R$1,$L607&lt;=S$1),$L607-R$1,IF(AND($K607&gt;=R$1,$L607&gt;S$1),S$1-$K607,IF(AND($K607&gt;=R$1,$L607&lt;=S$1),$L607-$K607,IF(AND($K607&lt;R$1,$L607&gt;S$1),S$1-R$1,""))))))),"")</f>
        <v>0</v>
      </c>
      <c r="S607" s="78" t="b">
        <f t="shared" si="710"/>
        <v>0</v>
      </c>
      <c r="T607" s="78" t="b">
        <f t="shared" si="710"/>
        <v>0</v>
      </c>
      <c r="U607" s="78" t="b">
        <f t="shared" si="710"/>
        <v>0</v>
      </c>
      <c r="V607" s="78" t="b">
        <f t="shared" si="710"/>
        <v>0</v>
      </c>
      <c r="W607" s="78" t="b">
        <f t="shared" si="710"/>
        <v>0</v>
      </c>
      <c r="X607" s="78" t="b">
        <f t="shared" si="710"/>
        <v>0</v>
      </c>
      <c r="Y607" s="78" t="b">
        <f t="shared" si="710"/>
        <v>0</v>
      </c>
      <c r="Z607" s="78" t="b">
        <f t="shared" si="710"/>
        <v>0</v>
      </c>
      <c r="AA607" s="78" t="b">
        <f t="shared" si="710"/>
        <v>0</v>
      </c>
      <c r="AB607" s="78" t="b">
        <f t="shared" si="710"/>
        <v>0</v>
      </c>
      <c r="AC607" s="78" t="b">
        <f t="shared" si="710"/>
        <v>0</v>
      </c>
      <c r="AD607" s="78" t="b">
        <f t="shared" si="710"/>
        <v>0</v>
      </c>
      <c r="AE607" s="78" t="b">
        <f t="shared" si="710"/>
        <v>0</v>
      </c>
      <c r="AF607" s="78" t="b">
        <f t="shared" si="710"/>
        <v>0</v>
      </c>
      <c r="AG607" s="78" t="b">
        <f t="shared" si="710"/>
        <v>0</v>
      </c>
      <c r="AH607" s="78" t="b">
        <f t="shared" si="710"/>
        <v>0</v>
      </c>
      <c r="AI607" s="78" t="b">
        <f t="shared" si="710"/>
        <v>0</v>
      </c>
      <c r="AJ607" s="78" t="b">
        <f t="shared" si="710"/>
        <v>0</v>
      </c>
      <c r="AK607" s="78" t="b">
        <f t="shared" si="710"/>
        <v>0</v>
      </c>
      <c r="AL607" s="78" t="b">
        <f t="shared" si="710"/>
        <v>0</v>
      </c>
      <c r="AM607" s="78" t="b">
        <f t="shared" si="710"/>
        <v>0</v>
      </c>
      <c r="AN607" s="78" t="b">
        <f t="shared" si="710"/>
        <v>0</v>
      </c>
      <c r="AO607" s="78" t="b">
        <f t="shared" si="710"/>
        <v>0</v>
      </c>
      <c r="AP607" s="78"/>
    </row>
    <row r="608" spans="4:42" x14ac:dyDescent="0.35">
      <c r="D608" s="96"/>
      <c r="E608" s="96"/>
      <c r="G608" s="77">
        <f t="shared" si="675"/>
        <v>0</v>
      </c>
      <c r="H608" s="78">
        <f t="shared" si="676"/>
        <v>0</v>
      </c>
      <c r="I608" s="77">
        <f t="shared" si="677"/>
        <v>0</v>
      </c>
      <c r="J608" s="78">
        <f t="shared" si="678"/>
        <v>0</v>
      </c>
      <c r="K608" s="78" t="str">
        <f t="shared" si="679"/>
        <v>1900-01-00 00:0:00</v>
      </c>
      <c r="L608" s="78" t="str">
        <f t="shared" si="680"/>
        <v>1900-01-00 00:0:00</v>
      </c>
      <c r="M608" s="79">
        <f t="shared" si="681"/>
        <v>0</v>
      </c>
      <c r="N608">
        <f t="shared" si="682"/>
        <v>1</v>
      </c>
      <c r="O608" t="str">
        <f>IFERROR(_xlfn.XLOOKUP(A608,HC!A:A,HC!C:C),"")</f>
        <v>Workforce</v>
      </c>
      <c r="R608" s="78" t="b">
        <f t="shared" ref="R608:AO608" si="711">IFERROR(IF($B608=$D$1,IF(AND($K608&lt;R$1,$L608&lt;R$1),"",IF(AND($K608&gt;S$1,$L608&gt;S$1),"",IF(AND($K608&lt;R$1,$L608&lt;=S$1),$L608-R$1,IF(AND($K608&gt;=R$1,$L608&gt;S$1),S$1-$K608,IF(AND($K608&gt;=R$1,$L608&lt;=S$1),$L608-$K608,IF(AND($K608&lt;R$1,$L608&gt;S$1),S$1-R$1,""))))))),"")</f>
        <v>0</v>
      </c>
      <c r="S608" s="78" t="b">
        <f t="shared" si="711"/>
        <v>0</v>
      </c>
      <c r="T608" s="78" t="b">
        <f t="shared" si="711"/>
        <v>0</v>
      </c>
      <c r="U608" s="78" t="b">
        <f t="shared" si="711"/>
        <v>0</v>
      </c>
      <c r="V608" s="78" t="b">
        <f t="shared" si="711"/>
        <v>0</v>
      </c>
      <c r="W608" s="78" t="b">
        <f t="shared" si="711"/>
        <v>0</v>
      </c>
      <c r="X608" s="78" t="b">
        <f t="shared" si="711"/>
        <v>0</v>
      </c>
      <c r="Y608" s="78" t="b">
        <f t="shared" si="711"/>
        <v>0</v>
      </c>
      <c r="Z608" s="78" t="b">
        <f t="shared" si="711"/>
        <v>0</v>
      </c>
      <c r="AA608" s="78" t="b">
        <f t="shared" si="711"/>
        <v>0</v>
      </c>
      <c r="AB608" s="78" t="b">
        <f t="shared" si="711"/>
        <v>0</v>
      </c>
      <c r="AC608" s="78" t="b">
        <f t="shared" si="711"/>
        <v>0</v>
      </c>
      <c r="AD608" s="78" t="b">
        <f t="shared" si="711"/>
        <v>0</v>
      </c>
      <c r="AE608" s="78" t="b">
        <f t="shared" si="711"/>
        <v>0</v>
      </c>
      <c r="AF608" s="78" t="b">
        <f t="shared" si="711"/>
        <v>0</v>
      </c>
      <c r="AG608" s="78" t="b">
        <f t="shared" si="711"/>
        <v>0</v>
      </c>
      <c r="AH608" s="78" t="b">
        <f t="shared" si="711"/>
        <v>0</v>
      </c>
      <c r="AI608" s="78" t="b">
        <f t="shared" si="711"/>
        <v>0</v>
      </c>
      <c r="AJ608" s="78" t="b">
        <f t="shared" si="711"/>
        <v>0</v>
      </c>
      <c r="AK608" s="78" t="b">
        <f t="shared" si="711"/>
        <v>0</v>
      </c>
      <c r="AL608" s="78" t="b">
        <f t="shared" si="711"/>
        <v>0</v>
      </c>
      <c r="AM608" s="78" t="b">
        <f t="shared" si="711"/>
        <v>0</v>
      </c>
      <c r="AN608" s="78" t="b">
        <f t="shared" si="711"/>
        <v>0</v>
      </c>
      <c r="AO608" s="78" t="b">
        <f t="shared" si="711"/>
        <v>0</v>
      </c>
      <c r="AP608" s="78"/>
    </row>
    <row r="609" spans="4:42" x14ac:dyDescent="0.35">
      <c r="D609" s="96"/>
      <c r="E609" s="96"/>
      <c r="G609" s="77">
        <f t="shared" si="675"/>
        <v>0</v>
      </c>
      <c r="H609" s="78">
        <f t="shared" si="676"/>
        <v>0</v>
      </c>
      <c r="I609" s="77">
        <f t="shared" si="677"/>
        <v>0</v>
      </c>
      <c r="J609" s="78">
        <f t="shared" si="678"/>
        <v>0</v>
      </c>
      <c r="K609" s="78" t="str">
        <f t="shared" si="679"/>
        <v>1900-01-00 00:0:00</v>
      </c>
      <c r="L609" s="78" t="str">
        <f t="shared" si="680"/>
        <v>1900-01-00 00:0:00</v>
      </c>
      <c r="M609" s="79">
        <f t="shared" si="681"/>
        <v>0</v>
      </c>
      <c r="N609">
        <f t="shared" si="682"/>
        <v>1</v>
      </c>
      <c r="O609" t="str">
        <f>IFERROR(_xlfn.XLOOKUP(A609,HC!A:A,HC!C:C),"")</f>
        <v>Workforce</v>
      </c>
      <c r="R609" s="78" t="b">
        <f t="shared" ref="R609:AO609" si="712">IFERROR(IF($B609=$D$1,IF(AND($K609&lt;R$1,$L609&lt;R$1),"",IF(AND($K609&gt;S$1,$L609&gt;S$1),"",IF(AND($K609&lt;R$1,$L609&lt;=S$1),$L609-R$1,IF(AND($K609&gt;=R$1,$L609&gt;S$1),S$1-$K609,IF(AND($K609&gt;=R$1,$L609&lt;=S$1),$L609-$K609,IF(AND($K609&lt;R$1,$L609&gt;S$1),S$1-R$1,""))))))),"")</f>
        <v>0</v>
      </c>
      <c r="S609" s="78" t="b">
        <f t="shared" si="712"/>
        <v>0</v>
      </c>
      <c r="T609" s="78" t="b">
        <f t="shared" si="712"/>
        <v>0</v>
      </c>
      <c r="U609" s="78" t="b">
        <f t="shared" si="712"/>
        <v>0</v>
      </c>
      <c r="V609" s="78" t="b">
        <f t="shared" si="712"/>
        <v>0</v>
      </c>
      <c r="W609" s="78" t="b">
        <f t="shared" si="712"/>
        <v>0</v>
      </c>
      <c r="X609" s="78" t="b">
        <f t="shared" si="712"/>
        <v>0</v>
      </c>
      <c r="Y609" s="78" t="b">
        <f t="shared" si="712"/>
        <v>0</v>
      </c>
      <c r="Z609" s="78" t="b">
        <f t="shared" si="712"/>
        <v>0</v>
      </c>
      <c r="AA609" s="78" t="b">
        <f t="shared" si="712"/>
        <v>0</v>
      </c>
      <c r="AB609" s="78" t="b">
        <f t="shared" si="712"/>
        <v>0</v>
      </c>
      <c r="AC609" s="78" t="b">
        <f t="shared" si="712"/>
        <v>0</v>
      </c>
      <c r="AD609" s="78" t="b">
        <f t="shared" si="712"/>
        <v>0</v>
      </c>
      <c r="AE609" s="78" t="b">
        <f t="shared" si="712"/>
        <v>0</v>
      </c>
      <c r="AF609" s="78" t="b">
        <f t="shared" si="712"/>
        <v>0</v>
      </c>
      <c r="AG609" s="78" t="b">
        <f t="shared" si="712"/>
        <v>0</v>
      </c>
      <c r="AH609" s="78" t="b">
        <f t="shared" si="712"/>
        <v>0</v>
      </c>
      <c r="AI609" s="78" t="b">
        <f t="shared" si="712"/>
        <v>0</v>
      </c>
      <c r="AJ609" s="78" t="b">
        <f t="shared" si="712"/>
        <v>0</v>
      </c>
      <c r="AK609" s="78" t="b">
        <f t="shared" si="712"/>
        <v>0</v>
      </c>
      <c r="AL609" s="78" t="b">
        <f t="shared" si="712"/>
        <v>0</v>
      </c>
      <c r="AM609" s="78" t="b">
        <f t="shared" si="712"/>
        <v>0</v>
      </c>
      <c r="AN609" s="78" t="b">
        <f t="shared" si="712"/>
        <v>0</v>
      </c>
      <c r="AO609" s="78" t="b">
        <f t="shared" si="712"/>
        <v>0</v>
      </c>
      <c r="AP609" s="78"/>
    </row>
    <row r="610" spans="4:42" x14ac:dyDescent="0.35">
      <c r="D610" s="96"/>
      <c r="E610" s="96"/>
      <c r="G610" s="77">
        <f t="shared" si="675"/>
        <v>0</v>
      </c>
      <c r="H610" s="78">
        <f t="shared" si="676"/>
        <v>0</v>
      </c>
      <c r="I610" s="77">
        <f t="shared" si="677"/>
        <v>0</v>
      </c>
      <c r="J610" s="78">
        <f t="shared" si="678"/>
        <v>0</v>
      </c>
      <c r="K610" s="78" t="str">
        <f t="shared" si="679"/>
        <v>1900-01-00 00:0:00</v>
      </c>
      <c r="L610" s="78" t="str">
        <f t="shared" si="680"/>
        <v>1900-01-00 00:0:00</v>
      </c>
      <c r="M610" s="79">
        <f t="shared" si="681"/>
        <v>0</v>
      </c>
      <c r="N610">
        <f t="shared" si="682"/>
        <v>1</v>
      </c>
      <c r="O610" t="str">
        <f>IFERROR(_xlfn.XLOOKUP(A610,HC!A:A,HC!C:C),"")</f>
        <v>Workforce</v>
      </c>
      <c r="R610" s="78" t="b">
        <f t="shared" ref="R610:AO610" si="713">IFERROR(IF($B610=$D$1,IF(AND($K610&lt;R$1,$L610&lt;R$1),"",IF(AND($K610&gt;S$1,$L610&gt;S$1),"",IF(AND($K610&lt;R$1,$L610&lt;=S$1),$L610-R$1,IF(AND($K610&gt;=R$1,$L610&gt;S$1),S$1-$K610,IF(AND($K610&gt;=R$1,$L610&lt;=S$1),$L610-$K610,IF(AND($K610&lt;R$1,$L610&gt;S$1),S$1-R$1,""))))))),"")</f>
        <v>0</v>
      </c>
      <c r="S610" s="78" t="b">
        <f t="shared" si="713"/>
        <v>0</v>
      </c>
      <c r="T610" s="78" t="b">
        <f t="shared" si="713"/>
        <v>0</v>
      </c>
      <c r="U610" s="78" t="b">
        <f t="shared" si="713"/>
        <v>0</v>
      </c>
      <c r="V610" s="78" t="b">
        <f t="shared" si="713"/>
        <v>0</v>
      </c>
      <c r="W610" s="78" t="b">
        <f t="shared" si="713"/>
        <v>0</v>
      </c>
      <c r="X610" s="78" t="b">
        <f t="shared" si="713"/>
        <v>0</v>
      </c>
      <c r="Y610" s="78" t="b">
        <f t="shared" si="713"/>
        <v>0</v>
      </c>
      <c r="Z610" s="78" t="b">
        <f t="shared" si="713"/>
        <v>0</v>
      </c>
      <c r="AA610" s="78" t="b">
        <f t="shared" si="713"/>
        <v>0</v>
      </c>
      <c r="AB610" s="78" t="b">
        <f t="shared" si="713"/>
        <v>0</v>
      </c>
      <c r="AC610" s="78" t="b">
        <f t="shared" si="713"/>
        <v>0</v>
      </c>
      <c r="AD610" s="78" t="b">
        <f t="shared" si="713"/>
        <v>0</v>
      </c>
      <c r="AE610" s="78" t="b">
        <f t="shared" si="713"/>
        <v>0</v>
      </c>
      <c r="AF610" s="78" t="b">
        <f t="shared" si="713"/>
        <v>0</v>
      </c>
      <c r="AG610" s="78" t="b">
        <f t="shared" si="713"/>
        <v>0</v>
      </c>
      <c r="AH610" s="78" t="b">
        <f t="shared" si="713"/>
        <v>0</v>
      </c>
      <c r="AI610" s="78" t="b">
        <f t="shared" si="713"/>
        <v>0</v>
      </c>
      <c r="AJ610" s="78" t="b">
        <f t="shared" si="713"/>
        <v>0</v>
      </c>
      <c r="AK610" s="78" t="b">
        <f t="shared" si="713"/>
        <v>0</v>
      </c>
      <c r="AL610" s="78" t="b">
        <f t="shared" si="713"/>
        <v>0</v>
      </c>
      <c r="AM610" s="78" t="b">
        <f t="shared" si="713"/>
        <v>0</v>
      </c>
      <c r="AN610" s="78" t="b">
        <f t="shared" si="713"/>
        <v>0</v>
      </c>
      <c r="AO610" s="78" t="b">
        <f t="shared" si="713"/>
        <v>0</v>
      </c>
      <c r="AP610" s="78"/>
    </row>
    <row r="611" spans="4:42" x14ac:dyDescent="0.35">
      <c r="D611" s="96"/>
      <c r="E611" s="96"/>
      <c r="G611" s="77">
        <f t="shared" si="675"/>
        <v>0</v>
      </c>
      <c r="H611" s="78">
        <f t="shared" si="676"/>
        <v>0</v>
      </c>
      <c r="I611" s="77">
        <f t="shared" si="677"/>
        <v>0</v>
      </c>
      <c r="J611" s="78">
        <f t="shared" si="678"/>
        <v>0</v>
      </c>
      <c r="K611" s="78" t="str">
        <f t="shared" si="679"/>
        <v>1900-01-00 00:0:00</v>
      </c>
      <c r="L611" s="78" t="str">
        <f t="shared" si="680"/>
        <v>1900-01-00 00:0:00</v>
      </c>
      <c r="M611" s="79">
        <f t="shared" si="681"/>
        <v>0</v>
      </c>
      <c r="N611">
        <f t="shared" si="682"/>
        <v>1</v>
      </c>
      <c r="O611" t="str">
        <f>IFERROR(_xlfn.XLOOKUP(A611,HC!A:A,HC!C:C),"")</f>
        <v>Workforce</v>
      </c>
      <c r="R611" s="78" t="b">
        <f t="shared" ref="R611:AO611" si="714">IFERROR(IF($B611=$D$1,IF(AND($K611&lt;R$1,$L611&lt;R$1),"",IF(AND($K611&gt;S$1,$L611&gt;S$1),"",IF(AND($K611&lt;R$1,$L611&lt;=S$1),$L611-R$1,IF(AND($K611&gt;=R$1,$L611&gt;S$1),S$1-$K611,IF(AND($K611&gt;=R$1,$L611&lt;=S$1),$L611-$K611,IF(AND($K611&lt;R$1,$L611&gt;S$1),S$1-R$1,""))))))),"")</f>
        <v>0</v>
      </c>
      <c r="S611" s="78" t="b">
        <f t="shared" si="714"/>
        <v>0</v>
      </c>
      <c r="T611" s="78" t="b">
        <f t="shared" si="714"/>
        <v>0</v>
      </c>
      <c r="U611" s="78" t="b">
        <f t="shared" si="714"/>
        <v>0</v>
      </c>
      <c r="V611" s="78" t="b">
        <f t="shared" si="714"/>
        <v>0</v>
      </c>
      <c r="W611" s="78" t="b">
        <f t="shared" si="714"/>
        <v>0</v>
      </c>
      <c r="X611" s="78" t="b">
        <f t="shared" si="714"/>
        <v>0</v>
      </c>
      <c r="Y611" s="78" t="b">
        <f t="shared" si="714"/>
        <v>0</v>
      </c>
      <c r="Z611" s="78" t="b">
        <f t="shared" si="714"/>
        <v>0</v>
      </c>
      <c r="AA611" s="78" t="b">
        <f t="shared" si="714"/>
        <v>0</v>
      </c>
      <c r="AB611" s="78" t="b">
        <f t="shared" si="714"/>
        <v>0</v>
      </c>
      <c r="AC611" s="78" t="b">
        <f t="shared" si="714"/>
        <v>0</v>
      </c>
      <c r="AD611" s="78" t="b">
        <f t="shared" si="714"/>
        <v>0</v>
      </c>
      <c r="AE611" s="78" t="b">
        <f t="shared" si="714"/>
        <v>0</v>
      </c>
      <c r="AF611" s="78" t="b">
        <f t="shared" si="714"/>
        <v>0</v>
      </c>
      <c r="AG611" s="78" t="b">
        <f t="shared" si="714"/>
        <v>0</v>
      </c>
      <c r="AH611" s="78" t="b">
        <f t="shared" si="714"/>
        <v>0</v>
      </c>
      <c r="AI611" s="78" t="b">
        <f t="shared" si="714"/>
        <v>0</v>
      </c>
      <c r="AJ611" s="78" t="b">
        <f t="shared" si="714"/>
        <v>0</v>
      </c>
      <c r="AK611" s="78" t="b">
        <f t="shared" si="714"/>
        <v>0</v>
      </c>
      <c r="AL611" s="78" t="b">
        <f t="shared" si="714"/>
        <v>0</v>
      </c>
      <c r="AM611" s="78" t="b">
        <f t="shared" si="714"/>
        <v>0</v>
      </c>
      <c r="AN611" s="78" t="b">
        <f t="shared" si="714"/>
        <v>0</v>
      </c>
      <c r="AO611" s="78" t="b">
        <f t="shared" si="714"/>
        <v>0</v>
      </c>
      <c r="AP611" s="78"/>
    </row>
    <row r="612" spans="4:42" x14ac:dyDescent="0.35">
      <c r="D612" s="96"/>
      <c r="E612" s="96"/>
      <c r="G612" s="77">
        <f t="shared" si="675"/>
        <v>0</v>
      </c>
      <c r="H612" s="78">
        <f t="shared" si="676"/>
        <v>0</v>
      </c>
      <c r="I612" s="77">
        <f t="shared" si="677"/>
        <v>0</v>
      </c>
      <c r="J612" s="78">
        <f t="shared" si="678"/>
        <v>0</v>
      </c>
      <c r="K612" s="78" t="str">
        <f t="shared" si="679"/>
        <v>1900-01-00 00:0:00</v>
      </c>
      <c r="L612" s="78" t="str">
        <f t="shared" si="680"/>
        <v>1900-01-00 00:0:00</v>
      </c>
      <c r="M612" s="79">
        <f t="shared" si="681"/>
        <v>0</v>
      </c>
      <c r="N612">
        <f t="shared" si="682"/>
        <v>1</v>
      </c>
      <c r="O612" t="str">
        <f>IFERROR(_xlfn.XLOOKUP(A612,HC!A:A,HC!C:C),"")</f>
        <v>Workforce</v>
      </c>
      <c r="R612" s="78" t="b">
        <f t="shared" ref="R612:AO612" si="715">IFERROR(IF($B612=$D$1,IF(AND($K612&lt;R$1,$L612&lt;R$1),"",IF(AND($K612&gt;S$1,$L612&gt;S$1),"",IF(AND($K612&lt;R$1,$L612&lt;=S$1),$L612-R$1,IF(AND($K612&gt;=R$1,$L612&gt;S$1),S$1-$K612,IF(AND($K612&gt;=R$1,$L612&lt;=S$1),$L612-$K612,IF(AND($K612&lt;R$1,$L612&gt;S$1),S$1-R$1,""))))))),"")</f>
        <v>0</v>
      </c>
      <c r="S612" s="78" t="b">
        <f t="shared" si="715"/>
        <v>0</v>
      </c>
      <c r="T612" s="78" t="b">
        <f t="shared" si="715"/>
        <v>0</v>
      </c>
      <c r="U612" s="78" t="b">
        <f t="shared" si="715"/>
        <v>0</v>
      </c>
      <c r="V612" s="78" t="b">
        <f t="shared" si="715"/>
        <v>0</v>
      </c>
      <c r="W612" s="78" t="b">
        <f t="shared" si="715"/>
        <v>0</v>
      </c>
      <c r="X612" s="78" t="b">
        <f t="shared" si="715"/>
        <v>0</v>
      </c>
      <c r="Y612" s="78" t="b">
        <f t="shared" si="715"/>
        <v>0</v>
      </c>
      <c r="Z612" s="78" t="b">
        <f t="shared" si="715"/>
        <v>0</v>
      </c>
      <c r="AA612" s="78" t="b">
        <f t="shared" si="715"/>
        <v>0</v>
      </c>
      <c r="AB612" s="78" t="b">
        <f t="shared" si="715"/>
        <v>0</v>
      </c>
      <c r="AC612" s="78" t="b">
        <f t="shared" si="715"/>
        <v>0</v>
      </c>
      <c r="AD612" s="78" t="b">
        <f t="shared" si="715"/>
        <v>0</v>
      </c>
      <c r="AE612" s="78" t="b">
        <f t="shared" si="715"/>
        <v>0</v>
      </c>
      <c r="AF612" s="78" t="b">
        <f t="shared" si="715"/>
        <v>0</v>
      </c>
      <c r="AG612" s="78" t="b">
        <f t="shared" si="715"/>
        <v>0</v>
      </c>
      <c r="AH612" s="78" t="b">
        <f t="shared" si="715"/>
        <v>0</v>
      </c>
      <c r="AI612" s="78" t="b">
        <f t="shared" si="715"/>
        <v>0</v>
      </c>
      <c r="AJ612" s="78" t="b">
        <f t="shared" si="715"/>
        <v>0</v>
      </c>
      <c r="AK612" s="78" t="b">
        <f t="shared" si="715"/>
        <v>0</v>
      </c>
      <c r="AL612" s="78" t="b">
        <f t="shared" si="715"/>
        <v>0</v>
      </c>
      <c r="AM612" s="78" t="b">
        <f t="shared" si="715"/>
        <v>0</v>
      </c>
      <c r="AN612" s="78" t="b">
        <f t="shared" si="715"/>
        <v>0</v>
      </c>
      <c r="AO612" s="78" t="b">
        <f t="shared" si="715"/>
        <v>0</v>
      </c>
      <c r="AP612" s="78"/>
    </row>
    <row r="613" spans="4:42" x14ac:dyDescent="0.35">
      <c r="D613" s="96"/>
      <c r="E613" s="96"/>
      <c r="G613" s="77">
        <f t="shared" si="675"/>
        <v>0</v>
      </c>
      <c r="H613" s="78">
        <f t="shared" si="676"/>
        <v>0</v>
      </c>
      <c r="I613" s="77">
        <f t="shared" si="677"/>
        <v>0</v>
      </c>
      <c r="J613" s="78">
        <f t="shared" si="678"/>
        <v>0</v>
      </c>
      <c r="K613" s="78" t="str">
        <f t="shared" si="679"/>
        <v>1900-01-00 00:0:00</v>
      </c>
      <c r="L613" s="78" t="str">
        <f t="shared" si="680"/>
        <v>1900-01-00 00:0:00</v>
      </c>
      <c r="M613" s="79">
        <f t="shared" si="681"/>
        <v>0</v>
      </c>
      <c r="N613">
        <f t="shared" si="682"/>
        <v>1</v>
      </c>
      <c r="O613" t="str">
        <f>IFERROR(_xlfn.XLOOKUP(A613,HC!A:A,HC!C:C),"")</f>
        <v>Workforce</v>
      </c>
      <c r="R613" s="78" t="b">
        <f t="shared" ref="R613:AO613" si="716">IFERROR(IF($B613=$D$1,IF(AND($K613&lt;R$1,$L613&lt;R$1),"",IF(AND($K613&gt;S$1,$L613&gt;S$1),"",IF(AND($K613&lt;R$1,$L613&lt;=S$1),$L613-R$1,IF(AND($K613&gt;=R$1,$L613&gt;S$1),S$1-$K613,IF(AND($K613&gt;=R$1,$L613&lt;=S$1),$L613-$K613,IF(AND($K613&lt;R$1,$L613&gt;S$1),S$1-R$1,""))))))),"")</f>
        <v>0</v>
      </c>
      <c r="S613" s="78" t="b">
        <f t="shared" si="716"/>
        <v>0</v>
      </c>
      <c r="T613" s="78" t="b">
        <f t="shared" si="716"/>
        <v>0</v>
      </c>
      <c r="U613" s="78" t="b">
        <f t="shared" si="716"/>
        <v>0</v>
      </c>
      <c r="V613" s="78" t="b">
        <f t="shared" si="716"/>
        <v>0</v>
      </c>
      <c r="W613" s="78" t="b">
        <f t="shared" si="716"/>
        <v>0</v>
      </c>
      <c r="X613" s="78" t="b">
        <f t="shared" si="716"/>
        <v>0</v>
      </c>
      <c r="Y613" s="78" t="b">
        <f t="shared" si="716"/>
        <v>0</v>
      </c>
      <c r="Z613" s="78" t="b">
        <f t="shared" si="716"/>
        <v>0</v>
      </c>
      <c r="AA613" s="78" t="b">
        <f t="shared" si="716"/>
        <v>0</v>
      </c>
      <c r="AB613" s="78" t="b">
        <f t="shared" si="716"/>
        <v>0</v>
      </c>
      <c r="AC613" s="78" t="b">
        <f t="shared" si="716"/>
        <v>0</v>
      </c>
      <c r="AD613" s="78" t="b">
        <f t="shared" si="716"/>
        <v>0</v>
      </c>
      <c r="AE613" s="78" t="b">
        <f t="shared" si="716"/>
        <v>0</v>
      </c>
      <c r="AF613" s="78" t="b">
        <f t="shared" si="716"/>
        <v>0</v>
      </c>
      <c r="AG613" s="78" t="b">
        <f t="shared" si="716"/>
        <v>0</v>
      </c>
      <c r="AH613" s="78" t="b">
        <f t="shared" si="716"/>
        <v>0</v>
      </c>
      <c r="AI613" s="78" t="b">
        <f t="shared" si="716"/>
        <v>0</v>
      </c>
      <c r="AJ613" s="78" t="b">
        <f t="shared" si="716"/>
        <v>0</v>
      </c>
      <c r="AK613" s="78" t="b">
        <f t="shared" si="716"/>
        <v>0</v>
      </c>
      <c r="AL613" s="78" t="b">
        <f t="shared" si="716"/>
        <v>0</v>
      </c>
      <c r="AM613" s="78" t="b">
        <f t="shared" si="716"/>
        <v>0</v>
      </c>
      <c r="AN613" s="78" t="b">
        <f t="shared" si="716"/>
        <v>0</v>
      </c>
      <c r="AO613" s="78" t="b">
        <f t="shared" si="716"/>
        <v>0</v>
      </c>
      <c r="AP613" s="78"/>
    </row>
    <row r="614" spans="4:42" x14ac:dyDescent="0.35">
      <c r="D614" s="96"/>
      <c r="E614" s="96"/>
      <c r="G614" s="77">
        <f t="shared" si="675"/>
        <v>0</v>
      </c>
      <c r="H614" s="78">
        <f t="shared" si="676"/>
        <v>0</v>
      </c>
      <c r="I614" s="77">
        <f t="shared" si="677"/>
        <v>0</v>
      </c>
      <c r="J614" s="78">
        <f t="shared" si="678"/>
        <v>0</v>
      </c>
      <c r="K614" s="78" t="str">
        <f t="shared" si="679"/>
        <v>1900-01-00 00:0:00</v>
      </c>
      <c r="L614" s="78" t="str">
        <f t="shared" si="680"/>
        <v>1900-01-00 00:0:00</v>
      </c>
      <c r="M614" s="79">
        <f t="shared" si="681"/>
        <v>0</v>
      </c>
      <c r="N614">
        <f t="shared" si="682"/>
        <v>1</v>
      </c>
      <c r="O614" t="str">
        <f>IFERROR(_xlfn.XLOOKUP(A614,HC!A:A,HC!C:C),"")</f>
        <v>Workforce</v>
      </c>
      <c r="R614" s="78" t="b">
        <f t="shared" ref="R614:AO614" si="717">IFERROR(IF($B614=$D$1,IF(AND($K614&lt;R$1,$L614&lt;R$1),"",IF(AND($K614&gt;S$1,$L614&gt;S$1),"",IF(AND($K614&lt;R$1,$L614&lt;=S$1),$L614-R$1,IF(AND($K614&gt;=R$1,$L614&gt;S$1),S$1-$K614,IF(AND($K614&gt;=R$1,$L614&lt;=S$1),$L614-$K614,IF(AND($K614&lt;R$1,$L614&gt;S$1),S$1-R$1,""))))))),"")</f>
        <v>0</v>
      </c>
      <c r="S614" s="78" t="b">
        <f t="shared" si="717"/>
        <v>0</v>
      </c>
      <c r="T614" s="78" t="b">
        <f t="shared" si="717"/>
        <v>0</v>
      </c>
      <c r="U614" s="78" t="b">
        <f t="shared" si="717"/>
        <v>0</v>
      </c>
      <c r="V614" s="78" t="b">
        <f t="shared" si="717"/>
        <v>0</v>
      </c>
      <c r="W614" s="78" t="b">
        <f t="shared" si="717"/>
        <v>0</v>
      </c>
      <c r="X614" s="78" t="b">
        <f t="shared" si="717"/>
        <v>0</v>
      </c>
      <c r="Y614" s="78" t="b">
        <f t="shared" si="717"/>
        <v>0</v>
      </c>
      <c r="Z614" s="78" t="b">
        <f t="shared" si="717"/>
        <v>0</v>
      </c>
      <c r="AA614" s="78" t="b">
        <f t="shared" si="717"/>
        <v>0</v>
      </c>
      <c r="AB614" s="78" t="b">
        <f t="shared" si="717"/>
        <v>0</v>
      </c>
      <c r="AC614" s="78" t="b">
        <f t="shared" si="717"/>
        <v>0</v>
      </c>
      <c r="AD614" s="78" t="b">
        <f t="shared" si="717"/>
        <v>0</v>
      </c>
      <c r="AE614" s="78" t="b">
        <f t="shared" si="717"/>
        <v>0</v>
      </c>
      <c r="AF614" s="78" t="b">
        <f t="shared" si="717"/>
        <v>0</v>
      </c>
      <c r="AG614" s="78" t="b">
        <f t="shared" si="717"/>
        <v>0</v>
      </c>
      <c r="AH614" s="78" t="b">
        <f t="shared" si="717"/>
        <v>0</v>
      </c>
      <c r="AI614" s="78" t="b">
        <f t="shared" si="717"/>
        <v>0</v>
      </c>
      <c r="AJ614" s="78" t="b">
        <f t="shared" si="717"/>
        <v>0</v>
      </c>
      <c r="AK614" s="78" t="b">
        <f t="shared" si="717"/>
        <v>0</v>
      </c>
      <c r="AL614" s="78" t="b">
        <f t="shared" si="717"/>
        <v>0</v>
      </c>
      <c r="AM614" s="78" t="b">
        <f t="shared" si="717"/>
        <v>0</v>
      </c>
      <c r="AN614" s="78" t="b">
        <f t="shared" si="717"/>
        <v>0</v>
      </c>
      <c r="AO614" s="78" t="b">
        <f t="shared" si="717"/>
        <v>0</v>
      </c>
      <c r="AP614" s="78"/>
    </row>
    <row r="615" spans="4:42" x14ac:dyDescent="0.35">
      <c r="D615" s="96"/>
      <c r="E615" s="96"/>
      <c r="G615" s="77">
        <f t="shared" si="675"/>
        <v>0</v>
      </c>
      <c r="H615" s="78">
        <f t="shared" si="676"/>
        <v>0</v>
      </c>
      <c r="I615" s="77">
        <f t="shared" si="677"/>
        <v>0</v>
      </c>
      <c r="J615" s="78">
        <f t="shared" si="678"/>
        <v>0</v>
      </c>
      <c r="K615" s="78" t="str">
        <f t="shared" si="679"/>
        <v>1900-01-00 00:0:00</v>
      </c>
      <c r="L615" s="78" t="str">
        <f t="shared" si="680"/>
        <v>1900-01-00 00:0:00</v>
      </c>
      <c r="M615" s="79">
        <f t="shared" si="681"/>
        <v>0</v>
      </c>
      <c r="N615">
        <f t="shared" si="682"/>
        <v>1</v>
      </c>
      <c r="O615" t="str">
        <f>IFERROR(_xlfn.XLOOKUP(A615,HC!A:A,HC!C:C),"")</f>
        <v>Workforce</v>
      </c>
      <c r="R615" s="78" t="b">
        <f t="shared" ref="R615:AO615" si="718">IFERROR(IF($B615=$D$1,IF(AND($K615&lt;R$1,$L615&lt;R$1),"",IF(AND($K615&gt;S$1,$L615&gt;S$1),"",IF(AND($K615&lt;R$1,$L615&lt;=S$1),$L615-R$1,IF(AND($K615&gt;=R$1,$L615&gt;S$1),S$1-$K615,IF(AND($K615&gt;=R$1,$L615&lt;=S$1),$L615-$K615,IF(AND($K615&lt;R$1,$L615&gt;S$1),S$1-R$1,""))))))),"")</f>
        <v>0</v>
      </c>
      <c r="S615" s="78" t="b">
        <f t="shared" si="718"/>
        <v>0</v>
      </c>
      <c r="T615" s="78" t="b">
        <f t="shared" si="718"/>
        <v>0</v>
      </c>
      <c r="U615" s="78" t="b">
        <f t="shared" si="718"/>
        <v>0</v>
      </c>
      <c r="V615" s="78" t="b">
        <f t="shared" si="718"/>
        <v>0</v>
      </c>
      <c r="W615" s="78" t="b">
        <f t="shared" si="718"/>
        <v>0</v>
      </c>
      <c r="X615" s="78" t="b">
        <f t="shared" si="718"/>
        <v>0</v>
      </c>
      <c r="Y615" s="78" t="b">
        <f t="shared" si="718"/>
        <v>0</v>
      </c>
      <c r="Z615" s="78" t="b">
        <f t="shared" si="718"/>
        <v>0</v>
      </c>
      <c r="AA615" s="78" t="b">
        <f t="shared" si="718"/>
        <v>0</v>
      </c>
      <c r="AB615" s="78" t="b">
        <f t="shared" si="718"/>
        <v>0</v>
      </c>
      <c r="AC615" s="78" t="b">
        <f t="shared" si="718"/>
        <v>0</v>
      </c>
      <c r="AD615" s="78" t="b">
        <f t="shared" si="718"/>
        <v>0</v>
      </c>
      <c r="AE615" s="78" t="b">
        <f t="shared" si="718"/>
        <v>0</v>
      </c>
      <c r="AF615" s="78" t="b">
        <f t="shared" si="718"/>
        <v>0</v>
      </c>
      <c r="AG615" s="78" t="b">
        <f t="shared" si="718"/>
        <v>0</v>
      </c>
      <c r="AH615" s="78" t="b">
        <f t="shared" si="718"/>
        <v>0</v>
      </c>
      <c r="AI615" s="78" t="b">
        <f t="shared" si="718"/>
        <v>0</v>
      </c>
      <c r="AJ615" s="78" t="b">
        <f t="shared" si="718"/>
        <v>0</v>
      </c>
      <c r="AK615" s="78" t="b">
        <f t="shared" si="718"/>
        <v>0</v>
      </c>
      <c r="AL615" s="78" t="b">
        <f t="shared" si="718"/>
        <v>0</v>
      </c>
      <c r="AM615" s="78" t="b">
        <f t="shared" si="718"/>
        <v>0</v>
      </c>
      <c r="AN615" s="78" t="b">
        <f t="shared" si="718"/>
        <v>0</v>
      </c>
      <c r="AO615" s="78" t="b">
        <f t="shared" si="718"/>
        <v>0</v>
      </c>
      <c r="AP615" s="78"/>
    </row>
    <row r="616" spans="4:42" x14ac:dyDescent="0.35">
      <c r="D616" s="96"/>
      <c r="E616" s="96"/>
      <c r="G616" s="77">
        <f t="shared" si="675"/>
        <v>0</v>
      </c>
      <c r="H616" s="78">
        <f t="shared" si="676"/>
        <v>0</v>
      </c>
      <c r="I616" s="77">
        <f t="shared" si="677"/>
        <v>0</v>
      </c>
      <c r="J616" s="78">
        <f t="shared" si="678"/>
        <v>0</v>
      </c>
      <c r="K616" s="78" t="str">
        <f t="shared" si="679"/>
        <v>1900-01-00 00:0:00</v>
      </c>
      <c r="L616" s="78" t="str">
        <f t="shared" si="680"/>
        <v>1900-01-00 00:0:00</v>
      </c>
      <c r="M616" s="79">
        <f t="shared" si="681"/>
        <v>0</v>
      </c>
      <c r="N616">
        <f t="shared" si="682"/>
        <v>1</v>
      </c>
      <c r="O616" t="str">
        <f>IFERROR(_xlfn.XLOOKUP(A616,HC!A:A,HC!C:C),"")</f>
        <v>Workforce</v>
      </c>
      <c r="R616" s="78" t="b">
        <f t="shared" ref="R616:AO616" si="719">IFERROR(IF($B616=$D$1,IF(AND($K616&lt;R$1,$L616&lt;R$1),"",IF(AND($K616&gt;S$1,$L616&gt;S$1),"",IF(AND($K616&lt;R$1,$L616&lt;=S$1),$L616-R$1,IF(AND($K616&gt;=R$1,$L616&gt;S$1),S$1-$K616,IF(AND($K616&gt;=R$1,$L616&lt;=S$1),$L616-$K616,IF(AND($K616&lt;R$1,$L616&gt;S$1),S$1-R$1,""))))))),"")</f>
        <v>0</v>
      </c>
      <c r="S616" s="78" t="b">
        <f t="shared" si="719"/>
        <v>0</v>
      </c>
      <c r="T616" s="78" t="b">
        <f t="shared" si="719"/>
        <v>0</v>
      </c>
      <c r="U616" s="78" t="b">
        <f t="shared" si="719"/>
        <v>0</v>
      </c>
      <c r="V616" s="78" t="b">
        <f t="shared" si="719"/>
        <v>0</v>
      </c>
      <c r="W616" s="78" t="b">
        <f t="shared" si="719"/>
        <v>0</v>
      </c>
      <c r="X616" s="78" t="b">
        <f t="shared" si="719"/>
        <v>0</v>
      </c>
      <c r="Y616" s="78" t="b">
        <f t="shared" si="719"/>
        <v>0</v>
      </c>
      <c r="Z616" s="78" t="b">
        <f t="shared" si="719"/>
        <v>0</v>
      </c>
      <c r="AA616" s="78" t="b">
        <f t="shared" si="719"/>
        <v>0</v>
      </c>
      <c r="AB616" s="78" t="b">
        <f t="shared" si="719"/>
        <v>0</v>
      </c>
      <c r="AC616" s="78" t="b">
        <f t="shared" si="719"/>
        <v>0</v>
      </c>
      <c r="AD616" s="78" t="b">
        <f t="shared" si="719"/>
        <v>0</v>
      </c>
      <c r="AE616" s="78" t="b">
        <f t="shared" si="719"/>
        <v>0</v>
      </c>
      <c r="AF616" s="78" t="b">
        <f t="shared" si="719"/>
        <v>0</v>
      </c>
      <c r="AG616" s="78" t="b">
        <f t="shared" si="719"/>
        <v>0</v>
      </c>
      <c r="AH616" s="78" t="b">
        <f t="shared" si="719"/>
        <v>0</v>
      </c>
      <c r="AI616" s="78" t="b">
        <f t="shared" si="719"/>
        <v>0</v>
      </c>
      <c r="AJ616" s="78" t="b">
        <f t="shared" si="719"/>
        <v>0</v>
      </c>
      <c r="AK616" s="78" t="b">
        <f t="shared" si="719"/>
        <v>0</v>
      </c>
      <c r="AL616" s="78" t="b">
        <f t="shared" si="719"/>
        <v>0</v>
      </c>
      <c r="AM616" s="78" t="b">
        <f t="shared" si="719"/>
        <v>0</v>
      </c>
      <c r="AN616" s="78" t="b">
        <f t="shared" si="719"/>
        <v>0</v>
      </c>
      <c r="AO616" s="78" t="b">
        <f t="shared" si="719"/>
        <v>0</v>
      </c>
      <c r="AP616" s="78"/>
    </row>
    <row r="617" spans="4:42" x14ac:dyDescent="0.35">
      <c r="D617" s="96"/>
      <c r="E617" s="96"/>
      <c r="G617" s="77">
        <f t="shared" si="675"/>
        <v>0</v>
      </c>
      <c r="H617" s="78">
        <f t="shared" si="676"/>
        <v>0</v>
      </c>
      <c r="I617" s="77">
        <f t="shared" si="677"/>
        <v>0</v>
      </c>
      <c r="J617" s="78">
        <f t="shared" si="678"/>
        <v>0</v>
      </c>
      <c r="K617" s="78" t="str">
        <f t="shared" si="679"/>
        <v>1900-01-00 00:0:00</v>
      </c>
      <c r="L617" s="78" t="str">
        <f t="shared" si="680"/>
        <v>1900-01-00 00:0:00</v>
      </c>
      <c r="M617" s="79">
        <f t="shared" si="681"/>
        <v>0</v>
      </c>
      <c r="N617">
        <f t="shared" si="682"/>
        <v>1</v>
      </c>
      <c r="O617" t="str">
        <f>IFERROR(_xlfn.XLOOKUP(A617,HC!A:A,HC!C:C),"")</f>
        <v>Workforce</v>
      </c>
      <c r="R617" s="78" t="b">
        <f t="shared" ref="R617:AO617" si="720">IFERROR(IF($B617=$D$1,IF(AND($K617&lt;R$1,$L617&lt;R$1),"",IF(AND($K617&gt;S$1,$L617&gt;S$1),"",IF(AND($K617&lt;R$1,$L617&lt;=S$1),$L617-R$1,IF(AND($K617&gt;=R$1,$L617&gt;S$1),S$1-$K617,IF(AND($K617&gt;=R$1,$L617&lt;=S$1),$L617-$K617,IF(AND($K617&lt;R$1,$L617&gt;S$1),S$1-R$1,""))))))),"")</f>
        <v>0</v>
      </c>
      <c r="S617" s="78" t="b">
        <f t="shared" si="720"/>
        <v>0</v>
      </c>
      <c r="T617" s="78" t="b">
        <f t="shared" si="720"/>
        <v>0</v>
      </c>
      <c r="U617" s="78" t="b">
        <f t="shared" si="720"/>
        <v>0</v>
      </c>
      <c r="V617" s="78" t="b">
        <f t="shared" si="720"/>
        <v>0</v>
      </c>
      <c r="W617" s="78" t="b">
        <f t="shared" si="720"/>
        <v>0</v>
      </c>
      <c r="X617" s="78" t="b">
        <f t="shared" si="720"/>
        <v>0</v>
      </c>
      <c r="Y617" s="78" t="b">
        <f t="shared" si="720"/>
        <v>0</v>
      </c>
      <c r="Z617" s="78" t="b">
        <f t="shared" si="720"/>
        <v>0</v>
      </c>
      <c r="AA617" s="78" t="b">
        <f t="shared" si="720"/>
        <v>0</v>
      </c>
      <c r="AB617" s="78" t="b">
        <f t="shared" si="720"/>
        <v>0</v>
      </c>
      <c r="AC617" s="78" t="b">
        <f t="shared" si="720"/>
        <v>0</v>
      </c>
      <c r="AD617" s="78" t="b">
        <f t="shared" si="720"/>
        <v>0</v>
      </c>
      <c r="AE617" s="78" t="b">
        <f t="shared" si="720"/>
        <v>0</v>
      </c>
      <c r="AF617" s="78" t="b">
        <f t="shared" si="720"/>
        <v>0</v>
      </c>
      <c r="AG617" s="78" t="b">
        <f t="shared" si="720"/>
        <v>0</v>
      </c>
      <c r="AH617" s="78" t="b">
        <f t="shared" si="720"/>
        <v>0</v>
      </c>
      <c r="AI617" s="78" t="b">
        <f t="shared" si="720"/>
        <v>0</v>
      </c>
      <c r="AJ617" s="78" t="b">
        <f t="shared" si="720"/>
        <v>0</v>
      </c>
      <c r="AK617" s="78" t="b">
        <f t="shared" si="720"/>
        <v>0</v>
      </c>
      <c r="AL617" s="78" t="b">
        <f t="shared" si="720"/>
        <v>0</v>
      </c>
      <c r="AM617" s="78" t="b">
        <f t="shared" si="720"/>
        <v>0</v>
      </c>
      <c r="AN617" s="78" t="b">
        <f t="shared" si="720"/>
        <v>0</v>
      </c>
      <c r="AO617" s="78" t="b">
        <f t="shared" si="720"/>
        <v>0</v>
      </c>
      <c r="AP617" s="78"/>
    </row>
    <row r="618" spans="4:42" x14ac:dyDescent="0.35">
      <c r="D618" s="96"/>
      <c r="E618" s="96"/>
      <c r="G618" s="77">
        <f t="shared" si="675"/>
        <v>0</v>
      </c>
      <c r="H618" s="78">
        <f t="shared" si="676"/>
        <v>0</v>
      </c>
      <c r="I618" s="77">
        <f t="shared" si="677"/>
        <v>0</v>
      </c>
      <c r="J618" s="78">
        <f t="shared" si="678"/>
        <v>0</v>
      </c>
      <c r="K618" s="78" t="str">
        <f t="shared" si="679"/>
        <v>1900-01-00 00:0:00</v>
      </c>
      <c r="L618" s="78" t="str">
        <f t="shared" si="680"/>
        <v>1900-01-00 00:0:00</v>
      </c>
      <c r="M618" s="79">
        <f t="shared" si="681"/>
        <v>0</v>
      </c>
      <c r="N618">
        <f t="shared" si="682"/>
        <v>1</v>
      </c>
      <c r="O618" t="str">
        <f>IFERROR(_xlfn.XLOOKUP(A618,HC!A:A,HC!C:C),"")</f>
        <v>Workforce</v>
      </c>
      <c r="R618" s="78" t="b">
        <f t="shared" ref="R618:AO618" si="721">IFERROR(IF($B618=$D$1,IF(AND($K618&lt;R$1,$L618&lt;R$1),"",IF(AND($K618&gt;S$1,$L618&gt;S$1),"",IF(AND($K618&lt;R$1,$L618&lt;=S$1),$L618-R$1,IF(AND($K618&gt;=R$1,$L618&gt;S$1),S$1-$K618,IF(AND($K618&gt;=R$1,$L618&lt;=S$1),$L618-$K618,IF(AND($K618&lt;R$1,$L618&gt;S$1),S$1-R$1,""))))))),"")</f>
        <v>0</v>
      </c>
      <c r="S618" s="78" t="b">
        <f t="shared" si="721"/>
        <v>0</v>
      </c>
      <c r="T618" s="78" t="b">
        <f t="shared" si="721"/>
        <v>0</v>
      </c>
      <c r="U618" s="78" t="b">
        <f t="shared" si="721"/>
        <v>0</v>
      </c>
      <c r="V618" s="78" t="b">
        <f t="shared" si="721"/>
        <v>0</v>
      </c>
      <c r="W618" s="78" t="b">
        <f t="shared" si="721"/>
        <v>0</v>
      </c>
      <c r="X618" s="78" t="b">
        <f t="shared" si="721"/>
        <v>0</v>
      </c>
      <c r="Y618" s="78" t="b">
        <f t="shared" si="721"/>
        <v>0</v>
      </c>
      <c r="Z618" s="78" t="b">
        <f t="shared" si="721"/>
        <v>0</v>
      </c>
      <c r="AA618" s="78" t="b">
        <f t="shared" si="721"/>
        <v>0</v>
      </c>
      <c r="AB618" s="78" t="b">
        <f t="shared" si="721"/>
        <v>0</v>
      </c>
      <c r="AC618" s="78" t="b">
        <f t="shared" si="721"/>
        <v>0</v>
      </c>
      <c r="AD618" s="78" t="b">
        <f t="shared" si="721"/>
        <v>0</v>
      </c>
      <c r="AE618" s="78" t="b">
        <f t="shared" si="721"/>
        <v>0</v>
      </c>
      <c r="AF618" s="78" t="b">
        <f t="shared" si="721"/>
        <v>0</v>
      </c>
      <c r="AG618" s="78" t="b">
        <f t="shared" si="721"/>
        <v>0</v>
      </c>
      <c r="AH618" s="78" t="b">
        <f t="shared" si="721"/>
        <v>0</v>
      </c>
      <c r="AI618" s="78" t="b">
        <f t="shared" si="721"/>
        <v>0</v>
      </c>
      <c r="AJ618" s="78" t="b">
        <f t="shared" si="721"/>
        <v>0</v>
      </c>
      <c r="AK618" s="78" t="b">
        <f t="shared" si="721"/>
        <v>0</v>
      </c>
      <c r="AL618" s="78" t="b">
        <f t="shared" si="721"/>
        <v>0</v>
      </c>
      <c r="AM618" s="78" t="b">
        <f t="shared" si="721"/>
        <v>0</v>
      </c>
      <c r="AN618" s="78" t="b">
        <f t="shared" si="721"/>
        <v>0</v>
      </c>
      <c r="AO618" s="78" t="b">
        <f t="shared" si="721"/>
        <v>0</v>
      </c>
      <c r="AP618" s="78"/>
    </row>
    <row r="619" spans="4:42" x14ac:dyDescent="0.35">
      <c r="D619" s="96"/>
      <c r="E619" s="96"/>
      <c r="G619" s="77">
        <f t="shared" si="675"/>
        <v>0</v>
      </c>
      <c r="H619" s="78">
        <f t="shared" si="676"/>
        <v>0</v>
      </c>
      <c r="I619" s="77">
        <f t="shared" si="677"/>
        <v>0</v>
      </c>
      <c r="J619" s="78">
        <f t="shared" si="678"/>
        <v>0</v>
      </c>
      <c r="K619" s="78" t="str">
        <f t="shared" si="679"/>
        <v>1900-01-00 00:0:00</v>
      </c>
      <c r="L619" s="78" t="str">
        <f t="shared" si="680"/>
        <v>1900-01-00 00:0:00</v>
      </c>
      <c r="M619" s="79">
        <f t="shared" si="681"/>
        <v>0</v>
      </c>
      <c r="N619">
        <f t="shared" si="682"/>
        <v>1</v>
      </c>
      <c r="O619" t="str">
        <f>IFERROR(_xlfn.XLOOKUP(A619,HC!A:A,HC!C:C),"")</f>
        <v>Workforce</v>
      </c>
      <c r="R619" s="78" t="b">
        <f t="shared" ref="R619:AO619" si="722">IFERROR(IF($B619=$D$1,IF(AND($K619&lt;R$1,$L619&lt;R$1),"",IF(AND($K619&gt;S$1,$L619&gt;S$1),"",IF(AND($K619&lt;R$1,$L619&lt;=S$1),$L619-R$1,IF(AND($K619&gt;=R$1,$L619&gt;S$1),S$1-$K619,IF(AND($K619&gt;=R$1,$L619&lt;=S$1),$L619-$K619,IF(AND($K619&lt;R$1,$L619&gt;S$1),S$1-R$1,""))))))),"")</f>
        <v>0</v>
      </c>
      <c r="S619" s="78" t="b">
        <f t="shared" si="722"/>
        <v>0</v>
      </c>
      <c r="T619" s="78" t="b">
        <f t="shared" si="722"/>
        <v>0</v>
      </c>
      <c r="U619" s="78" t="b">
        <f t="shared" si="722"/>
        <v>0</v>
      </c>
      <c r="V619" s="78" t="b">
        <f t="shared" si="722"/>
        <v>0</v>
      </c>
      <c r="W619" s="78" t="b">
        <f t="shared" si="722"/>
        <v>0</v>
      </c>
      <c r="X619" s="78" t="b">
        <f t="shared" si="722"/>
        <v>0</v>
      </c>
      <c r="Y619" s="78" t="b">
        <f t="shared" si="722"/>
        <v>0</v>
      </c>
      <c r="Z619" s="78" t="b">
        <f t="shared" si="722"/>
        <v>0</v>
      </c>
      <c r="AA619" s="78" t="b">
        <f t="shared" si="722"/>
        <v>0</v>
      </c>
      <c r="AB619" s="78" t="b">
        <f t="shared" si="722"/>
        <v>0</v>
      </c>
      <c r="AC619" s="78" t="b">
        <f t="shared" si="722"/>
        <v>0</v>
      </c>
      <c r="AD619" s="78" t="b">
        <f t="shared" si="722"/>
        <v>0</v>
      </c>
      <c r="AE619" s="78" t="b">
        <f t="shared" si="722"/>
        <v>0</v>
      </c>
      <c r="AF619" s="78" t="b">
        <f t="shared" si="722"/>
        <v>0</v>
      </c>
      <c r="AG619" s="78" t="b">
        <f t="shared" si="722"/>
        <v>0</v>
      </c>
      <c r="AH619" s="78" t="b">
        <f t="shared" si="722"/>
        <v>0</v>
      </c>
      <c r="AI619" s="78" t="b">
        <f t="shared" si="722"/>
        <v>0</v>
      </c>
      <c r="AJ619" s="78" t="b">
        <f t="shared" si="722"/>
        <v>0</v>
      </c>
      <c r="AK619" s="78" t="b">
        <f t="shared" si="722"/>
        <v>0</v>
      </c>
      <c r="AL619" s="78" t="b">
        <f t="shared" si="722"/>
        <v>0</v>
      </c>
      <c r="AM619" s="78" t="b">
        <f t="shared" si="722"/>
        <v>0</v>
      </c>
      <c r="AN619" s="78" t="b">
        <f t="shared" si="722"/>
        <v>0</v>
      </c>
      <c r="AO619" s="78" t="b">
        <f t="shared" si="722"/>
        <v>0</v>
      </c>
      <c r="AP619" s="78"/>
    </row>
    <row r="620" spans="4:42" x14ac:dyDescent="0.35">
      <c r="D620" s="96"/>
      <c r="E620" s="96"/>
      <c r="G620" s="77">
        <f t="shared" si="675"/>
        <v>0</v>
      </c>
      <c r="H620" s="78">
        <f t="shared" si="676"/>
        <v>0</v>
      </c>
      <c r="I620" s="77">
        <f t="shared" si="677"/>
        <v>0</v>
      </c>
      <c r="J620" s="78">
        <f t="shared" si="678"/>
        <v>0</v>
      </c>
      <c r="K620" s="78" t="str">
        <f t="shared" si="679"/>
        <v>1900-01-00 00:0:00</v>
      </c>
      <c r="L620" s="78" t="str">
        <f t="shared" si="680"/>
        <v>1900-01-00 00:0:00</v>
      </c>
      <c r="M620" s="79">
        <f t="shared" si="681"/>
        <v>0</v>
      </c>
      <c r="N620">
        <f t="shared" si="682"/>
        <v>1</v>
      </c>
      <c r="O620" t="str">
        <f>IFERROR(_xlfn.XLOOKUP(A620,HC!A:A,HC!C:C),"")</f>
        <v>Workforce</v>
      </c>
      <c r="R620" s="78" t="b">
        <f t="shared" ref="R620:AO620" si="723">IFERROR(IF($B620=$D$1,IF(AND($K620&lt;R$1,$L620&lt;R$1),"",IF(AND($K620&gt;S$1,$L620&gt;S$1),"",IF(AND($K620&lt;R$1,$L620&lt;=S$1),$L620-R$1,IF(AND($K620&gt;=R$1,$L620&gt;S$1),S$1-$K620,IF(AND($K620&gt;=R$1,$L620&lt;=S$1),$L620-$K620,IF(AND($K620&lt;R$1,$L620&gt;S$1),S$1-R$1,""))))))),"")</f>
        <v>0</v>
      </c>
      <c r="S620" s="78" t="b">
        <f t="shared" si="723"/>
        <v>0</v>
      </c>
      <c r="T620" s="78" t="b">
        <f t="shared" si="723"/>
        <v>0</v>
      </c>
      <c r="U620" s="78" t="b">
        <f t="shared" si="723"/>
        <v>0</v>
      </c>
      <c r="V620" s="78" t="b">
        <f t="shared" si="723"/>
        <v>0</v>
      </c>
      <c r="W620" s="78" t="b">
        <f t="shared" si="723"/>
        <v>0</v>
      </c>
      <c r="X620" s="78" t="b">
        <f t="shared" si="723"/>
        <v>0</v>
      </c>
      <c r="Y620" s="78" t="b">
        <f t="shared" si="723"/>
        <v>0</v>
      </c>
      <c r="Z620" s="78" t="b">
        <f t="shared" si="723"/>
        <v>0</v>
      </c>
      <c r="AA620" s="78" t="b">
        <f t="shared" si="723"/>
        <v>0</v>
      </c>
      <c r="AB620" s="78" t="b">
        <f t="shared" si="723"/>
        <v>0</v>
      </c>
      <c r="AC620" s="78" t="b">
        <f t="shared" si="723"/>
        <v>0</v>
      </c>
      <c r="AD620" s="78" t="b">
        <f t="shared" si="723"/>
        <v>0</v>
      </c>
      <c r="AE620" s="78" t="b">
        <f t="shared" si="723"/>
        <v>0</v>
      </c>
      <c r="AF620" s="78" t="b">
        <f t="shared" si="723"/>
        <v>0</v>
      </c>
      <c r="AG620" s="78" t="b">
        <f t="shared" si="723"/>
        <v>0</v>
      </c>
      <c r="AH620" s="78" t="b">
        <f t="shared" si="723"/>
        <v>0</v>
      </c>
      <c r="AI620" s="78" t="b">
        <f t="shared" si="723"/>
        <v>0</v>
      </c>
      <c r="AJ620" s="78" t="b">
        <f t="shared" si="723"/>
        <v>0</v>
      </c>
      <c r="AK620" s="78" t="b">
        <f t="shared" si="723"/>
        <v>0</v>
      </c>
      <c r="AL620" s="78" t="b">
        <f t="shared" si="723"/>
        <v>0</v>
      </c>
      <c r="AM620" s="78" t="b">
        <f t="shared" si="723"/>
        <v>0</v>
      </c>
      <c r="AN620" s="78" t="b">
        <f t="shared" si="723"/>
        <v>0</v>
      </c>
      <c r="AO620" s="78" t="b">
        <f t="shared" si="723"/>
        <v>0</v>
      </c>
      <c r="AP620" s="78"/>
    </row>
    <row r="621" spans="4:42" x14ac:dyDescent="0.35">
      <c r="D621" s="96"/>
      <c r="E621" s="96"/>
      <c r="G621" s="77">
        <f t="shared" si="675"/>
        <v>0</v>
      </c>
      <c r="H621" s="78">
        <f t="shared" si="676"/>
        <v>0</v>
      </c>
      <c r="I621" s="77">
        <f t="shared" si="677"/>
        <v>0</v>
      </c>
      <c r="J621" s="78">
        <f t="shared" si="678"/>
        <v>0</v>
      </c>
      <c r="K621" s="78" t="str">
        <f t="shared" si="679"/>
        <v>1900-01-00 00:0:00</v>
      </c>
      <c r="L621" s="78" t="str">
        <f t="shared" si="680"/>
        <v>1900-01-00 00:0:00</v>
      </c>
      <c r="M621" s="79">
        <f t="shared" si="681"/>
        <v>0</v>
      </c>
      <c r="N621">
        <f t="shared" si="682"/>
        <v>1</v>
      </c>
      <c r="O621" t="str">
        <f>IFERROR(_xlfn.XLOOKUP(A621,HC!A:A,HC!C:C),"")</f>
        <v>Workforce</v>
      </c>
      <c r="R621" s="78" t="b">
        <f t="shared" ref="R621:AO621" si="724">IFERROR(IF($B621=$D$1,IF(AND($K621&lt;R$1,$L621&lt;R$1),"",IF(AND($K621&gt;S$1,$L621&gt;S$1),"",IF(AND($K621&lt;R$1,$L621&lt;=S$1),$L621-R$1,IF(AND($K621&gt;=R$1,$L621&gt;S$1),S$1-$K621,IF(AND($K621&gt;=R$1,$L621&lt;=S$1),$L621-$K621,IF(AND($K621&lt;R$1,$L621&gt;S$1),S$1-R$1,""))))))),"")</f>
        <v>0</v>
      </c>
      <c r="S621" s="78" t="b">
        <f t="shared" si="724"/>
        <v>0</v>
      </c>
      <c r="T621" s="78" t="b">
        <f t="shared" si="724"/>
        <v>0</v>
      </c>
      <c r="U621" s="78" t="b">
        <f t="shared" si="724"/>
        <v>0</v>
      </c>
      <c r="V621" s="78" t="b">
        <f t="shared" si="724"/>
        <v>0</v>
      </c>
      <c r="W621" s="78" t="b">
        <f t="shared" si="724"/>
        <v>0</v>
      </c>
      <c r="X621" s="78" t="b">
        <f t="shared" si="724"/>
        <v>0</v>
      </c>
      <c r="Y621" s="78" t="b">
        <f t="shared" si="724"/>
        <v>0</v>
      </c>
      <c r="Z621" s="78" t="b">
        <f t="shared" si="724"/>
        <v>0</v>
      </c>
      <c r="AA621" s="78" t="b">
        <f t="shared" si="724"/>
        <v>0</v>
      </c>
      <c r="AB621" s="78" t="b">
        <f t="shared" si="724"/>
        <v>0</v>
      </c>
      <c r="AC621" s="78" t="b">
        <f t="shared" si="724"/>
        <v>0</v>
      </c>
      <c r="AD621" s="78" t="b">
        <f t="shared" si="724"/>
        <v>0</v>
      </c>
      <c r="AE621" s="78" t="b">
        <f t="shared" si="724"/>
        <v>0</v>
      </c>
      <c r="AF621" s="78" t="b">
        <f t="shared" si="724"/>
        <v>0</v>
      </c>
      <c r="AG621" s="78" t="b">
        <f t="shared" si="724"/>
        <v>0</v>
      </c>
      <c r="AH621" s="78" t="b">
        <f t="shared" si="724"/>
        <v>0</v>
      </c>
      <c r="AI621" s="78" t="b">
        <f t="shared" si="724"/>
        <v>0</v>
      </c>
      <c r="AJ621" s="78" t="b">
        <f t="shared" si="724"/>
        <v>0</v>
      </c>
      <c r="AK621" s="78" t="b">
        <f t="shared" si="724"/>
        <v>0</v>
      </c>
      <c r="AL621" s="78" t="b">
        <f t="shared" si="724"/>
        <v>0</v>
      </c>
      <c r="AM621" s="78" t="b">
        <f t="shared" si="724"/>
        <v>0</v>
      </c>
      <c r="AN621" s="78" t="b">
        <f t="shared" si="724"/>
        <v>0</v>
      </c>
      <c r="AO621" s="78" t="b">
        <f t="shared" si="724"/>
        <v>0</v>
      </c>
      <c r="AP621" s="78"/>
    </row>
    <row r="622" spans="4:42" x14ac:dyDescent="0.35">
      <c r="D622" s="96"/>
      <c r="E622" s="96"/>
      <c r="G622" s="77">
        <f t="shared" si="675"/>
        <v>0</v>
      </c>
      <c r="H622" s="78">
        <f t="shared" si="676"/>
        <v>0</v>
      </c>
      <c r="I622" s="77">
        <f t="shared" si="677"/>
        <v>0</v>
      </c>
      <c r="J622" s="78">
        <f t="shared" si="678"/>
        <v>0</v>
      </c>
      <c r="K622" s="78" t="str">
        <f t="shared" si="679"/>
        <v>1900-01-00 00:0:00</v>
      </c>
      <c r="L622" s="78" t="str">
        <f t="shared" si="680"/>
        <v>1900-01-00 00:0:00</v>
      </c>
      <c r="M622" s="79">
        <f t="shared" si="681"/>
        <v>0</v>
      </c>
      <c r="N622">
        <f t="shared" si="682"/>
        <v>1</v>
      </c>
      <c r="O622" t="str">
        <f>IFERROR(_xlfn.XLOOKUP(A622,HC!A:A,HC!C:C),"")</f>
        <v>Workforce</v>
      </c>
      <c r="R622" s="78" t="b">
        <f t="shared" ref="R622:AO622" si="725">IFERROR(IF($B622=$D$1,IF(AND($K622&lt;R$1,$L622&lt;R$1),"",IF(AND($K622&gt;S$1,$L622&gt;S$1),"",IF(AND($K622&lt;R$1,$L622&lt;=S$1),$L622-R$1,IF(AND($K622&gt;=R$1,$L622&gt;S$1),S$1-$K622,IF(AND($K622&gt;=R$1,$L622&lt;=S$1),$L622-$K622,IF(AND($K622&lt;R$1,$L622&gt;S$1),S$1-R$1,""))))))),"")</f>
        <v>0</v>
      </c>
      <c r="S622" s="78" t="b">
        <f t="shared" si="725"/>
        <v>0</v>
      </c>
      <c r="T622" s="78" t="b">
        <f t="shared" si="725"/>
        <v>0</v>
      </c>
      <c r="U622" s="78" t="b">
        <f t="shared" si="725"/>
        <v>0</v>
      </c>
      <c r="V622" s="78" t="b">
        <f t="shared" si="725"/>
        <v>0</v>
      </c>
      <c r="W622" s="78" t="b">
        <f t="shared" si="725"/>
        <v>0</v>
      </c>
      <c r="X622" s="78" t="b">
        <f t="shared" si="725"/>
        <v>0</v>
      </c>
      <c r="Y622" s="78" t="b">
        <f t="shared" si="725"/>
        <v>0</v>
      </c>
      <c r="Z622" s="78" t="b">
        <f t="shared" si="725"/>
        <v>0</v>
      </c>
      <c r="AA622" s="78" t="b">
        <f t="shared" si="725"/>
        <v>0</v>
      </c>
      <c r="AB622" s="78" t="b">
        <f t="shared" si="725"/>
        <v>0</v>
      </c>
      <c r="AC622" s="78" t="b">
        <f t="shared" si="725"/>
        <v>0</v>
      </c>
      <c r="AD622" s="78" t="b">
        <f t="shared" si="725"/>
        <v>0</v>
      </c>
      <c r="AE622" s="78" t="b">
        <f t="shared" si="725"/>
        <v>0</v>
      </c>
      <c r="AF622" s="78" t="b">
        <f t="shared" si="725"/>
        <v>0</v>
      </c>
      <c r="AG622" s="78" t="b">
        <f t="shared" si="725"/>
        <v>0</v>
      </c>
      <c r="AH622" s="78" t="b">
        <f t="shared" si="725"/>
        <v>0</v>
      </c>
      <c r="AI622" s="78" t="b">
        <f t="shared" si="725"/>
        <v>0</v>
      </c>
      <c r="AJ622" s="78" t="b">
        <f t="shared" si="725"/>
        <v>0</v>
      </c>
      <c r="AK622" s="78" t="b">
        <f t="shared" si="725"/>
        <v>0</v>
      </c>
      <c r="AL622" s="78" t="b">
        <f t="shared" si="725"/>
        <v>0</v>
      </c>
      <c r="AM622" s="78" t="b">
        <f t="shared" si="725"/>
        <v>0</v>
      </c>
      <c r="AN622" s="78" t="b">
        <f t="shared" si="725"/>
        <v>0</v>
      </c>
      <c r="AO622" s="78" t="b">
        <f t="shared" si="725"/>
        <v>0</v>
      </c>
      <c r="AP622" s="78"/>
    </row>
    <row r="623" spans="4:42" x14ac:dyDescent="0.35">
      <c r="D623" s="96"/>
      <c r="E623" s="96"/>
      <c r="G623" s="77">
        <f t="shared" si="675"/>
        <v>0</v>
      </c>
      <c r="H623" s="78">
        <f t="shared" si="676"/>
        <v>0</v>
      </c>
      <c r="I623" s="77">
        <f t="shared" si="677"/>
        <v>0</v>
      </c>
      <c r="J623" s="78">
        <f t="shared" si="678"/>
        <v>0</v>
      </c>
      <c r="K623" s="78" t="str">
        <f t="shared" si="679"/>
        <v>1900-01-00 00:0:00</v>
      </c>
      <c r="L623" s="78" t="str">
        <f t="shared" si="680"/>
        <v>1900-01-00 00:0:00</v>
      </c>
      <c r="M623" s="79">
        <f t="shared" si="681"/>
        <v>0</v>
      </c>
      <c r="N623">
        <f t="shared" si="682"/>
        <v>1</v>
      </c>
      <c r="O623" t="str">
        <f>IFERROR(_xlfn.XLOOKUP(A623,HC!A:A,HC!C:C),"")</f>
        <v>Workforce</v>
      </c>
      <c r="R623" s="78" t="b">
        <f t="shared" ref="R623:AO623" si="726">IFERROR(IF($B623=$D$1,IF(AND($K623&lt;R$1,$L623&lt;R$1),"",IF(AND($K623&gt;S$1,$L623&gt;S$1),"",IF(AND($K623&lt;R$1,$L623&lt;=S$1),$L623-R$1,IF(AND($K623&gt;=R$1,$L623&gt;S$1),S$1-$K623,IF(AND($K623&gt;=R$1,$L623&lt;=S$1),$L623-$K623,IF(AND($K623&lt;R$1,$L623&gt;S$1),S$1-R$1,""))))))),"")</f>
        <v>0</v>
      </c>
      <c r="S623" s="78" t="b">
        <f t="shared" si="726"/>
        <v>0</v>
      </c>
      <c r="T623" s="78" t="b">
        <f t="shared" si="726"/>
        <v>0</v>
      </c>
      <c r="U623" s="78" t="b">
        <f t="shared" si="726"/>
        <v>0</v>
      </c>
      <c r="V623" s="78" t="b">
        <f t="shared" si="726"/>
        <v>0</v>
      </c>
      <c r="W623" s="78" t="b">
        <f t="shared" si="726"/>
        <v>0</v>
      </c>
      <c r="X623" s="78" t="b">
        <f t="shared" si="726"/>
        <v>0</v>
      </c>
      <c r="Y623" s="78" t="b">
        <f t="shared" si="726"/>
        <v>0</v>
      </c>
      <c r="Z623" s="78" t="b">
        <f t="shared" si="726"/>
        <v>0</v>
      </c>
      <c r="AA623" s="78" t="b">
        <f t="shared" si="726"/>
        <v>0</v>
      </c>
      <c r="AB623" s="78" t="b">
        <f t="shared" si="726"/>
        <v>0</v>
      </c>
      <c r="AC623" s="78" t="b">
        <f t="shared" si="726"/>
        <v>0</v>
      </c>
      <c r="AD623" s="78" t="b">
        <f t="shared" si="726"/>
        <v>0</v>
      </c>
      <c r="AE623" s="78" t="b">
        <f t="shared" si="726"/>
        <v>0</v>
      </c>
      <c r="AF623" s="78" t="b">
        <f t="shared" si="726"/>
        <v>0</v>
      </c>
      <c r="AG623" s="78" t="b">
        <f t="shared" si="726"/>
        <v>0</v>
      </c>
      <c r="AH623" s="78" t="b">
        <f t="shared" si="726"/>
        <v>0</v>
      </c>
      <c r="AI623" s="78" t="b">
        <f t="shared" si="726"/>
        <v>0</v>
      </c>
      <c r="AJ623" s="78" t="b">
        <f t="shared" si="726"/>
        <v>0</v>
      </c>
      <c r="AK623" s="78" t="b">
        <f t="shared" si="726"/>
        <v>0</v>
      </c>
      <c r="AL623" s="78" t="b">
        <f t="shared" si="726"/>
        <v>0</v>
      </c>
      <c r="AM623" s="78" t="b">
        <f t="shared" si="726"/>
        <v>0</v>
      </c>
      <c r="AN623" s="78" t="b">
        <f t="shared" si="726"/>
        <v>0</v>
      </c>
      <c r="AO623" s="78" t="b">
        <f t="shared" si="726"/>
        <v>0</v>
      </c>
      <c r="AP623" s="78"/>
    </row>
    <row r="624" spans="4:42" x14ac:dyDescent="0.35">
      <c r="D624" s="96"/>
      <c r="E624" s="96"/>
      <c r="G624" s="77">
        <f t="shared" si="675"/>
        <v>0</v>
      </c>
      <c r="H624" s="78">
        <f t="shared" si="676"/>
        <v>0</v>
      </c>
      <c r="I624" s="77">
        <f t="shared" si="677"/>
        <v>0</v>
      </c>
      <c r="J624" s="78">
        <f t="shared" si="678"/>
        <v>0</v>
      </c>
      <c r="K624" s="78" t="str">
        <f t="shared" si="679"/>
        <v>1900-01-00 00:0:00</v>
      </c>
      <c r="L624" s="78" t="str">
        <f t="shared" si="680"/>
        <v>1900-01-00 00:0:00</v>
      </c>
      <c r="M624" s="79">
        <f t="shared" si="681"/>
        <v>0</v>
      </c>
      <c r="N624">
        <f t="shared" si="682"/>
        <v>1</v>
      </c>
      <c r="O624" t="str">
        <f>IFERROR(_xlfn.XLOOKUP(A624,HC!A:A,HC!C:C),"")</f>
        <v>Workforce</v>
      </c>
      <c r="R624" s="78" t="b">
        <f t="shared" ref="R624:AO624" si="727">IFERROR(IF($B624=$D$1,IF(AND($K624&lt;R$1,$L624&lt;R$1),"",IF(AND($K624&gt;S$1,$L624&gt;S$1),"",IF(AND($K624&lt;R$1,$L624&lt;=S$1),$L624-R$1,IF(AND($K624&gt;=R$1,$L624&gt;S$1),S$1-$K624,IF(AND($K624&gt;=R$1,$L624&lt;=S$1),$L624-$K624,IF(AND($K624&lt;R$1,$L624&gt;S$1),S$1-R$1,""))))))),"")</f>
        <v>0</v>
      </c>
      <c r="S624" s="78" t="b">
        <f t="shared" si="727"/>
        <v>0</v>
      </c>
      <c r="T624" s="78" t="b">
        <f t="shared" si="727"/>
        <v>0</v>
      </c>
      <c r="U624" s="78" t="b">
        <f t="shared" si="727"/>
        <v>0</v>
      </c>
      <c r="V624" s="78" t="b">
        <f t="shared" si="727"/>
        <v>0</v>
      </c>
      <c r="W624" s="78" t="b">
        <f t="shared" si="727"/>
        <v>0</v>
      </c>
      <c r="X624" s="78" t="b">
        <f t="shared" si="727"/>
        <v>0</v>
      </c>
      <c r="Y624" s="78" t="b">
        <f t="shared" si="727"/>
        <v>0</v>
      </c>
      <c r="Z624" s="78" t="b">
        <f t="shared" si="727"/>
        <v>0</v>
      </c>
      <c r="AA624" s="78" t="b">
        <f t="shared" si="727"/>
        <v>0</v>
      </c>
      <c r="AB624" s="78" t="b">
        <f t="shared" si="727"/>
        <v>0</v>
      </c>
      <c r="AC624" s="78" t="b">
        <f t="shared" si="727"/>
        <v>0</v>
      </c>
      <c r="AD624" s="78" t="b">
        <f t="shared" si="727"/>
        <v>0</v>
      </c>
      <c r="AE624" s="78" t="b">
        <f t="shared" si="727"/>
        <v>0</v>
      </c>
      <c r="AF624" s="78" t="b">
        <f t="shared" si="727"/>
        <v>0</v>
      </c>
      <c r="AG624" s="78" t="b">
        <f t="shared" si="727"/>
        <v>0</v>
      </c>
      <c r="AH624" s="78" t="b">
        <f t="shared" si="727"/>
        <v>0</v>
      </c>
      <c r="AI624" s="78" t="b">
        <f t="shared" si="727"/>
        <v>0</v>
      </c>
      <c r="AJ624" s="78" t="b">
        <f t="shared" si="727"/>
        <v>0</v>
      </c>
      <c r="AK624" s="78" t="b">
        <f t="shared" si="727"/>
        <v>0</v>
      </c>
      <c r="AL624" s="78" t="b">
        <f t="shared" si="727"/>
        <v>0</v>
      </c>
      <c r="AM624" s="78" t="b">
        <f t="shared" si="727"/>
        <v>0</v>
      </c>
      <c r="AN624" s="78" t="b">
        <f t="shared" si="727"/>
        <v>0</v>
      </c>
      <c r="AO624" s="78" t="b">
        <f t="shared" si="727"/>
        <v>0</v>
      </c>
      <c r="AP624" s="78"/>
    </row>
    <row r="625" spans="4:42" x14ac:dyDescent="0.35">
      <c r="D625" s="96"/>
      <c r="E625" s="96"/>
      <c r="G625" s="77">
        <f t="shared" si="675"/>
        <v>0</v>
      </c>
      <c r="H625" s="78">
        <f t="shared" si="676"/>
        <v>0</v>
      </c>
      <c r="I625" s="77">
        <f t="shared" si="677"/>
        <v>0</v>
      </c>
      <c r="J625" s="78">
        <f t="shared" si="678"/>
        <v>0</v>
      </c>
      <c r="K625" s="78" t="str">
        <f t="shared" si="679"/>
        <v>1900-01-00 00:0:00</v>
      </c>
      <c r="L625" s="78" t="str">
        <f t="shared" si="680"/>
        <v>1900-01-00 00:0:00</v>
      </c>
      <c r="M625" s="79">
        <f t="shared" si="681"/>
        <v>0</v>
      </c>
      <c r="N625">
        <f t="shared" si="682"/>
        <v>1</v>
      </c>
      <c r="O625" t="str">
        <f>IFERROR(_xlfn.XLOOKUP(A625,HC!A:A,HC!C:C),"")</f>
        <v>Workforce</v>
      </c>
      <c r="R625" s="78" t="b">
        <f t="shared" ref="R625:AO625" si="728">IFERROR(IF($B625=$D$1,IF(AND($K625&lt;R$1,$L625&lt;R$1),"",IF(AND($K625&gt;S$1,$L625&gt;S$1),"",IF(AND($K625&lt;R$1,$L625&lt;=S$1),$L625-R$1,IF(AND($K625&gt;=R$1,$L625&gt;S$1),S$1-$K625,IF(AND($K625&gt;=R$1,$L625&lt;=S$1),$L625-$K625,IF(AND($K625&lt;R$1,$L625&gt;S$1),S$1-R$1,""))))))),"")</f>
        <v>0</v>
      </c>
      <c r="S625" s="78" t="b">
        <f t="shared" si="728"/>
        <v>0</v>
      </c>
      <c r="T625" s="78" t="b">
        <f t="shared" si="728"/>
        <v>0</v>
      </c>
      <c r="U625" s="78" t="b">
        <f t="shared" si="728"/>
        <v>0</v>
      </c>
      <c r="V625" s="78" t="b">
        <f t="shared" si="728"/>
        <v>0</v>
      </c>
      <c r="W625" s="78" t="b">
        <f t="shared" si="728"/>
        <v>0</v>
      </c>
      <c r="X625" s="78" t="b">
        <f t="shared" si="728"/>
        <v>0</v>
      </c>
      <c r="Y625" s="78" t="b">
        <f t="shared" si="728"/>
        <v>0</v>
      </c>
      <c r="Z625" s="78" t="b">
        <f t="shared" si="728"/>
        <v>0</v>
      </c>
      <c r="AA625" s="78" t="b">
        <f t="shared" si="728"/>
        <v>0</v>
      </c>
      <c r="AB625" s="78" t="b">
        <f t="shared" si="728"/>
        <v>0</v>
      </c>
      <c r="AC625" s="78" t="b">
        <f t="shared" si="728"/>
        <v>0</v>
      </c>
      <c r="AD625" s="78" t="b">
        <f t="shared" si="728"/>
        <v>0</v>
      </c>
      <c r="AE625" s="78" t="b">
        <f t="shared" si="728"/>
        <v>0</v>
      </c>
      <c r="AF625" s="78" t="b">
        <f t="shared" si="728"/>
        <v>0</v>
      </c>
      <c r="AG625" s="78" t="b">
        <f t="shared" si="728"/>
        <v>0</v>
      </c>
      <c r="AH625" s="78" t="b">
        <f t="shared" si="728"/>
        <v>0</v>
      </c>
      <c r="AI625" s="78" t="b">
        <f t="shared" si="728"/>
        <v>0</v>
      </c>
      <c r="AJ625" s="78" t="b">
        <f t="shared" si="728"/>
        <v>0</v>
      </c>
      <c r="AK625" s="78" t="b">
        <f t="shared" si="728"/>
        <v>0</v>
      </c>
      <c r="AL625" s="78" t="b">
        <f t="shared" si="728"/>
        <v>0</v>
      </c>
      <c r="AM625" s="78" t="b">
        <f t="shared" si="728"/>
        <v>0</v>
      </c>
      <c r="AN625" s="78" t="b">
        <f t="shared" si="728"/>
        <v>0</v>
      </c>
      <c r="AO625" s="78" t="b">
        <f t="shared" si="728"/>
        <v>0</v>
      </c>
      <c r="AP625" s="78"/>
    </row>
    <row r="626" spans="4:42" x14ac:dyDescent="0.35">
      <c r="D626" s="96"/>
      <c r="E626" s="96"/>
      <c r="G626" s="77">
        <f t="shared" si="675"/>
        <v>0</v>
      </c>
      <c r="H626" s="78">
        <f t="shared" si="676"/>
        <v>0</v>
      </c>
      <c r="I626" s="77">
        <f t="shared" si="677"/>
        <v>0</v>
      </c>
      <c r="J626" s="78">
        <f t="shared" si="678"/>
        <v>0</v>
      </c>
      <c r="K626" s="78" t="str">
        <f t="shared" si="679"/>
        <v>1900-01-00 00:0:00</v>
      </c>
      <c r="L626" s="78" t="str">
        <f t="shared" si="680"/>
        <v>1900-01-00 00:0:00</v>
      </c>
      <c r="M626" s="79">
        <f t="shared" si="681"/>
        <v>0</v>
      </c>
      <c r="N626">
        <f t="shared" si="682"/>
        <v>1</v>
      </c>
      <c r="O626" t="str">
        <f>IFERROR(_xlfn.XLOOKUP(A626,HC!A:A,HC!C:C),"")</f>
        <v>Workforce</v>
      </c>
      <c r="R626" s="78" t="b">
        <f t="shared" ref="R626:AO626" si="729">IFERROR(IF($B626=$D$1,IF(AND($K626&lt;R$1,$L626&lt;R$1),"",IF(AND($K626&gt;S$1,$L626&gt;S$1),"",IF(AND($K626&lt;R$1,$L626&lt;=S$1),$L626-R$1,IF(AND($K626&gt;=R$1,$L626&gt;S$1),S$1-$K626,IF(AND($K626&gt;=R$1,$L626&lt;=S$1),$L626-$K626,IF(AND($K626&lt;R$1,$L626&gt;S$1),S$1-R$1,""))))))),"")</f>
        <v>0</v>
      </c>
      <c r="S626" s="78" t="b">
        <f t="shared" si="729"/>
        <v>0</v>
      </c>
      <c r="T626" s="78" t="b">
        <f t="shared" si="729"/>
        <v>0</v>
      </c>
      <c r="U626" s="78" t="b">
        <f t="shared" si="729"/>
        <v>0</v>
      </c>
      <c r="V626" s="78" t="b">
        <f t="shared" si="729"/>
        <v>0</v>
      </c>
      <c r="W626" s="78" t="b">
        <f t="shared" si="729"/>
        <v>0</v>
      </c>
      <c r="X626" s="78" t="b">
        <f t="shared" si="729"/>
        <v>0</v>
      </c>
      <c r="Y626" s="78" t="b">
        <f t="shared" si="729"/>
        <v>0</v>
      </c>
      <c r="Z626" s="78" t="b">
        <f t="shared" si="729"/>
        <v>0</v>
      </c>
      <c r="AA626" s="78" t="b">
        <f t="shared" si="729"/>
        <v>0</v>
      </c>
      <c r="AB626" s="78" t="b">
        <f t="shared" si="729"/>
        <v>0</v>
      </c>
      <c r="AC626" s="78" t="b">
        <f t="shared" si="729"/>
        <v>0</v>
      </c>
      <c r="AD626" s="78" t="b">
        <f t="shared" si="729"/>
        <v>0</v>
      </c>
      <c r="AE626" s="78" t="b">
        <f t="shared" si="729"/>
        <v>0</v>
      </c>
      <c r="AF626" s="78" t="b">
        <f t="shared" si="729"/>
        <v>0</v>
      </c>
      <c r="AG626" s="78" t="b">
        <f t="shared" si="729"/>
        <v>0</v>
      </c>
      <c r="AH626" s="78" t="b">
        <f t="shared" si="729"/>
        <v>0</v>
      </c>
      <c r="AI626" s="78" t="b">
        <f t="shared" si="729"/>
        <v>0</v>
      </c>
      <c r="AJ626" s="78" t="b">
        <f t="shared" si="729"/>
        <v>0</v>
      </c>
      <c r="AK626" s="78" t="b">
        <f t="shared" si="729"/>
        <v>0</v>
      </c>
      <c r="AL626" s="78" t="b">
        <f t="shared" si="729"/>
        <v>0</v>
      </c>
      <c r="AM626" s="78" t="b">
        <f t="shared" si="729"/>
        <v>0</v>
      </c>
      <c r="AN626" s="78" t="b">
        <f t="shared" si="729"/>
        <v>0</v>
      </c>
      <c r="AO626" s="78" t="b">
        <f t="shared" si="729"/>
        <v>0</v>
      </c>
      <c r="AP626" s="78"/>
    </row>
    <row r="627" spans="4:42" x14ac:dyDescent="0.35">
      <c r="D627" s="96"/>
      <c r="E627" s="96"/>
      <c r="G627" s="77">
        <f t="shared" si="675"/>
        <v>0</v>
      </c>
      <c r="H627" s="78">
        <f t="shared" si="676"/>
        <v>0</v>
      </c>
      <c r="I627" s="77">
        <f t="shared" si="677"/>
        <v>0</v>
      </c>
      <c r="J627" s="78">
        <f t="shared" si="678"/>
        <v>0</v>
      </c>
      <c r="K627" s="78" t="str">
        <f t="shared" si="679"/>
        <v>1900-01-00 00:0:00</v>
      </c>
      <c r="L627" s="78" t="str">
        <f t="shared" si="680"/>
        <v>1900-01-00 00:0:00</v>
      </c>
      <c r="M627" s="79">
        <f t="shared" si="681"/>
        <v>0</v>
      </c>
      <c r="N627">
        <f t="shared" si="682"/>
        <v>1</v>
      </c>
      <c r="O627" t="str">
        <f>IFERROR(_xlfn.XLOOKUP(A627,HC!A:A,HC!C:C),"")</f>
        <v>Workforce</v>
      </c>
      <c r="R627" s="78" t="b">
        <f t="shared" ref="R627:AO627" si="730">IFERROR(IF($B627=$D$1,IF(AND($K627&lt;R$1,$L627&lt;R$1),"",IF(AND($K627&gt;S$1,$L627&gt;S$1),"",IF(AND($K627&lt;R$1,$L627&lt;=S$1),$L627-R$1,IF(AND($K627&gt;=R$1,$L627&gt;S$1),S$1-$K627,IF(AND($K627&gt;=R$1,$L627&lt;=S$1),$L627-$K627,IF(AND($K627&lt;R$1,$L627&gt;S$1),S$1-R$1,""))))))),"")</f>
        <v>0</v>
      </c>
      <c r="S627" s="78" t="b">
        <f t="shared" si="730"/>
        <v>0</v>
      </c>
      <c r="T627" s="78" t="b">
        <f t="shared" si="730"/>
        <v>0</v>
      </c>
      <c r="U627" s="78" t="b">
        <f t="shared" si="730"/>
        <v>0</v>
      </c>
      <c r="V627" s="78" t="b">
        <f t="shared" si="730"/>
        <v>0</v>
      </c>
      <c r="W627" s="78" t="b">
        <f t="shared" si="730"/>
        <v>0</v>
      </c>
      <c r="X627" s="78" t="b">
        <f t="shared" si="730"/>
        <v>0</v>
      </c>
      <c r="Y627" s="78" t="b">
        <f t="shared" si="730"/>
        <v>0</v>
      </c>
      <c r="Z627" s="78" t="b">
        <f t="shared" si="730"/>
        <v>0</v>
      </c>
      <c r="AA627" s="78" t="b">
        <f t="shared" si="730"/>
        <v>0</v>
      </c>
      <c r="AB627" s="78" t="b">
        <f t="shared" si="730"/>
        <v>0</v>
      </c>
      <c r="AC627" s="78" t="b">
        <f t="shared" si="730"/>
        <v>0</v>
      </c>
      <c r="AD627" s="78" t="b">
        <f t="shared" si="730"/>
        <v>0</v>
      </c>
      <c r="AE627" s="78" t="b">
        <f t="shared" si="730"/>
        <v>0</v>
      </c>
      <c r="AF627" s="78" t="b">
        <f t="shared" si="730"/>
        <v>0</v>
      </c>
      <c r="AG627" s="78" t="b">
        <f t="shared" si="730"/>
        <v>0</v>
      </c>
      <c r="AH627" s="78" t="b">
        <f t="shared" si="730"/>
        <v>0</v>
      </c>
      <c r="AI627" s="78" t="b">
        <f t="shared" si="730"/>
        <v>0</v>
      </c>
      <c r="AJ627" s="78" t="b">
        <f t="shared" si="730"/>
        <v>0</v>
      </c>
      <c r="AK627" s="78" t="b">
        <f t="shared" si="730"/>
        <v>0</v>
      </c>
      <c r="AL627" s="78" t="b">
        <f t="shared" si="730"/>
        <v>0</v>
      </c>
      <c r="AM627" s="78" t="b">
        <f t="shared" si="730"/>
        <v>0</v>
      </c>
      <c r="AN627" s="78" t="b">
        <f t="shared" si="730"/>
        <v>0</v>
      </c>
      <c r="AO627" s="78" t="b">
        <f t="shared" si="730"/>
        <v>0</v>
      </c>
      <c r="AP627" s="78"/>
    </row>
    <row r="628" spans="4:42" x14ac:dyDescent="0.35">
      <c r="D628" s="96"/>
      <c r="E628" s="96"/>
      <c r="G628" s="77">
        <f t="shared" si="675"/>
        <v>0</v>
      </c>
      <c r="H628" s="78">
        <f t="shared" si="676"/>
        <v>0</v>
      </c>
      <c r="I628" s="77">
        <f t="shared" si="677"/>
        <v>0</v>
      </c>
      <c r="J628" s="78">
        <f t="shared" si="678"/>
        <v>0</v>
      </c>
      <c r="K628" s="78" t="str">
        <f t="shared" si="679"/>
        <v>1900-01-00 00:0:00</v>
      </c>
      <c r="L628" s="78" t="str">
        <f t="shared" si="680"/>
        <v>1900-01-00 00:0:00</v>
      </c>
      <c r="M628" s="79">
        <f t="shared" si="681"/>
        <v>0</v>
      </c>
      <c r="N628">
        <f t="shared" si="682"/>
        <v>1</v>
      </c>
      <c r="O628" t="str">
        <f>IFERROR(_xlfn.XLOOKUP(A628,HC!A:A,HC!C:C),"")</f>
        <v>Workforce</v>
      </c>
      <c r="R628" s="78" t="b">
        <f t="shared" ref="R628:AO628" si="731">IFERROR(IF($B628=$D$1,IF(AND($K628&lt;R$1,$L628&lt;R$1),"",IF(AND($K628&gt;S$1,$L628&gt;S$1),"",IF(AND($K628&lt;R$1,$L628&lt;=S$1),$L628-R$1,IF(AND($K628&gt;=R$1,$L628&gt;S$1),S$1-$K628,IF(AND($K628&gt;=R$1,$L628&lt;=S$1),$L628-$K628,IF(AND($K628&lt;R$1,$L628&gt;S$1),S$1-R$1,""))))))),"")</f>
        <v>0</v>
      </c>
      <c r="S628" s="78" t="b">
        <f t="shared" si="731"/>
        <v>0</v>
      </c>
      <c r="T628" s="78" t="b">
        <f t="shared" si="731"/>
        <v>0</v>
      </c>
      <c r="U628" s="78" t="b">
        <f t="shared" si="731"/>
        <v>0</v>
      </c>
      <c r="V628" s="78" t="b">
        <f t="shared" si="731"/>
        <v>0</v>
      </c>
      <c r="W628" s="78" t="b">
        <f t="shared" si="731"/>
        <v>0</v>
      </c>
      <c r="X628" s="78" t="b">
        <f t="shared" si="731"/>
        <v>0</v>
      </c>
      <c r="Y628" s="78" t="b">
        <f t="shared" si="731"/>
        <v>0</v>
      </c>
      <c r="Z628" s="78" t="b">
        <f t="shared" si="731"/>
        <v>0</v>
      </c>
      <c r="AA628" s="78" t="b">
        <f t="shared" si="731"/>
        <v>0</v>
      </c>
      <c r="AB628" s="78" t="b">
        <f t="shared" si="731"/>
        <v>0</v>
      </c>
      <c r="AC628" s="78" t="b">
        <f t="shared" si="731"/>
        <v>0</v>
      </c>
      <c r="AD628" s="78" t="b">
        <f t="shared" si="731"/>
        <v>0</v>
      </c>
      <c r="AE628" s="78" t="b">
        <f t="shared" si="731"/>
        <v>0</v>
      </c>
      <c r="AF628" s="78" t="b">
        <f t="shared" si="731"/>
        <v>0</v>
      </c>
      <c r="AG628" s="78" t="b">
        <f t="shared" si="731"/>
        <v>0</v>
      </c>
      <c r="AH628" s="78" t="b">
        <f t="shared" si="731"/>
        <v>0</v>
      </c>
      <c r="AI628" s="78" t="b">
        <f t="shared" si="731"/>
        <v>0</v>
      </c>
      <c r="AJ628" s="78" t="b">
        <f t="shared" si="731"/>
        <v>0</v>
      </c>
      <c r="AK628" s="78" t="b">
        <f t="shared" si="731"/>
        <v>0</v>
      </c>
      <c r="AL628" s="78" t="b">
        <f t="shared" si="731"/>
        <v>0</v>
      </c>
      <c r="AM628" s="78" t="b">
        <f t="shared" si="731"/>
        <v>0</v>
      </c>
      <c r="AN628" s="78" t="b">
        <f t="shared" si="731"/>
        <v>0</v>
      </c>
      <c r="AO628" s="78" t="b">
        <f t="shared" si="731"/>
        <v>0</v>
      </c>
      <c r="AP628" s="78"/>
    </row>
    <row r="629" spans="4:42" x14ac:dyDescent="0.35">
      <c r="D629" s="96"/>
      <c r="E629" s="96"/>
      <c r="G629" s="77">
        <f t="shared" si="675"/>
        <v>0</v>
      </c>
      <c r="H629" s="78">
        <f t="shared" si="676"/>
        <v>0</v>
      </c>
      <c r="I629" s="77">
        <f t="shared" si="677"/>
        <v>0</v>
      </c>
      <c r="J629" s="78">
        <f t="shared" si="678"/>
        <v>0</v>
      </c>
      <c r="K629" s="78" t="str">
        <f t="shared" si="679"/>
        <v>1900-01-00 00:0:00</v>
      </c>
      <c r="L629" s="78" t="str">
        <f t="shared" si="680"/>
        <v>1900-01-00 00:0:00</v>
      </c>
      <c r="M629" s="79">
        <f t="shared" si="681"/>
        <v>0</v>
      </c>
      <c r="N629">
        <f t="shared" si="682"/>
        <v>1</v>
      </c>
      <c r="O629" t="str">
        <f>IFERROR(_xlfn.XLOOKUP(A629,HC!A:A,HC!C:C),"")</f>
        <v>Workforce</v>
      </c>
      <c r="R629" s="78" t="b">
        <f t="shared" ref="R629:AO629" si="732">IFERROR(IF($B629=$D$1,IF(AND($K629&lt;R$1,$L629&lt;R$1),"",IF(AND($K629&gt;S$1,$L629&gt;S$1),"",IF(AND($K629&lt;R$1,$L629&lt;=S$1),$L629-R$1,IF(AND($K629&gt;=R$1,$L629&gt;S$1),S$1-$K629,IF(AND($K629&gt;=R$1,$L629&lt;=S$1),$L629-$K629,IF(AND($K629&lt;R$1,$L629&gt;S$1),S$1-R$1,""))))))),"")</f>
        <v>0</v>
      </c>
      <c r="S629" s="78" t="b">
        <f t="shared" si="732"/>
        <v>0</v>
      </c>
      <c r="T629" s="78" t="b">
        <f t="shared" si="732"/>
        <v>0</v>
      </c>
      <c r="U629" s="78" t="b">
        <f t="shared" si="732"/>
        <v>0</v>
      </c>
      <c r="V629" s="78" t="b">
        <f t="shared" si="732"/>
        <v>0</v>
      </c>
      <c r="W629" s="78" t="b">
        <f t="shared" si="732"/>
        <v>0</v>
      </c>
      <c r="X629" s="78" t="b">
        <f t="shared" si="732"/>
        <v>0</v>
      </c>
      <c r="Y629" s="78" t="b">
        <f t="shared" si="732"/>
        <v>0</v>
      </c>
      <c r="Z629" s="78" t="b">
        <f t="shared" si="732"/>
        <v>0</v>
      </c>
      <c r="AA629" s="78" t="b">
        <f t="shared" si="732"/>
        <v>0</v>
      </c>
      <c r="AB629" s="78" t="b">
        <f t="shared" si="732"/>
        <v>0</v>
      </c>
      <c r="AC629" s="78" t="b">
        <f t="shared" si="732"/>
        <v>0</v>
      </c>
      <c r="AD629" s="78" t="b">
        <f t="shared" si="732"/>
        <v>0</v>
      </c>
      <c r="AE629" s="78" t="b">
        <f t="shared" si="732"/>
        <v>0</v>
      </c>
      <c r="AF629" s="78" t="b">
        <f t="shared" si="732"/>
        <v>0</v>
      </c>
      <c r="AG629" s="78" t="b">
        <f t="shared" si="732"/>
        <v>0</v>
      </c>
      <c r="AH629" s="78" t="b">
        <f t="shared" si="732"/>
        <v>0</v>
      </c>
      <c r="AI629" s="78" t="b">
        <f t="shared" si="732"/>
        <v>0</v>
      </c>
      <c r="AJ629" s="78" t="b">
        <f t="shared" si="732"/>
        <v>0</v>
      </c>
      <c r="AK629" s="78" t="b">
        <f t="shared" si="732"/>
        <v>0</v>
      </c>
      <c r="AL629" s="78" t="b">
        <f t="shared" si="732"/>
        <v>0</v>
      </c>
      <c r="AM629" s="78" t="b">
        <f t="shared" si="732"/>
        <v>0</v>
      </c>
      <c r="AN629" s="78" t="b">
        <f t="shared" si="732"/>
        <v>0</v>
      </c>
      <c r="AO629" s="78" t="b">
        <f t="shared" si="732"/>
        <v>0</v>
      </c>
      <c r="AP629" s="78"/>
    </row>
    <row r="630" spans="4:42" x14ac:dyDescent="0.35">
      <c r="D630" s="96"/>
      <c r="E630" s="96"/>
      <c r="G630" s="77">
        <f t="shared" si="675"/>
        <v>0</v>
      </c>
      <c r="H630" s="78">
        <f t="shared" si="676"/>
        <v>0</v>
      </c>
      <c r="I630" s="77">
        <f t="shared" si="677"/>
        <v>0</v>
      </c>
      <c r="J630" s="78">
        <f t="shared" si="678"/>
        <v>0</v>
      </c>
      <c r="K630" s="78" t="str">
        <f t="shared" si="679"/>
        <v>1900-01-00 00:0:00</v>
      </c>
      <c r="L630" s="78" t="str">
        <f t="shared" si="680"/>
        <v>1900-01-00 00:0:00</v>
      </c>
      <c r="M630" s="79">
        <f t="shared" si="681"/>
        <v>0</v>
      </c>
      <c r="N630">
        <f t="shared" si="682"/>
        <v>1</v>
      </c>
      <c r="O630" t="str">
        <f>IFERROR(_xlfn.XLOOKUP(A630,HC!A:A,HC!C:C),"")</f>
        <v>Workforce</v>
      </c>
      <c r="R630" s="78" t="b">
        <f t="shared" ref="R630:AO630" si="733">IFERROR(IF($B630=$D$1,IF(AND($K630&lt;R$1,$L630&lt;R$1),"",IF(AND($K630&gt;S$1,$L630&gt;S$1),"",IF(AND($K630&lt;R$1,$L630&lt;=S$1),$L630-R$1,IF(AND($K630&gt;=R$1,$L630&gt;S$1),S$1-$K630,IF(AND($K630&gt;=R$1,$L630&lt;=S$1),$L630-$K630,IF(AND($K630&lt;R$1,$L630&gt;S$1),S$1-R$1,""))))))),"")</f>
        <v>0</v>
      </c>
      <c r="S630" s="78" t="b">
        <f t="shared" si="733"/>
        <v>0</v>
      </c>
      <c r="T630" s="78" t="b">
        <f t="shared" si="733"/>
        <v>0</v>
      </c>
      <c r="U630" s="78" t="b">
        <f t="shared" si="733"/>
        <v>0</v>
      </c>
      <c r="V630" s="78" t="b">
        <f t="shared" si="733"/>
        <v>0</v>
      </c>
      <c r="W630" s="78" t="b">
        <f t="shared" si="733"/>
        <v>0</v>
      </c>
      <c r="X630" s="78" t="b">
        <f t="shared" si="733"/>
        <v>0</v>
      </c>
      <c r="Y630" s="78" t="b">
        <f t="shared" si="733"/>
        <v>0</v>
      </c>
      <c r="Z630" s="78" t="b">
        <f t="shared" si="733"/>
        <v>0</v>
      </c>
      <c r="AA630" s="78" t="b">
        <f t="shared" si="733"/>
        <v>0</v>
      </c>
      <c r="AB630" s="78" t="b">
        <f t="shared" si="733"/>
        <v>0</v>
      </c>
      <c r="AC630" s="78" t="b">
        <f t="shared" si="733"/>
        <v>0</v>
      </c>
      <c r="AD630" s="78" t="b">
        <f t="shared" si="733"/>
        <v>0</v>
      </c>
      <c r="AE630" s="78" t="b">
        <f t="shared" si="733"/>
        <v>0</v>
      </c>
      <c r="AF630" s="78" t="b">
        <f t="shared" si="733"/>
        <v>0</v>
      </c>
      <c r="AG630" s="78" t="b">
        <f t="shared" si="733"/>
        <v>0</v>
      </c>
      <c r="AH630" s="78" t="b">
        <f t="shared" si="733"/>
        <v>0</v>
      </c>
      <c r="AI630" s="78" t="b">
        <f t="shared" si="733"/>
        <v>0</v>
      </c>
      <c r="AJ630" s="78" t="b">
        <f t="shared" si="733"/>
        <v>0</v>
      </c>
      <c r="AK630" s="78" t="b">
        <f t="shared" si="733"/>
        <v>0</v>
      </c>
      <c r="AL630" s="78" t="b">
        <f t="shared" si="733"/>
        <v>0</v>
      </c>
      <c r="AM630" s="78" t="b">
        <f t="shared" si="733"/>
        <v>0</v>
      </c>
      <c r="AN630" s="78" t="b">
        <f t="shared" si="733"/>
        <v>0</v>
      </c>
      <c r="AO630" s="78" t="b">
        <f t="shared" si="733"/>
        <v>0</v>
      </c>
      <c r="AP630" s="78"/>
    </row>
    <row r="631" spans="4:42" x14ac:dyDescent="0.35">
      <c r="D631" s="96"/>
      <c r="E631" s="96"/>
      <c r="G631" s="77">
        <f t="shared" si="675"/>
        <v>0</v>
      </c>
      <c r="H631" s="78">
        <f t="shared" si="676"/>
        <v>0</v>
      </c>
      <c r="I631" s="77">
        <f t="shared" si="677"/>
        <v>0</v>
      </c>
      <c r="J631" s="78">
        <f t="shared" si="678"/>
        <v>0</v>
      </c>
      <c r="K631" s="78" t="str">
        <f t="shared" si="679"/>
        <v>1900-01-00 00:0:00</v>
      </c>
      <c r="L631" s="78" t="str">
        <f t="shared" si="680"/>
        <v>1900-01-00 00:0:00</v>
      </c>
      <c r="M631" s="79">
        <f t="shared" si="681"/>
        <v>0</v>
      </c>
      <c r="N631">
        <f t="shared" si="682"/>
        <v>1</v>
      </c>
      <c r="O631" t="str">
        <f>IFERROR(_xlfn.XLOOKUP(A631,HC!A:A,HC!C:C),"")</f>
        <v>Workforce</v>
      </c>
      <c r="R631" s="78" t="b">
        <f t="shared" ref="R631:AO631" si="734">IFERROR(IF($B631=$D$1,IF(AND($K631&lt;R$1,$L631&lt;R$1),"",IF(AND($K631&gt;S$1,$L631&gt;S$1),"",IF(AND($K631&lt;R$1,$L631&lt;=S$1),$L631-R$1,IF(AND($K631&gt;=R$1,$L631&gt;S$1),S$1-$K631,IF(AND($K631&gt;=R$1,$L631&lt;=S$1),$L631-$K631,IF(AND($K631&lt;R$1,$L631&gt;S$1),S$1-R$1,""))))))),"")</f>
        <v>0</v>
      </c>
      <c r="S631" s="78" t="b">
        <f t="shared" si="734"/>
        <v>0</v>
      </c>
      <c r="T631" s="78" t="b">
        <f t="shared" si="734"/>
        <v>0</v>
      </c>
      <c r="U631" s="78" t="b">
        <f t="shared" si="734"/>
        <v>0</v>
      </c>
      <c r="V631" s="78" t="b">
        <f t="shared" si="734"/>
        <v>0</v>
      </c>
      <c r="W631" s="78" t="b">
        <f t="shared" si="734"/>
        <v>0</v>
      </c>
      <c r="X631" s="78" t="b">
        <f t="shared" si="734"/>
        <v>0</v>
      </c>
      <c r="Y631" s="78" t="b">
        <f t="shared" si="734"/>
        <v>0</v>
      </c>
      <c r="Z631" s="78" t="b">
        <f t="shared" si="734"/>
        <v>0</v>
      </c>
      <c r="AA631" s="78" t="b">
        <f t="shared" si="734"/>
        <v>0</v>
      </c>
      <c r="AB631" s="78" t="b">
        <f t="shared" si="734"/>
        <v>0</v>
      </c>
      <c r="AC631" s="78" t="b">
        <f t="shared" si="734"/>
        <v>0</v>
      </c>
      <c r="AD631" s="78" t="b">
        <f t="shared" si="734"/>
        <v>0</v>
      </c>
      <c r="AE631" s="78" t="b">
        <f t="shared" si="734"/>
        <v>0</v>
      </c>
      <c r="AF631" s="78" t="b">
        <f t="shared" si="734"/>
        <v>0</v>
      </c>
      <c r="AG631" s="78" t="b">
        <f t="shared" si="734"/>
        <v>0</v>
      </c>
      <c r="AH631" s="78" t="b">
        <f t="shared" si="734"/>
        <v>0</v>
      </c>
      <c r="AI631" s="78" t="b">
        <f t="shared" si="734"/>
        <v>0</v>
      </c>
      <c r="AJ631" s="78" t="b">
        <f t="shared" si="734"/>
        <v>0</v>
      </c>
      <c r="AK631" s="78" t="b">
        <f t="shared" si="734"/>
        <v>0</v>
      </c>
      <c r="AL631" s="78" t="b">
        <f t="shared" si="734"/>
        <v>0</v>
      </c>
      <c r="AM631" s="78" t="b">
        <f t="shared" si="734"/>
        <v>0</v>
      </c>
      <c r="AN631" s="78" t="b">
        <f t="shared" si="734"/>
        <v>0</v>
      </c>
      <c r="AO631" s="78" t="b">
        <f t="shared" si="734"/>
        <v>0</v>
      </c>
      <c r="AP631" s="78"/>
    </row>
    <row r="632" spans="4:42" x14ac:dyDescent="0.35">
      <c r="D632" s="96"/>
      <c r="E632" s="96"/>
      <c r="G632" s="77">
        <f t="shared" si="675"/>
        <v>0</v>
      </c>
      <c r="H632" s="78">
        <f t="shared" si="676"/>
        <v>0</v>
      </c>
      <c r="I632" s="77">
        <f t="shared" si="677"/>
        <v>0</v>
      </c>
      <c r="J632" s="78">
        <f t="shared" si="678"/>
        <v>0</v>
      </c>
      <c r="K632" s="78" t="str">
        <f t="shared" si="679"/>
        <v>1900-01-00 00:0:00</v>
      </c>
      <c r="L632" s="78" t="str">
        <f t="shared" si="680"/>
        <v>1900-01-00 00:0:00</v>
      </c>
      <c r="M632" s="79">
        <f t="shared" si="681"/>
        <v>0</v>
      </c>
      <c r="N632">
        <f t="shared" si="682"/>
        <v>1</v>
      </c>
      <c r="O632" t="str">
        <f>IFERROR(_xlfn.XLOOKUP(A632,HC!A:A,HC!C:C),"")</f>
        <v>Workforce</v>
      </c>
      <c r="R632" s="78" t="b">
        <f t="shared" ref="R632:AO632" si="735">IFERROR(IF($B632=$D$1,IF(AND($K632&lt;R$1,$L632&lt;R$1),"",IF(AND($K632&gt;S$1,$L632&gt;S$1),"",IF(AND($K632&lt;R$1,$L632&lt;=S$1),$L632-R$1,IF(AND($K632&gt;=R$1,$L632&gt;S$1),S$1-$K632,IF(AND($K632&gt;=R$1,$L632&lt;=S$1),$L632-$K632,IF(AND($K632&lt;R$1,$L632&gt;S$1),S$1-R$1,""))))))),"")</f>
        <v>0</v>
      </c>
      <c r="S632" s="78" t="b">
        <f t="shared" si="735"/>
        <v>0</v>
      </c>
      <c r="T632" s="78" t="b">
        <f t="shared" si="735"/>
        <v>0</v>
      </c>
      <c r="U632" s="78" t="b">
        <f t="shared" si="735"/>
        <v>0</v>
      </c>
      <c r="V632" s="78" t="b">
        <f t="shared" si="735"/>
        <v>0</v>
      </c>
      <c r="W632" s="78" t="b">
        <f t="shared" si="735"/>
        <v>0</v>
      </c>
      <c r="X632" s="78" t="b">
        <f t="shared" si="735"/>
        <v>0</v>
      </c>
      <c r="Y632" s="78" t="b">
        <f t="shared" si="735"/>
        <v>0</v>
      </c>
      <c r="Z632" s="78" t="b">
        <f t="shared" si="735"/>
        <v>0</v>
      </c>
      <c r="AA632" s="78" t="b">
        <f t="shared" si="735"/>
        <v>0</v>
      </c>
      <c r="AB632" s="78" t="b">
        <f t="shared" si="735"/>
        <v>0</v>
      </c>
      <c r="AC632" s="78" t="b">
        <f t="shared" si="735"/>
        <v>0</v>
      </c>
      <c r="AD632" s="78" t="b">
        <f t="shared" si="735"/>
        <v>0</v>
      </c>
      <c r="AE632" s="78" t="b">
        <f t="shared" si="735"/>
        <v>0</v>
      </c>
      <c r="AF632" s="78" t="b">
        <f t="shared" si="735"/>
        <v>0</v>
      </c>
      <c r="AG632" s="78" t="b">
        <f t="shared" si="735"/>
        <v>0</v>
      </c>
      <c r="AH632" s="78" t="b">
        <f t="shared" si="735"/>
        <v>0</v>
      </c>
      <c r="AI632" s="78" t="b">
        <f t="shared" si="735"/>
        <v>0</v>
      </c>
      <c r="AJ632" s="78" t="b">
        <f t="shared" si="735"/>
        <v>0</v>
      </c>
      <c r="AK632" s="78" t="b">
        <f t="shared" si="735"/>
        <v>0</v>
      </c>
      <c r="AL632" s="78" t="b">
        <f t="shared" si="735"/>
        <v>0</v>
      </c>
      <c r="AM632" s="78" t="b">
        <f t="shared" si="735"/>
        <v>0</v>
      </c>
      <c r="AN632" s="78" t="b">
        <f t="shared" si="735"/>
        <v>0</v>
      </c>
      <c r="AO632" s="78" t="b">
        <f t="shared" si="735"/>
        <v>0</v>
      </c>
      <c r="AP632" s="78"/>
    </row>
    <row r="633" spans="4:42" x14ac:dyDescent="0.35">
      <c r="D633" s="96"/>
      <c r="E633" s="96"/>
      <c r="G633" s="77">
        <f t="shared" si="675"/>
        <v>0</v>
      </c>
      <c r="H633" s="78">
        <f t="shared" si="676"/>
        <v>0</v>
      </c>
      <c r="I633" s="77">
        <f t="shared" si="677"/>
        <v>0</v>
      </c>
      <c r="J633" s="78">
        <f t="shared" si="678"/>
        <v>0</v>
      </c>
      <c r="K633" s="78" t="str">
        <f t="shared" si="679"/>
        <v>1900-01-00 00:0:00</v>
      </c>
      <c r="L633" s="78" t="str">
        <f t="shared" si="680"/>
        <v>1900-01-00 00:0:00</v>
      </c>
      <c r="M633" s="79">
        <f t="shared" si="681"/>
        <v>0</v>
      </c>
      <c r="N633">
        <f t="shared" si="682"/>
        <v>1</v>
      </c>
      <c r="O633" t="str">
        <f>IFERROR(_xlfn.XLOOKUP(A633,HC!A:A,HC!C:C),"")</f>
        <v>Workforce</v>
      </c>
      <c r="R633" s="78" t="b">
        <f t="shared" ref="R633:AO633" si="736">IFERROR(IF($B633=$D$1,IF(AND($K633&lt;R$1,$L633&lt;R$1),"",IF(AND($K633&gt;S$1,$L633&gt;S$1),"",IF(AND($K633&lt;R$1,$L633&lt;=S$1),$L633-R$1,IF(AND($K633&gt;=R$1,$L633&gt;S$1),S$1-$K633,IF(AND($K633&gt;=R$1,$L633&lt;=S$1),$L633-$K633,IF(AND($K633&lt;R$1,$L633&gt;S$1),S$1-R$1,""))))))),"")</f>
        <v>0</v>
      </c>
      <c r="S633" s="78" t="b">
        <f t="shared" si="736"/>
        <v>0</v>
      </c>
      <c r="T633" s="78" t="b">
        <f t="shared" si="736"/>
        <v>0</v>
      </c>
      <c r="U633" s="78" t="b">
        <f t="shared" si="736"/>
        <v>0</v>
      </c>
      <c r="V633" s="78" t="b">
        <f t="shared" si="736"/>
        <v>0</v>
      </c>
      <c r="W633" s="78" t="b">
        <f t="shared" si="736"/>
        <v>0</v>
      </c>
      <c r="X633" s="78" t="b">
        <f t="shared" si="736"/>
        <v>0</v>
      </c>
      <c r="Y633" s="78" t="b">
        <f t="shared" si="736"/>
        <v>0</v>
      </c>
      <c r="Z633" s="78" t="b">
        <f t="shared" si="736"/>
        <v>0</v>
      </c>
      <c r="AA633" s="78" t="b">
        <f t="shared" si="736"/>
        <v>0</v>
      </c>
      <c r="AB633" s="78" t="b">
        <f t="shared" si="736"/>
        <v>0</v>
      </c>
      <c r="AC633" s="78" t="b">
        <f t="shared" si="736"/>
        <v>0</v>
      </c>
      <c r="AD633" s="78" t="b">
        <f t="shared" si="736"/>
        <v>0</v>
      </c>
      <c r="AE633" s="78" t="b">
        <f t="shared" si="736"/>
        <v>0</v>
      </c>
      <c r="AF633" s="78" t="b">
        <f t="shared" si="736"/>
        <v>0</v>
      </c>
      <c r="AG633" s="78" t="b">
        <f t="shared" si="736"/>
        <v>0</v>
      </c>
      <c r="AH633" s="78" t="b">
        <f t="shared" si="736"/>
        <v>0</v>
      </c>
      <c r="AI633" s="78" t="b">
        <f t="shared" si="736"/>
        <v>0</v>
      </c>
      <c r="AJ633" s="78" t="b">
        <f t="shared" si="736"/>
        <v>0</v>
      </c>
      <c r="AK633" s="78" t="b">
        <f t="shared" si="736"/>
        <v>0</v>
      </c>
      <c r="AL633" s="78" t="b">
        <f t="shared" si="736"/>
        <v>0</v>
      </c>
      <c r="AM633" s="78" t="b">
        <f t="shared" si="736"/>
        <v>0</v>
      </c>
      <c r="AN633" s="78" t="b">
        <f t="shared" si="736"/>
        <v>0</v>
      </c>
      <c r="AO633" s="78" t="b">
        <f t="shared" si="736"/>
        <v>0</v>
      </c>
      <c r="AP633" s="78"/>
    </row>
    <row r="634" spans="4:42" x14ac:dyDescent="0.35">
      <c r="D634" s="96"/>
      <c r="E634" s="96"/>
      <c r="G634" s="77">
        <f t="shared" si="675"/>
        <v>0</v>
      </c>
      <c r="H634" s="78">
        <f t="shared" si="676"/>
        <v>0</v>
      </c>
      <c r="I634" s="77">
        <f t="shared" si="677"/>
        <v>0</v>
      </c>
      <c r="J634" s="78">
        <f t="shared" si="678"/>
        <v>0</v>
      </c>
      <c r="K634" s="78" t="str">
        <f t="shared" si="679"/>
        <v>1900-01-00 00:0:00</v>
      </c>
      <c r="L634" s="78" t="str">
        <f t="shared" si="680"/>
        <v>1900-01-00 00:0:00</v>
      </c>
      <c r="M634" s="79">
        <f t="shared" si="681"/>
        <v>0</v>
      </c>
      <c r="N634">
        <f t="shared" si="682"/>
        <v>1</v>
      </c>
      <c r="O634" t="str">
        <f>IFERROR(_xlfn.XLOOKUP(A634,HC!A:A,HC!C:C),"")</f>
        <v>Workforce</v>
      </c>
      <c r="R634" s="78" t="b">
        <f t="shared" ref="R634:AO634" si="737">IFERROR(IF($B634=$D$1,IF(AND($K634&lt;R$1,$L634&lt;R$1),"",IF(AND($K634&gt;S$1,$L634&gt;S$1),"",IF(AND($K634&lt;R$1,$L634&lt;=S$1),$L634-R$1,IF(AND($K634&gt;=R$1,$L634&gt;S$1),S$1-$K634,IF(AND($K634&gt;=R$1,$L634&lt;=S$1),$L634-$K634,IF(AND($K634&lt;R$1,$L634&gt;S$1),S$1-R$1,""))))))),"")</f>
        <v>0</v>
      </c>
      <c r="S634" s="78" t="b">
        <f t="shared" si="737"/>
        <v>0</v>
      </c>
      <c r="T634" s="78" t="b">
        <f t="shared" si="737"/>
        <v>0</v>
      </c>
      <c r="U634" s="78" t="b">
        <f t="shared" si="737"/>
        <v>0</v>
      </c>
      <c r="V634" s="78" t="b">
        <f t="shared" si="737"/>
        <v>0</v>
      </c>
      <c r="W634" s="78" t="b">
        <f t="shared" si="737"/>
        <v>0</v>
      </c>
      <c r="X634" s="78" t="b">
        <f t="shared" si="737"/>
        <v>0</v>
      </c>
      <c r="Y634" s="78" t="b">
        <f t="shared" si="737"/>
        <v>0</v>
      </c>
      <c r="Z634" s="78" t="b">
        <f t="shared" si="737"/>
        <v>0</v>
      </c>
      <c r="AA634" s="78" t="b">
        <f t="shared" si="737"/>
        <v>0</v>
      </c>
      <c r="AB634" s="78" t="b">
        <f t="shared" si="737"/>
        <v>0</v>
      </c>
      <c r="AC634" s="78" t="b">
        <f t="shared" si="737"/>
        <v>0</v>
      </c>
      <c r="AD634" s="78" t="b">
        <f t="shared" si="737"/>
        <v>0</v>
      </c>
      <c r="AE634" s="78" t="b">
        <f t="shared" si="737"/>
        <v>0</v>
      </c>
      <c r="AF634" s="78" t="b">
        <f t="shared" si="737"/>
        <v>0</v>
      </c>
      <c r="AG634" s="78" t="b">
        <f t="shared" si="737"/>
        <v>0</v>
      </c>
      <c r="AH634" s="78" t="b">
        <f t="shared" si="737"/>
        <v>0</v>
      </c>
      <c r="AI634" s="78" t="b">
        <f t="shared" si="737"/>
        <v>0</v>
      </c>
      <c r="AJ634" s="78" t="b">
        <f t="shared" si="737"/>
        <v>0</v>
      </c>
      <c r="AK634" s="78" t="b">
        <f t="shared" si="737"/>
        <v>0</v>
      </c>
      <c r="AL634" s="78" t="b">
        <f t="shared" si="737"/>
        <v>0</v>
      </c>
      <c r="AM634" s="78" t="b">
        <f t="shared" si="737"/>
        <v>0</v>
      </c>
      <c r="AN634" s="78" t="b">
        <f t="shared" si="737"/>
        <v>0</v>
      </c>
      <c r="AO634" s="78" t="b">
        <f t="shared" si="737"/>
        <v>0</v>
      </c>
      <c r="AP634" s="78"/>
    </row>
    <row r="635" spans="4:42" x14ac:dyDescent="0.35">
      <c r="D635" s="96"/>
      <c r="E635" s="96"/>
      <c r="G635" s="77">
        <f t="shared" si="675"/>
        <v>0</v>
      </c>
      <c r="H635" s="78">
        <f t="shared" si="676"/>
        <v>0</v>
      </c>
      <c r="I635" s="77">
        <f t="shared" si="677"/>
        <v>0</v>
      </c>
      <c r="J635" s="78">
        <f t="shared" si="678"/>
        <v>0</v>
      </c>
      <c r="K635" s="78" t="str">
        <f t="shared" si="679"/>
        <v>1900-01-00 00:0:00</v>
      </c>
      <c r="L635" s="78" t="str">
        <f t="shared" si="680"/>
        <v>1900-01-00 00:0:00</v>
      </c>
      <c r="M635" s="79">
        <f t="shared" si="681"/>
        <v>0</v>
      </c>
      <c r="N635">
        <f t="shared" si="682"/>
        <v>1</v>
      </c>
      <c r="O635" t="str">
        <f>IFERROR(_xlfn.XLOOKUP(A635,HC!A:A,HC!C:C),"")</f>
        <v>Workforce</v>
      </c>
      <c r="R635" s="78" t="b">
        <f t="shared" ref="R635:AO635" si="738">IFERROR(IF($B635=$D$1,IF(AND($K635&lt;R$1,$L635&lt;R$1),"",IF(AND($K635&gt;S$1,$L635&gt;S$1),"",IF(AND($K635&lt;R$1,$L635&lt;=S$1),$L635-R$1,IF(AND($K635&gt;=R$1,$L635&gt;S$1),S$1-$K635,IF(AND($K635&gt;=R$1,$L635&lt;=S$1),$L635-$K635,IF(AND($K635&lt;R$1,$L635&gt;S$1),S$1-R$1,""))))))),"")</f>
        <v>0</v>
      </c>
      <c r="S635" s="78" t="b">
        <f t="shared" si="738"/>
        <v>0</v>
      </c>
      <c r="T635" s="78" t="b">
        <f t="shared" si="738"/>
        <v>0</v>
      </c>
      <c r="U635" s="78" t="b">
        <f t="shared" si="738"/>
        <v>0</v>
      </c>
      <c r="V635" s="78" t="b">
        <f t="shared" si="738"/>
        <v>0</v>
      </c>
      <c r="W635" s="78" t="b">
        <f t="shared" si="738"/>
        <v>0</v>
      </c>
      <c r="X635" s="78" t="b">
        <f t="shared" si="738"/>
        <v>0</v>
      </c>
      <c r="Y635" s="78" t="b">
        <f t="shared" si="738"/>
        <v>0</v>
      </c>
      <c r="Z635" s="78" t="b">
        <f t="shared" si="738"/>
        <v>0</v>
      </c>
      <c r="AA635" s="78" t="b">
        <f t="shared" si="738"/>
        <v>0</v>
      </c>
      <c r="AB635" s="78" t="b">
        <f t="shared" si="738"/>
        <v>0</v>
      </c>
      <c r="AC635" s="78" t="b">
        <f t="shared" si="738"/>
        <v>0</v>
      </c>
      <c r="AD635" s="78" t="b">
        <f t="shared" si="738"/>
        <v>0</v>
      </c>
      <c r="AE635" s="78" t="b">
        <f t="shared" si="738"/>
        <v>0</v>
      </c>
      <c r="AF635" s="78" t="b">
        <f t="shared" si="738"/>
        <v>0</v>
      </c>
      <c r="AG635" s="78" t="b">
        <f t="shared" si="738"/>
        <v>0</v>
      </c>
      <c r="AH635" s="78" t="b">
        <f t="shared" si="738"/>
        <v>0</v>
      </c>
      <c r="AI635" s="78" t="b">
        <f t="shared" si="738"/>
        <v>0</v>
      </c>
      <c r="AJ635" s="78" t="b">
        <f t="shared" si="738"/>
        <v>0</v>
      </c>
      <c r="AK635" s="78" t="b">
        <f t="shared" si="738"/>
        <v>0</v>
      </c>
      <c r="AL635" s="78" t="b">
        <f t="shared" si="738"/>
        <v>0</v>
      </c>
      <c r="AM635" s="78" t="b">
        <f t="shared" si="738"/>
        <v>0</v>
      </c>
      <c r="AN635" s="78" t="b">
        <f t="shared" si="738"/>
        <v>0</v>
      </c>
      <c r="AO635" s="78" t="b">
        <f t="shared" si="738"/>
        <v>0</v>
      </c>
      <c r="AP635" s="78"/>
    </row>
    <row r="636" spans="4:42" x14ac:dyDescent="0.35">
      <c r="D636" s="96"/>
      <c r="E636" s="96"/>
      <c r="G636" s="77">
        <f t="shared" si="675"/>
        <v>0</v>
      </c>
      <c r="H636" s="78">
        <f t="shared" si="676"/>
        <v>0</v>
      </c>
      <c r="I636" s="77">
        <f t="shared" si="677"/>
        <v>0</v>
      </c>
      <c r="J636" s="78">
        <f t="shared" si="678"/>
        <v>0</v>
      </c>
      <c r="K636" s="78" t="str">
        <f t="shared" si="679"/>
        <v>1900-01-00 00:0:00</v>
      </c>
      <c r="L636" s="78" t="str">
        <f t="shared" si="680"/>
        <v>1900-01-00 00:0:00</v>
      </c>
      <c r="M636" s="79">
        <f t="shared" si="681"/>
        <v>0</v>
      </c>
      <c r="N636">
        <f t="shared" si="682"/>
        <v>1</v>
      </c>
      <c r="O636" t="str">
        <f>IFERROR(_xlfn.XLOOKUP(A636,HC!A:A,HC!C:C),"")</f>
        <v>Workforce</v>
      </c>
      <c r="R636" s="78" t="b">
        <f t="shared" ref="R636:AO636" si="739">IFERROR(IF($B636=$D$1,IF(AND($K636&lt;R$1,$L636&lt;R$1),"",IF(AND($K636&gt;S$1,$L636&gt;S$1),"",IF(AND($K636&lt;R$1,$L636&lt;=S$1),$L636-R$1,IF(AND($K636&gt;=R$1,$L636&gt;S$1),S$1-$K636,IF(AND($K636&gt;=R$1,$L636&lt;=S$1),$L636-$K636,IF(AND($K636&lt;R$1,$L636&gt;S$1),S$1-R$1,""))))))),"")</f>
        <v>0</v>
      </c>
      <c r="S636" s="78" t="b">
        <f t="shared" si="739"/>
        <v>0</v>
      </c>
      <c r="T636" s="78" t="b">
        <f t="shared" si="739"/>
        <v>0</v>
      </c>
      <c r="U636" s="78" t="b">
        <f t="shared" si="739"/>
        <v>0</v>
      </c>
      <c r="V636" s="78" t="b">
        <f t="shared" si="739"/>
        <v>0</v>
      </c>
      <c r="W636" s="78" t="b">
        <f t="shared" si="739"/>
        <v>0</v>
      </c>
      <c r="X636" s="78" t="b">
        <f t="shared" si="739"/>
        <v>0</v>
      </c>
      <c r="Y636" s="78" t="b">
        <f t="shared" si="739"/>
        <v>0</v>
      </c>
      <c r="Z636" s="78" t="b">
        <f t="shared" si="739"/>
        <v>0</v>
      </c>
      <c r="AA636" s="78" t="b">
        <f t="shared" si="739"/>
        <v>0</v>
      </c>
      <c r="AB636" s="78" t="b">
        <f t="shared" si="739"/>
        <v>0</v>
      </c>
      <c r="AC636" s="78" t="b">
        <f t="shared" si="739"/>
        <v>0</v>
      </c>
      <c r="AD636" s="78" t="b">
        <f t="shared" si="739"/>
        <v>0</v>
      </c>
      <c r="AE636" s="78" t="b">
        <f t="shared" si="739"/>
        <v>0</v>
      </c>
      <c r="AF636" s="78" t="b">
        <f t="shared" si="739"/>
        <v>0</v>
      </c>
      <c r="AG636" s="78" t="b">
        <f t="shared" si="739"/>
        <v>0</v>
      </c>
      <c r="AH636" s="78" t="b">
        <f t="shared" si="739"/>
        <v>0</v>
      </c>
      <c r="AI636" s="78" t="b">
        <f t="shared" si="739"/>
        <v>0</v>
      </c>
      <c r="AJ636" s="78" t="b">
        <f t="shared" si="739"/>
        <v>0</v>
      </c>
      <c r="AK636" s="78" t="b">
        <f t="shared" si="739"/>
        <v>0</v>
      </c>
      <c r="AL636" s="78" t="b">
        <f t="shared" si="739"/>
        <v>0</v>
      </c>
      <c r="AM636" s="78" t="b">
        <f t="shared" si="739"/>
        <v>0</v>
      </c>
      <c r="AN636" s="78" t="b">
        <f t="shared" si="739"/>
        <v>0</v>
      </c>
      <c r="AO636" s="78" t="b">
        <f t="shared" si="739"/>
        <v>0</v>
      </c>
      <c r="AP636" s="78"/>
    </row>
    <row r="637" spans="4:42" x14ac:dyDescent="0.35">
      <c r="D637" s="96"/>
      <c r="E637" s="96"/>
      <c r="G637" s="77">
        <f t="shared" si="675"/>
        <v>0</v>
      </c>
      <c r="H637" s="78">
        <f t="shared" si="676"/>
        <v>0</v>
      </c>
      <c r="I637" s="77">
        <f t="shared" si="677"/>
        <v>0</v>
      </c>
      <c r="J637" s="78">
        <f t="shared" si="678"/>
        <v>0</v>
      </c>
      <c r="K637" s="78" t="str">
        <f t="shared" si="679"/>
        <v>1900-01-00 00:0:00</v>
      </c>
      <c r="L637" s="78" t="str">
        <f t="shared" si="680"/>
        <v>1900-01-00 00:0:00</v>
      </c>
      <c r="M637" s="79">
        <f t="shared" si="681"/>
        <v>0</v>
      </c>
      <c r="N637">
        <f t="shared" si="682"/>
        <v>1</v>
      </c>
      <c r="O637" t="str">
        <f>IFERROR(_xlfn.XLOOKUP(A637,HC!A:A,HC!C:C),"")</f>
        <v>Workforce</v>
      </c>
      <c r="R637" s="78" t="b">
        <f t="shared" ref="R637:AO637" si="740">IFERROR(IF($B637=$D$1,IF(AND($K637&lt;R$1,$L637&lt;R$1),"",IF(AND($K637&gt;S$1,$L637&gt;S$1),"",IF(AND($K637&lt;R$1,$L637&lt;=S$1),$L637-R$1,IF(AND($K637&gt;=R$1,$L637&gt;S$1),S$1-$K637,IF(AND($K637&gt;=R$1,$L637&lt;=S$1),$L637-$K637,IF(AND($K637&lt;R$1,$L637&gt;S$1),S$1-R$1,""))))))),"")</f>
        <v>0</v>
      </c>
      <c r="S637" s="78" t="b">
        <f t="shared" si="740"/>
        <v>0</v>
      </c>
      <c r="T637" s="78" t="b">
        <f t="shared" si="740"/>
        <v>0</v>
      </c>
      <c r="U637" s="78" t="b">
        <f t="shared" si="740"/>
        <v>0</v>
      </c>
      <c r="V637" s="78" t="b">
        <f t="shared" si="740"/>
        <v>0</v>
      </c>
      <c r="W637" s="78" t="b">
        <f t="shared" si="740"/>
        <v>0</v>
      </c>
      <c r="X637" s="78" t="b">
        <f t="shared" si="740"/>
        <v>0</v>
      </c>
      <c r="Y637" s="78" t="b">
        <f t="shared" si="740"/>
        <v>0</v>
      </c>
      <c r="Z637" s="78" t="b">
        <f t="shared" si="740"/>
        <v>0</v>
      </c>
      <c r="AA637" s="78" t="b">
        <f t="shared" si="740"/>
        <v>0</v>
      </c>
      <c r="AB637" s="78" t="b">
        <f t="shared" si="740"/>
        <v>0</v>
      </c>
      <c r="AC637" s="78" t="b">
        <f t="shared" si="740"/>
        <v>0</v>
      </c>
      <c r="AD637" s="78" t="b">
        <f t="shared" si="740"/>
        <v>0</v>
      </c>
      <c r="AE637" s="78" t="b">
        <f t="shared" si="740"/>
        <v>0</v>
      </c>
      <c r="AF637" s="78" t="b">
        <f t="shared" si="740"/>
        <v>0</v>
      </c>
      <c r="AG637" s="78" t="b">
        <f t="shared" si="740"/>
        <v>0</v>
      </c>
      <c r="AH637" s="78" t="b">
        <f t="shared" si="740"/>
        <v>0</v>
      </c>
      <c r="AI637" s="78" t="b">
        <f t="shared" si="740"/>
        <v>0</v>
      </c>
      <c r="AJ637" s="78" t="b">
        <f t="shared" si="740"/>
        <v>0</v>
      </c>
      <c r="AK637" s="78" t="b">
        <f t="shared" si="740"/>
        <v>0</v>
      </c>
      <c r="AL637" s="78" t="b">
        <f t="shared" si="740"/>
        <v>0</v>
      </c>
      <c r="AM637" s="78" t="b">
        <f t="shared" si="740"/>
        <v>0</v>
      </c>
      <c r="AN637" s="78" t="b">
        <f t="shared" si="740"/>
        <v>0</v>
      </c>
      <c r="AO637" s="78" t="b">
        <f t="shared" si="740"/>
        <v>0</v>
      </c>
      <c r="AP637" s="78"/>
    </row>
    <row r="638" spans="4:42" x14ac:dyDescent="0.35">
      <c r="D638" s="96"/>
      <c r="E638" s="96"/>
      <c r="G638" s="77">
        <f t="shared" si="675"/>
        <v>0</v>
      </c>
      <c r="H638" s="78">
        <f t="shared" si="676"/>
        <v>0</v>
      </c>
      <c r="I638" s="77">
        <f t="shared" si="677"/>
        <v>0</v>
      </c>
      <c r="J638" s="78">
        <f t="shared" si="678"/>
        <v>0</v>
      </c>
      <c r="K638" s="78" t="str">
        <f t="shared" si="679"/>
        <v>1900-01-00 00:0:00</v>
      </c>
      <c r="L638" s="78" t="str">
        <f t="shared" si="680"/>
        <v>1900-01-00 00:0:00</v>
      </c>
      <c r="M638" s="79">
        <f t="shared" si="681"/>
        <v>0</v>
      </c>
      <c r="N638">
        <f t="shared" si="682"/>
        <v>1</v>
      </c>
      <c r="O638" t="str">
        <f>IFERROR(_xlfn.XLOOKUP(A638,HC!A:A,HC!C:C),"")</f>
        <v>Workforce</v>
      </c>
      <c r="R638" s="78" t="b">
        <f t="shared" ref="R638:AO638" si="741">IFERROR(IF($B638=$D$1,IF(AND($K638&lt;R$1,$L638&lt;R$1),"",IF(AND($K638&gt;S$1,$L638&gt;S$1),"",IF(AND($K638&lt;R$1,$L638&lt;=S$1),$L638-R$1,IF(AND($K638&gt;=R$1,$L638&gt;S$1),S$1-$K638,IF(AND($K638&gt;=R$1,$L638&lt;=S$1),$L638-$K638,IF(AND($K638&lt;R$1,$L638&gt;S$1),S$1-R$1,""))))))),"")</f>
        <v>0</v>
      </c>
      <c r="S638" s="78" t="b">
        <f t="shared" si="741"/>
        <v>0</v>
      </c>
      <c r="T638" s="78" t="b">
        <f t="shared" si="741"/>
        <v>0</v>
      </c>
      <c r="U638" s="78" t="b">
        <f t="shared" si="741"/>
        <v>0</v>
      </c>
      <c r="V638" s="78" t="b">
        <f t="shared" si="741"/>
        <v>0</v>
      </c>
      <c r="W638" s="78" t="b">
        <f t="shared" si="741"/>
        <v>0</v>
      </c>
      <c r="X638" s="78" t="b">
        <f t="shared" si="741"/>
        <v>0</v>
      </c>
      <c r="Y638" s="78" t="b">
        <f t="shared" si="741"/>
        <v>0</v>
      </c>
      <c r="Z638" s="78" t="b">
        <f t="shared" si="741"/>
        <v>0</v>
      </c>
      <c r="AA638" s="78" t="b">
        <f t="shared" si="741"/>
        <v>0</v>
      </c>
      <c r="AB638" s="78" t="b">
        <f t="shared" si="741"/>
        <v>0</v>
      </c>
      <c r="AC638" s="78" t="b">
        <f t="shared" si="741"/>
        <v>0</v>
      </c>
      <c r="AD638" s="78" t="b">
        <f t="shared" si="741"/>
        <v>0</v>
      </c>
      <c r="AE638" s="78" t="b">
        <f t="shared" si="741"/>
        <v>0</v>
      </c>
      <c r="AF638" s="78" t="b">
        <f t="shared" si="741"/>
        <v>0</v>
      </c>
      <c r="AG638" s="78" t="b">
        <f t="shared" si="741"/>
        <v>0</v>
      </c>
      <c r="AH638" s="78" t="b">
        <f t="shared" si="741"/>
        <v>0</v>
      </c>
      <c r="AI638" s="78" t="b">
        <f t="shared" si="741"/>
        <v>0</v>
      </c>
      <c r="AJ638" s="78" t="b">
        <f t="shared" si="741"/>
        <v>0</v>
      </c>
      <c r="AK638" s="78" t="b">
        <f t="shared" si="741"/>
        <v>0</v>
      </c>
      <c r="AL638" s="78" t="b">
        <f t="shared" si="741"/>
        <v>0</v>
      </c>
      <c r="AM638" s="78" t="b">
        <f t="shared" si="741"/>
        <v>0</v>
      </c>
      <c r="AN638" s="78" t="b">
        <f t="shared" si="741"/>
        <v>0</v>
      </c>
      <c r="AO638" s="78" t="b">
        <f t="shared" si="741"/>
        <v>0</v>
      </c>
      <c r="AP638" s="78"/>
    </row>
    <row r="639" spans="4:42" x14ac:dyDescent="0.35">
      <c r="D639" s="96"/>
      <c r="E639" s="96"/>
      <c r="G639" s="77">
        <f t="shared" si="675"/>
        <v>0</v>
      </c>
      <c r="H639" s="78">
        <f t="shared" si="676"/>
        <v>0</v>
      </c>
      <c r="I639" s="77">
        <f t="shared" si="677"/>
        <v>0</v>
      </c>
      <c r="J639" s="78">
        <f t="shared" si="678"/>
        <v>0</v>
      </c>
      <c r="K639" s="78" t="str">
        <f t="shared" si="679"/>
        <v>1900-01-00 00:0:00</v>
      </c>
      <c r="L639" s="78" t="str">
        <f t="shared" si="680"/>
        <v>1900-01-00 00:0:00</v>
      </c>
      <c r="M639" s="79">
        <f t="shared" si="681"/>
        <v>0</v>
      </c>
      <c r="N639">
        <f t="shared" si="682"/>
        <v>1</v>
      </c>
      <c r="O639" t="str">
        <f>IFERROR(_xlfn.XLOOKUP(A639,HC!A:A,HC!C:C),"")</f>
        <v>Workforce</v>
      </c>
      <c r="R639" s="78" t="b">
        <f t="shared" ref="R639:AO639" si="742">IFERROR(IF($B639=$D$1,IF(AND($K639&lt;R$1,$L639&lt;R$1),"",IF(AND($K639&gt;S$1,$L639&gt;S$1),"",IF(AND($K639&lt;R$1,$L639&lt;=S$1),$L639-R$1,IF(AND($K639&gt;=R$1,$L639&gt;S$1),S$1-$K639,IF(AND($K639&gt;=R$1,$L639&lt;=S$1),$L639-$K639,IF(AND($K639&lt;R$1,$L639&gt;S$1),S$1-R$1,""))))))),"")</f>
        <v>0</v>
      </c>
      <c r="S639" s="78" t="b">
        <f t="shared" si="742"/>
        <v>0</v>
      </c>
      <c r="T639" s="78" t="b">
        <f t="shared" si="742"/>
        <v>0</v>
      </c>
      <c r="U639" s="78" t="b">
        <f t="shared" si="742"/>
        <v>0</v>
      </c>
      <c r="V639" s="78" t="b">
        <f t="shared" si="742"/>
        <v>0</v>
      </c>
      <c r="W639" s="78" t="b">
        <f t="shared" si="742"/>
        <v>0</v>
      </c>
      <c r="X639" s="78" t="b">
        <f t="shared" si="742"/>
        <v>0</v>
      </c>
      <c r="Y639" s="78" t="b">
        <f t="shared" si="742"/>
        <v>0</v>
      </c>
      <c r="Z639" s="78" t="b">
        <f t="shared" si="742"/>
        <v>0</v>
      </c>
      <c r="AA639" s="78" t="b">
        <f t="shared" si="742"/>
        <v>0</v>
      </c>
      <c r="AB639" s="78" t="b">
        <f t="shared" si="742"/>
        <v>0</v>
      </c>
      <c r="AC639" s="78" t="b">
        <f t="shared" si="742"/>
        <v>0</v>
      </c>
      <c r="AD639" s="78" t="b">
        <f t="shared" si="742"/>
        <v>0</v>
      </c>
      <c r="AE639" s="78" t="b">
        <f t="shared" si="742"/>
        <v>0</v>
      </c>
      <c r="AF639" s="78" t="b">
        <f t="shared" si="742"/>
        <v>0</v>
      </c>
      <c r="AG639" s="78" t="b">
        <f t="shared" si="742"/>
        <v>0</v>
      </c>
      <c r="AH639" s="78" t="b">
        <f t="shared" si="742"/>
        <v>0</v>
      </c>
      <c r="AI639" s="78" t="b">
        <f t="shared" si="742"/>
        <v>0</v>
      </c>
      <c r="AJ639" s="78" t="b">
        <f t="shared" si="742"/>
        <v>0</v>
      </c>
      <c r="AK639" s="78" t="b">
        <f t="shared" si="742"/>
        <v>0</v>
      </c>
      <c r="AL639" s="78" t="b">
        <f t="shared" si="742"/>
        <v>0</v>
      </c>
      <c r="AM639" s="78" t="b">
        <f t="shared" si="742"/>
        <v>0</v>
      </c>
      <c r="AN639" s="78" t="b">
        <f t="shared" si="742"/>
        <v>0</v>
      </c>
      <c r="AO639" s="78" t="b">
        <f t="shared" si="742"/>
        <v>0</v>
      </c>
      <c r="AP639" s="78"/>
    </row>
    <row r="640" spans="4:42" x14ac:dyDescent="0.35">
      <c r="D640" s="96"/>
      <c r="E640" s="96"/>
      <c r="G640" s="77">
        <f t="shared" si="675"/>
        <v>0</v>
      </c>
      <c r="H640" s="78">
        <f t="shared" si="676"/>
        <v>0</v>
      </c>
      <c r="I640" s="77">
        <f t="shared" si="677"/>
        <v>0</v>
      </c>
      <c r="J640" s="78">
        <f t="shared" si="678"/>
        <v>0</v>
      </c>
      <c r="K640" s="78" t="str">
        <f t="shared" si="679"/>
        <v>1900-01-00 00:0:00</v>
      </c>
      <c r="L640" s="78" t="str">
        <f t="shared" si="680"/>
        <v>1900-01-00 00:0:00</v>
      </c>
      <c r="M640" s="79">
        <f t="shared" si="681"/>
        <v>0</v>
      </c>
      <c r="N640">
        <f t="shared" si="682"/>
        <v>1</v>
      </c>
      <c r="O640" t="str">
        <f>IFERROR(_xlfn.XLOOKUP(A640,HC!A:A,HC!C:C),"")</f>
        <v>Workforce</v>
      </c>
      <c r="R640" s="78" t="b">
        <f t="shared" ref="R640:AO640" si="743">IFERROR(IF($B640=$D$1,IF(AND($K640&lt;R$1,$L640&lt;R$1),"",IF(AND($K640&gt;S$1,$L640&gt;S$1),"",IF(AND($K640&lt;R$1,$L640&lt;=S$1),$L640-R$1,IF(AND($K640&gt;=R$1,$L640&gt;S$1),S$1-$K640,IF(AND($K640&gt;=R$1,$L640&lt;=S$1),$L640-$K640,IF(AND($K640&lt;R$1,$L640&gt;S$1),S$1-R$1,""))))))),"")</f>
        <v>0</v>
      </c>
      <c r="S640" s="78" t="b">
        <f t="shared" si="743"/>
        <v>0</v>
      </c>
      <c r="T640" s="78" t="b">
        <f t="shared" si="743"/>
        <v>0</v>
      </c>
      <c r="U640" s="78" t="b">
        <f t="shared" si="743"/>
        <v>0</v>
      </c>
      <c r="V640" s="78" t="b">
        <f t="shared" si="743"/>
        <v>0</v>
      </c>
      <c r="W640" s="78" t="b">
        <f t="shared" si="743"/>
        <v>0</v>
      </c>
      <c r="X640" s="78" t="b">
        <f t="shared" si="743"/>
        <v>0</v>
      </c>
      <c r="Y640" s="78" t="b">
        <f t="shared" si="743"/>
        <v>0</v>
      </c>
      <c r="Z640" s="78" t="b">
        <f t="shared" si="743"/>
        <v>0</v>
      </c>
      <c r="AA640" s="78" t="b">
        <f t="shared" si="743"/>
        <v>0</v>
      </c>
      <c r="AB640" s="78" t="b">
        <f t="shared" si="743"/>
        <v>0</v>
      </c>
      <c r="AC640" s="78" t="b">
        <f t="shared" si="743"/>
        <v>0</v>
      </c>
      <c r="AD640" s="78" t="b">
        <f t="shared" si="743"/>
        <v>0</v>
      </c>
      <c r="AE640" s="78" t="b">
        <f t="shared" si="743"/>
        <v>0</v>
      </c>
      <c r="AF640" s="78" t="b">
        <f t="shared" si="743"/>
        <v>0</v>
      </c>
      <c r="AG640" s="78" t="b">
        <f t="shared" si="743"/>
        <v>0</v>
      </c>
      <c r="AH640" s="78" t="b">
        <f t="shared" si="743"/>
        <v>0</v>
      </c>
      <c r="AI640" s="78" t="b">
        <f t="shared" si="743"/>
        <v>0</v>
      </c>
      <c r="AJ640" s="78" t="b">
        <f t="shared" si="743"/>
        <v>0</v>
      </c>
      <c r="AK640" s="78" t="b">
        <f t="shared" si="743"/>
        <v>0</v>
      </c>
      <c r="AL640" s="78" t="b">
        <f t="shared" si="743"/>
        <v>0</v>
      </c>
      <c r="AM640" s="78" t="b">
        <f t="shared" si="743"/>
        <v>0</v>
      </c>
      <c r="AN640" s="78" t="b">
        <f t="shared" si="743"/>
        <v>0</v>
      </c>
      <c r="AO640" s="78" t="b">
        <f t="shared" si="743"/>
        <v>0</v>
      </c>
      <c r="AP640" s="78"/>
    </row>
    <row r="641" spans="4:42" x14ac:dyDescent="0.35">
      <c r="D641" s="96"/>
      <c r="E641" s="96"/>
      <c r="G641" s="77">
        <f t="shared" si="675"/>
        <v>0</v>
      </c>
      <c r="H641" s="78">
        <f t="shared" si="676"/>
        <v>0</v>
      </c>
      <c r="I641" s="77">
        <f t="shared" si="677"/>
        <v>0</v>
      </c>
      <c r="J641" s="78">
        <f t="shared" si="678"/>
        <v>0</v>
      </c>
      <c r="K641" s="78" t="str">
        <f t="shared" si="679"/>
        <v>1900-01-00 00:0:00</v>
      </c>
      <c r="L641" s="78" t="str">
        <f t="shared" si="680"/>
        <v>1900-01-00 00:0:00</v>
      </c>
      <c r="M641" s="79">
        <f t="shared" si="681"/>
        <v>0</v>
      </c>
      <c r="N641">
        <f t="shared" si="682"/>
        <v>1</v>
      </c>
      <c r="O641" t="str">
        <f>IFERROR(_xlfn.XLOOKUP(A641,HC!A:A,HC!C:C),"")</f>
        <v>Workforce</v>
      </c>
      <c r="R641" s="78" t="b">
        <f t="shared" ref="R641:AO641" si="744">IFERROR(IF($B641=$D$1,IF(AND($K641&lt;R$1,$L641&lt;R$1),"",IF(AND($K641&gt;S$1,$L641&gt;S$1),"",IF(AND($K641&lt;R$1,$L641&lt;=S$1),$L641-R$1,IF(AND($K641&gt;=R$1,$L641&gt;S$1),S$1-$K641,IF(AND($K641&gt;=R$1,$L641&lt;=S$1),$L641-$K641,IF(AND($K641&lt;R$1,$L641&gt;S$1),S$1-R$1,""))))))),"")</f>
        <v>0</v>
      </c>
      <c r="S641" s="78" t="b">
        <f t="shared" si="744"/>
        <v>0</v>
      </c>
      <c r="T641" s="78" t="b">
        <f t="shared" si="744"/>
        <v>0</v>
      </c>
      <c r="U641" s="78" t="b">
        <f t="shared" si="744"/>
        <v>0</v>
      </c>
      <c r="V641" s="78" t="b">
        <f t="shared" si="744"/>
        <v>0</v>
      </c>
      <c r="W641" s="78" t="b">
        <f t="shared" si="744"/>
        <v>0</v>
      </c>
      <c r="X641" s="78" t="b">
        <f t="shared" si="744"/>
        <v>0</v>
      </c>
      <c r="Y641" s="78" t="b">
        <f t="shared" si="744"/>
        <v>0</v>
      </c>
      <c r="Z641" s="78" t="b">
        <f t="shared" si="744"/>
        <v>0</v>
      </c>
      <c r="AA641" s="78" t="b">
        <f t="shared" si="744"/>
        <v>0</v>
      </c>
      <c r="AB641" s="78" t="b">
        <f t="shared" si="744"/>
        <v>0</v>
      </c>
      <c r="AC641" s="78" t="b">
        <f t="shared" si="744"/>
        <v>0</v>
      </c>
      <c r="AD641" s="78" t="b">
        <f t="shared" si="744"/>
        <v>0</v>
      </c>
      <c r="AE641" s="78" t="b">
        <f t="shared" si="744"/>
        <v>0</v>
      </c>
      <c r="AF641" s="78" t="b">
        <f t="shared" si="744"/>
        <v>0</v>
      </c>
      <c r="AG641" s="78" t="b">
        <f t="shared" si="744"/>
        <v>0</v>
      </c>
      <c r="AH641" s="78" t="b">
        <f t="shared" si="744"/>
        <v>0</v>
      </c>
      <c r="AI641" s="78" t="b">
        <f t="shared" si="744"/>
        <v>0</v>
      </c>
      <c r="AJ641" s="78" t="b">
        <f t="shared" si="744"/>
        <v>0</v>
      </c>
      <c r="AK641" s="78" t="b">
        <f t="shared" si="744"/>
        <v>0</v>
      </c>
      <c r="AL641" s="78" t="b">
        <f t="shared" si="744"/>
        <v>0</v>
      </c>
      <c r="AM641" s="78" t="b">
        <f t="shared" si="744"/>
        <v>0</v>
      </c>
      <c r="AN641" s="78" t="b">
        <f t="shared" si="744"/>
        <v>0</v>
      </c>
      <c r="AO641" s="78" t="b">
        <f t="shared" si="744"/>
        <v>0</v>
      </c>
      <c r="AP641" s="78"/>
    </row>
    <row r="642" spans="4:42" x14ac:dyDescent="0.35">
      <c r="D642" s="96"/>
      <c r="E642" s="96"/>
      <c r="G642" s="77">
        <f t="shared" si="675"/>
        <v>0</v>
      </c>
      <c r="H642" s="78">
        <f t="shared" si="676"/>
        <v>0</v>
      </c>
      <c r="I642" s="77">
        <f t="shared" si="677"/>
        <v>0</v>
      </c>
      <c r="J642" s="78">
        <f t="shared" si="678"/>
        <v>0</v>
      </c>
      <c r="K642" s="78" t="str">
        <f t="shared" si="679"/>
        <v>1900-01-00 00:0:00</v>
      </c>
      <c r="L642" s="78" t="str">
        <f t="shared" si="680"/>
        <v>1900-01-00 00:0:00</v>
      </c>
      <c r="M642" s="79">
        <f t="shared" si="681"/>
        <v>0</v>
      </c>
      <c r="N642">
        <f t="shared" si="682"/>
        <v>1</v>
      </c>
      <c r="O642" t="str">
        <f>IFERROR(_xlfn.XLOOKUP(A642,HC!A:A,HC!C:C),"")</f>
        <v>Workforce</v>
      </c>
      <c r="R642" s="78" t="b">
        <f t="shared" ref="R642:AO642" si="745">IFERROR(IF($B642=$D$1,IF(AND($K642&lt;R$1,$L642&lt;R$1),"",IF(AND($K642&gt;S$1,$L642&gt;S$1),"",IF(AND($K642&lt;R$1,$L642&lt;=S$1),$L642-R$1,IF(AND($K642&gt;=R$1,$L642&gt;S$1),S$1-$K642,IF(AND($K642&gt;=R$1,$L642&lt;=S$1),$L642-$K642,IF(AND($K642&lt;R$1,$L642&gt;S$1),S$1-R$1,""))))))),"")</f>
        <v>0</v>
      </c>
      <c r="S642" s="78" t="b">
        <f t="shared" si="745"/>
        <v>0</v>
      </c>
      <c r="T642" s="78" t="b">
        <f t="shared" si="745"/>
        <v>0</v>
      </c>
      <c r="U642" s="78" t="b">
        <f t="shared" si="745"/>
        <v>0</v>
      </c>
      <c r="V642" s="78" t="b">
        <f t="shared" si="745"/>
        <v>0</v>
      </c>
      <c r="W642" s="78" t="b">
        <f t="shared" si="745"/>
        <v>0</v>
      </c>
      <c r="X642" s="78" t="b">
        <f t="shared" si="745"/>
        <v>0</v>
      </c>
      <c r="Y642" s="78" t="b">
        <f t="shared" si="745"/>
        <v>0</v>
      </c>
      <c r="Z642" s="78" t="b">
        <f t="shared" si="745"/>
        <v>0</v>
      </c>
      <c r="AA642" s="78" t="b">
        <f t="shared" si="745"/>
        <v>0</v>
      </c>
      <c r="AB642" s="78" t="b">
        <f t="shared" si="745"/>
        <v>0</v>
      </c>
      <c r="AC642" s="78" t="b">
        <f t="shared" si="745"/>
        <v>0</v>
      </c>
      <c r="AD642" s="78" t="b">
        <f t="shared" si="745"/>
        <v>0</v>
      </c>
      <c r="AE642" s="78" t="b">
        <f t="shared" si="745"/>
        <v>0</v>
      </c>
      <c r="AF642" s="78" t="b">
        <f t="shared" si="745"/>
        <v>0</v>
      </c>
      <c r="AG642" s="78" t="b">
        <f t="shared" si="745"/>
        <v>0</v>
      </c>
      <c r="AH642" s="78" t="b">
        <f t="shared" si="745"/>
        <v>0</v>
      </c>
      <c r="AI642" s="78" t="b">
        <f t="shared" si="745"/>
        <v>0</v>
      </c>
      <c r="AJ642" s="78" t="b">
        <f t="shared" si="745"/>
        <v>0</v>
      </c>
      <c r="AK642" s="78" t="b">
        <f t="shared" si="745"/>
        <v>0</v>
      </c>
      <c r="AL642" s="78" t="b">
        <f t="shared" si="745"/>
        <v>0</v>
      </c>
      <c r="AM642" s="78" t="b">
        <f t="shared" si="745"/>
        <v>0</v>
      </c>
      <c r="AN642" s="78" t="b">
        <f t="shared" si="745"/>
        <v>0</v>
      </c>
      <c r="AO642" s="78" t="b">
        <f t="shared" si="745"/>
        <v>0</v>
      </c>
      <c r="AP642" s="78"/>
    </row>
    <row r="643" spans="4:42" x14ac:dyDescent="0.35">
      <c r="D643" s="96"/>
      <c r="E643" s="96"/>
      <c r="G643" s="77">
        <f t="shared" si="675"/>
        <v>0</v>
      </c>
      <c r="H643" s="78">
        <f t="shared" si="676"/>
        <v>0</v>
      </c>
      <c r="I643" s="77">
        <f t="shared" si="677"/>
        <v>0</v>
      </c>
      <c r="J643" s="78">
        <f t="shared" si="678"/>
        <v>0</v>
      </c>
      <c r="K643" s="78" t="str">
        <f t="shared" si="679"/>
        <v>1900-01-00 00:0:00</v>
      </c>
      <c r="L643" s="78" t="str">
        <f t="shared" si="680"/>
        <v>1900-01-00 00:0:00</v>
      </c>
      <c r="M643" s="79">
        <f t="shared" si="681"/>
        <v>0</v>
      </c>
      <c r="N643">
        <f t="shared" si="682"/>
        <v>1</v>
      </c>
      <c r="O643" t="str">
        <f>IFERROR(_xlfn.XLOOKUP(A643,HC!A:A,HC!C:C),"")</f>
        <v>Workforce</v>
      </c>
      <c r="R643" s="78" t="b">
        <f t="shared" ref="R643:AO643" si="746">IFERROR(IF($B643=$D$1,IF(AND($K643&lt;R$1,$L643&lt;R$1),"",IF(AND($K643&gt;S$1,$L643&gt;S$1),"",IF(AND($K643&lt;R$1,$L643&lt;=S$1),$L643-R$1,IF(AND($K643&gt;=R$1,$L643&gt;S$1),S$1-$K643,IF(AND($K643&gt;=R$1,$L643&lt;=S$1),$L643-$K643,IF(AND($K643&lt;R$1,$L643&gt;S$1),S$1-R$1,""))))))),"")</f>
        <v>0</v>
      </c>
      <c r="S643" s="78" t="b">
        <f t="shared" si="746"/>
        <v>0</v>
      </c>
      <c r="T643" s="78" t="b">
        <f t="shared" si="746"/>
        <v>0</v>
      </c>
      <c r="U643" s="78" t="b">
        <f t="shared" si="746"/>
        <v>0</v>
      </c>
      <c r="V643" s="78" t="b">
        <f t="shared" si="746"/>
        <v>0</v>
      </c>
      <c r="W643" s="78" t="b">
        <f t="shared" si="746"/>
        <v>0</v>
      </c>
      <c r="X643" s="78" t="b">
        <f t="shared" si="746"/>
        <v>0</v>
      </c>
      <c r="Y643" s="78" t="b">
        <f t="shared" si="746"/>
        <v>0</v>
      </c>
      <c r="Z643" s="78" t="b">
        <f t="shared" si="746"/>
        <v>0</v>
      </c>
      <c r="AA643" s="78" t="b">
        <f t="shared" si="746"/>
        <v>0</v>
      </c>
      <c r="AB643" s="78" t="b">
        <f t="shared" si="746"/>
        <v>0</v>
      </c>
      <c r="AC643" s="78" t="b">
        <f t="shared" si="746"/>
        <v>0</v>
      </c>
      <c r="AD643" s="78" t="b">
        <f t="shared" si="746"/>
        <v>0</v>
      </c>
      <c r="AE643" s="78" t="b">
        <f t="shared" si="746"/>
        <v>0</v>
      </c>
      <c r="AF643" s="78" t="b">
        <f t="shared" si="746"/>
        <v>0</v>
      </c>
      <c r="AG643" s="78" t="b">
        <f t="shared" si="746"/>
        <v>0</v>
      </c>
      <c r="AH643" s="78" t="b">
        <f t="shared" si="746"/>
        <v>0</v>
      </c>
      <c r="AI643" s="78" t="b">
        <f t="shared" si="746"/>
        <v>0</v>
      </c>
      <c r="AJ643" s="78" t="b">
        <f t="shared" si="746"/>
        <v>0</v>
      </c>
      <c r="AK643" s="78" t="b">
        <f t="shared" si="746"/>
        <v>0</v>
      </c>
      <c r="AL643" s="78" t="b">
        <f t="shared" si="746"/>
        <v>0</v>
      </c>
      <c r="AM643" s="78" t="b">
        <f t="shared" si="746"/>
        <v>0</v>
      </c>
      <c r="AN643" s="78" t="b">
        <f t="shared" si="746"/>
        <v>0</v>
      </c>
      <c r="AO643" s="78" t="b">
        <f t="shared" si="746"/>
        <v>0</v>
      </c>
      <c r="AP643" s="78"/>
    </row>
    <row r="644" spans="4:42" x14ac:dyDescent="0.35">
      <c r="D644" s="96"/>
      <c r="E644" s="96"/>
      <c r="G644" s="77">
        <f t="shared" ref="G644:G707" si="747">INT(D644)</f>
        <v>0</v>
      </c>
      <c r="H644" s="78">
        <f t="shared" ref="H644:H707" si="748">D644-G644</f>
        <v>0</v>
      </c>
      <c r="I644" s="77">
        <f t="shared" ref="I644:I707" si="749">INT(E644)</f>
        <v>0</v>
      </c>
      <c r="J644" s="78">
        <f t="shared" ref="J644:J707" si="750">E644-I644</f>
        <v>0</v>
      </c>
      <c r="K644" s="78" t="str">
        <f t="shared" ref="K644:K707" si="751">TEXT(G644+H644,"yyyy-mm-dd hh:m:ss")</f>
        <v>1900-01-00 00:0:00</v>
      </c>
      <c r="L644" s="78" t="str">
        <f t="shared" ref="L644:L707" si="752">TEXT(I644+J644,"yyyy-mm-dd hh:m:ss")</f>
        <v>1900-01-00 00:0:00</v>
      </c>
      <c r="M644" s="79">
        <f t="shared" ref="M644:M707" si="753">E644-D644</f>
        <v>0</v>
      </c>
      <c r="N644">
        <f t="shared" ref="N644:N707" si="754">IF(M644&lt;$BA$1,1,0)</f>
        <v>1</v>
      </c>
      <c r="O644" t="str">
        <f>IFERROR(_xlfn.XLOOKUP(A644,HC!A:A,HC!C:C),"")</f>
        <v>Workforce</v>
      </c>
      <c r="R644" s="78" t="b">
        <f t="shared" ref="R644:AO644" si="755">IFERROR(IF($B644=$D$1,IF(AND($K644&lt;R$1,$L644&lt;R$1),"",IF(AND($K644&gt;S$1,$L644&gt;S$1),"",IF(AND($K644&lt;R$1,$L644&lt;=S$1),$L644-R$1,IF(AND($K644&gt;=R$1,$L644&gt;S$1),S$1-$K644,IF(AND($K644&gt;=R$1,$L644&lt;=S$1),$L644-$K644,IF(AND($K644&lt;R$1,$L644&gt;S$1),S$1-R$1,""))))))),"")</f>
        <v>0</v>
      </c>
      <c r="S644" s="78" t="b">
        <f t="shared" si="755"/>
        <v>0</v>
      </c>
      <c r="T644" s="78" t="b">
        <f t="shared" si="755"/>
        <v>0</v>
      </c>
      <c r="U644" s="78" t="b">
        <f t="shared" si="755"/>
        <v>0</v>
      </c>
      <c r="V644" s="78" t="b">
        <f t="shared" si="755"/>
        <v>0</v>
      </c>
      <c r="W644" s="78" t="b">
        <f t="shared" si="755"/>
        <v>0</v>
      </c>
      <c r="X644" s="78" t="b">
        <f t="shared" si="755"/>
        <v>0</v>
      </c>
      <c r="Y644" s="78" t="b">
        <f t="shared" si="755"/>
        <v>0</v>
      </c>
      <c r="Z644" s="78" t="b">
        <f t="shared" si="755"/>
        <v>0</v>
      </c>
      <c r="AA644" s="78" t="b">
        <f t="shared" si="755"/>
        <v>0</v>
      </c>
      <c r="AB644" s="78" t="b">
        <f t="shared" si="755"/>
        <v>0</v>
      </c>
      <c r="AC644" s="78" t="b">
        <f t="shared" si="755"/>
        <v>0</v>
      </c>
      <c r="AD644" s="78" t="b">
        <f t="shared" si="755"/>
        <v>0</v>
      </c>
      <c r="AE644" s="78" t="b">
        <f t="shared" si="755"/>
        <v>0</v>
      </c>
      <c r="AF644" s="78" t="b">
        <f t="shared" si="755"/>
        <v>0</v>
      </c>
      <c r="AG644" s="78" t="b">
        <f t="shared" si="755"/>
        <v>0</v>
      </c>
      <c r="AH644" s="78" t="b">
        <f t="shared" si="755"/>
        <v>0</v>
      </c>
      <c r="AI644" s="78" t="b">
        <f t="shared" si="755"/>
        <v>0</v>
      </c>
      <c r="AJ644" s="78" t="b">
        <f t="shared" si="755"/>
        <v>0</v>
      </c>
      <c r="AK644" s="78" t="b">
        <f t="shared" si="755"/>
        <v>0</v>
      </c>
      <c r="AL644" s="78" t="b">
        <f t="shared" si="755"/>
        <v>0</v>
      </c>
      <c r="AM644" s="78" t="b">
        <f t="shared" si="755"/>
        <v>0</v>
      </c>
      <c r="AN644" s="78" t="b">
        <f t="shared" si="755"/>
        <v>0</v>
      </c>
      <c r="AO644" s="78" t="b">
        <f t="shared" si="755"/>
        <v>0</v>
      </c>
      <c r="AP644" s="78"/>
    </row>
    <row r="645" spans="4:42" x14ac:dyDescent="0.35">
      <c r="D645" s="96"/>
      <c r="E645" s="96"/>
      <c r="G645" s="77">
        <f t="shared" si="747"/>
        <v>0</v>
      </c>
      <c r="H645" s="78">
        <f t="shared" si="748"/>
        <v>0</v>
      </c>
      <c r="I645" s="77">
        <f t="shared" si="749"/>
        <v>0</v>
      </c>
      <c r="J645" s="78">
        <f t="shared" si="750"/>
        <v>0</v>
      </c>
      <c r="K645" s="78" t="str">
        <f t="shared" si="751"/>
        <v>1900-01-00 00:0:00</v>
      </c>
      <c r="L645" s="78" t="str">
        <f t="shared" si="752"/>
        <v>1900-01-00 00:0:00</v>
      </c>
      <c r="M645" s="79">
        <f t="shared" si="753"/>
        <v>0</v>
      </c>
      <c r="N645">
        <f t="shared" si="754"/>
        <v>1</v>
      </c>
      <c r="O645" t="str">
        <f>IFERROR(_xlfn.XLOOKUP(A645,HC!A:A,HC!C:C),"")</f>
        <v>Workforce</v>
      </c>
      <c r="R645" s="78" t="b">
        <f t="shared" ref="R645:AO645" si="756">IFERROR(IF($B645=$D$1,IF(AND($K645&lt;R$1,$L645&lt;R$1),"",IF(AND($K645&gt;S$1,$L645&gt;S$1),"",IF(AND($K645&lt;R$1,$L645&lt;=S$1),$L645-R$1,IF(AND($K645&gt;=R$1,$L645&gt;S$1),S$1-$K645,IF(AND($K645&gt;=R$1,$L645&lt;=S$1),$L645-$K645,IF(AND($K645&lt;R$1,$L645&gt;S$1),S$1-R$1,""))))))),"")</f>
        <v>0</v>
      </c>
      <c r="S645" s="78" t="b">
        <f t="shared" si="756"/>
        <v>0</v>
      </c>
      <c r="T645" s="78" t="b">
        <f t="shared" si="756"/>
        <v>0</v>
      </c>
      <c r="U645" s="78" t="b">
        <f t="shared" si="756"/>
        <v>0</v>
      </c>
      <c r="V645" s="78" t="b">
        <f t="shared" si="756"/>
        <v>0</v>
      </c>
      <c r="W645" s="78" t="b">
        <f t="shared" si="756"/>
        <v>0</v>
      </c>
      <c r="X645" s="78" t="b">
        <f t="shared" si="756"/>
        <v>0</v>
      </c>
      <c r="Y645" s="78" t="b">
        <f t="shared" si="756"/>
        <v>0</v>
      </c>
      <c r="Z645" s="78" t="b">
        <f t="shared" si="756"/>
        <v>0</v>
      </c>
      <c r="AA645" s="78" t="b">
        <f t="shared" si="756"/>
        <v>0</v>
      </c>
      <c r="AB645" s="78" t="b">
        <f t="shared" si="756"/>
        <v>0</v>
      </c>
      <c r="AC645" s="78" t="b">
        <f t="shared" si="756"/>
        <v>0</v>
      </c>
      <c r="AD645" s="78" t="b">
        <f t="shared" si="756"/>
        <v>0</v>
      </c>
      <c r="AE645" s="78" t="b">
        <f t="shared" si="756"/>
        <v>0</v>
      </c>
      <c r="AF645" s="78" t="b">
        <f t="shared" si="756"/>
        <v>0</v>
      </c>
      <c r="AG645" s="78" t="b">
        <f t="shared" si="756"/>
        <v>0</v>
      </c>
      <c r="AH645" s="78" t="b">
        <f t="shared" si="756"/>
        <v>0</v>
      </c>
      <c r="AI645" s="78" t="b">
        <f t="shared" si="756"/>
        <v>0</v>
      </c>
      <c r="AJ645" s="78" t="b">
        <f t="shared" si="756"/>
        <v>0</v>
      </c>
      <c r="AK645" s="78" t="b">
        <f t="shared" si="756"/>
        <v>0</v>
      </c>
      <c r="AL645" s="78" t="b">
        <f t="shared" si="756"/>
        <v>0</v>
      </c>
      <c r="AM645" s="78" t="b">
        <f t="shared" si="756"/>
        <v>0</v>
      </c>
      <c r="AN645" s="78" t="b">
        <f t="shared" si="756"/>
        <v>0</v>
      </c>
      <c r="AO645" s="78" t="b">
        <f t="shared" si="756"/>
        <v>0</v>
      </c>
      <c r="AP645" s="78"/>
    </row>
    <row r="646" spans="4:42" x14ac:dyDescent="0.35">
      <c r="D646" s="96"/>
      <c r="E646" s="96"/>
      <c r="G646" s="77">
        <f t="shared" si="747"/>
        <v>0</v>
      </c>
      <c r="H646" s="78">
        <f t="shared" si="748"/>
        <v>0</v>
      </c>
      <c r="I646" s="77">
        <f t="shared" si="749"/>
        <v>0</v>
      </c>
      <c r="J646" s="78">
        <f t="shared" si="750"/>
        <v>0</v>
      </c>
      <c r="K646" s="78" t="str">
        <f t="shared" si="751"/>
        <v>1900-01-00 00:0:00</v>
      </c>
      <c r="L646" s="78" t="str">
        <f t="shared" si="752"/>
        <v>1900-01-00 00:0:00</v>
      </c>
      <c r="M646" s="79">
        <f t="shared" si="753"/>
        <v>0</v>
      </c>
      <c r="N646">
        <f t="shared" si="754"/>
        <v>1</v>
      </c>
      <c r="O646" t="str">
        <f>IFERROR(_xlfn.XLOOKUP(A646,HC!A:A,HC!C:C),"")</f>
        <v>Workforce</v>
      </c>
      <c r="R646" s="78" t="b">
        <f t="shared" ref="R646:AO646" si="757">IFERROR(IF($B646=$D$1,IF(AND($K646&lt;R$1,$L646&lt;R$1),"",IF(AND($K646&gt;S$1,$L646&gt;S$1),"",IF(AND($K646&lt;R$1,$L646&lt;=S$1),$L646-R$1,IF(AND($K646&gt;=R$1,$L646&gt;S$1),S$1-$K646,IF(AND($K646&gt;=R$1,$L646&lt;=S$1),$L646-$K646,IF(AND($K646&lt;R$1,$L646&gt;S$1),S$1-R$1,""))))))),"")</f>
        <v>0</v>
      </c>
      <c r="S646" s="78" t="b">
        <f t="shared" si="757"/>
        <v>0</v>
      </c>
      <c r="T646" s="78" t="b">
        <f t="shared" si="757"/>
        <v>0</v>
      </c>
      <c r="U646" s="78" t="b">
        <f t="shared" si="757"/>
        <v>0</v>
      </c>
      <c r="V646" s="78" t="b">
        <f t="shared" si="757"/>
        <v>0</v>
      </c>
      <c r="W646" s="78" t="b">
        <f t="shared" si="757"/>
        <v>0</v>
      </c>
      <c r="X646" s="78" t="b">
        <f t="shared" si="757"/>
        <v>0</v>
      </c>
      <c r="Y646" s="78" t="b">
        <f t="shared" si="757"/>
        <v>0</v>
      </c>
      <c r="Z646" s="78" t="b">
        <f t="shared" si="757"/>
        <v>0</v>
      </c>
      <c r="AA646" s="78" t="b">
        <f t="shared" si="757"/>
        <v>0</v>
      </c>
      <c r="AB646" s="78" t="b">
        <f t="shared" si="757"/>
        <v>0</v>
      </c>
      <c r="AC646" s="78" t="b">
        <f t="shared" si="757"/>
        <v>0</v>
      </c>
      <c r="AD646" s="78" t="b">
        <f t="shared" si="757"/>
        <v>0</v>
      </c>
      <c r="AE646" s="78" t="b">
        <f t="shared" si="757"/>
        <v>0</v>
      </c>
      <c r="AF646" s="78" t="b">
        <f t="shared" si="757"/>
        <v>0</v>
      </c>
      <c r="AG646" s="78" t="b">
        <f t="shared" si="757"/>
        <v>0</v>
      </c>
      <c r="AH646" s="78" t="b">
        <f t="shared" si="757"/>
        <v>0</v>
      </c>
      <c r="AI646" s="78" t="b">
        <f t="shared" si="757"/>
        <v>0</v>
      </c>
      <c r="AJ646" s="78" t="b">
        <f t="shared" si="757"/>
        <v>0</v>
      </c>
      <c r="AK646" s="78" t="b">
        <f t="shared" si="757"/>
        <v>0</v>
      </c>
      <c r="AL646" s="78" t="b">
        <f t="shared" si="757"/>
        <v>0</v>
      </c>
      <c r="AM646" s="78" t="b">
        <f t="shared" si="757"/>
        <v>0</v>
      </c>
      <c r="AN646" s="78" t="b">
        <f t="shared" si="757"/>
        <v>0</v>
      </c>
      <c r="AO646" s="78" t="b">
        <f t="shared" si="757"/>
        <v>0</v>
      </c>
      <c r="AP646" s="78"/>
    </row>
    <row r="647" spans="4:42" x14ac:dyDescent="0.35">
      <c r="D647" s="96"/>
      <c r="E647" s="96"/>
      <c r="G647" s="77">
        <f t="shared" si="747"/>
        <v>0</v>
      </c>
      <c r="H647" s="78">
        <f t="shared" si="748"/>
        <v>0</v>
      </c>
      <c r="I647" s="77">
        <f t="shared" si="749"/>
        <v>0</v>
      </c>
      <c r="J647" s="78">
        <f t="shared" si="750"/>
        <v>0</v>
      </c>
      <c r="K647" s="78" t="str">
        <f t="shared" si="751"/>
        <v>1900-01-00 00:0:00</v>
      </c>
      <c r="L647" s="78" t="str">
        <f t="shared" si="752"/>
        <v>1900-01-00 00:0:00</v>
      </c>
      <c r="M647" s="79">
        <f t="shared" si="753"/>
        <v>0</v>
      </c>
      <c r="N647">
        <f t="shared" si="754"/>
        <v>1</v>
      </c>
      <c r="O647" t="str">
        <f>IFERROR(_xlfn.XLOOKUP(A647,HC!A:A,HC!C:C),"")</f>
        <v>Workforce</v>
      </c>
      <c r="R647" s="78" t="b">
        <f t="shared" ref="R647:AO647" si="758">IFERROR(IF($B647=$D$1,IF(AND($K647&lt;R$1,$L647&lt;R$1),"",IF(AND($K647&gt;S$1,$L647&gt;S$1),"",IF(AND($K647&lt;R$1,$L647&lt;=S$1),$L647-R$1,IF(AND($K647&gt;=R$1,$L647&gt;S$1),S$1-$K647,IF(AND($K647&gt;=R$1,$L647&lt;=S$1),$L647-$K647,IF(AND($K647&lt;R$1,$L647&gt;S$1),S$1-R$1,""))))))),"")</f>
        <v>0</v>
      </c>
      <c r="S647" s="78" t="b">
        <f t="shared" si="758"/>
        <v>0</v>
      </c>
      <c r="T647" s="78" t="b">
        <f t="shared" si="758"/>
        <v>0</v>
      </c>
      <c r="U647" s="78" t="b">
        <f t="shared" si="758"/>
        <v>0</v>
      </c>
      <c r="V647" s="78" t="b">
        <f t="shared" si="758"/>
        <v>0</v>
      </c>
      <c r="W647" s="78" t="b">
        <f t="shared" si="758"/>
        <v>0</v>
      </c>
      <c r="X647" s="78" t="b">
        <f t="shared" si="758"/>
        <v>0</v>
      </c>
      <c r="Y647" s="78" t="b">
        <f t="shared" si="758"/>
        <v>0</v>
      </c>
      <c r="Z647" s="78" t="b">
        <f t="shared" si="758"/>
        <v>0</v>
      </c>
      <c r="AA647" s="78" t="b">
        <f t="shared" si="758"/>
        <v>0</v>
      </c>
      <c r="AB647" s="78" t="b">
        <f t="shared" si="758"/>
        <v>0</v>
      </c>
      <c r="AC647" s="78" t="b">
        <f t="shared" si="758"/>
        <v>0</v>
      </c>
      <c r="AD647" s="78" t="b">
        <f t="shared" si="758"/>
        <v>0</v>
      </c>
      <c r="AE647" s="78" t="b">
        <f t="shared" si="758"/>
        <v>0</v>
      </c>
      <c r="AF647" s="78" t="b">
        <f t="shared" si="758"/>
        <v>0</v>
      </c>
      <c r="AG647" s="78" t="b">
        <f t="shared" si="758"/>
        <v>0</v>
      </c>
      <c r="AH647" s="78" t="b">
        <f t="shared" si="758"/>
        <v>0</v>
      </c>
      <c r="AI647" s="78" t="b">
        <f t="shared" si="758"/>
        <v>0</v>
      </c>
      <c r="AJ647" s="78" t="b">
        <f t="shared" si="758"/>
        <v>0</v>
      </c>
      <c r="AK647" s="78" t="b">
        <f t="shared" si="758"/>
        <v>0</v>
      </c>
      <c r="AL647" s="78" t="b">
        <f t="shared" si="758"/>
        <v>0</v>
      </c>
      <c r="AM647" s="78" t="b">
        <f t="shared" si="758"/>
        <v>0</v>
      </c>
      <c r="AN647" s="78" t="b">
        <f t="shared" si="758"/>
        <v>0</v>
      </c>
      <c r="AO647" s="78" t="b">
        <f t="shared" si="758"/>
        <v>0</v>
      </c>
      <c r="AP647" s="78"/>
    </row>
    <row r="648" spans="4:42" x14ac:dyDescent="0.35">
      <c r="D648" s="96"/>
      <c r="E648" s="96"/>
      <c r="G648" s="77">
        <f t="shared" si="747"/>
        <v>0</v>
      </c>
      <c r="H648" s="78">
        <f t="shared" si="748"/>
        <v>0</v>
      </c>
      <c r="I648" s="77">
        <f t="shared" si="749"/>
        <v>0</v>
      </c>
      <c r="J648" s="78">
        <f t="shared" si="750"/>
        <v>0</v>
      </c>
      <c r="K648" s="78" t="str">
        <f t="shared" si="751"/>
        <v>1900-01-00 00:0:00</v>
      </c>
      <c r="L648" s="78" t="str">
        <f t="shared" si="752"/>
        <v>1900-01-00 00:0:00</v>
      </c>
      <c r="M648" s="79">
        <f t="shared" si="753"/>
        <v>0</v>
      </c>
      <c r="N648">
        <f t="shared" si="754"/>
        <v>1</v>
      </c>
      <c r="O648" t="str">
        <f>IFERROR(_xlfn.XLOOKUP(A648,HC!A:A,HC!C:C),"")</f>
        <v>Workforce</v>
      </c>
      <c r="R648" s="78" t="b">
        <f t="shared" ref="R648:AO648" si="759">IFERROR(IF($B648=$D$1,IF(AND($K648&lt;R$1,$L648&lt;R$1),"",IF(AND($K648&gt;S$1,$L648&gt;S$1),"",IF(AND($K648&lt;R$1,$L648&lt;=S$1),$L648-R$1,IF(AND($K648&gt;=R$1,$L648&gt;S$1),S$1-$K648,IF(AND($K648&gt;=R$1,$L648&lt;=S$1),$L648-$K648,IF(AND($K648&lt;R$1,$L648&gt;S$1),S$1-R$1,""))))))),"")</f>
        <v>0</v>
      </c>
      <c r="S648" s="78" t="b">
        <f t="shared" si="759"/>
        <v>0</v>
      </c>
      <c r="T648" s="78" t="b">
        <f t="shared" si="759"/>
        <v>0</v>
      </c>
      <c r="U648" s="78" t="b">
        <f t="shared" si="759"/>
        <v>0</v>
      </c>
      <c r="V648" s="78" t="b">
        <f t="shared" si="759"/>
        <v>0</v>
      </c>
      <c r="W648" s="78" t="b">
        <f t="shared" si="759"/>
        <v>0</v>
      </c>
      <c r="X648" s="78" t="b">
        <f t="shared" si="759"/>
        <v>0</v>
      </c>
      <c r="Y648" s="78" t="b">
        <f t="shared" si="759"/>
        <v>0</v>
      </c>
      <c r="Z648" s="78" t="b">
        <f t="shared" si="759"/>
        <v>0</v>
      </c>
      <c r="AA648" s="78" t="b">
        <f t="shared" si="759"/>
        <v>0</v>
      </c>
      <c r="AB648" s="78" t="b">
        <f t="shared" si="759"/>
        <v>0</v>
      </c>
      <c r="AC648" s="78" t="b">
        <f t="shared" si="759"/>
        <v>0</v>
      </c>
      <c r="AD648" s="78" t="b">
        <f t="shared" si="759"/>
        <v>0</v>
      </c>
      <c r="AE648" s="78" t="b">
        <f t="shared" si="759"/>
        <v>0</v>
      </c>
      <c r="AF648" s="78" t="b">
        <f t="shared" si="759"/>
        <v>0</v>
      </c>
      <c r="AG648" s="78" t="b">
        <f t="shared" si="759"/>
        <v>0</v>
      </c>
      <c r="AH648" s="78" t="b">
        <f t="shared" si="759"/>
        <v>0</v>
      </c>
      <c r="AI648" s="78" t="b">
        <f t="shared" si="759"/>
        <v>0</v>
      </c>
      <c r="AJ648" s="78" t="b">
        <f t="shared" si="759"/>
        <v>0</v>
      </c>
      <c r="AK648" s="78" t="b">
        <f t="shared" si="759"/>
        <v>0</v>
      </c>
      <c r="AL648" s="78" t="b">
        <f t="shared" si="759"/>
        <v>0</v>
      </c>
      <c r="AM648" s="78" t="b">
        <f t="shared" si="759"/>
        <v>0</v>
      </c>
      <c r="AN648" s="78" t="b">
        <f t="shared" si="759"/>
        <v>0</v>
      </c>
      <c r="AO648" s="78" t="b">
        <f t="shared" si="759"/>
        <v>0</v>
      </c>
      <c r="AP648" s="78"/>
    </row>
    <row r="649" spans="4:42" x14ac:dyDescent="0.35">
      <c r="D649" s="96"/>
      <c r="E649" s="96"/>
      <c r="G649" s="77">
        <f t="shared" si="747"/>
        <v>0</v>
      </c>
      <c r="H649" s="78">
        <f t="shared" si="748"/>
        <v>0</v>
      </c>
      <c r="I649" s="77">
        <f t="shared" si="749"/>
        <v>0</v>
      </c>
      <c r="J649" s="78">
        <f t="shared" si="750"/>
        <v>0</v>
      </c>
      <c r="K649" s="78" t="str">
        <f t="shared" si="751"/>
        <v>1900-01-00 00:0:00</v>
      </c>
      <c r="L649" s="78" t="str">
        <f t="shared" si="752"/>
        <v>1900-01-00 00:0:00</v>
      </c>
      <c r="M649" s="79">
        <f t="shared" si="753"/>
        <v>0</v>
      </c>
      <c r="N649">
        <f t="shared" si="754"/>
        <v>1</v>
      </c>
      <c r="O649" t="str">
        <f>IFERROR(_xlfn.XLOOKUP(A649,HC!A:A,HC!C:C),"")</f>
        <v>Workforce</v>
      </c>
      <c r="R649" s="78" t="b">
        <f t="shared" ref="R649:AO649" si="760">IFERROR(IF($B649=$D$1,IF(AND($K649&lt;R$1,$L649&lt;R$1),"",IF(AND($K649&gt;S$1,$L649&gt;S$1),"",IF(AND($K649&lt;R$1,$L649&lt;=S$1),$L649-R$1,IF(AND($K649&gt;=R$1,$L649&gt;S$1),S$1-$K649,IF(AND($K649&gt;=R$1,$L649&lt;=S$1),$L649-$K649,IF(AND($K649&lt;R$1,$L649&gt;S$1),S$1-R$1,""))))))),"")</f>
        <v>0</v>
      </c>
      <c r="S649" s="78" t="b">
        <f t="shared" si="760"/>
        <v>0</v>
      </c>
      <c r="T649" s="78" t="b">
        <f t="shared" si="760"/>
        <v>0</v>
      </c>
      <c r="U649" s="78" t="b">
        <f t="shared" si="760"/>
        <v>0</v>
      </c>
      <c r="V649" s="78" t="b">
        <f t="shared" si="760"/>
        <v>0</v>
      </c>
      <c r="W649" s="78" t="b">
        <f t="shared" si="760"/>
        <v>0</v>
      </c>
      <c r="X649" s="78" t="b">
        <f t="shared" si="760"/>
        <v>0</v>
      </c>
      <c r="Y649" s="78" t="b">
        <f t="shared" si="760"/>
        <v>0</v>
      </c>
      <c r="Z649" s="78" t="b">
        <f t="shared" si="760"/>
        <v>0</v>
      </c>
      <c r="AA649" s="78" t="b">
        <f t="shared" si="760"/>
        <v>0</v>
      </c>
      <c r="AB649" s="78" t="b">
        <f t="shared" si="760"/>
        <v>0</v>
      </c>
      <c r="AC649" s="78" t="b">
        <f t="shared" si="760"/>
        <v>0</v>
      </c>
      <c r="AD649" s="78" t="b">
        <f t="shared" si="760"/>
        <v>0</v>
      </c>
      <c r="AE649" s="78" t="b">
        <f t="shared" si="760"/>
        <v>0</v>
      </c>
      <c r="AF649" s="78" t="b">
        <f t="shared" si="760"/>
        <v>0</v>
      </c>
      <c r="AG649" s="78" t="b">
        <f t="shared" si="760"/>
        <v>0</v>
      </c>
      <c r="AH649" s="78" t="b">
        <f t="shared" si="760"/>
        <v>0</v>
      </c>
      <c r="AI649" s="78" t="b">
        <f t="shared" si="760"/>
        <v>0</v>
      </c>
      <c r="AJ649" s="78" t="b">
        <f t="shared" si="760"/>
        <v>0</v>
      </c>
      <c r="AK649" s="78" t="b">
        <f t="shared" si="760"/>
        <v>0</v>
      </c>
      <c r="AL649" s="78" t="b">
        <f t="shared" si="760"/>
        <v>0</v>
      </c>
      <c r="AM649" s="78" t="b">
        <f t="shared" si="760"/>
        <v>0</v>
      </c>
      <c r="AN649" s="78" t="b">
        <f t="shared" si="760"/>
        <v>0</v>
      </c>
      <c r="AO649" s="78" t="b">
        <f t="shared" si="760"/>
        <v>0</v>
      </c>
      <c r="AP649" s="78"/>
    </row>
    <row r="650" spans="4:42" x14ac:dyDescent="0.35">
      <c r="D650" s="96"/>
      <c r="E650" s="96"/>
      <c r="G650" s="77">
        <f t="shared" si="747"/>
        <v>0</v>
      </c>
      <c r="H650" s="78">
        <f t="shared" si="748"/>
        <v>0</v>
      </c>
      <c r="I650" s="77">
        <f t="shared" si="749"/>
        <v>0</v>
      </c>
      <c r="J650" s="78">
        <f t="shared" si="750"/>
        <v>0</v>
      </c>
      <c r="K650" s="78" t="str">
        <f t="shared" si="751"/>
        <v>1900-01-00 00:0:00</v>
      </c>
      <c r="L650" s="78" t="str">
        <f t="shared" si="752"/>
        <v>1900-01-00 00:0:00</v>
      </c>
      <c r="M650" s="79">
        <f t="shared" si="753"/>
        <v>0</v>
      </c>
      <c r="N650">
        <f t="shared" si="754"/>
        <v>1</v>
      </c>
      <c r="O650" t="str">
        <f>IFERROR(_xlfn.XLOOKUP(A650,HC!A:A,HC!C:C),"")</f>
        <v>Workforce</v>
      </c>
      <c r="R650" s="78" t="b">
        <f t="shared" ref="R650:AO650" si="761">IFERROR(IF($B650=$D$1,IF(AND($K650&lt;R$1,$L650&lt;R$1),"",IF(AND($K650&gt;S$1,$L650&gt;S$1),"",IF(AND($K650&lt;R$1,$L650&lt;=S$1),$L650-R$1,IF(AND($K650&gt;=R$1,$L650&gt;S$1),S$1-$K650,IF(AND($K650&gt;=R$1,$L650&lt;=S$1),$L650-$K650,IF(AND($K650&lt;R$1,$L650&gt;S$1),S$1-R$1,""))))))),"")</f>
        <v>0</v>
      </c>
      <c r="S650" s="78" t="b">
        <f t="shared" si="761"/>
        <v>0</v>
      </c>
      <c r="T650" s="78" t="b">
        <f t="shared" si="761"/>
        <v>0</v>
      </c>
      <c r="U650" s="78" t="b">
        <f t="shared" si="761"/>
        <v>0</v>
      </c>
      <c r="V650" s="78" t="b">
        <f t="shared" si="761"/>
        <v>0</v>
      </c>
      <c r="W650" s="78" t="b">
        <f t="shared" si="761"/>
        <v>0</v>
      </c>
      <c r="X650" s="78" t="b">
        <f t="shared" si="761"/>
        <v>0</v>
      </c>
      <c r="Y650" s="78" t="b">
        <f t="shared" si="761"/>
        <v>0</v>
      </c>
      <c r="Z650" s="78" t="b">
        <f t="shared" si="761"/>
        <v>0</v>
      </c>
      <c r="AA650" s="78" t="b">
        <f t="shared" si="761"/>
        <v>0</v>
      </c>
      <c r="AB650" s="78" t="b">
        <f t="shared" si="761"/>
        <v>0</v>
      </c>
      <c r="AC650" s="78" t="b">
        <f t="shared" si="761"/>
        <v>0</v>
      </c>
      <c r="AD650" s="78" t="b">
        <f t="shared" si="761"/>
        <v>0</v>
      </c>
      <c r="AE650" s="78" t="b">
        <f t="shared" si="761"/>
        <v>0</v>
      </c>
      <c r="AF650" s="78" t="b">
        <f t="shared" si="761"/>
        <v>0</v>
      </c>
      <c r="AG650" s="78" t="b">
        <f t="shared" si="761"/>
        <v>0</v>
      </c>
      <c r="AH650" s="78" t="b">
        <f t="shared" si="761"/>
        <v>0</v>
      </c>
      <c r="AI650" s="78" t="b">
        <f t="shared" si="761"/>
        <v>0</v>
      </c>
      <c r="AJ650" s="78" t="b">
        <f t="shared" si="761"/>
        <v>0</v>
      </c>
      <c r="AK650" s="78" t="b">
        <f t="shared" si="761"/>
        <v>0</v>
      </c>
      <c r="AL650" s="78" t="b">
        <f t="shared" si="761"/>
        <v>0</v>
      </c>
      <c r="AM650" s="78" t="b">
        <f t="shared" si="761"/>
        <v>0</v>
      </c>
      <c r="AN650" s="78" t="b">
        <f t="shared" si="761"/>
        <v>0</v>
      </c>
      <c r="AO650" s="78" t="b">
        <f t="shared" si="761"/>
        <v>0</v>
      </c>
      <c r="AP650" s="78"/>
    </row>
    <row r="651" spans="4:42" x14ac:dyDescent="0.35">
      <c r="D651" s="96"/>
      <c r="E651" s="96"/>
      <c r="G651" s="77">
        <f t="shared" si="747"/>
        <v>0</v>
      </c>
      <c r="H651" s="78">
        <f t="shared" si="748"/>
        <v>0</v>
      </c>
      <c r="I651" s="77">
        <f t="shared" si="749"/>
        <v>0</v>
      </c>
      <c r="J651" s="78">
        <f t="shared" si="750"/>
        <v>0</v>
      </c>
      <c r="K651" s="78" t="str">
        <f t="shared" si="751"/>
        <v>1900-01-00 00:0:00</v>
      </c>
      <c r="L651" s="78" t="str">
        <f t="shared" si="752"/>
        <v>1900-01-00 00:0:00</v>
      </c>
      <c r="M651" s="79">
        <f t="shared" si="753"/>
        <v>0</v>
      </c>
      <c r="N651">
        <f t="shared" si="754"/>
        <v>1</v>
      </c>
      <c r="O651" t="str">
        <f>IFERROR(_xlfn.XLOOKUP(A651,HC!A:A,HC!C:C),"")</f>
        <v>Workforce</v>
      </c>
      <c r="R651" s="78" t="b">
        <f t="shared" ref="R651:AO651" si="762">IFERROR(IF($B651=$D$1,IF(AND($K651&lt;R$1,$L651&lt;R$1),"",IF(AND($K651&gt;S$1,$L651&gt;S$1),"",IF(AND($K651&lt;R$1,$L651&lt;=S$1),$L651-R$1,IF(AND($K651&gt;=R$1,$L651&gt;S$1),S$1-$K651,IF(AND($K651&gt;=R$1,$L651&lt;=S$1),$L651-$K651,IF(AND($K651&lt;R$1,$L651&gt;S$1),S$1-R$1,""))))))),"")</f>
        <v>0</v>
      </c>
      <c r="S651" s="78" t="b">
        <f t="shared" si="762"/>
        <v>0</v>
      </c>
      <c r="T651" s="78" t="b">
        <f t="shared" si="762"/>
        <v>0</v>
      </c>
      <c r="U651" s="78" t="b">
        <f t="shared" si="762"/>
        <v>0</v>
      </c>
      <c r="V651" s="78" t="b">
        <f t="shared" si="762"/>
        <v>0</v>
      </c>
      <c r="W651" s="78" t="b">
        <f t="shared" si="762"/>
        <v>0</v>
      </c>
      <c r="X651" s="78" t="b">
        <f t="shared" si="762"/>
        <v>0</v>
      </c>
      <c r="Y651" s="78" t="b">
        <f t="shared" si="762"/>
        <v>0</v>
      </c>
      <c r="Z651" s="78" t="b">
        <f t="shared" si="762"/>
        <v>0</v>
      </c>
      <c r="AA651" s="78" t="b">
        <f t="shared" si="762"/>
        <v>0</v>
      </c>
      <c r="AB651" s="78" t="b">
        <f t="shared" si="762"/>
        <v>0</v>
      </c>
      <c r="AC651" s="78" t="b">
        <f t="shared" si="762"/>
        <v>0</v>
      </c>
      <c r="AD651" s="78" t="b">
        <f t="shared" si="762"/>
        <v>0</v>
      </c>
      <c r="AE651" s="78" t="b">
        <f t="shared" si="762"/>
        <v>0</v>
      </c>
      <c r="AF651" s="78" t="b">
        <f t="shared" si="762"/>
        <v>0</v>
      </c>
      <c r="AG651" s="78" t="b">
        <f t="shared" si="762"/>
        <v>0</v>
      </c>
      <c r="AH651" s="78" t="b">
        <f t="shared" si="762"/>
        <v>0</v>
      </c>
      <c r="AI651" s="78" t="b">
        <f t="shared" si="762"/>
        <v>0</v>
      </c>
      <c r="AJ651" s="78" t="b">
        <f t="shared" si="762"/>
        <v>0</v>
      </c>
      <c r="AK651" s="78" t="b">
        <f t="shared" si="762"/>
        <v>0</v>
      </c>
      <c r="AL651" s="78" t="b">
        <f t="shared" si="762"/>
        <v>0</v>
      </c>
      <c r="AM651" s="78" t="b">
        <f t="shared" si="762"/>
        <v>0</v>
      </c>
      <c r="AN651" s="78" t="b">
        <f t="shared" si="762"/>
        <v>0</v>
      </c>
      <c r="AO651" s="78" t="b">
        <f t="shared" si="762"/>
        <v>0</v>
      </c>
      <c r="AP651" s="78"/>
    </row>
    <row r="652" spans="4:42" x14ac:dyDescent="0.35">
      <c r="D652" s="96"/>
      <c r="E652" s="96"/>
      <c r="G652" s="77">
        <f t="shared" si="747"/>
        <v>0</v>
      </c>
      <c r="H652" s="78">
        <f t="shared" si="748"/>
        <v>0</v>
      </c>
      <c r="I652" s="77">
        <f t="shared" si="749"/>
        <v>0</v>
      </c>
      <c r="J652" s="78">
        <f t="shared" si="750"/>
        <v>0</v>
      </c>
      <c r="K652" s="78" t="str">
        <f t="shared" si="751"/>
        <v>1900-01-00 00:0:00</v>
      </c>
      <c r="L652" s="78" t="str">
        <f t="shared" si="752"/>
        <v>1900-01-00 00:0:00</v>
      </c>
      <c r="M652" s="79">
        <f t="shared" si="753"/>
        <v>0</v>
      </c>
      <c r="N652">
        <f t="shared" si="754"/>
        <v>1</v>
      </c>
      <c r="O652" t="str">
        <f>IFERROR(_xlfn.XLOOKUP(A652,HC!A:A,HC!C:C),"")</f>
        <v>Workforce</v>
      </c>
      <c r="R652" s="78" t="b">
        <f t="shared" ref="R652:AO652" si="763">IFERROR(IF($B652=$D$1,IF(AND($K652&lt;R$1,$L652&lt;R$1),"",IF(AND($K652&gt;S$1,$L652&gt;S$1),"",IF(AND($K652&lt;R$1,$L652&lt;=S$1),$L652-R$1,IF(AND($K652&gt;=R$1,$L652&gt;S$1),S$1-$K652,IF(AND($K652&gt;=R$1,$L652&lt;=S$1),$L652-$K652,IF(AND($K652&lt;R$1,$L652&gt;S$1),S$1-R$1,""))))))),"")</f>
        <v>0</v>
      </c>
      <c r="S652" s="78" t="b">
        <f t="shared" si="763"/>
        <v>0</v>
      </c>
      <c r="T652" s="78" t="b">
        <f t="shared" si="763"/>
        <v>0</v>
      </c>
      <c r="U652" s="78" t="b">
        <f t="shared" si="763"/>
        <v>0</v>
      </c>
      <c r="V652" s="78" t="b">
        <f t="shared" si="763"/>
        <v>0</v>
      </c>
      <c r="W652" s="78" t="b">
        <f t="shared" si="763"/>
        <v>0</v>
      </c>
      <c r="X652" s="78" t="b">
        <f t="shared" si="763"/>
        <v>0</v>
      </c>
      <c r="Y652" s="78" t="b">
        <f t="shared" si="763"/>
        <v>0</v>
      </c>
      <c r="Z652" s="78" t="b">
        <f t="shared" si="763"/>
        <v>0</v>
      </c>
      <c r="AA652" s="78" t="b">
        <f t="shared" si="763"/>
        <v>0</v>
      </c>
      <c r="AB652" s="78" t="b">
        <f t="shared" si="763"/>
        <v>0</v>
      </c>
      <c r="AC652" s="78" t="b">
        <f t="shared" si="763"/>
        <v>0</v>
      </c>
      <c r="AD652" s="78" t="b">
        <f t="shared" si="763"/>
        <v>0</v>
      </c>
      <c r="AE652" s="78" t="b">
        <f t="shared" si="763"/>
        <v>0</v>
      </c>
      <c r="AF652" s="78" t="b">
        <f t="shared" si="763"/>
        <v>0</v>
      </c>
      <c r="AG652" s="78" t="b">
        <f t="shared" si="763"/>
        <v>0</v>
      </c>
      <c r="AH652" s="78" t="b">
        <f t="shared" si="763"/>
        <v>0</v>
      </c>
      <c r="AI652" s="78" t="b">
        <f t="shared" si="763"/>
        <v>0</v>
      </c>
      <c r="AJ652" s="78" t="b">
        <f t="shared" si="763"/>
        <v>0</v>
      </c>
      <c r="AK652" s="78" t="b">
        <f t="shared" si="763"/>
        <v>0</v>
      </c>
      <c r="AL652" s="78" t="b">
        <f t="shared" si="763"/>
        <v>0</v>
      </c>
      <c r="AM652" s="78" t="b">
        <f t="shared" si="763"/>
        <v>0</v>
      </c>
      <c r="AN652" s="78" t="b">
        <f t="shared" si="763"/>
        <v>0</v>
      </c>
      <c r="AO652" s="78" t="b">
        <f t="shared" si="763"/>
        <v>0</v>
      </c>
      <c r="AP652" s="78"/>
    </row>
    <row r="653" spans="4:42" x14ac:dyDescent="0.35">
      <c r="D653" s="96"/>
      <c r="E653" s="96"/>
      <c r="G653" s="77">
        <f t="shared" si="747"/>
        <v>0</v>
      </c>
      <c r="H653" s="78">
        <f t="shared" si="748"/>
        <v>0</v>
      </c>
      <c r="I653" s="77">
        <f t="shared" si="749"/>
        <v>0</v>
      </c>
      <c r="J653" s="78">
        <f t="shared" si="750"/>
        <v>0</v>
      </c>
      <c r="K653" s="78" t="str">
        <f t="shared" si="751"/>
        <v>1900-01-00 00:0:00</v>
      </c>
      <c r="L653" s="78" t="str">
        <f t="shared" si="752"/>
        <v>1900-01-00 00:0:00</v>
      </c>
      <c r="M653" s="79">
        <f t="shared" si="753"/>
        <v>0</v>
      </c>
      <c r="N653">
        <f t="shared" si="754"/>
        <v>1</v>
      </c>
      <c r="O653" t="str">
        <f>IFERROR(_xlfn.XLOOKUP(A653,HC!A:A,HC!C:C),"")</f>
        <v>Workforce</v>
      </c>
      <c r="R653" s="78" t="b">
        <f t="shared" ref="R653:AO653" si="764">IFERROR(IF($B653=$D$1,IF(AND($K653&lt;R$1,$L653&lt;R$1),"",IF(AND($K653&gt;S$1,$L653&gt;S$1),"",IF(AND($K653&lt;R$1,$L653&lt;=S$1),$L653-R$1,IF(AND($K653&gt;=R$1,$L653&gt;S$1),S$1-$K653,IF(AND($K653&gt;=R$1,$L653&lt;=S$1),$L653-$K653,IF(AND($K653&lt;R$1,$L653&gt;S$1),S$1-R$1,""))))))),"")</f>
        <v>0</v>
      </c>
      <c r="S653" s="78" t="b">
        <f t="shared" si="764"/>
        <v>0</v>
      </c>
      <c r="T653" s="78" t="b">
        <f t="shared" si="764"/>
        <v>0</v>
      </c>
      <c r="U653" s="78" t="b">
        <f t="shared" si="764"/>
        <v>0</v>
      </c>
      <c r="V653" s="78" t="b">
        <f t="shared" si="764"/>
        <v>0</v>
      </c>
      <c r="W653" s="78" t="b">
        <f t="shared" si="764"/>
        <v>0</v>
      </c>
      <c r="X653" s="78" t="b">
        <f t="shared" si="764"/>
        <v>0</v>
      </c>
      <c r="Y653" s="78" t="b">
        <f t="shared" si="764"/>
        <v>0</v>
      </c>
      <c r="Z653" s="78" t="b">
        <f t="shared" si="764"/>
        <v>0</v>
      </c>
      <c r="AA653" s="78" t="b">
        <f t="shared" si="764"/>
        <v>0</v>
      </c>
      <c r="AB653" s="78" t="b">
        <f t="shared" si="764"/>
        <v>0</v>
      </c>
      <c r="AC653" s="78" t="b">
        <f t="shared" si="764"/>
        <v>0</v>
      </c>
      <c r="AD653" s="78" t="b">
        <f t="shared" si="764"/>
        <v>0</v>
      </c>
      <c r="AE653" s="78" t="b">
        <f t="shared" si="764"/>
        <v>0</v>
      </c>
      <c r="AF653" s="78" t="b">
        <f t="shared" si="764"/>
        <v>0</v>
      </c>
      <c r="AG653" s="78" t="b">
        <f t="shared" si="764"/>
        <v>0</v>
      </c>
      <c r="AH653" s="78" t="b">
        <f t="shared" si="764"/>
        <v>0</v>
      </c>
      <c r="AI653" s="78" t="b">
        <f t="shared" si="764"/>
        <v>0</v>
      </c>
      <c r="AJ653" s="78" t="b">
        <f t="shared" si="764"/>
        <v>0</v>
      </c>
      <c r="AK653" s="78" t="b">
        <f t="shared" si="764"/>
        <v>0</v>
      </c>
      <c r="AL653" s="78" t="b">
        <f t="shared" si="764"/>
        <v>0</v>
      </c>
      <c r="AM653" s="78" t="b">
        <f t="shared" si="764"/>
        <v>0</v>
      </c>
      <c r="AN653" s="78" t="b">
        <f t="shared" si="764"/>
        <v>0</v>
      </c>
      <c r="AO653" s="78" t="b">
        <f t="shared" si="764"/>
        <v>0</v>
      </c>
      <c r="AP653" s="78"/>
    </row>
    <row r="654" spans="4:42" x14ac:dyDescent="0.35">
      <c r="D654" s="96"/>
      <c r="E654" s="96"/>
      <c r="G654" s="77">
        <f t="shared" si="747"/>
        <v>0</v>
      </c>
      <c r="H654" s="78">
        <f t="shared" si="748"/>
        <v>0</v>
      </c>
      <c r="I654" s="77">
        <f t="shared" si="749"/>
        <v>0</v>
      </c>
      <c r="J654" s="78">
        <f t="shared" si="750"/>
        <v>0</v>
      </c>
      <c r="K654" s="78" t="str">
        <f t="shared" si="751"/>
        <v>1900-01-00 00:0:00</v>
      </c>
      <c r="L654" s="78" t="str">
        <f t="shared" si="752"/>
        <v>1900-01-00 00:0:00</v>
      </c>
      <c r="M654" s="79">
        <f t="shared" si="753"/>
        <v>0</v>
      </c>
      <c r="N654">
        <f t="shared" si="754"/>
        <v>1</v>
      </c>
      <c r="O654" t="str">
        <f>IFERROR(_xlfn.XLOOKUP(A654,HC!A:A,HC!C:C),"")</f>
        <v>Workforce</v>
      </c>
      <c r="R654" s="78" t="b">
        <f t="shared" ref="R654:AO654" si="765">IFERROR(IF($B654=$D$1,IF(AND($K654&lt;R$1,$L654&lt;R$1),"",IF(AND($K654&gt;S$1,$L654&gt;S$1),"",IF(AND($K654&lt;R$1,$L654&lt;=S$1),$L654-R$1,IF(AND($K654&gt;=R$1,$L654&gt;S$1),S$1-$K654,IF(AND($K654&gt;=R$1,$L654&lt;=S$1),$L654-$K654,IF(AND($K654&lt;R$1,$L654&gt;S$1),S$1-R$1,""))))))),"")</f>
        <v>0</v>
      </c>
      <c r="S654" s="78" t="b">
        <f t="shared" si="765"/>
        <v>0</v>
      </c>
      <c r="T654" s="78" t="b">
        <f t="shared" si="765"/>
        <v>0</v>
      </c>
      <c r="U654" s="78" t="b">
        <f t="shared" si="765"/>
        <v>0</v>
      </c>
      <c r="V654" s="78" t="b">
        <f t="shared" si="765"/>
        <v>0</v>
      </c>
      <c r="W654" s="78" t="b">
        <f t="shared" si="765"/>
        <v>0</v>
      </c>
      <c r="X654" s="78" t="b">
        <f t="shared" si="765"/>
        <v>0</v>
      </c>
      <c r="Y654" s="78" t="b">
        <f t="shared" si="765"/>
        <v>0</v>
      </c>
      <c r="Z654" s="78" t="b">
        <f t="shared" si="765"/>
        <v>0</v>
      </c>
      <c r="AA654" s="78" t="b">
        <f t="shared" si="765"/>
        <v>0</v>
      </c>
      <c r="AB654" s="78" t="b">
        <f t="shared" si="765"/>
        <v>0</v>
      </c>
      <c r="AC654" s="78" t="b">
        <f t="shared" si="765"/>
        <v>0</v>
      </c>
      <c r="AD654" s="78" t="b">
        <f t="shared" si="765"/>
        <v>0</v>
      </c>
      <c r="AE654" s="78" t="b">
        <f t="shared" si="765"/>
        <v>0</v>
      </c>
      <c r="AF654" s="78" t="b">
        <f t="shared" si="765"/>
        <v>0</v>
      </c>
      <c r="AG654" s="78" t="b">
        <f t="shared" si="765"/>
        <v>0</v>
      </c>
      <c r="AH654" s="78" t="b">
        <f t="shared" si="765"/>
        <v>0</v>
      </c>
      <c r="AI654" s="78" t="b">
        <f t="shared" si="765"/>
        <v>0</v>
      </c>
      <c r="AJ654" s="78" t="b">
        <f t="shared" si="765"/>
        <v>0</v>
      </c>
      <c r="AK654" s="78" t="b">
        <f t="shared" si="765"/>
        <v>0</v>
      </c>
      <c r="AL654" s="78" t="b">
        <f t="shared" si="765"/>
        <v>0</v>
      </c>
      <c r="AM654" s="78" t="b">
        <f t="shared" si="765"/>
        <v>0</v>
      </c>
      <c r="AN654" s="78" t="b">
        <f t="shared" si="765"/>
        <v>0</v>
      </c>
      <c r="AO654" s="78" t="b">
        <f t="shared" si="765"/>
        <v>0</v>
      </c>
      <c r="AP654" s="78"/>
    </row>
    <row r="655" spans="4:42" x14ac:dyDescent="0.35">
      <c r="D655" s="96"/>
      <c r="E655" s="96"/>
      <c r="G655" s="77">
        <f t="shared" si="747"/>
        <v>0</v>
      </c>
      <c r="H655" s="78">
        <f t="shared" si="748"/>
        <v>0</v>
      </c>
      <c r="I655" s="77">
        <f t="shared" si="749"/>
        <v>0</v>
      </c>
      <c r="J655" s="78">
        <f t="shared" si="750"/>
        <v>0</v>
      </c>
      <c r="K655" s="78" t="str">
        <f t="shared" si="751"/>
        <v>1900-01-00 00:0:00</v>
      </c>
      <c r="L655" s="78" t="str">
        <f t="shared" si="752"/>
        <v>1900-01-00 00:0:00</v>
      </c>
      <c r="M655" s="79">
        <f t="shared" si="753"/>
        <v>0</v>
      </c>
      <c r="N655">
        <f t="shared" si="754"/>
        <v>1</v>
      </c>
      <c r="O655" t="str">
        <f>IFERROR(_xlfn.XLOOKUP(A655,HC!A:A,HC!C:C),"")</f>
        <v>Workforce</v>
      </c>
      <c r="R655" s="78" t="b">
        <f t="shared" ref="R655:AO655" si="766">IFERROR(IF($B655=$D$1,IF(AND($K655&lt;R$1,$L655&lt;R$1),"",IF(AND($K655&gt;S$1,$L655&gt;S$1),"",IF(AND($K655&lt;R$1,$L655&lt;=S$1),$L655-R$1,IF(AND($K655&gt;=R$1,$L655&gt;S$1),S$1-$K655,IF(AND($K655&gt;=R$1,$L655&lt;=S$1),$L655-$K655,IF(AND($K655&lt;R$1,$L655&gt;S$1),S$1-R$1,""))))))),"")</f>
        <v>0</v>
      </c>
      <c r="S655" s="78" t="b">
        <f t="shared" si="766"/>
        <v>0</v>
      </c>
      <c r="T655" s="78" t="b">
        <f t="shared" si="766"/>
        <v>0</v>
      </c>
      <c r="U655" s="78" t="b">
        <f t="shared" si="766"/>
        <v>0</v>
      </c>
      <c r="V655" s="78" t="b">
        <f t="shared" si="766"/>
        <v>0</v>
      </c>
      <c r="W655" s="78" t="b">
        <f t="shared" si="766"/>
        <v>0</v>
      </c>
      <c r="X655" s="78" t="b">
        <f t="shared" si="766"/>
        <v>0</v>
      </c>
      <c r="Y655" s="78" t="b">
        <f t="shared" si="766"/>
        <v>0</v>
      </c>
      <c r="Z655" s="78" t="b">
        <f t="shared" si="766"/>
        <v>0</v>
      </c>
      <c r="AA655" s="78" t="b">
        <f t="shared" si="766"/>
        <v>0</v>
      </c>
      <c r="AB655" s="78" t="b">
        <f t="shared" si="766"/>
        <v>0</v>
      </c>
      <c r="AC655" s="78" t="b">
        <f t="shared" si="766"/>
        <v>0</v>
      </c>
      <c r="AD655" s="78" t="b">
        <f t="shared" si="766"/>
        <v>0</v>
      </c>
      <c r="AE655" s="78" t="b">
        <f t="shared" si="766"/>
        <v>0</v>
      </c>
      <c r="AF655" s="78" t="b">
        <f t="shared" si="766"/>
        <v>0</v>
      </c>
      <c r="AG655" s="78" t="b">
        <f t="shared" si="766"/>
        <v>0</v>
      </c>
      <c r="AH655" s="78" t="b">
        <f t="shared" si="766"/>
        <v>0</v>
      </c>
      <c r="AI655" s="78" t="b">
        <f t="shared" si="766"/>
        <v>0</v>
      </c>
      <c r="AJ655" s="78" t="b">
        <f t="shared" si="766"/>
        <v>0</v>
      </c>
      <c r="AK655" s="78" t="b">
        <f t="shared" si="766"/>
        <v>0</v>
      </c>
      <c r="AL655" s="78" t="b">
        <f t="shared" si="766"/>
        <v>0</v>
      </c>
      <c r="AM655" s="78" t="b">
        <f t="shared" si="766"/>
        <v>0</v>
      </c>
      <c r="AN655" s="78" t="b">
        <f t="shared" si="766"/>
        <v>0</v>
      </c>
      <c r="AO655" s="78" t="b">
        <f t="shared" si="766"/>
        <v>0</v>
      </c>
      <c r="AP655" s="78"/>
    </row>
    <row r="656" spans="4:42" x14ac:dyDescent="0.35">
      <c r="D656" s="96"/>
      <c r="E656" s="96"/>
      <c r="G656" s="77">
        <f t="shared" si="747"/>
        <v>0</v>
      </c>
      <c r="H656" s="78">
        <f t="shared" si="748"/>
        <v>0</v>
      </c>
      <c r="I656" s="77">
        <f t="shared" si="749"/>
        <v>0</v>
      </c>
      <c r="J656" s="78">
        <f t="shared" si="750"/>
        <v>0</v>
      </c>
      <c r="K656" s="78" t="str">
        <f t="shared" si="751"/>
        <v>1900-01-00 00:0:00</v>
      </c>
      <c r="L656" s="78" t="str">
        <f t="shared" si="752"/>
        <v>1900-01-00 00:0:00</v>
      </c>
      <c r="M656" s="79">
        <f t="shared" si="753"/>
        <v>0</v>
      </c>
      <c r="N656">
        <f t="shared" si="754"/>
        <v>1</v>
      </c>
      <c r="O656" t="str">
        <f>IFERROR(_xlfn.XLOOKUP(A656,HC!A:A,HC!C:C),"")</f>
        <v>Workforce</v>
      </c>
      <c r="R656" s="78" t="b">
        <f t="shared" ref="R656:AO656" si="767">IFERROR(IF($B656=$D$1,IF(AND($K656&lt;R$1,$L656&lt;R$1),"",IF(AND($K656&gt;S$1,$L656&gt;S$1),"",IF(AND($K656&lt;R$1,$L656&lt;=S$1),$L656-R$1,IF(AND($K656&gt;=R$1,$L656&gt;S$1),S$1-$K656,IF(AND($K656&gt;=R$1,$L656&lt;=S$1),$L656-$K656,IF(AND($K656&lt;R$1,$L656&gt;S$1),S$1-R$1,""))))))),"")</f>
        <v>0</v>
      </c>
      <c r="S656" s="78" t="b">
        <f t="shared" si="767"/>
        <v>0</v>
      </c>
      <c r="T656" s="78" t="b">
        <f t="shared" si="767"/>
        <v>0</v>
      </c>
      <c r="U656" s="78" t="b">
        <f t="shared" si="767"/>
        <v>0</v>
      </c>
      <c r="V656" s="78" t="b">
        <f t="shared" si="767"/>
        <v>0</v>
      </c>
      <c r="W656" s="78" t="b">
        <f t="shared" si="767"/>
        <v>0</v>
      </c>
      <c r="X656" s="78" t="b">
        <f t="shared" si="767"/>
        <v>0</v>
      </c>
      <c r="Y656" s="78" t="b">
        <f t="shared" si="767"/>
        <v>0</v>
      </c>
      <c r="Z656" s="78" t="b">
        <f t="shared" si="767"/>
        <v>0</v>
      </c>
      <c r="AA656" s="78" t="b">
        <f t="shared" si="767"/>
        <v>0</v>
      </c>
      <c r="AB656" s="78" t="b">
        <f t="shared" si="767"/>
        <v>0</v>
      </c>
      <c r="AC656" s="78" t="b">
        <f t="shared" si="767"/>
        <v>0</v>
      </c>
      <c r="AD656" s="78" t="b">
        <f t="shared" si="767"/>
        <v>0</v>
      </c>
      <c r="AE656" s="78" t="b">
        <f t="shared" si="767"/>
        <v>0</v>
      </c>
      <c r="AF656" s="78" t="b">
        <f t="shared" si="767"/>
        <v>0</v>
      </c>
      <c r="AG656" s="78" t="b">
        <f t="shared" si="767"/>
        <v>0</v>
      </c>
      <c r="AH656" s="78" t="b">
        <f t="shared" si="767"/>
        <v>0</v>
      </c>
      <c r="AI656" s="78" t="b">
        <f t="shared" si="767"/>
        <v>0</v>
      </c>
      <c r="AJ656" s="78" t="b">
        <f t="shared" si="767"/>
        <v>0</v>
      </c>
      <c r="AK656" s="78" t="b">
        <f t="shared" si="767"/>
        <v>0</v>
      </c>
      <c r="AL656" s="78" t="b">
        <f t="shared" si="767"/>
        <v>0</v>
      </c>
      <c r="AM656" s="78" t="b">
        <f t="shared" si="767"/>
        <v>0</v>
      </c>
      <c r="AN656" s="78" t="b">
        <f t="shared" si="767"/>
        <v>0</v>
      </c>
      <c r="AO656" s="78" t="b">
        <f t="shared" si="767"/>
        <v>0</v>
      </c>
      <c r="AP656" s="78"/>
    </row>
    <row r="657" spans="4:42" x14ac:dyDescent="0.35">
      <c r="D657" s="96"/>
      <c r="E657" s="96"/>
      <c r="G657" s="77">
        <f t="shared" si="747"/>
        <v>0</v>
      </c>
      <c r="H657" s="78">
        <f t="shared" si="748"/>
        <v>0</v>
      </c>
      <c r="I657" s="77">
        <f t="shared" si="749"/>
        <v>0</v>
      </c>
      <c r="J657" s="78">
        <f t="shared" si="750"/>
        <v>0</v>
      </c>
      <c r="K657" s="78" t="str">
        <f t="shared" si="751"/>
        <v>1900-01-00 00:0:00</v>
      </c>
      <c r="L657" s="78" t="str">
        <f t="shared" si="752"/>
        <v>1900-01-00 00:0:00</v>
      </c>
      <c r="M657" s="79">
        <f t="shared" si="753"/>
        <v>0</v>
      </c>
      <c r="N657">
        <f t="shared" si="754"/>
        <v>1</v>
      </c>
      <c r="O657" t="str">
        <f>IFERROR(_xlfn.XLOOKUP(A657,HC!A:A,HC!C:C),"")</f>
        <v>Workforce</v>
      </c>
      <c r="R657" s="78" t="b">
        <f t="shared" ref="R657:AO657" si="768">IFERROR(IF($B657=$D$1,IF(AND($K657&lt;R$1,$L657&lt;R$1),"",IF(AND($K657&gt;S$1,$L657&gt;S$1),"",IF(AND($K657&lt;R$1,$L657&lt;=S$1),$L657-R$1,IF(AND($K657&gt;=R$1,$L657&gt;S$1),S$1-$K657,IF(AND($K657&gt;=R$1,$L657&lt;=S$1),$L657-$K657,IF(AND($K657&lt;R$1,$L657&gt;S$1),S$1-R$1,""))))))),"")</f>
        <v>0</v>
      </c>
      <c r="S657" s="78" t="b">
        <f t="shared" si="768"/>
        <v>0</v>
      </c>
      <c r="T657" s="78" t="b">
        <f t="shared" si="768"/>
        <v>0</v>
      </c>
      <c r="U657" s="78" t="b">
        <f t="shared" si="768"/>
        <v>0</v>
      </c>
      <c r="V657" s="78" t="b">
        <f t="shared" si="768"/>
        <v>0</v>
      </c>
      <c r="W657" s="78" t="b">
        <f t="shared" si="768"/>
        <v>0</v>
      </c>
      <c r="X657" s="78" t="b">
        <f t="shared" si="768"/>
        <v>0</v>
      </c>
      <c r="Y657" s="78" t="b">
        <f t="shared" si="768"/>
        <v>0</v>
      </c>
      <c r="Z657" s="78" t="b">
        <f t="shared" si="768"/>
        <v>0</v>
      </c>
      <c r="AA657" s="78" t="b">
        <f t="shared" si="768"/>
        <v>0</v>
      </c>
      <c r="AB657" s="78" t="b">
        <f t="shared" si="768"/>
        <v>0</v>
      </c>
      <c r="AC657" s="78" t="b">
        <f t="shared" si="768"/>
        <v>0</v>
      </c>
      <c r="AD657" s="78" t="b">
        <f t="shared" si="768"/>
        <v>0</v>
      </c>
      <c r="AE657" s="78" t="b">
        <f t="shared" si="768"/>
        <v>0</v>
      </c>
      <c r="AF657" s="78" t="b">
        <f t="shared" si="768"/>
        <v>0</v>
      </c>
      <c r="AG657" s="78" t="b">
        <f t="shared" si="768"/>
        <v>0</v>
      </c>
      <c r="AH657" s="78" t="b">
        <f t="shared" si="768"/>
        <v>0</v>
      </c>
      <c r="AI657" s="78" t="b">
        <f t="shared" si="768"/>
        <v>0</v>
      </c>
      <c r="AJ657" s="78" t="b">
        <f t="shared" si="768"/>
        <v>0</v>
      </c>
      <c r="AK657" s="78" t="b">
        <f t="shared" si="768"/>
        <v>0</v>
      </c>
      <c r="AL657" s="78" t="b">
        <f t="shared" si="768"/>
        <v>0</v>
      </c>
      <c r="AM657" s="78" t="b">
        <f t="shared" si="768"/>
        <v>0</v>
      </c>
      <c r="AN657" s="78" t="b">
        <f t="shared" si="768"/>
        <v>0</v>
      </c>
      <c r="AO657" s="78" t="b">
        <f t="shared" si="768"/>
        <v>0</v>
      </c>
      <c r="AP657" s="78"/>
    </row>
    <row r="658" spans="4:42" x14ac:dyDescent="0.35">
      <c r="D658" s="96"/>
      <c r="E658" s="96"/>
      <c r="G658" s="77">
        <f t="shared" si="747"/>
        <v>0</v>
      </c>
      <c r="H658" s="78">
        <f t="shared" si="748"/>
        <v>0</v>
      </c>
      <c r="I658" s="77">
        <f t="shared" si="749"/>
        <v>0</v>
      </c>
      <c r="J658" s="78">
        <f t="shared" si="750"/>
        <v>0</v>
      </c>
      <c r="K658" s="78" t="str">
        <f t="shared" si="751"/>
        <v>1900-01-00 00:0:00</v>
      </c>
      <c r="L658" s="78" t="str">
        <f t="shared" si="752"/>
        <v>1900-01-00 00:0:00</v>
      </c>
      <c r="M658" s="79">
        <f t="shared" si="753"/>
        <v>0</v>
      </c>
      <c r="N658">
        <f t="shared" si="754"/>
        <v>1</v>
      </c>
      <c r="O658" t="str">
        <f>IFERROR(_xlfn.XLOOKUP(A658,HC!A:A,HC!C:C),"")</f>
        <v>Workforce</v>
      </c>
      <c r="R658" s="78" t="b">
        <f t="shared" ref="R658:AO658" si="769">IFERROR(IF($B658=$D$1,IF(AND($K658&lt;R$1,$L658&lt;R$1),"",IF(AND($K658&gt;S$1,$L658&gt;S$1),"",IF(AND($K658&lt;R$1,$L658&lt;=S$1),$L658-R$1,IF(AND($K658&gt;=R$1,$L658&gt;S$1),S$1-$K658,IF(AND($K658&gt;=R$1,$L658&lt;=S$1),$L658-$K658,IF(AND($K658&lt;R$1,$L658&gt;S$1),S$1-R$1,""))))))),"")</f>
        <v>0</v>
      </c>
      <c r="S658" s="78" t="b">
        <f t="shared" si="769"/>
        <v>0</v>
      </c>
      <c r="T658" s="78" t="b">
        <f t="shared" si="769"/>
        <v>0</v>
      </c>
      <c r="U658" s="78" t="b">
        <f t="shared" si="769"/>
        <v>0</v>
      </c>
      <c r="V658" s="78" t="b">
        <f t="shared" si="769"/>
        <v>0</v>
      </c>
      <c r="W658" s="78" t="b">
        <f t="shared" si="769"/>
        <v>0</v>
      </c>
      <c r="X658" s="78" t="b">
        <f t="shared" si="769"/>
        <v>0</v>
      </c>
      <c r="Y658" s="78" t="b">
        <f t="shared" si="769"/>
        <v>0</v>
      </c>
      <c r="Z658" s="78" t="b">
        <f t="shared" si="769"/>
        <v>0</v>
      </c>
      <c r="AA658" s="78" t="b">
        <f t="shared" si="769"/>
        <v>0</v>
      </c>
      <c r="AB658" s="78" t="b">
        <f t="shared" si="769"/>
        <v>0</v>
      </c>
      <c r="AC658" s="78" t="b">
        <f t="shared" si="769"/>
        <v>0</v>
      </c>
      <c r="AD658" s="78" t="b">
        <f t="shared" si="769"/>
        <v>0</v>
      </c>
      <c r="AE658" s="78" t="b">
        <f t="shared" si="769"/>
        <v>0</v>
      </c>
      <c r="AF658" s="78" t="b">
        <f t="shared" si="769"/>
        <v>0</v>
      </c>
      <c r="AG658" s="78" t="b">
        <f t="shared" si="769"/>
        <v>0</v>
      </c>
      <c r="AH658" s="78" t="b">
        <f t="shared" si="769"/>
        <v>0</v>
      </c>
      <c r="AI658" s="78" t="b">
        <f t="shared" si="769"/>
        <v>0</v>
      </c>
      <c r="AJ658" s="78" t="b">
        <f t="shared" si="769"/>
        <v>0</v>
      </c>
      <c r="AK658" s="78" t="b">
        <f t="shared" si="769"/>
        <v>0</v>
      </c>
      <c r="AL658" s="78" t="b">
        <f t="shared" si="769"/>
        <v>0</v>
      </c>
      <c r="AM658" s="78" t="b">
        <f t="shared" si="769"/>
        <v>0</v>
      </c>
      <c r="AN658" s="78" t="b">
        <f t="shared" si="769"/>
        <v>0</v>
      </c>
      <c r="AO658" s="78" t="b">
        <f t="shared" si="769"/>
        <v>0</v>
      </c>
      <c r="AP658" s="78"/>
    </row>
    <row r="659" spans="4:42" x14ac:dyDescent="0.35">
      <c r="D659" s="96"/>
      <c r="E659" s="96"/>
      <c r="G659" s="77">
        <f t="shared" si="747"/>
        <v>0</v>
      </c>
      <c r="H659" s="78">
        <f t="shared" si="748"/>
        <v>0</v>
      </c>
      <c r="I659" s="77">
        <f t="shared" si="749"/>
        <v>0</v>
      </c>
      <c r="J659" s="78">
        <f t="shared" si="750"/>
        <v>0</v>
      </c>
      <c r="K659" s="78" t="str">
        <f t="shared" si="751"/>
        <v>1900-01-00 00:0:00</v>
      </c>
      <c r="L659" s="78" t="str">
        <f t="shared" si="752"/>
        <v>1900-01-00 00:0:00</v>
      </c>
      <c r="M659" s="79">
        <f t="shared" si="753"/>
        <v>0</v>
      </c>
      <c r="N659">
        <f t="shared" si="754"/>
        <v>1</v>
      </c>
      <c r="O659" t="str">
        <f>IFERROR(_xlfn.XLOOKUP(A659,HC!A:A,HC!C:C),"")</f>
        <v>Workforce</v>
      </c>
      <c r="R659" s="78" t="b">
        <f t="shared" ref="R659:AO659" si="770">IFERROR(IF($B659=$D$1,IF(AND($K659&lt;R$1,$L659&lt;R$1),"",IF(AND($K659&gt;S$1,$L659&gt;S$1),"",IF(AND($K659&lt;R$1,$L659&lt;=S$1),$L659-R$1,IF(AND($K659&gt;=R$1,$L659&gt;S$1),S$1-$K659,IF(AND($K659&gt;=R$1,$L659&lt;=S$1),$L659-$K659,IF(AND($K659&lt;R$1,$L659&gt;S$1),S$1-R$1,""))))))),"")</f>
        <v>0</v>
      </c>
      <c r="S659" s="78" t="b">
        <f t="shared" si="770"/>
        <v>0</v>
      </c>
      <c r="T659" s="78" t="b">
        <f t="shared" si="770"/>
        <v>0</v>
      </c>
      <c r="U659" s="78" t="b">
        <f t="shared" si="770"/>
        <v>0</v>
      </c>
      <c r="V659" s="78" t="b">
        <f t="shared" si="770"/>
        <v>0</v>
      </c>
      <c r="W659" s="78" t="b">
        <f t="shared" si="770"/>
        <v>0</v>
      </c>
      <c r="X659" s="78" t="b">
        <f t="shared" si="770"/>
        <v>0</v>
      </c>
      <c r="Y659" s="78" t="b">
        <f t="shared" si="770"/>
        <v>0</v>
      </c>
      <c r="Z659" s="78" t="b">
        <f t="shared" si="770"/>
        <v>0</v>
      </c>
      <c r="AA659" s="78" t="b">
        <f t="shared" si="770"/>
        <v>0</v>
      </c>
      <c r="AB659" s="78" t="b">
        <f t="shared" si="770"/>
        <v>0</v>
      </c>
      <c r="AC659" s="78" t="b">
        <f t="shared" si="770"/>
        <v>0</v>
      </c>
      <c r="AD659" s="78" t="b">
        <f t="shared" si="770"/>
        <v>0</v>
      </c>
      <c r="AE659" s="78" t="b">
        <f t="shared" si="770"/>
        <v>0</v>
      </c>
      <c r="AF659" s="78" t="b">
        <f t="shared" si="770"/>
        <v>0</v>
      </c>
      <c r="AG659" s="78" t="b">
        <f t="shared" si="770"/>
        <v>0</v>
      </c>
      <c r="AH659" s="78" t="b">
        <f t="shared" si="770"/>
        <v>0</v>
      </c>
      <c r="AI659" s="78" t="b">
        <f t="shared" si="770"/>
        <v>0</v>
      </c>
      <c r="AJ659" s="78" t="b">
        <f t="shared" si="770"/>
        <v>0</v>
      </c>
      <c r="AK659" s="78" t="b">
        <f t="shared" si="770"/>
        <v>0</v>
      </c>
      <c r="AL659" s="78" t="b">
        <f t="shared" si="770"/>
        <v>0</v>
      </c>
      <c r="AM659" s="78" t="b">
        <f t="shared" si="770"/>
        <v>0</v>
      </c>
      <c r="AN659" s="78" t="b">
        <f t="shared" si="770"/>
        <v>0</v>
      </c>
      <c r="AO659" s="78" t="b">
        <f t="shared" si="770"/>
        <v>0</v>
      </c>
      <c r="AP659" s="78"/>
    </row>
    <row r="660" spans="4:42" x14ac:dyDescent="0.35">
      <c r="D660" s="96"/>
      <c r="E660" s="96"/>
      <c r="G660" s="77">
        <f t="shared" si="747"/>
        <v>0</v>
      </c>
      <c r="H660" s="78">
        <f t="shared" si="748"/>
        <v>0</v>
      </c>
      <c r="I660" s="77">
        <f t="shared" si="749"/>
        <v>0</v>
      </c>
      <c r="J660" s="78">
        <f t="shared" si="750"/>
        <v>0</v>
      </c>
      <c r="K660" s="78" t="str">
        <f t="shared" si="751"/>
        <v>1900-01-00 00:0:00</v>
      </c>
      <c r="L660" s="78" t="str">
        <f t="shared" si="752"/>
        <v>1900-01-00 00:0:00</v>
      </c>
      <c r="M660" s="79">
        <f t="shared" si="753"/>
        <v>0</v>
      </c>
      <c r="N660">
        <f t="shared" si="754"/>
        <v>1</v>
      </c>
      <c r="O660" t="str">
        <f>IFERROR(_xlfn.XLOOKUP(A660,HC!A:A,HC!C:C),"")</f>
        <v>Workforce</v>
      </c>
      <c r="R660" s="78" t="b">
        <f t="shared" ref="R660:AO660" si="771">IFERROR(IF($B660=$D$1,IF(AND($K660&lt;R$1,$L660&lt;R$1),"",IF(AND($K660&gt;S$1,$L660&gt;S$1),"",IF(AND($K660&lt;R$1,$L660&lt;=S$1),$L660-R$1,IF(AND($K660&gt;=R$1,$L660&gt;S$1),S$1-$K660,IF(AND($K660&gt;=R$1,$L660&lt;=S$1),$L660-$K660,IF(AND($K660&lt;R$1,$L660&gt;S$1),S$1-R$1,""))))))),"")</f>
        <v>0</v>
      </c>
      <c r="S660" s="78" t="b">
        <f t="shared" si="771"/>
        <v>0</v>
      </c>
      <c r="T660" s="78" t="b">
        <f t="shared" si="771"/>
        <v>0</v>
      </c>
      <c r="U660" s="78" t="b">
        <f t="shared" si="771"/>
        <v>0</v>
      </c>
      <c r="V660" s="78" t="b">
        <f t="shared" si="771"/>
        <v>0</v>
      </c>
      <c r="W660" s="78" t="b">
        <f t="shared" si="771"/>
        <v>0</v>
      </c>
      <c r="X660" s="78" t="b">
        <f t="shared" si="771"/>
        <v>0</v>
      </c>
      <c r="Y660" s="78" t="b">
        <f t="shared" si="771"/>
        <v>0</v>
      </c>
      <c r="Z660" s="78" t="b">
        <f t="shared" si="771"/>
        <v>0</v>
      </c>
      <c r="AA660" s="78" t="b">
        <f t="shared" si="771"/>
        <v>0</v>
      </c>
      <c r="AB660" s="78" t="b">
        <f t="shared" si="771"/>
        <v>0</v>
      </c>
      <c r="AC660" s="78" t="b">
        <f t="shared" si="771"/>
        <v>0</v>
      </c>
      <c r="AD660" s="78" t="b">
        <f t="shared" si="771"/>
        <v>0</v>
      </c>
      <c r="AE660" s="78" t="b">
        <f t="shared" si="771"/>
        <v>0</v>
      </c>
      <c r="AF660" s="78" t="b">
        <f t="shared" si="771"/>
        <v>0</v>
      </c>
      <c r="AG660" s="78" t="b">
        <f t="shared" si="771"/>
        <v>0</v>
      </c>
      <c r="AH660" s="78" t="b">
        <f t="shared" si="771"/>
        <v>0</v>
      </c>
      <c r="AI660" s="78" t="b">
        <f t="shared" si="771"/>
        <v>0</v>
      </c>
      <c r="AJ660" s="78" t="b">
        <f t="shared" si="771"/>
        <v>0</v>
      </c>
      <c r="AK660" s="78" t="b">
        <f t="shared" si="771"/>
        <v>0</v>
      </c>
      <c r="AL660" s="78" t="b">
        <f t="shared" si="771"/>
        <v>0</v>
      </c>
      <c r="AM660" s="78" t="b">
        <f t="shared" si="771"/>
        <v>0</v>
      </c>
      <c r="AN660" s="78" t="b">
        <f t="shared" si="771"/>
        <v>0</v>
      </c>
      <c r="AO660" s="78" t="b">
        <f t="shared" si="771"/>
        <v>0</v>
      </c>
      <c r="AP660" s="78"/>
    </row>
    <row r="661" spans="4:42" x14ac:dyDescent="0.35">
      <c r="D661" s="96"/>
      <c r="E661" s="96"/>
      <c r="G661" s="77">
        <f t="shared" si="747"/>
        <v>0</v>
      </c>
      <c r="H661" s="78">
        <f t="shared" si="748"/>
        <v>0</v>
      </c>
      <c r="I661" s="77">
        <f t="shared" si="749"/>
        <v>0</v>
      </c>
      <c r="J661" s="78">
        <f t="shared" si="750"/>
        <v>0</v>
      </c>
      <c r="K661" s="78" t="str">
        <f t="shared" si="751"/>
        <v>1900-01-00 00:0:00</v>
      </c>
      <c r="L661" s="78" t="str">
        <f t="shared" si="752"/>
        <v>1900-01-00 00:0:00</v>
      </c>
      <c r="M661" s="79">
        <f t="shared" si="753"/>
        <v>0</v>
      </c>
      <c r="N661">
        <f t="shared" si="754"/>
        <v>1</v>
      </c>
      <c r="O661" t="str">
        <f>IFERROR(_xlfn.XLOOKUP(A661,HC!A:A,HC!C:C),"")</f>
        <v>Workforce</v>
      </c>
      <c r="R661" s="78" t="b">
        <f t="shared" ref="R661:AO661" si="772">IFERROR(IF($B661=$D$1,IF(AND($K661&lt;R$1,$L661&lt;R$1),"",IF(AND($K661&gt;S$1,$L661&gt;S$1),"",IF(AND($K661&lt;R$1,$L661&lt;=S$1),$L661-R$1,IF(AND($K661&gt;=R$1,$L661&gt;S$1),S$1-$K661,IF(AND($K661&gt;=R$1,$L661&lt;=S$1),$L661-$K661,IF(AND($K661&lt;R$1,$L661&gt;S$1),S$1-R$1,""))))))),"")</f>
        <v>0</v>
      </c>
      <c r="S661" s="78" t="b">
        <f t="shared" si="772"/>
        <v>0</v>
      </c>
      <c r="T661" s="78" t="b">
        <f t="shared" si="772"/>
        <v>0</v>
      </c>
      <c r="U661" s="78" t="b">
        <f t="shared" si="772"/>
        <v>0</v>
      </c>
      <c r="V661" s="78" t="b">
        <f t="shared" si="772"/>
        <v>0</v>
      </c>
      <c r="W661" s="78" t="b">
        <f t="shared" si="772"/>
        <v>0</v>
      </c>
      <c r="X661" s="78" t="b">
        <f t="shared" si="772"/>
        <v>0</v>
      </c>
      <c r="Y661" s="78" t="b">
        <f t="shared" si="772"/>
        <v>0</v>
      </c>
      <c r="Z661" s="78" t="b">
        <f t="shared" si="772"/>
        <v>0</v>
      </c>
      <c r="AA661" s="78" t="b">
        <f t="shared" si="772"/>
        <v>0</v>
      </c>
      <c r="AB661" s="78" t="b">
        <f t="shared" si="772"/>
        <v>0</v>
      </c>
      <c r="AC661" s="78" t="b">
        <f t="shared" si="772"/>
        <v>0</v>
      </c>
      <c r="AD661" s="78" t="b">
        <f t="shared" si="772"/>
        <v>0</v>
      </c>
      <c r="AE661" s="78" t="b">
        <f t="shared" si="772"/>
        <v>0</v>
      </c>
      <c r="AF661" s="78" t="b">
        <f t="shared" si="772"/>
        <v>0</v>
      </c>
      <c r="AG661" s="78" t="b">
        <f t="shared" si="772"/>
        <v>0</v>
      </c>
      <c r="AH661" s="78" t="b">
        <f t="shared" si="772"/>
        <v>0</v>
      </c>
      <c r="AI661" s="78" t="b">
        <f t="shared" si="772"/>
        <v>0</v>
      </c>
      <c r="AJ661" s="78" t="b">
        <f t="shared" si="772"/>
        <v>0</v>
      </c>
      <c r="AK661" s="78" t="b">
        <f t="shared" si="772"/>
        <v>0</v>
      </c>
      <c r="AL661" s="78" t="b">
        <f t="shared" si="772"/>
        <v>0</v>
      </c>
      <c r="AM661" s="78" t="b">
        <f t="shared" si="772"/>
        <v>0</v>
      </c>
      <c r="AN661" s="78" t="b">
        <f t="shared" si="772"/>
        <v>0</v>
      </c>
      <c r="AO661" s="78" t="b">
        <f t="shared" si="772"/>
        <v>0</v>
      </c>
      <c r="AP661" s="78"/>
    </row>
    <row r="662" spans="4:42" x14ac:dyDescent="0.35">
      <c r="D662" s="96"/>
      <c r="E662" s="96"/>
      <c r="G662" s="77">
        <f t="shared" si="747"/>
        <v>0</v>
      </c>
      <c r="H662" s="78">
        <f t="shared" si="748"/>
        <v>0</v>
      </c>
      <c r="I662" s="77">
        <f t="shared" si="749"/>
        <v>0</v>
      </c>
      <c r="J662" s="78">
        <f t="shared" si="750"/>
        <v>0</v>
      </c>
      <c r="K662" s="78" t="str">
        <f t="shared" si="751"/>
        <v>1900-01-00 00:0:00</v>
      </c>
      <c r="L662" s="78" t="str">
        <f t="shared" si="752"/>
        <v>1900-01-00 00:0:00</v>
      </c>
      <c r="M662" s="79">
        <f t="shared" si="753"/>
        <v>0</v>
      </c>
      <c r="N662">
        <f t="shared" si="754"/>
        <v>1</v>
      </c>
      <c r="O662" t="str">
        <f>IFERROR(_xlfn.XLOOKUP(A662,HC!A:A,HC!C:C),"")</f>
        <v>Workforce</v>
      </c>
      <c r="R662" s="78" t="b">
        <f t="shared" ref="R662:AO662" si="773">IFERROR(IF($B662=$D$1,IF(AND($K662&lt;R$1,$L662&lt;R$1),"",IF(AND($K662&gt;S$1,$L662&gt;S$1),"",IF(AND($K662&lt;R$1,$L662&lt;=S$1),$L662-R$1,IF(AND($K662&gt;=R$1,$L662&gt;S$1),S$1-$K662,IF(AND($K662&gt;=R$1,$L662&lt;=S$1),$L662-$K662,IF(AND($K662&lt;R$1,$L662&gt;S$1),S$1-R$1,""))))))),"")</f>
        <v>0</v>
      </c>
      <c r="S662" s="78" t="b">
        <f t="shared" si="773"/>
        <v>0</v>
      </c>
      <c r="T662" s="78" t="b">
        <f t="shared" si="773"/>
        <v>0</v>
      </c>
      <c r="U662" s="78" t="b">
        <f t="shared" si="773"/>
        <v>0</v>
      </c>
      <c r="V662" s="78" t="b">
        <f t="shared" si="773"/>
        <v>0</v>
      </c>
      <c r="W662" s="78" t="b">
        <f t="shared" si="773"/>
        <v>0</v>
      </c>
      <c r="X662" s="78" t="b">
        <f t="shared" si="773"/>
        <v>0</v>
      </c>
      <c r="Y662" s="78" t="b">
        <f t="shared" si="773"/>
        <v>0</v>
      </c>
      <c r="Z662" s="78" t="b">
        <f t="shared" si="773"/>
        <v>0</v>
      </c>
      <c r="AA662" s="78" t="b">
        <f t="shared" si="773"/>
        <v>0</v>
      </c>
      <c r="AB662" s="78" t="b">
        <f t="shared" si="773"/>
        <v>0</v>
      </c>
      <c r="AC662" s="78" t="b">
        <f t="shared" si="773"/>
        <v>0</v>
      </c>
      <c r="AD662" s="78" t="b">
        <f t="shared" si="773"/>
        <v>0</v>
      </c>
      <c r="AE662" s="78" t="b">
        <f t="shared" si="773"/>
        <v>0</v>
      </c>
      <c r="AF662" s="78" t="b">
        <f t="shared" si="773"/>
        <v>0</v>
      </c>
      <c r="AG662" s="78" t="b">
        <f t="shared" si="773"/>
        <v>0</v>
      </c>
      <c r="AH662" s="78" t="b">
        <f t="shared" si="773"/>
        <v>0</v>
      </c>
      <c r="AI662" s="78" t="b">
        <f t="shared" si="773"/>
        <v>0</v>
      </c>
      <c r="AJ662" s="78" t="b">
        <f t="shared" si="773"/>
        <v>0</v>
      </c>
      <c r="AK662" s="78" t="b">
        <f t="shared" si="773"/>
        <v>0</v>
      </c>
      <c r="AL662" s="78" t="b">
        <f t="shared" si="773"/>
        <v>0</v>
      </c>
      <c r="AM662" s="78" t="b">
        <f t="shared" si="773"/>
        <v>0</v>
      </c>
      <c r="AN662" s="78" t="b">
        <f t="shared" si="773"/>
        <v>0</v>
      </c>
      <c r="AO662" s="78" t="b">
        <f t="shared" si="773"/>
        <v>0</v>
      </c>
      <c r="AP662" s="78"/>
    </row>
    <row r="663" spans="4:42" x14ac:dyDescent="0.35">
      <c r="D663" s="96"/>
      <c r="E663" s="96"/>
      <c r="G663" s="77">
        <f t="shared" si="747"/>
        <v>0</v>
      </c>
      <c r="H663" s="78">
        <f t="shared" si="748"/>
        <v>0</v>
      </c>
      <c r="I663" s="77">
        <f t="shared" si="749"/>
        <v>0</v>
      </c>
      <c r="J663" s="78">
        <f t="shared" si="750"/>
        <v>0</v>
      </c>
      <c r="K663" s="78" t="str">
        <f t="shared" si="751"/>
        <v>1900-01-00 00:0:00</v>
      </c>
      <c r="L663" s="78" t="str">
        <f t="shared" si="752"/>
        <v>1900-01-00 00:0:00</v>
      </c>
      <c r="M663" s="79">
        <f t="shared" si="753"/>
        <v>0</v>
      </c>
      <c r="N663">
        <f t="shared" si="754"/>
        <v>1</v>
      </c>
      <c r="O663" t="str">
        <f>IFERROR(_xlfn.XLOOKUP(A663,HC!A:A,HC!C:C),"")</f>
        <v>Workforce</v>
      </c>
      <c r="R663" s="78" t="b">
        <f t="shared" ref="R663:AO663" si="774">IFERROR(IF($B663=$D$1,IF(AND($K663&lt;R$1,$L663&lt;R$1),"",IF(AND($K663&gt;S$1,$L663&gt;S$1),"",IF(AND($K663&lt;R$1,$L663&lt;=S$1),$L663-R$1,IF(AND($K663&gt;=R$1,$L663&gt;S$1),S$1-$K663,IF(AND($K663&gt;=R$1,$L663&lt;=S$1),$L663-$K663,IF(AND($K663&lt;R$1,$L663&gt;S$1),S$1-R$1,""))))))),"")</f>
        <v>0</v>
      </c>
      <c r="S663" s="78" t="b">
        <f t="shared" si="774"/>
        <v>0</v>
      </c>
      <c r="T663" s="78" t="b">
        <f t="shared" si="774"/>
        <v>0</v>
      </c>
      <c r="U663" s="78" t="b">
        <f t="shared" si="774"/>
        <v>0</v>
      </c>
      <c r="V663" s="78" t="b">
        <f t="shared" si="774"/>
        <v>0</v>
      </c>
      <c r="W663" s="78" t="b">
        <f t="shared" si="774"/>
        <v>0</v>
      </c>
      <c r="X663" s="78" t="b">
        <f t="shared" si="774"/>
        <v>0</v>
      </c>
      <c r="Y663" s="78" t="b">
        <f t="shared" si="774"/>
        <v>0</v>
      </c>
      <c r="Z663" s="78" t="b">
        <f t="shared" si="774"/>
        <v>0</v>
      </c>
      <c r="AA663" s="78" t="b">
        <f t="shared" si="774"/>
        <v>0</v>
      </c>
      <c r="AB663" s="78" t="b">
        <f t="shared" si="774"/>
        <v>0</v>
      </c>
      <c r="AC663" s="78" t="b">
        <f t="shared" si="774"/>
        <v>0</v>
      </c>
      <c r="AD663" s="78" t="b">
        <f t="shared" si="774"/>
        <v>0</v>
      </c>
      <c r="AE663" s="78" t="b">
        <f t="shared" si="774"/>
        <v>0</v>
      </c>
      <c r="AF663" s="78" t="b">
        <f t="shared" si="774"/>
        <v>0</v>
      </c>
      <c r="AG663" s="78" t="b">
        <f t="shared" si="774"/>
        <v>0</v>
      </c>
      <c r="AH663" s="78" t="b">
        <f t="shared" si="774"/>
        <v>0</v>
      </c>
      <c r="AI663" s="78" t="b">
        <f t="shared" si="774"/>
        <v>0</v>
      </c>
      <c r="AJ663" s="78" t="b">
        <f t="shared" si="774"/>
        <v>0</v>
      </c>
      <c r="AK663" s="78" t="b">
        <f t="shared" si="774"/>
        <v>0</v>
      </c>
      <c r="AL663" s="78" t="b">
        <f t="shared" si="774"/>
        <v>0</v>
      </c>
      <c r="AM663" s="78" t="b">
        <f t="shared" si="774"/>
        <v>0</v>
      </c>
      <c r="AN663" s="78" t="b">
        <f t="shared" si="774"/>
        <v>0</v>
      </c>
      <c r="AO663" s="78" t="b">
        <f t="shared" si="774"/>
        <v>0</v>
      </c>
      <c r="AP663" s="78"/>
    </row>
    <row r="664" spans="4:42" x14ac:dyDescent="0.35">
      <c r="D664" s="96"/>
      <c r="E664" s="96"/>
      <c r="G664" s="77">
        <f t="shared" si="747"/>
        <v>0</v>
      </c>
      <c r="H664" s="78">
        <f t="shared" si="748"/>
        <v>0</v>
      </c>
      <c r="I664" s="77">
        <f t="shared" si="749"/>
        <v>0</v>
      </c>
      <c r="J664" s="78">
        <f t="shared" si="750"/>
        <v>0</v>
      </c>
      <c r="K664" s="78" t="str">
        <f t="shared" si="751"/>
        <v>1900-01-00 00:0:00</v>
      </c>
      <c r="L664" s="78" t="str">
        <f t="shared" si="752"/>
        <v>1900-01-00 00:0:00</v>
      </c>
      <c r="M664" s="79">
        <f t="shared" si="753"/>
        <v>0</v>
      </c>
      <c r="N664">
        <f t="shared" si="754"/>
        <v>1</v>
      </c>
      <c r="O664" t="str">
        <f>IFERROR(_xlfn.XLOOKUP(A664,HC!A:A,HC!C:C),"")</f>
        <v>Workforce</v>
      </c>
      <c r="R664" s="78" t="b">
        <f t="shared" ref="R664:AO664" si="775">IFERROR(IF($B664=$D$1,IF(AND($K664&lt;R$1,$L664&lt;R$1),"",IF(AND($K664&gt;S$1,$L664&gt;S$1),"",IF(AND($K664&lt;R$1,$L664&lt;=S$1),$L664-R$1,IF(AND($K664&gt;=R$1,$L664&gt;S$1),S$1-$K664,IF(AND($K664&gt;=R$1,$L664&lt;=S$1),$L664-$K664,IF(AND($K664&lt;R$1,$L664&gt;S$1),S$1-R$1,""))))))),"")</f>
        <v>0</v>
      </c>
      <c r="S664" s="78" t="b">
        <f t="shared" si="775"/>
        <v>0</v>
      </c>
      <c r="T664" s="78" t="b">
        <f t="shared" si="775"/>
        <v>0</v>
      </c>
      <c r="U664" s="78" t="b">
        <f t="shared" si="775"/>
        <v>0</v>
      </c>
      <c r="V664" s="78" t="b">
        <f t="shared" si="775"/>
        <v>0</v>
      </c>
      <c r="W664" s="78" t="b">
        <f t="shared" si="775"/>
        <v>0</v>
      </c>
      <c r="X664" s="78" t="b">
        <f t="shared" si="775"/>
        <v>0</v>
      </c>
      <c r="Y664" s="78" t="b">
        <f t="shared" si="775"/>
        <v>0</v>
      </c>
      <c r="Z664" s="78" t="b">
        <f t="shared" si="775"/>
        <v>0</v>
      </c>
      <c r="AA664" s="78" t="b">
        <f t="shared" si="775"/>
        <v>0</v>
      </c>
      <c r="AB664" s="78" t="b">
        <f t="shared" si="775"/>
        <v>0</v>
      </c>
      <c r="AC664" s="78" t="b">
        <f t="shared" si="775"/>
        <v>0</v>
      </c>
      <c r="AD664" s="78" t="b">
        <f t="shared" si="775"/>
        <v>0</v>
      </c>
      <c r="AE664" s="78" t="b">
        <f t="shared" si="775"/>
        <v>0</v>
      </c>
      <c r="AF664" s="78" t="b">
        <f t="shared" si="775"/>
        <v>0</v>
      </c>
      <c r="AG664" s="78" t="b">
        <f t="shared" si="775"/>
        <v>0</v>
      </c>
      <c r="AH664" s="78" t="b">
        <f t="shared" si="775"/>
        <v>0</v>
      </c>
      <c r="AI664" s="78" t="b">
        <f t="shared" si="775"/>
        <v>0</v>
      </c>
      <c r="AJ664" s="78" t="b">
        <f t="shared" si="775"/>
        <v>0</v>
      </c>
      <c r="AK664" s="78" t="b">
        <f t="shared" si="775"/>
        <v>0</v>
      </c>
      <c r="AL664" s="78" t="b">
        <f t="shared" si="775"/>
        <v>0</v>
      </c>
      <c r="AM664" s="78" t="b">
        <f t="shared" si="775"/>
        <v>0</v>
      </c>
      <c r="AN664" s="78" t="b">
        <f t="shared" si="775"/>
        <v>0</v>
      </c>
      <c r="AO664" s="78" t="b">
        <f t="shared" si="775"/>
        <v>0</v>
      </c>
      <c r="AP664" s="78"/>
    </row>
    <row r="665" spans="4:42" x14ac:dyDescent="0.35">
      <c r="D665" s="96"/>
      <c r="E665" s="96"/>
      <c r="G665" s="77">
        <f t="shared" si="747"/>
        <v>0</v>
      </c>
      <c r="H665" s="78">
        <f t="shared" si="748"/>
        <v>0</v>
      </c>
      <c r="I665" s="77">
        <f t="shared" si="749"/>
        <v>0</v>
      </c>
      <c r="J665" s="78">
        <f t="shared" si="750"/>
        <v>0</v>
      </c>
      <c r="K665" s="78" t="str">
        <f t="shared" si="751"/>
        <v>1900-01-00 00:0:00</v>
      </c>
      <c r="L665" s="78" t="str">
        <f t="shared" si="752"/>
        <v>1900-01-00 00:0:00</v>
      </c>
      <c r="M665" s="79">
        <f t="shared" si="753"/>
        <v>0</v>
      </c>
      <c r="N665">
        <f t="shared" si="754"/>
        <v>1</v>
      </c>
      <c r="O665" t="str">
        <f>IFERROR(_xlfn.XLOOKUP(A665,HC!A:A,HC!C:C),"")</f>
        <v>Workforce</v>
      </c>
      <c r="R665" s="78" t="b">
        <f t="shared" ref="R665:AO665" si="776">IFERROR(IF($B665=$D$1,IF(AND($K665&lt;R$1,$L665&lt;R$1),"",IF(AND($K665&gt;S$1,$L665&gt;S$1),"",IF(AND($K665&lt;R$1,$L665&lt;=S$1),$L665-R$1,IF(AND($K665&gt;=R$1,$L665&gt;S$1),S$1-$K665,IF(AND($K665&gt;=R$1,$L665&lt;=S$1),$L665-$K665,IF(AND($K665&lt;R$1,$L665&gt;S$1),S$1-R$1,""))))))),"")</f>
        <v>0</v>
      </c>
      <c r="S665" s="78" t="b">
        <f t="shared" si="776"/>
        <v>0</v>
      </c>
      <c r="T665" s="78" t="b">
        <f t="shared" si="776"/>
        <v>0</v>
      </c>
      <c r="U665" s="78" t="b">
        <f t="shared" si="776"/>
        <v>0</v>
      </c>
      <c r="V665" s="78" t="b">
        <f t="shared" si="776"/>
        <v>0</v>
      </c>
      <c r="W665" s="78" t="b">
        <f t="shared" si="776"/>
        <v>0</v>
      </c>
      <c r="X665" s="78" t="b">
        <f t="shared" si="776"/>
        <v>0</v>
      </c>
      <c r="Y665" s="78" t="b">
        <f t="shared" si="776"/>
        <v>0</v>
      </c>
      <c r="Z665" s="78" t="b">
        <f t="shared" si="776"/>
        <v>0</v>
      </c>
      <c r="AA665" s="78" t="b">
        <f t="shared" si="776"/>
        <v>0</v>
      </c>
      <c r="AB665" s="78" t="b">
        <f t="shared" si="776"/>
        <v>0</v>
      </c>
      <c r="AC665" s="78" t="b">
        <f t="shared" si="776"/>
        <v>0</v>
      </c>
      <c r="AD665" s="78" t="b">
        <f t="shared" si="776"/>
        <v>0</v>
      </c>
      <c r="AE665" s="78" t="b">
        <f t="shared" si="776"/>
        <v>0</v>
      </c>
      <c r="AF665" s="78" t="b">
        <f t="shared" si="776"/>
        <v>0</v>
      </c>
      <c r="AG665" s="78" t="b">
        <f t="shared" si="776"/>
        <v>0</v>
      </c>
      <c r="AH665" s="78" t="b">
        <f t="shared" si="776"/>
        <v>0</v>
      </c>
      <c r="AI665" s="78" t="b">
        <f t="shared" si="776"/>
        <v>0</v>
      </c>
      <c r="AJ665" s="78" t="b">
        <f t="shared" si="776"/>
        <v>0</v>
      </c>
      <c r="AK665" s="78" t="b">
        <f t="shared" si="776"/>
        <v>0</v>
      </c>
      <c r="AL665" s="78" t="b">
        <f t="shared" si="776"/>
        <v>0</v>
      </c>
      <c r="AM665" s="78" t="b">
        <f t="shared" si="776"/>
        <v>0</v>
      </c>
      <c r="AN665" s="78" t="b">
        <f t="shared" si="776"/>
        <v>0</v>
      </c>
      <c r="AO665" s="78" t="b">
        <f t="shared" si="776"/>
        <v>0</v>
      </c>
      <c r="AP665" s="78"/>
    </row>
    <row r="666" spans="4:42" x14ac:dyDescent="0.35">
      <c r="D666" s="96"/>
      <c r="E666" s="96"/>
      <c r="G666" s="77">
        <f t="shared" si="747"/>
        <v>0</v>
      </c>
      <c r="H666" s="78">
        <f t="shared" si="748"/>
        <v>0</v>
      </c>
      <c r="I666" s="77">
        <f t="shared" si="749"/>
        <v>0</v>
      </c>
      <c r="J666" s="78">
        <f t="shared" si="750"/>
        <v>0</v>
      </c>
      <c r="K666" s="78" t="str">
        <f t="shared" si="751"/>
        <v>1900-01-00 00:0:00</v>
      </c>
      <c r="L666" s="78" t="str">
        <f t="shared" si="752"/>
        <v>1900-01-00 00:0:00</v>
      </c>
      <c r="M666" s="79">
        <f t="shared" si="753"/>
        <v>0</v>
      </c>
      <c r="N666">
        <f t="shared" si="754"/>
        <v>1</v>
      </c>
      <c r="O666" t="str">
        <f>IFERROR(_xlfn.XLOOKUP(A666,HC!A:A,HC!C:C),"")</f>
        <v>Workforce</v>
      </c>
      <c r="R666" s="78" t="b">
        <f t="shared" ref="R666:AO666" si="777">IFERROR(IF($B666=$D$1,IF(AND($K666&lt;R$1,$L666&lt;R$1),"",IF(AND($K666&gt;S$1,$L666&gt;S$1),"",IF(AND($K666&lt;R$1,$L666&lt;=S$1),$L666-R$1,IF(AND($K666&gt;=R$1,$L666&gt;S$1),S$1-$K666,IF(AND($K666&gt;=R$1,$L666&lt;=S$1),$L666-$K666,IF(AND($K666&lt;R$1,$L666&gt;S$1),S$1-R$1,""))))))),"")</f>
        <v>0</v>
      </c>
      <c r="S666" s="78" t="b">
        <f t="shared" si="777"/>
        <v>0</v>
      </c>
      <c r="T666" s="78" t="b">
        <f t="shared" si="777"/>
        <v>0</v>
      </c>
      <c r="U666" s="78" t="b">
        <f t="shared" si="777"/>
        <v>0</v>
      </c>
      <c r="V666" s="78" t="b">
        <f t="shared" si="777"/>
        <v>0</v>
      </c>
      <c r="W666" s="78" t="b">
        <f t="shared" si="777"/>
        <v>0</v>
      </c>
      <c r="X666" s="78" t="b">
        <f t="shared" si="777"/>
        <v>0</v>
      </c>
      <c r="Y666" s="78" t="b">
        <f t="shared" si="777"/>
        <v>0</v>
      </c>
      <c r="Z666" s="78" t="b">
        <f t="shared" si="777"/>
        <v>0</v>
      </c>
      <c r="AA666" s="78" t="b">
        <f t="shared" si="777"/>
        <v>0</v>
      </c>
      <c r="AB666" s="78" t="b">
        <f t="shared" si="777"/>
        <v>0</v>
      </c>
      <c r="AC666" s="78" t="b">
        <f t="shared" si="777"/>
        <v>0</v>
      </c>
      <c r="AD666" s="78" t="b">
        <f t="shared" si="777"/>
        <v>0</v>
      </c>
      <c r="AE666" s="78" t="b">
        <f t="shared" si="777"/>
        <v>0</v>
      </c>
      <c r="AF666" s="78" t="b">
        <f t="shared" si="777"/>
        <v>0</v>
      </c>
      <c r="AG666" s="78" t="b">
        <f t="shared" si="777"/>
        <v>0</v>
      </c>
      <c r="AH666" s="78" t="b">
        <f t="shared" si="777"/>
        <v>0</v>
      </c>
      <c r="AI666" s="78" t="b">
        <f t="shared" si="777"/>
        <v>0</v>
      </c>
      <c r="AJ666" s="78" t="b">
        <f t="shared" si="777"/>
        <v>0</v>
      </c>
      <c r="AK666" s="78" t="b">
        <f t="shared" si="777"/>
        <v>0</v>
      </c>
      <c r="AL666" s="78" t="b">
        <f t="shared" si="777"/>
        <v>0</v>
      </c>
      <c r="AM666" s="78" t="b">
        <f t="shared" si="777"/>
        <v>0</v>
      </c>
      <c r="AN666" s="78" t="b">
        <f t="shared" si="777"/>
        <v>0</v>
      </c>
      <c r="AO666" s="78" t="b">
        <f t="shared" si="777"/>
        <v>0</v>
      </c>
      <c r="AP666" s="78"/>
    </row>
    <row r="667" spans="4:42" x14ac:dyDescent="0.35">
      <c r="D667" s="96"/>
      <c r="E667" s="96"/>
      <c r="G667" s="77">
        <f t="shared" si="747"/>
        <v>0</v>
      </c>
      <c r="H667" s="78">
        <f t="shared" si="748"/>
        <v>0</v>
      </c>
      <c r="I667" s="77">
        <f t="shared" si="749"/>
        <v>0</v>
      </c>
      <c r="J667" s="78">
        <f t="shared" si="750"/>
        <v>0</v>
      </c>
      <c r="K667" s="78" t="str">
        <f t="shared" si="751"/>
        <v>1900-01-00 00:0:00</v>
      </c>
      <c r="L667" s="78" t="str">
        <f t="shared" si="752"/>
        <v>1900-01-00 00:0:00</v>
      </c>
      <c r="M667" s="79">
        <f t="shared" si="753"/>
        <v>0</v>
      </c>
      <c r="N667">
        <f t="shared" si="754"/>
        <v>1</v>
      </c>
      <c r="O667" t="str">
        <f>IFERROR(_xlfn.XLOOKUP(A667,HC!A:A,HC!C:C),"")</f>
        <v>Workforce</v>
      </c>
      <c r="R667" s="78" t="b">
        <f t="shared" ref="R667:AO667" si="778">IFERROR(IF($B667=$D$1,IF(AND($K667&lt;R$1,$L667&lt;R$1),"",IF(AND($K667&gt;S$1,$L667&gt;S$1),"",IF(AND($K667&lt;R$1,$L667&lt;=S$1),$L667-R$1,IF(AND($K667&gt;=R$1,$L667&gt;S$1),S$1-$K667,IF(AND($K667&gt;=R$1,$L667&lt;=S$1),$L667-$K667,IF(AND($K667&lt;R$1,$L667&gt;S$1),S$1-R$1,""))))))),"")</f>
        <v>0</v>
      </c>
      <c r="S667" s="78" t="b">
        <f t="shared" si="778"/>
        <v>0</v>
      </c>
      <c r="T667" s="78" t="b">
        <f t="shared" si="778"/>
        <v>0</v>
      </c>
      <c r="U667" s="78" t="b">
        <f t="shared" si="778"/>
        <v>0</v>
      </c>
      <c r="V667" s="78" t="b">
        <f t="shared" si="778"/>
        <v>0</v>
      </c>
      <c r="W667" s="78" t="b">
        <f t="shared" si="778"/>
        <v>0</v>
      </c>
      <c r="X667" s="78" t="b">
        <f t="shared" si="778"/>
        <v>0</v>
      </c>
      <c r="Y667" s="78" t="b">
        <f t="shared" si="778"/>
        <v>0</v>
      </c>
      <c r="Z667" s="78" t="b">
        <f t="shared" si="778"/>
        <v>0</v>
      </c>
      <c r="AA667" s="78" t="b">
        <f t="shared" si="778"/>
        <v>0</v>
      </c>
      <c r="AB667" s="78" t="b">
        <f t="shared" si="778"/>
        <v>0</v>
      </c>
      <c r="AC667" s="78" t="b">
        <f t="shared" si="778"/>
        <v>0</v>
      </c>
      <c r="AD667" s="78" t="b">
        <f t="shared" si="778"/>
        <v>0</v>
      </c>
      <c r="AE667" s="78" t="b">
        <f t="shared" si="778"/>
        <v>0</v>
      </c>
      <c r="AF667" s="78" t="b">
        <f t="shared" si="778"/>
        <v>0</v>
      </c>
      <c r="AG667" s="78" t="b">
        <f t="shared" si="778"/>
        <v>0</v>
      </c>
      <c r="AH667" s="78" t="b">
        <f t="shared" si="778"/>
        <v>0</v>
      </c>
      <c r="AI667" s="78" t="b">
        <f t="shared" si="778"/>
        <v>0</v>
      </c>
      <c r="AJ667" s="78" t="b">
        <f t="shared" si="778"/>
        <v>0</v>
      </c>
      <c r="AK667" s="78" t="b">
        <f t="shared" si="778"/>
        <v>0</v>
      </c>
      <c r="AL667" s="78" t="b">
        <f t="shared" si="778"/>
        <v>0</v>
      </c>
      <c r="AM667" s="78" t="b">
        <f t="shared" si="778"/>
        <v>0</v>
      </c>
      <c r="AN667" s="78" t="b">
        <f t="shared" si="778"/>
        <v>0</v>
      </c>
      <c r="AO667" s="78" t="b">
        <f t="shared" si="778"/>
        <v>0</v>
      </c>
      <c r="AP667" s="78"/>
    </row>
    <row r="668" spans="4:42" x14ac:dyDescent="0.35">
      <c r="D668" s="96"/>
      <c r="E668" s="96"/>
      <c r="G668" s="77">
        <f t="shared" si="747"/>
        <v>0</v>
      </c>
      <c r="H668" s="78">
        <f t="shared" si="748"/>
        <v>0</v>
      </c>
      <c r="I668" s="77">
        <f t="shared" si="749"/>
        <v>0</v>
      </c>
      <c r="J668" s="78">
        <f t="shared" si="750"/>
        <v>0</v>
      </c>
      <c r="K668" s="78" t="str">
        <f t="shared" si="751"/>
        <v>1900-01-00 00:0:00</v>
      </c>
      <c r="L668" s="78" t="str">
        <f t="shared" si="752"/>
        <v>1900-01-00 00:0:00</v>
      </c>
      <c r="M668" s="79">
        <f t="shared" si="753"/>
        <v>0</v>
      </c>
      <c r="N668">
        <f t="shared" si="754"/>
        <v>1</v>
      </c>
      <c r="O668" t="str">
        <f>IFERROR(_xlfn.XLOOKUP(A668,HC!A:A,HC!C:C),"")</f>
        <v>Workforce</v>
      </c>
      <c r="R668" s="78" t="b">
        <f t="shared" ref="R668:AO668" si="779">IFERROR(IF($B668=$D$1,IF(AND($K668&lt;R$1,$L668&lt;R$1),"",IF(AND($K668&gt;S$1,$L668&gt;S$1),"",IF(AND($K668&lt;R$1,$L668&lt;=S$1),$L668-R$1,IF(AND($K668&gt;=R$1,$L668&gt;S$1),S$1-$K668,IF(AND($K668&gt;=R$1,$L668&lt;=S$1),$L668-$K668,IF(AND($K668&lt;R$1,$L668&gt;S$1),S$1-R$1,""))))))),"")</f>
        <v>0</v>
      </c>
      <c r="S668" s="78" t="b">
        <f t="shared" si="779"/>
        <v>0</v>
      </c>
      <c r="T668" s="78" t="b">
        <f t="shared" si="779"/>
        <v>0</v>
      </c>
      <c r="U668" s="78" t="b">
        <f t="shared" si="779"/>
        <v>0</v>
      </c>
      <c r="V668" s="78" t="b">
        <f t="shared" si="779"/>
        <v>0</v>
      </c>
      <c r="W668" s="78" t="b">
        <f t="shared" si="779"/>
        <v>0</v>
      </c>
      <c r="X668" s="78" t="b">
        <f t="shared" si="779"/>
        <v>0</v>
      </c>
      <c r="Y668" s="78" t="b">
        <f t="shared" si="779"/>
        <v>0</v>
      </c>
      <c r="Z668" s="78" t="b">
        <f t="shared" si="779"/>
        <v>0</v>
      </c>
      <c r="AA668" s="78" t="b">
        <f t="shared" si="779"/>
        <v>0</v>
      </c>
      <c r="AB668" s="78" t="b">
        <f t="shared" si="779"/>
        <v>0</v>
      </c>
      <c r="AC668" s="78" t="b">
        <f t="shared" si="779"/>
        <v>0</v>
      </c>
      <c r="AD668" s="78" t="b">
        <f t="shared" si="779"/>
        <v>0</v>
      </c>
      <c r="AE668" s="78" t="b">
        <f t="shared" si="779"/>
        <v>0</v>
      </c>
      <c r="AF668" s="78" t="b">
        <f t="shared" si="779"/>
        <v>0</v>
      </c>
      <c r="AG668" s="78" t="b">
        <f t="shared" si="779"/>
        <v>0</v>
      </c>
      <c r="AH668" s="78" t="b">
        <f t="shared" si="779"/>
        <v>0</v>
      </c>
      <c r="AI668" s="78" t="b">
        <f t="shared" si="779"/>
        <v>0</v>
      </c>
      <c r="AJ668" s="78" t="b">
        <f t="shared" si="779"/>
        <v>0</v>
      </c>
      <c r="AK668" s="78" t="b">
        <f t="shared" si="779"/>
        <v>0</v>
      </c>
      <c r="AL668" s="78" t="b">
        <f t="shared" si="779"/>
        <v>0</v>
      </c>
      <c r="AM668" s="78" t="b">
        <f t="shared" si="779"/>
        <v>0</v>
      </c>
      <c r="AN668" s="78" t="b">
        <f t="shared" si="779"/>
        <v>0</v>
      </c>
      <c r="AO668" s="78" t="b">
        <f t="shared" si="779"/>
        <v>0</v>
      </c>
      <c r="AP668" s="78"/>
    </row>
    <row r="669" spans="4:42" x14ac:dyDescent="0.35">
      <c r="D669" s="96"/>
      <c r="E669" s="96"/>
      <c r="G669" s="77">
        <f t="shared" si="747"/>
        <v>0</v>
      </c>
      <c r="H669" s="78">
        <f t="shared" si="748"/>
        <v>0</v>
      </c>
      <c r="I669" s="77">
        <f t="shared" si="749"/>
        <v>0</v>
      </c>
      <c r="J669" s="78">
        <f t="shared" si="750"/>
        <v>0</v>
      </c>
      <c r="K669" s="78" t="str">
        <f t="shared" si="751"/>
        <v>1900-01-00 00:0:00</v>
      </c>
      <c r="L669" s="78" t="str">
        <f t="shared" si="752"/>
        <v>1900-01-00 00:0:00</v>
      </c>
      <c r="M669" s="79">
        <f t="shared" si="753"/>
        <v>0</v>
      </c>
      <c r="N669">
        <f t="shared" si="754"/>
        <v>1</v>
      </c>
      <c r="O669" t="str">
        <f>IFERROR(_xlfn.XLOOKUP(A669,HC!A:A,HC!C:C),"")</f>
        <v>Workforce</v>
      </c>
      <c r="R669" s="78" t="b">
        <f t="shared" ref="R669:AO669" si="780">IFERROR(IF($B669=$D$1,IF(AND($K669&lt;R$1,$L669&lt;R$1),"",IF(AND($K669&gt;S$1,$L669&gt;S$1),"",IF(AND($K669&lt;R$1,$L669&lt;=S$1),$L669-R$1,IF(AND($K669&gt;=R$1,$L669&gt;S$1),S$1-$K669,IF(AND($K669&gt;=R$1,$L669&lt;=S$1),$L669-$K669,IF(AND($K669&lt;R$1,$L669&gt;S$1),S$1-R$1,""))))))),"")</f>
        <v>0</v>
      </c>
      <c r="S669" s="78" t="b">
        <f t="shared" si="780"/>
        <v>0</v>
      </c>
      <c r="T669" s="78" t="b">
        <f t="shared" si="780"/>
        <v>0</v>
      </c>
      <c r="U669" s="78" t="b">
        <f t="shared" si="780"/>
        <v>0</v>
      </c>
      <c r="V669" s="78" t="b">
        <f t="shared" si="780"/>
        <v>0</v>
      </c>
      <c r="W669" s="78" t="b">
        <f t="shared" si="780"/>
        <v>0</v>
      </c>
      <c r="X669" s="78" t="b">
        <f t="shared" si="780"/>
        <v>0</v>
      </c>
      <c r="Y669" s="78" t="b">
        <f t="shared" si="780"/>
        <v>0</v>
      </c>
      <c r="Z669" s="78" t="b">
        <f t="shared" si="780"/>
        <v>0</v>
      </c>
      <c r="AA669" s="78" t="b">
        <f t="shared" si="780"/>
        <v>0</v>
      </c>
      <c r="AB669" s="78" t="b">
        <f t="shared" si="780"/>
        <v>0</v>
      </c>
      <c r="AC669" s="78" t="b">
        <f t="shared" si="780"/>
        <v>0</v>
      </c>
      <c r="AD669" s="78" t="b">
        <f t="shared" si="780"/>
        <v>0</v>
      </c>
      <c r="AE669" s="78" t="b">
        <f t="shared" si="780"/>
        <v>0</v>
      </c>
      <c r="AF669" s="78" t="b">
        <f t="shared" si="780"/>
        <v>0</v>
      </c>
      <c r="AG669" s="78" t="b">
        <f t="shared" si="780"/>
        <v>0</v>
      </c>
      <c r="AH669" s="78" t="b">
        <f t="shared" si="780"/>
        <v>0</v>
      </c>
      <c r="AI669" s="78" t="b">
        <f t="shared" si="780"/>
        <v>0</v>
      </c>
      <c r="AJ669" s="78" t="b">
        <f t="shared" si="780"/>
        <v>0</v>
      </c>
      <c r="AK669" s="78" t="b">
        <f t="shared" si="780"/>
        <v>0</v>
      </c>
      <c r="AL669" s="78" t="b">
        <f t="shared" si="780"/>
        <v>0</v>
      </c>
      <c r="AM669" s="78" t="b">
        <f t="shared" si="780"/>
        <v>0</v>
      </c>
      <c r="AN669" s="78" t="b">
        <f t="shared" si="780"/>
        <v>0</v>
      </c>
      <c r="AO669" s="78" t="b">
        <f t="shared" si="780"/>
        <v>0</v>
      </c>
      <c r="AP669" s="78"/>
    </row>
    <row r="670" spans="4:42" x14ac:dyDescent="0.35">
      <c r="D670" s="96"/>
      <c r="E670" s="96"/>
      <c r="G670" s="77">
        <f t="shared" si="747"/>
        <v>0</v>
      </c>
      <c r="H670" s="78">
        <f t="shared" si="748"/>
        <v>0</v>
      </c>
      <c r="I670" s="77">
        <f t="shared" si="749"/>
        <v>0</v>
      </c>
      <c r="J670" s="78">
        <f t="shared" si="750"/>
        <v>0</v>
      </c>
      <c r="K670" s="78" t="str">
        <f t="shared" si="751"/>
        <v>1900-01-00 00:0:00</v>
      </c>
      <c r="L670" s="78" t="str">
        <f t="shared" si="752"/>
        <v>1900-01-00 00:0:00</v>
      </c>
      <c r="M670" s="79">
        <f t="shared" si="753"/>
        <v>0</v>
      </c>
      <c r="N670">
        <f t="shared" si="754"/>
        <v>1</v>
      </c>
      <c r="O670" t="str">
        <f>IFERROR(_xlfn.XLOOKUP(A670,HC!A:A,HC!C:C),"")</f>
        <v>Workforce</v>
      </c>
      <c r="R670" s="78" t="b">
        <f t="shared" ref="R670:AO670" si="781">IFERROR(IF($B670=$D$1,IF(AND($K670&lt;R$1,$L670&lt;R$1),"",IF(AND($K670&gt;S$1,$L670&gt;S$1),"",IF(AND($K670&lt;R$1,$L670&lt;=S$1),$L670-R$1,IF(AND($K670&gt;=R$1,$L670&gt;S$1),S$1-$K670,IF(AND($K670&gt;=R$1,$L670&lt;=S$1),$L670-$K670,IF(AND($K670&lt;R$1,$L670&gt;S$1),S$1-R$1,""))))))),"")</f>
        <v>0</v>
      </c>
      <c r="S670" s="78" t="b">
        <f t="shared" si="781"/>
        <v>0</v>
      </c>
      <c r="T670" s="78" t="b">
        <f t="shared" si="781"/>
        <v>0</v>
      </c>
      <c r="U670" s="78" t="b">
        <f t="shared" si="781"/>
        <v>0</v>
      </c>
      <c r="V670" s="78" t="b">
        <f t="shared" si="781"/>
        <v>0</v>
      </c>
      <c r="W670" s="78" t="b">
        <f t="shared" si="781"/>
        <v>0</v>
      </c>
      <c r="X670" s="78" t="b">
        <f t="shared" si="781"/>
        <v>0</v>
      </c>
      <c r="Y670" s="78" t="b">
        <f t="shared" si="781"/>
        <v>0</v>
      </c>
      <c r="Z670" s="78" t="b">
        <f t="shared" si="781"/>
        <v>0</v>
      </c>
      <c r="AA670" s="78" t="b">
        <f t="shared" si="781"/>
        <v>0</v>
      </c>
      <c r="AB670" s="78" t="b">
        <f t="shared" si="781"/>
        <v>0</v>
      </c>
      <c r="AC670" s="78" t="b">
        <f t="shared" si="781"/>
        <v>0</v>
      </c>
      <c r="AD670" s="78" t="b">
        <f t="shared" si="781"/>
        <v>0</v>
      </c>
      <c r="AE670" s="78" t="b">
        <f t="shared" si="781"/>
        <v>0</v>
      </c>
      <c r="AF670" s="78" t="b">
        <f t="shared" si="781"/>
        <v>0</v>
      </c>
      <c r="AG670" s="78" t="b">
        <f t="shared" si="781"/>
        <v>0</v>
      </c>
      <c r="AH670" s="78" t="b">
        <f t="shared" si="781"/>
        <v>0</v>
      </c>
      <c r="AI670" s="78" t="b">
        <f t="shared" si="781"/>
        <v>0</v>
      </c>
      <c r="AJ670" s="78" t="b">
        <f t="shared" si="781"/>
        <v>0</v>
      </c>
      <c r="AK670" s="78" t="b">
        <f t="shared" si="781"/>
        <v>0</v>
      </c>
      <c r="AL670" s="78" t="b">
        <f t="shared" si="781"/>
        <v>0</v>
      </c>
      <c r="AM670" s="78" t="b">
        <f t="shared" si="781"/>
        <v>0</v>
      </c>
      <c r="AN670" s="78" t="b">
        <f t="shared" si="781"/>
        <v>0</v>
      </c>
      <c r="AO670" s="78" t="b">
        <f t="shared" si="781"/>
        <v>0</v>
      </c>
      <c r="AP670" s="78"/>
    </row>
    <row r="671" spans="4:42" x14ac:dyDescent="0.35">
      <c r="D671" s="96"/>
      <c r="E671" s="96"/>
      <c r="G671" s="77">
        <f t="shared" si="747"/>
        <v>0</v>
      </c>
      <c r="H671" s="78">
        <f t="shared" si="748"/>
        <v>0</v>
      </c>
      <c r="I671" s="77">
        <f t="shared" si="749"/>
        <v>0</v>
      </c>
      <c r="J671" s="78">
        <f t="shared" si="750"/>
        <v>0</v>
      </c>
      <c r="K671" s="78" t="str">
        <f t="shared" si="751"/>
        <v>1900-01-00 00:0:00</v>
      </c>
      <c r="L671" s="78" t="str">
        <f t="shared" si="752"/>
        <v>1900-01-00 00:0:00</v>
      </c>
      <c r="M671" s="79">
        <f t="shared" si="753"/>
        <v>0</v>
      </c>
      <c r="N671">
        <f t="shared" si="754"/>
        <v>1</v>
      </c>
      <c r="O671" t="str">
        <f>IFERROR(_xlfn.XLOOKUP(A671,HC!A:A,HC!C:C),"")</f>
        <v>Workforce</v>
      </c>
      <c r="R671" s="78" t="b">
        <f t="shared" ref="R671:AO671" si="782">IFERROR(IF($B671=$D$1,IF(AND($K671&lt;R$1,$L671&lt;R$1),"",IF(AND($K671&gt;S$1,$L671&gt;S$1),"",IF(AND($K671&lt;R$1,$L671&lt;=S$1),$L671-R$1,IF(AND($K671&gt;=R$1,$L671&gt;S$1),S$1-$K671,IF(AND($K671&gt;=R$1,$L671&lt;=S$1),$L671-$K671,IF(AND($K671&lt;R$1,$L671&gt;S$1),S$1-R$1,""))))))),"")</f>
        <v>0</v>
      </c>
      <c r="S671" s="78" t="b">
        <f t="shared" si="782"/>
        <v>0</v>
      </c>
      <c r="T671" s="78" t="b">
        <f t="shared" si="782"/>
        <v>0</v>
      </c>
      <c r="U671" s="78" t="b">
        <f t="shared" si="782"/>
        <v>0</v>
      </c>
      <c r="V671" s="78" t="b">
        <f t="shared" si="782"/>
        <v>0</v>
      </c>
      <c r="W671" s="78" t="b">
        <f t="shared" si="782"/>
        <v>0</v>
      </c>
      <c r="X671" s="78" t="b">
        <f t="shared" si="782"/>
        <v>0</v>
      </c>
      <c r="Y671" s="78" t="b">
        <f t="shared" si="782"/>
        <v>0</v>
      </c>
      <c r="Z671" s="78" t="b">
        <f t="shared" si="782"/>
        <v>0</v>
      </c>
      <c r="AA671" s="78" t="b">
        <f t="shared" si="782"/>
        <v>0</v>
      </c>
      <c r="AB671" s="78" t="b">
        <f t="shared" si="782"/>
        <v>0</v>
      </c>
      <c r="AC671" s="78" t="b">
        <f t="shared" si="782"/>
        <v>0</v>
      </c>
      <c r="AD671" s="78" t="b">
        <f t="shared" si="782"/>
        <v>0</v>
      </c>
      <c r="AE671" s="78" t="b">
        <f t="shared" si="782"/>
        <v>0</v>
      </c>
      <c r="AF671" s="78" t="b">
        <f t="shared" si="782"/>
        <v>0</v>
      </c>
      <c r="AG671" s="78" t="b">
        <f t="shared" si="782"/>
        <v>0</v>
      </c>
      <c r="AH671" s="78" t="b">
        <f t="shared" si="782"/>
        <v>0</v>
      </c>
      <c r="AI671" s="78" t="b">
        <f t="shared" si="782"/>
        <v>0</v>
      </c>
      <c r="AJ671" s="78" t="b">
        <f t="shared" si="782"/>
        <v>0</v>
      </c>
      <c r="AK671" s="78" t="b">
        <f t="shared" si="782"/>
        <v>0</v>
      </c>
      <c r="AL671" s="78" t="b">
        <f t="shared" si="782"/>
        <v>0</v>
      </c>
      <c r="AM671" s="78" t="b">
        <f t="shared" si="782"/>
        <v>0</v>
      </c>
      <c r="AN671" s="78" t="b">
        <f t="shared" si="782"/>
        <v>0</v>
      </c>
      <c r="AO671" s="78" t="b">
        <f t="shared" si="782"/>
        <v>0</v>
      </c>
      <c r="AP671" s="78"/>
    </row>
    <row r="672" spans="4:42" x14ac:dyDescent="0.35">
      <c r="D672" s="96"/>
      <c r="E672" s="96"/>
      <c r="G672" s="77">
        <f t="shared" si="747"/>
        <v>0</v>
      </c>
      <c r="H672" s="78">
        <f t="shared" si="748"/>
        <v>0</v>
      </c>
      <c r="I672" s="77">
        <f t="shared" si="749"/>
        <v>0</v>
      </c>
      <c r="J672" s="78">
        <f t="shared" si="750"/>
        <v>0</v>
      </c>
      <c r="K672" s="78" t="str">
        <f t="shared" si="751"/>
        <v>1900-01-00 00:0:00</v>
      </c>
      <c r="L672" s="78" t="str">
        <f t="shared" si="752"/>
        <v>1900-01-00 00:0:00</v>
      </c>
      <c r="M672" s="79">
        <f t="shared" si="753"/>
        <v>0</v>
      </c>
      <c r="N672">
        <f t="shared" si="754"/>
        <v>1</v>
      </c>
      <c r="O672" t="str">
        <f>IFERROR(_xlfn.XLOOKUP(A672,HC!A:A,HC!C:C),"")</f>
        <v>Workforce</v>
      </c>
      <c r="R672" s="78" t="b">
        <f t="shared" ref="R672:AO672" si="783">IFERROR(IF($B672=$D$1,IF(AND($K672&lt;R$1,$L672&lt;R$1),"",IF(AND($K672&gt;S$1,$L672&gt;S$1),"",IF(AND($K672&lt;R$1,$L672&lt;=S$1),$L672-R$1,IF(AND($K672&gt;=R$1,$L672&gt;S$1),S$1-$K672,IF(AND($K672&gt;=R$1,$L672&lt;=S$1),$L672-$K672,IF(AND($K672&lt;R$1,$L672&gt;S$1),S$1-R$1,""))))))),"")</f>
        <v>0</v>
      </c>
      <c r="S672" s="78" t="b">
        <f t="shared" si="783"/>
        <v>0</v>
      </c>
      <c r="T672" s="78" t="b">
        <f t="shared" si="783"/>
        <v>0</v>
      </c>
      <c r="U672" s="78" t="b">
        <f t="shared" si="783"/>
        <v>0</v>
      </c>
      <c r="V672" s="78" t="b">
        <f t="shared" si="783"/>
        <v>0</v>
      </c>
      <c r="W672" s="78" t="b">
        <f t="shared" si="783"/>
        <v>0</v>
      </c>
      <c r="X672" s="78" t="b">
        <f t="shared" si="783"/>
        <v>0</v>
      </c>
      <c r="Y672" s="78" t="b">
        <f t="shared" si="783"/>
        <v>0</v>
      </c>
      <c r="Z672" s="78" t="b">
        <f t="shared" si="783"/>
        <v>0</v>
      </c>
      <c r="AA672" s="78" t="b">
        <f t="shared" si="783"/>
        <v>0</v>
      </c>
      <c r="AB672" s="78" t="b">
        <f t="shared" si="783"/>
        <v>0</v>
      </c>
      <c r="AC672" s="78" t="b">
        <f t="shared" si="783"/>
        <v>0</v>
      </c>
      <c r="AD672" s="78" t="b">
        <f t="shared" si="783"/>
        <v>0</v>
      </c>
      <c r="AE672" s="78" t="b">
        <f t="shared" si="783"/>
        <v>0</v>
      </c>
      <c r="AF672" s="78" t="b">
        <f t="shared" si="783"/>
        <v>0</v>
      </c>
      <c r="AG672" s="78" t="b">
        <f t="shared" si="783"/>
        <v>0</v>
      </c>
      <c r="AH672" s="78" t="b">
        <f t="shared" si="783"/>
        <v>0</v>
      </c>
      <c r="AI672" s="78" t="b">
        <f t="shared" si="783"/>
        <v>0</v>
      </c>
      <c r="AJ672" s="78" t="b">
        <f t="shared" si="783"/>
        <v>0</v>
      </c>
      <c r="AK672" s="78" t="b">
        <f t="shared" si="783"/>
        <v>0</v>
      </c>
      <c r="AL672" s="78" t="b">
        <f t="shared" si="783"/>
        <v>0</v>
      </c>
      <c r="AM672" s="78" t="b">
        <f t="shared" si="783"/>
        <v>0</v>
      </c>
      <c r="AN672" s="78" t="b">
        <f t="shared" si="783"/>
        <v>0</v>
      </c>
      <c r="AO672" s="78" t="b">
        <f t="shared" si="783"/>
        <v>0</v>
      </c>
      <c r="AP672" s="78"/>
    </row>
    <row r="673" spans="4:42" x14ac:dyDescent="0.35">
      <c r="D673" s="96"/>
      <c r="E673" s="96"/>
      <c r="G673" s="77">
        <f t="shared" si="747"/>
        <v>0</v>
      </c>
      <c r="H673" s="78">
        <f t="shared" si="748"/>
        <v>0</v>
      </c>
      <c r="I673" s="77">
        <f t="shared" si="749"/>
        <v>0</v>
      </c>
      <c r="J673" s="78">
        <f t="shared" si="750"/>
        <v>0</v>
      </c>
      <c r="K673" s="78" t="str">
        <f t="shared" si="751"/>
        <v>1900-01-00 00:0:00</v>
      </c>
      <c r="L673" s="78" t="str">
        <f t="shared" si="752"/>
        <v>1900-01-00 00:0:00</v>
      </c>
      <c r="M673" s="79">
        <f t="shared" si="753"/>
        <v>0</v>
      </c>
      <c r="N673">
        <f t="shared" si="754"/>
        <v>1</v>
      </c>
      <c r="O673" t="str">
        <f>IFERROR(_xlfn.XLOOKUP(A673,HC!A:A,HC!C:C),"")</f>
        <v>Workforce</v>
      </c>
      <c r="R673" s="78" t="b">
        <f t="shared" ref="R673:AO673" si="784">IFERROR(IF($B673=$D$1,IF(AND($K673&lt;R$1,$L673&lt;R$1),"",IF(AND($K673&gt;S$1,$L673&gt;S$1),"",IF(AND($K673&lt;R$1,$L673&lt;=S$1),$L673-R$1,IF(AND($K673&gt;=R$1,$L673&gt;S$1),S$1-$K673,IF(AND($K673&gt;=R$1,$L673&lt;=S$1),$L673-$K673,IF(AND($K673&lt;R$1,$L673&gt;S$1),S$1-R$1,""))))))),"")</f>
        <v>0</v>
      </c>
      <c r="S673" s="78" t="b">
        <f t="shared" si="784"/>
        <v>0</v>
      </c>
      <c r="T673" s="78" t="b">
        <f t="shared" si="784"/>
        <v>0</v>
      </c>
      <c r="U673" s="78" t="b">
        <f t="shared" si="784"/>
        <v>0</v>
      </c>
      <c r="V673" s="78" t="b">
        <f t="shared" si="784"/>
        <v>0</v>
      </c>
      <c r="W673" s="78" t="b">
        <f t="shared" si="784"/>
        <v>0</v>
      </c>
      <c r="X673" s="78" t="b">
        <f t="shared" si="784"/>
        <v>0</v>
      </c>
      <c r="Y673" s="78" t="b">
        <f t="shared" si="784"/>
        <v>0</v>
      </c>
      <c r="Z673" s="78" t="b">
        <f t="shared" si="784"/>
        <v>0</v>
      </c>
      <c r="AA673" s="78" t="b">
        <f t="shared" si="784"/>
        <v>0</v>
      </c>
      <c r="AB673" s="78" t="b">
        <f t="shared" si="784"/>
        <v>0</v>
      </c>
      <c r="AC673" s="78" t="b">
        <f t="shared" si="784"/>
        <v>0</v>
      </c>
      <c r="AD673" s="78" t="b">
        <f t="shared" si="784"/>
        <v>0</v>
      </c>
      <c r="AE673" s="78" t="b">
        <f t="shared" si="784"/>
        <v>0</v>
      </c>
      <c r="AF673" s="78" t="b">
        <f t="shared" si="784"/>
        <v>0</v>
      </c>
      <c r="AG673" s="78" t="b">
        <f t="shared" si="784"/>
        <v>0</v>
      </c>
      <c r="AH673" s="78" t="b">
        <f t="shared" si="784"/>
        <v>0</v>
      </c>
      <c r="AI673" s="78" t="b">
        <f t="shared" si="784"/>
        <v>0</v>
      </c>
      <c r="AJ673" s="78" t="b">
        <f t="shared" si="784"/>
        <v>0</v>
      </c>
      <c r="AK673" s="78" t="b">
        <f t="shared" si="784"/>
        <v>0</v>
      </c>
      <c r="AL673" s="78" t="b">
        <f t="shared" si="784"/>
        <v>0</v>
      </c>
      <c r="AM673" s="78" t="b">
        <f t="shared" si="784"/>
        <v>0</v>
      </c>
      <c r="AN673" s="78" t="b">
        <f t="shared" si="784"/>
        <v>0</v>
      </c>
      <c r="AO673" s="78" t="b">
        <f t="shared" si="784"/>
        <v>0</v>
      </c>
      <c r="AP673" s="78"/>
    </row>
    <row r="674" spans="4:42" x14ac:dyDescent="0.35">
      <c r="D674" s="96"/>
      <c r="E674" s="96"/>
      <c r="G674" s="77">
        <f t="shared" si="747"/>
        <v>0</v>
      </c>
      <c r="H674" s="78">
        <f t="shared" si="748"/>
        <v>0</v>
      </c>
      <c r="I674" s="77">
        <f t="shared" si="749"/>
        <v>0</v>
      </c>
      <c r="J674" s="78">
        <f t="shared" si="750"/>
        <v>0</v>
      </c>
      <c r="K674" s="78" t="str">
        <f t="shared" si="751"/>
        <v>1900-01-00 00:0:00</v>
      </c>
      <c r="L674" s="78" t="str">
        <f t="shared" si="752"/>
        <v>1900-01-00 00:0:00</v>
      </c>
      <c r="M674" s="79">
        <f t="shared" si="753"/>
        <v>0</v>
      </c>
      <c r="N674">
        <f t="shared" si="754"/>
        <v>1</v>
      </c>
      <c r="O674" t="str">
        <f>IFERROR(_xlfn.XLOOKUP(A674,HC!A:A,HC!C:C),"")</f>
        <v>Workforce</v>
      </c>
      <c r="R674" s="78" t="b">
        <f t="shared" ref="R674:AO674" si="785">IFERROR(IF($B674=$D$1,IF(AND($K674&lt;R$1,$L674&lt;R$1),"",IF(AND($K674&gt;S$1,$L674&gt;S$1),"",IF(AND($K674&lt;R$1,$L674&lt;=S$1),$L674-R$1,IF(AND($K674&gt;=R$1,$L674&gt;S$1),S$1-$K674,IF(AND($K674&gt;=R$1,$L674&lt;=S$1),$L674-$K674,IF(AND($K674&lt;R$1,$L674&gt;S$1),S$1-R$1,""))))))),"")</f>
        <v>0</v>
      </c>
      <c r="S674" s="78" t="b">
        <f t="shared" si="785"/>
        <v>0</v>
      </c>
      <c r="T674" s="78" t="b">
        <f t="shared" si="785"/>
        <v>0</v>
      </c>
      <c r="U674" s="78" t="b">
        <f t="shared" si="785"/>
        <v>0</v>
      </c>
      <c r="V674" s="78" t="b">
        <f t="shared" si="785"/>
        <v>0</v>
      </c>
      <c r="W674" s="78" t="b">
        <f t="shared" si="785"/>
        <v>0</v>
      </c>
      <c r="X674" s="78" t="b">
        <f t="shared" si="785"/>
        <v>0</v>
      </c>
      <c r="Y674" s="78" t="b">
        <f t="shared" si="785"/>
        <v>0</v>
      </c>
      <c r="Z674" s="78" t="b">
        <f t="shared" si="785"/>
        <v>0</v>
      </c>
      <c r="AA674" s="78" t="b">
        <f t="shared" si="785"/>
        <v>0</v>
      </c>
      <c r="AB674" s="78" t="b">
        <f t="shared" si="785"/>
        <v>0</v>
      </c>
      <c r="AC674" s="78" t="b">
        <f t="shared" si="785"/>
        <v>0</v>
      </c>
      <c r="AD674" s="78" t="b">
        <f t="shared" si="785"/>
        <v>0</v>
      </c>
      <c r="AE674" s="78" t="b">
        <f t="shared" si="785"/>
        <v>0</v>
      </c>
      <c r="AF674" s="78" t="b">
        <f t="shared" si="785"/>
        <v>0</v>
      </c>
      <c r="AG674" s="78" t="b">
        <f t="shared" si="785"/>
        <v>0</v>
      </c>
      <c r="AH674" s="78" t="b">
        <f t="shared" si="785"/>
        <v>0</v>
      </c>
      <c r="AI674" s="78" t="b">
        <f t="shared" si="785"/>
        <v>0</v>
      </c>
      <c r="AJ674" s="78" t="b">
        <f t="shared" si="785"/>
        <v>0</v>
      </c>
      <c r="AK674" s="78" t="b">
        <f t="shared" si="785"/>
        <v>0</v>
      </c>
      <c r="AL674" s="78" t="b">
        <f t="shared" si="785"/>
        <v>0</v>
      </c>
      <c r="AM674" s="78" t="b">
        <f t="shared" si="785"/>
        <v>0</v>
      </c>
      <c r="AN674" s="78" t="b">
        <f t="shared" si="785"/>
        <v>0</v>
      </c>
      <c r="AO674" s="78" t="b">
        <f t="shared" si="785"/>
        <v>0</v>
      </c>
      <c r="AP674" s="78"/>
    </row>
    <row r="675" spans="4:42" x14ac:dyDescent="0.35">
      <c r="D675" s="96"/>
      <c r="E675" s="96"/>
      <c r="G675" s="77">
        <f t="shared" si="747"/>
        <v>0</v>
      </c>
      <c r="H675" s="78">
        <f t="shared" si="748"/>
        <v>0</v>
      </c>
      <c r="I675" s="77">
        <f t="shared" si="749"/>
        <v>0</v>
      </c>
      <c r="J675" s="78">
        <f t="shared" si="750"/>
        <v>0</v>
      </c>
      <c r="K675" s="78" t="str">
        <f t="shared" si="751"/>
        <v>1900-01-00 00:0:00</v>
      </c>
      <c r="L675" s="78" t="str">
        <f t="shared" si="752"/>
        <v>1900-01-00 00:0:00</v>
      </c>
      <c r="M675" s="79">
        <f t="shared" si="753"/>
        <v>0</v>
      </c>
      <c r="N675">
        <f t="shared" si="754"/>
        <v>1</v>
      </c>
      <c r="O675" t="str">
        <f>IFERROR(_xlfn.XLOOKUP(A675,HC!A:A,HC!C:C),"")</f>
        <v>Workforce</v>
      </c>
      <c r="R675" s="78" t="b">
        <f t="shared" ref="R675:AO675" si="786">IFERROR(IF($B675=$D$1,IF(AND($K675&lt;R$1,$L675&lt;R$1),"",IF(AND($K675&gt;S$1,$L675&gt;S$1),"",IF(AND($K675&lt;R$1,$L675&lt;=S$1),$L675-R$1,IF(AND($K675&gt;=R$1,$L675&gt;S$1),S$1-$K675,IF(AND($K675&gt;=R$1,$L675&lt;=S$1),$L675-$K675,IF(AND($K675&lt;R$1,$L675&gt;S$1),S$1-R$1,""))))))),"")</f>
        <v>0</v>
      </c>
      <c r="S675" s="78" t="b">
        <f t="shared" si="786"/>
        <v>0</v>
      </c>
      <c r="T675" s="78" t="b">
        <f t="shared" si="786"/>
        <v>0</v>
      </c>
      <c r="U675" s="78" t="b">
        <f t="shared" si="786"/>
        <v>0</v>
      </c>
      <c r="V675" s="78" t="b">
        <f t="shared" si="786"/>
        <v>0</v>
      </c>
      <c r="W675" s="78" t="b">
        <f t="shared" si="786"/>
        <v>0</v>
      </c>
      <c r="X675" s="78" t="b">
        <f t="shared" si="786"/>
        <v>0</v>
      </c>
      <c r="Y675" s="78" t="b">
        <f t="shared" si="786"/>
        <v>0</v>
      </c>
      <c r="Z675" s="78" t="b">
        <f t="shared" si="786"/>
        <v>0</v>
      </c>
      <c r="AA675" s="78" t="b">
        <f t="shared" si="786"/>
        <v>0</v>
      </c>
      <c r="AB675" s="78" t="b">
        <f t="shared" si="786"/>
        <v>0</v>
      </c>
      <c r="AC675" s="78" t="b">
        <f t="shared" si="786"/>
        <v>0</v>
      </c>
      <c r="AD675" s="78" t="b">
        <f t="shared" si="786"/>
        <v>0</v>
      </c>
      <c r="AE675" s="78" t="b">
        <f t="shared" si="786"/>
        <v>0</v>
      </c>
      <c r="AF675" s="78" t="b">
        <f t="shared" si="786"/>
        <v>0</v>
      </c>
      <c r="AG675" s="78" t="b">
        <f t="shared" si="786"/>
        <v>0</v>
      </c>
      <c r="AH675" s="78" t="b">
        <f t="shared" si="786"/>
        <v>0</v>
      </c>
      <c r="AI675" s="78" t="b">
        <f t="shared" si="786"/>
        <v>0</v>
      </c>
      <c r="AJ675" s="78" t="b">
        <f t="shared" si="786"/>
        <v>0</v>
      </c>
      <c r="AK675" s="78" t="b">
        <f t="shared" si="786"/>
        <v>0</v>
      </c>
      <c r="AL675" s="78" t="b">
        <f t="shared" si="786"/>
        <v>0</v>
      </c>
      <c r="AM675" s="78" t="b">
        <f t="shared" si="786"/>
        <v>0</v>
      </c>
      <c r="AN675" s="78" t="b">
        <f t="shared" si="786"/>
        <v>0</v>
      </c>
      <c r="AO675" s="78" t="b">
        <f t="shared" si="786"/>
        <v>0</v>
      </c>
      <c r="AP675" s="78"/>
    </row>
    <row r="676" spans="4:42" x14ac:dyDescent="0.35">
      <c r="D676" s="96"/>
      <c r="E676" s="96"/>
      <c r="G676" s="77">
        <f t="shared" si="747"/>
        <v>0</v>
      </c>
      <c r="H676" s="78">
        <f t="shared" si="748"/>
        <v>0</v>
      </c>
      <c r="I676" s="77">
        <f t="shared" si="749"/>
        <v>0</v>
      </c>
      <c r="J676" s="78">
        <f t="shared" si="750"/>
        <v>0</v>
      </c>
      <c r="K676" s="78" t="str">
        <f t="shared" si="751"/>
        <v>1900-01-00 00:0:00</v>
      </c>
      <c r="L676" s="78" t="str">
        <f t="shared" si="752"/>
        <v>1900-01-00 00:0:00</v>
      </c>
      <c r="M676" s="79">
        <f t="shared" si="753"/>
        <v>0</v>
      </c>
      <c r="N676">
        <f t="shared" si="754"/>
        <v>1</v>
      </c>
      <c r="O676" t="str">
        <f>IFERROR(_xlfn.XLOOKUP(A676,HC!A:A,HC!C:C),"")</f>
        <v>Workforce</v>
      </c>
      <c r="R676" s="78" t="b">
        <f t="shared" ref="R676:AO676" si="787">IFERROR(IF($B676=$D$1,IF(AND($K676&lt;R$1,$L676&lt;R$1),"",IF(AND($K676&gt;S$1,$L676&gt;S$1),"",IF(AND($K676&lt;R$1,$L676&lt;=S$1),$L676-R$1,IF(AND($K676&gt;=R$1,$L676&gt;S$1),S$1-$K676,IF(AND($K676&gt;=R$1,$L676&lt;=S$1),$L676-$K676,IF(AND($K676&lt;R$1,$L676&gt;S$1),S$1-R$1,""))))))),"")</f>
        <v>0</v>
      </c>
      <c r="S676" s="78" t="b">
        <f t="shared" si="787"/>
        <v>0</v>
      </c>
      <c r="T676" s="78" t="b">
        <f t="shared" si="787"/>
        <v>0</v>
      </c>
      <c r="U676" s="78" t="b">
        <f t="shared" si="787"/>
        <v>0</v>
      </c>
      <c r="V676" s="78" t="b">
        <f t="shared" si="787"/>
        <v>0</v>
      </c>
      <c r="W676" s="78" t="b">
        <f t="shared" si="787"/>
        <v>0</v>
      </c>
      <c r="X676" s="78" t="b">
        <f t="shared" si="787"/>
        <v>0</v>
      </c>
      <c r="Y676" s="78" t="b">
        <f t="shared" si="787"/>
        <v>0</v>
      </c>
      <c r="Z676" s="78" t="b">
        <f t="shared" si="787"/>
        <v>0</v>
      </c>
      <c r="AA676" s="78" t="b">
        <f t="shared" si="787"/>
        <v>0</v>
      </c>
      <c r="AB676" s="78" t="b">
        <f t="shared" si="787"/>
        <v>0</v>
      </c>
      <c r="AC676" s="78" t="b">
        <f t="shared" si="787"/>
        <v>0</v>
      </c>
      <c r="AD676" s="78" t="b">
        <f t="shared" si="787"/>
        <v>0</v>
      </c>
      <c r="AE676" s="78" t="b">
        <f t="shared" si="787"/>
        <v>0</v>
      </c>
      <c r="AF676" s="78" t="b">
        <f t="shared" si="787"/>
        <v>0</v>
      </c>
      <c r="AG676" s="78" t="b">
        <f t="shared" si="787"/>
        <v>0</v>
      </c>
      <c r="AH676" s="78" t="b">
        <f t="shared" si="787"/>
        <v>0</v>
      </c>
      <c r="AI676" s="78" t="b">
        <f t="shared" si="787"/>
        <v>0</v>
      </c>
      <c r="AJ676" s="78" t="b">
        <f t="shared" si="787"/>
        <v>0</v>
      </c>
      <c r="AK676" s="78" t="b">
        <f t="shared" si="787"/>
        <v>0</v>
      </c>
      <c r="AL676" s="78" t="b">
        <f t="shared" si="787"/>
        <v>0</v>
      </c>
      <c r="AM676" s="78" t="b">
        <f t="shared" si="787"/>
        <v>0</v>
      </c>
      <c r="AN676" s="78" t="b">
        <f t="shared" si="787"/>
        <v>0</v>
      </c>
      <c r="AO676" s="78" t="b">
        <f t="shared" si="787"/>
        <v>0</v>
      </c>
      <c r="AP676" s="78"/>
    </row>
    <row r="677" spans="4:42" x14ac:dyDescent="0.35">
      <c r="D677" s="96"/>
      <c r="E677" s="96"/>
      <c r="G677" s="77">
        <f t="shared" si="747"/>
        <v>0</v>
      </c>
      <c r="H677" s="78">
        <f t="shared" si="748"/>
        <v>0</v>
      </c>
      <c r="I677" s="77">
        <f t="shared" si="749"/>
        <v>0</v>
      </c>
      <c r="J677" s="78">
        <f t="shared" si="750"/>
        <v>0</v>
      </c>
      <c r="K677" s="78" t="str">
        <f t="shared" si="751"/>
        <v>1900-01-00 00:0:00</v>
      </c>
      <c r="L677" s="78" t="str">
        <f t="shared" si="752"/>
        <v>1900-01-00 00:0:00</v>
      </c>
      <c r="M677" s="79">
        <f t="shared" si="753"/>
        <v>0</v>
      </c>
      <c r="N677">
        <f t="shared" si="754"/>
        <v>1</v>
      </c>
      <c r="O677" t="str">
        <f>IFERROR(_xlfn.XLOOKUP(A677,HC!A:A,HC!C:C),"")</f>
        <v>Workforce</v>
      </c>
      <c r="R677" s="78" t="b">
        <f t="shared" ref="R677:AO677" si="788">IFERROR(IF($B677=$D$1,IF(AND($K677&lt;R$1,$L677&lt;R$1),"",IF(AND($K677&gt;S$1,$L677&gt;S$1),"",IF(AND($K677&lt;R$1,$L677&lt;=S$1),$L677-R$1,IF(AND($K677&gt;=R$1,$L677&gt;S$1),S$1-$K677,IF(AND($K677&gt;=R$1,$L677&lt;=S$1),$L677-$K677,IF(AND($K677&lt;R$1,$L677&gt;S$1),S$1-R$1,""))))))),"")</f>
        <v>0</v>
      </c>
      <c r="S677" s="78" t="b">
        <f t="shared" si="788"/>
        <v>0</v>
      </c>
      <c r="T677" s="78" t="b">
        <f t="shared" si="788"/>
        <v>0</v>
      </c>
      <c r="U677" s="78" t="b">
        <f t="shared" si="788"/>
        <v>0</v>
      </c>
      <c r="V677" s="78" t="b">
        <f t="shared" si="788"/>
        <v>0</v>
      </c>
      <c r="W677" s="78" t="b">
        <f t="shared" si="788"/>
        <v>0</v>
      </c>
      <c r="X677" s="78" t="b">
        <f t="shared" si="788"/>
        <v>0</v>
      </c>
      <c r="Y677" s="78" t="b">
        <f t="shared" si="788"/>
        <v>0</v>
      </c>
      <c r="Z677" s="78" t="b">
        <f t="shared" si="788"/>
        <v>0</v>
      </c>
      <c r="AA677" s="78" t="b">
        <f t="shared" si="788"/>
        <v>0</v>
      </c>
      <c r="AB677" s="78" t="b">
        <f t="shared" si="788"/>
        <v>0</v>
      </c>
      <c r="AC677" s="78" t="b">
        <f t="shared" si="788"/>
        <v>0</v>
      </c>
      <c r="AD677" s="78" t="b">
        <f t="shared" si="788"/>
        <v>0</v>
      </c>
      <c r="AE677" s="78" t="b">
        <f t="shared" si="788"/>
        <v>0</v>
      </c>
      <c r="AF677" s="78" t="b">
        <f t="shared" si="788"/>
        <v>0</v>
      </c>
      <c r="AG677" s="78" t="b">
        <f t="shared" si="788"/>
        <v>0</v>
      </c>
      <c r="AH677" s="78" t="b">
        <f t="shared" si="788"/>
        <v>0</v>
      </c>
      <c r="AI677" s="78" t="b">
        <f t="shared" si="788"/>
        <v>0</v>
      </c>
      <c r="AJ677" s="78" t="b">
        <f t="shared" si="788"/>
        <v>0</v>
      </c>
      <c r="AK677" s="78" t="b">
        <f t="shared" si="788"/>
        <v>0</v>
      </c>
      <c r="AL677" s="78" t="b">
        <f t="shared" si="788"/>
        <v>0</v>
      </c>
      <c r="AM677" s="78" t="b">
        <f t="shared" si="788"/>
        <v>0</v>
      </c>
      <c r="AN677" s="78" t="b">
        <f t="shared" si="788"/>
        <v>0</v>
      </c>
      <c r="AO677" s="78" t="b">
        <f t="shared" si="788"/>
        <v>0</v>
      </c>
      <c r="AP677" s="78"/>
    </row>
    <row r="678" spans="4:42" x14ac:dyDescent="0.35">
      <c r="D678" s="96"/>
      <c r="E678" s="96"/>
      <c r="G678" s="77">
        <f t="shared" si="747"/>
        <v>0</v>
      </c>
      <c r="H678" s="78">
        <f t="shared" si="748"/>
        <v>0</v>
      </c>
      <c r="I678" s="77">
        <f t="shared" si="749"/>
        <v>0</v>
      </c>
      <c r="J678" s="78">
        <f t="shared" si="750"/>
        <v>0</v>
      </c>
      <c r="K678" s="78" t="str">
        <f t="shared" si="751"/>
        <v>1900-01-00 00:0:00</v>
      </c>
      <c r="L678" s="78" t="str">
        <f t="shared" si="752"/>
        <v>1900-01-00 00:0:00</v>
      </c>
      <c r="M678" s="79">
        <f t="shared" si="753"/>
        <v>0</v>
      </c>
      <c r="N678">
        <f t="shared" si="754"/>
        <v>1</v>
      </c>
      <c r="O678" t="str">
        <f>IFERROR(_xlfn.XLOOKUP(A678,HC!A:A,HC!C:C),"")</f>
        <v>Workforce</v>
      </c>
      <c r="R678" s="78" t="b">
        <f t="shared" ref="R678:AO678" si="789">IFERROR(IF($B678=$D$1,IF(AND($K678&lt;R$1,$L678&lt;R$1),"",IF(AND($K678&gt;S$1,$L678&gt;S$1),"",IF(AND($K678&lt;R$1,$L678&lt;=S$1),$L678-R$1,IF(AND($K678&gt;=R$1,$L678&gt;S$1),S$1-$K678,IF(AND($K678&gt;=R$1,$L678&lt;=S$1),$L678-$K678,IF(AND($K678&lt;R$1,$L678&gt;S$1),S$1-R$1,""))))))),"")</f>
        <v>0</v>
      </c>
      <c r="S678" s="78" t="b">
        <f t="shared" si="789"/>
        <v>0</v>
      </c>
      <c r="T678" s="78" t="b">
        <f t="shared" si="789"/>
        <v>0</v>
      </c>
      <c r="U678" s="78" t="b">
        <f t="shared" si="789"/>
        <v>0</v>
      </c>
      <c r="V678" s="78" t="b">
        <f t="shared" si="789"/>
        <v>0</v>
      </c>
      <c r="W678" s="78" t="b">
        <f t="shared" si="789"/>
        <v>0</v>
      </c>
      <c r="X678" s="78" t="b">
        <f t="shared" si="789"/>
        <v>0</v>
      </c>
      <c r="Y678" s="78" t="b">
        <f t="shared" si="789"/>
        <v>0</v>
      </c>
      <c r="Z678" s="78" t="b">
        <f t="shared" si="789"/>
        <v>0</v>
      </c>
      <c r="AA678" s="78" t="b">
        <f t="shared" si="789"/>
        <v>0</v>
      </c>
      <c r="AB678" s="78" t="b">
        <f t="shared" si="789"/>
        <v>0</v>
      </c>
      <c r="AC678" s="78" t="b">
        <f t="shared" si="789"/>
        <v>0</v>
      </c>
      <c r="AD678" s="78" t="b">
        <f t="shared" si="789"/>
        <v>0</v>
      </c>
      <c r="AE678" s="78" t="b">
        <f t="shared" si="789"/>
        <v>0</v>
      </c>
      <c r="AF678" s="78" t="b">
        <f t="shared" si="789"/>
        <v>0</v>
      </c>
      <c r="AG678" s="78" t="b">
        <f t="shared" si="789"/>
        <v>0</v>
      </c>
      <c r="AH678" s="78" t="b">
        <f t="shared" si="789"/>
        <v>0</v>
      </c>
      <c r="AI678" s="78" t="b">
        <f t="shared" si="789"/>
        <v>0</v>
      </c>
      <c r="AJ678" s="78" t="b">
        <f t="shared" si="789"/>
        <v>0</v>
      </c>
      <c r="AK678" s="78" t="b">
        <f t="shared" si="789"/>
        <v>0</v>
      </c>
      <c r="AL678" s="78" t="b">
        <f t="shared" si="789"/>
        <v>0</v>
      </c>
      <c r="AM678" s="78" t="b">
        <f t="shared" si="789"/>
        <v>0</v>
      </c>
      <c r="AN678" s="78" t="b">
        <f t="shared" si="789"/>
        <v>0</v>
      </c>
      <c r="AO678" s="78" t="b">
        <f t="shared" si="789"/>
        <v>0</v>
      </c>
      <c r="AP678" s="78"/>
    </row>
    <row r="679" spans="4:42" x14ac:dyDescent="0.35">
      <c r="D679" s="96"/>
      <c r="E679" s="96"/>
      <c r="G679" s="77">
        <f t="shared" si="747"/>
        <v>0</v>
      </c>
      <c r="H679" s="78">
        <f t="shared" si="748"/>
        <v>0</v>
      </c>
      <c r="I679" s="77">
        <f t="shared" si="749"/>
        <v>0</v>
      </c>
      <c r="J679" s="78">
        <f t="shared" si="750"/>
        <v>0</v>
      </c>
      <c r="K679" s="78" t="str">
        <f t="shared" si="751"/>
        <v>1900-01-00 00:0:00</v>
      </c>
      <c r="L679" s="78" t="str">
        <f t="shared" si="752"/>
        <v>1900-01-00 00:0:00</v>
      </c>
      <c r="M679" s="79">
        <f t="shared" si="753"/>
        <v>0</v>
      </c>
      <c r="N679">
        <f t="shared" si="754"/>
        <v>1</v>
      </c>
      <c r="O679" t="str">
        <f>IFERROR(_xlfn.XLOOKUP(A679,HC!A:A,HC!C:C),"")</f>
        <v>Workforce</v>
      </c>
      <c r="R679" s="78" t="b">
        <f t="shared" ref="R679:AO679" si="790">IFERROR(IF($B679=$D$1,IF(AND($K679&lt;R$1,$L679&lt;R$1),"",IF(AND($K679&gt;S$1,$L679&gt;S$1),"",IF(AND($K679&lt;R$1,$L679&lt;=S$1),$L679-R$1,IF(AND($K679&gt;=R$1,$L679&gt;S$1),S$1-$K679,IF(AND($K679&gt;=R$1,$L679&lt;=S$1),$L679-$K679,IF(AND($K679&lt;R$1,$L679&gt;S$1),S$1-R$1,""))))))),"")</f>
        <v>0</v>
      </c>
      <c r="S679" s="78" t="b">
        <f t="shared" si="790"/>
        <v>0</v>
      </c>
      <c r="T679" s="78" t="b">
        <f t="shared" si="790"/>
        <v>0</v>
      </c>
      <c r="U679" s="78" t="b">
        <f t="shared" si="790"/>
        <v>0</v>
      </c>
      <c r="V679" s="78" t="b">
        <f t="shared" si="790"/>
        <v>0</v>
      </c>
      <c r="W679" s="78" t="b">
        <f t="shared" si="790"/>
        <v>0</v>
      </c>
      <c r="X679" s="78" t="b">
        <f t="shared" si="790"/>
        <v>0</v>
      </c>
      <c r="Y679" s="78" t="b">
        <f t="shared" si="790"/>
        <v>0</v>
      </c>
      <c r="Z679" s="78" t="b">
        <f t="shared" si="790"/>
        <v>0</v>
      </c>
      <c r="AA679" s="78" t="b">
        <f t="shared" si="790"/>
        <v>0</v>
      </c>
      <c r="AB679" s="78" t="b">
        <f t="shared" si="790"/>
        <v>0</v>
      </c>
      <c r="AC679" s="78" t="b">
        <f t="shared" si="790"/>
        <v>0</v>
      </c>
      <c r="AD679" s="78" t="b">
        <f t="shared" si="790"/>
        <v>0</v>
      </c>
      <c r="AE679" s="78" t="b">
        <f t="shared" si="790"/>
        <v>0</v>
      </c>
      <c r="AF679" s="78" t="b">
        <f t="shared" si="790"/>
        <v>0</v>
      </c>
      <c r="AG679" s="78" t="b">
        <f t="shared" si="790"/>
        <v>0</v>
      </c>
      <c r="AH679" s="78" t="b">
        <f t="shared" si="790"/>
        <v>0</v>
      </c>
      <c r="AI679" s="78" t="b">
        <f t="shared" si="790"/>
        <v>0</v>
      </c>
      <c r="AJ679" s="78" t="b">
        <f t="shared" si="790"/>
        <v>0</v>
      </c>
      <c r="AK679" s="78" t="b">
        <f t="shared" si="790"/>
        <v>0</v>
      </c>
      <c r="AL679" s="78" t="b">
        <f t="shared" si="790"/>
        <v>0</v>
      </c>
      <c r="AM679" s="78" t="b">
        <f t="shared" si="790"/>
        <v>0</v>
      </c>
      <c r="AN679" s="78" t="b">
        <f t="shared" si="790"/>
        <v>0</v>
      </c>
      <c r="AO679" s="78" t="b">
        <f t="shared" si="790"/>
        <v>0</v>
      </c>
      <c r="AP679" s="78"/>
    </row>
    <row r="680" spans="4:42" x14ac:dyDescent="0.35">
      <c r="D680" s="96"/>
      <c r="E680" s="96"/>
      <c r="G680" s="77">
        <f t="shared" si="747"/>
        <v>0</v>
      </c>
      <c r="H680" s="78">
        <f t="shared" si="748"/>
        <v>0</v>
      </c>
      <c r="I680" s="77">
        <f t="shared" si="749"/>
        <v>0</v>
      </c>
      <c r="J680" s="78">
        <f t="shared" si="750"/>
        <v>0</v>
      </c>
      <c r="K680" s="78" t="str">
        <f t="shared" si="751"/>
        <v>1900-01-00 00:0:00</v>
      </c>
      <c r="L680" s="78" t="str">
        <f t="shared" si="752"/>
        <v>1900-01-00 00:0:00</v>
      </c>
      <c r="M680" s="79">
        <f t="shared" si="753"/>
        <v>0</v>
      </c>
      <c r="N680">
        <f t="shared" si="754"/>
        <v>1</v>
      </c>
      <c r="O680" t="str">
        <f>IFERROR(_xlfn.XLOOKUP(A680,HC!A:A,HC!C:C),"")</f>
        <v>Workforce</v>
      </c>
      <c r="R680" s="78" t="b">
        <f t="shared" ref="R680:AO680" si="791">IFERROR(IF($B680=$D$1,IF(AND($K680&lt;R$1,$L680&lt;R$1),"",IF(AND($K680&gt;S$1,$L680&gt;S$1),"",IF(AND($K680&lt;R$1,$L680&lt;=S$1),$L680-R$1,IF(AND($K680&gt;=R$1,$L680&gt;S$1),S$1-$K680,IF(AND($K680&gt;=R$1,$L680&lt;=S$1),$L680-$K680,IF(AND($K680&lt;R$1,$L680&gt;S$1),S$1-R$1,""))))))),"")</f>
        <v>0</v>
      </c>
      <c r="S680" s="78" t="b">
        <f t="shared" si="791"/>
        <v>0</v>
      </c>
      <c r="T680" s="78" t="b">
        <f t="shared" si="791"/>
        <v>0</v>
      </c>
      <c r="U680" s="78" t="b">
        <f t="shared" si="791"/>
        <v>0</v>
      </c>
      <c r="V680" s="78" t="b">
        <f t="shared" si="791"/>
        <v>0</v>
      </c>
      <c r="W680" s="78" t="b">
        <f t="shared" si="791"/>
        <v>0</v>
      </c>
      <c r="X680" s="78" t="b">
        <f t="shared" si="791"/>
        <v>0</v>
      </c>
      <c r="Y680" s="78" t="b">
        <f t="shared" si="791"/>
        <v>0</v>
      </c>
      <c r="Z680" s="78" t="b">
        <f t="shared" si="791"/>
        <v>0</v>
      </c>
      <c r="AA680" s="78" t="b">
        <f t="shared" si="791"/>
        <v>0</v>
      </c>
      <c r="AB680" s="78" t="b">
        <f t="shared" si="791"/>
        <v>0</v>
      </c>
      <c r="AC680" s="78" t="b">
        <f t="shared" si="791"/>
        <v>0</v>
      </c>
      <c r="AD680" s="78" t="b">
        <f t="shared" si="791"/>
        <v>0</v>
      </c>
      <c r="AE680" s="78" t="b">
        <f t="shared" si="791"/>
        <v>0</v>
      </c>
      <c r="AF680" s="78" t="b">
        <f t="shared" si="791"/>
        <v>0</v>
      </c>
      <c r="AG680" s="78" t="b">
        <f t="shared" si="791"/>
        <v>0</v>
      </c>
      <c r="AH680" s="78" t="b">
        <f t="shared" si="791"/>
        <v>0</v>
      </c>
      <c r="AI680" s="78" t="b">
        <f t="shared" si="791"/>
        <v>0</v>
      </c>
      <c r="AJ680" s="78" t="b">
        <f t="shared" si="791"/>
        <v>0</v>
      </c>
      <c r="AK680" s="78" t="b">
        <f t="shared" si="791"/>
        <v>0</v>
      </c>
      <c r="AL680" s="78" t="b">
        <f t="shared" si="791"/>
        <v>0</v>
      </c>
      <c r="AM680" s="78" t="b">
        <f t="shared" si="791"/>
        <v>0</v>
      </c>
      <c r="AN680" s="78" t="b">
        <f t="shared" si="791"/>
        <v>0</v>
      </c>
      <c r="AO680" s="78" t="b">
        <f t="shared" si="791"/>
        <v>0</v>
      </c>
      <c r="AP680" s="78"/>
    </row>
    <row r="681" spans="4:42" x14ac:dyDescent="0.35">
      <c r="D681" s="96"/>
      <c r="E681" s="96"/>
      <c r="G681" s="77">
        <f t="shared" si="747"/>
        <v>0</v>
      </c>
      <c r="H681" s="78">
        <f t="shared" si="748"/>
        <v>0</v>
      </c>
      <c r="I681" s="77">
        <f t="shared" si="749"/>
        <v>0</v>
      </c>
      <c r="J681" s="78">
        <f t="shared" si="750"/>
        <v>0</v>
      </c>
      <c r="K681" s="78" t="str">
        <f t="shared" si="751"/>
        <v>1900-01-00 00:0:00</v>
      </c>
      <c r="L681" s="78" t="str">
        <f t="shared" si="752"/>
        <v>1900-01-00 00:0:00</v>
      </c>
      <c r="M681" s="79">
        <f t="shared" si="753"/>
        <v>0</v>
      </c>
      <c r="N681">
        <f t="shared" si="754"/>
        <v>1</v>
      </c>
      <c r="O681" t="str">
        <f>IFERROR(_xlfn.XLOOKUP(A681,HC!A:A,HC!C:C),"")</f>
        <v>Workforce</v>
      </c>
      <c r="R681" s="78" t="b">
        <f t="shared" ref="R681:AO681" si="792">IFERROR(IF($B681=$D$1,IF(AND($K681&lt;R$1,$L681&lt;R$1),"",IF(AND($K681&gt;S$1,$L681&gt;S$1),"",IF(AND($K681&lt;R$1,$L681&lt;=S$1),$L681-R$1,IF(AND($K681&gt;=R$1,$L681&gt;S$1),S$1-$K681,IF(AND($K681&gt;=R$1,$L681&lt;=S$1),$L681-$K681,IF(AND($K681&lt;R$1,$L681&gt;S$1),S$1-R$1,""))))))),"")</f>
        <v>0</v>
      </c>
      <c r="S681" s="78" t="b">
        <f t="shared" si="792"/>
        <v>0</v>
      </c>
      <c r="T681" s="78" t="b">
        <f t="shared" si="792"/>
        <v>0</v>
      </c>
      <c r="U681" s="78" t="b">
        <f t="shared" si="792"/>
        <v>0</v>
      </c>
      <c r="V681" s="78" t="b">
        <f t="shared" si="792"/>
        <v>0</v>
      </c>
      <c r="W681" s="78" t="b">
        <f t="shared" si="792"/>
        <v>0</v>
      </c>
      <c r="X681" s="78" t="b">
        <f t="shared" si="792"/>
        <v>0</v>
      </c>
      <c r="Y681" s="78" t="b">
        <f t="shared" si="792"/>
        <v>0</v>
      </c>
      <c r="Z681" s="78" t="b">
        <f t="shared" si="792"/>
        <v>0</v>
      </c>
      <c r="AA681" s="78" t="b">
        <f t="shared" si="792"/>
        <v>0</v>
      </c>
      <c r="AB681" s="78" t="b">
        <f t="shared" si="792"/>
        <v>0</v>
      </c>
      <c r="AC681" s="78" t="b">
        <f t="shared" si="792"/>
        <v>0</v>
      </c>
      <c r="AD681" s="78" t="b">
        <f t="shared" si="792"/>
        <v>0</v>
      </c>
      <c r="AE681" s="78" t="b">
        <f t="shared" si="792"/>
        <v>0</v>
      </c>
      <c r="AF681" s="78" t="b">
        <f t="shared" si="792"/>
        <v>0</v>
      </c>
      <c r="AG681" s="78" t="b">
        <f t="shared" si="792"/>
        <v>0</v>
      </c>
      <c r="AH681" s="78" t="b">
        <f t="shared" si="792"/>
        <v>0</v>
      </c>
      <c r="AI681" s="78" t="b">
        <f t="shared" si="792"/>
        <v>0</v>
      </c>
      <c r="AJ681" s="78" t="b">
        <f t="shared" si="792"/>
        <v>0</v>
      </c>
      <c r="AK681" s="78" t="b">
        <f t="shared" si="792"/>
        <v>0</v>
      </c>
      <c r="AL681" s="78" t="b">
        <f t="shared" si="792"/>
        <v>0</v>
      </c>
      <c r="AM681" s="78" t="b">
        <f t="shared" si="792"/>
        <v>0</v>
      </c>
      <c r="AN681" s="78" t="b">
        <f t="shared" si="792"/>
        <v>0</v>
      </c>
      <c r="AO681" s="78" t="b">
        <f t="shared" si="792"/>
        <v>0</v>
      </c>
      <c r="AP681" s="78"/>
    </row>
    <row r="682" spans="4:42" x14ac:dyDescent="0.35">
      <c r="D682" s="96"/>
      <c r="E682" s="96"/>
      <c r="G682" s="77">
        <f t="shared" si="747"/>
        <v>0</v>
      </c>
      <c r="H682" s="78">
        <f t="shared" si="748"/>
        <v>0</v>
      </c>
      <c r="I682" s="77">
        <f t="shared" si="749"/>
        <v>0</v>
      </c>
      <c r="J682" s="78">
        <f t="shared" si="750"/>
        <v>0</v>
      </c>
      <c r="K682" s="78" t="str">
        <f t="shared" si="751"/>
        <v>1900-01-00 00:0:00</v>
      </c>
      <c r="L682" s="78" t="str">
        <f t="shared" si="752"/>
        <v>1900-01-00 00:0:00</v>
      </c>
      <c r="M682" s="79">
        <f t="shared" si="753"/>
        <v>0</v>
      </c>
      <c r="N682">
        <f t="shared" si="754"/>
        <v>1</v>
      </c>
      <c r="O682" t="str">
        <f>IFERROR(_xlfn.XLOOKUP(A682,HC!A:A,HC!C:C),"")</f>
        <v>Workforce</v>
      </c>
      <c r="R682" s="78" t="b">
        <f t="shared" ref="R682:AO682" si="793">IFERROR(IF($B682=$D$1,IF(AND($K682&lt;R$1,$L682&lt;R$1),"",IF(AND($K682&gt;S$1,$L682&gt;S$1),"",IF(AND($K682&lt;R$1,$L682&lt;=S$1),$L682-R$1,IF(AND($K682&gt;=R$1,$L682&gt;S$1),S$1-$K682,IF(AND($K682&gt;=R$1,$L682&lt;=S$1),$L682-$K682,IF(AND($K682&lt;R$1,$L682&gt;S$1),S$1-R$1,""))))))),"")</f>
        <v>0</v>
      </c>
      <c r="S682" s="78" t="b">
        <f t="shared" si="793"/>
        <v>0</v>
      </c>
      <c r="T682" s="78" t="b">
        <f t="shared" si="793"/>
        <v>0</v>
      </c>
      <c r="U682" s="78" t="b">
        <f t="shared" si="793"/>
        <v>0</v>
      </c>
      <c r="V682" s="78" t="b">
        <f t="shared" si="793"/>
        <v>0</v>
      </c>
      <c r="W682" s="78" t="b">
        <f t="shared" si="793"/>
        <v>0</v>
      </c>
      <c r="X682" s="78" t="b">
        <f t="shared" si="793"/>
        <v>0</v>
      </c>
      <c r="Y682" s="78" t="b">
        <f t="shared" si="793"/>
        <v>0</v>
      </c>
      <c r="Z682" s="78" t="b">
        <f t="shared" si="793"/>
        <v>0</v>
      </c>
      <c r="AA682" s="78" t="b">
        <f t="shared" si="793"/>
        <v>0</v>
      </c>
      <c r="AB682" s="78" t="b">
        <f t="shared" si="793"/>
        <v>0</v>
      </c>
      <c r="AC682" s="78" t="b">
        <f t="shared" si="793"/>
        <v>0</v>
      </c>
      <c r="AD682" s="78" t="b">
        <f t="shared" si="793"/>
        <v>0</v>
      </c>
      <c r="AE682" s="78" t="b">
        <f t="shared" si="793"/>
        <v>0</v>
      </c>
      <c r="AF682" s="78" t="b">
        <f t="shared" si="793"/>
        <v>0</v>
      </c>
      <c r="AG682" s="78" t="b">
        <f t="shared" si="793"/>
        <v>0</v>
      </c>
      <c r="AH682" s="78" t="b">
        <f t="shared" si="793"/>
        <v>0</v>
      </c>
      <c r="AI682" s="78" t="b">
        <f t="shared" si="793"/>
        <v>0</v>
      </c>
      <c r="AJ682" s="78" t="b">
        <f t="shared" si="793"/>
        <v>0</v>
      </c>
      <c r="AK682" s="78" t="b">
        <f t="shared" si="793"/>
        <v>0</v>
      </c>
      <c r="AL682" s="78" t="b">
        <f t="shared" si="793"/>
        <v>0</v>
      </c>
      <c r="AM682" s="78" t="b">
        <f t="shared" si="793"/>
        <v>0</v>
      </c>
      <c r="AN682" s="78" t="b">
        <f t="shared" si="793"/>
        <v>0</v>
      </c>
      <c r="AO682" s="78" t="b">
        <f t="shared" si="793"/>
        <v>0</v>
      </c>
      <c r="AP682" s="78"/>
    </row>
    <row r="683" spans="4:42" x14ac:dyDescent="0.35">
      <c r="D683" s="96"/>
      <c r="E683" s="96"/>
      <c r="G683" s="77">
        <f t="shared" si="747"/>
        <v>0</v>
      </c>
      <c r="H683" s="78">
        <f t="shared" si="748"/>
        <v>0</v>
      </c>
      <c r="I683" s="77">
        <f t="shared" si="749"/>
        <v>0</v>
      </c>
      <c r="J683" s="78">
        <f t="shared" si="750"/>
        <v>0</v>
      </c>
      <c r="K683" s="78" t="str">
        <f t="shared" si="751"/>
        <v>1900-01-00 00:0:00</v>
      </c>
      <c r="L683" s="78" t="str">
        <f t="shared" si="752"/>
        <v>1900-01-00 00:0:00</v>
      </c>
      <c r="M683" s="79">
        <f t="shared" si="753"/>
        <v>0</v>
      </c>
      <c r="N683">
        <f t="shared" si="754"/>
        <v>1</v>
      </c>
      <c r="O683" t="str">
        <f>IFERROR(_xlfn.XLOOKUP(A683,HC!A:A,HC!C:C),"")</f>
        <v>Workforce</v>
      </c>
      <c r="R683" s="78" t="b">
        <f t="shared" ref="R683:AO683" si="794">IFERROR(IF($B683=$D$1,IF(AND($K683&lt;R$1,$L683&lt;R$1),"",IF(AND($K683&gt;S$1,$L683&gt;S$1),"",IF(AND($K683&lt;R$1,$L683&lt;=S$1),$L683-R$1,IF(AND($K683&gt;=R$1,$L683&gt;S$1),S$1-$K683,IF(AND($K683&gt;=R$1,$L683&lt;=S$1),$L683-$K683,IF(AND($K683&lt;R$1,$L683&gt;S$1),S$1-R$1,""))))))),"")</f>
        <v>0</v>
      </c>
      <c r="S683" s="78" t="b">
        <f t="shared" si="794"/>
        <v>0</v>
      </c>
      <c r="T683" s="78" t="b">
        <f t="shared" si="794"/>
        <v>0</v>
      </c>
      <c r="U683" s="78" t="b">
        <f t="shared" si="794"/>
        <v>0</v>
      </c>
      <c r="V683" s="78" t="b">
        <f t="shared" si="794"/>
        <v>0</v>
      </c>
      <c r="W683" s="78" t="b">
        <f t="shared" si="794"/>
        <v>0</v>
      </c>
      <c r="X683" s="78" t="b">
        <f t="shared" si="794"/>
        <v>0</v>
      </c>
      <c r="Y683" s="78" t="b">
        <f t="shared" si="794"/>
        <v>0</v>
      </c>
      <c r="Z683" s="78" t="b">
        <f t="shared" si="794"/>
        <v>0</v>
      </c>
      <c r="AA683" s="78" t="b">
        <f t="shared" si="794"/>
        <v>0</v>
      </c>
      <c r="AB683" s="78" t="b">
        <f t="shared" si="794"/>
        <v>0</v>
      </c>
      <c r="AC683" s="78" t="b">
        <f t="shared" si="794"/>
        <v>0</v>
      </c>
      <c r="AD683" s="78" t="b">
        <f t="shared" si="794"/>
        <v>0</v>
      </c>
      <c r="AE683" s="78" t="b">
        <f t="shared" si="794"/>
        <v>0</v>
      </c>
      <c r="AF683" s="78" t="b">
        <f t="shared" si="794"/>
        <v>0</v>
      </c>
      <c r="AG683" s="78" t="b">
        <f t="shared" si="794"/>
        <v>0</v>
      </c>
      <c r="AH683" s="78" t="b">
        <f t="shared" si="794"/>
        <v>0</v>
      </c>
      <c r="AI683" s="78" t="b">
        <f t="shared" si="794"/>
        <v>0</v>
      </c>
      <c r="AJ683" s="78" t="b">
        <f t="shared" si="794"/>
        <v>0</v>
      </c>
      <c r="AK683" s="78" t="b">
        <f t="shared" si="794"/>
        <v>0</v>
      </c>
      <c r="AL683" s="78" t="b">
        <f t="shared" si="794"/>
        <v>0</v>
      </c>
      <c r="AM683" s="78" t="b">
        <f t="shared" si="794"/>
        <v>0</v>
      </c>
      <c r="AN683" s="78" t="b">
        <f t="shared" si="794"/>
        <v>0</v>
      </c>
      <c r="AO683" s="78" t="b">
        <f t="shared" si="794"/>
        <v>0</v>
      </c>
      <c r="AP683" s="78"/>
    </row>
    <row r="684" spans="4:42" x14ac:dyDescent="0.35">
      <c r="D684" s="96"/>
      <c r="E684" s="96"/>
      <c r="G684" s="77">
        <f t="shared" si="747"/>
        <v>0</v>
      </c>
      <c r="H684" s="78">
        <f t="shared" si="748"/>
        <v>0</v>
      </c>
      <c r="I684" s="77">
        <f t="shared" si="749"/>
        <v>0</v>
      </c>
      <c r="J684" s="78">
        <f t="shared" si="750"/>
        <v>0</v>
      </c>
      <c r="K684" s="78" t="str">
        <f t="shared" si="751"/>
        <v>1900-01-00 00:0:00</v>
      </c>
      <c r="L684" s="78" t="str">
        <f t="shared" si="752"/>
        <v>1900-01-00 00:0:00</v>
      </c>
      <c r="M684" s="79">
        <f t="shared" si="753"/>
        <v>0</v>
      </c>
      <c r="N684">
        <f t="shared" si="754"/>
        <v>1</v>
      </c>
      <c r="O684" t="str">
        <f>IFERROR(_xlfn.XLOOKUP(A684,HC!A:A,HC!C:C),"")</f>
        <v>Workforce</v>
      </c>
      <c r="R684" s="78" t="b">
        <f t="shared" ref="R684:AO684" si="795">IFERROR(IF($B684=$D$1,IF(AND($K684&lt;R$1,$L684&lt;R$1),"",IF(AND($K684&gt;S$1,$L684&gt;S$1),"",IF(AND($K684&lt;R$1,$L684&lt;=S$1),$L684-R$1,IF(AND($K684&gt;=R$1,$L684&gt;S$1),S$1-$K684,IF(AND($K684&gt;=R$1,$L684&lt;=S$1),$L684-$K684,IF(AND($K684&lt;R$1,$L684&gt;S$1),S$1-R$1,""))))))),"")</f>
        <v>0</v>
      </c>
      <c r="S684" s="78" t="b">
        <f t="shared" si="795"/>
        <v>0</v>
      </c>
      <c r="T684" s="78" t="b">
        <f t="shared" si="795"/>
        <v>0</v>
      </c>
      <c r="U684" s="78" t="b">
        <f t="shared" si="795"/>
        <v>0</v>
      </c>
      <c r="V684" s="78" t="b">
        <f t="shared" si="795"/>
        <v>0</v>
      </c>
      <c r="W684" s="78" t="b">
        <f t="shared" si="795"/>
        <v>0</v>
      </c>
      <c r="X684" s="78" t="b">
        <f t="shared" si="795"/>
        <v>0</v>
      </c>
      <c r="Y684" s="78" t="b">
        <f t="shared" si="795"/>
        <v>0</v>
      </c>
      <c r="Z684" s="78" t="b">
        <f t="shared" si="795"/>
        <v>0</v>
      </c>
      <c r="AA684" s="78" t="b">
        <f t="shared" si="795"/>
        <v>0</v>
      </c>
      <c r="AB684" s="78" t="b">
        <f t="shared" si="795"/>
        <v>0</v>
      </c>
      <c r="AC684" s="78" t="b">
        <f t="shared" si="795"/>
        <v>0</v>
      </c>
      <c r="AD684" s="78" t="b">
        <f t="shared" si="795"/>
        <v>0</v>
      </c>
      <c r="AE684" s="78" t="b">
        <f t="shared" si="795"/>
        <v>0</v>
      </c>
      <c r="AF684" s="78" t="b">
        <f t="shared" si="795"/>
        <v>0</v>
      </c>
      <c r="AG684" s="78" t="b">
        <f t="shared" si="795"/>
        <v>0</v>
      </c>
      <c r="AH684" s="78" t="b">
        <f t="shared" si="795"/>
        <v>0</v>
      </c>
      <c r="AI684" s="78" t="b">
        <f t="shared" si="795"/>
        <v>0</v>
      </c>
      <c r="AJ684" s="78" t="b">
        <f t="shared" si="795"/>
        <v>0</v>
      </c>
      <c r="AK684" s="78" t="b">
        <f t="shared" si="795"/>
        <v>0</v>
      </c>
      <c r="AL684" s="78" t="b">
        <f t="shared" si="795"/>
        <v>0</v>
      </c>
      <c r="AM684" s="78" t="b">
        <f t="shared" si="795"/>
        <v>0</v>
      </c>
      <c r="AN684" s="78" t="b">
        <f t="shared" si="795"/>
        <v>0</v>
      </c>
      <c r="AO684" s="78" t="b">
        <f t="shared" si="795"/>
        <v>0</v>
      </c>
      <c r="AP684" s="78"/>
    </row>
    <row r="685" spans="4:42" x14ac:dyDescent="0.35">
      <c r="D685" s="96"/>
      <c r="E685" s="96"/>
      <c r="G685" s="77">
        <f t="shared" si="747"/>
        <v>0</v>
      </c>
      <c r="H685" s="78">
        <f t="shared" si="748"/>
        <v>0</v>
      </c>
      <c r="I685" s="77">
        <f t="shared" si="749"/>
        <v>0</v>
      </c>
      <c r="J685" s="78">
        <f t="shared" si="750"/>
        <v>0</v>
      </c>
      <c r="K685" s="78" t="str">
        <f t="shared" si="751"/>
        <v>1900-01-00 00:0:00</v>
      </c>
      <c r="L685" s="78" t="str">
        <f t="shared" si="752"/>
        <v>1900-01-00 00:0:00</v>
      </c>
      <c r="M685" s="79">
        <f t="shared" si="753"/>
        <v>0</v>
      </c>
      <c r="N685">
        <f t="shared" si="754"/>
        <v>1</v>
      </c>
      <c r="O685" t="str">
        <f>IFERROR(_xlfn.XLOOKUP(A685,HC!A:A,HC!C:C),"")</f>
        <v>Workforce</v>
      </c>
      <c r="R685" s="78" t="b">
        <f t="shared" ref="R685:AO685" si="796">IFERROR(IF($B685=$D$1,IF(AND($K685&lt;R$1,$L685&lt;R$1),"",IF(AND($K685&gt;S$1,$L685&gt;S$1),"",IF(AND($K685&lt;R$1,$L685&lt;=S$1),$L685-R$1,IF(AND($K685&gt;=R$1,$L685&gt;S$1),S$1-$K685,IF(AND($K685&gt;=R$1,$L685&lt;=S$1),$L685-$K685,IF(AND($K685&lt;R$1,$L685&gt;S$1),S$1-R$1,""))))))),"")</f>
        <v>0</v>
      </c>
      <c r="S685" s="78" t="b">
        <f t="shared" si="796"/>
        <v>0</v>
      </c>
      <c r="T685" s="78" t="b">
        <f t="shared" si="796"/>
        <v>0</v>
      </c>
      <c r="U685" s="78" t="b">
        <f t="shared" si="796"/>
        <v>0</v>
      </c>
      <c r="V685" s="78" t="b">
        <f t="shared" si="796"/>
        <v>0</v>
      </c>
      <c r="W685" s="78" t="b">
        <f t="shared" si="796"/>
        <v>0</v>
      </c>
      <c r="X685" s="78" t="b">
        <f t="shared" si="796"/>
        <v>0</v>
      </c>
      <c r="Y685" s="78" t="b">
        <f t="shared" si="796"/>
        <v>0</v>
      </c>
      <c r="Z685" s="78" t="b">
        <f t="shared" si="796"/>
        <v>0</v>
      </c>
      <c r="AA685" s="78" t="b">
        <f t="shared" si="796"/>
        <v>0</v>
      </c>
      <c r="AB685" s="78" t="b">
        <f t="shared" si="796"/>
        <v>0</v>
      </c>
      <c r="AC685" s="78" t="b">
        <f t="shared" si="796"/>
        <v>0</v>
      </c>
      <c r="AD685" s="78" t="b">
        <f t="shared" si="796"/>
        <v>0</v>
      </c>
      <c r="AE685" s="78" t="b">
        <f t="shared" si="796"/>
        <v>0</v>
      </c>
      <c r="AF685" s="78" t="b">
        <f t="shared" si="796"/>
        <v>0</v>
      </c>
      <c r="AG685" s="78" t="b">
        <f t="shared" si="796"/>
        <v>0</v>
      </c>
      <c r="AH685" s="78" t="b">
        <f t="shared" si="796"/>
        <v>0</v>
      </c>
      <c r="AI685" s="78" t="b">
        <f t="shared" si="796"/>
        <v>0</v>
      </c>
      <c r="AJ685" s="78" t="b">
        <f t="shared" si="796"/>
        <v>0</v>
      </c>
      <c r="AK685" s="78" t="b">
        <f t="shared" si="796"/>
        <v>0</v>
      </c>
      <c r="AL685" s="78" t="b">
        <f t="shared" si="796"/>
        <v>0</v>
      </c>
      <c r="AM685" s="78" t="b">
        <f t="shared" si="796"/>
        <v>0</v>
      </c>
      <c r="AN685" s="78" t="b">
        <f t="shared" si="796"/>
        <v>0</v>
      </c>
      <c r="AO685" s="78" t="b">
        <f t="shared" si="796"/>
        <v>0</v>
      </c>
      <c r="AP685" s="78"/>
    </row>
    <row r="686" spans="4:42" x14ac:dyDescent="0.35">
      <c r="D686" s="96"/>
      <c r="E686" s="96"/>
      <c r="G686" s="77">
        <f t="shared" si="747"/>
        <v>0</v>
      </c>
      <c r="H686" s="78">
        <f t="shared" si="748"/>
        <v>0</v>
      </c>
      <c r="I686" s="77">
        <f t="shared" si="749"/>
        <v>0</v>
      </c>
      <c r="J686" s="78">
        <f t="shared" si="750"/>
        <v>0</v>
      </c>
      <c r="K686" s="78" t="str">
        <f t="shared" si="751"/>
        <v>1900-01-00 00:0:00</v>
      </c>
      <c r="L686" s="78" t="str">
        <f t="shared" si="752"/>
        <v>1900-01-00 00:0:00</v>
      </c>
      <c r="M686" s="79">
        <f t="shared" si="753"/>
        <v>0</v>
      </c>
      <c r="N686">
        <f t="shared" si="754"/>
        <v>1</v>
      </c>
      <c r="O686" t="str">
        <f>IFERROR(_xlfn.XLOOKUP(A686,HC!A:A,HC!C:C),"")</f>
        <v>Workforce</v>
      </c>
      <c r="R686" s="78" t="b">
        <f t="shared" ref="R686:AO686" si="797">IFERROR(IF($B686=$D$1,IF(AND($K686&lt;R$1,$L686&lt;R$1),"",IF(AND($K686&gt;S$1,$L686&gt;S$1),"",IF(AND($K686&lt;R$1,$L686&lt;=S$1),$L686-R$1,IF(AND($K686&gt;=R$1,$L686&gt;S$1),S$1-$K686,IF(AND($K686&gt;=R$1,$L686&lt;=S$1),$L686-$K686,IF(AND($K686&lt;R$1,$L686&gt;S$1),S$1-R$1,""))))))),"")</f>
        <v>0</v>
      </c>
      <c r="S686" s="78" t="b">
        <f t="shared" si="797"/>
        <v>0</v>
      </c>
      <c r="T686" s="78" t="b">
        <f t="shared" si="797"/>
        <v>0</v>
      </c>
      <c r="U686" s="78" t="b">
        <f t="shared" si="797"/>
        <v>0</v>
      </c>
      <c r="V686" s="78" t="b">
        <f t="shared" si="797"/>
        <v>0</v>
      </c>
      <c r="W686" s="78" t="b">
        <f t="shared" si="797"/>
        <v>0</v>
      </c>
      <c r="X686" s="78" t="b">
        <f t="shared" si="797"/>
        <v>0</v>
      </c>
      <c r="Y686" s="78" t="b">
        <f t="shared" si="797"/>
        <v>0</v>
      </c>
      <c r="Z686" s="78" t="b">
        <f t="shared" si="797"/>
        <v>0</v>
      </c>
      <c r="AA686" s="78" t="b">
        <f t="shared" si="797"/>
        <v>0</v>
      </c>
      <c r="AB686" s="78" t="b">
        <f t="shared" si="797"/>
        <v>0</v>
      </c>
      <c r="AC686" s="78" t="b">
        <f t="shared" si="797"/>
        <v>0</v>
      </c>
      <c r="AD686" s="78" t="b">
        <f t="shared" si="797"/>
        <v>0</v>
      </c>
      <c r="AE686" s="78" t="b">
        <f t="shared" si="797"/>
        <v>0</v>
      </c>
      <c r="AF686" s="78" t="b">
        <f t="shared" si="797"/>
        <v>0</v>
      </c>
      <c r="AG686" s="78" t="b">
        <f t="shared" si="797"/>
        <v>0</v>
      </c>
      <c r="AH686" s="78" t="b">
        <f t="shared" si="797"/>
        <v>0</v>
      </c>
      <c r="AI686" s="78" t="b">
        <f t="shared" si="797"/>
        <v>0</v>
      </c>
      <c r="AJ686" s="78" t="b">
        <f t="shared" si="797"/>
        <v>0</v>
      </c>
      <c r="AK686" s="78" t="b">
        <f t="shared" si="797"/>
        <v>0</v>
      </c>
      <c r="AL686" s="78" t="b">
        <f t="shared" si="797"/>
        <v>0</v>
      </c>
      <c r="AM686" s="78" t="b">
        <f t="shared" si="797"/>
        <v>0</v>
      </c>
      <c r="AN686" s="78" t="b">
        <f t="shared" si="797"/>
        <v>0</v>
      </c>
      <c r="AO686" s="78" t="b">
        <f t="shared" si="797"/>
        <v>0</v>
      </c>
      <c r="AP686" s="78"/>
    </row>
    <row r="687" spans="4:42" x14ac:dyDescent="0.35">
      <c r="D687" s="96"/>
      <c r="E687" s="96"/>
      <c r="G687" s="77">
        <f t="shared" si="747"/>
        <v>0</v>
      </c>
      <c r="H687" s="78">
        <f t="shared" si="748"/>
        <v>0</v>
      </c>
      <c r="I687" s="77">
        <f t="shared" si="749"/>
        <v>0</v>
      </c>
      <c r="J687" s="78">
        <f t="shared" si="750"/>
        <v>0</v>
      </c>
      <c r="K687" s="78" t="str">
        <f t="shared" si="751"/>
        <v>1900-01-00 00:0:00</v>
      </c>
      <c r="L687" s="78" t="str">
        <f t="shared" si="752"/>
        <v>1900-01-00 00:0:00</v>
      </c>
      <c r="M687" s="79">
        <f t="shared" si="753"/>
        <v>0</v>
      </c>
      <c r="N687">
        <f t="shared" si="754"/>
        <v>1</v>
      </c>
      <c r="O687" t="str">
        <f>IFERROR(_xlfn.XLOOKUP(A687,HC!A:A,HC!C:C),"")</f>
        <v>Workforce</v>
      </c>
      <c r="R687" s="78" t="b">
        <f t="shared" ref="R687:AO687" si="798">IFERROR(IF($B687=$D$1,IF(AND($K687&lt;R$1,$L687&lt;R$1),"",IF(AND($K687&gt;S$1,$L687&gt;S$1),"",IF(AND($K687&lt;R$1,$L687&lt;=S$1),$L687-R$1,IF(AND($K687&gt;=R$1,$L687&gt;S$1),S$1-$K687,IF(AND($K687&gt;=R$1,$L687&lt;=S$1),$L687-$K687,IF(AND($K687&lt;R$1,$L687&gt;S$1),S$1-R$1,""))))))),"")</f>
        <v>0</v>
      </c>
      <c r="S687" s="78" t="b">
        <f t="shared" si="798"/>
        <v>0</v>
      </c>
      <c r="T687" s="78" t="b">
        <f t="shared" si="798"/>
        <v>0</v>
      </c>
      <c r="U687" s="78" t="b">
        <f t="shared" si="798"/>
        <v>0</v>
      </c>
      <c r="V687" s="78" t="b">
        <f t="shared" si="798"/>
        <v>0</v>
      </c>
      <c r="W687" s="78" t="b">
        <f t="shared" si="798"/>
        <v>0</v>
      </c>
      <c r="X687" s="78" t="b">
        <f t="shared" si="798"/>
        <v>0</v>
      </c>
      <c r="Y687" s="78" t="b">
        <f t="shared" si="798"/>
        <v>0</v>
      </c>
      <c r="Z687" s="78" t="b">
        <f t="shared" si="798"/>
        <v>0</v>
      </c>
      <c r="AA687" s="78" t="b">
        <f t="shared" si="798"/>
        <v>0</v>
      </c>
      <c r="AB687" s="78" t="b">
        <f t="shared" si="798"/>
        <v>0</v>
      </c>
      <c r="AC687" s="78" t="b">
        <f t="shared" si="798"/>
        <v>0</v>
      </c>
      <c r="AD687" s="78" t="b">
        <f t="shared" si="798"/>
        <v>0</v>
      </c>
      <c r="AE687" s="78" t="b">
        <f t="shared" si="798"/>
        <v>0</v>
      </c>
      <c r="AF687" s="78" t="b">
        <f t="shared" si="798"/>
        <v>0</v>
      </c>
      <c r="AG687" s="78" t="b">
        <f t="shared" si="798"/>
        <v>0</v>
      </c>
      <c r="AH687" s="78" t="b">
        <f t="shared" si="798"/>
        <v>0</v>
      </c>
      <c r="AI687" s="78" t="b">
        <f t="shared" si="798"/>
        <v>0</v>
      </c>
      <c r="AJ687" s="78" t="b">
        <f t="shared" si="798"/>
        <v>0</v>
      </c>
      <c r="AK687" s="78" t="b">
        <f t="shared" si="798"/>
        <v>0</v>
      </c>
      <c r="AL687" s="78" t="b">
        <f t="shared" si="798"/>
        <v>0</v>
      </c>
      <c r="AM687" s="78" t="b">
        <f t="shared" si="798"/>
        <v>0</v>
      </c>
      <c r="AN687" s="78" t="b">
        <f t="shared" si="798"/>
        <v>0</v>
      </c>
      <c r="AO687" s="78" t="b">
        <f t="shared" si="798"/>
        <v>0</v>
      </c>
      <c r="AP687" s="78"/>
    </row>
    <row r="688" spans="4:42" x14ac:dyDescent="0.35">
      <c r="D688" s="96"/>
      <c r="E688" s="96"/>
      <c r="G688" s="77">
        <f t="shared" si="747"/>
        <v>0</v>
      </c>
      <c r="H688" s="78">
        <f t="shared" si="748"/>
        <v>0</v>
      </c>
      <c r="I688" s="77">
        <f t="shared" si="749"/>
        <v>0</v>
      </c>
      <c r="J688" s="78">
        <f t="shared" si="750"/>
        <v>0</v>
      </c>
      <c r="K688" s="78" t="str">
        <f t="shared" si="751"/>
        <v>1900-01-00 00:0:00</v>
      </c>
      <c r="L688" s="78" t="str">
        <f t="shared" si="752"/>
        <v>1900-01-00 00:0:00</v>
      </c>
      <c r="M688" s="79">
        <f t="shared" si="753"/>
        <v>0</v>
      </c>
      <c r="N688">
        <f t="shared" si="754"/>
        <v>1</v>
      </c>
      <c r="O688" t="str">
        <f>IFERROR(_xlfn.XLOOKUP(A688,HC!A:A,HC!C:C),"")</f>
        <v>Workforce</v>
      </c>
      <c r="R688" s="78" t="b">
        <f t="shared" ref="R688:AO688" si="799">IFERROR(IF($B688=$D$1,IF(AND($K688&lt;R$1,$L688&lt;R$1),"",IF(AND($K688&gt;S$1,$L688&gt;S$1),"",IF(AND($K688&lt;R$1,$L688&lt;=S$1),$L688-R$1,IF(AND($K688&gt;=R$1,$L688&gt;S$1),S$1-$K688,IF(AND($K688&gt;=R$1,$L688&lt;=S$1),$L688-$K688,IF(AND($K688&lt;R$1,$L688&gt;S$1),S$1-R$1,""))))))),"")</f>
        <v>0</v>
      </c>
      <c r="S688" s="78" t="b">
        <f t="shared" si="799"/>
        <v>0</v>
      </c>
      <c r="T688" s="78" t="b">
        <f t="shared" si="799"/>
        <v>0</v>
      </c>
      <c r="U688" s="78" t="b">
        <f t="shared" si="799"/>
        <v>0</v>
      </c>
      <c r="V688" s="78" t="b">
        <f t="shared" si="799"/>
        <v>0</v>
      </c>
      <c r="W688" s="78" t="b">
        <f t="shared" si="799"/>
        <v>0</v>
      </c>
      <c r="X688" s="78" t="b">
        <f t="shared" si="799"/>
        <v>0</v>
      </c>
      <c r="Y688" s="78" t="b">
        <f t="shared" si="799"/>
        <v>0</v>
      </c>
      <c r="Z688" s="78" t="b">
        <f t="shared" si="799"/>
        <v>0</v>
      </c>
      <c r="AA688" s="78" t="b">
        <f t="shared" si="799"/>
        <v>0</v>
      </c>
      <c r="AB688" s="78" t="b">
        <f t="shared" si="799"/>
        <v>0</v>
      </c>
      <c r="AC688" s="78" t="b">
        <f t="shared" si="799"/>
        <v>0</v>
      </c>
      <c r="AD688" s="78" t="b">
        <f t="shared" si="799"/>
        <v>0</v>
      </c>
      <c r="AE688" s="78" t="b">
        <f t="shared" si="799"/>
        <v>0</v>
      </c>
      <c r="AF688" s="78" t="b">
        <f t="shared" si="799"/>
        <v>0</v>
      </c>
      <c r="AG688" s="78" t="b">
        <f t="shared" si="799"/>
        <v>0</v>
      </c>
      <c r="AH688" s="78" t="b">
        <f t="shared" si="799"/>
        <v>0</v>
      </c>
      <c r="AI688" s="78" t="b">
        <f t="shared" si="799"/>
        <v>0</v>
      </c>
      <c r="AJ688" s="78" t="b">
        <f t="shared" si="799"/>
        <v>0</v>
      </c>
      <c r="AK688" s="78" t="b">
        <f t="shared" si="799"/>
        <v>0</v>
      </c>
      <c r="AL688" s="78" t="b">
        <f t="shared" si="799"/>
        <v>0</v>
      </c>
      <c r="AM688" s="78" t="b">
        <f t="shared" si="799"/>
        <v>0</v>
      </c>
      <c r="AN688" s="78" t="b">
        <f t="shared" si="799"/>
        <v>0</v>
      </c>
      <c r="AO688" s="78" t="b">
        <f t="shared" si="799"/>
        <v>0</v>
      </c>
      <c r="AP688" s="78"/>
    </row>
    <row r="689" spans="4:42" x14ac:dyDescent="0.35">
      <c r="D689" s="96"/>
      <c r="E689" s="96"/>
      <c r="G689" s="77">
        <f t="shared" si="747"/>
        <v>0</v>
      </c>
      <c r="H689" s="78">
        <f t="shared" si="748"/>
        <v>0</v>
      </c>
      <c r="I689" s="77">
        <f t="shared" si="749"/>
        <v>0</v>
      </c>
      <c r="J689" s="78">
        <f t="shared" si="750"/>
        <v>0</v>
      </c>
      <c r="K689" s="78" t="str">
        <f t="shared" si="751"/>
        <v>1900-01-00 00:0:00</v>
      </c>
      <c r="L689" s="78" t="str">
        <f t="shared" si="752"/>
        <v>1900-01-00 00:0:00</v>
      </c>
      <c r="M689" s="79">
        <f t="shared" si="753"/>
        <v>0</v>
      </c>
      <c r="N689">
        <f t="shared" si="754"/>
        <v>1</v>
      </c>
      <c r="O689" t="str">
        <f>IFERROR(_xlfn.XLOOKUP(A689,HC!A:A,HC!C:C),"")</f>
        <v>Workforce</v>
      </c>
      <c r="R689" s="78" t="b">
        <f t="shared" ref="R689:AO689" si="800">IFERROR(IF($B689=$D$1,IF(AND($K689&lt;R$1,$L689&lt;R$1),"",IF(AND($K689&gt;S$1,$L689&gt;S$1),"",IF(AND($K689&lt;R$1,$L689&lt;=S$1),$L689-R$1,IF(AND($K689&gt;=R$1,$L689&gt;S$1),S$1-$K689,IF(AND($K689&gt;=R$1,$L689&lt;=S$1),$L689-$K689,IF(AND($K689&lt;R$1,$L689&gt;S$1),S$1-R$1,""))))))),"")</f>
        <v>0</v>
      </c>
      <c r="S689" s="78" t="b">
        <f t="shared" si="800"/>
        <v>0</v>
      </c>
      <c r="T689" s="78" t="b">
        <f t="shared" si="800"/>
        <v>0</v>
      </c>
      <c r="U689" s="78" t="b">
        <f t="shared" si="800"/>
        <v>0</v>
      </c>
      <c r="V689" s="78" t="b">
        <f t="shared" si="800"/>
        <v>0</v>
      </c>
      <c r="W689" s="78" t="b">
        <f t="shared" si="800"/>
        <v>0</v>
      </c>
      <c r="X689" s="78" t="b">
        <f t="shared" si="800"/>
        <v>0</v>
      </c>
      <c r="Y689" s="78" t="b">
        <f t="shared" si="800"/>
        <v>0</v>
      </c>
      <c r="Z689" s="78" t="b">
        <f t="shared" si="800"/>
        <v>0</v>
      </c>
      <c r="AA689" s="78" t="b">
        <f t="shared" si="800"/>
        <v>0</v>
      </c>
      <c r="AB689" s="78" t="b">
        <f t="shared" si="800"/>
        <v>0</v>
      </c>
      <c r="AC689" s="78" t="b">
        <f t="shared" si="800"/>
        <v>0</v>
      </c>
      <c r="AD689" s="78" t="b">
        <f t="shared" si="800"/>
        <v>0</v>
      </c>
      <c r="AE689" s="78" t="b">
        <f t="shared" si="800"/>
        <v>0</v>
      </c>
      <c r="AF689" s="78" t="b">
        <f t="shared" si="800"/>
        <v>0</v>
      </c>
      <c r="AG689" s="78" t="b">
        <f t="shared" si="800"/>
        <v>0</v>
      </c>
      <c r="AH689" s="78" t="b">
        <f t="shared" si="800"/>
        <v>0</v>
      </c>
      <c r="AI689" s="78" t="b">
        <f t="shared" si="800"/>
        <v>0</v>
      </c>
      <c r="AJ689" s="78" t="b">
        <f t="shared" si="800"/>
        <v>0</v>
      </c>
      <c r="AK689" s="78" t="b">
        <f t="shared" si="800"/>
        <v>0</v>
      </c>
      <c r="AL689" s="78" t="b">
        <f t="shared" si="800"/>
        <v>0</v>
      </c>
      <c r="AM689" s="78" t="b">
        <f t="shared" si="800"/>
        <v>0</v>
      </c>
      <c r="AN689" s="78" t="b">
        <f t="shared" si="800"/>
        <v>0</v>
      </c>
      <c r="AO689" s="78" t="b">
        <f t="shared" si="800"/>
        <v>0</v>
      </c>
      <c r="AP689" s="78"/>
    </row>
    <row r="690" spans="4:42" x14ac:dyDescent="0.35">
      <c r="D690" s="96"/>
      <c r="E690" s="96"/>
      <c r="G690" s="77">
        <f t="shared" si="747"/>
        <v>0</v>
      </c>
      <c r="H690" s="78">
        <f t="shared" si="748"/>
        <v>0</v>
      </c>
      <c r="I690" s="77">
        <f t="shared" si="749"/>
        <v>0</v>
      </c>
      <c r="J690" s="78">
        <f t="shared" si="750"/>
        <v>0</v>
      </c>
      <c r="K690" s="78" t="str">
        <f t="shared" si="751"/>
        <v>1900-01-00 00:0:00</v>
      </c>
      <c r="L690" s="78" t="str">
        <f t="shared" si="752"/>
        <v>1900-01-00 00:0:00</v>
      </c>
      <c r="M690" s="79">
        <f t="shared" si="753"/>
        <v>0</v>
      </c>
      <c r="N690">
        <f t="shared" si="754"/>
        <v>1</v>
      </c>
      <c r="O690" t="str">
        <f>IFERROR(_xlfn.XLOOKUP(A690,HC!A:A,HC!C:C),"")</f>
        <v>Workforce</v>
      </c>
      <c r="R690" s="78" t="b">
        <f t="shared" ref="R690:AO690" si="801">IFERROR(IF($B690=$D$1,IF(AND($K690&lt;R$1,$L690&lt;R$1),"",IF(AND($K690&gt;S$1,$L690&gt;S$1),"",IF(AND($K690&lt;R$1,$L690&lt;=S$1),$L690-R$1,IF(AND($K690&gt;=R$1,$L690&gt;S$1),S$1-$K690,IF(AND($K690&gt;=R$1,$L690&lt;=S$1),$L690-$K690,IF(AND($K690&lt;R$1,$L690&gt;S$1),S$1-R$1,""))))))),"")</f>
        <v>0</v>
      </c>
      <c r="S690" s="78" t="b">
        <f t="shared" si="801"/>
        <v>0</v>
      </c>
      <c r="T690" s="78" t="b">
        <f t="shared" si="801"/>
        <v>0</v>
      </c>
      <c r="U690" s="78" t="b">
        <f t="shared" si="801"/>
        <v>0</v>
      </c>
      <c r="V690" s="78" t="b">
        <f t="shared" si="801"/>
        <v>0</v>
      </c>
      <c r="W690" s="78" t="b">
        <f t="shared" si="801"/>
        <v>0</v>
      </c>
      <c r="X690" s="78" t="b">
        <f t="shared" si="801"/>
        <v>0</v>
      </c>
      <c r="Y690" s="78" t="b">
        <f t="shared" si="801"/>
        <v>0</v>
      </c>
      <c r="Z690" s="78" t="b">
        <f t="shared" si="801"/>
        <v>0</v>
      </c>
      <c r="AA690" s="78" t="b">
        <f t="shared" si="801"/>
        <v>0</v>
      </c>
      <c r="AB690" s="78" t="b">
        <f t="shared" si="801"/>
        <v>0</v>
      </c>
      <c r="AC690" s="78" t="b">
        <f t="shared" si="801"/>
        <v>0</v>
      </c>
      <c r="AD690" s="78" t="b">
        <f t="shared" si="801"/>
        <v>0</v>
      </c>
      <c r="AE690" s="78" t="b">
        <f t="shared" si="801"/>
        <v>0</v>
      </c>
      <c r="AF690" s="78" t="b">
        <f t="shared" si="801"/>
        <v>0</v>
      </c>
      <c r="AG690" s="78" t="b">
        <f t="shared" si="801"/>
        <v>0</v>
      </c>
      <c r="AH690" s="78" t="b">
        <f t="shared" si="801"/>
        <v>0</v>
      </c>
      <c r="AI690" s="78" t="b">
        <f t="shared" si="801"/>
        <v>0</v>
      </c>
      <c r="AJ690" s="78" t="b">
        <f t="shared" si="801"/>
        <v>0</v>
      </c>
      <c r="AK690" s="78" t="b">
        <f t="shared" si="801"/>
        <v>0</v>
      </c>
      <c r="AL690" s="78" t="b">
        <f t="shared" si="801"/>
        <v>0</v>
      </c>
      <c r="AM690" s="78" t="b">
        <f t="shared" si="801"/>
        <v>0</v>
      </c>
      <c r="AN690" s="78" t="b">
        <f t="shared" si="801"/>
        <v>0</v>
      </c>
      <c r="AO690" s="78" t="b">
        <f t="shared" si="801"/>
        <v>0</v>
      </c>
      <c r="AP690" s="78"/>
    </row>
    <row r="691" spans="4:42" x14ac:dyDescent="0.35">
      <c r="D691" s="96"/>
      <c r="E691" s="96"/>
      <c r="G691" s="77">
        <f t="shared" si="747"/>
        <v>0</v>
      </c>
      <c r="H691" s="78">
        <f t="shared" si="748"/>
        <v>0</v>
      </c>
      <c r="I691" s="77">
        <f t="shared" si="749"/>
        <v>0</v>
      </c>
      <c r="J691" s="78">
        <f t="shared" si="750"/>
        <v>0</v>
      </c>
      <c r="K691" s="78" t="str">
        <f t="shared" si="751"/>
        <v>1900-01-00 00:0:00</v>
      </c>
      <c r="L691" s="78" t="str">
        <f t="shared" si="752"/>
        <v>1900-01-00 00:0:00</v>
      </c>
      <c r="M691" s="79">
        <f t="shared" si="753"/>
        <v>0</v>
      </c>
      <c r="N691">
        <f t="shared" si="754"/>
        <v>1</v>
      </c>
      <c r="O691" t="str">
        <f>IFERROR(_xlfn.XLOOKUP(A691,HC!A:A,HC!C:C),"")</f>
        <v>Workforce</v>
      </c>
      <c r="R691" s="78" t="b">
        <f t="shared" ref="R691:AO691" si="802">IFERROR(IF($B691=$D$1,IF(AND($K691&lt;R$1,$L691&lt;R$1),"",IF(AND($K691&gt;S$1,$L691&gt;S$1),"",IF(AND($K691&lt;R$1,$L691&lt;=S$1),$L691-R$1,IF(AND($K691&gt;=R$1,$L691&gt;S$1),S$1-$K691,IF(AND($K691&gt;=R$1,$L691&lt;=S$1),$L691-$K691,IF(AND($K691&lt;R$1,$L691&gt;S$1),S$1-R$1,""))))))),"")</f>
        <v>0</v>
      </c>
      <c r="S691" s="78" t="b">
        <f t="shared" si="802"/>
        <v>0</v>
      </c>
      <c r="T691" s="78" t="b">
        <f t="shared" si="802"/>
        <v>0</v>
      </c>
      <c r="U691" s="78" t="b">
        <f t="shared" si="802"/>
        <v>0</v>
      </c>
      <c r="V691" s="78" t="b">
        <f t="shared" si="802"/>
        <v>0</v>
      </c>
      <c r="W691" s="78" t="b">
        <f t="shared" si="802"/>
        <v>0</v>
      </c>
      <c r="X691" s="78" t="b">
        <f t="shared" si="802"/>
        <v>0</v>
      </c>
      <c r="Y691" s="78" t="b">
        <f t="shared" si="802"/>
        <v>0</v>
      </c>
      <c r="Z691" s="78" t="b">
        <f t="shared" si="802"/>
        <v>0</v>
      </c>
      <c r="AA691" s="78" t="b">
        <f t="shared" si="802"/>
        <v>0</v>
      </c>
      <c r="AB691" s="78" t="b">
        <f t="shared" si="802"/>
        <v>0</v>
      </c>
      <c r="AC691" s="78" t="b">
        <f t="shared" si="802"/>
        <v>0</v>
      </c>
      <c r="AD691" s="78" t="b">
        <f t="shared" si="802"/>
        <v>0</v>
      </c>
      <c r="AE691" s="78" t="b">
        <f t="shared" si="802"/>
        <v>0</v>
      </c>
      <c r="AF691" s="78" t="b">
        <f t="shared" si="802"/>
        <v>0</v>
      </c>
      <c r="AG691" s="78" t="b">
        <f t="shared" si="802"/>
        <v>0</v>
      </c>
      <c r="AH691" s="78" t="b">
        <f t="shared" si="802"/>
        <v>0</v>
      </c>
      <c r="AI691" s="78" t="b">
        <f t="shared" si="802"/>
        <v>0</v>
      </c>
      <c r="AJ691" s="78" t="b">
        <f t="shared" si="802"/>
        <v>0</v>
      </c>
      <c r="AK691" s="78" t="b">
        <f t="shared" si="802"/>
        <v>0</v>
      </c>
      <c r="AL691" s="78" t="b">
        <f t="shared" si="802"/>
        <v>0</v>
      </c>
      <c r="AM691" s="78" t="b">
        <f t="shared" si="802"/>
        <v>0</v>
      </c>
      <c r="AN691" s="78" t="b">
        <f t="shared" si="802"/>
        <v>0</v>
      </c>
      <c r="AO691" s="78" t="b">
        <f t="shared" si="802"/>
        <v>0</v>
      </c>
      <c r="AP691" s="78"/>
    </row>
    <row r="692" spans="4:42" x14ac:dyDescent="0.35">
      <c r="D692" s="96"/>
      <c r="E692" s="96"/>
      <c r="G692" s="77">
        <f t="shared" si="747"/>
        <v>0</v>
      </c>
      <c r="H692" s="78">
        <f t="shared" si="748"/>
        <v>0</v>
      </c>
      <c r="I692" s="77">
        <f t="shared" si="749"/>
        <v>0</v>
      </c>
      <c r="J692" s="78">
        <f t="shared" si="750"/>
        <v>0</v>
      </c>
      <c r="K692" s="78" t="str">
        <f t="shared" si="751"/>
        <v>1900-01-00 00:0:00</v>
      </c>
      <c r="L692" s="78" t="str">
        <f t="shared" si="752"/>
        <v>1900-01-00 00:0:00</v>
      </c>
      <c r="M692" s="79">
        <f t="shared" si="753"/>
        <v>0</v>
      </c>
      <c r="N692">
        <f t="shared" si="754"/>
        <v>1</v>
      </c>
      <c r="O692" t="str">
        <f>IFERROR(_xlfn.XLOOKUP(A692,HC!A:A,HC!C:C),"")</f>
        <v>Workforce</v>
      </c>
      <c r="R692" s="78" t="b">
        <f t="shared" ref="R692:AO692" si="803">IFERROR(IF($B692=$D$1,IF(AND($K692&lt;R$1,$L692&lt;R$1),"",IF(AND($K692&gt;S$1,$L692&gt;S$1),"",IF(AND($K692&lt;R$1,$L692&lt;=S$1),$L692-R$1,IF(AND($K692&gt;=R$1,$L692&gt;S$1),S$1-$K692,IF(AND($K692&gt;=R$1,$L692&lt;=S$1),$L692-$K692,IF(AND($K692&lt;R$1,$L692&gt;S$1),S$1-R$1,""))))))),"")</f>
        <v>0</v>
      </c>
      <c r="S692" s="78" t="b">
        <f t="shared" si="803"/>
        <v>0</v>
      </c>
      <c r="T692" s="78" t="b">
        <f t="shared" si="803"/>
        <v>0</v>
      </c>
      <c r="U692" s="78" t="b">
        <f t="shared" si="803"/>
        <v>0</v>
      </c>
      <c r="V692" s="78" t="b">
        <f t="shared" si="803"/>
        <v>0</v>
      </c>
      <c r="W692" s="78" t="b">
        <f t="shared" si="803"/>
        <v>0</v>
      </c>
      <c r="X692" s="78" t="b">
        <f t="shared" si="803"/>
        <v>0</v>
      </c>
      <c r="Y692" s="78" t="b">
        <f t="shared" si="803"/>
        <v>0</v>
      </c>
      <c r="Z692" s="78" t="b">
        <f t="shared" si="803"/>
        <v>0</v>
      </c>
      <c r="AA692" s="78" t="b">
        <f t="shared" si="803"/>
        <v>0</v>
      </c>
      <c r="AB692" s="78" t="b">
        <f t="shared" si="803"/>
        <v>0</v>
      </c>
      <c r="AC692" s="78" t="b">
        <f t="shared" si="803"/>
        <v>0</v>
      </c>
      <c r="AD692" s="78" t="b">
        <f t="shared" si="803"/>
        <v>0</v>
      </c>
      <c r="AE692" s="78" t="b">
        <f t="shared" si="803"/>
        <v>0</v>
      </c>
      <c r="AF692" s="78" t="b">
        <f t="shared" si="803"/>
        <v>0</v>
      </c>
      <c r="AG692" s="78" t="b">
        <f t="shared" si="803"/>
        <v>0</v>
      </c>
      <c r="AH692" s="78" t="b">
        <f t="shared" si="803"/>
        <v>0</v>
      </c>
      <c r="AI692" s="78" t="b">
        <f t="shared" si="803"/>
        <v>0</v>
      </c>
      <c r="AJ692" s="78" t="b">
        <f t="shared" si="803"/>
        <v>0</v>
      </c>
      <c r="AK692" s="78" t="b">
        <f t="shared" si="803"/>
        <v>0</v>
      </c>
      <c r="AL692" s="78" t="b">
        <f t="shared" si="803"/>
        <v>0</v>
      </c>
      <c r="AM692" s="78" t="b">
        <f t="shared" si="803"/>
        <v>0</v>
      </c>
      <c r="AN692" s="78" t="b">
        <f t="shared" si="803"/>
        <v>0</v>
      </c>
      <c r="AO692" s="78" t="b">
        <f t="shared" si="803"/>
        <v>0</v>
      </c>
      <c r="AP692" s="78"/>
    </row>
    <row r="693" spans="4:42" x14ac:dyDescent="0.35">
      <c r="D693" s="96"/>
      <c r="E693" s="96"/>
      <c r="G693" s="77">
        <f t="shared" si="747"/>
        <v>0</v>
      </c>
      <c r="H693" s="78">
        <f t="shared" si="748"/>
        <v>0</v>
      </c>
      <c r="I693" s="77">
        <f t="shared" si="749"/>
        <v>0</v>
      </c>
      <c r="J693" s="78">
        <f t="shared" si="750"/>
        <v>0</v>
      </c>
      <c r="K693" s="78" t="str">
        <f t="shared" si="751"/>
        <v>1900-01-00 00:0:00</v>
      </c>
      <c r="L693" s="78" t="str">
        <f t="shared" si="752"/>
        <v>1900-01-00 00:0:00</v>
      </c>
      <c r="M693" s="79">
        <f t="shared" si="753"/>
        <v>0</v>
      </c>
      <c r="N693">
        <f t="shared" si="754"/>
        <v>1</v>
      </c>
      <c r="O693" t="str">
        <f>IFERROR(_xlfn.XLOOKUP(A693,HC!A:A,HC!C:C),"")</f>
        <v>Workforce</v>
      </c>
      <c r="R693" s="78" t="b">
        <f t="shared" ref="R693:AO693" si="804">IFERROR(IF($B693=$D$1,IF(AND($K693&lt;R$1,$L693&lt;R$1),"",IF(AND($K693&gt;S$1,$L693&gt;S$1),"",IF(AND($K693&lt;R$1,$L693&lt;=S$1),$L693-R$1,IF(AND($K693&gt;=R$1,$L693&gt;S$1),S$1-$K693,IF(AND($K693&gt;=R$1,$L693&lt;=S$1),$L693-$K693,IF(AND($K693&lt;R$1,$L693&gt;S$1),S$1-R$1,""))))))),"")</f>
        <v>0</v>
      </c>
      <c r="S693" s="78" t="b">
        <f t="shared" si="804"/>
        <v>0</v>
      </c>
      <c r="T693" s="78" t="b">
        <f t="shared" si="804"/>
        <v>0</v>
      </c>
      <c r="U693" s="78" t="b">
        <f t="shared" si="804"/>
        <v>0</v>
      </c>
      <c r="V693" s="78" t="b">
        <f t="shared" si="804"/>
        <v>0</v>
      </c>
      <c r="W693" s="78" t="b">
        <f t="shared" si="804"/>
        <v>0</v>
      </c>
      <c r="X693" s="78" t="b">
        <f t="shared" si="804"/>
        <v>0</v>
      </c>
      <c r="Y693" s="78" t="b">
        <f t="shared" si="804"/>
        <v>0</v>
      </c>
      <c r="Z693" s="78" t="b">
        <f t="shared" si="804"/>
        <v>0</v>
      </c>
      <c r="AA693" s="78" t="b">
        <f t="shared" si="804"/>
        <v>0</v>
      </c>
      <c r="AB693" s="78" t="b">
        <f t="shared" si="804"/>
        <v>0</v>
      </c>
      <c r="AC693" s="78" t="b">
        <f t="shared" si="804"/>
        <v>0</v>
      </c>
      <c r="AD693" s="78" t="b">
        <f t="shared" si="804"/>
        <v>0</v>
      </c>
      <c r="AE693" s="78" t="b">
        <f t="shared" si="804"/>
        <v>0</v>
      </c>
      <c r="AF693" s="78" t="b">
        <f t="shared" si="804"/>
        <v>0</v>
      </c>
      <c r="AG693" s="78" t="b">
        <f t="shared" si="804"/>
        <v>0</v>
      </c>
      <c r="AH693" s="78" t="b">
        <f t="shared" si="804"/>
        <v>0</v>
      </c>
      <c r="AI693" s="78" t="b">
        <f t="shared" si="804"/>
        <v>0</v>
      </c>
      <c r="AJ693" s="78" t="b">
        <f t="shared" si="804"/>
        <v>0</v>
      </c>
      <c r="AK693" s="78" t="b">
        <f t="shared" si="804"/>
        <v>0</v>
      </c>
      <c r="AL693" s="78" t="b">
        <f t="shared" si="804"/>
        <v>0</v>
      </c>
      <c r="AM693" s="78" t="b">
        <f t="shared" si="804"/>
        <v>0</v>
      </c>
      <c r="AN693" s="78" t="b">
        <f t="shared" si="804"/>
        <v>0</v>
      </c>
      <c r="AO693" s="78" t="b">
        <f t="shared" si="804"/>
        <v>0</v>
      </c>
      <c r="AP693" s="78"/>
    </row>
    <row r="694" spans="4:42" x14ac:dyDescent="0.35">
      <c r="D694" s="96"/>
      <c r="E694" s="96"/>
      <c r="G694" s="77">
        <f t="shared" si="747"/>
        <v>0</v>
      </c>
      <c r="H694" s="78">
        <f t="shared" si="748"/>
        <v>0</v>
      </c>
      <c r="I694" s="77">
        <f t="shared" si="749"/>
        <v>0</v>
      </c>
      <c r="J694" s="78">
        <f t="shared" si="750"/>
        <v>0</v>
      </c>
      <c r="K694" s="78" t="str">
        <f t="shared" si="751"/>
        <v>1900-01-00 00:0:00</v>
      </c>
      <c r="L694" s="78" t="str">
        <f t="shared" si="752"/>
        <v>1900-01-00 00:0:00</v>
      </c>
      <c r="M694" s="79">
        <f t="shared" si="753"/>
        <v>0</v>
      </c>
      <c r="N694">
        <f t="shared" si="754"/>
        <v>1</v>
      </c>
      <c r="O694" t="str">
        <f>IFERROR(_xlfn.XLOOKUP(A694,HC!A:A,HC!C:C),"")</f>
        <v>Workforce</v>
      </c>
      <c r="R694" s="78" t="b">
        <f t="shared" ref="R694:AO694" si="805">IFERROR(IF($B694=$D$1,IF(AND($K694&lt;R$1,$L694&lt;R$1),"",IF(AND($K694&gt;S$1,$L694&gt;S$1),"",IF(AND($K694&lt;R$1,$L694&lt;=S$1),$L694-R$1,IF(AND($K694&gt;=R$1,$L694&gt;S$1),S$1-$K694,IF(AND($K694&gt;=R$1,$L694&lt;=S$1),$L694-$K694,IF(AND($K694&lt;R$1,$L694&gt;S$1),S$1-R$1,""))))))),"")</f>
        <v>0</v>
      </c>
      <c r="S694" s="78" t="b">
        <f t="shared" si="805"/>
        <v>0</v>
      </c>
      <c r="T694" s="78" t="b">
        <f t="shared" si="805"/>
        <v>0</v>
      </c>
      <c r="U694" s="78" t="b">
        <f t="shared" si="805"/>
        <v>0</v>
      </c>
      <c r="V694" s="78" t="b">
        <f t="shared" si="805"/>
        <v>0</v>
      </c>
      <c r="W694" s="78" t="b">
        <f t="shared" si="805"/>
        <v>0</v>
      </c>
      <c r="X694" s="78" t="b">
        <f t="shared" si="805"/>
        <v>0</v>
      </c>
      <c r="Y694" s="78" t="b">
        <f t="shared" si="805"/>
        <v>0</v>
      </c>
      <c r="Z694" s="78" t="b">
        <f t="shared" si="805"/>
        <v>0</v>
      </c>
      <c r="AA694" s="78" t="b">
        <f t="shared" si="805"/>
        <v>0</v>
      </c>
      <c r="AB694" s="78" t="b">
        <f t="shared" si="805"/>
        <v>0</v>
      </c>
      <c r="AC694" s="78" t="b">
        <f t="shared" si="805"/>
        <v>0</v>
      </c>
      <c r="AD694" s="78" t="b">
        <f t="shared" si="805"/>
        <v>0</v>
      </c>
      <c r="AE694" s="78" t="b">
        <f t="shared" si="805"/>
        <v>0</v>
      </c>
      <c r="AF694" s="78" t="b">
        <f t="shared" si="805"/>
        <v>0</v>
      </c>
      <c r="AG694" s="78" t="b">
        <f t="shared" si="805"/>
        <v>0</v>
      </c>
      <c r="AH694" s="78" t="b">
        <f t="shared" si="805"/>
        <v>0</v>
      </c>
      <c r="AI694" s="78" t="b">
        <f t="shared" si="805"/>
        <v>0</v>
      </c>
      <c r="AJ694" s="78" t="b">
        <f t="shared" si="805"/>
        <v>0</v>
      </c>
      <c r="AK694" s="78" t="b">
        <f t="shared" si="805"/>
        <v>0</v>
      </c>
      <c r="AL694" s="78" t="b">
        <f t="shared" si="805"/>
        <v>0</v>
      </c>
      <c r="AM694" s="78" t="b">
        <f t="shared" si="805"/>
        <v>0</v>
      </c>
      <c r="AN694" s="78" t="b">
        <f t="shared" si="805"/>
        <v>0</v>
      </c>
      <c r="AO694" s="78" t="b">
        <f t="shared" si="805"/>
        <v>0</v>
      </c>
      <c r="AP694" s="78"/>
    </row>
    <row r="695" spans="4:42" x14ac:dyDescent="0.35">
      <c r="D695" s="96"/>
      <c r="E695" s="96"/>
      <c r="G695" s="77">
        <f t="shared" si="747"/>
        <v>0</v>
      </c>
      <c r="H695" s="78">
        <f t="shared" si="748"/>
        <v>0</v>
      </c>
      <c r="I695" s="77">
        <f t="shared" si="749"/>
        <v>0</v>
      </c>
      <c r="J695" s="78">
        <f t="shared" si="750"/>
        <v>0</v>
      </c>
      <c r="K695" s="78" t="str">
        <f t="shared" si="751"/>
        <v>1900-01-00 00:0:00</v>
      </c>
      <c r="L695" s="78" t="str">
        <f t="shared" si="752"/>
        <v>1900-01-00 00:0:00</v>
      </c>
      <c r="M695" s="79">
        <f t="shared" si="753"/>
        <v>0</v>
      </c>
      <c r="N695">
        <f t="shared" si="754"/>
        <v>1</v>
      </c>
      <c r="O695" t="str">
        <f>IFERROR(_xlfn.XLOOKUP(A695,HC!A:A,HC!C:C),"")</f>
        <v>Workforce</v>
      </c>
      <c r="R695" s="78" t="b">
        <f t="shared" ref="R695:AO695" si="806">IFERROR(IF($B695=$D$1,IF(AND($K695&lt;R$1,$L695&lt;R$1),"",IF(AND($K695&gt;S$1,$L695&gt;S$1),"",IF(AND($K695&lt;R$1,$L695&lt;=S$1),$L695-R$1,IF(AND($K695&gt;=R$1,$L695&gt;S$1),S$1-$K695,IF(AND($K695&gt;=R$1,$L695&lt;=S$1),$L695-$K695,IF(AND($K695&lt;R$1,$L695&gt;S$1),S$1-R$1,""))))))),"")</f>
        <v>0</v>
      </c>
      <c r="S695" s="78" t="b">
        <f t="shared" si="806"/>
        <v>0</v>
      </c>
      <c r="T695" s="78" t="b">
        <f t="shared" si="806"/>
        <v>0</v>
      </c>
      <c r="U695" s="78" t="b">
        <f t="shared" si="806"/>
        <v>0</v>
      </c>
      <c r="V695" s="78" t="b">
        <f t="shared" si="806"/>
        <v>0</v>
      </c>
      <c r="W695" s="78" t="b">
        <f t="shared" si="806"/>
        <v>0</v>
      </c>
      <c r="X695" s="78" t="b">
        <f t="shared" si="806"/>
        <v>0</v>
      </c>
      <c r="Y695" s="78" t="b">
        <f t="shared" si="806"/>
        <v>0</v>
      </c>
      <c r="Z695" s="78" t="b">
        <f t="shared" si="806"/>
        <v>0</v>
      </c>
      <c r="AA695" s="78" t="b">
        <f t="shared" si="806"/>
        <v>0</v>
      </c>
      <c r="AB695" s="78" t="b">
        <f t="shared" si="806"/>
        <v>0</v>
      </c>
      <c r="AC695" s="78" t="b">
        <f t="shared" si="806"/>
        <v>0</v>
      </c>
      <c r="AD695" s="78" t="b">
        <f t="shared" si="806"/>
        <v>0</v>
      </c>
      <c r="AE695" s="78" t="b">
        <f t="shared" si="806"/>
        <v>0</v>
      </c>
      <c r="AF695" s="78" t="b">
        <f t="shared" si="806"/>
        <v>0</v>
      </c>
      <c r="AG695" s="78" t="b">
        <f t="shared" si="806"/>
        <v>0</v>
      </c>
      <c r="AH695" s="78" t="b">
        <f t="shared" si="806"/>
        <v>0</v>
      </c>
      <c r="AI695" s="78" t="b">
        <f t="shared" si="806"/>
        <v>0</v>
      </c>
      <c r="AJ695" s="78" t="b">
        <f t="shared" si="806"/>
        <v>0</v>
      </c>
      <c r="AK695" s="78" t="b">
        <f t="shared" si="806"/>
        <v>0</v>
      </c>
      <c r="AL695" s="78" t="b">
        <f t="shared" si="806"/>
        <v>0</v>
      </c>
      <c r="AM695" s="78" t="b">
        <f t="shared" si="806"/>
        <v>0</v>
      </c>
      <c r="AN695" s="78" t="b">
        <f t="shared" si="806"/>
        <v>0</v>
      </c>
      <c r="AO695" s="78" t="b">
        <f t="shared" si="806"/>
        <v>0</v>
      </c>
      <c r="AP695" s="78"/>
    </row>
    <row r="696" spans="4:42" x14ac:dyDescent="0.35">
      <c r="D696" s="96"/>
      <c r="E696" s="96"/>
      <c r="G696" s="77">
        <f t="shared" si="747"/>
        <v>0</v>
      </c>
      <c r="H696" s="78">
        <f t="shared" si="748"/>
        <v>0</v>
      </c>
      <c r="I696" s="77">
        <f t="shared" si="749"/>
        <v>0</v>
      </c>
      <c r="J696" s="78">
        <f t="shared" si="750"/>
        <v>0</v>
      </c>
      <c r="K696" s="78" t="str">
        <f t="shared" si="751"/>
        <v>1900-01-00 00:0:00</v>
      </c>
      <c r="L696" s="78" t="str">
        <f t="shared" si="752"/>
        <v>1900-01-00 00:0:00</v>
      </c>
      <c r="M696" s="79">
        <f t="shared" si="753"/>
        <v>0</v>
      </c>
      <c r="N696">
        <f t="shared" si="754"/>
        <v>1</v>
      </c>
      <c r="O696" t="str">
        <f>IFERROR(_xlfn.XLOOKUP(A696,HC!A:A,HC!C:C),"")</f>
        <v>Workforce</v>
      </c>
      <c r="R696" s="78" t="b">
        <f t="shared" ref="R696:AO696" si="807">IFERROR(IF($B696=$D$1,IF(AND($K696&lt;R$1,$L696&lt;R$1),"",IF(AND($K696&gt;S$1,$L696&gt;S$1),"",IF(AND($K696&lt;R$1,$L696&lt;=S$1),$L696-R$1,IF(AND($K696&gt;=R$1,$L696&gt;S$1),S$1-$K696,IF(AND($K696&gt;=R$1,$L696&lt;=S$1),$L696-$K696,IF(AND($K696&lt;R$1,$L696&gt;S$1),S$1-R$1,""))))))),"")</f>
        <v>0</v>
      </c>
      <c r="S696" s="78" t="b">
        <f t="shared" si="807"/>
        <v>0</v>
      </c>
      <c r="T696" s="78" t="b">
        <f t="shared" si="807"/>
        <v>0</v>
      </c>
      <c r="U696" s="78" t="b">
        <f t="shared" si="807"/>
        <v>0</v>
      </c>
      <c r="V696" s="78" t="b">
        <f t="shared" si="807"/>
        <v>0</v>
      </c>
      <c r="W696" s="78" t="b">
        <f t="shared" si="807"/>
        <v>0</v>
      </c>
      <c r="X696" s="78" t="b">
        <f t="shared" si="807"/>
        <v>0</v>
      </c>
      <c r="Y696" s="78" t="b">
        <f t="shared" si="807"/>
        <v>0</v>
      </c>
      <c r="Z696" s="78" t="b">
        <f t="shared" si="807"/>
        <v>0</v>
      </c>
      <c r="AA696" s="78" t="b">
        <f t="shared" si="807"/>
        <v>0</v>
      </c>
      <c r="AB696" s="78" t="b">
        <f t="shared" si="807"/>
        <v>0</v>
      </c>
      <c r="AC696" s="78" t="b">
        <f t="shared" si="807"/>
        <v>0</v>
      </c>
      <c r="AD696" s="78" t="b">
        <f t="shared" si="807"/>
        <v>0</v>
      </c>
      <c r="AE696" s="78" t="b">
        <f t="shared" si="807"/>
        <v>0</v>
      </c>
      <c r="AF696" s="78" t="b">
        <f t="shared" si="807"/>
        <v>0</v>
      </c>
      <c r="AG696" s="78" t="b">
        <f t="shared" si="807"/>
        <v>0</v>
      </c>
      <c r="AH696" s="78" t="b">
        <f t="shared" si="807"/>
        <v>0</v>
      </c>
      <c r="AI696" s="78" t="b">
        <f t="shared" si="807"/>
        <v>0</v>
      </c>
      <c r="AJ696" s="78" t="b">
        <f t="shared" si="807"/>
        <v>0</v>
      </c>
      <c r="AK696" s="78" t="b">
        <f t="shared" si="807"/>
        <v>0</v>
      </c>
      <c r="AL696" s="78" t="b">
        <f t="shared" si="807"/>
        <v>0</v>
      </c>
      <c r="AM696" s="78" t="b">
        <f t="shared" si="807"/>
        <v>0</v>
      </c>
      <c r="AN696" s="78" t="b">
        <f t="shared" si="807"/>
        <v>0</v>
      </c>
      <c r="AO696" s="78" t="b">
        <f t="shared" si="807"/>
        <v>0</v>
      </c>
      <c r="AP696" s="78"/>
    </row>
    <row r="697" spans="4:42" x14ac:dyDescent="0.35">
      <c r="D697" s="96"/>
      <c r="E697" s="96"/>
      <c r="G697" s="77">
        <f t="shared" si="747"/>
        <v>0</v>
      </c>
      <c r="H697" s="78">
        <f t="shared" si="748"/>
        <v>0</v>
      </c>
      <c r="I697" s="77">
        <f t="shared" si="749"/>
        <v>0</v>
      </c>
      <c r="J697" s="78">
        <f t="shared" si="750"/>
        <v>0</v>
      </c>
      <c r="K697" s="78" t="str">
        <f t="shared" si="751"/>
        <v>1900-01-00 00:0:00</v>
      </c>
      <c r="L697" s="78" t="str">
        <f t="shared" si="752"/>
        <v>1900-01-00 00:0:00</v>
      </c>
      <c r="M697" s="79">
        <f t="shared" si="753"/>
        <v>0</v>
      </c>
      <c r="N697">
        <f t="shared" si="754"/>
        <v>1</v>
      </c>
      <c r="O697" t="str">
        <f>IFERROR(_xlfn.XLOOKUP(A697,HC!A:A,HC!C:C),"")</f>
        <v>Workforce</v>
      </c>
      <c r="R697" s="78" t="b">
        <f t="shared" ref="R697:AO697" si="808">IFERROR(IF($B697=$D$1,IF(AND($K697&lt;R$1,$L697&lt;R$1),"",IF(AND($K697&gt;S$1,$L697&gt;S$1),"",IF(AND($K697&lt;R$1,$L697&lt;=S$1),$L697-R$1,IF(AND($K697&gt;=R$1,$L697&gt;S$1),S$1-$K697,IF(AND($K697&gt;=R$1,$L697&lt;=S$1),$L697-$K697,IF(AND($K697&lt;R$1,$L697&gt;S$1),S$1-R$1,""))))))),"")</f>
        <v>0</v>
      </c>
      <c r="S697" s="78" t="b">
        <f t="shared" si="808"/>
        <v>0</v>
      </c>
      <c r="T697" s="78" t="b">
        <f t="shared" si="808"/>
        <v>0</v>
      </c>
      <c r="U697" s="78" t="b">
        <f t="shared" si="808"/>
        <v>0</v>
      </c>
      <c r="V697" s="78" t="b">
        <f t="shared" si="808"/>
        <v>0</v>
      </c>
      <c r="W697" s="78" t="b">
        <f t="shared" si="808"/>
        <v>0</v>
      </c>
      <c r="X697" s="78" t="b">
        <f t="shared" si="808"/>
        <v>0</v>
      </c>
      <c r="Y697" s="78" t="b">
        <f t="shared" si="808"/>
        <v>0</v>
      </c>
      <c r="Z697" s="78" t="b">
        <f t="shared" si="808"/>
        <v>0</v>
      </c>
      <c r="AA697" s="78" t="b">
        <f t="shared" si="808"/>
        <v>0</v>
      </c>
      <c r="AB697" s="78" t="b">
        <f t="shared" si="808"/>
        <v>0</v>
      </c>
      <c r="AC697" s="78" t="b">
        <f t="shared" si="808"/>
        <v>0</v>
      </c>
      <c r="AD697" s="78" t="b">
        <f t="shared" si="808"/>
        <v>0</v>
      </c>
      <c r="AE697" s="78" t="b">
        <f t="shared" si="808"/>
        <v>0</v>
      </c>
      <c r="AF697" s="78" t="b">
        <f t="shared" si="808"/>
        <v>0</v>
      </c>
      <c r="AG697" s="78" t="b">
        <f t="shared" si="808"/>
        <v>0</v>
      </c>
      <c r="AH697" s="78" t="b">
        <f t="shared" si="808"/>
        <v>0</v>
      </c>
      <c r="AI697" s="78" t="b">
        <f t="shared" si="808"/>
        <v>0</v>
      </c>
      <c r="AJ697" s="78" t="b">
        <f t="shared" si="808"/>
        <v>0</v>
      </c>
      <c r="AK697" s="78" t="b">
        <f t="shared" si="808"/>
        <v>0</v>
      </c>
      <c r="AL697" s="78" t="b">
        <f t="shared" si="808"/>
        <v>0</v>
      </c>
      <c r="AM697" s="78" t="b">
        <f t="shared" si="808"/>
        <v>0</v>
      </c>
      <c r="AN697" s="78" t="b">
        <f t="shared" si="808"/>
        <v>0</v>
      </c>
      <c r="AO697" s="78" t="b">
        <f t="shared" si="808"/>
        <v>0</v>
      </c>
      <c r="AP697" s="78"/>
    </row>
    <row r="698" spans="4:42" x14ac:dyDescent="0.35">
      <c r="D698" s="96"/>
      <c r="E698" s="96"/>
      <c r="G698" s="77">
        <f t="shared" si="747"/>
        <v>0</v>
      </c>
      <c r="H698" s="78">
        <f t="shared" si="748"/>
        <v>0</v>
      </c>
      <c r="I698" s="77">
        <f t="shared" si="749"/>
        <v>0</v>
      </c>
      <c r="J698" s="78">
        <f t="shared" si="750"/>
        <v>0</v>
      </c>
      <c r="K698" s="78" t="str">
        <f t="shared" si="751"/>
        <v>1900-01-00 00:0:00</v>
      </c>
      <c r="L698" s="78" t="str">
        <f t="shared" si="752"/>
        <v>1900-01-00 00:0:00</v>
      </c>
      <c r="M698" s="79">
        <f t="shared" si="753"/>
        <v>0</v>
      </c>
      <c r="N698">
        <f t="shared" si="754"/>
        <v>1</v>
      </c>
      <c r="O698" t="str">
        <f>IFERROR(_xlfn.XLOOKUP(A698,HC!A:A,HC!C:C),"")</f>
        <v>Workforce</v>
      </c>
      <c r="R698" s="78" t="b">
        <f t="shared" ref="R698:AO698" si="809">IFERROR(IF($B698=$D$1,IF(AND($K698&lt;R$1,$L698&lt;R$1),"",IF(AND($K698&gt;S$1,$L698&gt;S$1),"",IF(AND($K698&lt;R$1,$L698&lt;=S$1),$L698-R$1,IF(AND($K698&gt;=R$1,$L698&gt;S$1),S$1-$K698,IF(AND($K698&gt;=R$1,$L698&lt;=S$1),$L698-$K698,IF(AND($K698&lt;R$1,$L698&gt;S$1),S$1-R$1,""))))))),"")</f>
        <v>0</v>
      </c>
      <c r="S698" s="78" t="b">
        <f t="shared" si="809"/>
        <v>0</v>
      </c>
      <c r="T698" s="78" t="b">
        <f t="shared" si="809"/>
        <v>0</v>
      </c>
      <c r="U698" s="78" t="b">
        <f t="shared" si="809"/>
        <v>0</v>
      </c>
      <c r="V698" s="78" t="b">
        <f t="shared" si="809"/>
        <v>0</v>
      </c>
      <c r="W698" s="78" t="b">
        <f t="shared" si="809"/>
        <v>0</v>
      </c>
      <c r="X698" s="78" t="b">
        <f t="shared" si="809"/>
        <v>0</v>
      </c>
      <c r="Y698" s="78" t="b">
        <f t="shared" si="809"/>
        <v>0</v>
      </c>
      <c r="Z698" s="78" t="b">
        <f t="shared" si="809"/>
        <v>0</v>
      </c>
      <c r="AA698" s="78" t="b">
        <f t="shared" si="809"/>
        <v>0</v>
      </c>
      <c r="AB698" s="78" t="b">
        <f t="shared" si="809"/>
        <v>0</v>
      </c>
      <c r="AC698" s="78" t="b">
        <f t="shared" si="809"/>
        <v>0</v>
      </c>
      <c r="AD698" s="78" t="b">
        <f t="shared" si="809"/>
        <v>0</v>
      </c>
      <c r="AE698" s="78" t="b">
        <f t="shared" si="809"/>
        <v>0</v>
      </c>
      <c r="AF698" s="78" t="b">
        <f t="shared" si="809"/>
        <v>0</v>
      </c>
      <c r="AG698" s="78" t="b">
        <f t="shared" si="809"/>
        <v>0</v>
      </c>
      <c r="AH698" s="78" t="b">
        <f t="shared" si="809"/>
        <v>0</v>
      </c>
      <c r="AI698" s="78" t="b">
        <f t="shared" si="809"/>
        <v>0</v>
      </c>
      <c r="AJ698" s="78" t="b">
        <f t="shared" si="809"/>
        <v>0</v>
      </c>
      <c r="AK698" s="78" t="b">
        <f t="shared" si="809"/>
        <v>0</v>
      </c>
      <c r="AL698" s="78" t="b">
        <f t="shared" si="809"/>
        <v>0</v>
      </c>
      <c r="AM698" s="78" t="b">
        <f t="shared" si="809"/>
        <v>0</v>
      </c>
      <c r="AN698" s="78" t="b">
        <f t="shared" si="809"/>
        <v>0</v>
      </c>
      <c r="AO698" s="78" t="b">
        <f t="shared" si="809"/>
        <v>0</v>
      </c>
      <c r="AP698" s="78"/>
    </row>
    <row r="699" spans="4:42" x14ac:dyDescent="0.35">
      <c r="D699" s="96"/>
      <c r="E699" s="96"/>
      <c r="G699" s="77">
        <f t="shared" si="747"/>
        <v>0</v>
      </c>
      <c r="H699" s="78">
        <f t="shared" si="748"/>
        <v>0</v>
      </c>
      <c r="I699" s="77">
        <f t="shared" si="749"/>
        <v>0</v>
      </c>
      <c r="J699" s="78">
        <f t="shared" si="750"/>
        <v>0</v>
      </c>
      <c r="K699" s="78" t="str">
        <f t="shared" si="751"/>
        <v>1900-01-00 00:0:00</v>
      </c>
      <c r="L699" s="78" t="str">
        <f t="shared" si="752"/>
        <v>1900-01-00 00:0:00</v>
      </c>
      <c r="M699" s="79">
        <f t="shared" si="753"/>
        <v>0</v>
      </c>
      <c r="N699">
        <f t="shared" si="754"/>
        <v>1</v>
      </c>
      <c r="O699" t="str">
        <f>IFERROR(_xlfn.XLOOKUP(A699,HC!A:A,HC!C:C),"")</f>
        <v>Workforce</v>
      </c>
      <c r="R699" s="78" t="b">
        <f t="shared" ref="R699:AO699" si="810">IFERROR(IF($B699=$D$1,IF(AND($K699&lt;R$1,$L699&lt;R$1),"",IF(AND($K699&gt;S$1,$L699&gt;S$1),"",IF(AND($K699&lt;R$1,$L699&lt;=S$1),$L699-R$1,IF(AND($K699&gt;=R$1,$L699&gt;S$1),S$1-$K699,IF(AND($K699&gt;=R$1,$L699&lt;=S$1),$L699-$K699,IF(AND($K699&lt;R$1,$L699&gt;S$1),S$1-R$1,""))))))),"")</f>
        <v>0</v>
      </c>
      <c r="S699" s="78" t="b">
        <f t="shared" si="810"/>
        <v>0</v>
      </c>
      <c r="T699" s="78" t="b">
        <f t="shared" si="810"/>
        <v>0</v>
      </c>
      <c r="U699" s="78" t="b">
        <f t="shared" si="810"/>
        <v>0</v>
      </c>
      <c r="V699" s="78" t="b">
        <f t="shared" si="810"/>
        <v>0</v>
      </c>
      <c r="W699" s="78" t="b">
        <f t="shared" si="810"/>
        <v>0</v>
      </c>
      <c r="X699" s="78" t="b">
        <f t="shared" si="810"/>
        <v>0</v>
      </c>
      <c r="Y699" s="78" t="b">
        <f t="shared" si="810"/>
        <v>0</v>
      </c>
      <c r="Z699" s="78" t="b">
        <f t="shared" si="810"/>
        <v>0</v>
      </c>
      <c r="AA699" s="78" t="b">
        <f t="shared" si="810"/>
        <v>0</v>
      </c>
      <c r="AB699" s="78" t="b">
        <f t="shared" si="810"/>
        <v>0</v>
      </c>
      <c r="AC699" s="78" t="b">
        <f t="shared" si="810"/>
        <v>0</v>
      </c>
      <c r="AD699" s="78" t="b">
        <f t="shared" si="810"/>
        <v>0</v>
      </c>
      <c r="AE699" s="78" t="b">
        <f t="shared" si="810"/>
        <v>0</v>
      </c>
      <c r="AF699" s="78" t="b">
        <f t="shared" si="810"/>
        <v>0</v>
      </c>
      <c r="AG699" s="78" t="b">
        <f t="shared" si="810"/>
        <v>0</v>
      </c>
      <c r="AH699" s="78" t="b">
        <f t="shared" si="810"/>
        <v>0</v>
      </c>
      <c r="AI699" s="78" t="b">
        <f t="shared" si="810"/>
        <v>0</v>
      </c>
      <c r="AJ699" s="78" t="b">
        <f t="shared" si="810"/>
        <v>0</v>
      </c>
      <c r="AK699" s="78" t="b">
        <f t="shared" si="810"/>
        <v>0</v>
      </c>
      <c r="AL699" s="78" t="b">
        <f t="shared" si="810"/>
        <v>0</v>
      </c>
      <c r="AM699" s="78" t="b">
        <f t="shared" si="810"/>
        <v>0</v>
      </c>
      <c r="AN699" s="78" t="b">
        <f t="shared" si="810"/>
        <v>0</v>
      </c>
      <c r="AO699" s="78" t="b">
        <f t="shared" si="810"/>
        <v>0</v>
      </c>
      <c r="AP699" s="78"/>
    </row>
    <row r="700" spans="4:42" x14ac:dyDescent="0.35">
      <c r="D700" s="96"/>
      <c r="E700" s="96"/>
      <c r="G700" s="77">
        <f t="shared" si="747"/>
        <v>0</v>
      </c>
      <c r="H700" s="78">
        <f t="shared" si="748"/>
        <v>0</v>
      </c>
      <c r="I700" s="77">
        <f t="shared" si="749"/>
        <v>0</v>
      </c>
      <c r="J700" s="78">
        <f t="shared" si="750"/>
        <v>0</v>
      </c>
      <c r="K700" s="78" t="str">
        <f t="shared" si="751"/>
        <v>1900-01-00 00:0:00</v>
      </c>
      <c r="L700" s="78" t="str">
        <f t="shared" si="752"/>
        <v>1900-01-00 00:0:00</v>
      </c>
      <c r="M700" s="79">
        <f t="shared" si="753"/>
        <v>0</v>
      </c>
      <c r="N700">
        <f t="shared" si="754"/>
        <v>1</v>
      </c>
      <c r="O700" t="str">
        <f>IFERROR(_xlfn.XLOOKUP(A700,HC!A:A,HC!C:C),"")</f>
        <v>Workforce</v>
      </c>
      <c r="R700" s="78" t="b">
        <f t="shared" ref="R700:AO700" si="811">IFERROR(IF($B700=$D$1,IF(AND($K700&lt;R$1,$L700&lt;R$1),"",IF(AND($K700&gt;S$1,$L700&gt;S$1),"",IF(AND($K700&lt;R$1,$L700&lt;=S$1),$L700-R$1,IF(AND($K700&gt;=R$1,$L700&gt;S$1),S$1-$K700,IF(AND($K700&gt;=R$1,$L700&lt;=S$1),$L700-$K700,IF(AND($K700&lt;R$1,$L700&gt;S$1),S$1-R$1,""))))))),"")</f>
        <v>0</v>
      </c>
      <c r="S700" s="78" t="b">
        <f t="shared" si="811"/>
        <v>0</v>
      </c>
      <c r="T700" s="78" t="b">
        <f t="shared" si="811"/>
        <v>0</v>
      </c>
      <c r="U700" s="78" t="b">
        <f t="shared" si="811"/>
        <v>0</v>
      </c>
      <c r="V700" s="78" t="b">
        <f t="shared" si="811"/>
        <v>0</v>
      </c>
      <c r="W700" s="78" t="b">
        <f t="shared" si="811"/>
        <v>0</v>
      </c>
      <c r="X700" s="78" t="b">
        <f t="shared" si="811"/>
        <v>0</v>
      </c>
      <c r="Y700" s="78" t="b">
        <f t="shared" si="811"/>
        <v>0</v>
      </c>
      <c r="Z700" s="78" t="b">
        <f t="shared" si="811"/>
        <v>0</v>
      </c>
      <c r="AA700" s="78" t="b">
        <f t="shared" si="811"/>
        <v>0</v>
      </c>
      <c r="AB700" s="78" t="b">
        <f t="shared" si="811"/>
        <v>0</v>
      </c>
      <c r="AC700" s="78" t="b">
        <f t="shared" si="811"/>
        <v>0</v>
      </c>
      <c r="AD700" s="78" t="b">
        <f t="shared" si="811"/>
        <v>0</v>
      </c>
      <c r="AE700" s="78" t="b">
        <f t="shared" si="811"/>
        <v>0</v>
      </c>
      <c r="AF700" s="78" t="b">
        <f t="shared" si="811"/>
        <v>0</v>
      </c>
      <c r="AG700" s="78" t="b">
        <f t="shared" si="811"/>
        <v>0</v>
      </c>
      <c r="AH700" s="78" t="b">
        <f t="shared" si="811"/>
        <v>0</v>
      </c>
      <c r="AI700" s="78" t="b">
        <f t="shared" si="811"/>
        <v>0</v>
      </c>
      <c r="AJ700" s="78" t="b">
        <f t="shared" si="811"/>
        <v>0</v>
      </c>
      <c r="AK700" s="78" t="b">
        <f t="shared" si="811"/>
        <v>0</v>
      </c>
      <c r="AL700" s="78" t="b">
        <f t="shared" si="811"/>
        <v>0</v>
      </c>
      <c r="AM700" s="78" t="b">
        <f t="shared" si="811"/>
        <v>0</v>
      </c>
      <c r="AN700" s="78" t="b">
        <f t="shared" si="811"/>
        <v>0</v>
      </c>
      <c r="AO700" s="78" t="b">
        <f t="shared" si="811"/>
        <v>0</v>
      </c>
      <c r="AP700" s="78"/>
    </row>
    <row r="701" spans="4:42" x14ac:dyDescent="0.35">
      <c r="D701" s="96"/>
      <c r="E701" s="96"/>
      <c r="G701" s="77">
        <f t="shared" si="747"/>
        <v>0</v>
      </c>
      <c r="H701" s="78">
        <f t="shared" si="748"/>
        <v>0</v>
      </c>
      <c r="I701" s="77">
        <f t="shared" si="749"/>
        <v>0</v>
      </c>
      <c r="J701" s="78">
        <f t="shared" si="750"/>
        <v>0</v>
      </c>
      <c r="K701" s="78" t="str">
        <f t="shared" si="751"/>
        <v>1900-01-00 00:0:00</v>
      </c>
      <c r="L701" s="78" t="str">
        <f t="shared" si="752"/>
        <v>1900-01-00 00:0:00</v>
      </c>
      <c r="M701" s="79">
        <f t="shared" si="753"/>
        <v>0</v>
      </c>
      <c r="N701">
        <f t="shared" si="754"/>
        <v>1</v>
      </c>
      <c r="O701" t="str">
        <f>IFERROR(_xlfn.XLOOKUP(A701,HC!A:A,HC!C:C),"")</f>
        <v>Workforce</v>
      </c>
      <c r="R701" s="78" t="b">
        <f t="shared" ref="R701:AO701" si="812">IFERROR(IF($B701=$D$1,IF(AND($K701&lt;R$1,$L701&lt;R$1),"",IF(AND($K701&gt;S$1,$L701&gt;S$1),"",IF(AND($K701&lt;R$1,$L701&lt;=S$1),$L701-R$1,IF(AND($K701&gt;=R$1,$L701&gt;S$1),S$1-$K701,IF(AND($K701&gt;=R$1,$L701&lt;=S$1),$L701-$K701,IF(AND($K701&lt;R$1,$L701&gt;S$1),S$1-R$1,""))))))),"")</f>
        <v>0</v>
      </c>
      <c r="S701" s="78" t="b">
        <f t="shared" si="812"/>
        <v>0</v>
      </c>
      <c r="T701" s="78" t="b">
        <f t="shared" si="812"/>
        <v>0</v>
      </c>
      <c r="U701" s="78" t="b">
        <f t="shared" si="812"/>
        <v>0</v>
      </c>
      <c r="V701" s="78" t="b">
        <f t="shared" si="812"/>
        <v>0</v>
      </c>
      <c r="W701" s="78" t="b">
        <f t="shared" si="812"/>
        <v>0</v>
      </c>
      <c r="X701" s="78" t="b">
        <f t="shared" si="812"/>
        <v>0</v>
      </c>
      <c r="Y701" s="78" t="b">
        <f t="shared" si="812"/>
        <v>0</v>
      </c>
      <c r="Z701" s="78" t="b">
        <f t="shared" si="812"/>
        <v>0</v>
      </c>
      <c r="AA701" s="78" t="b">
        <f t="shared" si="812"/>
        <v>0</v>
      </c>
      <c r="AB701" s="78" t="b">
        <f t="shared" si="812"/>
        <v>0</v>
      </c>
      <c r="AC701" s="78" t="b">
        <f t="shared" si="812"/>
        <v>0</v>
      </c>
      <c r="AD701" s="78" t="b">
        <f t="shared" si="812"/>
        <v>0</v>
      </c>
      <c r="AE701" s="78" t="b">
        <f t="shared" si="812"/>
        <v>0</v>
      </c>
      <c r="AF701" s="78" t="b">
        <f t="shared" si="812"/>
        <v>0</v>
      </c>
      <c r="AG701" s="78" t="b">
        <f t="shared" si="812"/>
        <v>0</v>
      </c>
      <c r="AH701" s="78" t="b">
        <f t="shared" si="812"/>
        <v>0</v>
      </c>
      <c r="AI701" s="78" t="b">
        <f t="shared" si="812"/>
        <v>0</v>
      </c>
      <c r="AJ701" s="78" t="b">
        <f t="shared" si="812"/>
        <v>0</v>
      </c>
      <c r="AK701" s="78" t="b">
        <f t="shared" si="812"/>
        <v>0</v>
      </c>
      <c r="AL701" s="78" t="b">
        <f t="shared" si="812"/>
        <v>0</v>
      </c>
      <c r="AM701" s="78" t="b">
        <f t="shared" si="812"/>
        <v>0</v>
      </c>
      <c r="AN701" s="78" t="b">
        <f t="shared" si="812"/>
        <v>0</v>
      </c>
      <c r="AO701" s="78" t="b">
        <f t="shared" si="812"/>
        <v>0</v>
      </c>
      <c r="AP701" s="78"/>
    </row>
    <row r="702" spans="4:42" x14ac:dyDescent="0.35">
      <c r="D702" s="96"/>
      <c r="E702" s="96"/>
      <c r="G702" s="77">
        <f t="shared" si="747"/>
        <v>0</v>
      </c>
      <c r="H702" s="78">
        <f t="shared" si="748"/>
        <v>0</v>
      </c>
      <c r="I702" s="77">
        <f t="shared" si="749"/>
        <v>0</v>
      </c>
      <c r="J702" s="78">
        <f t="shared" si="750"/>
        <v>0</v>
      </c>
      <c r="K702" s="78" t="str">
        <f t="shared" si="751"/>
        <v>1900-01-00 00:0:00</v>
      </c>
      <c r="L702" s="78" t="str">
        <f t="shared" si="752"/>
        <v>1900-01-00 00:0:00</v>
      </c>
      <c r="M702" s="79">
        <f t="shared" si="753"/>
        <v>0</v>
      </c>
      <c r="N702">
        <f t="shared" si="754"/>
        <v>1</v>
      </c>
      <c r="O702" t="str">
        <f>IFERROR(_xlfn.XLOOKUP(A702,HC!A:A,HC!C:C),"")</f>
        <v>Workforce</v>
      </c>
      <c r="R702" s="78" t="b">
        <f t="shared" ref="R702:AO702" si="813">IFERROR(IF($B702=$D$1,IF(AND($K702&lt;R$1,$L702&lt;R$1),"",IF(AND($K702&gt;S$1,$L702&gt;S$1),"",IF(AND($K702&lt;R$1,$L702&lt;=S$1),$L702-R$1,IF(AND($K702&gt;=R$1,$L702&gt;S$1),S$1-$K702,IF(AND($K702&gt;=R$1,$L702&lt;=S$1),$L702-$K702,IF(AND($K702&lt;R$1,$L702&gt;S$1),S$1-R$1,""))))))),"")</f>
        <v>0</v>
      </c>
      <c r="S702" s="78" t="b">
        <f t="shared" si="813"/>
        <v>0</v>
      </c>
      <c r="T702" s="78" t="b">
        <f t="shared" si="813"/>
        <v>0</v>
      </c>
      <c r="U702" s="78" t="b">
        <f t="shared" si="813"/>
        <v>0</v>
      </c>
      <c r="V702" s="78" t="b">
        <f t="shared" si="813"/>
        <v>0</v>
      </c>
      <c r="W702" s="78" t="b">
        <f t="shared" si="813"/>
        <v>0</v>
      </c>
      <c r="X702" s="78" t="b">
        <f t="shared" si="813"/>
        <v>0</v>
      </c>
      <c r="Y702" s="78" t="b">
        <f t="shared" si="813"/>
        <v>0</v>
      </c>
      <c r="Z702" s="78" t="b">
        <f t="shared" si="813"/>
        <v>0</v>
      </c>
      <c r="AA702" s="78" t="b">
        <f t="shared" si="813"/>
        <v>0</v>
      </c>
      <c r="AB702" s="78" t="b">
        <f t="shared" si="813"/>
        <v>0</v>
      </c>
      <c r="AC702" s="78" t="b">
        <f t="shared" si="813"/>
        <v>0</v>
      </c>
      <c r="AD702" s="78" t="b">
        <f t="shared" si="813"/>
        <v>0</v>
      </c>
      <c r="AE702" s="78" t="b">
        <f t="shared" si="813"/>
        <v>0</v>
      </c>
      <c r="AF702" s="78" t="b">
        <f t="shared" si="813"/>
        <v>0</v>
      </c>
      <c r="AG702" s="78" t="b">
        <f t="shared" si="813"/>
        <v>0</v>
      </c>
      <c r="AH702" s="78" t="b">
        <f t="shared" si="813"/>
        <v>0</v>
      </c>
      <c r="AI702" s="78" t="b">
        <f t="shared" si="813"/>
        <v>0</v>
      </c>
      <c r="AJ702" s="78" t="b">
        <f t="shared" si="813"/>
        <v>0</v>
      </c>
      <c r="AK702" s="78" t="b">
        <f t="shared" si="813"/>
        <v>0</v>
      </c>
      <c r="AL702" s="78" t="b">
        <f t="shared" si="813"/>
        <v>0</v>
      </c>
      <c r="AM702" s="78" t="b">
        <f t="shared" si="813"/>
        <v>0</v>
      </c>
      <c r="AN702" s="78" t="b">
        <f t="shared" si="813"/>
        <v>0</v>
      </c>
      <c r="AO702" s="78" t="b">
        <f t="shared" si="813"/>
        <v>0</v>
      </c>
      <c r="AP702" s="78"/>
    </row>
    <row r="703" spans="4:42" x14ac:dyDescent="0.35">
      <c r="D703" s="96"/>
      <c r="E703" s="96"/>
      <c r="G703" s="77">
        <f t="shared" si="747"/>
        <v>0</v>
      </c>
      <c r="H703" s="78">
        <f t="shared" si="748"/>
        <v>0</v>
      </c>
      <c r="I703" s="77">
        <f t="shared" si="749"/>
        <v>0</v>
      </c>
      <c r="J703" s="78">
        <f t="shared" si="750"/>
        <v>0</v>
      </c>
      <c r="K703" s="78" t="str">
        <f t="shared" si="751"/>
        <v>1900-01-00 00:0:00</v>
      </c>
      <c r="L703" s="78" t="str">
        <f t="shared" si="752"/>
        <v>1900-01-00 00:0:00</v>
      </c>
      <c r="M703" s="79">
        <f t="shared" si="753"/>
        <v>0</v>
      </c>
      <c r="N703">
        <f t="shared" si="754"/>
        <v>1</v>
      </c>
      <c r="O703" t="str">
        <f>IFERROR(_xlfn.XLOOKUP(A703,HC!A:A,HC!C:C),"")</f>
        <v>Workforce</v>
      </c>
      <c r="R703" s="78" t="b">
        <f t="shared" ref="R703:AO703" si="814">IFERROR(IF($B703=$D$1,IF(AND($K703&lt;R$1,$L703&lt;R$1),"",IF(AND($K703&gt;S$1,$L703&gt;S$1),"",IF(AND($K703&lt;R$1,$L703&lt;=S$1),$L703-R$1,IF(AND($K703&gt;=R$1,$L703&gt;S$1),S$1-$K703,IF(AND($K703&gt;=R$1,$L703&lt;=S$1),$L703-$K703,IF(AND($K703&lt;R$1,$L703&gt;S$1),S$1-R$1,""))))))),"")</f>
        <v>0</v>
      </c>
      <c r="S703" s="78" t="b">
        <f t="shared" si="814"/>
        <v>0</v>
      </c>
      <c r="T703" s="78" t="b">
        <f t="shared" si="814"/>
        <v>0</v>
      </c>
      <c r="U703" s="78" t="b">
        <f t="shared" si="814"/>
        <v>0</v>
      </c>
      <c r="V703" s="78" t="b">
        <f t="shared" si="814"/>
        <v>0</v>
      </c>
      <c r="W703" s="78" t="b">
        <f t="shared" si="814"/>
        <v>0</v>
      </c>
      <c r="X703" s="78" t="b">
        <f t="shared" si="814"/>
        <v>0</v>
      </c>
      <c r="Y703" s="78" t="b">
        <f t="shared" si="814"/>
        <v>0</v>
      </c>
      <c r="Z703" s="78" t="b">
        <f t="shared" si="814"/>
        <v>0</v>
      </c>
      <c r="AA703" s="78" t="b">
        <f t="shared" si="814"/>
        <v>0</v>
      </c>
      <c r="AB703" s="78" t="b">
        <f t="shared" si="814"/>
        <v>0</v>
      </c>
      <c r="AC703" s="78" t="b">
        <f t="shared" si="814"/>
        <v>0</v>
      </c>
      <c r="AD703" s="78" t="b">
        <f t="shared" si="814"/>
        <v>0</v>
      </c>
      <c r="AE703" s="78" t="b">
        <f t="shared" si="814"/>
        <v>0</v>
      </c>
      <c r="AF703" s="78" t="b">
        <f t="shared" si="814"/>
        <v>0</v>
      </c>
      <c r="AG703" s="78" t="b">
        <f t="shared" si="814"/>
        <v>0</v>
      </c>
      <c r="AH703" s="78" t="b">
        <f t="shared" si="814"/>
        <v>0</v>
      </c>
      <c r="AI703" s="78" t="b">
        <f t="shared" si="814"/>
        <v>0</v>
      </c>
      <c r="AJ703" s="78" t="b">
        <f t="shared" si="814"/>
        <v>0</v>
      </c>
      <c r="AK703" s="78" t="b">
        <f t="shared" si="814"/>
        <v>0</v>
      </c>
      <c r="AL703" s="78" t="b">
        <f t="shared" si="814"/>
        <v>0</v>
      </c>
      <c r="AM703" s="78" t="b">
        <f t="shared" si="814"/>
        <v>0</v>
      </c>
      <c r="AN703" s="78" t="b">
        <f t="shared" si="814"/>
        <v>0</v>
      </c>
      <c r="AO703" s="78" t="b">
        <f t="shared" si="814"/>
        <v>0</v>
      </c>
      <c r="AP703" s="78"/>
    </row>
    <row r="704" spans="4:42" x14ac:dyDescent="0.35">
      <c r="D704" s="96"/>
      <c r="E704" s="96"/>
      <c r="G704" s="77">
        <f t="shared" si="747"/>
        <v>0</v>
      </c>
      <c r="H704" s="78">
        <f t="shared" si="748"/>
        <v>0</v>
      </c>
      <c r="I704" s="77">
        <f t="shared" si="749"/>
        <v>0</v>
      </c>
      <c r="J704" s="78">
        <f t="shared" si="750"/>
        <v>0</v>
      </c>
      <c r="K704" s="78" t="str">
        <f t="shared" si="751"/>
        <v>1900-01-00 00:0:00</v>
      </c>
      <c r="L704" s="78" t="str">
        <f t="shared" si="752"/>
        <v>1900-01-00 00:0:00</v>
      </c>
      <c r="M704" s="79">
        <f t="shared" si="753"/>
        <v>0</v>
      </c>
      <c r="N704">
        <f t="shared" si="754"/>
        <v>1</v>
      </c>
      <c r="O704" t="str">
        <f>IFERROR(_xlfn.XLOOKUP(A704,HC!A:A,HC!C:C),"")</f>
        <v>Workforce</v>
      </c>
      <c r="R704" s="78" t="b">
        <f t="shared" ref="R704:AO704" si="815">IFERROR(IF($B704=$D$1,IF(AND($K704&lt;R$1,$L704&lt;R$1),"",IF(AND($K704&gt;S$1,$L704&gt;S$1),"",IF(AND($K704&lt;R$1,$L704&lt;=S$1),$L704-R$1,IF(AND($K704&gt;=R$1,$L704&gt;S$1),S$1-$K704,IF(AND($K704&gt;=R$1,$L704&lt;=S$1),$L704-$K704,IF(AND($K704&lt;R$1,$L704&gt;S$1),S$1-R$1,""))))))),"")</f>
        <v>0</v>
      </c>
      <c r="S704" s="78" t="b">
        <f t="shared" si="815"/>
        <v>0</v>
      </c>
      <c r="T704" s="78" t="b">
        <f t="shared" si="815"/>
        <v>0</v>
      </c>
      <c r="U704" s="78" t="b">
        <f t="shared" si="815"/>
        <v>0</v>
      </c>
      <c r="V704" s="78" t="b">
        <f t="shared" si="815"/>
        <v>0</v>
      </c>
      <c r="W704" s="78" t="b">
        <f t="shared" si="815"/>
        <v>0</v>
      </c>
      <c r="X704" s="78" t="b">
        <f t="shared" si="815"/>
        <v>0</v>
      </c>
      <c r="Y704" s="78" t="b">
        <f t="shared" si="815"/>
        <v>0</v>
      </c>
      <c r="Z704" s="78" t="b">
        <f t="shared" si="815"/>
        <v>0</v>
      </c>
      <c r="AA704" s="78" t="b">
        <f t="shared" si="815"/>
        <v>0</v>
      </c>
      <c r="AB704" s="78" t="b">
        <f t="shared" si="815"/>
        <v>0</v>
      </c>
      <c r="AC704" s="78" t="b">
        <f t="shared" si="815"/>
        <v>0</v>
      </c>
      <c r="AD704" s="78" t="b">
        <f t="shared" si="815"/>
        <v>0</v>
      </c>
      <c r="AE704" s="78" t="b">
        <f t="shared" si="815"/>
        <v>0</v>
      </c>
      <c r="AF704" s="78" t="b">
        <f t="shared" si="815"/>
        <v>0</v>
      </c>
      <c r="AG704" s="78" t="b">
        <f t="shared" si="815"/>
        <v>0</v>
      </c>
      <c r="AH704" s="78" t="b">
        <f t="shared" si="815"/>
        <v>0</v>
      </c>
      <c r="AI704" s="78" t="b">
        <f t="shared" si="815"/>
        <v>0</v>
      </c>
      <c r="AJ704" s="78" t="b">
        <f t="shared" si="815"/>
        <v>0</v>
      </c>
      <c r="AK704" s="78" t="b">
        <f t="shared" si="815"/>
        <v>0</v>
      </c>
      <c r="AL704" s="78" t="b">
        <f t="shared" si="815"/>
        <v>0</v>
      </c>
      <c r="AM704" s="78" t="b">
        <f t="shared" si="815"/>
        <v>0</v>
      </c>
      <c r="AN704" s="78" t="b">
        <f t="shared" si="815"/>
        <v>0</v>
      </c>
      <c r="AO704" s="78" t="b">
        <f t="shared" si="815"/>
        <v>0</v>
      </c>
      <c r="AP704" s="78"/>
    </row>
    <row r="705" spans="4:42" x14ac:dyDescent="0.35">
      <c r="D705" s="96"/>
      <c r="E705" s="96"/>
      <c r="G705" s="77">
        <f t="shared" si="747"/>
        <v>0</v>
      </c>
      <c r="H705" s="78">
        <f t="shared" si="748"/>
        <v>0</v>
      </c>
      <c r="I705" s="77">
        <f t="shared" si="749"/>
        <v>0</v>
      </c>
      <c r="J705" s="78">
        <f t="shared" si="750"/>
        <v>0</v>
      </c>
      <c r="K705" s="78" t="str">
        <f t="shared" si="751"/>
        <v>1900-01-00 00:0:00</v>
      </c>
      <c r="L705" s="78" t="str">
        <f t="shared" si="752"/>
        <v>1900-01-00 00:0:00</v>
      </c>
      <c r="M705" s="79">
        <f t="shared" si="753"/>
        <v>0</v>
      </c>
      <c r="N705">
        <f t="shared" si="754"/>
        <v>1</v>
      </c>
      <c r="O705" t="str">
        <f>IFERROR(_xlfn.XLOOKUP(A705,HC!A:A,HC!C:C),"")</f>
        <v>Workforce</v>
      </c>
      <c r="R705" s="78" t="b">
        <f t="shared" ref="R705:AO705" si="816">IFERROR(IF($B705=$D$1,IF(AND($K705&lt;R$1,$L705&lt;R$1),"",IF(AND($K705&gt;S$1,$L705&gt;S$1),"",IF(AND($K705&lt;R$1,$L705&lt;=S$1),$L705-R$1,IF(AND($K705&gt;=R$1,$L705&gt;S$1),S$1-$K705,IF(AND($K705&gt;=R$1,$L705&lt;=S$1),$L705-$K705,IF(AND($K705&lt;R$1,$L705&gt;S$1),S$1-R$1,""))))))),"")</f>
        <v>0</v>
      </c>
      <c r="S705" s="78" t="b">
        <f t="shared" si="816"/>
        <v>0</v>
      </c>
      <c r="T705" s="78" t="b">
        <f t="shared" si="816"/>
        <v>0</v>
      </c>
      <c r="U705" s="78" t="b">
        <f t="shared" si="816"/>
        <v>0</v>
      </c>
      <c r="V705" s="78" t="b">
        <f t="shared" si="816"/>
        <v>0</v>
      </c>
      <c r="W705" s="78" t="b">
        <f t="shared" si="816"/>
        <v>0</v>
      </c>
      <c r="X705" s="78" t="b">
        <f t="shared" si="816"/>
        <v>0</v>
      </c>
      <c r="Y705" s="78" t="b">
        <f t="shared" si="816"/>
        <v>0</v>
      </c>
      <c r="Z705" s="78" t="b">
        <f t="shared" si="816"/>
        <v>0</v>
      </c>
      <c r="AA705" s="78" t="b">
        <f t="shared" si="816"/>
        <v>0</v>
      </c>
      <c r="AB705" s="78" t="b">
        <f t="shared" si="816"/>
        <v>0</v>
      </c>
      <c r="AC705" s="78" t="b">
        <f t="shared" si="816"/>
        <v>0</v>
      </c>
      <c r="AD705" s="78" t="b">
        <f t="shared" si="816"/>
        <v>0</v>
      </c>
      <c r="AE705" s="78" t="b">
        <f t="shared" si="816"/>
        <v>0</v>
      </c>
      <c r="AF705" s="78" t="b">
        <f t="shared" si="816"/>
        <v>0</v>
      </c>
      <c r="AG705" s="78" t="b">
        <f t="shared" si="816"/>
        <v>0</v>
      </c>
      <c r="AH705" s="78" t="b">
        <f t="shared" si="816"/>
        <v>0</v>
      </c>
      <c r="AI705" s="78" t="b">
        <f t="shared" si="816"/>
        <v>0</v>
      </c>
      <c r="AJ705" s="78" t="b">
        <f t="shared" si="816"/>
        <v>0</v>
      </c>
      <c r="AK705" s="78" t="b">
        <f t="shared" si="816"/>
        <v>0</v>
      </c>
      <c r="AL705" s="78" t="b">
        <f t="shared" si="816"/>
        <v>0</v>
      </c>
      <c r="AM705" s="78" t="b">
        <f t="shared" si="816"/>
        <v>0</v>
      </c>
      <c r="AN705" s="78" t="b">
        <f t="shared" si="816"/>
        <v>0</v>
      </c>
      <c r="AO705" s="78" t="b">
        <f t="shared" si="816"/>
        <v>0</v>
      </c>
      <c r="AP705" s="78"/>
    </row>
    <row r="706" spans="4:42" x14ac:dyDescent="0.35">
      <c r="D706" s="96"/>
      <c r="E706" s="96"/>
      <c r="G706" s="77">
        <f t="shared" si="747"/>
        <v>0</v>
      </c>
      <c r="H706" s="78">
        <f t="shared" si="748"/>
        <v>0</v>
      </c>
      <c r="I706" s="77">
        <f t="shared" si="749"/>
        <v>0</v>
      </c>
      <c r="J706" s="78">
        <f t="shared" si="750"/>
        <v>0</v>
      </c>
      <c r="K706" s="78" t="str">
        <f t="shared" si="751"/>
        <v>1900-01-00 00:0:00</v>
      </c>
      <c r="L706" s="78" t="str">
        <f t="shared" si="752"/>
        <v>1900-01-00 00:0:00</v>
      </c>
      <c r="M706" s="79">
        <f t="shared" si="753"/>
        <v>0</v>
      </c>
      <c r="N706">
        <f t="shared" si="754"/>
        <v>1</v>
      </c>
      <c r="O706" t="str">
        <f>IFERROR(_xlfn.XLOOKUP(A706,HC!A:A,HC!C:C),"")</f>
        <v>Workforce</v>
      </c>
      <c r="R706" s="78" t="b">
        <f t="shared" ref="R706:AO706" si="817">IFERROR(IF($B706=$D$1,IF(AND($K706&lt;R$1,$L706&lt;R$1),"",IF(AND($K706&gt;S$1,$L706&gt;S$1),"",IF(AND($K706&lt;R$1,$L706&lt;=S$1),$L706-R$1,IF(AND($K706&gt;=R$1,$L706&gt;S$1),S$1-$K706,IF(AND($K706&gt;=R$1,$L706&lt;=S$1),$L706-$K706,IF(AND($K706&lt;R$1,$L706&gt;S$1),S$1-R$1,""))))))),"")</f>
        <v>0</v>
      </c>
      <c r="S706" s="78" t="b">
        <f t="shared" si="817"/>
        <v>0</v>
      </c>
      <c r="T706" s="78" t="b">
        <f t="shared" si="817"/>
        <v>0</v>
      </c>
      <c r="U706" s="78" t="b">
        <f t="shared" si="817"/>
        <v>0</v>
      </c>
      <c r="V706" s="78" t="b">
        <f t="shared" si="817"/>
        <v>0</v>
      </c>
      <c r="W706" s="78" t="b">
        <f t="shared" si="817"/>
        <v>0</v>
      </c>
      <c r="X706" s="78" t="b">
        <f t="shared" si="817"/>
        <v>0</v>
      </c>
      <c r="Y706" s="78" t="b">
        <f t="shared" si="817"/>
        <v>0</v>
      </c>
      <c r="Z706" s="78" t="b">
        <f t="shared" si="817"/>
        <v>0</v>
      </c>
      <c r="AA706" s="78" t="b">
        <f t="shared" si="817"/>
        <v>0</v>
      </c>
      <c r="AB706" s="78" t="b">
        <f t="shared" si="817"/>
        <v>0</v>
      </c>
      <c r="AC706" s="78" t="b">
        <f t="shared" si="817"/>
        <v>0</v>
      </c>
      <c r="AD706" s="78" t="b">
        <f t="shared" si="817"/>
        <v>0</v>
      </c>
      <c r="AE706" s="78" t="b">
        <f t="shared" si="817"/>
        <v>0</v>
      </c>
      <c r="AF706" s="78" t="b">
        <f t="shared" si="817"/>
        <v>0</v>
      </c>
      <c r="AG706" s="78" t="b">
        <f t="shared" si="817"/>
        <v>0</v>
      </c>
      <c r="AH706" s="78" t="b">
        <f t="shared" si="817"/>
        <v>0</v>
      </c>
      <c r="AI706" s="78" t="b">
        <f t="shared" si="817"/>
        <v>0</v>
      </c>
      <c r="AJ706" s="78" t="b">
        <f t="shared" si="817"/>
        <v>0</v>
      </c>
      <c r="AK706" s="78" t="b">
        <f t="shared" si="817"/>
        <v>0</v>
      </c>
      <c r="AL706" s="78" t="b">
        <f t="shared" si="817"/>
        <v>0</v>
      </c>
      <c r="AM706" s="78" t="b">
        <f t="shared" si="817"/>
        <v>0</v>
      </c>
      <c r="AN706" s="78" t="b">
        <f t="shared" si="817"/>
        <v>0</v>
      </c>
      <c r="AO706" s="78" t="b">
        <f t="shared" si="817"/>
        <v>0</v>
      </c>
      <c r="AP706" s="78"/>
    </row>
    <row r="707" spans="4:42" x14ac:dyDescent="0.35">
      <c r="D707" s="96"/>
      <c r="E707" s="96"/>
      <c r="G707" s="77">
        <f t="shared" si="747"/>
        <v>0</v>
      </c>
      <c r="H707" s="78">
        <f t="shared" si="748"/>
        <v>0</v>
      </c>
      <c r="I707" s="77">
        <f t="shared" si="749"/>
        <v>0</v>
      </c>
      <c r="J707" s="78">
        <f t="shared" si="750"/>
        <v>0</v>
      </c>
      <c r="K707" s="78" t="str">
        <f t="shared" si="751"/>
        <v>1900-01-00 00:0:00</v>
      </c>
      <c r="L707" s="78" t="str">
        <f t="shared" si="752"/>
        <v>1900-01-00 00:0:00</v>
      </c>
      <c r="M707" s="79">
        <f t="shared" si="753"/>
        <v>0</v>
      </c>
      <c r="N707">
        <f t="shared" si="754"/>
        <v>1</v>
      </c>
      <c r="O707" t="str">
        <f>IFERROR(_xlfn.XLOOKUP(A707,HC!A:A,HC!C:C),"")</f>
        <v>Workforce</v>
      </c>
      <c r="R707" s="78" t="b">
        <f t="shared" ref="R707:AO707" si="818">IFERROR(IF($B707=$D$1,IF(AND($K707&lt;R$1,$L707&lt;R$1),"",IF(AND($K707&gt;S$1,$L707&gt;S$1),"",IF(AND($K707&lt;R$1,$L707&lt;=S$1),$L707-R$1,IF(AND($K707&gt;=R$1,$L707&gt;S$1),S$1-$K707,IF(AND($K707&gt;=R$1,$L707&lt;=S$1),$L707-$K707,IF(AND($K707&lt;R$1,$L707&gt;S$1),S$1-R$1,""))))))),"")</f>
        <v>0</v>
      </c>
      <c r="S707" s="78" t="b">
        <f t="shared" si="818"/>
        <v>0</v>
      </c>
      <c r="T707" s="78" t="b">
        <f t="shared" si="818"/>
        <v>0</v>
      </c>
      <c r="U707" s="78" t="b">
        <f t="shared" si="818"/>
        <v>0</v>
      </c>
      <c r="V707" s="78" t="b">
        <f t="shared" si="818"/>
        <v>0</v>
      </c>
      <c r="W707" s="78" t="b">
        <f t="shared" si="818"/>
        <v>0</v>
      </c>
      <c r="X707" s="78" t="b">
        <f t="shared" si="818"/>
        <v>0</v>
      </c>
      <c r="Y707" s="78" t="b">
        <f t="shared" si="818"/>
        <v>0</v>
      </c>
      <c r="Z707" s="78" t="b">
        <f t="shared" si="818"/>
        <v>0</v>
      </c>
      <c r="AA707" s="78" t="b">
        <f t="shared" si="818"/>
        <v>0</v>
      </c>
      <c r="AB707" s="78" t="b">
        <f t="shared" si="818"/>
        <v>0</v>
      </c>
      <c r="AC707" s="78" t="b">
        <f t="shared" si="818"/>
        <v>0</v>
      </c>
      <c r="AD707" s="78" t="b">
        <f t="shared" si="818"/>
        <v>0</v>
      </c>
      <c r="AE707" s="78" t="b">
        <f t="shared" si="818"/>
        <v>0</v>
      </c>
      <c r="AF707" s="78" t="b">
        <f t="shared" si="818"/>
        <v>0</v>
      </c>
      <c r="AG707" s="78" t="b">
        <f t="shared" si="818"/>
        <v>0</v>
      </c>
      <c r="AH707" s="78" t="b">
        <f t="shared" si="818"/>
        <v>0</v>
      </c>
      <c r="AI707" s="78" t="b">
        <f t="shared" si="818"/>
        <v>0</v>
      </c>
      <c r="AJ707" s="78" t="b">
        <f t="shared" si="818"/>
        <v>0</v>
      </c>
      <c r="AK707" s="78" t="b">
        <f t="shared" si="818"/>
        <v>0</v>
      </c>
      <c r="AL707" s="78" t="b">
        <f t="shared" si="818"/>
        <v>0</v>
      </c>
      <c r="AM707" s="78" t="b">
        <f t="shared" si="818"/>
        <v>0</v>
      </c>
      <c r="AN707" s="78" t="b">
        <f t="shared" si="818"/>
        <v>0</v>
      </c>
      <c r="AO707" s="78" t="b">
        <f t="shared" si="818"/>
        <v>0</v>
      </c>
      <c r="AP707" s="78"/>
    </row>
    <row r="708" spans="4:42" x14ac:dyDescent="0.35">
      <c r="D708" s="96"/>
      <c r="E708" s="96"/>
      <c r="G708" s="77">
        <f t="shared" ref="G708:G761" si="819">INT(D708)</f>
        <v>0</v>
      </c>
      <c r="H708" s="78">
        <f t="shared" ref="H708:H761" si="820">D708-G708</f>
        <v>0</v>
      </c>
      <c r="I708" s="77">
        <f t="shared" ref="I708:I761" si="821">INT(E708)</f>
        <v>0</v>
      </c>
      <c r="J708" s="78">
        <f t="shared" ref="J708:J761" si="822">E708-I708</f>
        <v>0</v>
      </c>
      <c r="K708" s="78" t="str">
        <f t="shared" ref="K708:K761" si="823">TEXT(G708+H708,"yyyy-mm-dd hh:m:ss")</f>
        <v>1900-01-00 00:0:00</v>
      </c>
      <c r="L708" s="78" t="str">
        <f t="shared" ref="L708:L761" si="824">TEXT(I708+J708,"yyyy-mm-dd hh:m:ss")</f>
        <v>1900-01-00 00:0:00</v>
      </c>
      <c r="M708" s="79">
        <f t="shared" ref="M708:M761" si="825">E708-D708</f>
        <v>0</v>
      </c>
      <c r="N708">
        <f t="shared" ref="N708:N771" si="826">IF(M708&lt;$BA$1,1,0)</f>
        <v>1</v>
      </c>
      <c r="O708" t="str">
        <f>IFERROR(_xlfn.XLOOKUP(A708,HC!A:A,HC!C:C),"")</f>
        <v>Workforce</v>
      </c>
      <c r="R708" s="78" t="b">
        <f t="shared" ref="R708:AO708" si="827">IFERROR(IF($B708=$D$1,IF(AND($K708&lt;R$1,$L708&lt;R$1),"",IF(AND($K708&gt;S$1,$L708&gt;S$1),"",IF(AND($K708&lt;R$1,$L708&lt;=S$1),$L708-R$1,IF(AND($K708&gt;=R$1,$L708&gt;S$1),S$1-$K708,IF(AND($K708&gt;=R$1,$L708&lt;=S$1),$L708-$K708,IF(AND($K708&lt;R$1,$L708&gt;S$1),S$1-R$1,""))))))),"")</f>
        <v>0</v>
      </c>
      <c r="S708" s="78" t="b">
        <f t="shared" si="827"/>
        <v>0</v>
      </c>
      <c r="T708" s="78" t="b">
        <f t="shared" si="827"/>
        <v>0</v>
      </c>
      <c r="U708" s="78" t="b">
        <f t="shared" si="827"/>
        <v>0</v>
      </c>
      <c r="V708" s="78" t="b">
        <f t="shared" si="827"/>
        <v>0</v>
      </c>
      <c r="W708" s="78" t="b">
        <f t="shared" si="827"/>
        <v>0</v>
      </c>
      <c r="X708" s="78" t="b">
        <f t="shared" si="827"/>
        <v>0</v>
      </c>
      <c r="Y708" s="78" t="b">
        <f t="shared" si="827"/>
        <v>0</v>
      </c>
      <c r="Z708" s="78" t="b">
        <f t="shared" si="827"/>
        <v>0</v>
      </c>
      <c r="AA708" s="78" t="b">
        <f t="shared" si="827"/>
        <v>0</v>
      </c>
      <c r="AB708" s="78" t="b">
        <f t="shared" si="827"/>
        <v>0</v>
      </c>
      <c r="AC708" s="78" t="b">
        <f t="shared" si="827"/>
        <v>0</v>
      </c>
      <c r="AD708" s="78" t="b">
        <f t="shared" si="827"/>
        <v>0</v>
      </c>
      <c r="AE708" s="78" t="b">
        <f t="shared" si="827"/>
        <v>0</v>
      </c>
      <c r="AF708" s="78" t="b">
        <f t="shared" si="827"/>
        <v>0</v>
      </c>
      <c r="AG708" s="78" t="b">
        <f t="shared" si="827"/>
        <v>0</v>
      </c>
      <c r="AH708" s="78" t="b">
        <f t="shared" si="827"/>
        <v>0</v>
      </c>
      <c r="AI708" s="78" t="b">
        <f t="shared" si="827"/>
        <v>0</v>
      </c>
      <c r="AJ708" s="78" t="b">
        <f t="shared" si="827"/>
        <v>0</v>
      </c>
      <c r="AK708" s="78" t="b">
        <f t="shared" si="827"/>
        <v>0</v>
      </c>
      <c r="AL708" s="78" t="b">
        <f t="shared" si="827"/>
        <v>0</v>
      </c>
      <c r="AM708" s="78" t="b">
        <f t="shared" si="827"/>
        <v>0</v>
      </c>
      <c r="AN708" s="78" t="b">
        <f t="shared" si="827"/>
        <v>0</v>
      </c>
      <c r="AO708" s="78" t="b">
        <f t="shared" si="827"/>
        <v>0</v>
      </c>
      <c r="AP708" s="78"/>
    </row>
    <row r="709" spans="4:42" x14ac:dyDescent="0.35">
      <c r="D709" s="96"/>
      <c r="E709" s="96"/>
      <c r="G709" s="77">
        <f t="shared" si="819"/>
        <v>0</v>
      </c>
      <c r="H709" s="78">
        <f t="shared" si="820"/>
        <v>0</v>
      </c>
      <c r="I709" s="77">
        <f t="shared" si="821"/>
        <v>0</v>
      </c>
      <c r="J709" s="78">
        <f t="shared" si="822"/>
        <v>0</v>
      </c>
      <c r="K709" s="78" t="str">
        <f t="shared" si="823"/>
        <v>1900-01-00 00:0:00</v>
      </c>
      <c r="L709" s="78" t="str">
        <f t="shared" si="824"/>
        <v>1900-01-00 00:0:00</v>
      </c>
      <c r="M709" s="79">
        <f t="shared" si="825"/>
        <v>0</v>
      </c>
      <c r="N709">
        <f t="shared" si="826"/>
        <v>1</v>
      </c>
      <c r="O709" t="str">
        <f>IFERROR(_xlfn.XLOOKUP(A709,HC!A:A,HC!C:C),"")</f>
        <v>Workforce</v>
      </c>
      <c r="R709" s="78" t="b">
        <f t="shared" ref="R709:AO709" si="828">IFERROR(IF($B709=$D$1,IF(AND($K709&lt;R$1,$L709&lt;R$1),"",IF(AND($K709&gt;S$1,$L709&gt;S$1),"",IF(AND($K709&lt;R$1,$L709&lt;=S$1),$L709-R$1,IF(AND($K709&gt;=R$1,$L709&gt;S$1),S$1-$K709,IF(AND($K709&gt;=R$1,$L709&lt;=S$1),$L709-$K709,IF(AND($K709&lt;R$1,$L709&gt;S$1),S$1-R$1,""))))))),"")</f>
        <v>0</v>
      </c>
      <c r="S709" s="78" t="b">
        <f t="shared" si="828"/>
        <v>0</v>
      </c>
      <c r="T709" s="78" t="b">
        <f t="shared" si="828"/>
        <v>0</v>
      </c>
      <c r="U709" s="78" t="b">
        <f t="shared" si="828"/>
        <v>0</v>
      </c>
      <c r="V709" s="78" t="b">
        <f t="shared" si="828"/>
        <v>0</v>
      </c>
      <c r="W709" s="78" t="b">
        <f t="shared" si="828"/>
        <v>0</v>
      </c>
      <c r="X709" s="78" t="b">
        <f t="shared" si="828"/>
        <v>0</v>
      </c>
      <c r="Y709" s="78" t="b">
        <f t="shared" si="828"/>
        <v>0</v>
      </c>
      <c r="Z709" s="78" t="b">
        <f t="shared" si="828"/>
        <v>0</v>
      </c>
      <c r="AA709" s="78" t="b">
        <f t="shared" si="828"/>
        <v>0</v>
      </c>
      <c r="AB709" s="78" t="b">
        <f t="shared" si="828"/>
        <v>0</v>
      </c>
      <c r="AC709" s="78" t="b">
        <f t="shared" si="828"/>
        <v>0</v>
      </c>
      <c r="AD709" s="78" t="b">
        <f t="shared" si="828"/>
        <v>0</v>
      </c>
      <c r="AE709" s="78" t="b">
        <f t="shared" si="828"/>
        <v>0</v>
      </c>
      <c r="AF709" s="78" t="b">
        <f t="shared" si="828"/>
        <v>0</v>
      </c>
      <c r="AG709" s="78" t="b">
        <f t="shared" si="828"/>
        <v>0</v>
      </c>
      <c r="AH709" s="78" t="b">
        <f t="shared" si="828"/>
        <v>0</v>
      </c>
      <c r="AI709" s="78" t="b">
        <f t="shared" si="828"/>
        <v>0</v>
      </c>
      <c r="AJ709" s="78" t="b">
        <f t="shared" si="828"/>
        <v>0</v>
      </c>
      <c r="AK709" s="78" t="b">
        <f t="shared" si="828"/>
        <v>0</v>
      </c>
      <c r="AL709" s="78" t="b">
        <f t="shared" si="828"/>
        <v>0</v>
      </c>
      <c r="AM709" s="78" t="b">
        <f t="shared" si="828"/>
        <v>0</v>
      </c>
      <c r="AN709" s="78" t="b">
        <f t="shared" si="828"/>
        <v>0</v>
      </c>
      <c r="AO709" s="78" t="b">
        <f t="shared" si="828"/>
        <v>0</v>
      </c>
      <c r="AP709" s="78"/>
    </row>
    <row r="710" spans="4:42" x14ac:dyDescent="0.35">
      <c r="D710" s="96"/>
      <c r="E710" s="96"/>
      <c r="G710" s="77">
        <f t="shared" si="819"/>
        <v>0</v>
      </c>
      <c r="H710" s="78">
        <f t="shared" si="820"/>
        <v>0</v>
      </c>
      <c r="I710" s="77">
        <f t="shared" si="821"/>
        <v>0</v>
      </c>
      <c r="J710" s="78">
        <f t="shared" si="822"/>
        <v>0</v>
      </c>
      <c r="K710" s="78" t="str">
        <f t="shared" si="823"/>
        <v>1900-01-00 00:0:00</v>
      </c>
      <c r="L710" s="78" t="str">
        <f t="shared" si="824"/>
        <v>1900-01-00 00:0:00</v>
      </c>
      <c r="M710" s="79">
        <f t="shared" si="825"/>
        <v>0</v>
      </c>
      <c r="N710">
        <f t="shared" si="826"/>
        <v>1</v>
      </c>
      <c r="O710" t="str">
        <f>IFERROR(_xlfn.XLOOKUP(A710,HC!A:A,HC!C:C),"")</f>
        <v>Workforce</v>
      </c>
      <c r="R710" s="78" t="b">
        <f t="shared" ref="R710:AO710" si="829">IFERROR(IF($B710=$D$1,IF(AND($K710&lt;R$1,$L710&lt;R$1),"",IF(AND($K710&gt;S$1,$L710&gt;S$1),"",IF(AND($K710&lt;R$1,$L710&lt;=S$1),$L710-R$1,IF(AND($K710&gt;=R$1,$L710&gt;S$1),S$1-$K710,IF(AND($K710&gt;=R$1,$L710&lt;=S$1),$L710-$K710,IF(AND($K710&lt;R$1,$L710&gt;S$1),S$1-R$1,""))))))),"")</f>
        <v>0</v>
      </c>
      <c r="S710" s="78" t="b">
        <f t="shared" si="829"/>
        <v>0</v>
      </c>
      <c r="T710" s="78" t="b">
        <f t="shared" si="829"/>
        <v>0</v>
      </c>
      <c r="U710" s="78" t="b">
        <f t="shared" si="829"/>
        <v>0</v>
      </c>
      <c r="V710" s="78" t="b">
        <f t="shared" si="829"/>
        <v>0</v>
      </c>
      <c r="W710" s="78" t="b">
        <f t="shared" si="829"/>
        <v>0</v>
      </c>
      <c r="X710" s="78" t="b">
        <f t="shared" si="829"/>
        <v>0</v>
      </c>
      <c r="Y710" s="78" t="b">
        <f t="shared" si="829"/>
        <v>0</v>
      </c>
      <c r="Z710" s="78" t="b">
        <f t="shared" si="829"/>
        <v>0</v>
      </c>
      <c r="AA710" s="78" t="b">
        <f t="shared" si="829"/>
        <v>0</v>
      </c>
      <c r="AB710" s="78" t="b">
        <f t="shared" si="829"/>
        <v>0</v>
      </c>
      <c r="AC710" s="78" t="b">
        <f t="shared" si="829"/>
        <v>0</v>
      </c>
      <c r="AD710" s="78" t="b">
        <f t="shared" si="829"/>
        <v>0</v>
      </c>
      <c r="AE710" s="78" t="b">
        <f t="shared" si="829"/>
        <v>0</v>
      </c>
      <c r="AF710" s="78" t="b">
        <f t="shared" si="829"/>
        <v>0</v>
      </c>
      <c r="AG710" s="78" t="b">
        <f t="shared" si="829"/>
        <v>0</v>
      </c>
      <c r="AH710" s="78" t="b">
        <f t="shared" si="829"/>
        <v>0</v>
      </c>
      <c r="AI710" s="78" t="b">
        <f t="shared" si="829"/>
        <v>0</v>
      </c>
      <c r="AJ710" s="78" t="b">
        <f t="shared" si="829"/>
        <v>0</v>
      </c>
      <c r="AK710" s="78" t="b">
        <f t="shared" si="829"/>
        <v>0</v>
      </c>
      <c r="AL710" s="78" t="b">
        <f t="shared" si="829"/>
        <v>0</v>
      </c>
      <c r="AM710" s="78" t="b">
        <f t="shared" si="829"/>
        <v>0</v>
      </c>
      <c r="AN710" s="78" t="b">
        <f t="shared" si="829"/>
        <v>0</v>
      </c>
      <c r="AO710" s="78" t="b">
        <f t="shared" si="829"/>
        <v>0</v>
      </c>
      <c r="AP710" s="78"/>
    </row>
    <row r="711" spans="4:42" x14ac:dyDescent="0.35">
      <c r="D711" s="96"/>
      <c r="E711" s="96"/>
      <c r="G711" s="77">
        <f t="shared" si="819"/>
        <v>0</v>
      </c>
      <c r="H711" s="78">
        <f t="shared" si="820"/>
        <v>0</v>
      </c>
      <c r="I711" s="77">
        <f t="shared" si="821"/>
        <v>0</v>
      </c>
      <c r="J711" s="78">
        <f t="shared" si="822"/>
        <v>0</v>
      </c>
      <c r="K711" s="78" t="str">
        <f t="shared" si="823"/>
        <v>1900-01-00 00:0:00</v>
      </c>
      <c r="L711" s="78" t="str">
        <f t="shared" si="824"/>
        <v>1900-01-00 00:0:00</v>
      </c>
      <c r="M711" s="79">
        <f t="shared" si="825"/>
        <v>0</v>
      </c>
      <c r="N711">
        <f t="shared" si="826"/>
        <v>1</v>
      </c>
      <c r="O711" t="str">
        <f>IFERROR(_xlfn.XLOOKUP(A711,HC!A:A,HC!C:C),"")</f>
        <v>Workforce</v>
      </c>
      <c r="R711" s="78" t="b">
        <f t="shared" ref="R711:AO711" si="830">IFERROR(IF($B711=$D$1,IF(AND($K711&lt;R$1,$L711&lt;R$1),"",IF(AND($K711&gt;S$1,$L711&gt;S$1),"",IF(AND($K711&lt;R$1,$L711&lt;=S$1),$L711-R$1,IF(AND($K711&gt;=R$1,$L711&gt;S$1),S$1-$K711,IF(AND($K711&gt;=R$1,$L711&lt;=S$1),$L711-$K711,IF(AND($K711&lt;R$1,$L711&gt;S$1),S$1-R$1,""))))))),"")</f>
        <v>0</v>
      </c>
      <c r="S711" s="78" t="b">
        <f t="shared" si="830"/>
        <v>0</v>
      </c>
      <c r="T711" s="78" t="b">
        <f t="shared" si="830"/>
        <v>0</v>
      </c>
      <c r="U711" s="78" t="b">
        <f t="shared" si="830"/>
        <v>0</v>
      </c>
      <c r="V711" s="78" t="b">
        <f t="shared" si="830"/>
        <v>0</v>
      </c>
      <c r="W711" s="78" t="b">
        <f t="shared" si="830"/>
        <v>0</v>
      </c>
      <c r="X711" s="78" t="b">
        <f t="shared" si="830"/>
        <v>0</v>
      </c>
      <c r="Y711" s="78" t="b">
        <f t="shared" si="830"/>
        <v>0</v>
      </c>
      <c r="Z711" s="78" t="b">
        <f t="shared" si="830"/>
        <v>0</v>
      </c>
      <c r="AA711" s="78" t="b">
        <f t="shared" si="830"/>
        <v>0</v>
      </c>
      <c r="AB711" s="78" t="b">
        <f t="shared" si="830"/>
        <v>0</v>
      </c>
      <c r="AC711" s="78" t="b">
        <f t="shared" si="830"/>
        <v>0</v>
      </c>
      <c r="AD711" s="78" t="b">
        <f t="shared" si="830"/>
        <v>0</v>
      </c>
      <c r="AE711" s="78" t="b">
        <f t="shared" si="830"/>
        <v>0</v>
      </c>
      <c r="AF711" s="78" t="b">
        <f t="shared" si="830"/>
        <v>0</v>
      </c>
      <c r="AG711" s="78" t="b">
        <f t="shared" si="830"/>
        <v>0</v>
      </c>
      <c r="AH711" s="78" t="b">
        <f t="shared" si="830"/>
        <v>0</v>
      </c>
      <c r="AI711" s="78" t="b">
        <f t="shared" si="830"/>
        <v>0</v>
      </c>
      <c r="AJ711" s="78" t="b">
        <f t="shared" si="830"/>
        <v>0</v>
      </c>
      <c r="AK711" s="78" t="b">
        <f t="shared" si="830"/>
        <v>0</v>
      </c>
      <c r="AL711" s="78" t="b">
        <f t="shared" si="830"/>
        <v>0</v>
      </c>
      <c r="AM711" s="78" t="b">
        <f t="shared" si="830"/>
        <v>0</v>
      </c>
      <c r="AN711" s="78" t="b">
        <f t="shared" si="830"/>
        <v>0</v>
      </c>
      <c r="AO711" s="78" t="b">
        <f t="shared" si="830"/>
        <v>0</v>
      </c>
      <c r="AP711" s="78"/>
    </row>
    <row r="712" spans="4:42" x14ac:dyDescent="0.35">
      <c r="D712" s="96"/>
      <c r="E712" s="96"/>
      <c r="G712" s="77">
        <f t="shared" si="819"/>
        <v>0</v>
      </c>
      <c r="H712" s="78">
        <f t="shared" si="820"/>
        <v>0</v>
      </c>
      <c r="I712" s="77">
        <f t="shared" si="821"/>
        <v>0</v>
      </c>
      <c r="J712" s="78">
        <f t="shared" si="822"/>
        <v>0</v>
      </c>
      <c r="K712" s="78" t="str">
        <f t="shared" si="823"/>
        <v>1900-01-00 00:0:00</v>
      </c>
      <c r="L712" s="78" t="str">
        <f t="shared" si="824"/>
        <v>1900-01-00 00:0:00</v>
      </c>
      <c r="M712" s="79">
        <f t="shared" si="825"/>
        <v>0</v>
      </c>
      <c r="N712">
        <f t="shared" si="826"/>
        <v>1</v>
      </c>
      <c r="O712" t="str">
        <f>IFERROR(_xlfn.XLOOKUP(A712,HC!A:A,HC!C:C),"")</f>
        <v>Workforce</v>
      </c>
      <c r="R712" s="78" t="b">
        <f t="shared" ref="R712:AO712" si="831">IFERROR(IF($B712=$D$1,IF(AND($K712&lt;R$1,$L712&lt;R$1),"",IF(AND($K712&gt;S$1,$L712&gt;S$1),"",IF(AND($K712&lt;R$1,$L712&lt;=S$1),$L712-R$1,IF(AND($K712&gt;=R$1,$L712&gt;S$1),S$1-$K712,IF(AND($K712&gt;=R$1,$L712&lt;=S$1),$L712-$K712,IF(AND($K712&lt;R$1,$L712&gt;S$1),S$1-R$1,""))))))),"")</f>
        <v>0</v>
      </c>
      <c r="S712" s="78" t="b">
        <f t="shared" si="831"/>
        <v>0</v>
      </c>
      <c r="T712" s="78" t="b">
        <f t="shared" si="831"/>
        <v>0</v>
      </c>
      <c r="U712" s="78" t="b">
        <f t="shared" si="831"/>
        <v>0</v>
      </c>
      <c r="V712" s="78" t="b">
        <f t="shared" si="831"/>
        <v>0</v>
      </c>
      <c r="W712" s="78" t="b">
        <f t="shared" si="831"/>
        <v>0</v>
      </c>
      <c r="X712" s="78" t="b">
        <f t="shared" si="831"/>
        <v>0</v>
      </c>
      <c r="Y712" s="78" t="b">
        <f t="shared" si="831"/>
        <v>0</v>
      </c>
      <c r="Z712" s="78" t="b">
        <f t="shared" si="831"/>
        <v>0</v>
      </c>
      <c r="AA712" s="78" t="b">
        <f t="shared" si="831"/>
        <v>0</v>
      </c>
      <c r="AB712" s="78" t="b">
        <f t="shared" si="831"/>
        <v>0</v>
      </c>
      <c r="AC712" s="78" t="b">
        <f t="shared" si="831"/>
        <v>0</v>
      </c>
      <c r="AD712" s="78" t="b">
        <f t="shared" si="831"/>
        <v>0</v>
      </c>
      <c r="AE712" s="78" t="b">
        <f t="shared" si="831"/>
        <v>0</v>
      </c>
      <c r="AF712" s="78" t="b">
        <f t="shared" si="831"/>
        <v>0</v>
      </c>
      <c r="AG712" s="78" t="b">
        <f t="shared" si="831"/>
        <v>0</v>
      </c>
      <c r="AH712" s="78" t="b">
        <f t="shared" si="831"/>
        <v>0</v>
      </c>
      <c r="AI712" s="78" t="b">
        <f t="shared" si="831"/>
        <v>0</v>
      </c>
      <c r="AJ712" s="78" t="b">
        <f t="shared" si="831"/>
        <v>0</v>
      </c>
      <c r="AK712" s="78" t="b">
        <f t="shared" si="831"/>
        <v>0</v>
      </c>
      <c r="AL712" s="78" t="b">
        <f t="shared" si="831"/>
        <v>0</v>
      </c>
      <c r="AM712" s="78" t="b">
        <f t="shared" si="831"/>
        <v>0</v>
      </c>
      <c r="AN712" s="78" t="b">
        <f t="shared" si="831"/>
        <v>0</v>
      </c>
      <c r="AO712" s="78" t="b">
        <f t="shared" si="831"/>
        <v>0</v>
      </c>
      <c r="AP712" s="78"/>
    </row>
    <row r="713" spans="4:42" x14ac:dyDescent="0.35">
      <c r="D713" s="96"/>
      <c r="E713" s="96"/>
      <c r="G713" s="77">
        <f t="shared" si="819"/>
        <v>0</v>
      </c>
      <c r="H713" s="78">
        <f t="shared" si="820"/>
        <v>0</v>
      </c>
      <c r="I713" s="77">
        <f t="shared" si="821"/>
        <v>0</v>
      </c>
      <c r="J713" s="78">
        <f t="shared" si="822"/>
        <v>0</v>
      </c>
      <c r="K713" s="78" t="str">
        <f t="shared" si="823"/>
        <v>1900-01-00 00:0:00</v>
      </c>
      <c r="L713" s="78" t="str">
        <f t="shared" si="824"/>
        <v>1900-01-00 00:0:00</v>
      </c>
      <c r="M713" s="79">
        <f t="shared" si="825"/>
        <v>0</v>
      </c>
      <c r="N713">
        <f t="shared" si="826"/>
        <v>1</v>
      </c>
      <c r="O713" t="str">
        <f>IFERROR(_xlfn.XLOOKUP(A713,HC!A:A,HC!C:C),"")</f>
        <v>Workforce</v>
      </c>
      <c r="R713" s="78" t="b">
        <f t="shared" ref="R713:AO713" si="832">IFERROR(IF($B713=$D$1,IF(AND($K713&lt;R$1,$L713&lt;R$1),"",IF(AND($K713&gt;S$1,$L713&gt;S$1),"",IF(AND($K713&lt;R$1,$L713&lt;=S$1),$L713-R$1,IF(AND($K713&gt;=R$1,$L713&gt;S$1),S$1-$K713,IF(AND($K713&gt;=R$1,$L713&lt;=S$1),$L713-$K713,IF(AND($K713&lt;R$1,$L713&gt;S$1),S$1-R$1,""))))))),"")</f>
        <v>0</v>
      </c>
      <c r="S713" s="78" t="b">
        <f t="shared" si="832"/>
        <v>0</v>
      </c>
      <c r="T713" s="78" t="b">
        <f t="shared" si="832"/>
        <v>0</v>
      </c>
      <c r="U713" s="78" t="b">
        <f t="shared" si="832"/>
        <v>0</v>
      </c>
      <c r="V713" s="78" t="b">
        <f t="shared" si="832"/>
        <v>0</v>
      </c>
      <c r="W713" s="78" t="b">
        <f t="shared" si="832"/>
        <v>0</v>
      </c>
      <c r="X713" s="78" t="b">
        <f t="shared" si="832"/>
        <v>0</v>
      </c>
      <c r="Y713" s="78" t="b">
        <f t="shared" si="832"/>
        <v>0</v>
      </c>
      <c r="Z713" s="78" t="b">
        <f t="shared" si="832"/>
        <v>0</v>
      </c>
      <c r="AA713" s="78" t="b">
        <f t="shared" si="832"/>
        <v>0</v>
      </c>
      <c r="AB713" s="78" t="b">
        <f t="shared" si="832"/>
        <v>0</v>
      </c>
      <c r="AC713" s="78" t="b">
        <f t="shared" si="832"/>
        <v>0</v>
      </c>
      <c r="AD713" s="78" t="b">
        <f t="shared" si="832"/>
        <v>0</v>
      </c>
      <c r="AE713" s="78" t="b">
        <f t="shared" si="832"/>
        <v>0</v>
      </c>
      <c r="AF713" s="78" t="b">
        <f t="shared" si="832"/>
        <v>0</v>
      </c>
      <c r="AG713" s="78" t="b">
        <f t="shared" si="832"/>
        <v>0</v>
      </c>
      <c r="AH713" s="78" t="b">
        <f t="shared" si="832"/>
        <v>0</v>
      </c>
      <c r="AI713" s="78" t="b">
        <f t="shared" si="832"/>
        <v>0</v>
      </c>
      <c r="AJ713" s="78" t="b">
        <f t="shared" si="832"/>
        <v>0</v>
      </c>
      <c r="AK713" s="78" t="b">
        <f t="shared" si="832"/>
        <v>0</v>
      </c>
      <c r="AL713" s="78" t="b">
        <f t="shared" si="832"/>
        <v>0</v>
      </c>
      <c r="AM713" s="78" t="b">
        <f t="shared" si="832"/>
        <v>0</v>
      </c>
      <c r="AN713" s="78" t="b">
        <f t="shared" si="832"/>
        <v>0</v>
      </c>
      <c r="AO713" s="78" t="b">
        <f t="shared" si="832"/>
        <v>0</v>
      </c>
      <c r="AP713" s="78"/>
    </row>
    <row r="714" spans="4:42" x14ac:dyDescent="0.35">
      <c r="D714" s="96"/>
      <c r="E714" s="96"/>
      <c r="G714" s="77">
        <f t="shared" si="819"/>
        <v>0</v>
      </c>
      <c r="H714" s="78">
        <f t="shared" si="820"/>
        <v>0</v>
      </c>
      <c r="I714" s="77">
        <f t="shared" si="821"/>
        <v>0</v>
      </c>
      <c r="J714" s="78">
        <f t="shared" si="822"/>
        <v>0</v>
      </c>
      <c r="K714" s="78" t="str">
        <f t="shared" si="823"/>
        <v>1900-01-00 00:0:00</v>
      </c>
      <c r="L714" s="78" t="str">
        <f t="shared" si="824"/>
        <v>1900-01-00 00:0:00</v>
      </c>
      <c r="M714" s="79">
        <f t="shared" si="825"/>
        <v>0</v>
      </c>
      <c r="N714">
        <f t="shared" si="826"/>
        <v>1</v>
      </c>
      <c r="O714" t="str">
        <f>IFERROR(_xlfn.XLOOKUP(A714,HC!A:A,HC!C:C),"")</f>
        <v>Workforce</v>
      </c>
      <c r="R714" s="78" t="b">
        <f t="shared" ref="R714:AO714" si="833">IFERROR(IF($B714=$D$1,IF(AND($K714&lt;R$1,$L714&lt;R$1),"",IF(AND($K714&gt;S$1,$L714&gt;S$1),"",IF(AND($K714&lt;R$1,$L714&lt;=S$1),$L714-R$1,IF(AND($K714&gt;=R$1,$L714&gt;S$1),S$1-$K714,IF(AND($K714&gt;=R$1,$L714&lt;=S$1),$L714-$K714,IF(AND($K714&lt;R$1,$L714&gt;S$1),S$1-R$1,""))))))),"")</f>
        <v>0</v>
      </c>
      <c r="S714" s="78" t="b">
        <f t="shared" si="833"/>
        <v>0</v>
      </c>
      <c r="T714" s="78" t="b">
        <f t="shared" si="833"/>
        <v>0</v>
      </c>
      <c r="U714" s="78" t="b">
        <f t="shared" si="833"/>
        <v>0</v>
      </c>
      <c r="V714" s="78" t="b">
        <f t="shared" si="833"/>
        <v>0</v>
      </c>
      <c r="W714" s="78" t="b">
        <f t="shared" si="833"/>
        <v>0</v>
      </c>
      <c r="X714" s="78" t="b">
        <f t="shared" si="833"/>
        <v>0</v>
      </c>
      <c r="Y714" s="78" t="b">
        <f t="shared" si="833"/>
        <v>0</v>
      </c>
      <c r="Z714" s="78" t="b">
        <f t="shared" si="833"/>
        <v>0</v>
      </c>
      <c r="AA714" s="78" t="b">
        <f t="shared" si="833"/>
        <v>0</v>
      </c>
      <c r="AB714" s="78" t="b">
        <f t="shared" si="833"/>
        <v>0</v>
      </c>
      <c r="AC714" s="78" t="b">
        <f t="shared" si="833"/>
        <v>0</v>
      </c>
      <c r="AD714" s="78" t="b">
        <f t="shared" si="833"/>
        <v>0</v>
      </c>
      <c r="AE714" s="78" t="b">
        <f t="shared" si="833"/>
        <v>0</v>
      </c>
      <c r="AF714" s="78" t="b">
        <f t="shared" si="833"/>
        <v>0</v>
      </c>
      <c r="AG714" s="78" t="b">
        <f t="shared" si="833"/>
        <v>0</v>
      </c>
      <c r="AH714" s="78" t="b">
        <f t="shared" si="833"/>
        <v>0</v>
      </c>
      <c r="AI714" s="78" t="b">
        <f t="shared" si="833"/>
        <v>0</v>
      </c>
      <c r="AJ714" s="78" t="b">
        <f t="shared" si="833"/>
        <v>0</v>
      </c>
      <c r="AK714" s="78" t="b">
        <f t="shared" si="833"/>
        <v>0</v>
      </c>
      <c r="AL714" s="78" t="b">
        <f t="shared" si="833"/>
        <v>0</v>
      </c>
      <c r="AM714" s="78" t="b">
        <f t="shared" si="833"/>
        <v>0</v>
      </c>
      <c r="AN714" s="78" t="b">
        <f t="shared" si="833"/>
        <v>0</v>
      </c>
      <c r="AO714" s="78" t="b">
        <f t="shared" si="833"/>
        <v>0</v>
      </c>
      <c r="AP714" s="78"/>
    </row>
    <row r="715" spans="4:42" x14ac:dyDescent="0.35">
      <c r="D715" s="96"/>
      <c r="E715" s="96"/>
      <c r="G715" s="77">
        <f t="shared" si="819"/>
        <v>0</v>
      </c>
      <c r="H715" s="78">
        <f t="shared" si="820"/>
        <v>0</v>
      </c>
      <c r="I715" s="77">
        <f t="shared" si="821"/>
        <v>0</v>
      </c>
      <c r="J715" s="78">
        <f t="shared" si="822"/>
        <v>0</v>
      </c>
      <c r="K715" s="78" t="str">
        <f t="shared" si="823"/>
        <v>1900-01-00 00:0:00</v>
      </c>
      <c r="L715" s="78" t="str">
        <f t="shared" si="824"/>
        <v>1900-01-00 00:0:00</v>
      </c>
      <c r="M715" s="79">
        <f t="shared" si="825"/>
        <v>0</v>
      </c>
      <c r="N715">
        <f t="shared" si="826"/>
        <v>1</v>
      </c>
      <c r="O715" t="str">
        <f>IFERROR(_xlfn.XLOOKUP(A715,HC!A:A,HC!C:C),"")</f>
        <v>Workforce</v>
      </c>
      <c r="R715" s="78" t="b">
        <f t="shared" ref="R715:AO715" si="834">IFERROR(IF($B715=$D$1,IF(AND($K715&lt;R$1,$L715&lt;R$1),"",IF(AND($K715&gt;S$1,$L715&gt;S$1),"",IF(AND($K715&lt;R$1,$L715&lt;=S$1),$L715-R$1,IF(AND($K715&gt;=R$1,$L715&gt;S$1),S$1-$K715,IF(AND($K715&gt;=R$1,$L715&lt;=S$1),$L715-$K715,IF(AND($K715&lt;R$1,$L715&gt;S$1),S$1-R$1,""))))))),"")</f>
        <v>0</v>
      </c>
      <c r="S715" s="78" t="b">
        <f t="shared" si="834"/>
        <v>0</v>
      </c>
      <c r="T715" s="78" t="b">
        <f t="shared" si="834"/>
        <v>0</v>
      </c>
      <c r="U715" s="78" t="b">
        <f t="shared" si="834"/>
        <v>0</v>
      </c>
      <c r="V715" s="78" t="b">
        <f t="shared" si="834"/>
        <v>0</v>
      </c>
      <c r="W715" s="78" t="b">
        <f t="shared" si="834"/>
        <v>0</v>
      </c>
      <c r="X715" s="78" t="b">
        <f t="shared" si="834"/>
        <v>0</v>
      </c>
      <c r="Y715" s="78" t="b">
        <f t="shared" si="834"/>
        <v>0</v>
      </c>
      <c r="Z715" s="78" t="b">
        <f t="shared" si="834"/>
        <v>0</v>
      </c>
      <c r="AA715" s="78" t="b">
        <f t="shared" si="834"/>
        <v>0</v>
      </c>
      <c r="AB715" s="78" t="b">
        <f t="shared" si="834"/>
        <v>0</v>
      </c>
      <c r="AC715" s="78" t="b">
        <f t="shared" si="834"/>
        <v>0</v>
      </c>
      <c r="AD715" s="78" t="b">
        <f t="shared" si="834"/>
        <v>0</v>
      </c>
      <c r="AE715" s="78" t="b">
        <f t="shared" si="834"/>
        <v>0</v>
      </c>
      <c r="AF715" s="78" t="b">
        <f t="shared" si="834"/>
        <v>0</v>
      </c>
      <c r="AG715" s="78" t="b">
        <f t="shared" si="834"/>
        <v>0</v>
      </c>
      <c r="AH715" s="78" t="b">
        <f t="shared" si="834"/>
        <v>0</v>
      </c>
      <c r="AI715" s="78" t="b">
        <f t="shared" si="834"/>
        <v>0</v>
      </c>
      <c r="AJ715" s="78" t="b">
        <f t="shared" si="834"/>
        <v>0</v>
      </c>
      <c r="AK715" s="78" t="b">
        <f t="shared" si="834"/>
        <v>0</v>
      </c>
      <c r="AL715" s="78" t="b">
        <f t="shared" si="834"/>
        <v>0</v>
      </c>
      <c r="AM715" s="78" t="b">
        <f t="shared" si="834"/>
        <v>0</v>
      </c>
      <c r="AN715" s="78" t="b">
        <f t="shared" si="834"/>
        <v>0</v>
      </c>
      <c r="AO715" s="78" t="b">
        <f t="shared" si="834"/>
        <v>0</v>
      </c>
      <c r="AP715" s="78"/>
    </row>
    <row r="716" spans="4:42" x14ac:dyDescent="0.35">
      <c r="D716" s="96"/>
      <c r="E716" s="96"/>
      <c r="G716" s="77">
        <f t="shared" si="819"/>
        <v>0</v>
      </c>
      <c r="H716" s="78">
        <f t="shared" si="820"/>
        <v>0</v>
      </c>
      <c r="I716" s="77">
        <f t="shared" si="821"/>
        <v>0</v>
      </c>
      <c r="J716" s="78">
        <f t="shared" si="822"/>
        <v>0</v>
      </c>
      <c r="K716" s="78" t="str">
        <f t="shared" si="823"/>
        <v>1900-01-00 00:0:00</v>
      </c>
      <c r="L716" s="78" t="str">
        <f t="shared" si="824"/>
        <v>1900-01-00 00:0:00</v>
      </c>
      <c r="M716" s="79">
        <f t="shared" si="825"/>
        <v>0</v>
      </c>
      <c r="N716">
        <f t="shared" si="826"/>
        <v>1</v>
      </c>
      <c r="O716" t="str">
        <f>IFERROR(_xlfn.XLOOKUP(A716,HC!A:A,HC!C:C),"")</f>
        <v>Workforce</v>
      </c>
      <c r="R716" s="78" t="b">
        <f t="shared" ref="R716:AO716" si="835">IFERROR(IF($B716=$D$1,IF(AND($K716&lt;R$1,$L716&lt;R$1),"",IF(AND($K716&gt;S$1,$L716&gt;S$1),"",IF(AND($K716&lt;R$1,$L716&lt;=S$1),$L716-R$1,IF(AND($K716&gt;=R$1,$L716&gt;S$1),S$1-$K716,IF(AND($K716&gt;=R$1,$L716&lt;=S$1),$L716-$K716,IF(AND($K716&lt;R$1,$L716&gt;S$1),S$1-R$1,""))))))),"")</f>
        <v>0</v>
      </c>
      <c r="S716" s="78" t="b">
        <f t="shared" si="835"/>
        <v>0</v>
      </c>
      <c r="T716" s="78" t="b">
        <f t="shared" si="835"/>
        <v>0</v>
      </c>
      <c r="U716" s="78" t="b">
        <f t="shared" si="835"/>
        <v>0</v>
      </c>
      <c r="V716" s="78" t="b">
        <f t="shared" si="835"/>
        <v>0</v>
      </c>
      <c r="W716" s="78" t="b">
        <f t="shared" si="835"/>
        <v>0</v>
      </c>
      <c r="X716" s="78" t="b">
        <f t="shared" si="835"/>
        <v>0</v>
      </c>
      <c r="Y716" s="78" t="b">
        <f t="shared" si="835"/>
        <v>0</v>
      </c>
      <c r="Z716" s="78" t="b">
        <f t="shared" si="835"/>
        <v>0</v>
      </c>
      <c r="AA716" s="78" t="b">
        <f t="shared" si="835"/>
        <v>0</v>
      </c>
      <c r="AB716" s="78" t="b">
        <f t="shared" si="835"/>
        <v>0</v>
      </c>
      <c r="AC716" s="78" t="b">
        <f t="shared" si="835"/>
        <v>0</v>
      </c>
      <c r="AD716" s="78" t="b">
        <f t="shared" si="835"/>
        <v>0</v>
      </c>
      <c r="AE716" s="78" t="b">
        <f t="shared" si="835"/>
        <v>0</v>
      </c>
      <c r="AF716" s="78" t="b">
        <f t="shared" si="835"/>
        <v>0</v>
      </c>
      <c r="AG716" s="78" t="b">
        <f t="shared" si="835"/>
        <v>0</v>
      </c>
      <c r="AH716" s="78" t="b">
        <f t="shared" si="835"/>
        <v>0</v>
      </c>
      <c r="AI716" s="78" t="b">
        <f t="shared" si="835"/>
        <v>0</v>
      </c>
      <c r="AJ716" s="78" t="b">
        <f t="shared" si="835"/>
        <v>0</v>
      </c>
      <c r="AK716" s="78" t="b">
        <f t="shared" si="835"/>
        <v>0</v>
      </c>
      <c r="AL716" s="78" t="b">
        <f t="shared" si="835"/>
        <v>0</v>
      </c>
      <c r="AM716" s="78" t="b">
        <f t="shared" si="835"/>
        <v>0</v>
      </c>
      <c r="AN716" s="78" t="b">
        <f t="shared" si="835"/>
        <v>0</v>
      </c>
      <c r="AO716" s="78" t="b">
        <f t="shared" si="835"/>
        <v>0</v>
      </c>
      <c r="AP716" s="78"/>
    </row>
    <row r="717" spans="4:42" x14ac:dyDescent="0.35">
      <c r="D717" s="96"/>
      <c r="E717" s="96"/>
      <c r="G717" s="77">
        <f t="shared" si="819"/>
        <v>0</v>
      </c>
      <c r="H717" s="78">
        <f t="shared" si="820"/>
        <v>0</v>
      </c>
      <c r="I717" s="77">
        <f t="shared" si="821"/>
        <v>0</v>
      </c>
      <c r="J717" s="78">
        <f t="shared" si="822"/>
        <v>0</v>
      </c>
      <c r="K717" s="78" t="str">
        <f t="shared" si="823"/>
        <v>1900-01-00 00:0:00</v>
      </c>
      <c r="L717" s="78" t="str">
        <f t="shared" si="824"/>
        <v>1900-01-00 00:0:00</v>
      </c>
      <c r="M717" s="79">
        <f t="shared" si="825"/>
        <v>0</v>
      </c>
      <c r="N717">
        <f t="shared" si="826"/>
        <v>1</v>
      </c>
      <c r="O717" t="str">
        <f>IFERROR(_xlfn.XLOOKUP(A717,HC!A:A,HC!C:C),"")</f>
        <v>Workforce</v>
      </c>
      <c r="R717" s="78" t="b">
        <f t="shared" ref="R717:AO717" si="836">IFERROR(IF($B717=$D$1,IF(AND($K717&lt;R$1,$L717&lt;R$1),"",IF(AND($K717&gt;S$1,$L717&gt;S$1),"",IF(AND($K717&lt;R$1,$L717&lt;=S$1),$L717-R$1,IF(AND($K717&gt;=R$1,$L717&gt;S$1),S$1-$K717,IF(AND($K717&gt;=R$1,$L717&lt;=S$1),$L717-$K717,IF(AND($K717&lt;R$1,$L717&gt;S$1),S$1-R$1,""))))))),"")</f>
        <v>0</v>
      </c>
      <c r="S717" s="78" t="b">
        <f t="shared" si="836"/>
        <v>0</v>
      </c>
      <c r="T717" s="78" t="b">
        <f t="shared" si="836"/>
        <v>0</v>
      </c>
      <c r="U717" s="78" t="b">
        <f t="shared" si="836"/>
        <v>0</v>
      </c>
      <c r="V717" s="78" t="b">
        <f t="shared" si="836"/>
        <v>0</v>
      </c>
      <c r="W717" s="78" t="b">
        <f t="shared" si="836"/>
        <v>0</v>
      </c>
      <c r="X717" s="78" t="b">
        <f t="shared" si="836"/>
        <v>0</v>
      </c>
      <c r="Y717" s="78" t="b">
        <f t="shared" si="836"/>
        <v>0</v>
      </c>
      <c r="Z717" s="78" t="b">
        <f t="shared" si="836"/>
        <v>0</v>
      </c>
      <c r="AA717" s="78" t="b">
        <f t="shared" si="836"/>
        <v>0</v>
      </c>
      <c r="AB717" s="78" t="b">
        <f t="shared" si="836"/>
        <v>0</v>
      </c>
      <c r="AC717" s="78" t="b">
        <f t="shared" si="836"/>
        <v>0</v>
      </c>
      <c r="AD717" s="78" t="b">
        <f t="shared" si="836"/>
        <v>0</v>
      </c>
      <c r="AE717" s="78" t="b">
        <f t="shared" si="836"/>
        <v>0</v>
      </c>
      <c r="AF717" s="78" t="b">
        <f t="shared" si="836"/>
        <v>0</v>
      </c>
      <c r="AG717" s="78" t="b">
        <f t="shared" si="836"/>
        <v>0</v>
      </c>
      <c r="AH717" s="78" t="b">
        <f t="shared" si="836"/>
        <v>0</v>
      </c>
      <c r="AI717" s="78" t="b">
        <f t="shared" si="836"/>
        <v>0</v>
      </c>
      <c r="AJ717" s="78" t="b">
        <f t="shared" si="836"/>
        <v>0</v>
      </c>
      <c r="AK717" s="78" t="b">
        <f t="shared" si="836"/>
        <v>0</v>
      </c>
      <c r="AL717" s="78" t="b">
        <f t="shared" si="836"/>
        <v>0</v>
      </c>
      <c r="AM717" s="78" t="b">
        <f t="shared" si="836"/>
        <v>0</v>
      </c>
      <c r="AN717" s="78" t="b">
        <f t="shared" si="836"/>
        <v>0</v>
      </c>
      <c r="AO717" s="78" t="b">
        <f t="shared" si="836"/>
        <v>0</v>
      </c>
      <c r="AP717" s="78"/>
    </row>
    <row r="718" spans="4:42" x14ac:dyDescent="0.35">
      <c r="D718" s="96"/>
      <c r="E718" s="96"/>
      <c r="G718" s="77">
        <f t="shared" si="819"/>
        <v>0</v>
      </c>
      <c r="H718" s="78">
        <f t="shared" si="820"/>
        <v>0</v>
      </c>
      <c r="I718" s="77">
        <f t="shared" si="821"/>
        <v>0</v>
      </c>
      <c r="J718" s="78">
        <f t="shared" si="822"/>
        <v>0</v>
      </c>
      <c r="K718" s="78" t="str">
        <f t="shared" si="823"/>
        <v>1900-01-00 00:0:00</v>
      </c>
      <c r="L718" s="78" t="str">
        <f t="shared" si="824"/>
        <v>1900-01-00 00:0:00</v>
      </c>
      <c r="M718" s="79">
        <f t="shared" si="825"/>
        <v>0</v>
      </c>
      <c r="N718">
        <f t="shared" si="826"/>
        <v>1</v>
      </c>
      <c r="O718" t="str">
        <f>IFERROR(_xlfn.XLOOKUP(A718,HC!A:A,HC!C:C),"")</f>
        <v>Workforce</v>
      </c>
      <c r="R718" s="78" t="b">
        <f t="shared" ref="R718:AO718" si="837">IFERROR(IF($B718=$D$1,IF(AND($K718&lt;R$1,$L718&lt;R$1),"",IF(AND($K718&gt;S$1,$L718&gt;S$1),"",IF(AND($K718&lt;R$1,$L718&lt;=S$1),$L718-R$1,IF(AND($K718&gt;=R$1,$L718&gt;S$1),S$1-$K718,IF(AND($K718&gt;=R$1,$L718&lt;=S$1),$L718-$K718,IF(AND($K718&lt;R$1,$L718&gt;S$1),S$1-R$1,""))))))),"")</f>
        <v>0</v>
      </c>
      <c r="S718" s="78" t="b">
        <f t="shared" si="837"/>
        <v>0</v>
      </c>
      <c r="T718" s="78" t="b">
        <f t="shared" si="837"/>
        <v>0</v>
      </c>
      <c r="U718" s="78" t="b">
        <f t="shared" si="837"/>
        <v>0</v>
      </c>
      <c r="V718" s="78" t="b">
        <f t="shared" si="837"/>
        <v>0</v>
      </c>
      <c r="W718" s="78" t="b">
        <f t="shared" si="837"/>
        <v>0</v>
      </c>
      <c r="X718" s="78" t="b">
        <f t="shared" si="837"/>
        <v>0</v>
      </c>
      <c r="Y718" s="78" t="b">
        <f t="shared" si="837"/>
        <v>0</v>
      </c>
      <c r="Z718" s="78" t="b">
        <f t="shared" si="837"/>
        <v>0</v>
      </c>
      <c r="AA718" s="78" t="b">
        <f t="shared" si="837"/>
        <v>0</v>
      </c>
      <c r="AB718" s="78" t="b">
        <f t="shared" si="837"/>
        <v>0</v>
      </c>
      <c r="AC718" s="78" t="b">
        <f t="shared" si="837"/>
        <v>0</v>
      </c>
      <c r="AD718" s="78" t="b">
        <f t="shared" si="837"/>
        <v>0</v>
      </c>
      <c r="AE718" s="78" t="b">
        <f t="shared" si="837"/>
        <v>0</v>
      </c>
      <c r="AF718" s="78" t="b">
        <f t="shared" si="837"/>
        <v>0</v>
      </c>
      <c r="AG718" s="78" t="b">
        <f t="shared" si="837"/>
        <v>0</v>
      </c>
      <c r="AH718" s="78" t="b">
        <f t="shared" si="837"/>
        <v>0</v>
      </c>
      <c r="AI718" s="78" t="b">
        <f t="shared" si="837"/>
        <v>0</v>
      </c>
      <c r="AJ718" s="78" t="b">
        <f t="shared" si="837"/>
        <v>0</v>
      </c>
      <c r="AK718" s="78" t="b">
        <f t="shared" si="837"/>
        <v>0</v>
      </c>
      <c r="AL718" s="78" t="b">
        <f t="shared" si="837"/>
        <v>0</v>
      </c>
      <c r="AM718" s="78" t="b">
        <f t="shared" si="837"/>
        <v>0</v>
      </c>
      <c r="AN718" s="78" t="b">
        <f t="shared" si="837"/>
        <v>0</v>
      </c>
      <c r="AO718" s="78" t="b">
        <f t="shared" si="837"/>
        <v>0</v>
      </c>
      <c r="AP718" s="78"/>
    </row>
    <row r="719" spans="4:42" x14ac:dyDescent="0.35">
      <c r="D719" s="96"/>
      <c r="E719" s="96"/>
      <c r="G719" s="77">
        <f t="shared" si="819"/>
        <v>0</v>
      </c>
      <c r="H719" s="78">
        <f t="shared" si="820"/>
        <v>0</v>
      </c>
      <c r="I719" s="77">
        <f t="shared" si="821"/>
        <v>0</v>
      </c>
      <c r="J719" s="78">
        <f t="shared" si="822"/>
        <v>0</v>
      </c>
      <c r="K719" s="78" t="str">
        <f t="shared" si="823"/>
        <v>1900-01-00 00:0:00</v>
      </c>
      <c r="L719" s="78" t="str">
        <f t="shared" si="824"/>
        <v>1900-01-00 00:0:00</v>
      </c>
      <c r="M719" s="79">
        <f t="shared" si="825"/>
        <v>0</v>
      </c>
      <c r="N719">
        <f t="shared" si="826"/>
        <v>1</v>
      </c>
      <c r="O719" t="str">
        <f>IFERROR(_xlfn.XLOOKUP(A719,HC!A:A,HC!C:C),"")</f>
        <v>Workforce</v>
      </c>
      <c r="R719" s="78" t="b">
        <f t="shared" ref="R719:AO719" si="838">IFERROR(IF($B719=$D$1,IF(AND($K719&lt;R$1,$L719&lt;R$1),"",IF(AND($K719&gt;S$1,$L719&gt;S$1),"",IF(AND($K719&lt;R$1,$L719&lt;=S$1),$L719-R$1,IF(AND($K719&gt;=R$1,$L719&gt;S$1),S$1-$K719,IF(AND($K719&gt;=R$1,$L719&lt;=S$1),$L719-$K719,IF(AND($K719&lt;R$1,$L719&gt;S$1),S$1-R$1,""))))))),"")</f>
        <v>0</v>
      </c>
      <c r="S719" s="78" t="b">
        <f t="shared" si="838"/>
        <v>0</v>
      </c>
      <c r="T719" s="78" t="b">
        <f t="shared" si="838"/>
        <v>0</v>
      </c>
      <c r="U719" s="78" t="b">
        <f t="shared" si="838"/>
        <v>0</v>
      </c>
      <c r="V719" s="78" t="b">
        <f t="shared" si="838"/>
        <v>0</v>
      </c>
      <c r="W719" s="78" t="b">
        <f t="shared" si="838"/>
        <v>0</v>
      </c>
      <c r="X719" s="78" t="b">
        <f t="shared" si="838"/>
        <v>0</v>
      </c>
      <c r="Y719" s="78" t="b">
        <f t="shared" si="838"/>
        <v>0</v>
      </c>
      <c r="Z719" s="78" t="b">
        <f t="shared" si="838"/>
        <v>0</v>
      </c>
      <c r="AA719" s="78" t="b">
        <f t="shared" si="838"/>
        <v>0</v>
      </c>
      <c r="AB719" s="78" t="b">
        <f t="shared" si="838"/>
        <v>0</v>
      </c>
      <c r="AC719" s="78" t="b">
        <f t="shared" si="838"/>
        <v>0</v>
      </c>
      <c r="AD719" s="78" t="b">
        <f t="shared" si="838"/>
        <v>0</v>
      </c>
      <c r="AE719" s="78" t="b">
        <f t="shared" si="838"/>
        <v>0</v>
      </c>
      <c r="AF719" s="78" t="b">
        <f t="shared" si="838"/>
        <v>0</v>
      </c>
      <c r="AG719" s="78" t="b">
        <f t="shared" si="838"/>
        <v>0</v>
      </c>
      <c r="AH719" s="78" t="b">
        <f t="shared" si="838"/>
        <v>0</v>
      </c>
      <c r="AI719" s="78" t="b">
        <f t="shared" si="838"/>
        <v>0</v>
      </c>
      <c r="AJ719" s="78" t="b">
        <f t="shared" si="838"/>
        <v>0</v>
      </c>
      <c r="AK719" s="78" t="b">
        <f t="shared" si="838"/>
        <v>0</v>
      </c>
      <c r="AL719" s="78" t="b">
        <f t="shared" si="838"/>
        <v>0</v>
      </c>
      <c r="AM719" s="78" t="b">
        <f t="shared" si="838"/>
        <v>0</v>
      </c>
      <c r="AN719" s="78" t="b">
        <f t="shared" si="838"/>
        <v>0</v>
      </c>
      <c r="AO719" s="78" t="b">
        <f t="shared" si="838"/>
        <v>0</v>
      </c>
      <c r="AP719" s="78"/>
    </row>
    <row r="720" spans="4:42" x14ac:dyDescent="0.35">
      <c r="D720" s="96"/>
      <c r="E720" s="96"/>
      <c r="G720" s="77">
        <f t="shared" si="819"/>
        <v>0</v>
      </c>
      <c r="H720" s="78">
        <f t="shared" si="820"/>
        <v>0</v>
      </c>
      <c r="I720" s="77">
        <f t="shared" si="821"/>
        <v>0</v>
      </c>
      <c r="J720" s="78">
        <f t="shared" si="822"/>
        <v>0</v>
      </c>
      <c r="K720" s="78" t="str">
        <f t="shared" si="823"/>
        <v>1900-01-00 00:0:00</v>
      </c>
      <c r="L720" s="78" t="str">
        <f t="shared" si="824"/>
        <v>1900-01-00 00:0:00</v>
      </c>
      <c r="M720" s="79">
        <f t="shared" si="825"/>
        <v>0</v>
      </c>
      <c r="N720">
        <f t="shared" si="826"/>
        <v>1</v>
      </c>
      <c r="O720" t="str">
        <f>IFERROR(_xlfn.XLOOKUP(A720,HC!A:A,HC!C:C),"")</f>
        <v>Workforce</v>
      </c>
      <c r="R720" s="78" t="b">
        <f t="shared" ref="R720:AO720" si="839">IFERROR(IF($B720=$D$1,IF(AND($K720&lt;R$1,$L720&lt;R$1),"",IF(AND($K720&gt;S$1,$L720&gt;S$1),"",IF(AND($K720&lt;R$1,$L720&lt;=S$1),$L720-R$1,IF(AND($K720&gt;=R$1,$L720&gt;S$1),S$1-$K720,IF(AND($K720&gt;=R$1,$L720&lt;=S$1),$L720-$K720,IF(AND($K720&lt;R$1,$L720&gt;S$1),S$1-R$1,""))))))),"")</f>
        <v>0</v>
      </c>
      <c r="S720" s="78" t="b">
        <f t="shared" si="839"/>
        <v>0</v>
      </c>
      <c r="T720" s="78" t="b">
        <f t="shared" si="839"/>
        <v>0</v>
      </c>
      <c r="U720" s="78" t="b">
        <f t="shared" si="839"/>
        <v>0</v>
      </c>
      <c r="V720" s="78" t="b">
        <f t="shared" si="839"/>
        <v>0</v>
      </c>
      <c r="W720" s="78" t="b">
        <f t="shared" si="839"/>
        <v>0</v>
      </c>
      <c r="X720" s="78" t="b">
        <f t="shared" si="839"/>
        <v>0</v>
      </c>
      <c r="Y720" s="78" t="b">
        <f t="shared" si="839"/>
        <v>0</v>
      </c>
      <c r="Z720" s="78" t="b">
        <f t="shared" si="839"/>
        <v>0</v>
      </c>
      <c r="AA720" s="78" t="b">
        <f t="shared" si="839"/>
        <v>0</v>
      </c>
      <c r="AB720" s="78" t="b">
        <f t="shared" si="839"/>
        <v>0</v>
      </c>
      <c r="AC720" s="78" t="b">
        <f t="shared" si="839"/>
        <v>0</v>
      </c>
      <c r="AD720" s="78" t="b">
        <f t="shared" si="839"/>
        <v>0</v>
      </c>
      <c r="AE720" s="78" t="b">
        <f t="shared" si="839"/>
        <v>0</v>
      </c>
      <c r="AF720" s="78" t="b">
        <f t="shared" si="839"/>
        <v>0</v>
      </c>
      <c r="AG720" s="78" t="b">
        <f t="shared" si="839"/>
        <v>0</v>
      </c>
      <c r="AH720" s="78" t="b">
        <f t="shared" si="839"/>
        <v>0</v>
      </c>
      <c r="AI720" s="78" t="b">
        <f t="shared" si="839"/>
        <v>0</v>
      </c>
      <c r="AJ720" s="78" t="b">
        <f t="shared" si="839"/>
        <v>0</v>
      </c>
      <c r="AK720" s="78" t="b">
        <f t="shared" si="839"/>
        <v>0</v>
      </c>
      <c r="AL720" s="78" t="b">
        <f t="shared" si="839"/>
        <v>0</v>
      </c>
      <c r="AM720" s="78" t="b">
        <f t="shared" si="839"/>
        <v>0</v>
      </c>
      <c r="AN720" s="78" t="b">
        <f t="shared" si="839"/>
        <v>0</v>
      </c>
      <c r="AO720" s="78" t="b">
        <f t="shared" si="839"/>
        <v>0</v>
      </c>
      <c r="AP720" s="78"/>
    </row>
    <row r="721" spans="4:42" x14ac:dyDescent="0.35">
      <c r="D721" s="96"/>
      <c r="E721" s="96"/>
      <c r="G721" s="77">
        <f t="shared" si="819"/>
        <v>0</v>
      </c>
      <c r="H721" s="78">
        <f t="shared" si="820"/>
        <v>0</v>
      </c>
      <c r="I721" s="77">
        <f t="shared" si="821"/>
        <v>0</v>
      </c>
      <c r="J721" s="78">
        <f t="shared" si="822"/>
        <v>0</v>
      </c>
      <c r="K721" s="78" t="str">
        <f t="shared" si="823"/>
        <v>1900-01-00 00:0:00</v>
      </c>
      <c r="L721" s="78" t="str">
        <f t="shared" si="824"/>
        <v>1900-01-00 00:0:00</v>
      </c>
      <c r="M721" s="79">
        <f t="shared" si="825"/>
        <v>0</v>
      </c>
      <c r="N721">
        <f t="shared" si="826"/>
        <v>1</v>
      </c>
      <c r="O721" t="str">
        <f>IFERROR(_xlfn.XLOOKUP(A721,HC!A:A,HC!C:C),"")</f>
        <v>Workforce</v>
      </c>
      <c r="R721" s="78" t="b">
        <f t="shared" ref="R721:AO721" si="840">IFERROR(IF($B721=$D$1,IF(AND($K721&lt;R$1,$L721&lt;R$1),"",IF(AND($K721&gt;S$1,$L721&gt;S$1),"",IF(AND($K721&lt;R$1,$L721&lt;=S$1),$L721-R$1,IF(AND($K721&gt;=R$1,$L721&gt;S$1),S$1-$K721,IF(AND($K721&gt;=R$1,$L721&lt;=S$1),$L721-$K721,IF(AND($K721&lt;R$1,$L721&gt;S$1),S$1-R$1,""))))))),"")</f>
        <v>0</v>
      </c>
      <c r="S721" s="78" t="b">
        <f t="shared" si="840"/>
        <v>0</v>
      </c>
      <c r="T721" s="78" t="b">
        <f t="shared" si="840"/>
        <v>0</v>
      </c>
      <c r="U721" s="78" t="b">
        <f t="shared" si="840"/>
        <v>0</v>
      </c>
      <c r="V721" s="78" t="b">
        <f t="shared" si="840"/>
        <v>0</v>
      </c>
      <c r="W721" s="78" t="b">
        <f t="shared" si="840"/>
        <v>0</v>
      </c>
      <c r="X721" s="78" t="b">
        <f t="shared" si="840"/>
        <v>0</v>
      </c>
      <c r="Y721" s="78" t="b">
        <f t="shared" si="840"/>
        <v>0</v>
      </c>
      <c r="Z721" s="78" t="b">
        <f t="shared" si="840"/>
        <v>0</v>
      </c>
      <c r="AA721" s="78" t="b">
        <f t="shared" si="840"/>
        <v>0</v>
      </c>
      <c r="AB721" s="78" t="b">
        <f t="shared" si="840"/>
        <v>0</v>
      </c>
      <c r="AC721" s="78" t="b">
        <f t="shared" si="840"/>
        <v>0</v>
      </c>
      <c r="AD721" s="78" t="b">
        <f t="shared" si="840"/>
        <v>0</v>
      </c>
      <c r="AE721" s="78" t="b">
        <f t="shared" si="840"/>
        <v>0</v>
      </c>
      <c r="AF721" s="78" t="b">
        <f t="shared" si="840"/>
        <v>0</v>
      </c>
      <c r="AG721" s="78" t="b">
        <f t="shared" si="840"/>
        <v>0</v>
      </c>
      <c r="AH721" s="78" t="b">
        <f t="shared" si="840"/>
        <v>0</v>
      </c>
      <c r="AI721" s="78" t="b">
        <f t="shared" si="840"/>
        <v>0</v>
      </c>
      <c r="AJ721" s="78" t="b">
        <f t="shared" si="840"/>
        <v>0</v>
      </c>
      <c r="AK721" s="78" t="b">
        <f t="shared" si="840"/>
        <v>0</v>
      </c>
      <c r="AL721" s="78" t="b">
        <f t="shared" si="840"/>
        <v>0</v>
      </c>
      <c r="AM721" s="78" t="b">
        <f t="shared" si="840"/>
        <v>0</v>
      </c>
      <c r="AN721" s="78" t="b">
        <f t="shared" si="840"/>
        <v>0</v>
      </c>
      <c r="AO721" s="78" t="b">
        <f t="shared" si="840"/>
        <v>0</v>
      </c>
      <c r="AP721" s="78"/>
    </row>
    <row r="722" spans="4:42" x14ac:dyDescent="0.35">
      <c r="D722" s="96"/>
      <c r="E722" s="96"/>
      <c r="G722" s="77">
        <f t="shared" si="819"/>
        <v>0</v>
      </c>
      <c r="H722" s="78">
        <f t="shared" si="820"/>
        <v>0</v>
      </c>
      <c r="I722" s="77">
        <f t="shared" si="821"/>
        <v>0</v>
      </c>
      <c r="J722" s="78">
        <f t="shared" si="822"/>
        <v>0</v>
      </c>
      <c r="K722" s="78" t="str">
        <f t="shared" si="823"/>
        <v>1900-01-00 00:0:00</v>
      </c>
      <c r="L722" s="78" t="str">
        <f t="shared" si="824"/>
        <v>1900-01-00 00:0:00</v>
      </c>
      <c r="M722" s="79">
        <f t="shared" si="825"/>
        <v>0</v>
      </c>
      <c r="N722">
        <f t="shared" si="826"/>
        <v>1</v>
      </c>
      <c r="O722" t="str">
        <f>IFERROR(_xlfn.XLOOKUP(A722,HC!A:A,HC!C:C),"")</f>
        <v>Workforce</v>
      </c>
      <c r="R722" s="78" t="b">
        <f t="shared" ref="R722:AO722" si="841">IFERROR(IF($B722=$D$1,IF(AND($K722&lt;R$1,$L722&lt;R$1),"",IF(AND($K722&gt;S$1,$L722&gt;S$1),"",IF(AND($K722&lt;R$1,$L722&lt;=S$1),$L722-R$1,IF(AND($K722&gt;=R$1,$L722&gt;S$1),S$1-$K722,IF(AND($K722&gt;=R$1,$L722&lt;=S$1),$L722-$K722,IF(AND($K722&lt;R$1,$L722&gt;S$1),S$1-R$1,""))))))),"")</f>
        <v>0</v>
      </c>
      <c r="S722" s="78" t="b">
        <f t="shared" si="841"/>
        <v>0</v>
      </c>
      <c r="T722" s="78" t="b">
        <f t="shared" si="841"/>
        <v>0</v>
      </c>
      <c r="U722" s="78" t="b">
        <f t="shared" si="841"/>
        <v>0</v>
      </c>
      <c r="V722" s="78" t="b">
        <f t="shared" si="841"/>
        <v>0</v>
      </c>
      <c r="W722" s="78" t="b">
        <f t="shared" si="841"/>
        <v>0</v>
      </c>
      <c r="X722" s="78" t="b">
        <f t="shared" si="841"/>
        <v>0</v>
      </c>
      <c r="Y722" s="78" t="b">
        <f t="shared" si="841"/>
        <v>0</v>
      </c>
      <c r="Z722" s="78" t="b">
        <f t="shared" si="841"/>
        <v>0</v>
      </c>
      <c r="AA722" s="78" t="b">
        <f t="shared" si="841"/>
        <v>0</v>
      </c>
      <c r="AB722" s="78" t="b">
        <f t="shared" si="841"/>
        <v>0</v>
      </c>
      <c r="AC722" s="78" t="b">
        <f t="shared" si="841"/>
        <v>0</v>
      </c>
      <c r="AD722" s="78" t="b">
        <f t="shared" si="841"/>
        <v>0</v>
      </c>
      <c r="AE722" s="78" t="b">
        <f t="shared" si="841"/>
        <v>0</v>
      </c>
      <c r="AF722" s="78" t="b">
        <f t="shared" si="841"/>
        <v>0</v>
      </c>
      <c r="AG722" s="78" t="b">
        <f t="shared" si="841"/>
        <v>0</v>
      </c>
      <c r="AH722" s="78" t="b">
        <f t="shared" si="841"/>
        <v>0</v>
      </c>
      <c r="AI722" s="78" t="b">
        <f t="shared" si="841"/>
        <v>0</v>
      </c>
      <c r="AJ722" s="78" t="b">
        <f t="shared" si="841"/>
        <v>0</v>
      </c>
      <c r="AK722" s="78" t="b">
        <f t="shared" si="841"/>
        <v>0</v>
      </c>
      <c r="AL722" s="78" t="b">
        <f t="shared" si="841"/>
        <v>0</v>
      </c>
      <c r="AM722" s="78" t="b">
        <f t="shared" si="841"/>
        <v>0</v>
      </c>
      <c r="AN722" s="78" t="b">
        <f t="shared" si="841"/>
        <v>0</v>
      </c>
      <c r="AO722" s="78" t="b">
        <f t="shared" si="841"/>
        <v>0</v>
      </c>
      <c r="AP722" s="78"/>
    </row>
    <row r="723" spans="4:42" x14ac:dyDescent="0.35">
      <c r="D723" s="96"/>
      <c r="E723" s="96"/>
      <c r="G723" s="77">
        <f t="shared" si="819"/>
        <v>0</v>
      </c>
      <c r="H723" s="78">
        <f t="shared" si="820"/>
        <v>0</v>
      </c>
      <c r="I723" s="77">
        <f t="shared" si="821"/>
        <v>0</v>
      </c>
      <c r="J723" s="78">
        <f t="shared" si="822"/>
        <v>0</v>
      </c>
      <c r="K723" s="78" t="str">
        <f t="shared" si="823"/>
        <v>1900-01-00 00:0:00</v>
      </c>
      <c r="L723" s="78" t="str">
        <f t="shared" si="824"/>
        <v>1900-01-00 00:0:00</v>
      </c>
      <c r="M723" s="79">
        <f t="shared" si="825"/>
        <v>0</v>
      </c>
      <c r="N723">
        <f t="shared" si="826"/>
        <v>1</v>
      </c>
      <c r="O723" t="str">
        <f>IFERROR(_xlfn.XLOOKUP(A723,HC!A:A,HC!C:C),"")</f>
        <v>Workforce</v>
      </c>
      <c r="R723" s="78" t="b">
        <f t="shared" ref="R723:AO723" si="842">IFERROR(IF($B723=$D$1,IF(AND($K723&lt;R$1,$L723&lt;R$1),"",IF(AND($K723&gt;S$1,$L723&gt;S$1),"",IF(AND($K723&lt;R$1,$L723&lt;=S$1),$L723-R$1,IF(AND($K723&gt;=R$1,$L723&gt;S$1),S$1-$K723,IF(AND($K723&gt;=R$1,$L723&lt;=S$1),$L723-$K723,IF(AND($K723&lt;R$1,$L723&gt;S$1),S$1-R$1,""))))))),"")</f>
        <v>0</v>
      </c>
      <c r="S723" s="78" t="b">
        <f t="shared" si="842"/>
        <v>0</v>
      </c>
      <c r="T723" s="78" t="b">
        <f t="shared" si="842"/>
        <v>0</v>
      </c>
      <c r="U723" s="78" t="b">
        <f t="shared" si="842"/>
        <v>0</v>
      </c>
      <c r="V723" s="78" t="b">
        <f t="shared" si="842"/>
        <v>0</v>
      </c>
      <c r="W723" s="78" t="b">
        <f t="shared" si="842"/>
        <v>0</v>
      </c>
      <c r="X723" s="78" t="b">
        <f t="shared" si="842"/>
        <v>0</v>
      </c>
      <c r="Y723" s="78" t="b">
        <f t="shared" si="842"/>
        <v>0</v>
      </c>
      <c r="Z723" s="78" t="b">
        <f t="shared" si="842"/>
        <v>0</v>
      </c>
      <c r="AA723" s="78" t="b">
        <f t="shared" si="842"/>
        <v>0</v>
      </c>
      <c r="AB723" s="78" t="b">
        <f t="shared" si="842"/>
        <v>0</v>
      </c>
      <c r="AC723" s="78" t="b">
        <f t="shared" si="842"/>
        <v>0</v>
      </c>
      <c r="AD723" s="78" t="b">
        <f t="shared" si="842"/>
        <v>0</v>
      </c>
      <c r="AE723" s="78" t="b">
        <f t="shared" si="842"/>
        <v>0</v>
      </c>
      <c r="AF723" s="78" t="b">
        <f t="shared" si="842"/>
        <v>0</v>
      </c>
      <c r="AG723" s="78" t="b">
        <f t="shared" si="842"/>
        <v>0</v>
      </c>
      <c r="AH723" s="78" t="b">
        <f t="shared" si="842"/>
        <v>0</v>
      </c>
      <c r="AI723" s="78" t="b">
        <f t="shared" si="842"/>
        <v>0</v>
      </c>
      <c r="AJ723" s="78" t="b">
        <f t="shared" si="842"/>
        <v>0</v>
      </c>
      <c r="AK723" s="78" t="b">
        <f t="shared" si="842"/>
        <v>0</v>
      </c>
      <c r="AL723" s="78" t="b">
        <f t="shared" si="842"/>
        <v>0</v>
      </c>
      <c r="AM723" s="78" t="b">
        <f t="shared" si="842"/>
        <v>0</v>
      </c>
      <c r="AN723" s="78" t="b">
        <f t="shared" si="842"/>
        <v>0</v>
      </c>
      <c r="AO723" s="78" t="b">
        <f t="shared" si="842"/>
        <v>0</v>
      </c>
      <c r="AP723" s="78"/>
    </row>
    <row r="724" spans="4:42" x14ac:dyDescent="0.35">
      <c r="D724" s="96"/>
      <c r="E724" s="96"/>
      <c r="G724" s="77">
        <f t="shared" si="819"/>
        <v>0</v>
      </c>
      <c r="H724" s="78">
        <f t="shared" si="820"/>
        <v>0</v>
      </c>
      <c r="I724" s="77">
        <f t="shared" si="821"/>
        <v>0</v>
      </c>
      <c r="J724" s="78">
        <f t="shared" si="822"/>
        <v>0</v>
      </c>
      <c r="K724" s="78" t="str">
        <f t="shared" si="823"/>
        <v>1900-01-00 00:0:00</v>
      </c>
      <c r="L724" s="78" t="str">
        <f t="shared" si="824"/>
        <v>1900-01-00 00:0:00</v>
      </c>
      <c r="M724" s="79">
        <f t="shared" si="825"/>
        <v>0</v>
      </c>
      <c r="N724">
        <f t="shared" si="826"/>
        <v>1</v>
      </c>
      <c r="O724" t="str">
        <f>IFERROR(_xlfn.XLOOKUP(A724,HC!A:A,HC!C:C),"")</f>
        <v>Workforce</v>
      </c>
      <c r="R724" s="78" t="b">
        <f t="shared" ref="R724:AO724" si="843">IFERROR(IF($B724=$D$1,IF(AND($K724&lt;R$1,$L724&lt;R$1),"",IF(AND($K724&gt;S$1,$L724&gt;S$1),"",IF(AND($K724&lt;R$1,$L724&lt;=S$1),$L724-R$1,IF(AND($K724&gt;=R$1,$L724&gt;S$1),S$1-$K724,IF(AND($K724&gt;=R$1,$L724&lt;=S$1),$L724-$K724,IF(AND($K724&lt;R$1,$L724&gt;S$1),S$1-R$1,""))))))),"")</f>
        <v>0</v>
      </c>
      <c r="S724" s="78" t="b">
        <f t="shared" si="843"/>
        <v>0</v>
      </c>
      <c r="T724" s="78" t="b">
        <f t="shared" si="843"/>
        <v>0</v>
      </c>
      <c r="U724" s="78" t="b">
        <f t="shared" si="843"/>
        <v>0</v>
      </c>
      <c r="V724" s="78" t="b">
        <f t="shared" si="843"/>
        <v>0</v>
      </c>
      <c r="W724" s="78" t="b">
        <f t="shared" si="843"/>
        <v>0</v>
      </c>
      <c r="X724" s="78" t="b">
        <f t="shared" si="843"/>
        <v>0</v>
      </c>
      <c r="Y724" s="78" t="b">
        <f t="shared" si="843"/>
        <v>0</v>
      </c>
      <c r="Z724" s="78" t="b">
        <f t="shared" si="843"/>
        <v>0</v>
      </c>
      <c r="AA724" s="78" t="b">
        <f t="shared" si="843"/>
        <v>0</v>
      </c>
      <c r="AB724" s="78" t="b">
        <f t="shared" si="843"/>
        <v>0</v>
      </c>
      <c r="AC724" s="78" t="b">
        <f t="shared" si="843"/>
        <v>0</v>
      </c>
      <c r="AD724" s="78" t="b">
        <f t="shared" si="843"/>
        <v>0</v>
      </c>
      <c r="AE724" s="78" t="b">
        <f t="shared" si="843"/>
        <v>0</v>
      </c>
      <c r="AF724" s="78" t="b">
        <f t="shared" si="843"/>
        <v>0</v>
      </c>
      <c r="AG724" s="78" t="b">
        <f t="shared" si="843"/>
        <v>0</v>
      </c>
      <c r="AH724" s="78" t="b">
        <f t="shared" si="843"/>
        <v>0</v>
      </c>
      <c r="AI724" s="78" t="b">
        <f t="shared" si="843"/>
        <v>0</v>
      </c>
      <c r="AJ724" s="78" t="b">
        <f t="shared" si="843"/>
        <v>0</v>
      </c>
      <c r="AK724" s="78" t="b">
        <f t="shared" si="843"/>
        <v>0</v>
      </c>
      <c r="AL724" s="78" t="b">
        <f t="shared" si="843"/>
        <v>0</v>
      </c>
      <c r="AM724" s="78" t="b">
        <f t="shared" si="843"/>
        <v>0</v>
      </c>
      <c r="AN724" s="78" t="b">
        <f t="shared" si="843"/>
        <v>0</v>
      </c>
      <c r="AO724" s="78" t="b">
        <f t="shared" si="843"/>
        <v>0</v>
      </c>
      <c r="AP724" s="78"/>
    </row>
    <row r="725" spans="4:42" x14ac:dyDescent="0.35">
      <c r="D725" s="96"/>
      <c r="E725" s="96"/>
      <c r="G725" s="77">
        <f t="shared" si="819"/>
        <v>0</v>
      </c>
      <c r="H725" s="78">
        <f t="shared" si="820"/>
        <v>0</v>
      </c>
      <c r="I725" s="77">
        <f t="shared" si="821"/>
        <v>0</v>
      </c>
      <c r="J725" s="78">
        <f t="shared" si="822"/>
        <v>0</v>
      </c>
      <c r="K725" s="78" t="str">
        <f t="shared" si="823"/>
        <v>1900-01-00 00:0:00</v>
      </c>
      <c r="L725" s="78" t="str">
        <f t="shared" si="824"/>
        <v>1900-01-00 00:0:00</v>
      </c>
      <c r="M725" s="79">
        <f t="shared" si="825"/>
        <v>0</v>
      </c>
      <c r="N725">
        <f t="shared" si="826"/>
        <v>1</v>
      </c>
      <c r="O725" t="str">
        <f>IFERROR(_xlfn.XLOOKUP(A725,HC!A:A,HC!C:C),"")</f>
        <v>Workforce</v>
      </c>
      <c r="R725" s="78" t="b">
        <f t="shared" ref="R725:AO725" si="844">IFERROR(IF($B725=$D$1,IF(AND($K725&lt;R$1,$L725&lt;R$1),"",IF(AND($K725&gt;S$1,$L725&gt;S$1),"",IF(AND($K725&lt;R$1,$L725&lt;=S$1),$L725-R$1,IF(AND($K725&gt;=R$1,$L725&gt;S$1),S$1-$K725,IF(AND($K725&gt;=R$1,$L725&lt;=S$1),$L725-$K725,IF(AND($K725&lt;R$1,$L725&gt;S$1),S$1-R$1,""))))))),"")</f>
        <v>0</v>
      </c>
      <c r="S725" s="78" t="b">
        <f t="shared" si="844"/>
        <v>0</v>
      </c>
      <c r="T725" s="78" t="b">
        <f t="shared" si="844"/>
        <v>0</v>
      </c>
      <c r="U725" s="78" t="b">
        <f t="shared" si="844"/>
        <v>0</v>
      </c>
      <c r="V725" s="78" t="b">
        <f t="shared" si="844"/>
        <v>0</v>
      </c>
      <c r="W725" s="78" t="b">
        <f t="shared" si="844"/>
        <v>0</v>
      </c>
      <c r="X725" s="78" t="b">
        <f t="shared" si="844"/>
        <v>0</v>
      </c>
      <c r="Y725" s="78" t="b">
        <f t="shared" si="844"/>
        <v>0</v>
      </c>
      <c r="Z725" s="78" t="b">
        <f t="shared" si="844"/>
        <v>0</v>
      </c>
      <c r="AA725" s="78" t="b">
        <f t="shared" si="844"/>
        <v>0</v>
      </c>
      <c r="AB725" s="78" t="b">
        <f t="shared" si="844"/>
        <v>0</v>
      </c>
      <c r="AC725" s="78" t="b">
        <f t="shared" si="844"/>
        <v>0</v>
      </c>
      <c r="AD725" s="78" t="b">
        <f t="shared" si="844"/>
        <v>0</v>
      </c>
      <c r="AE725" s="78" t="b">
        <f t="shared" si="844"/>
        <v>0</v>
      </c>
      <c r="AF725" s="78" t="b">
        <f t="shared" si="844"/>
        <v>0</v>
      </c>
      <c r="AG725" s="78" t="b">
        <f t="shared" si="844"/>
        <v>0</v>
      </c>
      <c r="AH725" s="78" t="b">
        <f t="shared" si="844"/>
        <v>0</v>
      </c>
      <c r="AI725" s="78" t="b">
        <f t="shared" si="844"/>
        <v>0</v>
      </c>
      <c r="AJ725" s="78" t="b">
        <f t="shared" si="844"/>
        <v>0</v>
      </c>
      <c r="AK725" s="78" t="b">
        <f t="shared" si="844"/>
        <v>0</v>
      </c>
      <c r="AL725" s="78" t="b">
        <f t="shared" si="844"/>
        <v>0</v>
      </c>
      <c r="AM725" s="78" t="b">
        <f t="shared" si="844"/>
        <v>0</v>
      </c>
      <c r="AN725" s="78" t="b">
        <f t="shared" si="844"/>
        <v>0</v>
      </c>
      <c r="AO725" s="78" t="b">
        <f t="shared" si="844"/>
        <v>0</v>
      </c>
      <c r="AP725" s="78"/>
    </row>
    <row r="726" spans="4:42" x14ac:dyDescent="0.35">
      <c r="D726" s="96"/>
      <c r="E726" s="96"/>
      <c r="G726" s="77">
        <f t="shared" si="819"/>
        <v>0</v>
      </c>
      <c r="H726" s="78">
        <f t="shared" si="820"/>
        <v>0</v>
      </c>
      <c r="I726" s="77">
        <f t="shared" si="821"/>
        <v>0</v>
      </c>
      <c r="J726" s="78">
        <f t="shared" si="822"/>
        <v>0</v>
      </c>
      <c r="K726" s="78" t="str">
        <f t="shared" si="823"/>
        <v>1900-01-00 00:0:00</v>
      </c>
      <c r="L726" s="78" t="str">
        <f t="shared" si="824"/>
        <v>1900-01-00 00:0:00</v>
      </c>
      <c r="M726" s="79">
        <f t="shared" si="825"/>
        <v>0</v>
      </c>
      <c r="N726">
        <f t="shared" si="826"/>
        <v>1</v>
      </c>
      <c r="O726" t="str">
        <f>IFERROR(_xlfn.XLOOKUP(A726,HC!A:A,HC!C:C),"")</f>
        <v>Workforce</v>
      </c>
      <c r="R726" s="78" t="b">
        <f t="shared" ref="R726:AO726" si="845">IFERROR(IF($B726=$D$1,IF(AND($K726&lt;R$1,$L726&lt;R$1),"",IF(AND($K726&gt;S$1,$L726&gt;S$1),"",IF(AND($K726&lt;R$1,$L726&lt;=S$1),$L726-R$1,IF(AND($K726&gt;=R$1,$L726&gt;S$1),S$1-$K726,IF(AND($K726&gt;=R$1,$L726&lt;=S$1),$L726-$K726,IF(AND($K726&lt;R$1,$L726&gt;S$1),S$1-R$1,""))))))),"")</f>
        <v>0</v>
      </c>
      <c r="S726" s="78" t="b">
        <f t="shared" si="845"/>
        <v>0</v>
      </c>
      <c r="T726" s="78" t="b">
        <f t="shared" si="845"/>
        <v>0</v>
      </c>
      <c r="U726" s="78" t="b">
        <f t="shared" si="845"/>
        <v>0</v>
      </c>
      <c r="V726" s="78" t="b">
        <f t="shared" si="845"/>
        <v>0</v>
      </c>
      <c r="W726" s="78" t="b">
        <f t="shared" si="845"/>
        <v>0</v>
      </c>
      <c r="X726" s="78" t="b">
        <f t="shared" si="845"/>
        <v>0</v>
      </c>
      <c r="Y726" s="78" t="b">
        <f t="shared" si="845"/>
        <v>0</v>
      </c>
      <c r="Z726" s="78" t="b">
        <f t="shared" si="845"/>
        <v>0</v>
      </c>
      <c r="AA726" s="78" t="b">
        <f t="shared" si="845"/>
        <v>0</v>
      </c>
      <c r="AB726" s="78" t="b">
        <f t="shared" si="845"/>
        <v>0</v>
      </c>
      <c r="AC726" s="78" t="b">
        <f t="shared" si="845"/>
        <v>0</v>
      </c>
      <c r="AD726" s="78" t="b">
        <f t="shared" si="845"/>
        <v>0</v>
      </c>
      <c r="AE726" s="78" t="b">
        <f t="shared" si="845"/>
        <v>0</v>
      </c>
      <c r="AF726" s="78" t="b">
        <f t="shared" si="845"/>
        <v>0</v>
      </c>
      <c r="AG726" s="78" t="b">
        <f t="shared" si="845"/>
        <v>0</v>
      </c>
      <c r="AH726" s="78" t="b">
        <f t="shared" si="845"/>
        <v>0</v>
      </c>
      <c r="AI726" s="78" t="b">
        <f t="shared" si="845"/>
        <v>0</v>
      </c>
      <c r="AJ726" s="78" t="b">
        <f t="shared" si="845"/>
        <v>0</v>
      </c>
      <c r="AK726" s="78" t="b">
        <f t="shared" si="845"/>
        <v>0</v>
      </c>
      <c r="AL726" s="78" t="b">
        <f t="shared" si="845"/>
        <v>0</v>
      </c>
      <c r="AM726" s="78" t="b">
        <f t="shared" si="845"/>
        <v>0</v>
      </c>
      <c r="AN726" s="78" t="b">
        <f t="shared" si="845"/>
        <v>0</v>
      </c>
      <c r="AO726" s="78" t="b">
        <f t="shared" si="845"/>
        <v>0</v>
      </c>
      <c r="AP726" s="78"/>
    </row>
    <row r="727" spans="4:42" x14ac:dyDescent="0.35">
      <c r="D727" s="96"/>
      <c r="E727" s="96"/>
      <c r="G727" s="77">
        <f t="shared" si="819"/>
        <v>0</v>
      </c>
      <c r="H727" s="78">
        <f t="shared" si="820"/>
        <v>0</v>
      </c>
      <c r="I727" s="77">
        <f t="shared" si="821"/>
        <v>0</v>
      </c>
      <c r="J727" s="78">
        <f t="shared" si="822"/>
        <v>0</v>
      </c>
      <c r="K727" s="78" t="str">
        <f t="shared" si="823"/>
        <v>1900-01-00 00:0:00</v>
      </c>
      <c r="L727" s="78" t="str">
        <f t="shared" si="824"/>
        <v>1900-01-00 00:0:00</v>
      </c>
      <c r="M727" s="79">
        <f t="shared" si="825"/>
        <v>0</v>
      </c>
      <c r="N727">
        <f t="shared" si="826"/>
        <v>1</v>
      </c>
      <c r="O727" t="str">
        <f>IFERROR(_xlfn.XLOOKUP(A727,HC!A:A,HC!C:C),"")</f>
        <v>Workforce</v>
      </c>
      <c r="R727" s="78" t="b">
        <f t="shared" ref="R727:AO727" si="846">IFERROR(IF($B727=$D$1,IF(AND($K727&lt;R$1,$L727&lt;R$1),"",IF(AND($K727&gt;S$1,$L727&gt;S$1),"",IF(AND($K727&lt;R$1,$L727&lt;=S$1),$L727-R$1,IF(AND($K727&gt;=R$1,$L727&gt;S$1),S$1-$K727,IF(AND($K727&gt;=R$1,$L727&lt;=S$1),$L727-$K727,IF(AND($K727&lt;R$1,$L727&gt;S$1),S$1-R$1,""))))))),"")</f>
        <v>0</v>
      </c>
      <c r="S727" s="78" t="b">
        <f t="shared" si="846"/>
        <v>0</v>
      </c>
      <c r="T727" s="78" t="b">
        <f t="shared" si="846"/>
        <v>0</v>
      </c>
      <c r="U727" s="78" t="b">
        <f t="shared" si="846"/>
        <v>0</v>
      </c>
      <c r="V727" s="78" t="b">
        <f t="shared" si="846"/>
        <v>0</v>
      </c>
      <c r="W727" s="78" t="b">
        <f t="shared" si="846"/>
        <v>0</v>
      </c>
      <c r="X727" s="78" t="b">
        <f t="shared" si="846"/>
        <v>0</v>
      </c>
      <c r="Y727" s="78" t="b">
        <f t="shared" si="846"/>
        <v>0</v>
      </c>
      <c r="Z727" s="78" t="b">
        <f t="shared" si="846"/>
        <v>0</v>
      </c>
      <c r="AA727" s="78" t="b">
        <f t="shared" si="846"/>
        <v>0</v>
      </c>
      <c r="AB727" s="78" t="b">
        <f t="shared" si="846"/>
        <v>0</v>
      </c>
      <c r="AC727" s="78" t="b">
        <f t="shared" si="846"/>
        <v>0</v>
      </c>
      <c r="AD727" s="78" t="b">
        <f t="shared" si="846"/>
        <v>0</v>
      </c>
      <c r="AE727" s="78" t="b">
        <f t="shared" si="846"/>
        <v>0</v>
      </c>
      <c r="AF727" s="78" t="b">
        <f t="shared" si="846"/>
        <v>0</v>
      </c>
      <c r="AG727" s="78" t="b">
        <f t="shared" si="846"/>
        <v>0</v>
      </c>
      <c r="AH727" s="78" t="b">
        <f t="shared" si="846"/>
        <v>0</v>
      </c>
      <c r="AI727" s="78" t="b">
        <f t="shared" si="846"/>
        <v>0</v>
      </c>
      <c r="AJ727" s="78" t="b">
        <f t="shared" si="846"/>
        <v>0</v>
      </c>
      <c r="AK727" s="78" t="b">
        <f t="shared" si="846"/>
        <v>0</v>
      </c>
      <c r="AL727" s="78" t="b">
        <f t="shared" si="846"/>
        <v>0</v>
      </c>
      <c r="AM727" s="78" t="b">
        <f t="shared" si="846"/>
        <v>0</v>
      </c>
      <c r="AN727" s="78" t="b">
        <f t="shared" si="846"/>
        <v>0</v>
      </c>
      <c r="AO727" s="78" t="b">
        <f t="shared" si="846"/>
        <v>0</v>
      </c>
      <c r="AP727" s="78"/>
    </row>
    <row r="728" spans="4:42" x14ac:dyDescent="0.35">
      <c r="D728" s="96"/>
      <c r="E728" s="96"/>
      <c r="G728" s="77">
        <f t="shared" si="819"/>
        <v>0</v>
      </c>
      <c r="H728" s="78">
        <f t="shared" si="820"/>
        <v>0</v>
      </c>
      <c r="I728" s="77">
        <f t="shared" si="821"/>
        <v>0</v>
      </c>
      <c r="J728" s="78">
        <f t="shared" si="822"/>
        <v>0</v>
      </c>
      <c r="K728" s="78" t="str">
        <f t="shared" si="823"/>
        <v>1900-01-00 00:0:00</v>
      </c>
      <c r="L728" s="78" t="str">
        <f t="shared" si="824"/>
        <v>1900-01-00 00:0:00</v>
      </c>
      <c r="M728" s="79">
        <f t="shared" si="825"/>
        <v>0</v>
      </c>
      <c r="N728">
        <f t="shared" si="826"/>
        <v>1</v>
      </c>
      <c r="O728" t="str">
        <f>IFERROR(_xlfn.XLOOKUP(A728,HC!A:A,HC!C:C),"")</f>
        <v>Workforce</v>
      </c>
      <c r="R728" s="78" t="b">
        <f t="shared" ref="R728:AO728" si="847">IFERROR(IF($B728=$D$1,IF(AND($K728&lt;R$1,$L728&lt;R$1),"",IF(AND($K728&gt;S$1,$L728&gt;S$1),"",IF(AND($K728&lt;R$1,$L728&lt;=S$1),$L728-R$1,IF(AND($K728&gt;=R$1,$L728&gt;S$1),S$1-$K728,IF(AND($K728&gt;=R$1,$L728&lt;=S$1),$L728-$K728,IF(AND($K728&lt;R$1,$L728&gt;S$1),S$1-R$1,""))))))),"")</f>
        <v>0</v>
      </c>
      <c r="S728" s="78" t="b">
        <f t="shared" si="847"/>
        <v>0</v>
      </c>
      <c r="T728" s="78" t="b">
        <f t="shared" si="847"/>
        <v>0</v>
      </c>
      <c r="U728" s="78" t="b">
        <f t="shared" si="847"/>
        <v>0</v>
      </c>
      <c r="V728" s="78" t="b">
        <f t="shared" si="847"/>
        <v>0</v>
      </c>
      <c r="W728" s="78" t="b">
        <f t="shared" si="847"/>
        <v>0</v>
      </c>
      <c r="X728" s="78" t="b">
        <f t="shared" si="847"/>
        <v>0</v>
      </c>
      <c r="Y728" s="78" t="b">
        <f t="shared" si="847"/>
        <v>0</v>
      </c>
      <c r="Z728" s="78" t="b">
        <f t="shared" si="847"/>
        <v>0</v>
      </c>
      <c r="AA728" s="78" t="b">
        <f t="shared" si="847"/>
        <v>0</v>
      </c>
      <c r="AB728" s="78" t="b">
        <f t="shared" si="847"/>
        <v>0</v>
      </c>
      <c r="AC728" s="78" t="b">
        <f t="shared" si="847"/>
        <v>0</v>
      </c>
      <c r="AD728" s="78" t="b">
        <f t="shared" si="847"/>
        <v>0</v>
      </c>
      <c r="AE728" s="78" t="b">
        <f t="shared" si="847"/>
        <v>0</v>
      </c>
      <c r="AF728" s="78" t="b">
        <f t="shared" si="847"/>
        <v>0</v>
      </c>
      <c r="AG728" s="78" t="b">
        <f t="shared" si="847"/>
        <v>0</v>
      </c>
      <c r="AH728" s="78" t="b">
        <f t="shared" si="847"/>
        <v>0</v>
      </c>
      <c r="AI728" s="78" t="b">
        <f t="shared" si="847"/>
        <v>0</v>
      </c>
      <c r="AJ728" s="78" t="b">
        <f t="shared" si="847"/>
        <v>0</v>
      </c>
      <c r="AK728" s="78" t="b">
        <f t="shared" si="847"/>
        <v>0</v>
      </c>
      <c r="AL728" s="78" t="b">
        <f t="shared" si="847"/>
        <v>0</v>
      </c>
      <c r="AM728" s="78" t="b">
        <f t="shared" si="847"/>
        <v>0</v>
      </c>
      <c r="AN728" s="78" t="b">
        <f t="shared" si="847"/>
        <v>0</v>
      </c>
      <c r="AO728" s="78" t="b">
        <f t="shared" si="847"/>
        <v>0</v>
      </c>
      <c r="AP728" s="78"/>
    </row>
    <row r="729" spans="4:42" x14ac:dyDescent="0.35">
      <c r="D729" s="96"/>
      <c r="E729" s="96"/>
      <c r="G729" s="77">
        <f t="shared" si="819"/>
        <v>0</v>
      </c>
      <c r="H729" s="78">
        <f t="shared" si="820"/>
        <v>0</v>
      </c>
      <c r="I729" s="77">
        <f t="shared" si="821"/>
        <v>0</v>
      </c>
      <c r="J729" s="78">
        <f t="shared" si="822"/>
        <v>0</v>
      </c>
      <c r="K729" s="78" t="str">
        <f t="shared" si="823"/>
        <v>1900-01-00 00:0:00</v>
      </c>
      <c r="L729" s="78" t="str">
        <f t="shared" si="824"/>
        <v>1900-01-00 00:0:00</v>
      </c>
      <c r="M729" s="79">
        <f t="shared" si="825"/>
        <v>0</v>
      </c>
      <c r="N729">
        <f t="shared" si="826"/>
        <v>1</v>
      </c>
      <c r="O729" t="str">
        <f>IFERROR(_xlfn.XLOOKUP(A729,HC!A:A,HC!C:C),"")</f>
        <v>Workforce</v>
      </c>
      <c r="R729" s="78" t="b">
        <f t="shared" ref="R729:AO729" si="848">IFERROR(IF($B729=$D$1,IF(AND($K729&lt;R$1,$L729&lt;R$1),"",IF(AND($K729&gt;S$1,$L729&gt;S$1),"",IF(AND($K729&lt;R$1,$L729&lt;=S$1),$L729-R$1,IF(AND($K729&gt;=R$1,$L729&gt;S$1),S$1-$K729,IF(AND($K729&gt;=R$1,$L729&lt;=S$1),$L729-$K729,IF(AND($K729&lt;R$1,$L729&gt;S$1),S$1-R$1,""))))))),"")</f>
        <v>0</v>
      </c>
      <c r="S729" s="78" t="b">
        <f t="shared" si="848"/>
        <v>0</v>
      </c>
      <c r="T729" s="78" t="b">
        <f t="shared" si="848"/>
        <v>0</v>
      </c>
      <c r="U729" s="78" t="b">
        <f t="shared" si="848"/>
        <v>0</v>
      </c>
      <c r="V729" s="78" t="b">
        <f t="shared" si="848"/>
        <v>0</v>
      </c>
      <c r="W729" s="78" t="b">
        <f t="shared" si="848"/>
        <v>0</v>
      </c>
      <c r="X729" s="78" t="b">
        <f t="shared" si="848"/>
        <v>0</v>
      </c>
      <c r="Y729" s="78" t="b">
        <f t="shared" si="848"/>
        <v>0</v>
      </c>
      <c r="Z729" s="78" t="b">
        <f t="shared" si="848"/>
        <v>0</v>
      </c>
      <c r="AA729" s="78" t="b">
        <f t="shared" si="848"/>
        <v>0</v>
      </c>
      <c r="AB729" s="78" t="b">
        <f t="shared" si="848"/>
        <v>0</v>
      </c>
      <c r="AC729" s="78" t="b">
        <f t="shared" si="848"/>
        <v>0</v>
      </c>
      <c r="AD729" s="78" t="b">
        <f t="shared" si="848"/>
        <v>0</v>
      </c>
      <c r="AE729" s="78" t="b">
        <f t="shared" si="848"/>
        <v>0</v>
      </c>
      <c r="AF729" s="78" t="b">
        <f t="shared" si="848"/>
        <v>0</v>
      </c>
      <c r="AG729" s="78" t="b">
        <f t="shared" si="848"/>
        <v>0</v>
      </c>
      <c r="AH729" s="78" t="b">
        <f t="shared" si="848"/>
        <v>0</v>
      </c>
      <c r="AI729" s="78" t="b">
        <f t="shared" si="848"/>
        <v>0</v>
      </c>
      <c r="AJ729" s="78" t="b">
        <f t="shared" si="848"/>
        <v>0</v>
      </c>
      <c r="AK729" s="78" t="b">
        <f t="shared" si="848"/>
        <v>0</v>
      </c>
      <c r="AL729" s="78" t="b">
        <f t="shared" si="848"/>
        <v>0</v>
      </c>
      <c r="AM729" s="78" t="b">
        <f t="shared" si="848"/>
        <v>0</v>
      </c>
      <c r="AN729" s="78" t="b">
        <f t="shared" si="848"/>
        <v>0</v>
      </c>
      <c r="AO729" s="78" t="b">
        <f t="shared" si="848"/>
        <v>0</v>
      </c>
      <c r="AP729" s="78"/>
    </row>
    <row r="730" spans="4:42" x14ac:dyDescent="0.35">
      <c r="D730" s="96"/>
      <c r="E730" s="96"/>
      <c r="G730" s="77">
        <f t="shared" si="819"/>
        <v>0</v>
      </c>
      <c r="H730" s="78">
        <f t="shared" si="820"/>
        <v>0</v>
      </c>
      <c r="I730" s="77">
        <f t="shared" si="821"/>
        <v>0</v>
      </c>
      <c r="J730" s="78">
        <f t="shared" si="822"/>
        <v>0</v>
      </c>
      <c r="K730" s="78" t="str">
        <f t="shared" si="823"/>
        <v>1900-01-00 00:0:00</v>
      </c>
      <c r="L730" s="78" t="str">
        <f t="shared" si="824"/>
        <v>1900-01-00 00:0:00</v>
      </c>
      <c r="M730" s="79">
        <f t="shared" si="825"/>
        <v>0</v>
      </c>
      <c r="N730">
        <f t="shared" si="826"/>
        <v>1</v>
      </c>
      <c r="O730" t="str">
        <f>IFERROR(_xlfn.XLOOKUP(A730,HC!A:A,HC!C:C),"")</f>
        <v>Workforce</v>
      </c>
      <c r="R730" s="78" t="b">
        <f t="shared" ref="R730:AO730" si="849">IFERROR(IF($B730=$D$1,IF(AND($K730&lt;R$1,$L730&lt;R$1),"",IF(AND($K730&gt;S$1,$L730&gt;S$1),"",IF(AND($K730&lt;R$1,$L730&lt;=S$1),$L730-R$1,IF(AND($K730&gt;=R$1,$L730&gt;S$1),S$1-$K730,IF(AND($K730&gt;=R$1,$L730&lt;=S$1),$L730-$K730,IF(AND($K730&lt;R$1,$L730&gt;S$1),S$1-R$1,""))))))),"")</f>
        <v>0</v>
      </c>
      <c r="S730" s="78" t="b">
        <f t="shared" si="849"/>
        <v>0</v>
      </c>
      <c r="T730" s="78" t="b">
        <f t="shared" si="849"/>
        <v>0</v>
      </c>
      <c r="U730" s="78" t="b">
        <f t="shared" si="849"/>
        <v>0</v>
      </c>
      <c r="V730" s="78" t="b">
        <f t="shared" si="849"/>
        <v>0</v>
      </c>
      <c r="W730" s="78" t="b">
        <f t="shared" si="849"/>
        <v>0</v>
      </c>
      <c r="X730" s="78" t="b">
        <f t="shared" si="849"/>
        <v>0</v>
      </c>
      <c r="Y730" s="78" t="b">
        <f t="shared" si="849"/>
        <v>0</v>
      </c>
      <c r="Z730" s="78" t="b">
        <f t="shared" si="849"/>
        <v>0</v>
      </c>
      <c r="AA730" s="78" t="b">
        <f t="shared" si="849"/>
        <v>0</v>
      </c>
      <c r="AB730" s="78" t="b">
        <f t="shared" si="849"/>
        <v>0</v>
      </c>
      <c r="AC730" s="78" t="b">
        <f t="shared" si="849"/>
        <v>0</v>
      </c>
      <c r="AD730" s="78" t="b">
        <f t="shared" si="849"/>
        <v>0</v>
      </c>
      <c r="AE730" s="78" t="b">
        <f t="shared" si="849"/>
        <v>0</v>
      </c>
      <c r="AF730" s="78" t="b">
        <f t="shared" si="849"/>
        <v>0</v>
      </c>
      <c r="AG730" s="78" t="b">
        <f t="shared" si="849"/>
        <v>0</v>
      </c>
      <c r="AH730" s="78" t="b">
        <f t="shared" si="849"/>
        <v>0</v>
      </c>
      <c r="AI730" s="78" t="b">
        <f t="shared" si="849"/>
        <v>0</v>
      </c>
      <c r="AJ730" s="78" t="b">
        <f t="shared" si="849"/>
        <v>0</v>
      </c>
      <c r="AK730" s="78" t="b">
        <f t="shared" si="849"/>
        <v>0</v>
      </c>
      <c r="AL730" s="78" t="b">
        <f t="shared" si="849"/>
        <v>0</v>
      </c>
      <c r="AM730" s="78" t="b">
        <f t="shared" si="849"/>
        <v>0</v>
      </c>
      <c r="AN730" s="78" t="b">
        <f t="shared" si="849"/>
        <v>0</v>
      </c>
      <c r="AO730" s="78" t="b">
        <f t="shared" si="849"/>
        <v>0</v>
      </c>
      <c r="AP730" s="78"/>
    </row>
    <row r="731" spans="4:42" x14ac:dyDescent="0.35">
      <c r="D731" s="96"/>
      <c r="E731" s="96"/>
      <c r="G731" s="77">
        <f t="shared" si="819"/>
        <v>0</v>
      </c>
      <c r="H731" s="78">
        <f t="shared" si="820"/>
        <v>0</v>
      </c>
      <c r="I731" s="77">
        <f t="shared" si="821"/>
        <v>0</v>
      </c>
      <c r="J731" s="78">
        <f t="shared" si="822"/>
        <v>0</v>
      </c>
      <c r="K731" s="78" t="str">
        <f t="shared" si="823"/>
        <v>1900-01-00 00:0:00</v>
      </c>
      <c r="L731" s="78" t="str">
        <f t="shared" si="824"/>
        <v>1900-01-00 00:0:00</v>
      </c>
      <c r="M731" s="79">
        <f t="shared" si="825"/>
        <v>0</v>
      </c>
      <c r="N731">
        <f t="shared" si="826"/>
        <v>1</v>
      </c>
      <c r="O731" t="str">
        <f>IFERROR(_xlfn.XLOOKUP(A731,HC!A:A,HC!C:C),"")</f>
        <v>Workforce</v>
      </c>
      <c r="R731" s="78" t="b">
        <f t="shared" ref="R731:AO731" si="850">IFERROR(IF($B731=$D$1,IF(AND($K731&lt;R$1,$L731&lt;R$1),"",IF(AND($K731&gt;S$1,$L731&gt;S$1),"",IF(AND($K731&lt;R$1,$L731&lt;=S$1),$L731-R$1,IF(AND($K731&gt;=R$1,$L731&gt;S$1),S$1-$K731,IF(AND($K731&gt;=R$1,$L731&lt;=S$1),$L731-$K731,IF(AND($K731&lt;R$1,$L731&gt;S$1),S$1-R$1,""))))))),"")</f>
        <v>0</v>
      </c>
      <c r="S731" s="78" t="b">
        <f t="shared" si="850"/>
        <v>0</v>
      </c>
      <c r="T731" s="78" t="b">
        <f t="shared" si="850"/>
        <v>0</v>
      </c>
      <c r="U731" s="78" t="b">
        <f t="shared" si="850"/>
        <v>0</v>
      </c>
      <c r="V731" s="78" t="b">
        <f t="shared" si="850"/>
        <v>0</v>
      </c>
      <c r="W731" s="78" t="b">
        <f t="shared" si="850"/>
        <v>0</v>
      </c>
      <c r="X731" s="78" t="b">
        <f t="shared" si="850"/>
        <v>0</v>
      </c>
      <c r="Y731" s="78" t="b">
        <f t="shared" si="850"/>
        <v>0</v>
      </c>
      <c r="Z731" s="78" t="b">
        <f t="shared" si="850"/>
        <v>0</v>
      </c>
      <c r="AA731" s="78" t="b">
        <f t="shared" si="850"/>
        <v>0</v>
      </c>
      <c r="AB731" s="78" t="b">
        <f t="shared" si="850"/>
        <v>0</v>
      </c>
      <c r="AC731" s="78" t="b">
        <f t="shared" si="850"/>
        <v>0</v>
      </c>
      <c r="AD731" s="78" t="b">
        <f t="shared" si="850"/>
        <v>0</v>
      </c>
      <c r="AE731" s="78" t="b">
        <f t="shared" si="850"/>
        <v>0</v>
      </c>
      <c r="AF731" s="78" t="b">
        <f t="shared" si="850"/>
        <v>0</v>
      </c>
      <c r="AG731" s="78" t="b">
        <f t="shared" si="850"/>
        <v>0</v>
      </c>
      <c r="AH731" s="78" t="b">
        <f t="shared" si="850"/>
        <v>0</v>
      </c>
      <c r="AI731" s="78" t="b">
        <f t="shared" si="850"/>
        <v>0</v>
      </c>
      <c r="AJ731" s="78" t="b">
        <f t="shared" si="850"/>
        <v>0</v>
      </c>
      <c r="AK731" s="78" t="b">
        <f t="shared" si="850"/>
        <v>0</v>
      </c>
      <c r="AL731" s="78" t="b">
        <f t="shared" si="850"/>
        <v>0</v>
      </c>
      <c r="AM731" s="78" t="b">
        <f t="shared" si="850"/>
        <v>0</v>
      </c>
      <c r="AN731" s="78" t="b">
        <f t="shared" si="850"/>
        <v>0</v>
      </c>
      <c r="AO731" s="78" t="b">
        <f t="shared" si="850"/>
        <v>0</v>
      </c>
      <c r="AP731" s="78"/>
    </row>
    <row r="732" spans="4:42" x14ac:dyDescent="0.35">
      <c r="D732" s="96"/>
      <c r="E732" s="96"/>
      <c r="G732" s="77">
        <f t="shared" si="819"/>
        <v>0</v>
      </c>
      <c r="H732" s="78">
        <f t="shared" si="820"/>
        <v>0</v>
      </c>
      <c r="I732" s="77">
        <f t="shared" si="821"/>
        <v>0</v>
      </c>
      <c r="J732" s="78">
        <f t="shared" si="822"/>
        <v>0</v>
      </c>
      <c r="K732" s="78" t="str">
        <f t="shared" si="823"/>
        <v>1900-01-00 00:0:00</v>
      </c>
      <c r="L732" s="78" t="str">
        <f t="shared" si="824"/>
        <v>1900-01-00 00:0:00</v>
      </c>
      <c r="M732" s="79">
        <f t="shared" si="825"/>
        <v>0</v>
      </c>
      <c r="N732">
        <f t="shared" si="826"/>
        <v>1</v>
      </c>
      <c r="O732" t="str">
        <f>IFERROR(_xlfn.XLOOKUP(A732,HC!A:A,HC!C:C),"")</f>
        <v>Workforce</v>
      </c>
      <c r="R732" s="78" t="b">
        <f t="shared" ref="R732:AO732" si="851">IFERROR(IF($B732=$D$1,IF(AND($K732&lt;R$1,$L732&lt;R$1),"",IF(AND($K732&gt;S$1,$L732&gt;S$1),"",IF(AND($K732&lt;R$1,$L732&lt;=S$1),$L732-R$1,IF(AND($K732&gt;=R$1,$L732&gt;S$1),S$1-$K732,IF(AND($K732&gt;=R$1,$L732&lt;=S$1),$L732-$K732,IF(AND($K732&lt;R$1,$L732&gt;S$1),S$1-R$1,""))))))),"")</f>
        <v>0</v>
      </c>
      <c r="S732" s="78" t="b">
        <f t="shared" si="851"/>
        <v>0</v>
      </c>
      <c r="T732" s="78" t="b">
        <f t="shared" si="851"/>
        <v>0</v>
      </c>
      <c r="U732" s="78" t="b">
        <f t="shared" si="851"/>
        <v>0</v>
      </c>
      <c r="V732" s="78" t="b">
        <f t="shared" si="851"/>
        <v>0</v>
      </c>
      <c r="W732" s="78" t="b">
        <f t="shared" si="851"/>
        <v>0</v>
      </c>
      <c r="X732" s="78" t="b">
        <f t="shared" si="851"/>
        <v>0</v>
      </c>
      <c r="Y732" s="78" t="b">
        <f t="shared" si="851"/>
        <v>0</v>
      </c>
      <c r="Z732" s="78" t="b">
        <f t="shared" si="851"/>
        <v>0</v>
      </c>
      <c r="AA732" s="78" t="b">
        <f t="shared" si="851"/>
        <v>0</v>
      </c>
      <c r="AB732" s="78" t="b">
        <f t="shared" si="851"/>
        <v>0</v>
      </c>
      <c r="AC732" s="78" t="b">
        <f t="shared" si="851"/>
        <v>0</v>
      </c>
      <c r="AD732" s="78" t="b">
        <f t="shared" si="851"/>
        <v>0</v>
      </c>
      <c r="AE732" s="78" t="b">
        <f t="shared" si="851"/>
        <v>0</v>
      </c>
      <c r="AF732" s="78" t="b">
        <f t="shared" si="851"/>
        <v>0</v>
      </c>
      <c r="AG732" s="78" t="b">
        <f t="shared" si="851"/>
        <v>0</v>
      </c>
      <c r="AH732" s="78" t="b">
        <f t="shared" si="851"/>
        <v>0</v>
      </c>
      <c r="AI732" s="78" t="b">
        <f t="shared" si="851"/>
        <v>0</v>
      </c>
      <c r="AJ732" s="78" t="b">
        <f t="shared" si="851"/>
        <v>0</v>
      </c>
      <c r="AK732" s="78" t="b">
        <f t="shared" si="851"/>
        <v>0</v>
      </c>
      <c r="AL732" s="78" t="b">
        <f t="shared" si="851"/>
        <v>0</v>
      </c>
      <c r="AM732" s="78" t="b">
        <f t="shared" si="851"/>
        <v>0</v>
      </c>
      <c r="AN732" s="78" t="b">
        <f t="shared" si="851"/>
        <v>0</v>
      </c>
      <c r="AO732" s="78" t="b">
        <f t="shared" si="851"/>
        <v>0</v>
      </c>
      <c r="AP732" s="78"/>
    </row>
    <row r="733" spans="4:42" x14ac:dyDescent="0.35">
      <c r="D733" s="96"/>
      <c r="E733" s="96"/>
      <c r="G733" s="77">
        <f t="shared" si="819"/>
        <v>0</v>
      </c>
      <c r="H733" s="78">
        <f t="shared" si="820"/>
        <v>0</v>
      </c>
      <c r="I733" s="77">
        <f t="shared" si="821"/>
        <v>0</v>
      </c>
      <c r="J733" s="78">
        <f t="shared" si="822"/>
        <v>0</v>
      </c>
      <c r="K733" s="78" t="str">
        <f t="shared" si="823"/>
        <v>1900-01-00 00:0:00</v>
      </c>
      <c r="L733" s="78" t="str">
        <f t="shared" si="824"/>
        <v>1900-01-00 00:0:00</v>
      </c>
      <c r="M733" s="79">
        <f t="shared" si="825"/>
        <v>0</v>
      </c>
      <c r="N733">
        <f t="shared" si="826"/>
        <v>1</v>
      </c>
      <c r="O733" t="str">
        <f>IFERROR(_xlfn.XLOOKUP(A733,HC!A:A,HC!C:C),"")</f>
        <v>Workforce</v>
      </c>
      <c r="R733" s="78" t="b">
        <f t="shared" ref="R733:AO733" si="852">IFERROR(IF($B733=$D$1,IF(AND($K733&lt;R$1,$L733&lt;R$1),"",IF(AND($K733&gt;S$1,$L733&gt;S$1),"",IF(AND($K733&lt;R$1,$L733&lt;=S$1),$L733-R$1,IF(AND($K733&gt;=R$1,$L733&gt;S$1),S$1-$K733,IF(AND($K733&gt;=R$1,$L733&lt;=S$1),$L733-$K733,IF(AND($K733&lt;R$1,$L733&gt;S$1),S$1-R$1,""))))))),"")</f>
        <v>0</v>
      </c>
      <c r="S733" s="78" t="b">
        <f t="shared" si="852"/>
        <v>0</v>
      </c>
      <c r="T733" s="78" t="b">
        <f t="shared" si="852"/>
        <v>0</v>
      </c>
      <c r="U733" s="78" t="b">
        <f t="shared" si="852"/>
        <v>0</v>
      </c>
      <c r="V733" s="78" t="b">
        <f t="shared" si="852"/>
        <v>0</v>
      </c>
      <c r="W733" s="78" t="b">
        <f t="shared" si="852"/>
        <v>0</v>
      </c>
      <c r="X733" s="78" t="b">
        <f t="shared" si="852"/>
        <v>0</v>
      </c>
      <c r="Y733" s="78" t="b">
        <f t="shared" si="852"/>
        <v>0</v>
      </c>
      <c r="Z733" s="78" t="b">
        <f t="shared" si="852"/>
        <v>0</v>
      </c>
      <c r="AA733" s="78" t="b">
        <f t="shared" si="852"/>
        <v>0</v>
      </c>
      <c r="AB733" s="78" t="b">
        <f t="shared" si="852"/>
        <v>0</v>
      </c>
      <c r="AC733" s="78" t="b">
        <f t="shared" si="852"/>
        <v>0</v>
      </c>
      <c r="AD733" s="78" t="b">
        <f t="shared" si="852"/>
        <v>0</v>
      </c>
      <c r="AE733" s="78" t="b">
        <f t="shared" si="852"/>
        <v>0</v>
      </c>
      <c r="AF733" s="78" t="b">
        <f t="shared" si="852"/>
        <v>0</v>
      </c>
      <c r="AG733" s="78" t="b">
        <f t="shared" si="852"/>
        <v>0</v>
      </c>
      <c r="AH733" s="78" t="b">
        <f t="shared" si="852"/>
        <v>0</v>
      </c>
      <c r="AI733" s="78" t="b">
        <f t="shared" si="852"/>
        <v>0</v>
      </c>
      <c r="AJ733" s="78" t="b">
        <f t="shared" si="852"/>
        <v>0</v>
      </c>
      <c r="AK733" s="78" t="b">
        <f t="shared" si="852"/>
        <v>0</v>
      </c>
      <c r="AL733" s="78" t="b">
        <f t="shared" si="852"/>
        <v>0</v>
      </c>
      <c r="AM733" s="78" t="b">
        <f t="shared" si="852"/>
        <v>0</v>
      </c>
      <c r="AN733" s="78" t="b">
        <f t="shared" si="852"/>
        <v>0</v>
      </c>
      <c r="AO733" s="78" t="b">
        <f t="shared" si="852"/>
        <v>0</v>
      </c>
      <c r="AP733" s="78"/>
    </row>
    <row r="734" spans="4:42" x14ac:dyDescent="0.35">
      <c r="D734" s="96"/>
      <c r="E734" s="96"/>
      <c r="G734" s="77">
        <f t="shared" si="819"/>
        <v>0</v>
      </c>
      <c r="H734" s="78">
        <f t="shared" si="820"/>
        <v>0</v>
      </c>
      <c r="I734" s="77">
        <f t="shared" si="821"/>
        <v>0</v>
      </c>
      <c r="J734" s="78">
        <f t="shared" si="822"/>
        <v>0</v>
      </c>
      <c r="K734" s="78" t="str">
        <f t="shared" si="823"/>
        <v>1900-01-00 00:0:00</v>
      </c>
      <c r="L734" s="78" t="str">
        <f t="shared" si="824"/>
        <v>1900-01-00 00:0:00</v>
      </c>
      <c r="M734" s="79">
        <f t="shared" si="825"/>
        <v>0</v>
      </c>
      <c r="N734">
        <f t="shared" si="826"/>
        <v>1</v>
      </c>
      <c r="O734" t="str">
        <f>IFERROR(_xlfn.XLOOKUP(A734,HC!A:A,HC!C:C),"")</f>
        <v>Workforce</v>
      </c>
      <c r="R734" s="78" t="b">
        <f t="shared" ref="R734:AO734" si="853">IFERROR(IF($B734=$D$1,IF(AND($K734&lt;R$1,$L734&lt;R$1),"",IF(AND($K734&gt;S$1,$L734&gt;S$1),"",IF(AND($K734&lt;R$1,$L734&lt;=S$1),$L734-R$1,IF(AND($K734&gt;=R$1,$L734&gt;S$1),S$1-$K734,IF(AND($K734&gt;=R$1,$L734&lt;=S$1),$L734-$K734,IF(AND($K734&lt;R$1,$L734&gt;S$1),S$1-R$1,""))))))),"")</f>
        <v>0</v>
      </c>
      <c r="S734" s="78" t="b">
        <f t="shared" si="853"/>
        <v>0</v>
      </c>
      <c r="T734" s="78" t="b">
        <f t="shared" si="853"/>
        <v>0</v>
      </c>
      <c r="U734" s="78" t="b">
        <f t="shared" si="853"/>
        <v>0</v>
      </c>
      <c r="V734" s="78" t="b">
        <f t="shared" si="853"/>
        <v>0</v>
      </c>
      <c r="W734" s="78" t="b">
        <f t="shared" si="853"/>
        <v>0</v>
      </c>
      <c r="X734" s="78" t="b">
        <f t="shared" si="853"/>
        <v>0</v>
      </c>
      <c r="Y734" s="78" t="b">
        <f t="shared" si="853"/>
        <v>0</v>
      </c>
      <c r="Z734" s="78" t="b">
        <f t="shared" si="853"/>
        <v>0</v>
      </c>
      <c r="AA734" s="78" t="b">
        <f t="shared" si="853"/>
        <v>0</v>
      </c>
      <c r="AB734" s="78" t="b">
        <f t="shared" si="853"/>
        <v>0</v>
      </c>
      <c r="AC734" s="78" t="b">
        <f t="shared" si="853"/>
        <v>0</v>
      </c>
      <c r="AD734" s="78" t="b">
        <f t="shared" si="853"/>
        <v>0</v>
      </c>
      <c r="AE734" s="78" t="b">
        <f t="shared" si="853"/>
        <v>0</v>
      </c>
      <c r="AF734" s="78" t="b">
        <f t="shared" si="853"/>
        <v>0</v>
      </c>
      <c r="AG734" s="78" t="b">
        <f t="shared" si="853"/>
        <v>0</v>
      </c>
      <c r="AH734" s="78" t="b">
        <f t="shared" si="853"/>
        <v>0</v>
      </c>
      <c r="AI734" s="78" t="b">
        <f t="shared" si="853"/>
        <v>0</v>
      </c>
      <c r="AJ734" s="78" t="b">
        <f t="shared" si="853"/>
        <v>0</v>
      </c>
      <c r="AK734" s="78" t="b">
        <f t="shared" si="853"/>
        <v>0</v>
      </c>
      <c r="AL734" s="78" t="b">
        <f t="shared" si="853"/>
        <v>0</v>
      </c>
      <c r="AM734" s="78" t="b">
        <f t="shared" si="853"/>
        <v>0</v>
      </c>
      <c r="AN734" s="78" t="b">
        <f t="shared" si="853"/>
        <v>0</v>
      </c>
      <c r="AO734" s="78" t="b">
        <f t="shared" si="853"/>
        <v>0</v>
      </c>
      <c r="AP734" s="78"/>
    </row>
    <row r="735" spans="4:42" x14ac:dyDescent="0.35">
      <c r="D735" s="96"/>
      <c r="E735" s="96"/>
      <c r="G735" s="77">
        <f t="shared" si="819"/>
        <v>0</v>
      </c>
      <c r="H735" s="78">
        <f t="shared" si="820"/>
        <v>0</v>
      </c>
      <c r="I735" s="77">
        <f t="shared" si="821"/>
        <v>0</v>
      </c>
      <c r="J735" s="78">
        <f t="shared" si="822"/>
        <v>0</v>
      </c>
      <c r="K735" s="78" t="str">
        <f t="shared" si="823"/>
        <v>1900-01-00 00:0:00</v>
      </c>
      <c r="L735" s="78" t="str">
        <f t="shared" si="824"/>
        <v>1900-01-00 00:0:00</v>
      </c>
      <c r="M735" s="79">
        <f t="shared" si="825"/>
        <v>0</v>
      </c>
      <c r="N735">
        <f t="shared" si="826"/>
        <v>1</v>
      </c>
      <c r="O735" t="str">
        <f>IFERROR(_xlfn.XLOOKUP(A735,HC!A:A,HC!C:C),"")</f>
        <v>Workforce</v>
      </c>
      <c r="R735" s="78" t="b">
        <f t="shared" ref="R735:AO735" si="854">IFERROR(IF($B735=$D$1,IF(AND($K735&lt;R$1,$L735&lt;R$1),"",IF(AND($K735&gt;S$1,$L735&gt;S$1),"",IF(AND($K735&lt;R$1,$L735&lt;=S$1),$L735-R$1,IF(AND($K735&gt;=R$1,$L735&gt;S$1),S$1-$K735,IF(AND($K735&gt;=R$1,$L735&lt;=S$1),$L735-$K735,IF(AND($K735&lt;R$1,$L735&gt;S$1),S$1-R$1,""))))))),"")</f>
        <v>0</v>
      </c>
      <c r="S735" s="78" t="b">
        <f t="shared" si="854"/>
        <v>0</v>
      </c>
      <c r="T735" s="78" t="b">
        <f t="shared" si="854"/>
        <v>0</v>
      </c>
      <c r="U735" s="78" t="b">
        <f t="shared" si="854"/>
        <v>0</v>
      </c>
      <c r="V735" s="78" t="b">
        <f t="shared" si="854"/>
        <v>0</v>
      </c>
      <c r="W735" s="78" t="b">
        <f t="shared" si="854"/>
        <v>0</v>
      </c>
      <c r="X735" s="78" t="b">
        <f t="shared" si="854"/>
        <v>0</v>
      </c>
      <c r="Y735" s="78" t="b">
        <f t="shared" si="854"/>
        <v>0</v>
      </c>
      <c r="Z735" s="78" t="b">
        <f t="shared" si="854"/>
        <v>0</v>
      </c>
      <c r="AA735" s="78" t="b">
        <f t="shared" si="854"/>
        <v>0</v>
      </c>
      <c r="AB735" s="78" t="b">
        <f t="shared" si="854"/>
        <v>0</v>
      </c>
      <c r="AC735" s="78" t="b">
        <f t="shared" si="854"/>
        <v>0</v>
      </c>
      <c r="AD735" s="78" t="b">
        <f t="shared" si="854"/>
        <v>0</v>
      </c>
      <c r="AE735" s="78" t="b">
        <f t="shared" si="854"/>
        <v>0</v>
      </c>
      <c r="AF735" s="78" t="b">
        <f t="shared" si="854"/>
        <v>0</v>
      </c>
      <c r="AG735" s="78" t="b">
        <f t="shared" si="854"/>
        <v>0</v>
      </c>
      <c r="AH735" s="78" t="b">
        <f t="shared" si="854"/>
        <v>0</v>
      </c>
      <c r="AI735" s="78" t="b">
        <f t="shared" si="854"/>
        <v>0</v>
      </c>
      <c r="AJ735" s="78" t="b">
        <f t="shared" si="854"/>
        <v>0</v>
      </c>
      <c r="AK735" s="78" t="b">
        <f t="shared" si="854"/>
        <v>0</v>
      </c>
      <c r="AL735" s="78" t="b">
        <f t="shared" si="854"/>
        <v>0</v>
      </c>
      <c r="AM735" s="78" t="b">
        <f t="shared" si="854"/>
        <v>0</v>
      </c>
      <c r="AN735" s="78" t="b">
        <f t="shared" si="854"/>
        <v>0</v>
      </c>
      <c r="AO735" s="78" t="b">
        <f t="shared" si="854"/>
        <v>0</v>
      </c>
      <c r="AP735" s="78"/>
    </row>
    <row r="736" spans="4:42" x14ac:dyDescent="0.35">
      <c r="D736" s="96"/>
      <c r="E736" s="96"/>
      <c r="G736" s="77">
        <f t="shared" si="819"/>
        <v>0</v>
      </c>
      <c r="H736" s="78">
        <f t="shared" si="820"/>
        <v>0</v>
      </c>
      <c r="I736" s="77">
        <f t="shared" si="821"/>
        <v>0</v>
      </c>
      <c r="J736" s="78">
        <f t="shared" si="822"/>
        <v>0</v>
      </c>
      <c r="K736" s="78" t="str">
        <f t="shared" si="823"/>
        <v>1900-01-00 00:0:00</v>
      </c>
      <c r="L736" s="78" t="str">
        <f t="shared" si="824"/>
        <v>1900-01-00 00:0:00</v>
      </c>
      <c r="M736" s="79">
        <f t="shared" si="825"/>
        <v>0</v>
      </c>
      <c r="N736">
        <f t="shared" si="826"/>
        <v>1</v>
      </c>
      <c r="O736" t="str">
        <f>IFERROR(_xlfn.XLOOKUP(A736,HC!A:A,HC!C:C),"")</f>
        <v>Workforce</v>
      </c>
      <c r="R736" s="78" t="b">
        <f t="shared" ref="R736:AO736" si="855">IFERROR(IF($B736=$D$1,IF(AND($K736&lt;R$1,$L736&lt;R$1),"",IF(AND($K736&gt;S$1,$L736&gt;S$1),"",IF(AND($K736&lt;R$1,$L736&lt;=S$1),$L736-R$1,IF(AND($K736&gt;=R$1,$L736&gt;S$1),S$1-$K736,IF(AND($K736&gt;=R$1,$L736&lt;=S$1),$L736-$K736,IF(AND($K736&lt;R$1,$L736&gt;S$1),S$1-R$1,""))))))),"")</f>
        <v>0</v>
      </c>
      <c r="S736" s="78" t="b">
        <f t="shared" si="855"/>
        <v>0</v>
      </c>
      <c r="T736" s="78" t="b">
        <f t="shared" si="855"/>
        <v>0</v>
      </c>
      <c r="U736" s="78" t="b">
        <f t="shared" si="855"/>
        <v>0</v>
      </c>
      <c r="V736" s="78" t="b">
        <f t="shared" si="855"/>
        <v>0</v>
      </c>
      <c r="W736" s="78" t="b">
        <f t="shared" si="855"/>
        <v>0</v>
      </c>
      <c r="X736" s="78" t="b">
        <f t="shared" si="855"/>
        <v>0</v>
      </c>
      <c r="Y736" s="78" t="b">
        <f t="shared" si="855"/>
        <v>0</v>
      </c>
      <c r="Z736" s="78" t="b">
        <f t="shared" si="855"/>
        <v>0</v>
      </c>
      <c r="AA736" s="78" t="b">
        <f t="shared" si="855"/>
        <v>0</v>
      </c>
      <c r="AB736" s="78" t="b">
        <f t="shared" si="855"/>
        <v>0</v>
      </c>
      <c r="AC736" s="78" t="b">
        <f t="shared" si="855"/>
        <v>0</v>
      </c>
      <c r="AD736" s="78" t="b">
        <f t="shared" si="855"/>
        <v>0</v>
      </c>
      <c r="AE736" s="78" t="b">
        <f t="shared" si="855"/>
        <v>0</v>
      </c>
      <c r="AF736" s="78" t="b">
        <f t="shared" si="855"/>
        <v>0</v>
      </c>
      <c r="AG736" s="78" t="b">
        <f t="shared" si="855"/>
        <v>0</v>
      </c>
      <c r="AH736" s="78" t="b">
        <f t="shared" si="855"/>
        <v>0</v>
      </c>
      <c r="AI736" s="78" t="b">
        <f t="shared" si="855"/>
        <v>0</v>
      </c>
      <c r="AJ736" s="78" t="b">
        <f t="shared" si="855"/>
        <v>0</v>
      </c>
      <c r="AK736" s="78" t="b">
        <f t="shared" si="855"/>
        <v>0</v>
      </c>
      <c r="AL736" s="78" t="b">
        <f t="shared" si="855"/>
        <v>0</v>
      </c>
      <c r="AM736" s="78" t="b">
        <f t="shared" si="855"/>
        <v>0</v>
      </c>
      <c r="AN736" s="78" t="b">
        <f t="shared" si="855"/>
        <v>0</v>
      </c>
      <c r="AO736" s="78" t="b">
        <f t="shared" si="855"/>
        <v>0</v>
      </c>
      <c r="AP736" s="78"/>
    </row>
    <row r="737" spans="4:42" x14ac:dyDescent="0.35">
      <c r="D737" s="96"/>
      <c r="E737" s="96"/>
      <c r="G737" s="77">
        <f t="shared" si="819"/>
        <v>0</v>
      </c>
      <c r="H737" s="78">
        <f t="shared" si="820"/>
        <v>0</v>
      </c>
      <c r="I737" s="77">
        <f t="shared" si="821"/>
        <v>0</v>
      </c>
      <c r="J737" s="78">
        <f t="shared" si="822"/>
        <v>0</v>
      </c>
      <c r="K737" s="78" t="str">
        <f t="shared" si="823"/>
        <v>1900-01-00 00:0:00</v>
      </c>
      <c r="L737" s="78" t="str">
        <f t="shared" si="824"/>
        <v>1900-01-00 00:0:00</v>
      </c>
      <c r="M737" s="79">
        <f t="shared" si="825"/>
        <v>0</v>
      </c>
      <c r="N737">
        <f t="shared" si="826"/>
        <v>1</v>
      </c>
      <c r="O737" t="str">
        <f>IFERROR(_xlfn.XLOOKUP(A737,HC!A:A,HC!C:C),"")</f>
        <v>Workforce</v>
      </c>
      <c r="R737" s="78" t="b">
        <f t="shared" ref="R737:AO737" si="856">IFERROR(IF($B737=$D$1,IF(AND($K737&lt;R$1,$L737&lt;R$1),"",IF(AND($K737&gt;S$1,$L737&gt;S$1),"",IF(AND($K737&lt;R$1,$L737&lt;=S$1),$L737-R$1,IF(AND($K737&gt;=R$1,$L737&gt;S$1),S$1-$K737,IF(AND($K737&gt;=R$1,$L737&lt;=S$1),$L737-$K737,IF(AND($K737&lt;R$1,$L737&gt;S$1),S$1-R$1,""))))))),"")</f>
        <v>0</v>
      </c>
      <c r="S737" s="78" t="b">
        <f t="shared" si="856"/>
        <v>0</v>
      </c>
      <c r="T737" s="78" t="b">
        <f t="shared" si="856"/>
        <v>0</v>
      </c>
      <c r="U737" s="78" t="b">
        <f t="shared" si="856"/>
        <v>0</v>
      </c>
      <c r="V737" s="78" t="b">
        <f t="shared" si="856"/>
        <v>0</v>
      </c>
      <c r="W737" s="78" t="b">
        <f t="shared" si="856"/>
        <v>0</v>
      </c>
      <c r="X737" s="78" t="b">
        <f t="shared" si="856"/>
        <v>0</v>
      </c>
      <c r="Y737" s="78" t="b">
        <f t="shared" si="856"/>
        <v>0</v>
      </c>
      <c r="Z737" s="78" t="b">
        <f t="shared" si="856"/>
        <v>0</v>
      </c>
      <c r="AA737" s="78" t="b">
        <f t="shared" si="856"/>
        <v>0</v>
      </c>
      <c r="AB737" s="78" t="b">
        <f t="shared" si="856"/>
        <v>0</v>
      </c>
      <c r="AC737" s="78" t="b">
        <f t="shared" si="856"/>
        <v>0</v>
      </c>
      <c r="AD737" s="78" t="b">
        <f t="shared" si="856"/>
        <v>0</v>
      </c>
      <c r="AE737" s="78" t="b">
        <f t="shared" si="856"/>
        <v>0</v>
      </c>
      <c r="AF737" s="78" t="b">
        <f t="shared" si="856"/>
        <v>0</v>
      </c>
      <c r="AG737" s="78" t="b">
        <f t="shared" si="856"/>
        <v>0</v>
      </c>
      <c r="AH737" s="78" t="b">
        <f t="shared" si="856"/>
        <v>0</v>
      </c>
      <c r="AI737" s="78" t="b">
        <f t="shared" si="856"/>
        <v>0</v>
      </c>
      <c r="AJ737" s="78" t="b">
        <f t="shared" si="856"/>
        <v>0</v>
      </c>
      <c r="AK737" s="78" t="b">
        <f t="shared" si="856"/>
        <v>0</v>
      </c>
      <c r="AL737" s="78" t="b">
        <f t="shared" si="856"/>
        <v>0</v>
      </c>
      <c r="AM737" s="78" t="b">
        <f t="shared" si="856"/>
        <v>0</v>
      </c>
      <c r="AN737" s="78" t="b">
        <f t="shared" si="856"/>
        <v>0</v>
      </c>
      <c r="AO737" s="78" t="b">
        <f t="shared" si="856"/>
        <v>0</v>
      </c>
      <c r="AP737" s="78"/>
    </row>
    <row r="738" spans="4:42" x14ac:dyDescent="0.35">
      <c r="D738" s="96"/>
      <c r="E738" s="96"/>
      <c r="G738" s="77">
        <f t="shared" si="819"/>
        <v>0</v>
      </c>
      <c r="H738" s="78">
        <f t="shared" si="820"/>
        <v>0</v>
      </c>
      <c r="I738" s="77">
        <f t="shared" si="821"/>
        <v>0</v>
      </c>
      <c r="J738" s="78">
        <f t="shared" si="822"/>
        <v>0</v>
      </c>
      <c r="K738" s="78" t="str">
        <f t="shared" si="823"/>
        <v>1900-01-00 00:0:00</v>
      </c>
      <c r="L738" s="78" t="str">
        <f t="shared" si="824"/>
        <v>1900-01-00 00:0:00</v>
      </c>
      <c r="M738" s="79">
        <f t="shared" si="825"/>
        <v>0</v>
      </c>
      <c r="N738">
        <f t="shared" si="826"/>
        <v>1</v>
      </c>
      <c r="O738" t="str">
        <f>IFERROR(_xlfn.XLOOKUP(A738,HC!A:A,HC!C:C),"")</f>
        <v>Workforce</v>
      </c>
      <c r="R738" s="78" t="b">
        <f t="shared" ref="R738:AO738" si="857">IFERROR(IF($B738=$D$1,IF(AND($K738&lt;R$1,$L738&lt;R$1),"",IF(AND($K738&gt;S$1,$L738&gt;S$1),"",IF(AND($K738&lt;R$1,$L738&lt;=S$1),$L738-R$1,IF(AND($K738&gt;=R$1,$L738&gt;S$1),S$1-$K738,IF(AND($K738&gt;=R$1,$L738&lt;=S$1),$L738-$K738,IF(AND($K738&lt;R$1,$L738&gt;S$1),S$1-R$1,""))))))),"")</f>
        <v>0</v>
      </c>
      <c r="S738" s="78" t="b">
        <f t="shared" si="857"/>
        <v>0</v>
      </c>
      <c r="T738" s="78" t="b">
        <f t="shared" si="857"/>
        <v>0</v>
      </c>
      <c r="U738" s="78" t="b">
        <f t="shared" si="857"/>
        <v>0</v>
      </c>
      <c r="V738" s="78" t="b">
        <f t="shared" si="857"/>
        <v>0</v>
      </c>
      <c r="W738" s="78" t="b">
        <f t="shared" si="857"/>
        <v>0</v>
      </c>
      <c r="X738" s="78" t="b">
        <f t="shared" si="857"/>
        <v>0</v>
      </c>
      <c r="Y738" s="78" t="b">
        <f t="shared" si="857"/>
        <v>0</v>
      </c>
      <c r="Z738" s="78" t="b">
        <f t="shared" si="857"/>
        <v>0</v>
      </c>
      <c r="AA738" s="78" t="b">
        <f t="shared" si="857"/>
        <v>0</v>
      </c>
      <c r="AB738" s="78" t="b">
        <f t="shared" si="857"/>
        <v>0</v>
      </c>
      <c r="AC738" s="78" t="b">
        <f t="shared" si="857"/>
        <v>0</v>
      </c>
      <c r="AD738" s="78" t="b">
        <f t="shared" si="857"/>
        <v>0</v>
      </c>
      <c r="AE738" s="78" t="b">
        <f t="shared" si="857"/>
        <v>0</v>
      </c>
      <c r="AF738" s="78" t="b">
        <f t="shared" si="857"/>
        <v>0</v>
      </c>
      <c r="AG738" s="78" t="b">
        <f t="shared" si="857"/>
        <v>0</v>
      </c>
      <c r="AH738" s="78" t="b">
        <f t="shared" si="857"/>
        <v>0</v>
      </c>
      <c r="AI738" s="78" t="b">
        <f t="shared" si="857"/>
        <v>0</v>
      </c>
      <c r="AJ738" s="78" t="b">
        <f t="shared" si="857"/>
        <v>0</v>
      </c>
      <c r="AK738" s="78" t="b">
        <f t="shared" si="857"/>
        <v>0</v>
      </c>
      <c r="AL738" s="78" t="b">
        <f t="shared" si="857"/>
        <v>0</v>
      </c>
      <c r="AM738" s="78" t="b">
        <f t="shared" si="857"/>
        <v>0</v>
      </c>
      <c r="AN738" s="78" t="b">
        <f t="shared" si="857"/>
        <v>0</v>
      </c>
      <c r="AO738" s="78" t="b">
        <f t="shared" si="857"/>
        <v>0</v>
      </c>
      <c r="AP738" s="78"/>
    </row>
    <row r="739" spans="4:42" x14ac:dyDescent="0.35">
      <c r="D739" s="96"/>
      <c r="E739" s="96"/>
      <c r="G739" s="77">
        <f t="shared" si="819"/>
        <v>0</v>
      </c>
      <c r="H739" s="78">
        <f t="shared" si="820"/>
        <v>0</v>
      </c>
      <c r="I739" s="77">
        <f t="shared" si="821"/>
        <v>0</v>
      </c>
      <c r="J739" s="78">
        <f t="shared" si="822"/>
        <v>0</v>
      </c>
      <c r="K739" s="78" t="str">
        <f t="shared" si="823"/>
        <v>1900-01-00 00:0:00</v>
      </c>
      <c r="L739" s="78" t="str">
        <f t="shared" si="824"/>
        <v>1900-01-00 00:0:00</v>
      </c>
      <c r="M739" s="79">
        <f t="shared" si="825"/>
        <v>0</v>
      </c>
      <c r="N739">
        <f t="shared" si="826"/>
        <v>1</v>
      </c>
      <c r="O739" t="str">
        <f>IFERROR(_xlfn.XLOOKUP(A739,HC!A:A,HC!C:C),"")</f>
        <v>Workforce</v>
      </c>
      <c r="R739" s="78" t="b">
        <f t="shared" ref="R739:AO739" si="858">IFERROR(IF($B739=$D$1,IF(AND($K739&lt;R$1,$L739&lt;R$1),"",IF(AND($K739&gt;S$1,$L739&gt;S$1),"",IF(AND($K739&lt;R$1,$L739&lt;=S$1),$L739-R$1,IF(AND($K739&gt;=R$1,$L739&gt;S$1),S$1-$K739,IF(AND($K739&gt;=R$1,$L739&lt;=S$1),$L739-$K739,IF(AND($K739&lt;R$1,$L739&gt;S$1),S$1-R$1,""))))))),"")</f>
        <v>0</v>
      </c>
      <c r="S739" s="78" t="b">
        <f t="shared" si="858"/>
        <v>0</v>
      </c>
      <c r="T739" s="78" t="b">
        <f t="shared" si="858"/>
        <v>0</v>
      </c>
      <c r="U739" s="78" t="b">
        <f t="shared" si="858"/>
        <v>0</v>
      </c>
      <c r="V739" s="78" t="b">
        <f t="shared" si="858"/>
        <v>0</v>
      </c>
      <c r="W739" s="78" t="b">
        <f t="shared" si="858"/>
        <v>0</v>
      </c>
      <c r="X739" s="78" t="b">
        <f t="shared" si="858"/>
        <v>0</v>
      </c>
      <c r="Y739" s="78" t="b">
        <f t="shared" si="858"/>
        <v>0</v>
      </c>
      <c r="Z739" s="78" t="b">
        <f t="shared" si="858"/>
        <v>0</v>
      </c>
      <c r="AA739" s="78" t="b">
        <f t="shared" si="858"/>
        <v>0</v>
      </c>
      <c r="AB739" s="78" t="b">
        <f t="shared" si="858"/>
        <v>0</v>
      </c>
      <c r="AC739" s="78" t="b">
        <f t="shared" si="858"/>
        <v>0</v>
      </c>
      <c r="AD739" s="78" t="b">
        <f t="shared" si="858"/>
        <v>0</v>
      </c>
      <c r="AE739" s="78" t="b">
        <f t="shared" si="858"/>
        <v>0</v>
      </c>
      <c r="AF739" s="78" t="b">
        <f t="shared" si="858"/>
        <v>0</v>
      </c>
      <c r="AG739" s="78" t="b">
        <f t="shared" si="858"/>
        <v>0</v>
      </c>
      <c r="AH739" s="78" t="b">
        <f t="shared" si="858"/>
        <v>0</v>
      </c>
      <c r="AI739" s="78" t="b">
        <f t="shared" si="858"/>
        <v>0</v>
      </c>
      <c r="AJ739" s="78" t="b">
        <f t="shared" si="858"/>
        <v>0</v>
      </c>
      <c r="AK739" s="78" t="b">
        <f t="shared" si="858"/>
        <v>0</v>
      </c>
      <c r="AL739" s="78" t="b">
        <f t="shared" si="858"/>
        <v>0</v>
      </c>
      <c r="AM739" s="78" t="b">
        <f t="shared" si="858"/>
        <v>0</v>
      </c>
      <c r="AN739" s="78" t="b">
        <f t="shared" si="858"/>
        <v>0</v>
      </c>
      <c r="AO739" s="78" t="b">
        <f t="shared" si="858"/>
        <v>0</v>
      </c>
      <c r="AP739" s="78"/>
    </row>
    <row r="740" spans="4:42" x14ac:dyDescent="0.35">
      <c r="D740" s="96"/>
      <c r="E740" s="96"/>
      <c r="G740" s="77">
        <f t="shared" si="819"/>
        <v>0</v>
      </c>
      <c r="H740" s="78">
        <f t="shared" si="820"/>
        <v>0</v>
      </c>
      <c r="I740" s="77">
        <f t="shared" si="821"/>
        <v>0</v>
      </c>
      <c r="J740" s="78">
        <f t="shared" si="822"/>
        <v>0</v>
      </c>
      <c r="K740" s="78" t="str">
        <f t="shared" si="823"/>
        <v>1900-01-00 00:0:00</v>
      </c>
      <c r="L740" s="78" t="str">
        <f t="shared" si="824"/>
        <v>1900-01-00 00:0:00</v>
      </c>
      <c r="M740" s="79">
        <f t="shared" si="825"/>
        <v>0</v>
      </c>
      <c r="N740">
        <f t="shared" si="826"/>
        <v>1</v>
      </c>
      <c r="O740" t="str">
        <f>IFERROR(_xlfn.XLOOKUP(A740,HC!A:A,HC!C:C),"")</f>
        <v>Workforce</v>
      </c>
      <c r="R740" s="78" t="b">
        <f t="shared" ref="R740:AO740" si="859">IFERROR(IF($B740=$D$1,IF(AND($K740&lt;R$1,$L740&lt;R$1),"",IF(AND($K740&gt;S$1,$L740&gt;S$1),"",IF(AND($K740&lt;R$1,$L740&lt;=S$1),$L740-R$1,IF(AND($K740&gt;=R$1,$L740&gt;S$1),S$1-$K740,IF(AND($K740&gt;=R$1,$L740&lt;=S$1),$L740-$K740,IF(AND($K740&lt;R$1,$L740&gt;S$1),S$1-R$1,""))))))),"")</f>
        <v>0</v>
      </c>
      <c r="S740" s="78" t="b">
        <f t="shared" si="859"/>
        <v>0</v>
      </c>
      <c r="T740" s="78" t="b">
        <f t="shared" si="859"/>
        <v>0</v>
      </c>
      <c r="U740" s="78" t="b">
        <f t="shared" si="859"/>
        <v>0</v>
      </c>
      <c r="V740" s="78" t="b">
        <f t="shared" si="859"/>
        <v>0</v>
      </c>
      <c r="W740" s="78" t="b">
        <f t="shared" si="859"/>
        <v>0</v>
      </c>
      <c r="X740" s="78" t="b">
        <f t="shared" si="859"/>
        <v>0</v>
      </c>
      <c r="Y740" s="78" t="b">
        <f t="shared" si="859"/>
        <v>0</v>
      </c>
      <c r="Z740" s="78" t="b">
        <f t="shared" si="859"/>
        <v>0</v>
      </c>
      <c r="AA740" s="78" t="b">
        <f t="shared" si="859"/>
        <v>0</v>
      </c>
      <c r="AB740" s="78" t="b">
        <f t="shared" si="859"/>
        <v>0</v>
      </c>
      <c r="AC740" s="78" t="b">
        <f t="shared" si="859"/>
        <v>0</v>
      </c>
      <c r="AD740" s="78" t="b">
        <f t="shared" si="859"/>
        <v>0</v>
      </c>
      <c r="AE740" s="78" t="b">
        <f t="shared" si="859"/>
        <v>0</v>
      </c>
      <c r="AF740" s="78" t="b">
        <f t="shared" si="859"/>
        <v>0</v>
      </c>
      <c r="AG740" s="78" t="b">
        <f t="shared" si="859"/>
        <v>0</v>
      </c>
      <c r="AH740" s="78" t="b">
        <f t="shared" si="859"/>
        <v>0</v>
      </c>
      <c r="AI740" s="78" t="b">
        <f t="shared" si="859"/>
        <v>0</v>
      </c>
      <c r="AJ740" s="78" t="b">
        <f t="shared" si="859"/>
        <v>0</v>
      </c>
      <c r="AK740" s="78" t="b">
        <f t="shared" si="859"/>
        <v>0</v>
      </c>
      <c r="AL740" s="78" t="b">
        <f t="shared" si="859"/>
        <v>0</v>
      </c>
      <c r="AM740" s="78" t="b">
        <f t="shared" si="859"/>
        <v>0</v>
      </c>
      <c r="AN740" s="78" t="b">
        <f t="shared" si="859"/>
        <v>0</v>
      </c>
      <c r="AO740" s="78" t="b">
        <f t="shared" si="859"/>
        <v>0</v>
      </c>
      <c r="AP740" s="78"/>
    </row>
    <row r="741" spans="4:42" x14ac:dyDescent="0.35">
      <c r="D741" s="96"/>
      <c r="E741" s="96"/>
      <c r="G741" s="77">
        <f t="shared" si="819"/>
        <v>0</v>
      </c>
      <c r="H741" s="78">
        <f t="shared" si="820"/>
        <v>0</v>
      </c>
      <c r="I741" s="77">
        <f t="shared" si="821"/>
        <v>0</v>
      </c>
      <c r="J741" s="78">
        <f t="shared" si="822"/>
        <v>0</v>
      </c>
      <c r="K741" s="78" t="str">
        <f t="shared" si="823"/>
        <v>1900-01-00 00:0:00</v>
      </c>
      <c r="L741" s="78" t="str">
        <f t="shared" si="824"/>
        <v>1900-01-00 00:0:00</v>
      </c>
      <c r="M741" s="79">
        <f t="shared" si="825"/>
        <v>0</v>
      </c>
      <c r="N741">
        <f t="shared" si="826"/>
        <v>1</v>
      </c>
      <c r="O741" t="str">
        <f>IFERROR(_xlfn.XLOOKUP(A741,HC!A:A,HC!C:C),"")</f>
        <v>Workforce</v>
      </c>
      <c r="R741" s="78" t="b">
        <f t="shared" ref="R741:AO741" si="860">IFERROR(IF($B741=$D$1,IF(AND($K741&lt;R$1,$L741&lt;R$1),"",IF(AND($K741&gt;S$1,$L741&gt;S$1),"",IF(AND($K741&lt;R$1,$L741&lt;=S$1),$L741-R$1,IF(AND($K741&gt;=R$1,$L741&gt;S$1),S$1-$K741,IF(AND($K741&gt;=R$1,$L741&lt;=S$1),$L741-$K741,IF(AND($K741&lt;R$1,$L741&gt;S$1),S$1-R$1,""))))))),"")</f>
        <v>0</v>
      </c>
      <c r="S741" s="78" t="b">
        <f t="shared" si="860"/>
        <v>0</v>
      </c>
      <c r="T741" s="78" t="b">
        <f t="shared" si="860"/>
        <v>0</v>
      </c>
      <c r="U741" s="78" t="b">
        <f t="shared" si="860"/>
        <v>0</v>
      </c>
      <c r="V741" s="78" t="b">
        <f t="shared" si="860"/>
        <v>0</v>
      </c>
      <c r="W741" s="78" t="b">
        <f t="shared" si="860"/>
        <v>0</v>
      </c>
      <c r="X741" s="78" t="b">
        <f t="shared" si="860"/>
        <v>0</v>
      </c>
      <c r="Y741" s="78" t="b">
        <f t="shared" si="860"/>
        <v>0</v>
      </c>
      <c r="Z741" s="78" t="b">
        <f t="shared" si="860"/>
        <v>0</v>
      </c>
      <c r="AA741" s="78" t="b">
        <f t="shared" si="860"/>
        <v>0</v>
      </c>
      <c r="AB741" s="78" t="b">
        <f t="shared" si="860"/>
        <v>0</v>
      </c>
      <c r="AC741" s="78" t="b">
        <f t="shared" si="860"/>
        <v>0</v>
      </c>
      <c r="AD741" s="78" t="b">
        <f t="shared" si="860"/>
        <v>0</v>
      </c>
      <c r="AE741" s="78" t="b">
        <f t="shared" si="860"/>
        <v>0</v>
      </c>
      <c r="AF741" s="78" t="b">
        <f t="shared" si="860"/>
        <v>0</v>
      </c>
      <c r="AG741" s="78" t="b">
        <f t="shared" si="860"/>
        <v>0</v>
      </c>
      <c r="AH741" s="78" t="b">
        <f t="shared" si="860"/>
        <v>0</v>
      </c>
      <c r="AI741" s="78" t="b">
        <f t="shared" si="860"/>
        <v>0</v>
      </c>
      <c r="AJ741" s="78" t="b">
        <f t="shared" si="860"/>
        <v>0</v>
      </c>
      <c r="AK741" s="78" t="b">
        <f t="shared" si="860"/>
        <v>0</v>
      </c>
      <c r="AL741" s="78" t="b">
        <f t="shared" si="860"/>
        <v>0</v>
      </c>
      <c r="AM741" s="78" t="b">
        <f t="shared" si="860"/>
        <v>0</v>
      </c>
      <c r="AN741" s="78" t="b">
        <f t="shared" si="860"/>
        <v>0</v>
      </c>
      <c r="AO741" s="78" t="b">
        <f t="shared" si="860"/>
        <v>0</v>
      </c>
      <c r="AP741" s="78"/>
    </row>
    <row r="742" spans="4:42" x14ac:dyDescent="0.35">
      <c r="D742" s="96"/>
      <c r="E742" s="96"/>
      <c r="G742" s="77">
        <f t="shared" si="819"/>
        <v>0</v>
      </c>
      <c r="H742" s="78">
        <f t="shared" si="820"/>
        <v>0</v>
      </c>
      <c r="I742" s="77">
        <f t="shared" si="821"/>
        <v>0</v>
      </c>
      <c r="J742" s="78">
        <f t="shared" si="822"/>
        <v>0</v>
      </c>
      <c r="K742" s="78" t="str">
        <f t="shared" si="823"/>
        <v>1900-01-00 00:0:00</v>
      </c>
      <c r="L742" s="78" t="str">
        <f t="shared" si="824"/>
        <v>1900-01-00 00:0:00</v>
      </c>
      <c r="M742" s="79">
        <f t="shared" si="825"/>
        <v>0</v>
      </c>
      <c r="N742">
        <f t="shared" si="826"/>
        <v>1</v>
      </c>
      <c r="O742" t="str">
        <f>IFERROR(_xlfn.XLOOKUP(A742,HC!A:A,HC!C:C),"")</f>
        <v>Workforce</v>
      </c>
      <c r="R742" s="78" t="b">
        <f t="shared" ref="R742:AO742" si="861">IFERROR(IF($B742=$D$1,IF(AND($K742&lt;R$1,$L742&lt;R$1),"",IF(AND($K742&gt;S$1,$L742&gt;S$1),"",IF(AND($K742&lt;R$1,$L742&lt;=S$1),$L742-R$1,IF(AND($K742&gt;=R$1,$L742&gt;S$1),S$1-$K742,IF(AND($K742&gt;=R$1,$L742&lt;=S$1),$L742-$K742,IF(AND($K742&lt;R$1,$L742&gt;S$1),S$1-R$1,""))))))),"")</f>
        <v>0</v>
      </c>
      <c r="S742" s="78" t="b">
        <f t="shared" si="861"/>
        <v>0</v>
      </c>
      <c r="T742" s="78" t="b">
        <f t="shared" si="861"/>
        <v>0</v>
      </c>
      <c r="U742" s="78" t="b">
        <f t="shared" si="861"/>
        <v>0</v>
      </c>
      <c r="V742" s="78" t="b">
        <f t="shared" si="861"/>
        <v>0</v>
      </c>
      <c r="W742" s="78" t="b">
        <f t="shared" si="861"/>
        <v>0</v>
      </c>
      <c r="X742" s="78" t="b">
        <f t="shared" si="861"/>
        <v>0</v>
      </c>
      <c r="Y742" s="78" t="b">
        <f t="shared" si="861"/>
        <v>0</v>
      </c>
      <c r="Z742" s="78" t="b">
        <f t="shared" si="861"/>
        <v>0</v>
      </c>
      <c r="AA742" s="78" t="b">
        <f t="shared" si="861"/>
        <v>0</v>
      </c>
      <c r="AB742" s="78" t="b">
        <f t="shared" si="861"/>
        <v>0</v>
      </c>
      <c r="AC742" s="78" t="b">
        <f t="shared" si="861"/>
        <v>0</v>
      </c>
      <c r="AD742" s="78" t="b">
        <f t="shared" si="861"/>
        <v>0</v>
      </c>
      <c r="AE742" s="78" t="b">
        <f t="shared" si="861"/>
        <v>0</v>
      </c>
      <c r="AF742" s="78" t="b">
        <f t="shared" si="861"/>
        <v>0</v>
      </c>
      <c r="AG742" s="78" t="b">
        <f t="shared" si="861"/>
        <v>0</v>
      </c>
      <c r="AH742" s="78" t="b">
        <f t="shared" si="861"/>
        <v>0</v>
      </c>
      <c r="AI742" s="78" t="b">
        <f t="shared" si="861"/>
        <v>0</v>
      </c>
      <c r="AJ742" s="78" t="b">
        <f t="shared" si="861"/>
        <v>0</v>
      </c>
      <c r="AK742" s="78" t="b">
        <f t="shared" si="861"/>
        <v>0</v>
      </c>
      <c r="AL742" s="78" t="b">
        <f t="shared" si="861"/>
        <v>0</v>
      </c>
      <c r="AM742" s="78" t="b">
        <f t="shared" si="861"/>
        <v>0</v>
      </c>
      <c r="AN742" s="78" t="b">
        <f t="shared" si="861"/>
        <v>0</v>
      </c>
      <c r="AO742" s="78" t="b">
        <f t="shared" si="861"/>
        <v>0</v>
      </c>
      <c r="AP742" s="78"/>
    </row>
    <row r="743" spans="4:42" x14ac:dyDescent="0.35">
      <c r="D743" s="96"/>
      <c r="E743" s="96"/>
      <c r="G743" s="77">
        <f t="shared" si="819"/>
        <v>0</v>
      </c>
      <c r="H743" s="78">
        <f t="shared" si="820"/>
        <v>0</v>
      </c>
      <c r="I743" s="77">
        <f t="shared" si="821"/>
        <v>0</v>
      </c>
      <c r="J743" s="78">
        <f t="shared" si="822"/>
        <v>0</v>
      </c>
      <c r="K743" s="78" t="str">
        <f t="shared" si="823"/>
        <v>1900-01-00 00:0:00</v>
      </c>
      <c r="L743" s="78" t="str">
        <f t="shared" si="824"/>
        <v>1900-01-00 00:0:00</v>
      </c>
      <c r="M743" s="79">
        <f t="shared" si="825"/>
        <v>0</v>
      </c>
      <c r="N743">
        <f t="shared" si="826"/>
        <v>1</v>
      </c>
      <c r="O743" t="str">
        <f>IFERROR(_xlfn.XLOOKUP(A743,HC!A:A,HC!C:C),"")</f>
        <v>Workforce</v>
      </c>
      <c r="R743" s="78" t="b">
        <f t="shared" ref="R743:AO743" si="862">IFERROR(IF($B743=$D$1,IF(AND($K743&lt;R$1,$L743&lt;R$1),"",IF(AND($K743&gt;S$1,$L743&gt;S$1),"",IF(AND($K743&lt;R$1,$L743&lt;=S$1),$L743-R$1,IF(AND($K743&gt;=R$1,$L743&gt;S$1),S$1-$K743,IF(AND($K743&gt;=R$1,$L743&lt;=S$1),$L743-$K743,IF(AND($K743&lt;R$1,$L743&gt;S$1),S$1-R$1,""))))))),"")</f>
        <v>0</v>
      </c>
      <c r="S743" s="78" t="b">
        <f t="shared" si="862"/>
        <v>0</v>
      </c>
      <c r="T743" s="78" t="b">
        <f t="shared" si="862"/>
        <v>0</v>
      </c>
      <c r="U743" s="78" t="b">
        <f t="shared" si="862"/>
        <v>0</v>
      </c>
      <c r="V743" s="78" t="b">
        <f t="shared" si="862"/>
        <v>0</v>
      </c>
      <c r="W743" s="78" t="b">
        <f t="shared" si="862"/>
        <v>0</v>
      </c>
      <c r="X743" s="78" t="b">
        <f t="shared" si="862"/>
        <v>0</v>
      </c>
      <c r="Y743" s="78" t="b">
        <f t="shared" si="862"/>
        <v>0</v>
      </c>
      <c r="Z743" s="78" t="b">
        <f t="shared" si="862"/>
        <v>0</v>
      </c>
      <c r="AA743" s="78" t="b">
        <f t="shared" si="862"/>
        <v>0</v>
      </c>
      <c r="AB743" s="78" t="b">
        <f t="shared" si="862"/>
        <v>0</v>
      </c>
      <c r="AC743" s="78" t="b">
        <f t="shared" si="862"/>
        <v>0</v>
      </c>
      <c r="AD743" s="78" t="b">
        <f t="shared" si="862"/>
        <v>0</v>
      </c>
      <c r="AE743" s="78" t="b">
        <f t="shared" si="862"/>
        <v>0</v>
      </c>
      <c r="AF743" s="78" t="b">
        <f t="shared" si="862"/>
        <v>0</v>
      </c>
      <c r="AG743" s="78" t="b">
        <f t="shared" si="862"/>
        <v>0</v>
      </c>
      <c r="AH743" s="78" t="b">
        <f t="shared" si="862"/>
        <v>0</v>
      </c>
      <c r="AI743" s="78" t="b">
        <f t="shared" si="862"/>
        <v>0</v>
      </c>
      <c r="AJ743" s="78" t="b">
        <f t="shared" si="862"/>
        <v>0</v>
      </c>
      <c r="AK743" s="78" t="b">
        <f t="shared" si="862"/>
        <v>0</v>
      </c>
      <c r="AL743" s="78" t="b">
        <f t="shared" si="862"/>
        <v>0</v>
      </c>
      <c r="AM743" s="78" t="b">
        <f t="shared" si="862"/>
        <v>0</v>
      </c>
      <c r="AN743" s="78" t="b">
        <f t="shared" si="862"/>
        <v>0</v>
      </c>
      <c r="AO743" s="78" t="b">
        <f t="shared" si="862"/>
        <v>0</v>
      </c>
      <c r="AP743" s="78"/>
    </row>
    <row r="744" spans="4:42" x14ac:dyDescent="0.35">
      <c r="D744" s="96"/>
      <c r="E744" s="96"/>
      <c r="G744" s="77">
        <f t="shared" si="819"/>
        <v>0</v>
      </c>
      <c r="H744" s="78">
        <f t="shared" si="820"/>
        <v>0</v>
      </c>
      <c r="I744" s="77">
        <f t="shared" si="821"/>
        <v>0</v>
      </c>
      <c r="J744" s="78">
        <f t="shared" si="822"/>
        <v>0</v>
      </c>
      <c r="K744" s="78" t="str">
        <f t="shared" si="823"/>
        <v>1900-01-00 00:0:00</v>
      </c>
      <c r="L744" s="78" t="str">
        <f t="shared" si="824"/>
        <v>1900-01-00 00:0:00</v>
      </c>
      <c r="M744" s="79">
        <f t="shared" si="825"/>
        <v>0</v>
      </c>
      <c r="N744">
        <f t="shared" si="826"/>
        <v>1</v>
      </c>
      <c r="O744" t="str">
        <f>IFERROR(_xlfn.XLOOKUP(A744,HC!A:A,HC!C:C),"")</f>
        <v>Workforce</v>
      </c>
      <c r="R744" s="78" t="b">
        <f t="shared" ref="R744:AO744" si="863">IFERROR(IF($B744=$D$1,IF(AND($K744&lt;R$1,$L744&lt;R$1),"",IF(AND($K744&gt;S$1,$L744&gt;S$1),"",IF(AND($K744&lt;R$1,$L744&lt;=S$1),$L744-R$1,IF(AND($K744&gt;=R$1,$L744&gt;S$1),S$1-$K744,IF(AND($K744&gt;=R$1,$L744&lt;=S$1),$L744-$K744,IF(AND($K744&lt;R$1,$L744&gt;S$1),S$1-R$1,""))))))),"")</f>
        <v>0</v>
      </c>
      <c r="S744" s="78" t="b">
        <f t="shared" si="863"/>
        <v>0</v>
      </c>
      <c r="T744" s="78" t="b">
        <f t="shared" si="863"/>
        <v>0</v>
      </c>
      <c r="U744" s="78" t="b">
        <f t="shared" si="863"/>
        <v>0</v>
      </c>
      <c r="V744" s="78" t="b">
        <f t="shared" si="863"/>
        <v>0</v>
      </c>
      <c r="W744" s="78" t="b">
        <f t="shared" si="863"/>
        <v>0</v>
      </c>
      <c r="X744" s="78" t="b">
        <f t="shared" si="863"/>
        <v>0</v>
      </c>
      <c r="Y744" s="78" t="b">
        <f t="shared" si="863"/>
        <v>0</v>
      </c>
      <c r="Z744" s="78" t="b">
        <f t="shared" si="863"/>
        <v>0</v>
      </c>
      <c r="AA744" s="78" t="b">
        <f t="shared" si="863"/>
        <v>0</v>
      </c>
      <c r="AB744" s="78" t="b">
        <f t="shared" si="863"/>
        <v>0</v>
      </c>
      <c r="AC744" s="78" t="b">
        <f t="shared" si="863"/>
        <v>0</v>
      </c>
      <c r="AD744" s="78" t="b">
        <f t="shared" si="863"/>
        <v>0</v>
      </c>
      <c r="AE744" s="78" t="b">
        <f t="shared" si="863"/>
        <v>0</v>
      </c>
      <c r="AF744" s="78" t="b">
        <f t="shared" si="863"/>
        <v>0</v>
      </c>
      <c r="AG744" s="78" t="b">
        <f t="shared" si="863"/>
        <v>0</v>
      </c>
      <c r="AH744" s="78" t="b">
        <f t="shared" si="863"/>
        <v>0</v>
      </c>
      <c r="AI744" s="78" t="b">
        <f t="shared" si="863"/>
        <v>0</v>
      </c>
      <c r="AJ744" s="78" t="b">
        <f t="shared" si="863"/>
        <v>0</v>
      </c>
      <c r="AK744" s="78" t="b">
        <f t="shared" si="863"/>
        <v>0</v>
      </c>
      <c r="AL744" s="78" t="b">
        <f t="shared" si="863"/>
        <v>0</v>
      </c>
      <c r="AM744" s="78" t="b">
        <f t="shared" si="863"/>
        <v>0</v>
      </c>
      <c r="AN744" s="78" t="b">
        <f t="shared" si="863"/>
        <v>0</v>
      </c>
      <c r="AO744" s="78" t="b">
        <f t="shared" si="863"/>
        <v>0</v>
      </c>
      <c r="AP744" s="78"/>
    </row>
    <row r="745" spans="4:42" x14ac:dyDescent="0.35">
      <c r="D745" s="96"/>
      <c r="E745" s="96"/>
      <c r="G745" s="77">
        <f t="shared" si="819"/>
        <v>0</v>
      </c>
      <c r="H745" s="78">
        <f t="shared" si="820"/>
        <v>0</v>
      </c>
      <c r="I745" s="77">
        <f t="shared" si="821"/>
        <v>0</v>
      </c>
      <c r="J745" s="78">
        <f t="shared" si="822"/>
        <v>0</v>
      </c>
      <c r="K745" s="78" t="str">
        <f t="shared" si="823"/>
        <v>1900-01-00 00:0:00</v>
      </c>
      <c r="L745" s="78" t="str">
        <f t="shared" si="824"/>
        <v>1900-01-00 00:0:00</v>
      </c>
      <c r="M745" s="79">
        <f t="shared" si="825"/>
        <v>0</v>
      </c>
      <c r="N745">
        <f t="shared" si="826"/>
        <v>1</v>
      </c>
      <c r="O745" t="str">
        <f>IFERROR(_xlfn.XLOOKUP(A745,HC!A:A,HC!C:C),"")</f>
        <v>Workforce</v>
      </c>
      <c r="R745" s="78" t="b">
        <f t="shared" ref="R745:AO745" si="864">IFERROR(IF($B745=$D$1,IF(AND($K745&lt;R$1,$L745&lt;R$1),"",IF(AND($K745&gt;S$1,$L745&gt;S$1),"",IF(AND($K745&lt;R$1,$L745&lt;=S$1),$L745-R$1,IF(AND($K745&gt;=R$1,$L745&gt;S$1),S$1-$K745,IF(AND($K745&gt;=R$1,$L745&lt;=S$1),$L745-$K745,IF(AND($K745&lt;R$1,$L745&gt;S$1),S$1-R$1,""))))))),"")</f>
        <v>0</v>
      </c>
      <c r="S745" s="78" t="b">
        <f t="shared" si="864"/>
        <v>0</v>
      </c>
      <c r="T745" s="78" t="b">
        <f t="shared" si="864"/>
        <v>0</v>
      </c>
      <c r="U745" s="78" t="b">
        <f t="shared" si="864"/>
        <v>0</v>
      </c>
      <c r="V745" s="78" t="b">
        <f t="shared" si="864"/>
        <v>0</v>
      </c>
      <c r="W745" s="78" t="b">
        <f t="shared" si="864"/>
        <v>0</v>
      </c>
      <c r="X745" s="78" t="b">
        <f t="shared" si="864"/>
        <v>0</v>
      </c>
      <c r="Y745" s="78" t="b">
        <f t="shared" si="864"/>
        <v>0</v>
      </c>
      <c r="Z745" s="78" t="b">
        <f t="shared" si="864"/>
        <v>0</v>
      </c>
      <c r="AA745" s="78" t="b">
        <f t="shared" si="864"/>
        <v>0</v>
      </c>
      <c r="AB745" s="78" t="b">
        <f t="shared" si="864"/>
        <v>0</v>
      </c>
      <c r="AC745" s="78" t="b">
        <f t="shared" si="864"/>
        <v>0</v>
      </c>
      <c r="AD745" s="78" t="b">
        <f t="shared" si="864"/>
        <v>0</v>
      </c>
      <c r="AE745" s="78" t="b">
        <f t="shared" si="864"/>
        <v>0</v>
      </c>
      <c r="AF745" s="78" t="b">
        <f t="shared" si="864"/>
        <v>0</v>
      </c>
      <c r="AG745" s="78" t="b">
        <f t="shared" si="864"/>
        <v>0</v>
      </c>
      <c r="AH745" s="78" t="b">
        <f t="shared" si="864"/>
        <v>0</v>
      </c>
      <c r="AI745" s="78" t="b">
        <f t="shared" si="864"/>
        <v>0</v>
      </c>
      <c r="AJ745" s="78" t="b">
        <f t="shared" si="864"/>
        <v>0</v>
      </c>
      <c r="AK745" s="78" t="b">
        <f t="shared" si="864"/>
        <v>0</v>
      </c>
      <c r="AL745" s="78" t="b">
        <f t="shared" si="864"/>
        <v>0</v>
      </c>
      <c r="AM745" s="78" t="b">
        <f t="shared" si="864"/>
        <v>0</v>
      </c>
      <c r="AN745" s="78" t="b">
        <f t="shared" si="864"/>
        <v>0</v>
      </c>
      <c r="AO745" s="78" t="b">
        <f t="shared" si="864"/>
        <v>0</v>
      </c>
      <c r="AP745" s="78"/>
    </row>
    <row r="746" spans="4:42" x14ac:dyDescent="0.35">
      <c r="D746" s="96"/>
      <c r="E746" s="96"/>
      <c r="G746" s="77">
        <f t="shared" si="819"/>
        <v>0</v>
      </c>
      <c r="H746" s="78">
        <f t="shared" si="820"/>
        <v>0</v>
      </c>
      <c r="I746" s="77">
        <f t="shared" si="821"/>
        <v>0</v>
      </c>
      <c r="J746" s="78">
        <f t="shared" si="822"/>
        <v>0</v>
      </c>
      <c r="K746" s="78" t="str">
        <f t="shared" si="823"/>
        <v>1900-01-00 00:0:00</v>
      </c>
      <c r="L746" s="78" t="str">
        <f t="shared" si="824"/>
        <v>1900-01-00 00:0:00</v>
      </c>
      <c r="M746" s="79">
        <f t="shared" si="825"/>
        <v>0</v>
      </c>
      <c r="N746">
        <f t="shared" si="826"/>
        <v>1</v>
      </c>
      <c r="O746" t="str">
        <f>IFERROR(_xlfn.XLOOKUP(A746,HC!A:A,HC!C:C),"")</f>
        <v>Workforce</v>
      </c>
      <c r="R746" s="78" t="b">
        <f t="shared" ref="R746:AO746" si="865">IFERROR(IF($B746=$D$1,IF(AND($K746&lt;R$1,$L746&lt;R$1),"",IF(AND($K746&gt;S$1,$L746&gt;S$1),"",IF(AND($K746&lt;R$1,$L746&lt;=S$1),$L746-R$1,IF(AND($K746&gt;=R$1,$L746&gt;S$1),S$1-$K746,IF(AND($K746&gt;=R$1,$L746&lt;=S$1),$L746-$K746,IF(AND($K746&lt;R$1,$L746&gt;S$1),S$1-R$1,""))))))),"")</f>
        <v>0</v>
      </c>
      <c r="S746" s="78" t="b">
        <f t="shared" si="865"/>
        <v>0</v>
      </c>
      <c r="T746" s="78" t="b">
        <f t="shared" si="865"/>
        <v>0</v>
      </c>
      <c r="U746" s="78" t="b">
        <f t="shared" si="865"/>
        <v>0</v>
      </c>
      <c r="V746" s="78" t="b">
        <f t="shared" si="865"/>
        <v>0</v>
      </c>
      <c r="W746" s="78" t="b">
        <f t="shared" si="865"/>
        <v>0</v>
      </c>
      <c r="X746" s="78" t="b">
        <f t="shared" si="865"/>
        <v>0</v>
      </c>
      <c r="Y746" s="78" t="b">
        <f t="shared" si="865"/>
        <v>0</v>
      </c>
      <c r="Z746" s="78" t="b">
        <f t="shared" si="865"/>
        <v>0</v>
      </c>
      <c r="AA746" s="78" t="b">
        <f t="shared" si="865"/>
        <v>0</v>
      </c>
      <c r="AB746" s="78" t="b">
        <f t="shared" si="865"/>
        <v>0</v>
      </c>
      <c r="AC746" s="78" t="b">
        <f t="shared" si="865"/>
        <v>0</v>
      </c>
      <c r="AD746" s="78" t="b">
        <f t="shared" si="865"/>
        <v>0</v>
      </c>
      <c r="AE746" s="78" t="b">
        <f t="shared" si="865"/>
        <v>0</v>
      </c>
      <c r="AF746" s="78" t="b">
        <f t="shared" si="865"/>
        <v>0</v>
      </c>
      <c r="AG746" s="78" t="b">
        <f t="shared" si="865"/>
        <v>0</v>
      </c>
      <c r="AH746" s="78" t="b">
        <f t="shared" si="865"/>
        <v>0</v>
      </c>
      <c r="AI746" s="78" t="b">
        <f t="shared" si="865"/>
        <v>0</v>
      </c>
      <c r="AJ746" s="78" t="b">
        <f t="shared" si="865"/>
        <v>0</v>
      </c>
      <c r="AK746" s="78" t="b">
        <f t="shared" si="865"/>
        <v>0</v>
      </c>
      <c r="AL746" s="78" t="b">
        <f t="shared" si="865"/>
        <v>0</v>
      </c>
      <c r="AM746" s="78" t="b">
        <f t="shared" si="865"/>
        <v>0</v>
      </c>
      <c r="AN746" s="78" t="b">
        <f t="shared" si="865"/>
        <v>0</v>
      </c>
      <c r="AO746" s="78" t="b">
        <f t="shared" si="865"/>
        <v>0</v>
      </c>
      <c r="AP746" s="78"/>
    </row>
    <row r="747" spans="4:42" x14ac:dyDescent="0.35">
      <c r="D747" s="96"/>
      <c r="E747" s="96"/>
      <c r="G747" s="77">
        <f t="shared" si="819"/>
        <v>0</v>
      </c>
      <c r="H747" s="78">
        <f t="shared" si="820"/>
        <v>0</v>
      </c>
      <c r="I747" s="77">
        <f t="shared" si="821"/>
        <v>0</v>
      </c>
      <c r="J747" s="78">
        <f t="shared" si="822"/>
        <v>0</v>
      </c>
      <c r="K747" s="78" t="str">
        <f t="shared" si="823"/>
        <v>1900-01-00 00:0:00</v>
      </c>
      <c r="L747" s="78" t="str">
        <f t="shared" si="824"/>
        <v>1900-01-00 00:0:00</v>
      </c>
      <c r="M747" s="79">
        <f t="shared" si="825"/>
        <v>0</v>
      </c>
      <c r="N747">
        <f t="shared" si="826"/>
        <v>1</v>
      </c>
      <c r="O747" t="str">
        <f>IFERROR(_xlfn.XLOOKUP(A747,HC!A:A,HC!C:C),"")</f>
        <v>Workforce</v>
      </c>
      <c r="R747" s="78" t="b">
        <f t="shared" ref="R747:AO747" si="866">IFERROR(IF($B747=$D$1,IF(AND($K747&lt;R$1,$L747&lt;R$1),"",IF(AND($K747&gt;S$1,$L747&gt;S$1),"",IF(AND($K747&lt;R$1,$L747&lt;=S$1),$L747-R$1,IF(AND($K747&gt;=R$1,$L747&gt;S$1),S$1-$K747,IF(AND($K747&gt;=R$1,$L747&lt;=S$1),$L747-$K747,IF(AND($K747&lt;R$1,$L747&gt;S$1),S$1-R$1,""))))))),"")</f>
        <v>0</v>
      </c>
      <c r="S747" s="78" t="b">
        <f t="shared" si="866"/>
        <v>0</v>
      </c>
      <c r="T747" s="78" t="b">
        <f t="shared" si="866"/>
        <v>0</v>
      </c>
      <c r="U747" s="78" t="b">
        <f t="shared" si="866"/>
        <v>0</v>
      </c>
      <c r="V747" s="78" t="b">
        <f t="shared" si="866"/>
        <v>0</v>
      </c>
      <c r="W747" s="78" t="b">
        <f t="shared" si="866"/>
        <v>0</v>
      </c>
      <c r="X747" s="78" t="b">
        <f t="shared" si="866"/>
        <v>0</v>
      </c>
      <c r="Y747" s="78" t="b">
        <f t="shared" si="866"/>
        <v>0</v>
      </c>
      <c r="Z747" s="78" t="b">
        <f t="shared" si="866"/>
        <v>0</v>
      </c>
      <c r="AA747" s="78" t="b">
        <f t="shared" si="866"/>
        <v>0</v>
      </c>
      <c r="AB747" s="78" t="b">
        <f t="shared" si="866"/>
        <v>0</v>
      </c>
      <c r="AC747" s="78" t="b">
        <f t="shared" si="866"/>
        <v>0</v>
      </c>
      <c r="AD747" s="78" t="b">
        <f t="shared" si="866"/>
        <v>0</v>
      </c>
      <c r="AE747" s="78" t="b">
        <f t="shared" si="866"/>
        <v>0</v>
      </c>
      <c r="AF747" s="78" t="b">
        <f t="shared" si="866"/>
        <v>0</v>
      </c>
      <c r="AG747" s="78" t="b">
        <f t="shared" si="866"/>
        <v>0</v>
      </c>
      <c r="AH747" s="78" t="b">
        <f t="shared" si="866"/>
        <v>0</v>
      </c>
      <c r="AI747" s="78" t="b">
        <f t="shared" si="866"/>
        <v>0</v>
      </c>
      <c r="AJ747" s="78" t="b">
        <f t="shared" si="866"/>
        <v>0</v>
      </c>
      <c r="AK747" s="78" t="b">
        <f t="shared" si="866"/>
        <v>0</v>
      </c>
      <c r="AL747" s="78" t="b">
        <f t="shared" si="866"/>
        <v>0</v>
      </c>
      <c r="AM747" s="78" t="b">
        <f t="shared" si="866"/>
        <v>0</v>
      </c>
      <c r="AN747" s="78" t="b">
        <f t="shared" si="866"/>
        <v>0</v>
      </c>
      <c r="AO747" s="78" t="b">
        <f t="shared" si="866"/>
        <v>0</v>
      </c>
      <c r="AP747" s="78"/>
    </row>
    <row r="748" spans="4:42" x14ac:dyDescent="0.35">
      <c r="D748" s="96"/>
      <c r="E748" s="96"/>
      <c r="G748" s="77">
        <f t="shared" si="819"/>
        <v>0</v>
      </c>
      <c r="H748" s="78">
        <f t="shared" si="820"/>
        <v>0</v>
      </c>
      <c r="I748" s="77">
        <f t="shared" si="821"/>
        <v>0</v>
      </c>
      <c r="J748" s="78">
        <f t="shared" si="822"/>
        <v>0</v>
      </c>
      <c r="K748" s="78" t="str">
        <f t="shared" si="823"/>
        <v>1900-01-00 00:0:00</v>
      </c>
      <c r="L748" s="78" t="str">
        <f t="shared" si="824"/>
        <v>1900-01-00 00:0:00</v>
      </c>
      <c r="M748" s="79">
        <f t="shared" si="825"/>
        <v>0</v>
      </c>
      <c r="N748">
        <f t="shared" si="826"/>
        <v>1</v>
      </c>
      <c r="O748" t="str">
        <f>IFERROR(_xlfn.XLOOKUP(A748,HC!A:A,HC!C:C),"")</f>
        <v>Workforce</v>
      </c>
      <c r="R748" s="78" t="b">
        <f t="shared" ref="R748:AO748" si="867">IFERROR(IF($B748=$D$1,IF(AND($K748&lt;R$1,$L748&lt;R$1),"",IF(AND($K748&gt;S$1,$L748&gt;S$1),"",IF(AND($K748&lt;R$1,$L748&lt;=S$1),$L748-R$1,IF(AND($K748&gt;=R$1,$L748&gt;S$1),S$1-$K748,IF(AND($K748&gt;=R$1,$L748&lt;=S$1),$L748-$K748,IF(AND($K748&lt;R$1,$L748&gt;S$1),S$1-R$1,""))))))),"")</f>
        <v>0</v>
      </c>
      <c r="S748" s="78" t="b">
        <f t="shared" si="867"/>
        <v>0</v>
      </c>
      <c r="T748" s="78" t="b">
        <f t="shared" si="867"/>
        <v>0</v>
      </c>
      <c r="U748" s="78" t="b">
        <f t="shared" si="867"/>
        <v>0</v>
      </c>
      <c r="V748" s="78" t="b">
        <f t="shared" si="867"/>
        <v>0</v>
      </c>
      <c r="W748" s="78" t="b">
        <f t="shared" si="867"/>
        <v>0</v>
      </c>
      <c r="X748" s="78" t="b">
        <f t="shared" si="867"/>
        <v>0</v>
      </c>
      <c r="Y748" s="78" t="b">
        <f t="shared" si="867"/>
        <v>0</v>
      </c>
      <c r="Z748" s="78" t="b">
        <f t="shared" si="867"/>
        <v>0</v>
      </c>
      <c r="AA748" s="78" t="b">
        <f t="shared" si="867"/>
        <v>0</v>
      </c>
      <c r="AB748" s="78" t="b">
        <f t="shared" si="867"/>
        <v>0</v>
      </c>
      <c r="AC748" s="78" t="b">
        <f t="shared" si="867"/>
        <v>0</v>
      </c>
      <c r="AD748" s="78" t="b">
        <f t="shared" si="867"/>
        <v>0</v>
      </c>
      <c r="AE748" s="78" t="b">
        <f t="shared" si="867"/>
        <v>0</v>
      </c>
      <c r="AF748" s="78" t="b">
        <f t="shared" si="867"/>
        <v>0</v>
      </c>
      <c r="AG748" s="78" t="b">
        <f t="shared" si="867"/>
        <v>0</v>
      </c>
      <c r="AH748" s="78" t="b">
        <f t="shared" si="867"/>
        <v>0</v>
      </c>
      <c r="AI748" s="78" t="b">
        <f t="shared" si="867"/>
        <v>0</v>
      </c>
      <c r="AJ748" s="78" t="b">
        <f t="shared" si="867"/>
        <v>0</v>
      </c>
      <c r="AK748" s="78" t="b">
        <f t="shared" si="867"/>
        <v>0</v>
      </c>
      <c r="AL748" s="78" t="b">
        <f t="shared" si="867"/>
        <v>0</v>
      </c>
      <c r="AM748" s="78" t="b">
        <f t="shared" si="867"/>
        <v>0</v>
      </c>
      <c r="AN748" s="78" t="b">
        <f t="shared" si="867"/>
        <v>0</v>
      </c>
      <c r="AO748" s="78" t="b">
        <f t="shared" si="867"/>
        <v>0</v>
      </c>
      <c r="AP748" s="78"/>
    </row>
    <row r="749" spans="4:42" x14ac:dyDescent="0.35">
      <c r="D749" s="96"/>
      <c r="E749" s="96"/>
      <c r="G749" s="77">
        <f t="shared" si="819"/>
        <v>0</v>
      </c>
      <c r="H749" s="78">
        <f t="shared" si="820"/>
        <v>0</v>
      </c>
      <c r="I749" s="77">
        <f t="shared" si="821"/>
        <v>0</v>
      </c>
      <c r="J749" s="78">
        <f t="shared" si="822"/>
        <v>0</v>
      </c>
      <c r="K749" s="78" t="str">
        <f t="shared" si="823"/>
        <v>1900-01-00 00:0:00</v>
      </c>
      <c r="L749" s="78" t="str">
        <f t="shared" si="824"/>
        <v>1900-01-00 00:0:00</v>
      </c>
      <c r="M749" s="79">
        <f t="shared" si="825"/>
        <v>0</v>
      </c>
      <c r="N749">
        <f t="shared" si="826"/>
        <v>1</v>
      </c>
      <c r="O749" t="str">
        <f>IFERROR(_xlfn.XLOOKUP(A749,HC!A:A,HC!C:C),"")</f>
        <v>Workforce</v>
      </c>
      <c r="R749" s="78" t="b">
        <f t="shared" ref="R749:AO749" si="868">IFERROR(IF($B749=$D$1,IF(AND($K749&lt;R$1,$L749&lt;R$1),"",IF(AND($K749&gt;S$1,$L749&gt;S$1),"",IF(AND($K749&lt;R$1,$L749&lt;=S$1),$L749-R$1,IF(AND($K749&gt;=R$1,$L749&gt;S$1),S$1-$K749,IF(AND($K749&gt;=R$1,$L749&lt;=S$1),$L749-$K749,IF(AND($K749&lt;R$1,$L749&gt;S$1),S$1-R$1,""))))))),"")</f>
        <v>0</v>
      </c>
      <c r="S749" s="78" t="b">
        <f t="shared" si="868"/>
        <v>0</v>
      </c>
      <c r="T749" s="78" t="b">
        <f t="shared" si="868"/>
        <v>0</v>
      </c>
      <c r="U749" s="78" t="b">
        <f t="shared" si="868"/>
        <v>0</v>
      </c>
      <c r="V749" s="78" t="b">
        <f t="shared" si="868"/>
        <v>0</v>
      </c>
      <c r="W749" s="78" t="b">
        <f t="shared" si="868"/>
        <v>0</v>
      </c>
      <c r="X749" s="78" t="b">
        <f t="shared" si="868"/>
        <v>0</v>
      </c>
      <c r="Y749" s="78" t="b">
        <f t="shared" si="868"/>
        <v>0</v>
      </c>
      <c r="Z749" s="78" t="b">
        <f t="shared" si="868"/>
        <v>0</v>
      </c>
      <c r="AA749" s="78" t="b">
        <f t="shared" si="868"/>
        <v>0</v>
      </c>
      <c r="AB749" s="78" t="b">
        <f t="shared" si="868"/>
        <v>0</v>
      </c>
      <c r="AC749" s="78" t="b">
        <f t="shared" si="868"/>
        <v>0</v>
      </c>
      <c r="AD749" s="78" t="b">
        <f t="shared" si="868"/>
        <v>0</v>
      </c>
      <c r="AE749" s="78" t="b">
        <f t="shared" si="868"/>
        <v>0</v>
      </c>
      <c r="AF749" s="78" t="b">
        <f t="shared" si="868"/>
        <v>0</v>
      </c>
      <c r="AG749" s="78" t="b">
        <f t="shared" si="868"/>
        <v>0</v>
      </c>
      <c r="AH749" s="78" t="b">
        <f t="shared" si="868"/>
        <v>0</v>
      </c>
      <c r="AI749" s="78" t="b">
        <f t="shared" si="868"/>
        <v>0</v>
      </c>
      <c r="AJ749" s="78" t="b">
        <f t="shared" si="868"/>
        <v>0</v>
      </c>
      <c r="AK749" s="78" t="b">
        <f t="shared" si="868"/>
        <v>0</v>
      </c>
      <c r="AL749" s="78" t="b">
        <f t="shared" si="868"/>
        <v>0</v>
      </c>
      <c r="AM749" s="78" t="b">
        <f t="shared" si="868"/>
        <v>0</v>
      </c>
      <c r="AN749" s="78" t="b">
        <f t="shared" si="868"/>
        <v>0</v>
      </c>
      <c r="AO749" s="78" t="b">
        <f t="shared" si="868"/>
        <v>0</v>
      </c>
      <c r="AP749" s="78"/>
    </row>
    <row r="750" spans="4:42" x14ac:dyDescent="0.35">
      <c r="D750" s="96"/>
      <c r="E750" s="96"/>
      <c r="G750" s="77">
        <f t="shared" si="819"/>
        <v>0</v>
      </c>
      <c r="H750" s="78">
        <f t="shared" si="820"/>
        <v>0</v>
      </c>
      <c r="I750" s="77">
        <f t="shared" si="821"/>
        <v>0</v>
      </c>
      <c r="J750" s="78">
        <f t="shared" si="822"/>
        <v>0</v>
      </c>
      <c r="K750" s="78" t="str">
        <f t="shared" si="823"/>
        <v>1900-01-00 00:0:00</v>
      </c>
      <c r="L750" s="78" t="str">
        <f t="shared" si="824"/>
        <v>1900-01-00 00:0:00</v>
      </c>
      <c r="M750" s="79">
        <f t="shared" si="825"/>
        <v>0</v>
      </c>
      <c r="N750">
        <f t="shared" si="826"/>
        <v>1</v>
      </c>
      <c r="O750" t="str">
        <f>IFERROR(_xlfn.XLOOKUP(A750,HC!A:A,HC!C:C),"")</f>
        <v>Workforce</v>
      </c>
      <c r="R750" s="78" t="b">
        <f t="shared" ref="R750:AO750" si="869">IFERROR(IF($B750=$D$1,IF(AND($K750&lt;R$1,$L750&lt;R$1),"",IF(AND($K750&gt;S$1,$L750&gt;S$1),"",IF(AND($K750&lt;R$1,$L750&lt;=S$1),$L750-R$1,IF(AND($K750&gt;=R$1,$L750&gt;S$1),S$1-$K750,IF(AND($K750&gt;=R$1,$L750&lt;=S$1),$L750-$K750,IF(AND($K750&lt;R$1,$L750&gt;S$1),S$1-R$1,""))))))),"")</f>
        <v>0</v>
      </c>
      <c r="S750" s="78" t="b">
        <f t="shared" si="869"/>
        <v>0</v>
      </c>
      <c r="T750" s="78" t="b">
        <f t="shared" si="869"/>
        <v>0</v>
      </c>
      <c r="U750" s="78" t="b">
        <f t="shared" si="869"/>
        <v>0</v>
      </c>
      <c r="V750" s="78" t="b">
        <f t="shared" si="869"/>
        <v>0</v>
      </c>
      <c r="W750" s="78" t="b">
        <f t="shared" si="869"/>
        <v>0</v>
      </c>
      <c r="X750" s="78" t="b">
        <f t="shared" si="869"/>
        <v>0</v>
      </c>
      <c r="Y750" s="78" t="b">
        <f t="shared" si="869"/>
        <v>0</v>
      </c>
      <c r="Z750" s="78" t="b">
        <f t="shared" si="869"/>
        <v>0</v>
      </c>
      <c r="AA750" s="78" t="b">
        <f t="shared" si="869"/>
        <v>0</v>
      </c>
      <c r="AB750" s="78" t="b">
        <f t="shared" si="869"/>
        <v>0</v>
      </c>
      <c r="AC750" s="78" t="b">
        <f t="shared" si="869"/>
        <v>0</v>
      </c>
      <c r="AD750" s="78" t="b">
        <f t="shared" si="869"/>
        <v>0</v>
      </c>
      <c r="AE750" s="78" t="b">
        <f t="shared" si="869"/>
        <v>0</v>
      </c>
      <c r="AF750" s="78" t="b">
        <f t="shared" si="869"/>
        <v>0</v>
      </c>
      <c r="AG750" s="78" t="b">
        <f t="shared" si="869"/>
        <v>0</v>
      </c>
      <c r="AH750" s="78" t="b">
        <f t="shared" si="869"/>
        <v>0</v>
      </c>
      <c r="AI750" s="78" t="b">
        <f t="shared" si="869"/>
        <v>0</v>
      </c>
      <c r="AJ750" s="78" t="b">
        <f t="shared" si="869"/>
        <v>0</v>
      </c>
      <c r="AK750" s="78" t="b">
        <f t="shared" si="869"/>
        <v>0</v>
      </c>
      <c r="AL750" s="78" t="b">
        <f t="shared" si="869"/>
        <v>0</v>
      </c>
      <c r="AM750" s="78" t="b">
        <f t="shared" si="869"/>
        <v>0</v>
      </c>
      <c r="AN750" s="78" t="b">
        <f t="shared" si="869"/>
        <v>0</v>
      </c>
      <c r="AO750" s="78" t="b">
        <f t="shared" si="869"/>
        <v>0</v>
      </c>
      <c r="AP750" s="78"/>
    </row>
    <row r="751" spans="4:42" x14ac:dyDescent="0.35">
      <c r="D751" s="96"/>
      <c r="E751" s="96"/>
      <c r="G751" s="77">
        <f t="shared" si="819"/>
        <v>0</v>
      </c>
      <c r="H751" s="78">
        <f t="shared" si="820"/>
        <v>0</v>
      </c>
      <c r="I751" s="77">
        <f t="shared" si="821"/>
        <v>0</v>
      </c>
      <c r="J751" s="78">
        <f t="shared" si="822"/>
        <v>0</v>
      </c>
      <c r="K751" s="78" t="str">
        <f t="shared" si="823"/>
        <v>1900-01-00 00:0:00</v>
      </c>
      <c r="L751" s="78" t="str">
        <f t="shared" si="824"/>
        <v>1900-01-00 00:0:00</v>
      </c>
      <c r="M751" s="79">
        <f t="shared" si="825"/>
        <v>0</v>
      </c>
      <c r="N751">
        <f t="shared" si="826"/>
        <v>1</v>
      </c>
      <c r="O751" t="str">
        <f>IFERROR(_xlfn.XLOOKUP(A751,HC!A:A,HC!C:C),"")</f>
        <v>Workforce</v>
      </c>
      <c r="R751" s="78" t="b">
        <f t="shared" ref="R751:AO751" si="870">IFERROR(IF($B751=$D$1,IF(AND($K751&lt;R$1,$L751&lt;R$1),"",IF(AND($K751&gt;S$1,$L751&gt;S$1),"",IF(AND($K751&lt;R$1,$L751&lt;=S$1),$L751-R$1,IF(AND($K751&gt;=R$1,$L751&gt;S$1),S$1-$K751,IF(AND($K751&gt;=R$1,$L751&lt;=S$1),$L751-$K751,IF(AND($K751&lt;R$1,$L751&gt;S$1),S$1-R$1,""))))))),"")</f>
        <v>0</v>
      </c>
      <c r="S751" s="78" t="b">
        <f t="shared" si="870"/>
        <v>0</v>
      </c>
      <c r="T751" s="78" t="b">
        <f t="shared" si="870"/>
        <v>0</v>
      </c>
      <c r="U751" s="78" t="b">
        <f t="shared" si="870"/>
        <v>0</v>
      </c>
      <c r="V751" s="78" t="b">
        <f t="shared" si="870"/>
        <v>0</v>
      </c>
      <c r="W751" s="78" t="b">
        <f t="shared" si="870"/>
        <v>0</v>
      </c>
      <c r="X751" s="78" t="b">
        <f t="shared" si="870"/>
        <v>0</v>
      </c>
      <c r="Y751" s="78" t="b">
        <f t="shared" si="870"/>
        <v>0</v>
      </c>
      <c r="Z751" s="78" t="b">
        <f t="shared" si="870"/>
        <v>0</v>
      </c>
      <c r="AA751" s="78" t="b">
        <f t="shared" si="870"/>
        <v>0</v>
      </c>
      <c r="AB751" s="78" t="b">
        <f t="shared" si="870"/>
        <v>0</v>
      </c>
      <c r="AC751" s="78" t="b">
        <f t="shared" si="870"/>
        <v>0</v>
      </c>
      <c r="AD751" s="78" t="b">
        <f t="shared" si="870"/>
        <v>0</v>
      </c>
      <c r="AE751" s="78" t="b">
        <f t="shared" si="870"/>
        <v>0</v>
      </c>
      <c r="AF751" s="78" t="b">
        <f t="shared" si="870"/>
        <v>0</v>
      </c>
      <c r="AG751" s="78" t="b">
        <f t="shared" si="870"/>
        <v>0</v>
      </c>
      <c r="AH751" s="78" t="b">
        <f t="shared" si="870"/>
        <v>0</v>
      </c>
      <c r="AI751" s="78" t="b">
        <f t="shared" si="870"/>
        <v>0</v>
      </c>
      <c r="AJ751" s="78" t="b">
        <f t="shared" si="870"/>
        <v>0</v>
      </c>
      <c r="AK751" s="78" t="b">
        <f t="shared" si="870"/>
        <v>0</v>
      </c>
      <c r="AL751" s="78" t="b">
        <f t="shared" si="870"/>
        <v>0</v>
      </c>
      <c r="AM751" s="78" t="b">
        <f t="shared" si="870"/>
        <v>0</v>
      </c>
      <c r="AN751" s="78" t="b">
        <f t="shared" si="870"/>
        <v>0</v>
      </c>
      <c r="AO751" s="78" t="b">
        <f t="shared" si="870"/>
        <v>0</v>
      </c>
      <c r="AP751" s="78"/>
    </row>
    <row r="752" spans="4:42" x14ac:dyDescent="0.35">
      <c r="D752" s="96"/>
      <c r="E752" s="96"/>
      <c r="G752" s="77">
        <f t="shared" si="819"/>
        <v>0</v>
      </c>
      <c r="H752" s="78">
        <f t="shared" si="820"/>
        <v>0</v>
      </c>
      <c r="I752" s="77">
        <f t="shared" si="821"/>
        <v>0</v>
      </c>
      <c r="J752" s="78">
        <f t="shared" si="822"/>
        <v>0</v>
      </c>
      <c r="K752" s="78" t="str">
        <f t="shared" si="823"/>
        <v>1900-01-00 00:0:00</v>
      </c>
      <c r="L752" s="78" t="str">
        <f t="shared" si="824"/>
        <v>1900-01-00 00:0:00</v>
      </c>
      <c r="M752" s="79">
        <f t="shared" si="825"/>
        <v>0</v>
      </c>
      <c r="N752">
        <f t="shared" si="826"/>
        <v>1</v>
      </c>
      <c r="O752" t="str">
        <f>IFERROR(_xlfn.XLOOKUP(A752,HC!A:A,HC!C:C),"")</f>
        <v>Workforce</v>
      </c>
      <c r="R752" s="78" t="b">
        <f t="shared" ref="R752:AO752" si="871">IFERROR(IF($B752=$D$1,IF(AND($K752&lt;R$1,$L752&lt;R$1),"",IF(AND($K752&gt;S$1,$L752&gt;S$1),"",IF(AND($K752&lt;R$1,$L752&lt;=S$1),$L752-R$1,IF(AND($K752&gt;=R$1,$L752&gt;S$1),S$1-$K752,IF(AND($K752&gt;=R$1,$L752&lt;=S$1),$L752-$K752,IF(AND($K752&lt;R$1,$L752&gt;S$1),S$1-R$1,""))))))),"")</f>
        <v>0</v>
      </c>
      <c r="S752" s="78" t="b">
        <f t="shared" si="871"/>
        <v>0</v>
      </c>
      <c r="T752" s="78" t="b">
        <f t="shared" si="871"/>
        <v>0</v>
      </c>
      <c r="U752" s="78" t="b">
        <f t="shared" si="871"/>
        <v>0</v>
      </c>
      <c r="V752" s="78" t="b">
        <f t="shared" si="871"/>
        <v>0</v>
      </c>
      <c r="W752" s="78" t="b">
        <f t="shared" si="871"/>
        <v>0</v>
      </c>
      <c r="X752" s="78" t="b">
        <f t="shared" si="871"/>
        <v>0</v>
      </c>
      <c r="Y752" s="78" t="b">
        <f t="shared" si="871"/>
        <v>0</v>
      </c>
      <c r="Z752" s="78" t="b">
        <f t="shared" si="871"/>
        <v>0</v>
      </c>
      <c r="AA752" s="78" t="b">
        <f t="shared" si="871"/>
        <v>0</v>
      </c>
      <c r="AB752" s="78" t="b">
        <f t="shared" si="871"/>
        <v>0</v>
      </c>
      <c r="AC752" s="78" t="b">
        <f t="shared" si="871"/>
        <v>0</v>
      </c>
      <c r="AD752" s="78" t="b">
        <f t="shared" si="871"/>
        <v>0</v>
      </c>
      <c r="AE752" s="78" t="b">
        <f t="shared" si="871"/>
        <v>0</v>
      </c>
      <c r="AF752" s="78" t="b">
        <f t="shared" si="871"/>
        <v>0</v>
      </c>
      <c r="AG752" s="78" t="b">
        <f t="shared" si="871"/>
        <v>0</v>
      </c>
      <c r="AH752" s="78" t="b">
        <f t="shared" si="871"/>
        <v>0</v>
      </c>
      <c r="AI752" s="78" t="b">
        <f t="shared" si="871"/>
        <v>0</v>
      </c>
      <c r="AJ752" s="78" t="b">
        <f t="shared" si="871"/>
        <v>0</v>
      </c>
      <c r="AK752" s="78" t="b">
        <f t="shared" si="871"/>
        <v>0</v>
      </c>
      <c r="AL752" s="78" t="b">
        <f t="shared" si="871"/>
        <v>0</v>
      </c>
      <c r="AM752" s="78" t="b">
        <f t="shared" si="871"/>
        <v>0</v>
      </c>
      <c r="AN752" s="78" t="b">
        <f t="shared" si="871"/>
        <v>0</v>
      </c>
      <c r="AO752" s="78" t="b">
        <f t="shared" si="871"/>
        <v>0</v>
      </c>
      <c r="AP752" s="78"/>
    </row>
    <row r="753" spans="4:42" x14ac:dyDescent="0.35">
      <c r="D753" s="96"/>
      <c r="E753" s="96"/>
      <c r="G753" s="77">
        <f t="shared" si="819"/>
        <v>0</v>
      </c>
      <c r="H753" s="78">
        <f t="shared" si="820"/>
        <v>0</v>
      </c>
      <c r="I753" s="77">
        <f t="shared" si="821"/>
        <v>0</v>
      </c>
      <c r="J753" s="78">
        <f t="shared" si="822"/>
        <v>0</v>
      </c>
      <c r="K753" s="78" t="str">
        <f t="shared" si="823"/>
        <v>1900-01-00 00:0:00</v>
      </c>
      <c r="L753" s="78" t="str">
        <f t="shared" si="824"/>
        <v>1900-01-00 00:0:00</v>
      </c>
      <c r="M753" s="79">
        <f t="shared" si="825"/>
        <v>0</v>
      </c>
      <c r="N753">
        <f t="shared" si="826"/>
        <v>1</v>
      </c>
      <c r="O753" t="str">
        <f>IFERROR(_xlfn.XLOOKUP(A753,HC!A:A,HC!C:C),"")</f>
        <v>Workforce</v>
      </c>
      <c r="R753" s="78" t="b">
        <f t="shared" ref="R753:AO753" si="872">IFERROR(IF($B753=$D$1,IF(AND($K753&lt;R$1,$L753&lt;R$1),"",IF(AND($K753&gt;S$1,$L753&gt;S$1),"",IF(AND($K753&lt;R$1,$L753&lt;=S$1),$L753-R$1,IF(AND($K753&gt;=R$1,$L753&gt;S$1),S$1-$K753,IF(AND($K753&gt;=R$1,$L753&lt;=S$1),$L753-$K753,IF(AND($K753&lt;R$1,$L753&gt;S$1),S$1-R$1,""))))))),"")</f>
        <v>0</v>
      </c>
      <c r="S753" s="78" t="b">
        <f t="shared" si="872"/>
        <v>0</v>
      </c>
      <c r="T753" s="78" t="b">
        <f t="shared" si="872"/>
        <v>0</v>
      </c>
      <c r="U753" s="78" t="b">
        <f t="shared" si="872"/>
        <v>0</v>
      </c>
      <c r="V753" s="78" t="b">
        <f t="shared" si="872"/>
        <v>0</v>
      </c>
      <c r="W753" s="78" t="b">
        <f t="shared" si="872"/>
        <v>0</v>
      </c>
      <c r="X753" s="78" t="b">
        <f t="shared" si="872"/>
        <v>0</v>
      </c>
      <c r="Y753" s="78" t="b">
        <f t="shared" si="872"/>
        <v>0</v>
      </c>
      <c r="Z753" s="78" t="b">
        <f t="shared" si="872"/>
        <v>0</v>
      </c>
      <c r="AA753" s="78" t="b">
        <f t="shared" si="872"/>
        <v>0</v>
      </c>
      <c r="AB753" s="78" t="b">
        <f t="shared" si="872"/>
        <v>0</v>
      </c>
      <c r="AC753" s="78" t="b">
        <f t="shared" si="872"/>
        <v>0</v>
      </c>
      <c r="AD753" s="78" t="b">
        <f t="shared" si="872"/>
        <v>0</v>
      </c>
      <c r="AE753" s="78" t="b">
        <f t="shared" si="872"/>
        <v>0</v>
      </c>
      <c r="AF753" s="78" t="b">
        <f t="shared" si="872"/>
        <v>0</v>
      </c>
      <c r="AG753" s="78" t="b">
        <f t="shared" si="872"/>
        <v>0</v>
      </c>
      <c r="AH753" s="78" t="b">
        <f t="shared" si="872"/>
        <v>0</v>
      </c>
      <c r="AI753" s="78" t="b">
        <f t="shared" si="872"/>
        <v>0</v>
      </c>
      <c r="AJ753" s="78" t="b">
        <f t="shared" si="872"/>
        <v>0</v>
      </c>
      <c r="AK753" s="78" t="b">
        <f t="shared" si="872"/>
        <v>0</v>
      </c>
      <c r="AL753" s="78" t="b">
        <f t="shared" si="872"/>
        <v>0</v>
      </c>
      <c r="AM753" s="78" t="b">
        <f t="shared" si="872"/>
        <v>0</v>
      </c>
      <c r="AN753" s="78" t="b">
        <f t="shared" si="872"/>
        <v>0</v>
      </c>
      <c r="AO753" s="78" t="b">
        <f t="shared" si="872"/>
        <v>0</v>
      </c>
      <c r="AP753" s="78"/>
    </row>
    <row r="754" spans="4:42" x14ac:dyDescent="0.35">
      <c r="D754" s="96"/>
      <c r="E754" s="96"/>
      <c r="G754" s="77">
        <f t="shared" si="819"/>
        <v>0</v>
      </c>
      <c r="H754" s="78">
        <f t="shared" si="820"/>
        <v>0</v>
      </c>
      <c r="I754" s="77">
        <f t="shared" si="821"/>
        <v>0</v>
      </c>
      <c r="J754" s="78">
        <f t="shared" si="822"/>
        <v>0</v>
      </c>
      <c r="K754" s="78" t="str">
        <f t="shared" si="823"/>
        <v>1900-01-00 00:0:00</v>
      </c>
      <c r="L754" s="78" t="str">
        <f t="shared" si="824"/>
        <v>1900-01-00 00:0:00</v>
      </c>
      <c r="M754" s="79">
        <f t="shared" si="825"/>
        <v>0</v>
      </c>
      <c r="N754">
        <f t="shared" si="826"/>
        <v>1</v>
      </c>
      <c r="O754" t="str">
        <f>IFERROR(_xlfn.XLOOKUP(A754,HC!A:A,HC!C:C),"")</f>
        <v>Workforce</v>
      </c>
      <c r="R754" s="78" t="b">
        <f t="shared" ref="R754:AO754" si="873">IFERROR(IF($B754=$D$1,IF(AND($K754&lt;R$1,$L754&lt;R$1),"",IF(AND($K754&gt;S$1,$L754&gt;S$1),"",IF(AND($K754&lt;R$1,$L754&lt;=S$1),$L754-R$1,IF(AND($K754&gt;=R$1,$L754&gt;S$1),S$1-$K754,IF(AND($K754&gt;=R$1,$L754&lt;=S$1),$L754-$K754,IF(AND($K754&lt;R$1,$L754&gt;S$1),S$1-R$1,""))))))),"")</f>
        <v>0</v>
      </c>
      <c r="S754" s="78" t="b">
        <f t="shared" si="873"/>
        <v>0</v>
      </c>
      <c r="T754" s="78" t="b">
        <f t="shared" si="873"/>
        <v>0</v>
      </c>
      <c r="U754" s="78" t="b">
        <f t="shared" si="873"/>
        <v>0</v>
      </c>
      <c r="V754" s="78" t="b">
        <f t="shared" si="873"/>
        <v>0</v>
      </c>
      <c r="W754" s="78" t="b">
        <f t="shared" si="873"/>
        <v>0</v>
      </c>
      <c r="X754" s="78" t="b">
        <f t="shared" si="873"/>
        <v>0</v>
      </c>
      <c r="Y754" s="78" t="b">
        <f t="shared" si="873"/>
        <v>0</v>
      </c>
      <c r="Z754" s="78" t="b">
        <f t="shared" si="873"/>
        <v>0</v>
      </c>
      <c r="AA754" s="78" t="b">
        <f t="shared" si="873"/>
        <v>0</v>
      </c>
      <c r="AB754" s="78" t="b">
        <f t="shared" si="873"/>
        <v>0</v>
      </c>
      <c r="AC754" s="78" t="b">
        <f t="shared" si="873"/>
        <v>0</v>
      </c>
      <c r="AD754" s="78" t="b">
        <f t="shared" si="873"/>
        <v>0</v>
      </c>
      <c r="AE754" s="78" t="b">
        <f t="shared" si="873"/>
        <v>0</v>
      </c>
      <c r="AF754" s="78" t="b">
        <f t="shared" si="873"/>
        <v>0</v>
      </c>
      <c r="AG754" s="78" t="b">
        <f t="shared" si="873"/>
        <v>0</v>
      </c>
      <c r="AH754" s="78" t="b">
        <f t="shared" si="873"/>
        <v>0</v>
      </c>
      <c r="AI754" s="78" t="b">
        <f t="shared" si="873"/>
        <v>0</v>
      </c>
      <c r="AJ754" s="78" t="b">
        <f t="shared" si="873"/>
        <v>0</v>
      </c>
      <c r="AK754" s="78" t="b">
        <f t="shared" si="873"/>
        <v>0</v>
      </c>
      <c r="AL754" s="78" t="b">
        <f t="shared" si="873"/>
        <v>0</v>
      </c>
      <c r="AM754" s="78" t="b">
        <f t="shared" si="873"/>
        <v>0</v>
      </c>
      <c r="AN754" s="78" t="b">
        <f t="shared" si="873"/>
        <v>0</v>
      </c>
      <c r="AO754" s="78" t="b">
        <f t="shared" si="873"/>
        <v>0</v>
      </c>
      <c r="AP754" s="78"/>
    </row>
    <row r="755" spans="4:42" x14ac:dyDescent="0.35">
      <c r="D755" s="96"/>
      <c r="E755" s="96"/>
      <c r="G755" s="77">
        <f t="shared" si="819"/>
        <v>0</v>
      </c>
      <c r="H755" s="78">
        <f t="shared" si="820"/>
        <v>0</v>
      </c>
      <c r="I755" s="77">
        <f t="shared" si="821"/>
        <v>0</v>
      </c>
      <c r="J755" s="78">
        <f t="shared" si="822"/>
        <v>0</v>
      </c>
      <c r="K755" s="78" t="str">
        <f t="shared" si="823"/>
        <v>1900-01-00 00:0:00</v>
      </c>
      <c r="L755" s="78" t="str">
        <f t="shared" si="824"/>
        <v>1900-01-00 00:0:00</v>
      </c>
      <c r="M755" s="79">
        <f t="shared" si="825"/>
        <v>0</v>
      </c>
      <c r="N755">
        <f t="shared" si="826"/>
        <v>1</v>
      </c>
      <c r="O755" t="str">
        <f>IFERROR(_xlfn.XLOOKUP(A755,HC!A:A,HC!C:C),"")</f>
        <v>Workforce</v>
      </c>
      <c r="R755" s="78" t="b">
        <f t="shared" ref="R755:AO755" si="874">IFERROR(IF($B755=$D$1,IF(AND($K755&lt;R$1,$L755&lt;R$1),"",IF(AND($K755&gt;S$1,$L755&gt;S$1),"",IF(AND($K755&lt;R$1,$L755&lt;=S$1),$L755-R$1,IF(AND($K755&gt;=R$1,$L755&gt;S$1),S$1-$K755,IF(AND($K755&gt;=R$1,$L755&lt;=S$1),$L755-$K755,IF(AND($K755&lt;R$1,$L755&gt;S$1),S$1-R$1,""))))))),"")</f>
        <v>0</v>
      </c>
      <c r="S755" s="78" t="b">
        <f t="shared" si="874"/>
        <v>0</v>
      </c>
      <c r="T755" s="78" t="b">
        <f t="shared" si="874"/>
        <v>0</v>
      </c>
      <c r="U755" s="78" t="b">
        <f t="shared" si="874"/>
        <v>0</v>
      </c>
      <c r="V755" s="78" t="b">
        <f t="shared" si="874"/>
        <v>0</v>
      </c>
      <c r="W755" s="78" t="b">
        <f t="shared" si="874"/>
        <v>0</v>
      </c>
      <c r="X755" s="78" t="b">
        <f t="shared" si="874"/>
        <v>0</v>
      </c>
      <c r="Y755" s="78" t="b">
        <f t="shared" si="874"/>
        <v>0</v>
      </c>
      <c r="Z755" s="78" t="b">
        <f t="shared" si="874"/>
        <v>0</v>
      </c>
      <c r="AA755" s="78" t="b">
        <f t="shared" si="874"/>
        <v>0</v>
      </c>
      <c r="AB755" s="78" t="b">
        <f t="shared" si="874"/>
        <v>0</v>
      </c>
      <c r="AC755" s="78" t="b">
        <f t="shared" si="874"/>
        <v>0</v>
      </c>
      <c r="AD755" s="78" t="b">
        <f t="shared" si="874"/>
        <v>0</v>
      </c>
      <c r="AE755" s="78" t="b">
        <f t="shared" si="874"/>
        <v>0</v>
      </c>
      <c r="AF755" s="78" t="b">
        <f t="shared" si="874"/>
        <v>0</v>
      </c>
      <c r="AG755" s="78" t="b">
        <f t="shared" si="874"/>
        <v>0</v>
      </c>
      <c r="AH755" s="78" t="b">
        <f t="shared" si="874"/>
        <v>0</v>
      </c>
      <c r="AI755" s="78" t="b">
        <f t="shared" si="874"/>
        <v>0</v>
      </c>
      <c r="AJ755" s="78" t="b">
        <f t="shared" si="874"/>
        <v>0</v>
      </c>
      <c r="AK755" s="78" t="b">
        <f t="shared" si="874"/>
        <v>0</v>
      </c>
      <c r="AL755" s="78" t="b">
        <f t="shared" si="874"/>
        <v>0</v>
      </c>
      <c r="AM755" s="78" t="b">
        <f t="shared" si="874"/>
        <v>0</v>
      </c>
      <c r="AN755" s="78" t="b">
        <f t="shared" si="874"/>
        <v>0</v>
      </c>
      <c r="AO755" s="78" t="b">
        <f t="shared" si="874"/>
        <v>0</v>
      </c>
      <c r="AP755" s="78"/>
    </row>
    <row r="756" spans="4:42" x14ac:dyDescent="0.35">
      <c r="D756" s="96"/>
      <c r="E756" s="96"/>
      <c r="G756" s="77">
        <f t="shared" si="819"/>
        <v>0</v>
      </c>
      <c r="H756" s="78">
        <f t="shared" si="820"/>
        <v>0</v>
      </c>
      <c r="I756" s="77">
        <f t="shared" si="821"/>
        <v>0</v>
      </c>
      <c r="J756" s="78">
        <f t="shared" si="822"/>
        <v>0</v>
      </c>
      <c r="K756" s="78" t="str">
        <f t="shared" si="823"/>
        <v>1900-01-00 00:0:00</v>
      </c>
      <c r="L756" s="78" t="str">
        <f t="shared" si="824"/>
        <v>1900-01-00 00:0:00</v>
      </c>
      <c r="M756" s="79">
        <f t="shared" si="825"/>
        <v>0</v>
      </c>
      <c r="N756">
        <f t="shared" si="826"/>
        <v>1</v>
      </c>
      <c r="O756" t="str">
        <f>IFERROR(_xlfn.XLOOKUP(A756,HC!A:A,HC!C:C),"")</f>
        <v>Workforce</v>
      </c>
      <c r="R756" s="78" t="b">
        <f t="shared" ref="R756:AO756" si="875">IFERROR(IF($B756=$D$1,IF(AND($K756&lt;R$1,$L756&lt;R$1),"",IF(AND($K756&gt;S$1,$L756&gt;S$1),"",IF(AND($K756&lt;R$1,$L756&lt;=S$1),$L756-R$1,IF(AND($K756&gt;=R$1,$L756&gt;S$1),S$1-$K756,IF(AND($K756&gt;=R$1,$L756&lt;=S$1),$L756-$K756,IF(AND($K756&lt;R$1,$L756&gt;S$1),S$1-R$1,""))))))),"")</f>
        <v>0</v>
      </c>
      <c r="S756" s="78" t="b">
        <f t="shared" si="875"/>
        <v>0</v>
      </c>
      <c r="T756" s="78" t="b">
        <f t="shared" si="875"/>
        <v>0</v>
      </c>
      <c r="U756" s="78" t="b">
        <f t="shared" si="875"/>
        <v>0</v>
      </c>
      <c r="V756" s="78" t="b">
        <f t="shared" si="875"/>
        <v>0</v>
      </c>
      <c r="W756" s="78" t="b">
        <f t="shared" si="875"/>
        <v>0</v>
      </c>
      <c r="X756" s="78" t="b">
        <f t="shared" si="875"/>
        <v>0</v>
      </c>
      <c r="Y756" s="78" t="b">
        <f t="shared" si="875"/>
        <v>0</v>
      </c>
      <c r="Z756" s="78" t="b">
        <f t="shared" si="875"/>
        <v>0</v>
      </c>
      <c r="AA756" s="78" t="b">
        <f t="shared" si="875"/>
        <v>0</v>
      </c>
      <c r="AB756" s="78" t="b">
        <f t="shared" si="875"/>
        <v>0</v>
      </c>
      <c r="AC756" s="78" t="b">
        <f t="shared" si="875"/>
        <v>0</v>
      </c>
      <c r="AD756" s="78" t="b">
        <f t="shared" si="875"/>
        <v>0</v>
      </c>
      <c r="AE756" s="78" t="b">
        <f t="shared" si="875"/>
        <v>0</v>
      </c>
      <c r="AF756" s="78" t="b">
        <f t="shared" si="875"/>
        <v>0</v>
      </c>
      <c r="AG756" s="78" t="b">
        <f t="shared" si="875"/>
        <v>0</v>
      </c>
      <c r="AH756" s="78" t="b">
        <f t="shared" si="875"/>
        <v>0</v>
      </c>
      <c r="AI756" s="78" t="b">
        <f t="shared" si="875"/>
        <v>0</v>
      </c>
      <c r="AJ756" s="78" t="b">
        <f t="shared" si="875"/>
        <v>0</v>
      </c>
      <c r="AK756" s="78" t="b">
        <f t="shared" si="875"/>
        <v>0</v>
      </c>
      <c r="AL756" s="78" t="b">
        <f t="shared" si="875"/>
        <v>0</v>
      </c>
      <c r="AM756" s="78" t="b">
        <f t="shared" si="875"/>
        <v>0</v>
      </c>
      <c r="AN756" s="78" t="b">
        <f t="shared" si="875"/>
        <v>0</v>
      </c>
      <c r="AO756" s="78" t="b">
        <f t="shared" si="875"/>
        <v>0</v>
      </c>
      <c r="AP756" s="78"/>
    </row>
    <row r="757" spans="4:42" x14ac:dyDescent="0.35">
      <c r="D757" s="96"/>
      <c r="E757" s="96"/>
      <c r="G757" s="77">
        <f t="shared" si="819"/>
        <v>0</v>
      </c>
      <c r="H757" s="78">
        <f t="shared" si="820"/>
        <v>0</v>
      </c>
      <c r="I757" s="77">
        <f t="shared" si="821"/>
        <v>0</v>
      </c>
      <c r="J757" s="78">
        <f t="shared" si="822"/>
        <v>0</v>
      </c>
      <c r="K757" s="78" t="str">
        <f t="shared" si="823"/>
        <v>1900-01-00 00:0:00</v>
      </c>
      <c r="L757" s="78" t="str">
        <f t="shared" si="824"/>
        <v>1900-01-00 00:0:00</v>
      </c>
      <c r="M757" s="79">
        <f t="shared" si="825"/>
        <v>0</v>
      </c>
      <c r="N757">
        <f t="shared" si="826"/>
        <v>1</v>
      </c>
      <c r="O757" t="str">
        <f>IFERROR(_xlfn.XLOOKUP(A757,HC!A:A,HC!C:C),"")</f>
        <v>Workforce</v>
      </c>
      <c r="R757" s="78" t="b">
        <f t="shared" ref="R757:AO757" si="876">IFERROR(IF($B757=$D$1,IF(AND($K757&lt;R$1,$L757&lt;R$1),"",IF(AND($K757&gt;S$1,$L757&gt;S$1),"",IF(AND($K757&lt;R$1,$L757&lt;=S$1),$L757-R$1,IF(AND($K757&gt;=R$1,$L757&gt;S$1),S$1-$K757,IF(AND($K757&gt;=R$1,$L757&lt;=S$1),$L757-$K757,IF(AND($K757&lt;R$1,$L757&gt;S$1),S$1-R$1,""))))))),"")</f>
        <v>0</v>
      </c>
      <c r="S757" s="78" t="b">
        <f t="shared" si="876"/>
        <v>0</v>
      </c>
      <c r="T757" s="78" t="b">
        <f t="shared" si="876"/>
        <v>0</v>
      </c>
      <c r="U757" s="78" t="b">
        <f t="shared" si="876"/>
        <v>0</v>
      </c>
      <c r="V757" s="78" t="b">
        <f t="shared" si="876"/>
        <v>0</v>
      </c>
      <c r="W757" s="78" t="b">
        <f t="shared" si="876"/>
        <v>0</v>
      </c>
      <c r="X757" s="78" t="b">
        <f t="shared" si="876"/>
        <v>0</v>
      </c>
      <c r="Y757" s="78" t="b">
        <f t="shared" si="876"/>
        <v>0</v>
      </c>
      <c r="Z757" s="78" t="b">
        <f t="shared" si="876"/>
        <v>0</v>
      </c>
      <c r="AA757" s="78" t="b">
        <f t="shared" si="876"/>
        <v>0</v>
      </c>
      <c r="AB757" s="78" t="b">
        <f t="shared" si="876"/>
        <v>0</v>
      </c>
      <c r="AC757" s="78" t="b">
        <f t="shared" si="876"/>
        <v>0</v>
      </c>
      <c r="AD757" s="78" t="b">
        <f t="shared" si="876"/>
        <v>0</v>
      </c>
      <c r="AE757" s="78" t="b">
        <f t="shared" si="876"/>
        <v>0</v>
      </c>
      <c r="AF757" s="78" t="b">
        <f t="shared" si="876"/>
        <v>0</v>
      </c>
      <c r="AG757" s="78" t="b">
        <f t="shared" si="876"/>
        <v>0</v>
      </c>
      <c r="AH757" s="78" t="b">
        <f t="shared" si="876"/>
        <v>0</v>
      </c>
      <c r="AI757" s="78" t="b">
        <f t="shared" si="876"/>
        <v>0</v>
      </c>
      <c r="AJ757" s="78" t="b">
        <f t="shared" si="876"/>
        <v>0</v>
      </c>
      <c r="AK757" s="78" t="b">
        <f t="shared" si="876"/>
        <v>0</v>
      </c>
      <c r="AL757" s="78" t="b">
        <f t="shared" si="876"/>
        <v>0</v>
      </c>
      <c r="AM757" s="78" t="b">
        <f t="shared" si="876"/>
        <v>0</v>
      </c>
      <c r="AN757" s="78" t="b">
        <f t="shared" si="876"/>
        <v>0</v>
      </c>
      <c r="AO757" s="78" t="b">
        <f t="shared" si="876"/>
        <v>0</v>
      </c>
      <c r="AP757" s="78"/>
    </row>
    <row r="758" spans="4:42" x14ac:dyDescent="0.35">
      <c r="D758" s="96"/>
      <c r="E758" s="96"/>
      <c r="G758" s="77">
        <f t="shared" si="819"/>
        <v>0</v>
      </c>
      <c r="H758" s="78">
        <f t="shared" si="820"/>
        <v>0</v>
      </c>
      <c r="I758" s="77">
        <f t="shared" si="821"/>
        <v>0</v>
      </c>
      <c r="J758" s="78">
        <f t="shared" si="822"/>
        <v>0</v>
      </c>
      <c r="K758" s="78" t="str">
        <f t="shared" si="823"/>
        <v>1900-01-00 00:0:00</v>
      </c>
      <c r="L758" s="78" t="str">
        <f t="shared" si="824"/>
        <v>1900-01-00 00:0:00</v>
      </c>
      <c r="M758" s="79">
        <f t="shared" si="825"/>
        <v>0</v>
      </c>
      <c r="N758">
        <f t="shared" si="826"/>
        <v>1</v>
      </c>
      <c r="O758" t="str">
        <f>IFERROR(_xlfn.XLOOKUP(A758,HC!A:A,HC!C:C),"")</f>
        <v>Workforce</v>
      </c>
      <c r="R758" s="78" t="b">
        <f t="shared" ref="R758:AO758" si="877">IFERROR(IF($B758=$D$1,IF(AND($K758&lt;R$1,$L758&lt;R$1),"",IF(AND($K758&gt;S$1,$L758&gt;S$1),"",IF(AND($K758&lt;R$1,$L758&lt;=S$1),$L758-R$1,IF(AND($K758&gt;=R$1,$L758&gt;S$1),S$1-$K758,IF(AND($K758&gt;=R$1,$L758&lt;=S$1),$L758-$K758,IF(AND($K758&lt;R$1,$L758&gt;S$1),S$1-R$1,""))))))),"")</f>
        <v>0</v>
      </c>
      <c r="S758" s="78" t="b">
        <f t="shared" si="877"/>
        <v>0</v>
      </c>
      <c r="T758" s="78" t="b">
        <f t="shared" si="877"/>
        <v>0</v>
      </c>
      <c r="U758" s="78" t="b">
        <f t="shared" si="877"/>
        <v>0</v>
      </c>
      <c r="V758" s="78" t="b">
        <f t="shared" si="877"/>
        <v>0</v>
      </c>
      <c r="W758" s="78" t="b">
        <f t="shared" si="877"/>
        <v>0</v>
      </c>
      <c r="X758" s="78" t="b">
        <f t="shared" si="877"/>
        <v>0</v>
      </c>
      <c r="Y758" s="78" t="b">
        <f t="shared" si="877"/>
        <v>0</v>
      </c>
      <c r="Z758" s="78" t="b">
        <f t="shared" si="877"/>
        <v>0</v>
      </c>
      <c r="AA758" s="78" t="b">
        <f t="shared" si="877"/>
        <v>0</v>
      </c>
      <c r="AB758" s="78" t="b">
        <f t="shared" si="877"/>
        <v>0</v>
      </c>
      <c r="AC758" s="78" t="b">
        <f t="shared" si="877"/>
        <v>0</v>
      </c>
      <c r="AD758" s="78" t="b">
        <f t="shared" si="877"/>
        <v>0</v>
      </c>
      <c r="AE758" s="78" t="b">
        <f t="shared" si="877"/>
        <v>0</v>
      </c>
      <c r="AF758" s="78" t="b">
        <f t="shared" si="877"/>
        <v>0</v>
      </c>
      <c r="AG758" s="78" t="b">
        <f t="shared" si="877"/>
        <v>0</v>
      </c>
      <c r="AH758" s="78" t="b">
        <f t="shared" si="877"/>
        <v>0</v>
      </c>
      <c r="AI758" s="78" t="b">
        <f t="shared" si="877"/>
        <v>0</v>
      </c>
      <c r="AJ758" s="78" t="b">
        <f t="shared" si="877"/>
        <v>0</v>
      </c>
      <c r="AK758" s="78" t="b">
        <f t="shared" si="877"/>
        <v>0</v>
      </c>
      <c r="AL758" s="78" t="b">
        <f t="shared" si="877"/>
        <v>0</v>
      </c>
      <c r="AM758" s="78" t="b">
        <f t="shared" si="877"/>
        <v>0</v>
      </c>
      <c r="AN758" s="78" t="b">
        <f t="shared" si="877"/>
        <v>0</v>
      </c>
      <c r="AO758" s="78" t="b">
        <f t="shared" si="877"/>
        <v>0</v>
      </c>
      <c r="AP758" s="78"/>
    </row>
    <row r="759" spans="4:42" x14ac:dyDescent="0.35">
      <c r="D759" s="96"/>
      <c r="E759" s="96"/>
      <c r="G759" s="77">
        <f t="shared" si="819"/>
        <v>0</v>
      </c>
      <c r="H759" s="78">
        <f t="shared" si="820"/>
        <v>0</v>
      </c>
      <c r="I759" s="77">
        <f t="shared" si="821"/>
        <v>0</v>
      </c>
      <c r="J759" s="78">
        <f t="shared" si="822"/>
        <v>0</v>
      </c>
      <c r="K759" s="78" t="str">
        <f t="shared" si="823"/>
        <v>1900-01-00 00:0:00</v>
      </c>
      <c r="L759" s="78" t="str">
        <f t="shared" si="824"/>
        <v>1900-01-00 00:0:00</v>
      </c>
      <c r="M759" s="79">
        <f t="shared" si="825"/>
        <v>0</v>
      </c>
      <c r="N759">
        <f t="shared" si="826"/>
        <v>1</v>
      </c>
      <c r="O759" t="str">
        <f>IFERROR(_xlfn.XLOOKUP(A759,HC!A:A,HC!C:C),"")</f>
        <v>Workforce</v>
      </c>
      <c r="R759" s="78" t="b">
        <f t="shared" ref="R759:AO759" si="878">IFERROR(IF($B759=$D$1,IF(AND($K759&lt;R$1,$L759&lt;R$1),"",IF(AND($K759&gt;S$1,$L759&gt;S$1),"",IF(AND($K759&lt;R$1,$L759&lt;=S$1),$L759-R$1,IF(AND($K759&gt;=R$1,$L759&gt;S$1),S$1-$K759,IF(AND($K759&gt;=R$1,$L759&lt;=S$1),$L759-$K759,IF(AND($K759&lt;R$1,$L759&gt;S$1),S$1-R$1,""))))))),"")</f>
        <v>0</v>
      </c>
      <c r="S759" s="78" t="b">
        <f t="shared" si="878"/>
        <v>0</v>
      </c>
      <c r="T759" s="78" t="b">
        <f t="shared" si="878"/>
        <v>0</v>
      </c>
      <c r="U759" s="78" t="b">
        <f t="shared" si="878"/>
        <v>0</v>
      </c>
      <c r="V759" s="78" t="b">
        <f t="shared" si="878"/>
        <v>0</v>
      </c>
      <c r="W759" s="78" t="b">
        <f t="shared" si="878"/>
        <v>0</v>
      </c>
      <c r="X759" s="78" t="b">
        <f t="shared" si="878"/>
        <v>0</v>
      </c>
      <c r="Y759" s="78" t="b">
        <f t="shared" si="878"/>
        <v>0</v>
      </c>
      <c r="Z759" s="78" t="b">
        <f t="shared" si="878"/>
        <v>0</v>
      </c>
      <c r="AA759" s="78" t="b">
        <f t="shared" si="878"/>
        <v>0</v>
      </c>
      <c r="AB759" s="78" t="b">
        <f t="shared" si="878"/>
        <v>0</v>
      </c>
      <c r="AC759" s="78" t="b">
        <f t="shared" si="878"/>
        <v>0</v>
      </c>
      <c r="AD759" s="78" t="b">
        <f t="shared" si="878"/>
        <v>0</v>
      </c>
      <c r="AE759" s="78" t="b">
        <f t="shared" si="878"/>
        <v>0</v>
      </c>
      <c r="AF759" s="78" t="b">
        <f t="shared" si="878"/>
        <v>0</v>
      </c>
      <c r="AG759" s="78" t="b">
        <f t="shared" si="878"/>
        <v>0</v>
      </c>
      <c r="AH759" s="78" t="b">
        <f t="shared" si="878"/>
        <v>0</v>
      </c>
      <c r="AI759" s="78" t="b">
        <f t="shared" si="878"/>
        <v>0</v>
      </c>
      <c r="AJ759" s="78" t="b">
        <f t="shared" si="878"/>
        <v>0</v>
      </c>
      <c r="AK759" s="78" t="b">
        <f t="shared" si="878"/>
        <v>0</v>
      </c>
      <c r="AL759" s="78" t="b">
        <f t="shared" si="878"/>
        <v>0</v>
      </c>
      <c r="AM759" s="78" t="b">
        <f t="shared" si="878"/>
        <v>0</v>
      </c>
      <c r="AN759" s="78" t="b">
        <f t="shared" si="878"/>
        <v>0</v>
      </c>
      <c r="AO759" s="78" t="b">
        <f t="shared" si="878"/>
        <v>0</v>
      </c>
      <c r="AP759" s="78"/>
    </row>
    <row r="760" spans="4:42" x14ac:dyDescent="0.35">
      <c r="D760" s="96"/>
      <c r="E760" s="96"/>
      <c r="G760" s="77">
        <f t="shared" si="819"/>
        <v>0</v>
      </c>
      <c r="H760" s="78">
        <f t="shared" si="820"/>
        <v>0</v>
      </c>
      <c r="I760" s="77">
        <f t="shared" si="821"/>
        <v>0</v>
      </c>
      <c r="J760" s="78">
        <f t="shared" si="822"/>
        <v>0</v>
      </c>
      <c r="K760" s="78" t="str">
        <f t="shared" si="823"/>
        <v>1900-01-00 00:0:00</v>
      </c>
      <c r="L760" s="78" t="str">
        <f t="shared" si="824"/>
        <v>1900-01-00 00:0:00</v>
      </c>
      <c r="M760" s="79">
        <f t="shared" si="825"/>
        <v>0</v>
      </c>
      <c r="N760">
        <f t="shared" si="826"/>
        <v>1</v>
      </c>
      <c r="O760" t="str">
        <f>IFERROR(_xlfn.XLOOKUP(A760,HC!A:A,HC!C:C),"")</f>
        <v>Workforce</v>
      </c>
      <c r="R760" s="78" t="b">
        <f t="shared" ref="R760:AO760" si="879">IFERROR(IF($B760=$D$1,IF(AND($K760&lt;R$1,$L760&lt;R$1),"",IF(AND($K760&gt;S$1,$L760&gt;S$1),"",IF(AND($K760&lt;R$1,$L760&lt;=S$1),$L760-R$1,IF(AND($K760&gt;=R$1,$L760&gt;S$1),S$1-$K760,IF(AND($K760&gt;=R$1,$L760&lt;=S$1),$L760-$K760,IF(AND($K760&lt;R$1,$L760&gt;S$1),S$1-R$1,""))))))),"")</f>
        <v>0</v>
      </c>
      <c r="S760" s="78" t="b">
        <f t="shared" si="879"/>
        <v>0</v>
      </c>
      <c r="T760" s="78" t="b">
        <f t="shared" si="879"/>
        <v>0</v>
      </c>
      <c r="U760" s="78" t="b">
        <f t="shared" si="879"/>
        <v>0</v>
      </c>
      <c r="V760" s="78" t="b">
        <f t="shared" si="879"/>
        <v>0</v>
      </c>
      <c r="W760" s="78" t="b">
        <f t="shared" si="879"/>
        <v>0</v>
      </c>
      <c r="X760" s="78" t="b">
        <f t="shared" si="879"/>
        <v>0</v>
      </c>
      <c r="Y760" s="78" t="b">
        <f t="shared" si="879"/>
        <v>0</v>
      </c>
      <c r="Z760" s="78" t="b">
        <f t="shared" si="879"/>
        <v>0</v>
      </c>
      <c r="AA760" s="78" t="b">
        <f t="shared" si="879"/>
        <v>0</v>
      </c>
      <c r="AB760" s="78" t="b">
        <f t="shared" si="879"/>
        <v>0</v>
      </c>
      <c r="AC760" s="78" t="b">
        <f t="shared" si="879"/>
        <v>0</v>
      </c>
      <c r="AD760" s="78" t="b">
        <f t="shared" si="879"/>
        <v>0</v>
      </c>
      <c r="AE760" s="78" t="b">
        <f t="shared" si="879"/>
        <v>0</v>
      </c>
      <c r="AF760" s="78" t="b">
        <f t="shared" si="879"/>
        <v>0</v>
      </c>
      <c r="AG760" s="78" t="b">
        <f t="shared" si="879"/>
        <v>0</v>
      </c>
      <c r="AH760" s="78" t="b">
        <f t="shared" si="879"/>
        <v>0</v>
      </c>
      <c r="AI760" s="78" t="b">
        <f t="shared" si="879"/>
        <v>0</v>
      </c>
      <c r="AJ760" s="78" t="b">
        <f t="shared" si="879"/>
        <v>0</v>
      </c>
      <c r="AK760" s="78" t="b">
        <f t="shared" si="879"/>
        <v>0</v>
      </c>
      <c r="AL760" s="78" t="b">
        <f t="shared" si="879"/>
        <v>0</v>
      </c>
      <c r="AM760" s="78" t="b">
        <f t="shared" si="879"/>
        <v>0</v>
      </c>
      <c r="AN760" s="78" t="b">
        <f t="shared" si="879"/>
        <v>0</v>
      </c>
      <c r="AO760" s="78" t="b">
        <f t="shared" si="879"/>
        <v>0</v>
      </c>
      <c r="AP760" s="78"/>
    </row>
    <row r="761" spans="4:42" x14ac:dyDescent="0.35">
      <c r="D761" s="96"/>
      <c r="E761" s="96"/>
      <c r="G761" s="77">
        <f t="shared" si="819"/>
        <v>0</v>
      </c>
      <c r="H761" s="78">
        <f t="shared" si="820"/>
        <v>0</v>
      </c>
      <c r="I761" s="77">
        <f t="shared" si="821"/>
        <v>0</v>
      </c>
      <c r="J761" s="78">
        <f t="shared" si="822"/>
        <v>0</v>
      </c>
      <c r="K761" s="78" t="str">
        <f t="shared" si="823"/>
        <v>1900-01-00 00:0:00</v>
      </c>
      <c r="L761" s="78" t="str">
        <f t="shared" si="824"/>
        <v>1900-01-00 00:0:00</v>
      </c>
      <c r="M761" s="79">
        <f t="shared" si="825"/>
        <v>0</v>
      </c>
      <c r="N761">
        <f t="shared" si="826"/>
        <v>1</v>
      </c>
      <c r="O761" t="str">
        <f>IFERROR(_xlfn.XLOOKUP(A761,HC!A:A,HC!C:C),"")</f>
        <v>Workforce</v>
      </c>
      <c r="R761" s="78" t="b">
        <f t="shared" ref="R761:AO761" si="880">IFERROR(IF($B761=$D$1,IF(AND($K761&lt;R$1,$L761&lt;R$1),"",IF(AND($K761&gt;S$1,$L761&gt;S$1),"",IF(AND($K761&lt;R$1,$L761&lt;=S$1),$L761-R$1,IF(AND($K761&gt;=R$1,$L761&gt;S$1),S$1-$K761,IF(AND($K761&gt;=R$1,$L761&lt;=S$1),$L761-$K761,IF(AND($K761&lt;R$1,$L761&gt;S$1),S$1-R$1,""))))))),"")</f>
        <v>0</v>
      </c>
      <c r="S761" s="78" t="b">
        <f t="shared" si="880"/>
        <v>0</v>
      </c>
      <c r="T761" s="78" t="b">
        <f t="shared" si="880"/>
        <v>0</v>
      </c>
      <c r="U761" s="78" t="b">
        <f t="shared" si="880"/>
        <v>0</v>
      </c>
      <c r="V761" s="78" t="b">
        <f t="shared" si="880"/>
        <v>0</v>
      </c>
      <c r="W761" s="78" t="b">
        <f t="shared" si="880"/>
        <v>0</v>
      </c>
      <c r="X761" s="78" t="b">
        <f t="shared" si="880"/>
        <v>0</v>
      </c>
      <c r="Y761" s="78" t="b">
        <f t="shared" si="880"/>
        <v>0</v>
      </c>
      <c r="Z761" s="78" t="b">
        <f t="shared" si="880"/>
        <v>0</v>
      </c>
      <c r="AA761" s="78" t="b">
        <f t="shared" si="880"/>
        <v>0</v>
      </c>
      <c r="AB761" s="78" t="b">
        <f t="shared" si="880"/>
        <v>0</v>
      </c>
      <c r="AC761" s="78" t="b">
        <f t="shared" si="880"/>
        <v>0</v>
      </c>
      <c r="AD761" s="78" t="b">
        <f t="shared" si="880"/>
        <v>0</v>
      </c>
      <c r="AE761" s="78" t="b">
        <f t="shared" si="880"/>
        <v>0</v>
      </c>
      <c r="AF761" s="78" t="b">
        <f t="shared" si="880"/>
        <v>0</v>
      </c>
      <c r="AG761" s="78" t="b">
        <f t="shared" si="880"/>
        <v>0</v>
      </c>
      <c r="AH761" s="78" t="b">
        <f t="shared" si="880"/>
        <v>0</v>
      </c>
      <c r="AI761" s="78" t="b">
        <f t="shared" si="880"/>
        <v>0</v>
      </c>
      <c r="AJ761" s="78" t="b">
        <f t="shared" si="880"/>
        <v>0</v>
      </c>
      <c r="AK761" s="78" t="b">
        <f t="shared" si="880"/>
        <v>0</v>
      </c>
      <c r="AL761" s="78" t="b">
        <f t="shared" si="880"/>
        <v>0</v>
      </c>
      <c r="AM761" s="78" t="b">
        <f t="shared" si="880"/>
        <v>0</v>
      </c>
      <c r="AN761" s="78" t="b">
        <f t="shared" si="880"/>
        <v>0</v>
      </c>
      <c r="AO761" s="78" t="b">
        <f t="shared" si="880"/>
        <v>0</v>
      </c>
      <c r="AP761" s="78"/>
    </row>
    <row r="762" spans="4:42" x14ac:dyDescent="0.35">
      <c r="G762" s="77">
        <f t="shared" ref="G762:G825" si="881">INT(D762)</f>
        <v>0</v>
      </c>
      <c r="H762" s="78">
        <f t="shared" ref="H762:H825" si="882">D762-G762</f>
        <v>0</v>
      </c>
      <c r="I762" s="77">
        <f t="shared" ref="I762:I825" si="883">INT(E762)</f>
        <v>0</v>
      </c>
      <c r="J762" s="78">
        <f t="shared" ref="J762:J825" si="884">E762-I762</f>
        <v>0</v>
      </c>
      <c r="K762" s="78" t="str">
        <f t="shared" ref="K762:K825" si="885">TEXT(G762+H762,"yyyy-mm-dd hh:m:ss")</f>
        <v>1900-01-00 00:0:00</v>
      </c>
      <c r="L762" s="78" t="str">
        <f t="shared" ref="L762:L825" si="886">TEXT(I762+J762,"yyyy-mm-dd hh:m:ss")</f>
        <v>1900-01-00 00:0:00</v>
      </c>
      <c r="M762" s="79">
        <f t="shared" ref="M762:M825" si="887">E762-D762</f>
        <v>0</v>
      </c>
      <c r="N762">
        <f t="shared" si="826"/>
        <v>1</v>
      </c>
      <c r="O762" t="str">
        <f>IFERROR(_xlfn.XLOOKUP(A762,HC!A:A,HC!C:C),"")</f>
        <v>Workforce</v>
      </c>
      <c r="R762" s="78" t="b">
        <f t="shared" ref="R762:AO762" si="888">IFERROR(IF($B762=$D$1,IF(AND($K762&lt;R$1,$L762&lt;R$1),"",IF(AND($K762&gt;S$1,$L762&gt;S$1),"",IF(AND($K762&lt;R$1,$L762&lt;=S$1),$L762-R$1,IF(AND($K762&gt;=R$1,$L762&gt;S$1),S$1-$K762,IF(AND($K762&gt;=R$1,$L762&lt;=S$1),$L762-$K762,IF(AND($K762&lt;R$1,$L762&gt;S$1),S$1-R$1,""))))))),"")</f>
        <v>0</v>
      </c>
      <c r="S762" s="78" t="b">
        <f t="shared" si="888"/>
        <v>0</v>
      </c>
      <c r="T762" s="78" t="b">
        <f t="shared" si="888"/>
        <v>0</v>
      </c>
      <c r="U762" s="78" t="b">
        <f t="shared" si="888"/>
        <v>0</v>
      </c>
      <c r="V762" s="78" t="b">
        <f t="shared" si="888"/>
        <v>0</v>
      </c>
      <c r="W762" s="78" t="b">
        <f t="shared" si="888"/>
        <v>0</v>
      </c>
      <c r="X762" s="78" t="b">
        <f t="shared" si="888"/>
        <v>0</v>
      </c>
      <c r="Y762" s="78" t="b">
        <f t="shared" si="888"/>
        <v>0</v>
      </c>
      <c r="Z762" s="78" t="b">
        <f t="shared" si="888"/>
        <v>0</v>
      </c>
      <c r="AA762" s="78" t="b">
        <f t="shared" si="888"/>
        <v>0</v>
      </c>
      <c r="AB762" s="78" t="b">
        <f t="shared" si="888"/>
        <v>0</v>
      </c>
      <c r="AC762" s="78" t="b">
        <f t="shared" si="888"/>
        <v>0</v>
      </c>
      <c r="AD762" s="78" t="b">
        <f t="shared" si="888"/>
        <v>0</v>
      </c>
      <c r="AE762" s="78" t="b">
        <f t="shared" si="888"/>
        <v>0</v>
      </c>
      <c r="AF762" s="78" t="b">
        <f t="shared" si="888"/>
        <v>0</v>
      </c>
      <c r="AG762" s="78" t="b">
        <f t="shared" si="888"/>
        <v>0</v>
      </c>
      <c r="AH762" s="78" t="b">
        <f t="shared" si="888"/>
        <v>0</v>
      </c>
      <c r="AI762" s="78" t="b">
        <f t="shared" si="888"/>
        <v>0</v>
      </c>
      <c r="AJ762" s="78" t="b">
        <f t="shared" si="888"/>
        <v>0</v>
      </c>
      <c r="AK762" s="78" t="b">
        <f t="shared" si="888"/>
        <v>0</v>
      </c>
      <c r="AL762" s="78" t="b">
        <f t="shared" si="888"/>
        <v>0</v>
      </c>
      <c r="AM762" s="78" t="b">
        <f t="shared" si="888"/>
        <v>0</v>
      </c>
      <c r="AN762" s="78" t="b">
        <f t="shared" si="888"/>
        <v>0</v>
      </c>
      <c r="AO762" s="78" t="b">
        <f t="shared" si="888"/>
        <v>0</v>
      </c>
      <c r="AP762" s="78"/>
    </row>
    <row r="763" spans="4:42" x14ac:dyDescent="0.35">
      <c r="G763" s="77">
        <f t="shared" si="881"/>
        <v>0</v>
      </c>
      <c r="H763" s="78">
        <f t="shared" si="882"/>
        <v>0</v>
      </c>
      <c r="I763" s="77">
        <f t="shared" si="883"/>
        <v>0</v>
      </c>
      <c r="J763" s="78">
        <f t="shared" si="884"/>
        <v>0</v>
      </c>
      <c r="K763" s="78" t="str">
        <f t="shared" si="885"/>
        <v>1900-01-00 00:0:00</v>
      </c>
      <c r="L763" s="78" t="str">
        <f t="shared" si="886"/>
        <v>1900-01-00 00:0:00</v>
      </c>
      <c r="M763" s="79">
        <f t="shared" si="887"/>
        <v>0</v>
      </c>
      <c r="N763">
        <f t="shared" si="826"/>
        <v>1</v>
      </c>
      <c r="O763" t="str">
        <f>IFERROR(_xlfn.XLOOKUP(A763,HC!A:A,HC!C:C),"")</f>
        <v>Workforce</v>
      </c>
      <c r="R763" s="78" t="b">
        <f t="shared" ref="R763:AO763" si="889">IFERROR(IF($B763=$D$1,IF(AND($K763&lt;R$1,$L763&lt;R$1),"",IF(AND($K763&gt;S$1,$L763&gt;S$1),"",IF(AND($K763&lt;R$1,$L763&lt;=S$1),$L763-R$1,IF(AND($K763&gt;=R$1,$L763&gt;S$1),S$1-$K763,IF(AND($K763&gt;=R$1,$L763&lt;=S$1),$L763-$K763,IF(AND($K763&lt;R$1,$L763&gt;S$1),S$1-R$1,""))))))),"")</f>
        <v>0</v>
      </c>
      <c r="S763" s="78" t="b">
        <f t="shared" si="889"/>
        <v>0</v>
      </c>
      <c r="T763" s="78" t="b">
        <f t="shared" si="889"/>
        <v>0</v>
      </c>
      <c r="U763" s="78" t="b">
        <f t="shared" si="889"/>
        <v>0</v>
      </c>
      <c r="V763" s="78" t="b">
        <f t="shared" si="889"/>
        <v>0</v>
      </c>
      <c r="W763" s="78" t="b">
        <f t="shared" si="889"/>
        <v>0</v>
      </c>
      <c r="X763" s="78" t="b">
        <f t="shared" si="889"/>
        <v>0</v>
      </c>
      <c r="Y763" s="78" t="b">
        <f t="shared" si="889"/>
        <v>0</v>
      </c>
      <c r="Z763" s="78" t="b">
        <f t="shared" si="889"/>
        <v>0</v>
      </c>
      <c r="AA763" s="78" t="b">
        <f t="shared" si="889"/>
        <v>0</v>
      </c>
      <c r="AB763" s="78" t="b">
        <f t="shared" si="889"/>
        <v>0</v>
      </c>
      <c r="AC763" s="78" t="b">
        <f t="shared" si="889"/>
        <v>0</v>
      </c>
      <c r="AD763" s="78" t="b">
        <f t="shared" si="889"/>
        <v>0</v>
      </c>
      <c r="AE763" s="78" t="b">
        <f t="shared" si="889"/>
        <v>0</v>
      </c>
      <c r="AF763" s="78" t="b">
        <f t="shared" si="889"/>
        <v>0</v>
      </c>
      <c r="AG763" s="78" t="b">
        <f t="shared" si="889"/>
        <v>0</v>
      </c>
      <c r="AH763" s="78" t="b">
        <f t="shared" si="889"/>
        <v>0</v>
      </c>
      <c r="AI763" s="78" t="b">
        <f t="shared" si="889"/>
        <v>0</v>
      </c>
      <c r="AJ763" s="78" t="b">
        <f t="shared" si="889"/>
        <v>0</v>
      </c>
      <c r="AK763" s="78" t="b">
        <f t="shared" si="889"/>
        <v>0</v>
      </c>
      <c r="AL763" s="78" t="b">
        <f t="shared" si="889"/>
        <v>0</v>
      </c>
      <c r="AM763" s="78" t="b">
        <f t="shared" si="889"/>
        <v>0</v>
      </c>
      <c r="AN763" s="78" t="b">
        <f t="shared" si="889"/>
        <v>0</v>
      </c>
      <c r="AO763" s="78" t="b">
        <f t="shared" si="889"/>
        <v>0</v>
      </c>
      <c r="AP763" s="78"/>
    </row>
    <row r="764" spans="4:42" x14ac:dyDescent="0.35">
      <c r="G764" s="77">
        <f t="shared" si="881"/>
        <v>0</v>
      </c>
      <c r="H764" s="78">
        <f t="shared" si="882"/>
        <v>0</v>
      </c>
      <c r="I764" s="77">
        <f t="shared" si="883"/>
        <v>0</v>
      </c>
      <c r="J764" s="78">
        <f t="shared" si="884"/>
        <v>0</v>
      </c>
      <c r="K764" s="78" t="str">
        <f t="shared" si="885"/>
        <v>1900-01-00 00:0:00</v>
      </c>
      <c r="L764" s="78" t="str">
        <f t="shared" si="886"/>
        <v>1900-01-00 00:0:00</v>
      </c>
      <c r="M764" s="79">
        <f t="shared" si="887"/>
        <v>0</v>
      </c>
      <c r="N764">
        <f t="shared" si="826"/>
        <v>1</v>
      </c>
      <c r="O764" t="str">
        <f>IFERROR(_xlfn.XLOOKUP(A764,HC!A:A,HC!C:C),"")</f>
        <v>Workforce</v>
      </c>
      <c r="R764" s="78" t="b">
        <f t="shared" ref="R764:R827" si="890">IFERROR(IF($B764=$D$1,IF(AND($K764&lt;R$1,$L764&lt;R$1),"",IF(AND($K764&gt;S$1,$L764&gt;S$1),"",IF(AND($K764&lt;R$1,$L764&lt;=S$1),$L764-R$1,IF(AND($K764&gt;=R$1,$L764&gt;S$1),S$1-$K764,IF(AND($K764&gt;=R$1,$L764&lt;=S$1),$L764-$K764,IF(AND($K764&lt;R$1,$L764&gt;S$1),S$1-R$1,""))))))),"")</f>
        <v>0</v>
      </c>
      <c r="S764" s="78" t="b">
        <f t="shared" ref="S764:S827" si="891">IFERROR(IF($B764=$D$1,IF(AND($K764&lt;S$1,$L764&lt;S$1),"",IF(AND($K764&gt;T$1,$L764&gt;T$1),"",IF(AND($K764&lt;S$1,$L764&lt;=T$1),$L764-S$1,IF(AND($K764&gt;=S$1,$L764&gt;T$1),T$1-$K764,IF(AND($K764&gt;=S$1,$L764&lt;=T$1),$L764-$K764,IF(AND($K764&lt;S$1,$L764&gt;T$1),T$1-S$1,""))))))),"")</f>
        <v>0</v>
      </c>
      <c r="T764" s="78" t="b">
        <f t="shared" ref="T764:T827" si="892">IFERROR(IF($B764=$D$1,IF(AND($K764&lt;T$1,$L764&lt;T$1),"",IF(AND($K764&gt;U$1,$L764&gt;U$1),"",IF(AND($K764&lt;T$1,$L764&lt;=U$1),$L764-T$1,IF(AND($K764&gt;=T$1,$L764&gt;U$1),U$1-$K764,IF(AND($K764&gt;=T$1,$L764&lt;=U$1),$L764-$K764,IF(AND($K764&lt;T$1,$L764&gt;U$1),U$1-T$1,""))))))),"")</f>
        <v>0</v>
      </c>
      <c r="U764" s="78" t="b">
        <f t="shared" ref="U764:U827" si="893">IFERROR(IF($B764=$D$1,IF(AND($K764&lt;U$1,$L764&lt;U$1),"",IF(AND($K764&gt;V$1,$L764&gt;V$1),"",IF(AND($K764&lt;U$1,$L764&lt;=V$1),$L764-U$1,IF(AND($K764&gt;=U$1,$L764&gt;V$1),V$1-$K764,IF(AND($K764&gt;=U$1,$L764&lt;=V$1),$L764-$K764,IF(AND($K764&lt;U$1,$L764&gt;V$1),V$1-U$1,""))))))),"")</f>
        <v>0</v>
      </c>
      <c r="V764" s="78" t="b">
        <f t="shared" ref="V764:V827" si="894">IFERROR(IF($B764=$D$1,IF(AND($K764&lt;V$1,$L764&lt;V$1),"",IF(AND($K764&gt;W$1,$L764&gt;W$1),"",IF(AND($K764&lt;V$1,$L764&lt;=W$1),$L764-V$1,IF(AND($K764&gt;=V$1,$L764&gt;W$1),W$1-$K764,IF(AND($K764&gt;=V$1,$L764&lt;=W$1),$L764-$K764,IF(AND($K764&lt;V$1,$L764&gt;W$1),W$1-V$1,""))))))),"")</f>
        <v>0</v>
      </c>
      <c r="W764" s="78" t="b">
        <f t="shared" ref="W764:W827" si="895">IFERROR(IF($B764=$D$1,IF(AND($K764&lt;W$1,$L764&lt;W$1),"",IF(AND($K764&gt;X$1,$L764&gt;X$1),"",IF(AND($K764&lt;W$1,$L764&lt;=X$1),$L764-W$1,IF(AND($K764&gt;=W$1,$L764&gt;X$1),X$1-$K764,IF(AND($K764&gt;=W$1,$L764&lt;=X$1),$L764-$K764,IF(AND($K764&lt;W$1,$L764&gt;X$1),X$1-W$1,""))))))),"")</f>
        <v>0</v>
      </c>
      <c r="X764" s="78" t="b">
        <f t="shared" ref="X764:X827" si="896">IFERROR(IF($B764=$D$1,IF(AND($K764&lt;X$1,$L764&lt;X$1),"",IF(AND($K764&gt;Y$1,$L764&gt;Y$1),"",IF(AND($K764&lt;X$1,$L764&lt;=Y$1),$L764-X$1,IF(AND($K764&gt;=X$1,$L764&gt;Y$1),Y$1-$K764,IF(AND($K764&gt;=X$1,$L764&lt;=Y$1),$L764-$K764,IF(AND($K764&lt;X$1,$L764&gt;Y$1),Y$1-X$1,""))))))),"")</f>
        <v>0</v>
      </c>
      <c r="Y764" s="78" t="b">
        <f t="shared" ref="Y764:Y827" si="897">IFERROR(IF($B764=$D$1,IF(AND($K764&lt;Y$1,$L764&lt;Y$1),"",IF(AND($K764&gt;Z$1,$L764&gt;Z$1),"",IF(AND($K764&lt;Y$1,$L764&lt;=Z$1),$L764-Y$1,IF(AND($K764&gt;=Y$1,$L764&gt;Z$1),Z$1-$K764,IF(AND($K764&gt;=Y$1,$L764&lt;=Z$1),$L764-$K764,IF(AND($K764&lt;Y$1,$L764&gt;Z$1),Z$1-Y$1,""))))))),"")</f>
        <v>0</v>
      </c>
      <c r="Z764" s="78" t="b">
        <f t="shared" ref="Z764:Z827" si="898">IFERROR(IF($B764=$D$1,IF(AND($K764&lt;Z$1,$L764&lt;Z$1),"",IF(AND($K764&gt;AA$1,$L764&gt;AA$1),"",IF(AND($K764&lt;Z$1,$L764&lt;=AA$1),$L764-Z$1,IF(AND($K764&gt;=Z$1,$L764&gt;AA$1),AA$1-$K764,IF(AND($K764&gt;=Z$1,$L764&lt;=AA$1),$L764-$K764,IF(AND($K764&lt;Z$1,$L764&gt;AA$1),AA$1-Z$1,""))))))),"")</f>
        <v>0</v>
      </c>
      <c r="AA764" s="78" t="b">
        <f t="shared" ref="AA764:AA827" si="899">IFERROR(IF($B764=$D$1,IF(AND($K764&lt;AA$1,$L764&lt;AA$1),"",IF(AND($K764&gt;AB$1,$L764&gt;AB$1),"",IF(AND($K764&lt;AA$1,$L764&lt;=AB$1),$L764-AA$1,IF(AND($K764&gt;=AA$1,$L764&gt;AB$1),AB$1-$K764,IF(AND($K764&gt;=AA$1,$L764&lt;=AB$1),$L764-$K764,IF(AND($K764&lt;AA$1,$L764&gt;AB$1),AB$1-AA$1,""))))))),"")</f>
        <v>0</v>
      </c>
      <c r="AB764" s="78" t="b">
        <f t="shared" ref="AB764:AB827" si="900">IFERROR(IF($B764=$D$1,IF(AND($K764&lt;AB$1,$L764&lt;AB$1),"",IF(AND($K764&gt;AC$1,$L764&gt;AC$1),"",IF(AND($K764&lt;AB$1,$L764&lt;=AC$1),$L764-AB$1,IF(AND($K764&gt;=AB$1,$L764&gt;AC$1),AC$1-$K764,IF(AND($K764&gt;=AB$1,$L764&lt;=AC$1),$L764-$K764,IF(AND($K764&lt;AB$1,$L764&gt;AC$1),AC$1-AB$1,""))))))),"")</f>
        <v>0</v>
      </c>
      <c r="AC764" s="78" t="b">
        <f t="shared" ref="AC764:AC827" si="901">IFERROR(IF($B764=$D$1,IF(AND($K764&lt;AC$1,$L764&lt;AC$1),"",IF(AND($K764&gt;AD$1,$L764&gt;AD$1),"",IF(AND($K764&lt;AC$1,$L764&lt;=AD$1),$L764-AC$1,IF(AND($K764&gt;=AC$1,$L764&gt;AD$1),AD$1-$K764,IF(AND($K764&gt;=AC$1,$L764&lt;=AD$1),$L764-$K764,IF(AND($K764&lt;AC$1,$L764&gt;AD$1),AD$1-AC$1,""))))))),"")</f>
        <v>0</v>
      </c>
      <c r="AD764" s="78" t="b">
        <f t="shared" ref="AD764:AD827" si="902">IFERROR(IF($B764=$D$1,IF(AND($K764&lt;AD$1,$L764&lt;AD$1),"",IF(AND($K764&gt;AE$1,$L764&gt;AE$1),"",IF(AND($K764&lt;AD$1,$L764&lt;=AE$1),$L764-AD$1,IF(AND($K764&gt;=AD$1,$L764&gt;AE$1),AE$1-$K764,IF(AND($K764&gt;=AD$1,$L764&lt;=AE$1),$L764-$K764,IF(AND($K764&lt;AD$1,$L764&gt;AE$1),AE$1-AD$1,""))))))),"")</f>
        <v>0</v>
      </c>
      <c r="AE764" s="78" t="b">
        <f t="shared" ref="AE764:AE827" si="903">IFERROR(IF($B764=$D$1,IF(AND($K764&lt;AE$1,$L764&lt;AE$1),"",IF(AND($K764&gt;AF$1,$L764&gt;AF$1),"",IF(AND($K764&lt;AE$1,$L764&lt;=AF$1),$L764-AE$1,IF(AND($K764&gt;=AE$1,$L764&gt;AF$1),AF$1-$K764,IF(AND($K764&gt;=AE$1,$L764&lt;=AF$1),$L764-$K764,IF(AND($K764&lt;AE$1,$L764&gt;AF$1),AF$1-AE$1,""))))))),"")</f>
        <v>0</v>
      </c>
      <c r="AF764" s="78" t="b">
        <f t="shared" ref="AF764:AF827" si="904">IFERROR(IF($B764=$D$1,IF(AND($K764&lt;AF$1,$L764&lt;AF$1),"",IF(AND($K764&gt;AG$1,$L764&gt;AG$1),"",IF(AND($K764&lt;AF$1,$L764&lt;=AG$1),$L764-AF$1,IF(AND($K764&gt;=AF$1,$L764&gt;AG$1),AG$1-$K764,IF(AND($K764&gt;=AF$1,$L764&lt;=AG$1),$L764-$K764,IF(AND($K764&lt;AF$1,$L764&gt;AG$1),AG$1-AF$1,""))))))),"")</f>
        <v>0</v>
      </c>
      <c r="AG764" s="78" t="b">
        <f t="shared" ref="AG764:AG827" si="905">IFERROR(IF($B764=$D$1,IF(AND($K764&lt;AG$1,$L764&lt;AG$1),"",IF(AND($K764&gt;AH$1,$L764&gt;AH$1),"",IF(AND($K764&lt;AG$1,$L764&lt;=AH$1),$L764-AG$1,IF(AND($K764&gt;=AG$1,$L764&gt;AH$1),AH$1-$K764,IF(AND($K764&gt;=AG$1,$L764&lt;=AH$1),$L764-$K764,IF(AND($K764&lt;AG$1,$L764&gt;AH$1),AH$1-AG$1,""))))))),"")</f>
        <v>0</v>
      </c>
      <c r="AH764" s="78" t="b">
        <f t="shared" ref="AH764:AH827" si="906">IFERROR(IF($B764=$D$1,IF(AND($K764&lt;AH$1,$L764&lt;AH$1),"",IF(AND($K764&gt;AI$1,$L764&gt;AI$1),"",IF(AND($K764&lt;AH$1,$L764&lt;=AI$1),$L764-AH$1,IF(AND($K764&gt;=AH$1,$L764&gt;AI$1),AI$1-$K764,IF(AND($K764&gt;=AH$1,$L764&lt;=AI$1),$L764-$K764,IF(AND($K764&lt;AH$1,$L764&gt;AI$1),AI$1-AH$1,""))))))),"")</f>
        <v>0</v>
      </c>
      <c r="AI764" s="78" t="b">
        <f t="shared" ref="AI764:AI827" si="907">IFERROR(IF($B764=$D$1,IF(AND($K764&lt;AI$1,$L764&lt;AI$1),"",IF(AND($K764&gt;AJ$1,$L764&gt;AJ$1),"",IF(AND($K764&lt;AI$1,$L764&lt;=AJ$1),$L764-AI$1,IF(AND($K764&gt;=AI$1,$L764&gt;AJ$1),AJ$1-$K764,IF(AND($K764&gt;=AI$1,$L764&lt;=AJ$1),$L764-$K764,IF(AND($K764&lt;AI$1,$L764&gt;AJ$1),AJ$1-AI$1,""))))))),"")</f>
        <v>0</v>
      </c>
      <c r="AJ764" s="78" t="b">
        <f t="shared" ref="AJ764:AJ827" si="908">IFERROR(IF($B764=$D$1,IF(AND($K764&lt;AJ$1,$L764&lt;AJ$1),"",IF(AND($K764&gt;AK$1,$L764&gt;AK$1),"",IF(AND($K764&lt;AJ$1,$L764&lt;=AK$1),$L764-AJ$1,IF(AND($K764&gt;=AJ$1,$L764&gt;AK$1),AK$1-$K764,IF(AND($K764&gt;=AJ$1,$L764&lt;=AK$1),$L764-$K764,IF(AND($K764&lt;AJ$1,$L764&gt;AK$1),AK$1-AJ$1,""))))))),"")</f>
        <v>0</v>
      </c>
      <c r="AK764" s="78" t="b">
        <f t="shared" ref="AK764:AK827" si="909">IFERROR(IF($B764=$D$1,IF(AND($K764&lt;AK$1,$L764&lt;AK$1),"",IF(AND($K764&gt;AL$1,$L764&gt;AL$1),"",IF(AND($K764&lt;AK$1,$L764&lt;=AL$1),$L764-AK$1,IF(AND($K764&gt;=AK$1,$L764&gt;AL$1),AL$1-$K764,IF(AND($K764&gt;=AK$1,$L764&lt;=AL$1),$L764-$K764,IF(AND($K764&lt;AK$1,$L764&gt;AL$1),AL$1-AK$1,""))))))),"")</f>
        <v>0</v>
      </c>
      <c r="AL764" s="78" t="b">
        <f t="shared" ref="AL764:AL827" si="910">IFERROR(IF($B764=$D$1,IF(AND($K764&lt;AL$1,$L764&lt;AL$1),"",IF(AND($K764&gt;AM$1,$L764&gt;AM$1),"",IF(AND($K764&lt;AL$1,$L764&lt;=AM$1),$L764-AL$1,IF(AND($K764&gt;=AL$1,$L764&gt;AM$1),AM$1-$K764,IF(AND($K764&gt;=AL$1,$L764&lt;=AM$1),$L764-$K764,IF(AND($K764&lt;AL$1,$L764&gt;AM$1),AM$1-AL$1,""))))))),"")</f>
        <v>0</v>
      </c>
      <c r="AM764" s="78" t="b">
        <f t="shared" ref="AM764:AM827" si="911">IFERROR(IF($B764=$D$1,IF(AND($K764&lt;AM$1,$L764&lt;AM$1),"",IF(AND($K764&gt;AN$1,$L764&gt;AN$1),"",IF(AND($K764&lt;AM$1,$L764&lt;=AN$1),$L764-AM$1,IF(AND($K764&gt;=AM$1,$L764&gt;AN$1),AN$1-$K764,IF(AND($K764&gt;=AM$1,$L764&lt;=AN$1),$L764-$K764,IF(AND($K764&lt;AM$1,$L764&gt;AN$1),AN$1-AM$1,""))))))),"")</f>
        <v>0</v>
      </c>
      <c r="AN764" s="78" t="b">
        <f t="shared" ref="AN764:AN827" si="912">IFERROR(IF($B764=$D$1,IF(AND($K764&lt;AN$1,$L764&lt;AN$1),"",IF(AND($K764&gt;AO$1,$L764&gt;AO$1),"",IF(AND($K764&lt;AN$1,$L764&lt;=AO$1),$L764-AN$1,IF(AND($K764&gt;=AN$1,$L764&gt;AO$1),AO$1-$K764,IF(AND($K764&gt;=AN$1,$L764&lt;=AO$1),$L764-$K764,IF(AND($K764&lt;AN$1,$L764&gt;AO$1),AO$1-AN$1,""))))))),"")</f>
        <v>0</v>
      </c>
      <c r="AO764" s="78" t="b">
        <f t="shared" ref="AO764:AO827" si="913">IFERROR(IF($B764=$D$1,IF(AND($K764&lt;AO$1,$L764&lt;AO$1),"",IF(AND($K764&gt;AP$1,$L764&gt;AP$1),"",IF(AND($K764&lt;AO$1,$L764&lt;=AP$1),$L764-AO$1,IF(AND($K764&gt;=AO$1,$L764&gt;AP$1),AP$1-$K764,IF(AND($K764&gt;=AO$1,$L764&lt;=AP$1),$L764-$K764,IF(AND($K764&lt;AO$1,$L764&gt;AP$1),AP$1-AO$1,""))))))),"")</f>
        <v>0</v>
      </c>
    </row>
    <row r="765" spans="4:42" x14ac:dyDescent="0.35">
      <c r="G765" s="77">
        <f t="shared" si="881"/>
        <v>0</v>
      </c>
      <c r="H765" s="78">
        <f t="shared" si="882"/>
        <v>0</v>
      </c>
      <c r="I765" s="77">
        <f t="shared" si="883"/>
        <v>0</v>
      </c>
      <c r="J765" s="78">
        <f t="shared" si="884"/>
        <v>0</v>
      </c>
      <c r="K765" s="78" t="str">
        <f t="shared" si="885"/>
        <v>1900-01-00 00:0:00</v>
      </c>
      <c r="L765" s="78" t="str">
        <f t="shared" si="886"/>
        <v>1900-01-00 00:0:00</v>
      </c>
      <c r="M765" s="79">
        <f t="shared" si="887"/>
        <v>0</v>
      </c>
      <c r="N765">
        <f t="shared" si="826"/>
        <v>1</v>
      </c>
      <c r="O765" t="str">
        <f>IFERROR(_xlfn.XLOOKUP(A765,HC!A:A,HC!C:C),"")</f>
        <v>Workforce</v>
      </c>
      <c r="R765" s="78" t="b">
        <f t="shared" si="890"/>
        <v>0</v>
      </c>
      <c r="S765" s="78" t="b">
        <f t="shared" si="891"/>
        <v>0</v>
      </c>
      <c r="T765" s="78" t="b">
        <f t="shared" si="892"/>
        <v>0</v>
      </c>
      <c r="U765" s="78" t="b">
        <f t="shared" si="893"/>
        <v>0</v>
      </c>
      <c r="V765" s="78" t="b">
        <f t="shared" si="894"/>
        <v>0</v>
      </c>
      <c r="W765" s="78" t="b">
        <f t="shared" si="895"/>
        <v>0</v>
      </c>
      <c r="X765" s="78" t="b">
        <f t="shared" si="896"/>
        <v>0</v>
      </c>
      <c r="Y765" s="78" t="b">
        <f t="shared" si="897"/>
        <v>0</v>
      </c>
      <c r="Z765" s="78" t="b">
        <f t="shared" si="898"/>
        <v>0</v>
      </c>
      <c r="AA765" s="78" t="b">
        <f t="shared" si="899"/>
        <v>0</v>
      </c>
      <c r="AB765" s="78" t="b">
        <f t="shared" si="900"/>
        <v>0</v>
      </c>
      <c r="AC765" s="78" t="b">
        <f t="shared" si="901"/>
        <v>0</v>
      </c>
      <c r="AD765" s="78" t="b">
        <f t="shared" si="902"/>
        <v>0</v>
      </c>
      <c r="AE765" s="78" t="b">
        <f t="shared" si="903"/>
        <v>0</v>
      </c>
      <c r="AF765" s="78" t="b">
        <f t="shared" si="904"/>
        <v>0</v>
      </c>
      <c r="AG765" s="78" t="b">
        <f t="shared" si="905"/>
        <v>0</v>
      </c>
      <c r="AH765" s="78" t="b">
        <f t="shared" si="906"/>
        <v>0</v>
      </c>
      <c r="AI765" s="78" t="b">
        <f t="shared" si="907"/>
        <v>0</v>
      </c>
      <c r="AJ765" s="78" t="b">
        <f t="shared" si="908"/>
        <v>0</v>
      </c>
      <c r="AK765" s="78" t="b">
        <f t="shared" si="909"/>
        <v>0</v>
      </c>
      <c r="AL765" s="78" t="b">
        <f t="shared" si="910"/>
        <v>0</v>
      </c>
      <c r="AM765" s="78" t="b">
        <f t="shared" si="911"/>
        <v>0</v>
      </c>
      <c r="AN765" s="78" t="b">
        <f t="shared" si="912"/>
        <v>0</v>
      </c>
      <c r="AO765" s="78" t="b">
        <f t="shared" si="913"/>
        <v>0</v>
      </c>
    </row>
    <row r="766" spans="4:42" x14ac:dyDescent="0.35">
      <c r="G766" s="77">
        <f t="shared" si="881"/>
        <v>0</v>
      </c>
      <c r="H766" s="78">
        <f t="shared" si="882"/>
        <v>0</v>
      </c>
      <c r="I766" s="77">
        <f t="shared" si="883"/>
        <v>0</v>
      </c>
      <c r="J766" s="78">
        <f t="shared" si="884"/>
        <v>0</v>
      </c>
      <c r="K766" s="78" t="str">
        <f t="shared" si="885"/>
        <v>1900-01-00 00:0:00</v>
      </c>
      <c r="L766" s="78" t="str">
        <f t="shared" si="886"/>
        <v>1900-01-00 00:0:00</v>
      </c>
      <c r="M766" s="79">
        <f t="shared" si="887"/>
        <v>0</v>
      </c>
      <c r="N766">
        <f t="shared" si="826"/>
        <v>1</v>
      </c>
      <c r="O766" t="str">
        <f>IFERROR(_xlfn.XLOOKUP(A766,HC!A:A,HC!C:C),"")</f>
        <v>Workforce</v>
      </c>
      <c r="R766" s="78" t="b">
        <f t="shared" si="890"/>
        <v>0</v>
      </c>
      <c r="S766" s="78" t="b">
        <f t="shared" si="891"/>
        <v>0</v>
      </c>
      <c r="T766" s="78" t="b">
        <f t="shared" si="892"/>
        <v>0</v>
      </c>
      <c r="U766" s="78" t="b">
        <f t="shared" si="893"/>
        <v>0</v>
      </c>
      <c r="V766" s="78" t="b">
        <f t="shared" si="894"/>
        <v>0</v>
      </c>
      <c r="W766" s="78" t="b">
        <f t="shared" si="895"/>
        <v>0</v>
      </c>
      <c r="X766" s="78" t="b">
        <f t="shared" si="896"/>
        <v>0</v>
      </c>
      <c r="Y766" s="78" t="b">
        <f t="shared" si="897"/>
        <v>0</v>
      </c>
      <c r="Z766" s="78" t="b">
        <f t="shared" si="898"/>
        <v>0</v>
      </c>
      <c r="AA766" s="78" t="b">
        <f t="shared" si="899"/>
        <v>0</v>
      </c>
      <c r="AB766" s="78" t="b">
        <f t="shared" si="900"/>
        <v>0</v>
      </c>
      <c r="AC766" s="78" t="b">
        <f t="shared" si="901"/>
        <v>0</v>
      </c>
      <c r="AD766" s="78" t="b">
        <f t="shared" si="902"/>
        <v>0</v>
      </c>
      <c r="AE766" s="78" t="b">
        <f t="shared" si="903"/>
        <v>0</v>
      </c>
      <c r="AF766" s="78" t="b">
        <f t="shared" si="904"/>
        <v>0</v>
      </c>
      <c r="AG766" s="78" t="b">
        <f t="shared" si="905"/>
        <v>0</v>
      </c>
      <c r="AH766" s="78" t="b">
        <f t="shared" si="906"/>
        <v>0</v>
      </c>
      <c r="AI766" s="78" t="b">
        <f t="shared" si="907"/>
        <v>0</v>
      </c>
      <c r="AJ766" s="78" t="b">
        <f t="shared" si="908"/>
        <v>0</v>
      </c>
      <c r="AK766" s="78" t="b">
        <f t="shared" si="909"/>
        <v>0</v>
      </c>
      <c r="AL766" s="78" t="b">
        <f t="shared" si="910"/>
        <v>0</v>
      </c>
      <c r="AM766" s="78" t="b">
        <f t="shared" si="911"/>
        <v>0</v>
      </c>
      <c r="AN766" s="78" t="b">
        <f t="shared" si="912"/>
        <v>0</v>
      </c>
      <c r="AO766" s="78" t="b">
        <f t="shared" si="913"/>
        <v>0</v>
      </c>
    </row>
    <row r="767" spans="4:42" x14ac:dyDescent="0.35">
      <c r="G767" s="77">
        <f t="shared" si="881"/>
        <v>0</v>
      </c>
      <c r="H767" s="78">
        <f t="shared" si="882"/>
        <v>0</v>
      </c>
      <c r="I767" s="77">
        <f t="shared" si="883"/>
        <v>0</v>
      </c>
      <c r="J767" s="78">
        <f t="shared" si="884"/>
        <v>0</v>
      </c>
      <c r="K767" s="78" t="str">
        <f t="shared" si="885"/>
        <v>1900-01-00 00:0:00</v>
      </c>
      <c r="L767" s="78" t="str">
        <f t="shared" si="886"/>
        <v>1900-01-00 00:0:00</v>
      </c>
      <c r="M767" s="79">
        <f t="shared" si="887"/>
        <v>0</v>
      </c>
      <c r="N767">
        <f t="shared" si="826"/>
        <v>1</v>
      </c>
      <c r="O767" t="str">
        <f>IFERROR(_xlfn.XLOOKUP(A767,HC!A:A,HC!C:C),"")</f>
        <v>Workforce</v>
      </c>
      <c r="R767" s="78" t="b">
        <f t="shared" si="890"/>
        <v>0</v>
      </c>
      <c r="S767" s="78" t="b">
        <f t="shared" si="891"/>
        <v>0</v>
      </c>
      <c r="T767" s="78" t="b">
        <f t="shared" si="892"/>
        <v>0</v>
      </c>
      <c r="U767" s="78" t="b">
        <f t="shared" si="893"/>
        <v>0</v>
      </c>
      <c r="V767" s="78" t="b">
        <f t="shared" si="894"/>
        <v>0</v>
      </c>
      <c r="W767" s="78" t="b">
        <f t="shared" si="895"/>
        <v>0</v>
      </c>
      <c r="X767" s="78" t="b">
        <f t="shared" si="896"/>
        <v>0</v>
      </c>
      <c r="Y767" s="78" t="b">
        <f t="shared" si="897"/>
        <v>0</v>
      </c>
      <c r="Z767" s="78" t="b">
        <f t="shared" si="898"/>
        <v>0</v>
      </c>
      <c r="AA767" s="78" t="b">
        <f t="shared" si="899"/>
        <v>0</v>
      </c>
      <c r="AB767" s="78" t="b">
        <f t="shared" si="900"/>
        <v>0</v>
      </c>
      <c r="AC767" s="78" t="b">
        <f t="shared" si="901"/>
        <v>0</v>
      </c>
      <c r="AD767" s="78" t="b">
        <f t="shared" si="902"/>
        <v>0</v>
      </c>
      <c r="AE767" s="78" t="b">
        <f t="shared" si="903"/>
        <v>0</v>
      </c>
      <c r="AF767" s="78" t="b">
        <f t="shared" si="904"/>
        <v>0</v>
      </c>
      <c r="AG767" s="78" t="b">
        <f t="shared" si="905"/>
        <v>0</v>
      </c>
      <c r="AH767" s="78" t="b">
        <f t="shared" si="906"/>
        <v>0</v>
      </c>
      <c r="AI767" s="78" t="b">
        <f t="shared" si="907"/>
        <v>0</v>
      </c>
      <c r="AJ767" s="78" t="b">
        <f t="shared" si="908"/>
        <v>0</v>
      </c>
      <c r="AK767" s="78" t="b">
        <f t="shared" si="909"/>
        <v>0</v>
      </c>
      <c r="AL767" s="78" t="b">
        <f t="shared" si="910"/>
        <v>0</v>
      </c>
      <c r="AM767" s="78" t="b">
        <f t="shared" si="911"/>
        <v>0</v>
      </c>
      <c r="AN767" s="78" t="b">
        <f t="shared" si="912"/>
        <v>0</v>
      </c>
      <c r="AO767" s="78" t="b">
        <f t="shared" si="913"/>
        <v>0</v>
      </c>
    </row>
    <row r="768" spans="4:42" x14ac:dyDescent="0.35">
      <c r="G768" s="77">
        <f t="shared" si="881"/>
        <v>0</v>
      </c>
      <c r="H768" s="78">
        <f t="shared" si="882"/>
        <v>0</v>
      </c>
      <c r="I768" s="77">
        <f t="shared" si="883"/>
        <v>0</v>
      </c>
      <c r="J768" s="78">
        <f t="shared" si="884"/>
        <v>0</v>
      </c>
      <c r="K768" s="78" t="str">
        <f t="shared" si="885"/>
        <v>1900-01-00 00:0:00</v>
      </c>
      <c r="L768" s="78" t="str">
        <f t="shared" si="886"/>
        <v>1900-01-00 00:0:00</v>
      </c>
      <c r="M768" s="79">
        <f t="shared" si="887"/>
        <v>0</v>
      </c>
      <c r="N768">
        <f t="shared" si="826"/>
        <v>1</v>
      </c>
      <c r="O768" t="str">
        <f>IFERROR(_xlfn.XLOOKUP(A768,HC!A:A,HC!C:C),"")</f>
        <v>Workforce</v>
      </c>
      <c r="R768" s="78" t="b">
        <f t="shared" si="890"/>
        <v>0</v>
      </c>
      <c r="S768" s="78" t="b">
        <f t="shared" si="891"/>
        <v>0</v>
      </c>
      <c r="T768" s="78" t="b">
        <f t="shared" si="892"/>
        <v>0</v>
      </c>
      <c r="U768" s="78" t="b">
        <f t="shared" si="893"/>
        <v>0</v>
      </c>
      <c r="V768" s="78" t="b">
        <f t="shared" si="894"/>
        <v>0</v>
      </c>
      <c r="W768" s="78" t="b">
        <f t="shared" si="895"/>
        <v>0</v>
      </c>
      <c r="X768" s="78" t="b">
        <f t="shared" si="896"/>
        <v>0</v>
      </c>
      <c r="Y768" s="78" t="b">
        <f t="shared" si="897"/>
        <v>0</v>
      </c>
      <c r="Z768" s="78" t="b">
        <f t="shared" si="898"/>
        <v>0</v>
      </c>
      <c r="AA768" s="78" t="b">
        <f t="shared" si="899"/>
        <v>0</v>
      </c>
      <c r="AB768" s="78" t="b">
        <f t="shared" si="900"/>
        <v>0</v>
      </c>
      <c r="AC768" s="78" t="b">
        <f t="shared" si="901"/>
        <v>0</v>
      </c>
      <c r="AD768" s="78" t="b">
        <f t="shared" si="902"/>
        <v>0</v>
      </c>
      <c r="AE768" s="78" t="b">
        <f t="shared" si="903"/>
        <v>0</v>
      </c>
      <c r="AF768" s="78" t="b">
        <f t="shared" si="904"/>
        <v>0</v>
      </c>
      <c r="AG768" s="78" t="b">
        <f t="shared" si="905"/>
        <v>0</v>
      </c>
      <c r="AH768" s="78" t="b">
        <f t="shared" si="906"/>
        <v>0</v>
      </c>
      <c r="AI768" s="78" t="b">
        <f t="shared" si="907"/>
        <v>0</v>
      </c>
      <c r="AJ768" s="78" t="b">
        <f t="shared" si="908"/>
        <v>0</v>
      </c>
      <c r="AK768" s="78" t="b">
        <f t="shared" si="909"/>
        <v>0</v>
      </c>
      <c r="AL768" s="78" t="b">
        <f t="shared" si="910"/>
        <v>0</v>
      </c>
      <c r="AM768" s="78" t="b">
        <f t="shared" si="911"/>
        <v>0</v>
      </c>
      <c r="AN768" s="78" t="b">
        <f t="shared" si="912"/>
        <v>0</v>
      </c>
      <c r="AO768" s="78" t="b">
        <f t="shared" si="913"/>
        <v>0</v>
      </c>
    </row>
    <row r="769" spans="7:41" x14ac:dyDescent="0.35">
      <c r="G769" s="77">
        <f t="shared" si="881"/>
        <v>0</v>
      </c>
      <c r="H769" s="78">
        <f t="shared" si="882"/>
        <v>0</v>
      </c>
      <c r="I769" s="77">
        <f t="shared" si="883"/>
        <v>0</v>
      </c>
      <c r="J769" s="78">
        <f t="shared" si="884"/>
        <v>0</v>
      </c>
      <c r="K769" s="78" t="str">
        <f t="shared" si="885"/>
        <v>1900-01-00 00:0:00</v>
      </c>
      <c r="L769" s="78" t="str">
        <f t="shared" si="886"/>
        <v>1900-01-00 00:0:00</v>
      </c>
      <c r="M769" s="79">
        <f t="shared" si="887"/>
        <v>0</v>
      </c>
      <c r="N769">
        <f t="shared" si="826"/>
        <v>1</v>
      </c>
      <c r="O769" t="str">
        <f>IFERROR(_xlfn.XLOOKUP(A769,HC!A:A,HC!C:C),"")</f>
        <v>Workforce</v>
      </c>
      <c r="R769" s="78" t="b">
        <f t="shared" si="890"/>
        <v>0</v>
      </c>
      <c r="S769" s="78" t="b">
        <f t="shared" si="891"/>
        <v>0</v>
      </c>
      <c r="T769" s="78" t="b">
        <f t="shared" si="892"/>
        <v>0</v>
      </c>
      <c r="U769" s="78" t="b">
        <f t="shared" si="893"/>
        <v>0</v>
      </c>
      <c r="V769" s="78" t="b">
        <f t="shared" si="894"/>
        <v>0</v>
      </c>
      <c r="W769" s="78" t="b">
        <f t="shared" si="895"/>
        <v>0</v>
      </c>
      <c r="X769" s="78" t="b">
        <f t="shared" si="896"/>
        <v>0</v>
      </c>
      <c r="Y769" s="78" t="b">
        <f t="shared" si="897"/>
        <v>0</v>
      </c>
      <c r="Z769" s="78" t="b">
        <f t="shared" si="898"/>
        <v>0</v>
      </c>
      <c r="AA769" s="78" t="b">
        <f t="shared" si="899"/>
        <v>0</v>
      </c>
      <c r="AB769" s="78" t="b">
        <f t="shared" si="900"/>
        <v>0</v>
      </c>
      <c r="AC769" s="78" t="b">
        <f t="shared" si="901"/>
        <v>0</v>
      </c>
      <c r="AD769" s="78" t="b">
        <f t="shared" si="902"/>
        <v>0</v>
      </c>
      <c r="AE769" s="78" t="b">
        <f t="shared" si="903"/>
        <v>0</v>
      </c>
      <c r="AF769" s="78" t="b">
        <f t="shared" si="904"/>
        <v>0</v>
      </c>
      <c r="AG769" s="78" t="b">
        <f t="shared" si="905"/>
        <v>0</v>
      </c>
      <c r="AH769" s="78" t="b">
        <f t="shared" si="906"/>
        <v>0</v>
      </c>
      <c r="AI769" s="78" t="b">
        <f t="shared" si="907"/>
        <v>0</v>
      </c>
      <c r="AJ769" s="78" t="b">
        <f t="shared" si="908"/>
        <v>0</v>
      </c>
      <c r="AK769" s="78" t="b">
        <f t="shared" si="909"/>
        <v>0</v>
      </c>
      <c r="AL769" s="78" t="b">
        <f t="shared" si="910"/>
        <v>0</v>
      </c>
      <c r="AM769" s="78" t="b">
        <f t="shared" si="911"/>
        <v>0</v>
      </c>
      <c r="AN769" s="78" t="b">
        <f t="shared" si="912"/>
        <v>0</v>
      </c>
      <c r="AO769" s="78" t="b">
        <f t="shared" si="913"/>
        <v>0</v>
      </c>
    </row>
    <row r="770" spans="7:41" x14ac:dyDescent="0.35">
      <c r="G770" s="77">
        <f t="shared" si="881"/>
        <v>0</v>
      </c>
      <c r="H770" s="78">
        <f t="shared" si="882"/>
        <v>0</v>
      </c>
      <c r="I770" s="77">
        <f t="shared" si="883"/>
        <v>0</v>
      </c>
      <c r="J770" s="78">
        <f t="shared" si="884"/>
        <v>0</v>
      </c>
      <c r="K770" s="78" t="str">
        <f t="shared" si="885"/>
        <v>1900-01-00 00:0:00</v>
      </c>
      <c r="L770" s="78" t="str">
        <f t="shared" si="886"/>
        <v>1900-01-00 00:0:00</v>
      </c>
      <c r="M770" s="79">
        <f t="shared" si="887"/>
        <v>0</v>
      </c>
      <c r="N770">
        <f t="shared" si="826"/>
        <v>1</v>
      </c>
      <c r="O770" t="str">
        <f>IFERROR(_xlfn.XLOOKUP(A770,HC!A:A,HC!C:C),"")</f>
        <v>Workforce</v>
      </c>
      <c r="R770" s="78" t="b">
        <f t="shared" si="890"/>
        <v>0</v>
      </c>
      <c r="S770" s="78" t="b">
        <f t="shared" si="891"/>
        <v>0</v>
      </c>
      <c r="T770" s="78" t="b">
        <f t="shared" si="892"/>
        <v>0</v>
      </c>
      <c r="U770" s="78" t="b">
        <f t="shared" si="893"/>
        <v>0</v>
      </c>
      <c r="V770" s="78" t="b">
        <f t="shared" si="894"/>
        <v>0</v>
      </c>
      <c r="W770" s="78" t="b">
        <f t="shared" si="895"/>
        <v>0</v>
      </c>
      <c r="X770" s="78" t="b">
        <f t="shared" si="896"/>
        <v>0</v>
      </c>
      <c r="Y770" s="78" t="b">
        <f t="shared" si="897"/>
        <v>0</v>
      </c>
      <c r="Z770" s="78" t="b">
        <f t="shared" si="898"/>
        <v>0</v>
      </c>
      <c r="AA770" s="78" t="b">
        <f t="shared" si="899"/>
        <v>0</v>
      </c>
      <c r="AB770" s="78" t="b">
        <f t="shared" si="900"/>
        <v>0</v>
      </c>
      <c r="AC770" s="78" t="b">
        <f t="shared" si="901"/>
        <v>0</v>
      </c>
      <c r="AD770" s="78" t="b">
        <f t="shared" si="902"/>
        <v>0</v>
      </c>
      <c r="AE770" s="78" t="b">
        <f t="shared" si="903"/>
        <v>0</v>
      </c>
      <c r="AF770" s="78" t="b">
        <f t="shared" si="904"/>
        <v>0</v>
      </c>
      <c r="AG770" s="78" t="b">
        <f t="shared" si="905"/>
        <v>0</v>
      </c>
      <c r="AH770" s="78" t="b">
        <f t="shared" si="906"/>
        <v>0</v>
      </c>
      <c r="AI770" s="78" t="b">
        <f t="shared" si="907"/>
        <v>0</v>
      </c>
      <c r="AJ770" s="78" t="b">
        <f t="shared" si="908"/>
        <v>0</v>
      </c>
      <c r="AK770" s="78" t="b">
        <f t="shared" si="909"/>
        <v>0</v>
      </c>
      <c r="AL770" s="78" t="b">
        <f t="shared" si="910"/>
        <v>0</v>
      </c>
      <c r="AM770" s="78" t="b">
        <f t="shared" si="911"/>
        <v>0</v>
      </c>
      <c r="AN770" s="78" t="b">
        <f t="shared" si="912"/>
        <v>0</v>
      </c>
      <c r="AO770" s="78" t="b">
        <f t="shared" si="913"/>
        <v>0</v>
      </c>
    </row>
    <row r="771" spans="7:41" x14ac:dyDescent="0.35">
      <c r="G771" s="77">
        <f t="shared" si="881"/>
        <v>0</v>
      </c>
      <c r="H771" s="78">
        <f t="shared" si="882"/>
        <v>0</v>
      </c>
      <c r="I771" s="77">
        <f t="shared" si="883"/>
        <v>0</v>
      </c>
      <c r="J771" s="78">
        <f t="shared" si="884"/>
        <v>0</v>
      </c>
      <c r="K771" s="78" t="str">
        <f t="shared" si="885"/>
        <v>1900-01-00 00:0:00</v>
      </c>
      <c r="L771" s="78" t="str">
        <f t="shared" si="886"/>
        <v>1900-01-00 00:0:00</v>
      </c>
      <c r="M771" s="79">
        <f t="shared" si="887"/>
        <v>0</v>
      </c>
      <c r="N771">
        <f t="shared" si="826"/>
        <v>1</v>
      </c>
      <c r="O771" t="str">
        <f>IFERROR(_xlfn.XLOOKUP(A771,HC!A:A,HC!C:C),"")</f>
        <v>Workforce</v>
      </c>
      <c r="R771" s="78" t="b">
        <f t="shared" si="890"/>
        <v>0</v>
      </c>
      <c r="S771" s="78" t="b">
        <f t="shared" si="891"/>
        <v>0</v>
      </c>
      <c r="T771" s="78" t="b">
        <f t="shared" si="892"/>
        <v>0</v>
      </c>
      <c r="U771" s="78" t="b">
        <f t="shared" si="893"/>
        <v>0</v>
      </c>
      <c r="V771" s="78" t="b">
        <f t="shared" si="894"/>
        <v>0</v>
      </c>
      <c r="W771" s="78" t="b">
        <f t="shared" si="895"/>
        <v>0</v>
      </c>
      <c r="X771" s="78" t="b">
        <f t="shared" si="896"/>
        <v>0</v>
      </c>
      <c r="Y771" s="78" t="b">
        <f t="shared" si="897"/>
        <v>0</v>
      </c>
      <c r="Z771" s="78" t="b">
        <f t="shared" si="898"/>
        <v>0</v>
      </c>
      <c r="AA771" s="78" t="b">
        <f t="shared" si="899"/>
        <v>0</v>
      </c>
      <c r="AB771" s="78" t="b">
        <f t="shared" si="900"/>
        <v>0</v>
      </c>
      <c r="AC771" s="78" t="b">
        <f t="shared" si="901"/>
        <v>0</v>
      </c>
      <c r="AD771" s="78" t="b">
        <f t="shared" si="902"/>
        <v>0</v>
      </c>
      <c r="AE771" s="78" t="b">
        <f t="shared" si="903"/>
        <v>0</v>
      </c>
      <c r="AF771" s="78" t="b">
        <f t="shared" si="904"/>
        <v>0</v>
      </c>
      <c r="AG771" s="78" t="b">
        <f t="shared" si="905"/>
        <v>0</v>
      </c>
      <c r="AH771" s="78" t="b">
        <f t="shared" si="906"/>
        <v>0</v>
      </c>
      <c r="AI771" s="78" t="b">
        <f t="shared" si="907"/>
        <v>0</v>
      </c>
      <c r="AJ771" s="78" t="b">
        <f t="shared" si="908"/>
        <v>0</v>
      </c>
      <c r="AK771" s="78" t="b">
        <f t="shared" si="909"/>
        <v>0</v>
      </c>
      <c r="AL771" s="78" t="b">
        <f t="shared" si="910"/>
        <v>0</v>
      </c>
      <c r="AM771" s="78" t="b">
        <f t="shared" si="911"/>
        <v>0</v>
      </c>
      <c r="AN771" s="78" t="b">
        <f t="shared" si="912"/>
        <v>0</v>
      </c>
      <c r="AO771" s="78" t="b">
        <f t="shared" si="913"/>
        <v>0</v>
      </c>
    </row>
    <row r="772" spans="7:41" x14ac:dyDescent="0.35">
      <c r="G772" s="77">
        <f t="shared" si="881"/>
        <v>0</v>
      </c>
      <c r="H772" s="78">
        <f t="shared" si="882"/>
        <v>0</v>
      </c>
      <c r="I772" s="77">
        <f t="shared" si="883"/>
        <v>0</v>
      </c>
      <c r="J772" s="78">
        <f t="shared" si="884"/>
        <v>0</v>
      </c>
      <c r="K772" s="78" t="str">
        <f t="shared" si="885"/>
        <v>1900-01-00 00:0:00</v>
      </c>
      <c r="L772" s="78" t="str">
        <f t="shared" si="886"/>
        <v>1900-01-00 00:0:00</v>
      </c>
      <c r="M772" s="79">
        <f t="shared" si="887"/>
        <v>0</v>
      </c>
      <c r="N772">
        <f t="shared" ref="N772:N835" si="914">IF(M772&lt;$BA$1,1,0)</f>
        <v>1</v>
      </c>
      <c r="O772" t="str">
        <f>IFERROR(_xlfn.XLOOKUP(A772,HC!A:A,HC!C:C),"")</f>
        <v>Workforce</v>
      </c>
      <c r="R772" s="78" t="b">
        <f t="shared" si="890"/>
        <v>0</v>
      </c>
      <c r="S772" s="78" t="b">
        <f t="shared" si="891"/>
        <v>0</v>
      </c>
      <c r="T772" s="78" t="b">
        <f t="shared" si="892"/>
        <v>0</v>
      </c>
      <c r="U772" s="78" t="b">
        <f t="shared" si="893"/>
        <v>0</v>
      </c>
      <c r="V772" s="78" t="b">
        <f t="shared" si="894"/>
        <v>0</v>
      </c>
      <c r="W772" s="78" t="b">
        <f t="shared" si="895"/>
        <v>0</v>
      </c>
      <c r="X772" s="78" t="b">
        <f t="shared" si="896"/>
        <v>0</v>
      </c>
      <c r="Y772" s="78" t="b">
        <f t="shared" si="897"/>
        <v>0</v>
      </c>
      <c r="Z772" s="78" t="b">
        <f t="shared" si="898"/>
        <v>0</v>
      </c>
      <c r="AA772" s="78" t="b">
        <f t="shared" si="899"/>
        <v>0</v>
      </c>
      <c r="AB772" s="78" t="b">
        <f t="shared" si="900"/>
        <v>0</v>
      </c>
      <c r="AC772" s="78" t="b">
        <f t="shared" si="901"/>
        <v>0</v>
      </c>
      <c r="AD772" s="78" t="b">
        <f t="shared" si="902"/>
        <v>0</v>
      </c>
      <c r="AE772" s="78" t="b">
        <f t="shared" si="903"/>
        <v>0</v>
      </c>
      <c r="AF772" s="78" t="b">
        <f t="shared" si="904"/>
        <v>0</v>
      </c>
      <c r="AG772" s="78" t="b">
        <f t="shared" si="905"/>
        <v>0</v>
      </c>
      <c r="AH772" s="78" t="b">
        <f t="shared" si="906"/>
        <v>0</v>
      </c>
      <c r="AI772" s="78" t="b">
        <f t="shared" si="907"/>
        <v>0</v>
      </c>
      <c r="AJ772" s="78" t="b">
        <f t="shared" si="908"/>
        <v>0</v>
      </c>
      <c r="AK772" s="78" t="b">
        <f t="shared" si="909"/>
        <v>0</v>
      </c>
      <c r="AL772" s="78" t="b">
        <f t="shared" si="910"/>
        <v>0</v>
      </c>
      <c r="AM772" s="78" t="b">
        <f t="shared" si="911"/>
        <v>0</v>
      </c>
      <c r="AN772" s="78" t="b">
        <f t="shared" si="912"/>
        <v>0</v>
      </c>
      <c r="AO772" s="78" t="b">
        <f t="shared" si="913"/>
        <v>0</v>
      </c>
    </row>
    <row r="773" spans="7:41" x14ac:dyDescent="0.35">
      <c r="G773" s="77">
        <f t="shared" si="881"/>
        <v>0</v>
      </c>
      <c r="H773" s="78">
        <f t="shared" si="882"/>
        <v>0</v>
      </c>
      <c r="I773" s="77">
        <f t="shared" si="883"/>
        <v>0</v>
      </c>
      <c r="J773" s="78">
        <f t="shared" si="884"/>
        <v>0</v>
      </c>
      <c r="K773" s="78" t="str">
        <f t="shared" si="885"/>
        <v>1900-01-00 00:0:00</v>
      </c>
      <c r="L773" s="78" t="str">
        <f t="shared" si="886"/>
        <v>1900-01-00 00:0:00</v>
      </c>
      <c r="M773" s="79">
        <f t="shared" si="887"/>
        <v>0</v>
      </c>
      <c r="N773">
        <f t="shared" si="914"/>
        <v>1</v>
      </c>
      <c r="O773" t="str">
        <f>IFERROR(_xlfn.XLOOKUP(A773,HC!A:A,HC!C:C),"")</f>
        <v>Workforce</v>
      </c>
      <c r="R773" s="78" t="b">
        <f t="shared" si="890"/>
        <v>0</v>
      </c>
      <c r="S773" s="78" t="b">
        <f t="shared" si="891"/>
        <v>0</v>
      </c>
      <c r="T773" s="78" t="b">
        <f t="shared" si="892"/>
        <v>0</v>
      </c>
      <c r="U773" s="78" t="b">
        <f t="shared" si="893"/>
        <v>0</v>
      </c>
      <c r="V773" s="78" t="b">
        <f t="shared" si="894"/>
        <v>0</v>
      </c>
      <c r="W773" s="78" t="b">
        <f t="shared" si="895"/>
        <v>0</v>
      </c>
      <c r="X773" s="78" t="b">
        <f t="shared" si="896"/>
        <v>0</v>
      </c>
      <c r="Y773" s="78" t="b">
        <f t="shared" si="897"/>
        <v>0</v>
      </c>
      <c r="Z773" s="78" t="b">
        <f t="shared" si="898"/>
        <v>0</v>
      </c>
      <c r="AA773" s="78" t="b">
        <f t="shared" si="899"/>
        <v>0</v>
      </c>
      <c r="AB773" s="78" t="b">
        <f t="shared" si="900"/>
        <v>0</v>
      </c>
      <c r="AC773" s="78" t="b">
        <f t="shared" si="901"/>
        <v>0</v>
      </c>
      <c r="AD773" s="78" t="b">
        <f t="shared" si="902"/>
        <v>0</v>
      </c>
      <c r="AE773" s="78" t="b">
        <f t="shared" si="903"/>
        <v>0</v>
      </c>
      <c r="AF773" s="78" t="b">
        <f t="shared" si="904"/>
        <v>0</v>
      </c>
      <c r="AG773" s="78" t="b">
        <f t="shared" si="905"/>
        <v>0</v>
      </c>
      <c r="AH773" s="78" t="b">
        <f t="shared" si="906"/>
        <v>0</v>
      </c>
      <c r="AI773" s="78" t="b">
        <f t="shared" si="907"/>
        <v>0</v>
      </c>
      <c r="AJ773" s="78" t="b">
        <f t="shared" si="908"/>
        <v>0</v>
      </c>
      <c r="AK773" s="78" t="b">
        <f t="shared" si="909"/>
        <v>0</v>
      </c>
      <c r="AL773" s="78" t="b">
        <f t="shared" si="910"/>
        <v>0</v>
      </c>
      <c r="AM773" s="78" t="b">
        <f t="shared" si="911"/>
        <v>0</v>
      </c>
      <c r="AN773" s="78" t="b">
        <f t="shared" si="912"/>
        <v>0</v>
      </c>
      <c r="AO773" s="78" t="b">
        <f t="shared" si="913"/>
        <v>0</v>
      </c>
    </row>
    <row r="774" spans="7:41" x14ac:dyDescent="0.35">
      <c r="G774" s="77">
        <f t="shared" si="881"/>
        <v>0</v>
      </c>
      <c r="H774" s="78">
        <f t="shared" si="882"/>
        <v>0</v>
      </c>
      <c r="I774" s="77">
        <f t="shared" si="883"/>
        <v>0</v>
      </c>
      <c r="J774" s="78">
        <f t="shared" si="884"/>
        <v>0</v>
      </c>
      <c r="K774" s="78" t="str">
        <f t="shared" si="885"/>
        <v>1900-01-00 00:0:00</v>
      </c>
      <c r="L774" s="78" t="str">
        <f t="shared" si="886"/>
        <v>1900-01-00 00:0:00</v>
      </c>
      <c r="M774" s="79">
        <f t="shared" si="887"/>
        <v>0</v>
      </c>
      <c r="N774">
        <f t="shared" si="914"/>
        <v>1</v>
      </c>
      <c r="O774" t="str">
        <f>IFERROR(_xlfn.XLOOKUP(A774,HC!A:A,HC!C:C),"")</f>
        <v>Workforce</v>
      </c>
      <c r="R774" s="78" t="b">
        <f t="shared" si="890"/>
        <v>0</v>
      </c>
      <c r="S774" s="78" t="b">
        <f t="shared" si="891"/>
        <v>0</v>
      </c>
      <c r="T774" s="78" t="b">
        <f t="shared" si="892"/>
        <v>0</v>
      </c>
      <c r="U774" s="78" t="b">
        <f t="shared" si="893"/>
        <v>0</v>
      </c>
      <c r="V774" s="78" t="b">
        <f t="shared" si="894"/>
        <v>0</v>
      </c>
      <c r="W774" s="78" t="b">
        <f t="shared" si="895"/>
        <v>0</v>
      </c>
      <c r="X774" s="78" t="b">
        <f t="shared" si="896"/>
        <v>0</v>
      </c>
      <c r="Y774" s="78" t="b">
        <f t="shared" si="897"/>
        <v>0</v>
      </c>
      <c r="Z774" s="78" t="b">
        <f t="shared" si="898"/>
        <v>0</v>
      </c>
      <c r="AA774" s="78" t="b">
        <f t="shared" si="899"/>
        <v>0</v>
      </c>
      <c r="AB774" s="78" t="b">
        <f t="shared" si="900"/>
        <v>0</v>
      </c>
      <c r="AC774" s="78" t="b">
        <f t="shared" si="901"/>
        <v>0</v>
      </c>
      <c r="AD774" s="78" t="b">
        <f t="shared" si="902"/>
        <v>0</v>
      </c>
      <c r="AE774" s="78" t="b">
        <f t="shared" si="903"/>
        <v>0</v>
      </c>
      <c r="AF774" s="78" t="b">
        <f t="shared" si="904"/>
        <v>0</v>
      </c>
      <c r="AG774" s="78" t="b">
        <f t="shared" si="905"/>
        <v>0</v>
      </c>
      <c r="AH774" s="78" t="b">
        <f t="shared" si="906"/>
        <v>0</v>
      </c>
      <c r="AI774" s="78" t="b">
        <f t="shared" si="907"/>
        <v>0</v>
      </c>
      <c r="AJ774" s="78" t="b">
        <f t="shared" si="908"/>
        <v>0</v>
      </c>
      <c r="AK774" s="78" t="b">
        <f t="shared" si="909"/>
        <v>0</v>
      </c>
      <c r="AL774" s="78" t="b">
        <f t="shared" si="910"/>
        <v>0</v>
      </c>
      <c r="AM774" s="78" t="b">
        <f t="shared" si="911"/>
        <v>0</v>
      </c>
      <c r="AN774" s="78" t="b">
        <f t="shared" si="912"/>
        <v>0</v>
      </c>
      <c r="AO774" s="78" t="b">
        <f t="shared" si="913"/>
        <v>0</v>
      </c>
    </row>
    <row r="775" spans="7:41" x14ac:dyDescent="0.35">
      <c r="G775" s="77">
        <f t="shared" si="881"/>
        <v>0</v>
      </c>
      <c r="H775" s="78">
        <f t="shared" si="882"/>
        <v>0</v>
      </c>
      <c r="I775" s="77">
        <f t="shared" si="883"/>
        <v>0</v>
      </c>
      <c r="J775" s="78">
        <f t="shared" si="884"/>
        <v>0</v>
      </c>
      <c r="K775" s="78" t="str">
        <f t="shared" si="885"/>
        <v>1900-01-00 00:0:00</v>
      </c>
      <c r="L775" s="78" t="str">
        <f t="shared" si="886"/>
        <v>1900-01-00 00:0:00</v>
      </c>
      <c r="M775" s="79">
        <f t="shared" si="887"/>
        <v>0</v>
      </c>
      <c r="N775">
        <f t="shared" si="914"/>
        <v>1</v>
      </c>
      <c r="O775" t="str">
        <f>IFERROR(_xlfn.XLOOKUP(A775,HC!A:A,HC!C:C),"")</f>
        <v>Workforce</v>
      </c>
      <c r="R775" s="78" t="b">
        <f t="shared" si="890"/>
        <v>0</v>
      </c>
      <c r="S775" s="78" t="b">
        <f t="shared" si="891"/>
        <v>0</v>
      </c>
      <c r="T775" s="78" t="b">
        <f t="shared" si="892"/>
        <v>0</v>
      </c>
      <c r="U775" s="78" t="b">
        <f t="shared" si="893"/>
        <v>0</v>
      </c>
      <c r="V775" s="78" t="b">
        <f t="shared" si="894"/>
        <v>0</v>
      </c>
      <c r="W775" s="78" t="b">
        <f t="shared" si="895"/>
        <v>0</v>
      </c>
      <c r="X775" s="78" t="b">
        <f t="shared" si="896"/>
        <v>0</v>
      </c>
      <c r="Y775" s="78" t="b">
        <f t="shared" si="897"/>
        <v>0</v>
      </c>
      <c r="Z775" s="78" t="b">
        <f t="shared" si="898"/>
        <v>0</v>
      </c>
      <c r="AA775" s="78" t="b">
        <f t="shared" si="899"/>
        <v>0</v>
      </c>
      <c r="AB775" s="78" t="b">
        <f t="shared" si="900"/>
        <v>0</v>
      </c>
      <c r="AC775" s="78" t="b">
        <f t="shared" si="901"/>
        <v>0</v>
      </c>
      <c r="AD775" s="78" t="b">
        <f t="shared" si="902"/>
        <v>0</v>
      </c>
      <c r="AE775" s="78" t="b">
        <f t="shared" si="903"/>
        <v>0</v>
      </c>
      <c r="AF775" s="78" t="b">
        <f t="shared" si="904"/>
        <v>0</v>
      </c>
      <c r="AG775" s="78" t="b">
        <f t="shared" si="905"/>
        <v>0</v>
      </c>
      <c r="AH775" s="78" t="b">
        <f t="shared" si="906"/>
        <v>0</v>
      </c>
      <c r="AI775" s="78" t="b">
        <f t="shared" si="907"/>
        <v>0</v>
      </c>
      <c r="AJ775" s="78" t="b">
        <f t="shared" si="908"/>
        <v>0</v>
      </c>
      <c r="AK775" s="78" t="b">
        <f t="shared" si="909"/>
        <v>0</v>
      </c>
      <c r="AL775" s="78" t="b">
        <f t="shared" si="910"/>
        <v>0</v>
      </c>
      <c r="AM775" s="78" t="b">
        <f t="shared" si="911"/>
        <v>0</v>
      </c>
      <c r="AN775" s="78" t="b">
        <f t="shared" si="912"/>
        <v>0</v>
      </c>
      <c r="AO775" s="78" t="b">
        <f t="shared" si="913"/>
        <v>0</v>
      </c>
    </row>
    <row r="776" spans="7:41" x14ac:dyDescent="0.35">
      <c r="G776" s="77">
        <f t="shared" si="881"/>
        <v>0</v>
      </c>
      <c r="H776" s="78">
        <f t="shared" si="882"/>
        <v>0</v>
      </c>
      <c r="I776" s="77">
        <f t="shared" si="883"/>
        <v>0</v>
      </c>
      <c r="J776" s="78">
        <f t="shared" si="884"/>
        <v>0</v>
      </c>
      <c r="K776" s="78" t="str">
        <f t="shared" si="885"/>
        <v>1900-01-00 00:0:00</v>
      </c>
      <c r="L776" s="78" t="str">
        <f t="shared" si="886"/>
        <v>1900-01-00 00:0:00</v>
      </c>
      <c r="M776" s="79">
        <f t="shared" si="887"/>
        <v>0</v>
      </c>
      <c r="N776">
        <f t="shared" si="914"/>
        <v>1</v>
      </c>
      <c r="O776" t="str">
        <f>IFERROR(_xlfn.XLOOKUP(A776,HC!A:A,HC!C:C),"")</f>
        <v>Workforce</v>
      </c>
      <c r="R776" s="78" t="b">
        <f t="shared" si="890"/>
        <v>0</v>
      </c>
      <c r="S776" s="78" t="b">
        <f t="shared" si="891"/>
        <v>0</v>
      </c>
      <c r="T776" s="78" t="b">
        <f t="shared" si="892"/>
        <v>0</v>
      </c>
      <c r="U776" s="78" t="b">
        <f t="shared" si="893"/>
        <v>0</v>
      </c>
      <c r="V776" s="78" t="b">
        <f t="shared" si="894"/>
        <v>0</v>
      </c>
      <c r="W776" s="78" t="b">
        <f t="shared" si="895"/>
        <v>0</v>
      </c>
      <c r="X776" s="78" t="b">
        <f t="shared" si="896"/>
        <v>0</v>
      </c>
      <c r="Y776" s="78" t="b">
        <f t="shared" si="897"/>
        <v>0</v>
      </c>
      <c r="Z776" s="78" t="b">
        <f t="shared" si="898"/>
        <v>0</v>
      </c>
      <c r="AA776" s="78" t="b">
        <f t="shared" si="899"/>
        <v>0</v>
      </c>
      <c r="AB776" s="78" t="b">
        <f t="shared" si="900"/>
        <v>0</v>
      </c>
      <c r="AC776" s="78" t="b">
        <f t="shared" si="901"/>
        <v>0</v>
      </c>
      <c r="AD776" s="78" t="b">
        <f t="shared" si="902"/>
        <v>0</v>
      </c>
      <c r="AE776" s="78" t="b">
        <f t="shared" si="903"/>
        <v>0</v>
      </c>
      <c r="AF776" s="78" t="b">
        <f t="shared" si="904"/>
        <v>0</v>
      </c>
      <c r="AG776" s="78" t="b">
        <f t="shared" si="905"/>
        <v>0</v>
      </c>
      <c r="AH776" s="78" t="b">
        <f t="shared" si="906"/>
        <v>0</v>
      </c>
      <c r="AI776" s="78" t="b">
        <f t="shared" si="907"/>
        <v>0</v>
      </c>
      <c r="AJ776" s="78" t="b">
        <f t="shared" si="908"/>
        <v>0</v>
      </c>
      <c r="AK776" s="78" t="b">
        <f t="shared" si="909"/>
        <v>0</v>
      </c>
      <c r="AL776" s="78" t="b">
        <f t="shared" si="910"/>
        <v>0</v>
      </c>
      <c r="AM776" s="78" t="b">
        <f t="shared" si="911"/>
        <v>0</v>
      </c>
      <c r="AN776" s="78" t="b">
        <f t="shared" si="912"/>
        <v>0</v>
      </c>
      <c r="AO776" s="78" t="b">
        <f t="shared" si="913"/>
        <v>0</v>
      </c>
    </row>
    <row r="777" spans="7:41" x14ac:dyDescent="0.35">
      <c r="G777" s="77">
        <f t="shared" si="881"/>
        <v>0</v>
      </c>
      <c r="H777" s="78">
        <f t="shared" si="882"/>
        <v>0</v>
      </c>
      <c r="I777" s="77">
        <f t="shared" si="883"/>
        <v>0</v>
      </c>
      <c r="J777" s="78">
        <f t="shared" si="884"/>
        <v>0</v>
      </c>
      <c r="K777" s="78" t="str">
        <f t="shared" si="885"/>
        <v>1900-01-00 00:0:00</v>
      </c>
      <c r="L777" s="78" t="str">
        <f t="shared" si="886"/>
        <v>1900-01-00 00:0:00</v>
      </c>
      <c r="M777" s="79">
        <f t="shared" si="887"/>
        <v>0</v>
      </c>
      <c r="N777">
        <f t="shared" si="914"/>
        <v>1</v>
      </c>
      <c r="O777" t="str">
        <f>IFERROR(_xlfn.XLOOKUP(A777,HC!A:A,HC!C:C),"")</f>
        <v>Workforce</v>
      </c>
      <c r="R777" s="78" t="b">
        <f t="shared" si="890"/>
        <v>0</v>
      </c>
      <c r="S777" s="78" t="b">
        <f t="shared" si="891"/>
        <v>0</v>
      </c>
      <c r="T777" s="78" t="b">
        <f t="shared" si="892"/>
        <v>0</v>
      </c>
      <c r="U777" s="78" t="b">
        <f t="shared" si="893"/>
        <v>0</v>
      </c>
      <c r="V777" s="78" t="b">
        <f t="shared" si="894"/>
        <v>0</v>
      </c>
      <c r="W777" s="78" t="b">
        <f t="shared" si="895"/>
        <v>0</v>
      </c>
      <c r="X777" s="78" t="b">
        <f t="shared" si="896"/>
        <v>0</v>
      </c>
      <c r="Y777" s="78" t="b">
        <f t="shared" si="897"/>
        <v>0</v>
      </c>
      <c r="Z777" s="78" t="b">
        <f t="shared" si="898"/>
        <v>0</v>
      </c>
      <c r="AA777" s="78" t="b">
        <f t="shared" si="899"/>
        <v>0</v>
      </c>
      <c r="AB777" s="78" t="b">
        <f t="shared" si="900"/>
        <v>0</v>
      </c>
      <c r="AC777" s="78" t="b">
        <f t="shared" si="901"/>
        <v>0</v>
      </c>
      <c r="AD777" s="78" t="b">
        <f t="shared" si="902"/>
        <v>0</v>
      </c>
      <c r="AE777" s="78" t="b">
        <f t="shared" si="903"/>
        <v>0</v>
      </c>
      <c r="AF777" s="78" t="b">
        <f t="shared" si="904"/>
        <v>0</v>
      </c>
      <c r="AG777" s="78" t="b">
        <f t="shared" si="905"/>
        <v>0</v>
      </c>
      <c r="AH777" s="78" t="b">
        <f t="shared" si="906"/>
        <v>0</v>
      </c>
      <c r="AI777" s="78" t="b">
        <f t="shared" si="907"/>
        <v>0</v>
      </c>
      <c r="AJ777" s="78" t="b">
        <f t="shared" si="908"/>
        <v>0</v>
      </c>
      <c r="AK777" s="78" t="b">
        <f t="shared" si="909"/>
        <v>0</v>
      </c>
      <c r="AL777" s="78" t="b">
        <f t="shared" si="910"/>
        <v>0</v>
      </c>
      <c r="AM777" s="78" t="b">
        <f t="shared" si="911"/>
        <v>0</v>
      </c>
      <c r="AN777" s="78" t="b">
        <f t="shared" si="912"/>
        <v>0</v>
      </c>
      <c r="AO777" s="78" t="b">
        <f t="shared" si="913"/>
        <v>0</v>
      </c>
    </row>
    <row r="778" spans="7:41" x14ac:dyDescent="0.35">
      <c r="G778" s="77">
        <f t="shared" si="881"/>
        <v>0</v>
      </c>
      <c r="H778" s="78">
        <f t="shared" si="882"/>
        <v>0</v>
      </c>
      <c r="I778" s="77">
        <f t="shared" si="883"/>
        <v>0</v>
      </c>
      <c r="J778" s="78">
        <f t="shared" si="884"/>
        <v>0</v>
      </c>
      <c r="K778" s="78" t="str">
        <f t="shared" si="885"/>
        <v>1900-01-00 00:0:00</v>
      </c>
      <c r="L778" s="78" t="str">
        <f t="shared" si="886"/>
        <v>1900-01-00 00:0:00</v>
      </c>
      <c r="M778" s="79">
        <f t="shared" si="887"/>
        <v>0</v>
      </c>
      <c r="N778">
        <f t="shared" si="914"/>
        <v>1</v>
      </c>
      <c r="O778" t="str">
        <f>IFERROR(_xlfn.XLOOKUP(A778,HC!A:A,HC!C:C),"")</f>
        <v>Workforce</v>
      </c>
      <c r="R778" s="78" t="b">
        <f t="shared" si="890"/>
        <v>0</v>
      </c>
      <c r="S778" s="78" t="b">
        <f t="shared" si="891"/>
        <v>0</v>
      </c>
      <c r="T778" s="78" t="b">
        <f t="shared" si="892"/>
        <v>0</v>
      </c>
      <c r="U778" s="78" t="b">
        <f t="shared" si="893"/>
        <v>0</v>
      </c>
      <c r="V778" s="78" t="b">
        <f t="shared" si="894"/>
        <v>0</v>
      </c>
      <c r="W778" s="78" t="b">
        <f t="shared" si="895"/>
        <v>0</v>
      </c>
      <c r="X778" s="78" t="b">
        <f t="shared" si="896"/>
        <v>0</v>
      </c>
      <c r="Y778" s="78" t="b">
        <f t="shared" si="897"/>
        <v>0</v>
      </c>
      <c r="Z778" s="78" t="b">
        <f t="shared" si="898"/>
        <v>0</v>
      </c>
      <c r="AA778" s="78" t="b">
        <f t="shared" si="899"/>
        <v>0</v>
      </c>
      <c r="AB778" s="78" t="b">
        <f t="shared" si="900"/>
        <v>0</v>
      </c>
      <c r="AC778" s="78" t="b">
        <f t="shared" si="901"/>
        <v>0</v>
      </c>
      <c r="AD778" s="78" t="b">
        <f t="shared" si="902"/>
        <v>0</v>
      </c>
      <c r="AE778" s="78" t="b">
        <f t="shared" si="903"/>
        <v>0</v>
      </c>
      <c r="AF778" s="78" t="b">
        <f t="shared" si="904"/>
        <v>0</v>
      </c>
      <c r="AG778" s="78" t="b">
        <f t="shared" si="905"/>
        <v>0</v>
      </c>
      <c r="AH778" s="78" t="b">
        <f t="shared" si="906"/>
        <v>0</v>
      </c>
      <c r="AI778" s="78" t="b">
        <f t="shared" si="907"/>
        <v>0</v>
      </c>
      <c r="AJ778" s="78" t="b">
        <f t="shared" si="908"/>
        <v>0</v>
      </c>
      <c r="AK778" s="78" t="b">
        <f t="shared" si="909"/>
        <v>0</v>
      </c>
      <c r="AL778" s="78" t="b">
        <f t="shared" si="910"/>
        <v>0</v>
      </c>
      <c r="AM778" s="78" t="b">
        <f t="shared" si="911"/>
        <v>0</v>
      </c>
      <c r="AN778" s="78" t="b">
        <f t="shared" si="912"/>
        <v>0</v>
      </c>
      <c r="AO778" s="78" t="b">
        <f t="shared" si="913"/>
        <v>0</v>
      </c>
    </row>
    <row r="779" spans="7:41" x14ac:dyDescent="0.35">
      <c r="G779" s="77">
        <f t="shared" si="881"/>
        <v>0</v>
      </c>
      <c r="H779" s="78">
        <f t="shared" si="882"/>
        <v>0</v>
      </c>
      <c r="I779" s="77">
        <f t="shared" si="883"/>
        <v>0</v>
      </c>
      <c r="J779" s="78">
        <f t="shared" si="884"/>
        <v>0</v>
      </c>
      <c r="K779" s="78" t="str">
        <f t="shared" si="885"/>
        <v>1900-01-00 00:0:00</v>
      </c>
      <c r="L779" s="78" t="str">
        <f t="shared" si="886"/>
        <v>1900-01-00 00:0:00</v>
      </c>
      <c r="M779" s="79">
        <f t="shared" si="887"/>
        <v>0</v>
      </c>
      <c r="N779">
        <f t="shared" si="914"/>
        <v>1</v>
      </c>
      <c r="O779" t="str">
        <f>IFERROR(_xlfn.XLOOKUP(A779,HC!A:A,HC!C:C),"")</f>
        <v>Workforce</v>
      </c>
      <c r="R779" s="78" t="b">
        <f t="shared" si="890"/>
        <v>0</v>
      </c>
      <c r="S779" s="78" t="b">
        <f t="shared" si="891"/>
        <v>0</v>
      </c>
      <c r="T779" s="78" t="b">
        <f t="shared" si="892"/>
        <v>0</v>
      </c>
      <c r="U779" s="78" t="b">
        <f t="shared" si="893"/>
        <v>0</v>
      </c>
      <c r="V779" s="78" t="b">
        <f t="shared" si="894"/>
        <v>0</v>
      </c>
      <c r="W779" s="78" t="b">
        <f t="shared" si="895"/>
        <v>0</v>
      </c>
      <c r="X779" s="78" t="b">
        <f t="shared" si="896"/>
        <v>0</v>
      </c>
      <c r="Y779" s="78" t="b">
        <f t="shared" si="897"/>
        <v>0</v>
      </c>
      <c r="Z779" s="78" t="b">
        <f t="shared" si="898"/>
        <v>0</v>
      </c>
      <c r="AA779" s="78" t="b">
        <f t="shared" si="899"/>
        <v>0</v>
      </c>
      <c r="AB779" s="78" t="b">
        <f t="shared" si="900"/>
        <v>0</v>
      </c>
      <c r="AC779" s="78" t="b">
        <f t="shared" si="901"/>
        <v>0</v>
      </c>
      <c r="AD779" s="78" t="b">
        <f t="shared" si="902"/>
        <v>0</v>
      </c>
      <c r="AE779" s="78" t="b">
        <f t="shared" si="903"/>
        <v>0</v>
      </c>
      <c r="AF779" s="78" t="b">
        <f t="shared" si="904"/>
        <v>0</v>
      </c>
      <c r="AG779" s="78" t="b">
        <f t="shared" si="905"/>
        <v>0</v>
      </c>
      <c r="AH779" s="78" t="b">
        <f t="shared" si="906"/>
        <v>0</v>
      </c>
      <c r="AI779" s="78" t="b">
        <f t="shared" si="907"/>
        <v>0</v>
      </c>
      <c r="AJ779" s="78" t="b">
        <f t="shared" si="908"/>
        <v>0</v>
      </c>
      <c r="AK779" s="78" t="b">
        <f t="shared" si="909"/>
        <v>0</v>
      </c>
      <c r="AL779" s="78" t="b">
        <f t="shared" si="910"/>
        <v>0</v>
      </c>
      <c r="AM779" s="78" t="b">
        <f t="shared" si="911"/>
        <v>0</v>
      </c>
      <c r="AN779" s="78" t="b">
        <f t="shared" si="912"/>
        <v>0</v>
      </c>
      <c r="AO779" s="78" t="b">
        <f t="shared" si="913"/>
        <v>0</v>
      </c>
    </row>
    <row r="780" spans="7:41" x14ac:dyDescent="0.35">
      <c r="G780" s="77">
        <f t="shared" si="881"/>
        <v>0</v>
      </c>
      <c r="H780" s="78">
        <f t="shared" si="882"/>
        <v>0</v>
      </c>
      <c r="I780" s="77">
        <f t="shared" si="883"/>
        <v>0</v>
      </c>
      <c r="J780" s="78">
        <f t="shared" si="884"/>
        <v>0</v>
      </c>
      <c r="K780" s="78" t="str">
        <f t="shared" si="885"/>
        <v>1900-01-00 00:0:00</v>
      </c>
      <c r="L780" s="78" t="str">
        <f t="shared" si="886"/>
        <v>1900-01-00 00:0:00</v>
      </c>
      <c r="M780" s="79">
        <f t="shared" si="887"/>
        <v>0</v>
      </c>
      <c r="N780">
        <f t="shared" si="914"/>
        <v>1</v>
      </c>
      <c r="O780" t="str">
        <f>IFERROR(_xlfn.XLOOKUP(A780,HC!A:A,HC!C:C),"")</f>
        <v>Workforce</v>
      </c>
      <c r="R780" s="78" t="b">
        <f t="shared" si="890"/>
        <v>0</v>
      </c>
      <c r="S780" s="78" t="b">
        <f t="shared" si="891"/>
        <v>0</v>
      </c>
      <c r="T780" s="78" t="b">
        <f t="shared" si="892"/>
        <v>0</v>
      </c>
      <c r="U780" s="78" t="b">
        <f t="shared" si="893"/>
        <v>0</v>
      </c>
      <c r="V780" s="78" t="b">
        <f t="shared" si="894"/>
        <v>0</v>
      </c>
      <c r="W780" s="78" t="b">
        <f t="shared" si="895"/>
        <v>0</v>
      </c>
      <c r="X780" s="78" t="b">
        <f t="shared" si="896"/>
        <v>0</v>
      </c>
      <c r="Y780" s="78" t="b">
        <f t="shared" si="897"/>
        <v>0</v>
      </c>
      <c r="Z780" s="78" t="b">
        <f t="shared" si="898"/>
        <v>0</v>
      </c>
      <c r="AA780" s="78" t="b">
        <f t="shared" si="899"/>
        <v>0</v>
      </c>
      <c r="AB780" s="78" t="b">
        <f t="shared" si="900"/>
        <v>0</v>
      </c>
      <c r="AC780" s="78" t="b">
        <f t="shared" si="901"/>
        <v>0</v>
      </c>
      <c r="AD780" s="78" t="b">
        <f t="shared" si="902"/>
        <v>0</v>
      </c>
      <c r="AE780" s="78" t="b">
        <f t="shared" si="903"/>
        <v>0</v>
      </c>
      <c r="AF780" s="78" t="b">
        <f t="shared" si="904"/>
        <v>0</v>
      </c>
      <c r="AG780" s="78" t="b">
        <f t="shared" si="905"/>
        <v>0</v>
      </c>
      <c r="AH780" s="78" t="b">
        <f t="shared" si="906"/>
        <v>0</v>
      </c>
      <c r="AI780" s="78" t="b">
        <f t="shared" si="907"/>
        <v>0</v>
      </c>
      <c r="AJ780" s="78" t="b">
        <f t="shared" si="908"/>
        <v>0</v>
      </c>
      <c r="AK780" s="78" t="b">
        <f t="shared" si="909"/>
        <v>0</v>
      </c>
      <c r="AL780" s="78" t="b">
        <f t="shared" si="910"/>
        <v>0</v>
      </c>
      <c r="AM780" s="78" t="b">
        <f t="shared" si="911"/>
        <v>0</v>
      </c>
      <c r="AN780" s="78" t="b">
        <f t="shared" si="912"/>
        <v>0</v>
      </c>
      <c r="AO780" s="78" t="b">
        <f t="shared" si="913"/>
        <v>0</v>
      </c>
    </row>
    <row r="781" spans="7:41" x14ac:dyDescent="0.35">
      <c r="G781" s="77">
        <f t="shared" si="881"/>
        <v>0</v>
      </c>
      <c r="H781" s="78">
        <f t="shared" si="882"/>
        <v>0</v>
      </c>
      <c r="I781" s="77">
        <f t="shared" si="883"/>
        <v>0</v>
      </c>
      <c r="J781" s="78">
        <f t="shared" si="884"/>
        <v>0</v>
      </c>
      <c r="K781" s="78" t="str">
        <f t="shared" si="885"/>
        <v>1900-01-00 00:0:00</v>
      </c>
      <c r="L781" s="78" t="str">
        <f t="shared" si="886"/>
        <v>1900-01-00 00:0:00</v>
      </c>
      <c r="M781" s="79">
        <f t="shared" si="887"/>
        <v>0</v>
      </c>
      <c r="N781">
        <f t="shared" si="914"/>
        <v>1</v>
      </c>
      <c r="O781" t="str">
        <f>IFERROR(_xlfn.XLOOKUP(A781,HC!A:A,HC!C:C),"")</f>
        <v>Workforce</v>
      </c>
      <c r="R781" s="78" t="b">
        <f t="shared" si="890"/>
        <v>0</v>
      </c>
      <c r="S781" s="78" t="b">
        <f t="shared" si="891"/>
        <v>0</v>
      </c>
      <c r="T781" s="78" t="b">
        <f t="shared" si="892"/>
        <v>0</v>
      </c>
      <c r="U781" s="78" t="b">
        <f t="shared" si="893"/>
        <v>0</v>
      </c>
      <c r="V781" s="78" t="b">
        <f t="shared" si="894"/>
        <v>0</v>
      </c>
      <c r="W781" s="78" t="b">
        <f t="shared" si="895"/>
        <v>0</v>
      </c>
      <c r="X781" s="78" t="b">
        <f t="shared" si="896"/>
        <v>0</v>
      </c>
      <c r="Y781" s="78" t="b">
        <f t="shared" si="897"/>
        <v>0</v>
      </c>
      <c r="Z781" s="78" t="b">
        <f t="shared" si="898"/>
        <v>0</v>
      </c>
      <c r="AA781" s="78" t="b">
        <f t="shared" si="899"/>
        <v>0</v>
      </c>
      <c r="AB781" s="78" t="b">
        <f t="shared" si="900"/>
        <v>0</v>
      </c>
      <c r="AC781" s="78" t="b">
        <f t="shared" si="901"/>
        <v>0</v>
      </c>
      <c r="AD781" s="78" t="b">
        <f t="shared" si="902"/>
        <v>0</v>
      </c>
      <c r="AE781" s="78" t="b">
        <f t="shared" si="903"/>
        <v>0</v>
      </c>
      <c r="AF781" s="78" t="b">
        <f t="shared" si="904"/>
        <v>0</v>
      </c>
      <c r="AG781" s="78" t="b">
        <f t="shared" si="905"/>
        <v>0</v>
      </c>
      <c r="AH781" s="78" t="b">
        <f t="shared" si="906"/>
        <v>0</v>
      </c>
      <c r="AI781" s="78" t="b">
        <f t="shared" si="907"/>
        <v>0</v>
      </c>
      <c r="AJ781" s="78" t="b">
        <f t="shared" si="908"/>
        <v>0</v>
      </c>
      <c r="AK781" s="78" t="b">
        <f t="shared" si="909"/>
        <v>0</v>
      </c>
      <c r="AL781" s="78" t="b">
        <f t="shared" si="910"/>
        <v>0</v>
      </c>
      <c r="AM781" s="78" t="b">
        <f t="shared" si="911"/>
        <v>0</v>
      </c>
      <c r="AN781" s="78" t="b">
        <f t="shared" si="912"/>
        <v>0</v>
      </c>
      <c r="AO781" s="78" t="b">
        <f t="shared" si="913"/>
        <v>0</v>
      </c>
    </row>
    <row r="782" spans="7:41" x14ac:dyDescent="0.35">
      <c r="G782" s="77">
        <f t="shared" si="881"/>
        <v>0</v>
      </c>
      <c r="H782" s="78">
        <f t="shared" si="882"/>
        <v>0</v>
      </c>
      <c r="I782" s="77">
        <f t="shared" si="883"/>
        <v>0</v>
      </c>
      <c r="J782" s="78">
        <f t="shared" si="884"/>
        <v>0</v>
      </c>
      <c r="K782" s="78" t="str">
        <f t="shared" si="885"/>
        <v>1900-01-00 00:0:00</v>
      </c>
      <c r="L782" s="78" t="str">
        <f t="shared" si="886"/>
        <v>1900-01-00 00:0:00</v>
      </c>
      <c r="M782" s="79">
        <f t="shared" si="887"/>
        <v>0</v>
      </c>
      <c r="N782">
        <f t="shared" si="914"/>
        <v>1</v>
      </c>
      <c r="O782" t="str">
        <f>IFERROR(_xlfn.XLOOKUP(A782,HC!A:A,HC!C:C),"")</f>
        <v>Workforce</v>
      </c>
      <c r="R782" s="78" t="b">
        <f t="shared" si="890"/>
        <v>0</v>
      </c>
      <c r="S782" s="78" t="b">
        <f t="shared" si="891"/>
        <v>0</v>
      </c>
      <c r="T782" s="78" t="b">
        <f t="shared" si="892"/>
        <v>0</v>
      </c>
      <c r="U782" s="78" t="b">
        <f t="shared" si="893"/>
        <v>0</v>
      </c>
      <c r="V782" s="78" t="b">
        <f t="shared" si="894"/>
        <v>0</v>
      </c>
      <c r="W782" s="78" t="b">
        <f t="shared" si="895"/>
        <v>0</v>
      </c>
      <c r="X782" s="78" t="b">
        <f t="shared" si="896"/>
        <v>0</v>
      </c>
      <c r="Y782" s="78" t="b">
        <f t="shared" si="897"/>
        <v>0</v>
      </c>
      <c r="Z782" s="78" t="b">
        <f t="shared" si="898"/>
        <v>0</v>
      </c>
      <c r="AA782" s="78" t="b">
        <f t="shared" si="899"/>
        <v>0</v>
      </c>
      <c r="AB782" s="78" t="b">
        <f t="shared" si="900"/>
        <v>0</v>
      </c>
      <c r="AC782" s="78" t="b">
        <f t="shared" si="901"/>
        <v>0</v>
      </c>
      <c r="AD782" s="78" t="b">
        <f t="shared" si="902"/>
        <v>0</v>
      </c>
      <c r="AE782" s="78" t="b">
        <f t="shared" si="903"/>
        <v>0</v>
      </c>
      <c r="AF782" s="78" t="b">
        <f t="shared" si="904"/>
        <v>0</v>
      </c>
      <c r="AG782" s="78" t="b">
        <f t="shared" si="905"/>
        <v>0</v>
      </c>
      <c r="AH782" s="78" t="b">
        <f t="shared" si="906"/>
        <v>0</v>
      </c>
      <c r="AI782" s="78" t="b">
        <f t="shared" si="907"/>
        <v>0</v>
      </c>
      <c r="AJ782" s="78" t="b">
        <f t="shared" si="908"/>
        <v>0</v>
      </c>
      <c r="AK782" s="78" t="b">
        <f t="shared" si="909"/>
        <v>0</v>
      </c>
      <c r="AL782" s="78" t="b">
        <f t="shared" si="910"/>
        <v>0</v>
      </c>
      <c r="AM782" s="78" t="b">
        <f t="shared" si="911"/>
        <v>0</v>
      </c>
      <c r="AN782" s="78" t="b">
        <f t="shared" si="912"/>
        <v>0</v>
      </c>
      <c r="AO782" s="78" t="b">
        <f t="shared" si="913"/>
        <v>0</v>
      </c>
    </row>
    <row r="783" spans="7:41" x14ac:dyDescent="0.35">
      <c r="G783" s="77">
        <f t="shared" si="881"/>
        <v>0</v>
      </c>
      <c r="H783" s="78">
        <f t="shared" si="882"/>
        <v>0</v>
      </c>
      <c r="I783" s="77">
        <f t="shared" si="883"/>
        <v>0</v>
      </c>
      <c r="J783" s="78">
        <f t="shared" si="884"/>
        <v>0</v>
      </c>
      <c r="K783" s="78" t="str">
        <f t="shared" si="885"/>
        <v>1900-01-00 00:0:00</v>
      </c>
      <c r="L783" s="78" t="str">
        <f t="shared" si="886"/>
        <v>1900-01-00 00:0:00</v>
      </c>
      <c r="M783" s="79">
        <f t="shared" si="887"/>
        <v>0</v>
      </c>
      <c r="N783">
        <f t="shared" si="914"/>
        <v>1</v>
      </c>
      <c r="O783" t="str">
        <f>IFERROR(_xlfn.XLOOKUP(A783,HC!A:A,HC!C:C),"")</f>
        <v>Workforce</v>
      </c>
      <c r="R783" s="78" t="b">
        <f t="shared" si="890"/>
        <v>0</v>
      </c>
      <c r="S783" s="78" t="b">
        <f t="shared" si="891"/>
        <v>0</v>
      </c>
      <c r="T783" s="78" t="b">
        <f t="shared" si="892"/>
        <v>0</v>
      </c>
      <c r="U783" s="78" t="b">
        <f t="shared" si="893"/>
        <v>0</v>
      </c>
      <c r="V783" s="78" t="b">
        <f t="shared" si="894"/>
        <v>0</v>
      </c>
      <c r="W783" s="78" t="b">
        <f t="shared" si="895"/>
        <v>0</v>
      </c>
      <c r="X783" s="78" t="b">
        <f t="shared" si="896"/>
        <v>0</v>
      </c>
      <c r="Y783" s="78" t="b">
        <f t="shared" si="897"/>
        <v>0</v>
      </c>
      <c r="Z783" s="78" t="b">
        <f t="shared" si="898"/>
        <v>0</v>
      </c>
      <c r="AA783" s="78" t="b">
        <f t="shared" si="899"/>
        <v>0</v>
      </c>
      <c r="AB783" s="78" t="b">
        <f t="shared" si="900"/>
        <v>0</v>
      </c>
      <c r="AC783" s="78" t="b">
        <f t="shared" si="901"/>
        <v>0</v>
      </c>
      <c r="AD783" s="78" t="b">
        <f t="shared" si="902"/>
        <v>0</v>
      </c>
      <c r="AE783" s="78" t="b">
        <f t="shared" si="903"/>
        <v>0</v>
      </c>
      <c r="AF783" s="78" t="b">
        <f t="shared" si="904"/>
        <v>0</v>
      </c>
      <c r="AG783" s="78" t="b">
        <f t="shared" si="905"/>
        <v>0</v>
      </c>
      <c r="AH783" s="78" t="b">
        <f t="shared" si="906"/>
        <v>0</v>
      </c>
      <c r="AI783" s="78" t="b">
        <f t="shared" si="907"/>
        <v>0</v>
      </c>
      <c r="AJ783" s="78" t="b">
        <f t="shared" si="908"/>
        <v>0</v>
      </c>
      <c r="AK783" s="78" t="b">
        <f t="shared" si="909"/>
        <v>0</v>
      </c>
      <c r="AL783" s="78" t="b">
        <f t="shared" si="910"/>
        <v>0</v>
      </c>
      <c r="AM783" s="78" t="b">
        <f t="shared" si="911"/>
        <v>0</v>
      </c>
      <c r="AN783" s="78" t="b">
        <f t="shared" si="912"/>
        <v>0</v>
      </c>
      <c r="AO783" s="78" t="b">
        <f t="shared" si="913"/>
        <v>0</v>
      </c>
    </row>
    <row r="784" spans="7:41" x14ac:dyDescent="0.35">
      <c r="G784" s="77">
        <f t="shared" si="881"/>
        <v>0</v>
      </c>
      <c r="H784" s="78">
        <f t="shared" si="882"/>
        <v>0</v>
      </c>
      <c r="I784" s="77">
        <f t="shared" si="883"/>
        <v>0</v>
      </c>
      <c r="J784" s="78">
        <f t="shared" si="884"/>
        <v>0</v>
      </c>
      <c r="K784" s="78" t="str">
        <f t="shared" si="885"/>
        <v>1900-01-00 00:0:00</v>
      </c>
      <c r="L784" s="78" t="str">
        <f t="shared" si="886"/>
        <v>1900-01-00 00:0:00</v>
      </c>
      <c r="M784" s="79">
        <f t="shared" si="887"/>
        <v>0</v>
      </c>
      <c r="N784">
        <f t="shared" si="914"/>
        <v>1</v>
      </c>
      <c r="O784" t="str">
        <f>IFERROR(_xlfn.XLOOKUP(A784,HC!A:A,HC!C:C),"")</f>
        <v>Workforce</v>
      </c>
      <c r="R784" s="78" t="b">
        <f t="shared" si="890"/>
        <v>0</v>
      </c>
      <c r="S784" s="78" t="b">
        <f t="shared" si="891"/>
        <v>0</v>
      </c>
      <c r="T784" s="78" t="b">
        <f t="shared" si="892"/>
        <v>0</v>
      </c>
      <c r="U784" s="78" t="b">
        <f t="shared" si="893"/>
        <v>0</v>
      </c>
      <c r="V784" s="78" t="b">
        <f t="shared" si="894"/>
        <v>0</v>
      </c>
      <c r="W784" s="78" t="b">
        <f t="shared" si="895"/>
        <v>0</v>
      </c>
      <c r="X784" s="78" t="b">
        <f t="shared" si="896"/>
        <v>0</v>
      </c>
      <c r="Y784" s="78" t="b">
        <f t="shared" si="897"/>
        <v>0</v>
      </c>
      <c r="Z784" s="78" t="b">
        <f t="shared" si="898"/>
        <v>0</v>
      </c>
      <c r="AA784" s="78" t="b">
        <f t="shared" si="899"/>
        <v>0</v>
      </c>
      <c r="AB784" s="78" t="b">
        <f t="shared" si="900"/>
        <v>0</v>
      </c>
      <c r="AC784" s="78" t="b">
        <f t="shared" si="901"/>
        <v>0</v>
      </c>
      <c r="AD784" s="78" t="b">
        <f t="shared" si="902"/>
        <v>0</v>
      </c>
      <c r="AE784" s="78" t="b">
        <f t="shared" si="903"/>
        <v>0</v>
      </c>
      <c r="AF784" s="78" t="b">
        <f t="shared" si="904"/>
        <v>0</v>
      </c>
      <c r="AG784" s="78" t="b">
        <f t="shared" si="905"/>
        <v>0</v>
      </c>
      <c r="AH784" s="78" t="b">
        <f t="shared" si="906"/>
        <v>0</v>
      </c>
      <c r="AI784" s="78" t="b">
        <f t="shared" si="907"/>
        <v>0</v>
      </c>
      <c r="AJ784" s="78" t="b">
        <f t="shared" si="908"/>
        <v>0</v>
      </c>
      <c r="AK784" s="78" t="b">
        <f t="shared" si="909"/>
        <v>0</v>
      </c>
      <c r="AL784" s="78" t="b">
        <f t="shared" si="910"/>
        <v>0</v>
      </c>
      <c r="AM784" s="78" t="b">
        <f t="shared" si="911"/>
        <v>0</v>
      </c>
      <c r="AN784" s="78" t="b">
        <f t="shared" si="912"/>
        <v>0</v>
      </c>
      <c r="AO784" s="78" t="b">
        <f t="shared" si="913"/>
        <v>0</v>
      </c>
    </row>
    <row r="785" spans="7:41" x14ac:dyDescent="0.35">
      <c r="G785" s="77">
        <f t="shared" si="881"/>
        <v>0</v>
      </c>
      <c r="H785" s="78">
        <f t="shared" si="882"/>
        <v>0</v>
      </c>
      <c r="I785" s="77">
        <f t="shared" si="883"/>
        <v>0</v>
      </c>
      <c r="J785" s="78">
        <f t="shared" si="884"/>
        <v>0</v>
      </c>
      <c r="K785" s="78" t="str">
        <f t="shared" si="885"/>
        <v>1900-01-00 00:0:00</v>
      </c>
      <c r="L785" s="78" t="str">
        <f t="shared" si="886"/>
        <v>1900-01-00 00:0:00</v>
      </c>
      <c r="M785" s="79">
        <f t="shared" si="887"/>
        <v>0</v>
      </c>
      <c r="N785">
        <f t="shared" si="914"/>
        <v>1</v>
      </c>
      <c r="O785" t="str">
        <f>IFERROR(_xlfn.XLOOKUP(A785,HC!A:A,HC!C:C),"")</f>
        <v>Workforce</v>
      </c>
      <c r="R785" s="78" t="b">
        <f t="shared" si="890"/>
        <v>0</v>
      </c>
      <c r="S785" s="78" t="b">
        <f t="shared" si="891"/>
        <v>0</v>
      </c>
      <c r="T785" s="78" t="b">
        <f t="shared" si="892"/>
        <v>0</v>
      </c>
      <c r="U785" s="78" t="b">
        <f t="shared" si="893"/>
        <v>0</v>
      </c>
      <c r="V785" s="78" t="b">
        <f t="shared" si="894"/>
        <v>0</v>
      </c>
      <c r="W785" s="78" t="b">
        <f t="shared" si="895"/>
        <v>0</v>
      </c>
      <c r="X785" s="78" t="b">
        <f t="shared" si="896"/>
        <v>0</v>
      </c>
      <c r="Y785" s="78" t="b">
        <f t="shared" si="897"/>
        <v>0</v>
      </c>
      <c r="Z785" s="78" t="b">
        <f t="shared" si="898"/>
        <v>0</v>
      </c>
      <c r="AA785" s="78" t="b">
        <f t="shared" si="899"/>
        <v>0</v>
      </c>
      <c r="AB785" s="78" t="b">
        <f t="shared" si="900"/>
        <v>0</v>
      </c>
      <c r="AC785" s="78" t="b">
        <f t="shared" si="901"/>
        <v>0</v>
      </c>
      <c r="AD785" s="78" t="b">
        <f t="shared" si="902"/>
        <v>0</v>
      </c>
      <c r="AE785" s="78" t="b">
        <f t="shared" si="903"/>
        <v>0</v>
      </c>
      <c r="AF785" s="78" t="b">
        <f t="shared" si="904"/>
        <v>0</v>
      </c>
      <c r="AG785" s="78" t="b">
        <f t="shared" si="905"/>
        <v>0</v>
      </c>
      <c r="AH785" s="78" t="b">
        <f t="shared" si="906"/>
        <v>0</v>
      </c>
      <c r="AI785" s="78" t="b">
        <f t="shared" si="907"/>
        <v>0</v>
      </c>
      <c r="AJ785" s="78" t="b">
        <f t="shared" si="908"/>
        <v>0</v>
      </c>
      <c r="AK785" s="78" t="b">
        <f t="shared" si="909"/>
        <v>0</v>
      </c>
      <c r="AL785" s="78" t="b">
        <f t="shared" si="910"/>
        <v>0</v>
      </c>
      <c r="AM785" s="78" t="b">
        <f t="shared" si="911"/>
        <v>0</v>
      </c>
      <c r="AN785" s="78" t="b">
        <f t="shared" si="912"/>
        <v>0</v>
      </c>
      <c r="AO785" s="78" t="b">
        <f t="shared" si="913"/>
        <v>0</v>
      </c>
    </row>
    <row r="786" spans="7:41" x14ac:dyDescent="0.35">
      <c r="G786" s="77">
        <f t="shared" si="881"/>
        <v>0</v>
      </c>
      <c r="H786" s="78">
        <f t="shared" si="882"/>
        <v>0</v>
      </c>
      <c r="I786" s="77">
        <f t="shared" si="883"/>
        <v>0</v>
      </c>
      <c r="J786" s="78">
        <f t="shared" si="884"/>
        <v>0</v>
      </c>
      <c r="K786" s="78" t="str">
        <f t="shared" si="885"/>
        <v>1900-01-00 00:0:00</v>
      </c>
      <c r="L786" s="78" t="str">
        <f t="shared" si="886"/>
        <v>1900-01-00 00:0:00</v>
      </c>
      <c r="M786" s="79">
        <f t="shared" si="887"/>
        <v>0</v>
      </c>
      <c r="N786">
        <f t="shared" si="914"/>
        <v>1</v>
      </c>
      <c r="O786" t="str">
        <f>IFERROR(_xlfn.XLOOKUP(A786,HC!A:A,HC!C:C),"")</f>
        <v>Workforce</v>
      </c>
      <c r="R786" s="78" t="b">
        <f t="shared" si="890"/>
        <v>0</v>
      </c>
      <c r="S786" s="78" t="b">
        <f t="shared" si="891"/>
        <v>0</v>
      </c>
      <c r="T786" s="78" t="b">
        <f t="shared" si="892"/>
        <v>0</v>
      </c>
      <c r="U786" s="78" t="b">
        <f t="shared" si="893"/>
        <v>0</v>
      </c>
      <c r="V786" s="78" t="b">
        <f t="shared" si="894"/>
        <v>0</v>
      </c>
      <c r="W786" s="78" t="b">
        <f t="shared" si="895"/>
        <v>0</v>
      </c>
      <c r="X786" s="78" t="b">
        <f t="shared" si="896"/>
        <v>0</v>
      </c>
      <c r="Y786" s="78" t="b">
        <f t="shared" si="897"/>
        <v>0</v>
      </c>
      <c r="Z786" s="78" t="b">
        <f t="shared" si="898"/>
        <v>0</v>
      </c>
      <c r="AA786" s="78" t="b">
        <f t="shared" si="899"/>
        <v>0</v>
      </c>
      <c r="AB786" s="78" t="b">
        <f t="shared" si="900"/>
        <v>0</v>
      </c>
      <c r="AC786" s="78" t="b">
        <f t="shared" si="901"/>
        <v>0</v>
      </c>
      <c r="AD786" s="78" t="b">
        <f t="shared" si="902"/>
        <v>0</v>
      </c>
      <c r="AE786" s="78" t="b">
        <f t="shared" si="903"/>
        <v>0</v>
      </c>
      <c r="AF786" s="78" t="b">
        <f t="shared" si="904"/>
        <v>0</v>
      </c>
      <c r="AG786" s="78" t="b">
        <f t="shared" si="905"/>
        <v>0</v>
      </c>
      <c r="AH786" s="78" t="b">
        <f t="shared" si="906"/>
        <v>0</v>
      </c>
      <c r="AI786" s="78" t="b">
        <f t="shared" si="907"/>
        <v>0</v>
      </c>
      <c r="AJ786" s="78" t="b">
        <f t="shared" si="908"/>
        <v>0</v>
      </c>
      <c r="AK786" s="78" t="b">
        <f t="shared" si="909"/>
        <v>0</v>
      </c>
      <c r="AL786" s="78" t="b">
        <f t="shared" si="910"/>
        <v>0</v>
      </c>
      <c r="AM786" s="78" t="b">
        <f t="shared" si="911"/>
        <v>0</v>
      </c>
      <c r="AN786" s="78" t="b">
        <f t="shared" si="912"/>
        <v>0</v>
      </c>
      <c r="AO786" s="78" t="b">
        <f t="shared" si="913"/>
        <v>0</v>
      </c>
    </row>
    <row r="787" spans="7:41" x14ac:dyDescent="0.35">
      <c r="G787" s="77">
        <f t="shared" si="881"/>
        <v>0</v>
      </c>
      <c r="H787" s="78">
        <f t="shared" si="882"/>
        <v>0</v>
      </c>
      <c r="I787" s="77">
        <f t="shared" si="883"/>
        <v>0</v>
      </c>
      <c r="J787" s="78">
        <f t="shared" si="884"/>
        <v>0</v>
      </c>
      <c r="K787" s="78" t="str">
        <f t="shared" si="885"/>
        <v>1900-01-00 00:0:00</v>
      </c>
      <c r="L787" s="78" t="str">
        <f t="shared" si="886"/>
        <v>1900-01-00 00:0:00</v>
      </c>
      <c r="M787" s="79">
        <f t="shared" si="887"/>
        <v>0</v>
      </c>
      <c r="N787">
        <f t="shared" si="914"/>
        <v>1</v>
      </c>
      <c r="O787" t="str">
        <f>IFERROR(_xlfn.XLOOKUP(A787,HC!A:A,HC!C:C),"")</f>
        <v>Workforce</v>
      </c>
      <c r="R787" s="78" t="b">
        <f t="shared" si="890"/>
        <v>0</v>
      </c>
      <c r="S787" s="78" t="b">
        <f t="shared" si="891"/>
        <v>0</v>
      </c>
      <c r="T787" s="78" t="b">
        <f t="shared" si="892"/>
        <v>0</v>
      </c>
      <c r="U787" s="78" t="b">
        <f t="shared" si="893"/>
        <v>0</v>
      </c>
      <c r="V787" s="78" t="b">
        <f t="shared" si="894"/>
        <v>0</v>
      </c>
      <c r="W787" s="78" t="b">
        <f t="shared" si="895"/>
        <v>0</v>
      </c>
      <c r="X787" s="78" t="b">
        <f t="shared" si="896"/>
        <v>0</v>
      </c>
      <c r="Y787" s="78" t="b">
        <f t="shared" si="897"/>
        <v>0</v>
      </c>
      <c r="Z787" s="78" t="b">
        <f t="shared" si="898"/>
        <v>0</v>
      </c>
      <c r="AA787" s="78" t="b">
        <f t="shared" si="899"/>
        <v>0</v>
      </c>
      <c r="AB787" s="78" t="b">
        <f t="shared" si="900"/>
        <v>0</v>
      </c>
      <c r="AC787" s="78" t="b">
        <f t="shared" si="901"/>
        <v>0</v>
      </c>
      <c r="AD787" s="78" t="b">
        <f t="shared" si="902"/>
        <v>0</v>
      </c>
      <c r="AE787" s="78" t="b">
        <f t="shared" si="903"/>
        <v>0</v>
      </c>
      <c r="AF787" s="78" t="b">
        <f t="shared" si="904"/>
        <v>0</v>
      </c>
      <c r="AG787" s="78" t="b">
        <f t="shared" si="905"/>
        <v>0</v>
      </c>
      <c r="AH787" s="78" t="b">
        <f t="shared" si="906"/>
        <v>0</v>
      </c>
      <c r="AI787" s="78" t="b">
        <f t="shared" si="907"/>
        <v>0</v>
      </c>
      <c r="AJ787" s="78" t="b">
        <f t="shared" si="908"/>
        <v>0</v>
      </c>
      <c r="AK787" s="78" t="b">
        <f t="shared" si="909"/>
        <v>0</v>
      </c>
      <c r="AL787" s="78" t="b">
        <f t="shared" si="910"/>
        <v>0</v>
      </c>
      <c r="AM787" s="78" t="b">
        <f t="shared" si="911"/>
        <v>0</v>
      </c>
      <c r="AN787" s="78" t="b">
        <f t="shared" si="912"/>
        <v>0</v>
      </c>
      <c r="AO787" s="78" t="b">
        <f t="shared" si="913"/>
        <v>0</v>
      </c>
    </row>
    <row r="788" spans="7:41" x14ac:dyDescent="0.35">
      <c r="G788" s="77">
        <f t="shared" si="881"/>
        <v>0</v>
      </c>
      <c r="H788" s="78">
        <f t="shared" si="882"/>
        <v>0</v>
      </c>
      <c r="I788" s="77">
        <f t="shared" si="883"/>
        <v>0</v>
      </c>
      <c r="J788" s="78">
        <f t="shared" si="884"/>
        <v>0</v>
      </c>
      <c r="K788" s="78" t="str">
        <f t="shared" si="885"/>
        <v>1900-01-00 00:0:00</v>
      </c>
      <c r="L788" s="78" t="str">
        <f t="shared" si="886"/>
        <v>1900-01-00 00:0:00</v>
      </c>
      <c r="M788" s="79">
        <f t="shared" si="887"/>
        <v>0</v>
      </c>
      <c r="N788">
        <f t="shared" si="914"/>
        <v>1</v>
      </c>
      <c r="O788" t="str">
        <f>IFERROR(_xlfn.XLOOKUP(A788,HC!A:A,HC!C:C),"")</f>
        <v>Workforce</v>
      </c>
      <c r="R788" s="78" t="b">
        <f t="shared" si="890"/>
        <v>0</v>
      </c>
      <c r="S788" s="78" t="b">
        <f t="shared" si="891"/>
        <v>0</v>
      </c>
      <c r="T788" s="78" t="b">
        <f t="shared" si="892"/>
        <v>0</v>
      </c>
      <c r="U788" s="78" t="b">
        <f t="shared" si="893"/>
        <v>0</v>
      </c>
      <c r="V788" s="78" t="b">
        <f t="shared" si="894"/>
        <v>0</v>
      </c>
      <c r="W788" s="78" t="b">
        <f t="shared" si="895"/>
        <v>0</v>
      </c>
      <c r="X788" s="78" t="b">
        <f t="shared" si="896"/>
        <v>0</v>
      </c>
      <c r="Y788" s="78" t="b">
        <f t="shared" si="897"/>
        <v>0</v>
      </c>
      <c r="Z788" s="78" t="b">
        <f t="shared" si="898"/>
        <v>0</v>
      </c>
      <c r="AA788" s="78" t="b">
        <f t="shared" si="899"/>
        <v>0</v>
      </c>
      <c r="AB788" s="78" t="b">
        <f t="shared" si="900"/>
        <v>0</v>
      </c>
      <c r="AC788" s="78" t="b">
        <f t="shared" si="901"/>
        <v>0</v>
      </c>
      <c r="AD788" s="78" t="b">
        <f t="shared" si="902"/>
        <v>0</v>
      </c>
      <c r="AE788" s="78" t="b">
        <f t="shared" si="903"/>
        <v>0</v>
      </c>
      <c r="AF788" s="78" t="b">
        <f t="shared" si="904"/>
        <v>0</v>
      </c>
      <c r="AG788" s="78" t="b">
        <f t="shared" si="905"/>
        <v>0</v>
      </c>
      <c r="AH788" s="78" t="b">
        <f t="shared" si="906"/>
        <v>0</v>
      </c>
      <c r="AI788" s="78" t="b">
        <f t="shared" si="907"/>
        <v>0</v>
      </c>
      <c r="AJ788" s="78" t="b">
        <f t="shared" si="908"/>
        <v>0</v>
      </c>
      <c r="AK788" s="78" t="b">
        <f t="shared" si="909"/>
        <v>0</v>
      </c>
      <c r="AL788" s="78" t="b">
        <f t="shared" si="910"/>
        <v>0</v>
      </c>
      <c r="AM788" s="78" t="b">
        <f t="shared" si="911"/>
        <v>0</v>
      </c>
      <c r="AN788" s="78" t="b">
        <f t="shared" si="912"/>
        <v>0</v>
      </c>
      <c r="AO788" s="78" t="b">
        <f t="shared" si="913"/>
        <v>0</v>
      </c>
    </row>
    <row r="789" spans="7:41" x14ac:dyDescent="0.35">
      <c r="G789" s="77">
        <f t="shared" si="881"/>
        <v>0</v>
      </c>
      <c r="H789" s="78">
        <f t="shared" si="882"/>
        <v>0</v>
      </c>
      <c r="I789" s="77">
        <f t="shared" si="883"/>
        <v>0</v>
      </c>
      <c r="J789" s="78">
        <f t="shared" si="884"/>
        <v>0</v>
      </c>
      <c r="K789" s="78" t="str">
        <f t="shared" si="885"/>
        <v>1900-01-00 00:0:00</v>
      </c>
      <c r="L789" s="78" t="str">
        <f t="shared" si="886"/>
        <v>1900-01-00 00:0:00</v>
      </c>
      <c r="M789" s="79">
        <f t="shared" si="887"/>
        <v>0</v>
      </c>
      <c r="N789">
        <f t="shared" si="914"/>
        <v>1</v>
      </c>
      <c r="O789" t="str">
        <f>IFERROR(_xlfn.XLOOKUP(A789,HC!A:A,HC!C:C),"")</f>
        <v>Workforce</v>
      </c>
      <c r="R789" s="78" t="b">
        <f t="shared" si="890"/>
        <v>0</v>
      </c>
      <c r="S789" s="78" t="b">
        <f t="shared" si="891"/>
        <v>0</v>
      </c>
      <c r="T789" s="78" t="b">
        <f t="shared" si="892"/>
        <v>0</v>
      </c>
      <c r="U789" s="78" t="b">
        <f t="shared" si="893"/>
        <v>0</v>
      </c>
      <c r="V789" s="78" t="b">
        <f t="shared" si="894"/>
        <v>0</v>
      </c>
      <c r="W789" s="78" t="b">
        <f t="shared" si="895"/>
        <v>0</v>
      </c>
      <c r="X789" s="78" t="b">
        <f t="shared" si="896"/>
        <v>0</v>
      </c>
      <c r="Y789" s="78" t="b">
        <f t="shared" si="897"/>
        <v>0</v>
      </c>
      <c r="Z789" s="78" t="b">
        <f t="shared" si="898"/>
        <v>0</v>
      </c>
      <c r="AA789" s="78" t="b">
        <f t="shared" si="899"/>
        <v>0</v>
      </c>
      <c r="AB789" s="78" t="b">
        <f t="shared" si="900"/>
        <v>0</v>
      </c>
      <c r="AC789" s="78" t="b">
        <f t="shared" si="901"/>
        <v>0</v>
      </c>
      <c r="AD789" s="78" t="b">
        <f t="shared" si="902"/>
        <v>0</v>
      </c>
      <c r="AE789" s="78" t="b">
        <f t="shared" si="903"/>
        <v>0</v>
      </c>
      <c r="AF789" s="78" t="b">
        <f t="shared" si="904"/>
        <v>0</v>
      </c>
      <c r="AG789" s="78" t="b">
        <f t="shared" si="905"/>
        <v>0</v>
      </c>
      <c r="AH789" s="78" t="b">
        <f t="shared" si="906"/>
        <v>0</v>
      </c>
      <c r="AI789" s="78" t="b">
        <f t="shared" si="907"/>
        <v>0</v>
      </c>
      <c r="AJ789" s="78" t="b">
        <f t="shared" si="908"/>
        <v>0</v>
      </c>
      <c r="AK789" s="78" t="b">
        <f t="shared" si="909"/>
        <v>0</v>
      </c>
      <c r="AL789" s="78" t="b">
        <f t="shared" si="910"/>
        <v>0</v>
      </c>
      <c r="AM789" s="78" t="b">
        <f t="shared" si="911"/>
        <v>0</v>
      </c>
      <c r="AN789" s="78" t="b">
        <f t="shared" si="912"/>
        <v>0</v>
      </c>
      <c r="AO789" s="78" t="b">
        <f t="shared" si="913"/>
        <v>0</v>
      </c>
    </row>
    <row r="790" spans="7:41" x14ac:dyDescent="0.35">
      <c r="G790" s="77">
        <f t="shared" si="881"/>
        <v>0</v>
      </c>
      <c r="H790" s="78">
        <f t="shared" si="882"/>
        <v>0</v>
      </c>
      <c r="I790" s="77">
        <f t="shared" si="883"/>
        <v>0</v>
      </c>
      <c r="J790" s="78">
        <f t="shared" si="884"/>
        <v>0</v>
      </c>
      <c r="K790" s="78" t="str">
        <f t="shared" si="885"/>
        <v>1900-01-00 00:0:00</v>
      </c>
      <c r="L790" s="78" t="str">
        <f t="shared" si="886"/>
        <v>1900-01-00 00:0:00</v>
      </c>
      <c r="M790" s="79">
        <f t="shared" si="887"/>
        <v>0</v>
      </c>
      <c r="N790">
        <f t="shared" si="914"/>
        <v>1</v>
      </c>
      <c r="O790" t="str">
        <f>IFERROR(_xlfn.XLOOKUP(A790,HC!A:A,HC!C:C),"")</f>
        <v>Workforce</v>
      </c>
      <c r="R790" s="78" t="b">
        <f t="shared" si="890"/>
        <v>0</v>
      </c>
      <c r="S790" s="78" t="b">
        <f t="shared" si="891"/>
        <v>0</v>
      </c>
      <c r="T790" s="78" t="b">
        <f t="shared" si="892"/>
        <v>0</v>
      </c>
      <c r="U790" s="78" t="b">
        <f t="shared" si="893"/>
        <v>0</v>
      </c>
      <c r="V790" s="78" t="b">
        <f t="shared" si="894"/>
        <v>0</v>
      </c>
      <c r="W790" s="78" t="b">
        <f t="shared" si="895"/>
        <v>0</v>
      </c>
      <c r="X790" s="78" t="b">
        <f t="shared" si="896"/>
        <v>0</v>
      </c>
      <c r="Y790" s="78" t="b">
        <f t="shared" si="897"/>
        <v>0</v>
      </c>
      <c r="Z790" s="78" t="b">
        <f t="shared" si="898"/>
        <v>0</v>
      </c>
      <c r="AA790" s="78" t="b">
        <f t="shared" si="899"/>
        <v>0</v>
      </c>
      <c r="AB790" s="78" t="b">
        <f t="shared" si="900"/>
        <v>0</v>
      </c>
      <c r="AC790" s="78" t="b">
        <f t="shared" si="901"/>
        <v>0</v>
      </c>
      <c r="AD790" s="78" t="b">
        <f t="shared" si="902"/>
        <v>0</v>
      </c>
      <c r="AE790" s="78" t="b">
        <f t="shared" si="903"/>
        <v>0</v>
      </c>
      <c r="AF790" s="78" t="b">
        <f t="shared" si="904"/>
        <v>0</v>
      </c>
      <c r="AG790" s="78" t="b">
        <f t="shared" si="905"/>
        <v>0</v>
      </c>
      <c r="AH790" s="78" t="b">
        <f t="shared" si="906"/>
        <v>0</v>
      </c>
      <c r="AI790" s="78" t="b">
        <f t="shared" si="907"/>
        <v>0</v>
      </c>
      <c r="AJ790" s="78" t="b">
        <f t="shared" si="908"/>
        <v>0</v>
      </c>
      <c r="AK790" s="78" t="b">
        <f t="shared" si="909"/>
        <v>0</v>
      </c>
      <c r="AL790" s="78" t="b">
        <f t="shared" si="910"/>
        <v>0</v>
      </c>
      <c r="AM790" s="78" t="b">
        <f t="shared" si="911"/>
        <v>0</v>
      </c>
      <c r="AN790" s="78" t="b">
        <f t="shared" si="912"/>
        <v>0</v>
      </c>
      <c r="AO790" s="78" t="b">
        <f t="shared" si="913"/>
        <v>0</v>
      </c>
    </row>
    <row r="791" spans="7:41" x14ac:dyDescent="0.35">
      <c r="G791" s="77">
        <f t="shared" si="881"/>
        <v>0</v>
      </c>
      <c r="H791" s="78">
        <f t="shared" si="882"/>
        <v>0</v>
      </c>
      <c r="I791" s="77">
        <f t="shared" si="883"/>
        <v>0</v>
      </c>
      <c r="J791" s="78">
        <f t="shared" si="884"/>
        <v>0</v>
      </c>
      <c r="K791" s="78" t="str">
        <f t="shared" si="885"/>
        <v>1900-01-00 00:0:00</v>
      </c>
      <c r="L791" s="78" t="str">
        <f t="shared" si="886"/>
        <v>1900-01-00 00:0:00</v>
      </c>
      <c r="M791" s="79">
        <f t="shared" si="887"/>
        <v>0</v>
      </c>
      <c r="N791">
        <f t="shared" si="914"/>
        <v>1</v>
      </c>
      <c r="O791" t="str">
        <f>IFERROR(_xlfn.XLOOKUP(A791,HC!A:A,HC!C:C),"")</f>
        <v>Workforce</v>
      </c>
      <c r="R791" s="78" t="b">
        <f t="shared" si="890"/>
        <v>0</v>
      </c>
      <c r="S791" s="78" t="b">
        <f t="shared" si="891"/>
        <v>0</v>
      </c>
      <c r="T791" s="78" t="b">
        <f t="shared" si="892"/>
        <v>0</v>
      </c>
      <c r="U791" s="78" t="b">
        <f t="shared" si="893"/>
        <v>0</v>
      </c>
      <c r="V791" s="78" t="b">
        <f t="shared" si="894"/>
        <v>0</v>
      </c>
      <c r="W791" s="78" t="b">
        <f t="shared" si="895"/>
        <v>0</v>
      </c>
      <c r="X791" s="78" t="b">
        <f t="shared" si="896"/>
        <v>0</v>
      </c>
      <c r="Y791" s="78" t="b">
        <f t="shared" si="897"/>
        <v>0</v>
      </c>
      <c r="Z791" s="78" t="b">
        <f t="shared" si="898"/>
        <v>0</v>
      </c>
      <c r="AA791" s="78" t="b">
        <f t="shared" si="899"/>
        <v>0</v>
      </c>
      <c r="AB791" s="78" t="b">
        <f t="shared" si="900"/>
        <v>0</v>
      </c>
      <c r="AC791" s="78" t="b">
        <f t="shared" si="901"/>
        <v>0</v>
      </c>
      <c r="AD791" s="78" t="b">
        <f t="shared" si="902"/>
        <v>0</v>
      </c>
      <c r="AE791" s="78" t="b">
        <f t="shared" si="903"/>
        <v>0</v>
      </c>
      <c r="AF791" s="78" t="b">
        <f t="shared" si="904"/>
        <v>0</v>
      </c>
      <c r="AG791" s="78" t="b">
        <f t="shared" si="905"/>
        <v>0</v>
      </c>
      <c r="AH791" s="78" t="b">
        <f t="shared" si="906"/>
        <v>0</v>
      </c>
      <c r="AI791" s="78" t="b">
        <f t="shared" si="907"/>
        <v>0</v>
      </c>
      <c r="AJ791" s="78" t="b">
        <f t="shared" si="908"/>
        <v>0</v>
      </c>
      <c r="AK791" s="78" t="b">
        <f t="shared" si="909"/>
        <v>0</v>
      </c>
      <c r="AL791" s="78" t="b">
        <f t="shared" si="910"/>
        <v>0</v>
      </c>
      <c r="AM791" s="78" t="b">
        <f t="shared" si="911"/>
        <v>0</v>
      </c>
      <c r="AN791" s="78" t="b">
        <f t="shared" si="912"/>
        <v>0</v>
      </c>
      <c r="AO791" s="78" t="b">
        <f t="shared" si="913"/>
        <v>0</v>
      </c>
    </row>
    <row r="792" spans="7:41" x14ac:dyDescent="0.35">
      <c r="G792" s="77">
        <f t="shared" si="881"/>
        <v>0</v>
      </c>
      <c r="H792" s="78">
        <f t="shared" si="882"/>
        <v>0</v>
      </c>
      <c r="I792" s="77">
        <f t="shared" si="883"/>
        <v>0</v>
      </c>
      <c r="J792" s="78">
        <f t="shared" si="884"/>
        <v>0</v>
      </c>
      <c r="K792" s="78" t="str">
        <f t="shared" si="885"/>
        <v>1900-01-00 00:0:00</v>
      </c>
      <c r="L792" s="78" t="str">
        <f t="shared" si="886"/>
        <v>1900-01-00 00:0:00</v>
      </c>
      <c r="M792" s="79">
        <f t="shared" si="887"/>
        <v>0</v>
      </c>
      <c r="N792">
        <f t="shared" si="914"/>
        <v>1</v>
      </c>
      <c r="O792" t="str">
        <f>IFERROR(_xlfn.XLOOKUP(A792,HC!A:A,HC!C:C),"")</f>
        <v>Workforce</v>
      </c>
      <c r="R792" s="78" t="b">
        <f t="shared" si="890"/>
        <v>0</v>
      </c>
      <c r="S792" s="78" t="b">
        <f t="shared" si="891"/>
        <v>0</v>
      </c>
      <c r="T792" s="78" t="b">
        <f t="shared" si="892"/>
        <v>0</v>
      </c>
      <c r="U792" s="78" t="b">
        <f t="shared" si="893"/>
        <v>0</v>
      </c>
      <c r="V792" s="78" t="b">
        <f t="shared" si="894"/>
        <v>0</v>
      </c>
      <c r="W792" s="78" t="b">
        <f t="shared" si="895"/>
        <v>0</v>
      </c>
      <c r="X792" s="78" t="b">
        <f t="shared" si="896"/>
        <v>0</v>
      </c>
      <c r="Y792" s="78" t="b">
        <f t="shared" si="897"/>
        <v>0</v>
      </c>
      <c r="Z792" s="78" t="b">
        <f t="shared" si="898"/>
        <v>0</v>
      </c>
      <c r="AA792" s="78" t="b">
        <f t="shared" si="899"/>
        <v>0</v>
      </c>
      <c r="AB792" s="78" t="b">
        <f t="shared" si="900"/>
        <v>0</v>
      </c>
      <c r="AC792" s="78" t="b">
        <f t="shared" si="901"/>
        <v>0</v>
      </c>
      <c r="AD792" s="78" t="b">
        <f t="shared" si="902"/>
        <v>0</v>
      </c>
      <c r="AE792" s="78" t="b">
        <f t="shared" si="903"/>
        <v>0</v>
      </c>
      <c r="AF792" s="78" t="b">
        <f t="shared" si="904"/>
        <v>0</v>
      </c>
      <c r="AG792" s="78" t="b">
        <f t="shared" si="905"/>
        <v>0</v>
      </c>
      <c r="AH792" s="78" t="b">
        <f t="shared" si="906"/>
        <v>0</v>
      </c>
      <c r="AI792" s="78" t="b">
        <f t="shared" si="907"/>
        <v>0</v>
      </c>
      <c r="AJ792" s="78" t="b">
        <f t="shared" si="908"/>
        <v>0</v>
      </c>
      <c r="AK792" s="78" t="b">
        <f t="shared" si="909"/>
        <v>0</v>
      </c>
      <c r="AL792" s="78" t="b">
        <f t="shared" si="910"/>
        <v>0</v>
      </c>
      <c r="AM792" s="78" t="b">
        <f t="shared" si="911"/>
        <v>0</v>
      </c>
      <c r="AN792" s="78" t="b">
        <f t="shared" si="912"/>
        <v>0</v>
      </c>
      <c r="AO792" s="78" t="b">
        <f t="shared" si="913"/>
        <v>0</v>
      </c>
    </row>
    <row r="793" spans="7:41" x14ac:dyDescent="0.35">
      <c r="G793" s="77">
        <f t="shared" si="881"/>
        <v>0</v>
      </c>
      <c r="H793" s="78">
        <f t="shared" si="882"/>
        <v>0</v>
      </c>
      <c r="I793" s="77">
        <f t="shared" si="883"/>
        <v>0</v>
      </c>
      <c r="J793" s="78">
        <f t="shared" si="884"/>
        <v>0</v>
      </c>
      <c r="K793" s="78" t="str">
        <f t="shared" si="885"/>
        <v>1900-01-00 00:0:00</v>
      </c>
      <c r="L793" s="78" t="str">
        <f t="shared" si="886"/>
        <v>1900-01-00 00:0:00</v>
      </c>
      <c r="M793" s="79">
        <f t="shared" si="887"/>
        <v>0</v>
      </c>
      <c r="N793">
        <f t="shared" si="914"/>
        <v>1</v>
      </c>
      <c r="O793" t="str">
        <f>IFERROR(_xlfn.XLOOKUP(A793,HC!A:A,HC!C:C),"")</f>
        <v>Workforce</v>
      </c>
      <c r="R793" s="78" t="b">
        <f t="shared" si="890"/>
        <v>0</v>
      </c>
      <c r="S793" s="78" t="b">
        <f t="shared" si="891"/>
        <v>0</v>
      </c>
      <c r="T793" s="78" t="b">
        <f t="shared" si="892"/>
        <v>0</v>
      </c>
      <c r="U793" s="78" t="b">
        <f t="shared" si="893"/>
        <v>0</v>
      </c>
      <c r="V793" s="78" t="b">
        <f t="shared" si="894"/>
        <v>0</v>
      </c>
      <c r="W793" s="78" t="b">
        <f t="shared" si="895"/>
        <v>0</v>
      </c>
      <c r="X793" s="78" t="b">
        <f t="shared" si="896"/>
        <v>0</v>
      </c>
      <c r="Y793" s="78" t="b">
        <f t="shared" si="897"/>
        <v>0</v>
      </c>
      <c r="Z793" s="78" t="b">
        <f t="shared" si="898"/>
        <v>0</v>
      </c>
      <c r="AA793" s="78" t="b">
        <f t="shared" si="899"/>
        <v>0</v>
      </c>
      <c r="AB793" s="78" t="b">
        <f t="shared" si="900"/>
        <v>0</v>
      </c>
      <c r="AC793" s="78" t="b">
        <f t="shared" si="901"/>
        <v>0</v>
      </c>
      <c r="AD793" s="78" t="b">
        <f t="shared" si="902"/>
        <v>0</v>
      </c>
      <c r="AE793" s="78" t="b">
        <f t="shared" si="903"/>
        <v>0</v>
      </c>
      <c r="AF793" s="78" t="b">
        <f t="shared" si="904"/>
        <v>0</v>
      </c>
      <c r="AG793" s="78" t="b">
        <f t="shared" si="905"/>
        <v>0</v>
      </c>
      <c r="AH793" s="78" t="b">
        <f t="shared" si="906"/>
        <v>0</v>
      </c>
      <c r="AI793" s="78" t="b">
        <f t="shared" si="907"/>
        <v>0</v>
      </c>
      <c r="AJ793" s="78" t="b">
        <f t="shared" si="908"/>
        <v>0</v>
      </c>
      <c r="AK793" s="78" t="b">
        <f t="shared" si="909"/>
        <v>0</v>
      </c>
      <c r="AL793" s="78" t="b">
        <f t="shared" si="910"/>
        <v>0</v>
      </c>
      <c r="AM793" s="78" t="b">
        <f t="shared" si="911"/>
        <v>0</v>
      </c>
      <c r="AN793" s="78" t="b">
        <f t="shared" si="912"/>
        <v>0</v>
      </c>
      <c r="AO793" s="78" t="b">
        <f t="shared" si="913"/>
        <v>0</v>
      </c>
    </row>
    <row r="794" spans="7:41" x14ac:dyDescent="0.35">
      <c r="G794" s="77">
        <f t="shared" si="881"/>
        <v>0</v>
      </c>
      <c r="H794" s="78">
        <f t="shared" si="882"/>
        <v>0</v>
      </c>
      <c r="I794" s="77">
        <f t="shared" si="883"/>
        <v>0</v>
      </c>
      <c r="J794" s="78">
        <f t="shared" si="884"/>
        <v>0</v>
      </c>
      <c r="K794" s="78" t="str">
        <f t="shared" si="885"/>
        <v>1900-01-00 00:0:00</v>
      </c>
      <c r="L794" s="78" t="str">
        <f t="shared" si="886"/>
        <v>1900-01-00 00:0:00</v>
      </c>
      <c r="M794" s="79">
        <f t="shared" si="887"/>
        <v>0</v>
      </c>
      <c r="N794">
        <f t="shared" si="914"/>
        <v>1</v>
      </c>
      <c r="O794" t="str">
        <f>IFERROR(_xlfn.XLOOKUP(A794,HC!A:A,HC!C:C),"")</f>
        <v>Workforce</v>
      </c>
      <c r="R794" s="78" t="b">
        <f t="shared" si="890"/>
        <v>0</v>
      </c>
      <c r="S794" s="78" t="b">
        <f t="shared" si="891"/>
        <v>0</v>
      </c>
      <c r="T794" s="78" t="b">
        <f t="shared" si="892"/>
        <v>0</v>
      </c>
      <c r="U794" s="78" t="b">
        <f t="shared" si="893"/>
        <v>0</v>
      </c>
      <c r="V794" s="78" t="b">
        <f t="shared" si="894"/>
        <v>0</v>
      </c>
      <c r="W794" s="78" t="b">
        <f t="shared" si="895"/>
        <v>0</v>
      </c>
      <c r="X794" s="78" t="b">
        <f t="shared" si="896"/>
        <v>0</v>
      </c>
      <c r="Y794" s="78" t="b">
        <f t="shared" si="897"/>
        <v>0</v>
      </c>
      <c r="Z794" s="78" t="b">
        <f t="shared" si="898"/>
        <v>0</v>
      </c>
      <c r="AA794" s="78" t="b">
        <f t="shared" si="899"/>
        <v>0</v>
      </c>
      <c r="AB794" s="78" t="b">
        <f t="shared" si="900"/>
        <v>0</v>
      </c>
      <c r="AC794" s="78" t="b">
        <f t="shared" si="901"/>
        <v>0</v>
      </c>
      <c r="AD794" s="78" t="b">
        <f t="shared" si="902"/>
        <v>0</v>
      </c>
      <c r="AE794" s="78" t="b">
        <f t="shared" si="903"/>
        <v>0</v>
      </c>
      <c r="AF794" s="78" t="b">
        <f t="shared" si="904"/>
        <v>0</v>
      </c>
      <c r="AG794" s="78" t="b">
        <f t="shared" si="905"/>
        <v>0</v>
      </c>
      <c r="AH794" s="78" t="b">
        <f t="shared" si="906"/>
        <v>0</v>
      </c>
      <c r="AI794" s="78" t="b">
        <f t="shared" si="907"/>
        <v>0</v>
      </c>
      <c r="AJ794" s="78" t="b">
        <f t="shared" si="908"/>
        <v>0</v>
      </c>
      <c r="AK794" s="78" t="b">
        <f t="shared" si="909"/>
        <v>0</v>
      </c>
      <c r="AL794" s="78" t="b">
        <f t="shared" si="910"/>
        <v>0</v>
      </c>
      <c r="AM794" s="78" t="b">
        <f t="shared" si="911"/>
        <v>0</v>
      </c>
      <c r="AN794" s="78" t="b">
        <f t="shared" si="912"/>
        <v>0</v>
      </c>
      <c r="AO794" s="78" t="b">
        <f t="shared" si="913"/>
        <v>0</v>
      </c>
    </row>
    <row r="795" spans="7:41" x14ac:dyDescent="0.35">
      <c r="G795" s="77">
        <f t="shared" si="881"/>
        <v>0</v>
      </c>
      <c r="H795" s="78">
        <f t="shared" si="882"/>
        <v>0</v>
      </c>
      <c r="I795" s="77">
        <f t="shared" si="883"/>
        <v>0</v>
      </c>
      <c r="J795" s="78">
        <f t="shared" si="884"/>
        <v>0</v>
      </c>
      <c r="K795" s="78" t="str">
        <f t="shared" si="885"/>
        <v>1900-01-00 00:0:00</v>
      </c>
      <c r="L795" s="78" t="str">
        <f t="shared" si="886"/>
        <v>1900-01-00 00:0:00</v>
      </c>
      <c r="M795" s="79">
        <f t="shared" si="887"/>
        <v>0</v>
      </c>
      <c r="N795">
        <f t="shared" si="914"/>
        <v>1</v>
      </c>
      <c r="O795" t="str">
        <f>IFERROR(_xlfn.XLOOKUP(A795,HC!A:A,HC!C:C),"")</f>
        <v>Workforce</v>
      </c>
      <c r="R795" s="78" t="b">
        <f t="shared" si="890"/>
        <v>0</v>
      </c>
      <c r="S795" s="78" t="b">
        <f t="shared" si="891"/>
        <v>0</v>
      </c>
      <c r="T795" s="78" t="b">
        <f t="shared" si="892"/>
        <v>0</v>
      </c>
      <c r="U795" s="78" t="b">
        <f t="shared" si="893"/>
        <v>0</v>
      </c>
      <c r="V795" s="78" t="b">
        <f t="shared" si="894"/>
        <v>0</v>
      </c>
      <c r="W795" s="78" t="b">
        <f t="shared" si="895"/>
        <v>0</v>
      </c>
      <c r="X795" s="78" t="b">
        <f t="shared" si="896"/>
        <v>0</v>
      </c>
      <c r="Y795" s="78" t="b">
        <f t="shared" si="897"/>
        <v>0</v>
      </c>
      <c r="Z795" s="78" t="b">
        <f t="shared" si="898"/>
        <v>0</v>
      </c>
      <c r="AA795" s="78" t="b">
        <f t="shared" si="899"/>
        <v>0</v>
      </c>
      <c r="AB795" s="78" t="b">
        <f t="shared" si="900"/>
        <v>0</v>
      </c>
      <c r="AC795" s="78" t="b">
        <f t="shared" si="901"/>
        <v>0</v>
      </c>
      <c r="AD795" s="78" t="b">
        <f t="shared" si="902"/>
        <v>0</v>
      </c>
      <c r="AE795" s="78" t="b">
        <f t="shared" si="903"/>
        <v>0</v>
      </c>
      <c r="AF795" s="78" t="b">
        <f t="shared" si="904"/>
        <v>0</v>
      </c>
      <c r="AG795" s="78" t="b">
        <f t="shared" si="905"/>
        <v>0</v>
      </c>
      <c r="AH795" s="78" t="b">
        <f t="shared" si="906"/>
        <v>0</v>
      </c>
      <c r="AI795" s="78" t="b">
        <f t="shared" si="907"/>
        <v>0</v>
      </c>
      <c r="AJ795" s="78" t="b">
        <f t="shared" si="908"/>
        <v>0</v>
      </c>
      <c r="AK795" s="78" t="b">
        <f t="shared" si="909"/>
        <v>0</v>
      </c>
      <c r="AL795" s="78" t="b">
        <f t="shared" si="910"/>
        <v>0</v>
      </c>
      <c r="AM795" s="78" t="b">
        <f t="shared" si="911"/>
        <v>0</v>
      </c>
      <c r="AN795" s="78" t="b">
        <f t="shared" si="912"/>
        <v>0</v>
      </c>
      <c r="AO795" s="78" t="b">
        <f t="shared" si="913"/>
        <v>0</v>
      </c>
    </row>
    <row r="796" spans="7:41" x14ac:dyDescent="0.35">
      <c r="G796" s="77">
        <f t="shared" si="881"/>
        <v>0</v>
      </c>
      <c r="H796" s="78">
        <f t="shared" si="882"/>
        <v>0</v>
      </c>
      <c r="I796" s="77">
        <f t="shared" si="883"/>
        <v>0</v>
      </c>
      <c r="J796" s="78">
        <f t="shared" si="884"/>
        <v>0</v>
      </c>
      <c r="K796" s="78" t="str">
        <f t="shared" si="885"/>
        <v>1900-01-00 00:0:00</v>
      </c>
      <c r="L796" s="78" t="str">
        <f t="shared" si="886"/>
        <v>1900-01-00 00:0:00</v>
      </c>
      <c r="M796" s="79">
        <f t="shared" si="887"/>
        <v>0</v>
      </c>
      <c r="N796">
        <f t="shared" si="914"/>
        <v>1</v>
      </c>
      <c r="O796" t="str">
        <f>IFERROR(_xlfn.XLOOKUP(A796,HC!A:A,HC!C:C),"")</f>
        <v>Workforce</v>
      </c>
      <c r="R796" s="78" t="b">
        <f t="shared" si="890"/>
        <v>0</v>
      </c>
      <c r="S796" s="78" t="b">
        <f t="shared" si="891"/>
        <v>0</v>
      </c>
      <c r="T796" s="78" t="b">
        <f t="shared" si="892"/>
        <v>0</v>
      </c>
      <c r="U796" s="78" t="b">
        <f t="shared" si="893"/>
        <v>0</v>
      </c>
      <c r="V796" s="78" t="b">
        <f t="shared" si="894"/>
        <v>0</v>
      </c>
      <c r="W796" s="78" t="b">
        <f t="shared" si="895"/>
        <v>0</v>
      </c>
      <c r="X796" s="78" t="b">
        <f t="shared" si="896"/>
        <v>0</v>
      </c>
      <c r="Y796" s="78" t="b">
        <f t="shared" si="897"/>
        <v>0</v>
      </c>
      <c r="Z796" s="78" t="b">
        <f t="shared" si="898"/>
        <v>0</v>
      </c>
      <c r="AA796" s="78" t="b">
        <f t="shared" si="899"/>
        <v>0</v>
      </c>
      <c r="AB796" s="78" t="b">
        <f t="shared" si="900"/>
        <v>0</v>
      </c>
      <c r="AC796" s="78" t="b">
        <f t="shared" si="901"/>
        <v>0</v>
      </c>
      <c r="AD796" s="78" t="b">
        <f t="shared" si="902"/>
        <v>0</v>
      </c>
      <c r="AE796" s="78" t="b">
        <f t="shared" si="903"/>
        <v>0</v>
      </c>
      <c r="AF796" s="78" t="b">
        <f t="shared" si="904"/>
        <v>0</v>
      </c>
      <c r="AG796" s="78" t="b">
        <f t="shared" si="905"/>
        <v>0</v>
      </c>
      <c r="AH796" s="78" t="b">
        <f t="shared" si="906"/>
        <v>0</v>
      </c>
      <c r="AI796" s="78" t="b">
        <f t="shared" si="907"/>
        <v>0</v>
      </c>
      <c r="AJ796" s="78" t="b">
        <f t="shared" si="908"/>
        <v>0</v>
      </c>
      <c r="AK796" s="78" t="b">
        <f t="shared" si="909"/>
        <v>0</v>
      </c>
      <c r="AL796" s="78" t="b">
        <f t="shared" si="910"/>
        <v>0</v>
      </c>
      <c r="AM796" s="78" t="b">
        <f t="shared" si="911"/>
        <v>0</v>
      </c>
      <c r="AN796" s="78" t="b">
        <f t="shared" si="912"/>
        <v>0</v>
      </c>
      <c r="AO796" s="78" t="b">
        <f t="shared" si="913"/>
        <v>0</v>
      </c>
    </row>
    <row r="797" spans="7:41" x14ac:dyDescent="0.35">
      <c r="G797" s="77">
        <f t="shared" si="881"/>
        <v>0</v>
      </c>
      <c r="H797" s="78">
        <f t="shared" si="882"/>
        <v>0</v>
      </c>
      <c r="I797" s="77">
        <f t="shared" si="883"/>
        <v>0</v>
      </c>
      <c r="J797" s="78">
        <f t="shared" si="884"/>
        <v>0</v>
      </c>
      <c r="K797" s="78" t="str">
        <f t="shared" si="885"/>
        <v>1900-01-00 00:0:00</v>
      </c>
      <c r="L797" s="78" t="str">
        <f t="shared" si="886"/>
        <v>1900-01-00 00:0:00</v>
      </c>
      <c r="M797" s="79">
        <f t="shared" si="887"/>
        <v>0</v>
      </c>
      <c r="N797">
        <f t="shared" si="914"/>
        <v>1</v>
      </c>
      <c r="O797" t="str">
        <f>IFERROR(_xlfn.XLOOKUP(A797,HC!A:A,HC!C:C),"")</f>
        <v>Workforce</v>
      </c>
      <c r="R797" s="78" t="b">
        <f t="shared" si="890"/>
        <v>0</v>
      </c>
      <c r="S797" s="78" t="b">
        <f t="shared" si="891"/>
        <v>0</v>
      </c>
      <c r="T797" s="78" t="b">
        <f t="shared" si="892"/>
        <v>0</v>
      </c>
      <c r="U797" s="78" t="b">
        <f t="shared" si="893"/>
        <v>0</v>
      </c>
      <c r="V797" s="78" t="b">
        <f t="shared" si="894"/>
        <v>0</v>
      </c>
      <c r="W797" s="78" t="b">
        <f t="shared" si="895"/>
        <v>0</v>
      </c>
      <c r="X797" s="78" t="b">
        <f t="shared" si="896"/>
        <v>0</v>
      </c>
      <c r="Y797" s="78" t="b">
        <f t="shared" si="897"/>
        <v>0</v>
      </c>
      <c r="Z797" s="78" t="b">
        <f t="shared" si="898"/>
        <v>0</v>
      </c>
      <c r="AA797" s="78" t="b">
        <f t="shared" si="899"/>
        <v>0</v>
      </c>
      <c r="AB797" s="78" t="b">
        <f t="shared" si="900"/>
        <v>0</v>
      </c>
      <c r="AC797" s="78" t="b">
        <f t="shared" si="901"/>
        <v>0</v>
      </c>
      <c r="AD797" s="78" t="b">
        <f t="shared" si="902"/>
        <v>0</v>
      </c>
      <c r="AE797" s="78" t="b">
        <f t="shared" si="903"/>
        <v>0</v>
      </c>
      <c r="AF797" s="78" t="b">
        <f t="shared" si="904"/>
        <v>0</v>
      </c>
      <c r="AG797" s="78" t="b">
        <f t="shared" si="905"/>
        <v>0</v>
      </c>
      <c r="AH797" s="78" t="b">
        <f t="shared" si="906"/>
        <v>0</v>
      </c>
      <c r="AI797" s="78" t="b">
        <f t="shared" si="907"/>
        <v>0</v>
      </c>
      <c r="AJ797" s="78" t="b">
        <f t="shared" si="908"/>
        <v>0</v>
      </c>
      <c r="AK797" s="78" t="b">
        <f t="shared" si="909"/>
        <v>0</v>
      </c>
      <c r="AL797" s="78" t="b">
        <f t="shared" si="910"/>
        <v>0</v>
      </c>
      <c r="AM797" s="78" t="b">
        <f t="shared" si="911"/>
        <v>0</v>
      </c>
      <c r="AN797" s="78" t="b">
        <f t="shared" si="912"/>
        <v>0</v>
      </c>
      <c r="AO797" s="78" t="b">
        <f t="shared" si="913"/>
        <v>0</v>
      </c>
    </row>
    <row r="798" spans="7:41" x14ac:dyDescent="0.35">
      <c r="G798" s="77">
        <f t="shared" si="881"/>
        <v>0</v>
      </c>
      <c r="H798" s="78">
        <f t="shared" si="882"/>
        <v>0</v>
      </c>
      <c r="I798" s="77">
        <f t="shared" si="883"/>
        <v>0</v>
      </c>
      <c r="J798" s="78">
        <f t="shared" si="884"/>
        <v>0</v>
      </c>
      <c r="K798" s="78" t="str">
        <f t="shared" si="885"/>
        <v>1900-01-00 00:0:00</v>
      </c>
      <c r="L798" s="78" t="str">
        <f t="shared" si="886"/>
        <v>1900-01-00 00:0:00</v>
      </c>
      <c r="M798" s="79">
        <f t="shared" si="887"/>
        <v>0</v>
      </c>
      <c r="N798">
        <f t="shared" si="914"/>
        <v>1</v>
      </c>
      <c r="O798" t="str">
        <f>IFERROR(_xlfn.XLOOKUP(A798,HC!A:A,HC!C:C),"")</f>
        <v>Workforce</v>
      </c>
      <c r="R798" s="78" t="b">
        <f t="shared" si="890"/>
        <v>0</v>
      </c>
      <c r="S798" s="78" t="b">
        <f t="shared" si="891"/>
        <v>0</v>
      </c>
      <c r="T798" s="78" t="b">
        <f t="shared" si="892"/>
        <v>0</v>
      </c>
      <c r="U798" s="78" t="b">
        <f t="shared" si="893"/>
        <v>0</v>
      </c>
      <c r="V798" s="78" t="b">
        <f t="shared" si="894"/>
        <v>0</v>
      </c>
      <c r="W798" s="78" t="b">
        <f t="shared" si="895"/>
        <v>0</v>
      </c>
      <c r="X798" s="78" t="b">
        <f t="shared" si="896"/>
        <v>0</v>
      </c>
      <c r="Y798" s="78" t="b">
        <f t="shared" si="897"/>
        <v>0</v>
      </c>
      <c r="Z798" s="78" t="b">
        <f t="shared" si="898"/>
        <v>0</v>
      </c>
      <c r="AA798" s="78" t="b">
        <f t="shared" si="899"/>
        <v>0</v>
      </c>
      <c r="AB798" s="78" t="b">
        <f t="shared" si="900"/>
        <v>0</v>
      </c>
      <c r="AC798" s="78" t="b">
        <f t="shared" si="901"/>
        <v>0</v>
      </c>
      <c r="AD798" s="78" t="b">
        <f t="shared" si="902"/>
        <v>0</v>
      </c>
      <c r="AE798" s="78" t="b">
        <f t="shared" si="903"/>
        <v>0</v>
      </c>
      <c r="AF798" s="78" t="b">
        <f t="shared" si="904"/>
        <v>0</v>
      </c>
      <c r="AG798" s="78" t="b">
        <f t="shared" si="905"/>
        <v>0</v>
      </c>
      <c r="AH798" s="78" t="b">
        <f t="shared" si="906"/>
        <v>0</v>
      </c>
      <c r="AI798" s="78" t="b">
        <f t="shared" si="907"/>
        <v>0</v>
      </c>
      <c r="AJ798" s="78" t="b">
        <f t="shared" si="908"/>
        <v>0</v>
      </c>
      <c r="AK798" s="78" t="b">
        <f t="shared" si="909"/>
        <v>0</v>
      </c>
      <c r="AL798" s="78" t="b">
        <f t="shared" si="910"/>
        <v>0</v>
      </c>
      <c r="AM798" s="78" t="b">
        <f t="shared" si="911"/>
        <v>0</v>
      </c>
      <c r="AN798" s="78" t="b">
        <f t="shared" si="912"/>
        <v>0</v>
      </c>
      <c r="AO798" s="78" t="b">
        <f t="shared" si="913"/>
        <v>0</v>
      </c>
    </row>
    <row r="799" spans="7:41" x14ac:dyDescent="0.35">
      <c r="G799" s="77">
        <f t="shared" si="881"/>
        <v>0</v>
      </c>
      <c r="H799" s="78">
        <f t="shared" si="882"/>
        <v>0</v>
      </c>
      <c r="I799" s="77">
        <f t="shared" si="883"/>
        <v>0</v>
      </c>
      <c r="J799" s="78">
        <f t="shared" si="884"/>
        <v>0</v>
      </c>
      <c r="K799" s="78" t="str">
        <f t="shared" si="885"/>
        <v>1900-01-00 00:0:00</v>
      </c>
      <c r="L799" s="78" t="str">
        <f t="shared" si="886"/>
        <v>1900-01-00 00:0:00</v>
      </c>
      <c r="M799" s="79">
        <f t="shared" si="887"/>
        <v>0</v>
      </c>
      <c r="N799">
        <f t="shared" si="914"/>
        <v>1</v>
      </c>
      <c r="O799" t="str">
        <f>IFERROR(_xlfn.XLOOKUP(A799,HC!A:A,HC!C:C),"")</f>
        <v>Workforce</v>
      </c>
      <c r="R799" s="78" t="b">
        <f t="shared" si="890"/>
        <v>0</v>
      </c>
      <c r="S799" s="78" t="b">
        <f t="shared" si="891"/>
        <v>0</v>
      </c>
      <c r="T799" s="78" t="b">
        <f t="shared" si="892"/>
        <v>0</v>
      </c>
      <c r="U799" s="78" t="b">
        <f t="shared" si="893"/>
        <v>0</v>
      </c>
      <c r="V799" s="78" t="b">
        <f t="shared" si="894"/>
        <v>0</v>
      </c>
      <c r="W799" s="78" t="b">
        <f t="shared" si="895"/>
        <v>0</v>
      </c>
      <c r="X799" s="78" t="b">
        <f t="shared" si="896"/>
        <v>0</v>
      </c>
      <c r="Y799" s="78" t="b">
        <f t="shared" si="897"/>
        <v>0</v>
      </c>
      <c r="Z799" s="78" t="b">
        <f t="shared" si="898"/>
        <v>0</v>
      </c>
      <c r="AA799" s="78" t="b">
        <f t="shared" si="899"/>
        <v>0</v>
      </c>
      <c r="AB799" s="78" t="b">
        <f t="shared" si="900"/>
        <v>0</v>
      </c>
      <c r="AC799" s="78" t="b">
        <f t="shared" si="901"/>
        <v>0</v>
      </c>
      <c r="AD799" s="78" t="b">
        <f t="shared" si="902"/>
        <v>0</v>
      </c>
      <c r="AE799" s="78" t="b">
        <f t="shared" si="903"/>
        <v>0</v>
      </c>
      <c r="AF799" s="78" t="b">
        <f t="shared" si="904"/>
        <v>0</v>
      </c>
      <c r="AG799" s="78" t="b">
        <f t="shared" si="905"/>
        <v>0</v>
      </c>
      <c r="AH799" s="78" t="b">
        <f t="shared" si="906"/>
        <v>0</v>
      </c>
      <c r="AI799" s="78" t="b">
        <f t="shared" si="907"/>
        <v>0</v>
      </c>
      <c r="AJ799" s="78" t="b">
        <f t="shared" si="908"/>
        <v>0</v>
      </c>
      <c r="AK799" s="78" t="b">
        <f t="shared" si="909"/>
        <v>0</v>
      </c>
      <c r="AL799" s="78" t="b">
        <f t="shared" si="910"/>
        <v>0</v>
      </c>
      <c r="AM799" s="78" t="b">
        <f t="shared" si="911"/>
        <v>0</v>
      </c>
      <c r="AN799" s="78" t="b">
        <f t="shared" si="912"/>
        <v>0</v>
      </c>
      <c r="AO799" s="78" t="b">
        <f t="shared" si="913"/>
        <v>0</v>
      </c>
    </row>
    <row r="800" spans="7:41" x14ac:dyDescent="0.35">
      <c r="G800" s="77">
        <f t="shared" si="881"/>
        <v>0</v>
      </c>
      <c r="H800" s="78">
        <f t="shared" si="882"/>
        <v>0</v>
      </c>
      <c r="I800" s="77">
        <f t="shared" si="883"/>
        <v>0</v>
      </c>
      <c r="J800" s="78">
        <f t="shared" si="884"/>
        <v>0</v>
      </c>
      <c r="K800" s="78" t="str">
        <f t="shared" si="885"/>
        <v>1900-01-00 00:0:00</v>
      </c>
      <c r="L800" s="78" t="str">
        <f t="shared" si="886"/>
        <v>1900-01-00 00:0:00</v>
      </c>
      <c r="M800" s="79">
        <f t="shared" si="887"/>
        <v>0</v>
      </c>
      <c r="N800">
        <f t="shared" si="914"/>
        <v>1</v>
      </c>
      <c r="O800" t="str">
        <f>IFERROR(_xlfn.XLOOKUP(A800,HC!A:A,HC!C:C),"")</f>
        <v>Workforce</v>
      </c>
      <c r="R800" s="78" t="b">
        <f t="shared" si="890"/>
        <v>0</v>
      </c>
      <c r="S800" s="78" t="b">
        <f t="shared" si="891"/>
        <v>0</v>
      </c>
      <c r="T800" s="78" t="b">
        <f t="shared" si="892"/>
        <v>0</v>
      </c>
      <c r="U800" s="78" t="b">
        <f t="shared" si="893"/>
        <v>0</v>
      </c>
      <c r="V800" s="78" t="b">
        <f t="shared" si="894"/>
        <v>0</v>
      </c>
      <c r="W800" s="78" t="b">
        <f t="shared" si="895"/>
        <v>0</v>
      </c>
      <c r="X800" s="78" t="b">
        <f t="shared" si="896"/>
        <v>0</v>
      </c>
      <c r="Y800" s="78" t="b">
        <f t="shared" si="897"/>
        <v>0</v>
      </c>
      <c r="Z800" s="78" t="b">
        <f t="shared" si="898"/>
        <v>0</v>
      </c>
      <c r="AA800" s="78" t="b">
        <f t="shared" si="899"/>
        <v>0</v>
      </c>
      <c r="AB800" s="78" t="b">
        <f t="shared" si="900"/>
        <v>0</v>
      </c>
      <c r="AC800" s="78" t="b">
        <f t="shared" si="901"/>
        <v>0</v>
      </c>
      <c r="AD800" s="78" t="b">
        <f t="shared" si="902"/>
        <v>0</v>
      </c>
      <c r="AE800" s="78" t="b">
        <f t="shared" si="903"/>
        <v>0</v>
      </c>
      <c r="AF800" s="78" t="b">
        <f t="shared" si="904"/>
        <v>0</v>
      </c>
      <c r="AG800" s="78" t="b">
        <f t="shared" si="905"/>
        <v>0</v>
      </c>
      <c r="AH800" s="78" t="b">
        <f t="shared" si="906"/>
        <v>0</v>
      </c>
      <c r="AI800" s="78" t="b">
        <f t="shared" si="907"/>
        <v>0</v>
      </c>
      <c r="AJ800" s="78" t="b">
        <f t="shared" si="908"/>
        <v>0</v>
      </c>
      <c r="AK800" s="78" t="b">
        <f t="shared" si="909"/>
        <v>0</v>
      </c>
      <c r="AL800" s="78" t="b">
        <f t="shared" si="910"/>
        <v>0</v>
      </c>
      <c r="AM800" s="78" t="b">
        <f t="shared" si="911"/>
        <v>0</v>
      </c>
      <c r="AN800" s="78" t="b">
        <f t="shared" si="912"/>
        <v>0</v>
      </c>
      <c r="AO800" s="78" t="b">
        <f t="shared" si="913"/>
        <v>0</v>
      </c>
    </row>
    <row r="801" spans="7:41" x14ac:dyDescent="0.35">
      <c r="G801" s="77">
        <f t="shared" si="881"/>
        <v>0</v>
      </c>
      <c r="H801" s="78">
        <f t="shared" si="882"/>
        <v>0</v>
      </c>
      <c r="I801" s="77">
        <f t="shared" si="883"/>
        <v>0</v>
      </c>
      <c r="J801" s="78">
        <f t="shared" si="884"/>
        <v>0</v>
      </c>
      <c r="K801" s="78" t="str">
        <f t="shared" si="885"/>
        <v>1900-01-00 00:0:00</v>
      </c>
      <c r="L801" s="78" t="str">
        <f t="shared" si="886"/>
        <v>1900-01-00 00:0:00</v>
      </c>
      <c r="M801" s="79">
        <f t="shared" si="887"/>
        <v>0</v>
      </c>
      <c r="N801">
        <f t="shared" si="914"/>
        <v>1</v>
      </c>
      <c r="O801" t="str">
        <f>IFERROR(_xlfn.XLOOKUP(A801,HC!A:A,HC!C:C),"")</f>
        <v>Workforce</v>
      </c>
      <c r="R801" s="78" t="b">
        <f t="shared" si="890"/>
        <v>0</v>
      </c>
      <c r="S801" s="78" t="b">
        <f t="shared" si="891"/>
        <v>0</v>
      </c>
      <c r="T801" s="78" t="b">
        <f t="shared" si="892"/>
        <v>0</v>
      </c>
      <c r="U801" s="78" t="b">
        <f t="shared" si="893"/>
        <v>0</v>
      </c>
      <c r="V801" s="78" t="b">
        <f t="shared" si="894"/>
        <v>0</v>
      </c>
      <c r="W801" s="78" t="b">
        <f t="shared" si="895"/>
        <v>0</v>
      </c>
      <c r="X801" s="78" t="b">
        <f t="shared" si="896"/>
        <v>0</v>
      </c>
      <c r="Y801" s="78" t="b">
        <f t="shared" si="897"/>
        <v>0</v>
      </c>
      <c r="Z801" s="78" t="b">
        <f t="shared" si="898"/>
        <v>0</v>
      </c>
      <c r="AA801" s="78" t="b">
        <f t="shared" si="899"/>
        <v>0</v>
      </c>
      <c r="AB801" s="78" t="b">
        <f t="shared" si="900"/>
        <v>0</v>
      </c>
      <c r="AC801" s="78" t="b">
        <f t="shared" si="901"/>
        <v>0</v>
      </c>
      <c r="AD801" s="78" t="b">
        <f t="shared" si="902"/>
        <v>0</v>
      </c>
      <c r="AE801" s="78" t="b">
        <f t="shared" si="903"/>
        <v>0</v>
      </c>
      <c r="AF801" s="78" t="b">
        <f t="shared" si="904"/>
        <v>0</v>
      </c>
      <c r="AG801" s="78" t="b">
        <f t="shared" si="905"/>
        <v>0</v>
      </c>
      <c r="AH801" s="78" t="b">
        <f t="shared" si="906"/>
        <v>0</v>
      </c>
      <c r="AI801" s="78" t="b">
        <f t="shared" si="907"/>
        <v>0</v>
      </c>
      <c r="AJ801" s="78" t="b">
        <f t="shared" si="908"/>
        <v>0</v>
      </c>
      <c r="AK801" s="78" t="b">
        <f t="shared" si="909"/>
        <v>0</v>
      </c>
      <c r="AL801" s="78" t="b">
        <f t="shared" si="910"/>
        <v>0</v>
      </c>
      <c r="AM801" s="78" t="b">
        <f t="shared" si="911"/>
        <v>0</v>
      </c>
      <c r="AN801" s="78" t="b">
        <f t="shared" si="912"/>
        <v>0</v>
      </c>
      <c r="AO801" s="78" t="b">
        <f t="shared" si="913"/>
        <v>0</v>
      </c>
    </row>
    <row r="802" spans="7:41" x14ac:dyDescent="0.35">
      <c r="G802" s="77">
        <f t="shared" si="881"/>
        <v>0</v>
      </c>
      <c r="H802" s="78">
        <f t="shared" si="882"/>
        <v>0</v>
      </c>
      <c r="I802" s="77">
        <f t="shared" si="883"/>
        <v>0</v>
      </c>
      <c r="J802" s="78">
        <f t="shared" si="884"/>
        <v>0</v>
      </c>
      <c r="K802" s="78" t="str">
        <f t="shared" si="885"/>
        <v>1900-01-00 00:0:00</v>
      </c>
      <c r="L802" s="78" t="str">
        <f t="shared" si="886"/>
        <v>1900-01-00 00:0:00</v>
      </c>
      <c r="M802" s="79">
        <f t="shared" si="887"/>
        <v>0</v>
      </c>
      <c r="N802">
        <f t="shared" si="914"/>
        <v>1</v>
      </c>
      <c r="O802" t="str">
        <f>IFERROR(_xlfn.XLOOKUP(A802,HC!A:A,HC!C:C),"")</f>
        <v>Workforce</v>
      </c>
      <c r="R802" s="78" t="b">
        <f t="shared" si="890"/>
        <v>0</v>
      </c>
      <c r="S802" s="78" t="b">
        <f t="shared" si="891"/>
        <v>0</v>
      </c>
      <c r="T802" s="78" t="b">
        <f t="shared" si="892"/>
        <v>0</v>
      </c>
      <c r="U802" s="78" t="b">
        <f t="shared" si="893"/>
        <v>0</v>
      </c>
      <c r="V802" s="78" t="b">
        <f t="shared" si="894"/>
        <v>0</v>
      </c>
      <c r="W802" s="78" t="b">
        <f t="shared" si="895"/>
        <v>0</v>
      </c>
      <c r="X802" s="78" t="b">
        <f t="shared" si="896"/>
        <v>0</v>
      </c>
      <c r="Y802" s="78" t="b">
        <f t="shared" si="897"/>
        <v>0</v>
      </c>
      <c r="Z802" s="78" t="b">
        <f t="shared" si="898"/>
        <v>0</v>
      </c>
      <c r="AA802" s="78" t="b">
        <f t="shared" si="899"/>
        <v>0</v>
      </c>
      <c r="AB802" s="78" t="b">
        <f t="shared" si="900"/>
        <v>0</v>
      </c>
      <c r="AC802" s="78" t="b">
        <f t="shared" si="901"/>
        <v>0</v>
      </c>
      <c r="AD802" s="78" t="b">
        <f t="shared" si="902"/>
        <v>0</v>
      </c>
      <c r="AE802" s="78" t="b">
        <f t="shared" si="903"/>
        <v>0</v>
      </c>
      <c r="AF802" s="78" t="b">
        <f t="shared" si="904"/>
        <v>0</v>
      </c>
      <c r="AG802" s="78" t="b">
        <f t="shared" si="905"/>
        <v>0</v>
      </c>
      <c r="AH802" s="78" t="b">
        <f t="shared" si="906"/>
        <v>0</v>
      </c>
      <c r="AI802" s="78" t="b">
        <f t="shared" si="907"/>
        <v>0</v>
      </c>
      <c r="AJ802" s="78" t="b">
        <f t="shared" si="908"/>
        <v>0</v>
      </c>
      <c r="AK802" s="78" t="b">
        <f t="shared" si="909"/>
        <v>0</v>
      </c>
      <c r="AL802" s="78" t="b">
        <f t="shared" si="910"/>
        <v>0</v>
      </c>
      <c r="AM802" s="78" t="b">
        <f t="shared" si="911"/>
        <v>0</v>
      </c>
      <c r="AN802" s="78" t="b">
        <f t="shared" si="912"/>
        <v>0</v>
      </c>
      <c r="AO802" s="78" t="b">
        <f t="shared" si="913"/>
        <v>0</v>
      </c>
    </row>
    <row r="803" spans="7:41" x14ac:dyDescent="0.35">
      <c r="G803" s="77">
        <f t="shared" si="881"/>
        <v>0</v>
      </c>
      <c r="H803" s="78">
        <f t="shared" si="882"/>
        <v>0</v>
      </c>
      <c r="I803" s="77">
        <f t="shared" si="883"/>
        <v>0</v>
      </c>
      <c r="J803" s="78">
        <f t="shared" si="884"/>
        <v>0</v>
      </c>
      <c r="K803" s="78" t="str">
        <f t="shared" si="885"/>
        <v>1900-01-00 00:0:00</v>
      </c>
      <c r="L803" s="78" t="str">
        <f t="shared" si="886"/>
        <v>1900-01-00 00:0:00</v>
      </c>
      <c r="M803" s="79">
        <f t="shared" si="887"/>
        <v>0</v>
      </c>
      <c r="N803">
        <f t="shared" si="914"/>
        <v>1</v>
      </c>
      <c r="O803" t="str">
        <f>IFERROR(_xlfn.XLOOKUP(A803,HC!A:A,HC!C:C),"")</f>
        <v>Workforce</v>
      </c>
      <c r="R803" s="78" t="b">
        <f t="shared" si="890"/>
        <v>0</v>
      </c>
      <c r="S803" s="78" t="b">
        <f t="shared" si="891"/>
        <v>0</v>
      </c>
      <c r="T803" s="78" t="b">
        <f t="shared" si="892"/>
        <v>0</v>
      </c>
      <c r="U803" s="78" t="b">
        <f t="shared" si="893"/>
        <v>0</v>
      </c>
      <c r="V803" s="78" t="b">
        <f t="shared" si="894"/>
        <v>0</v>
      </c>
      <c r="W803" s="78" t="b">
        <f t="shared" si="895"/>
        <v>0</v>
      </c>
      <c r="X803" s="78" t="b">
        <f t="shared" si="896"/>
        <v>0</v>
      </c>
      <c r="Y803" s="78" t="b">
        <f t="shared" si="897"/>
        <v>0</v>
      </c>
      <c r="Z803" s="78" t="b">
        <f t="shared" si="898"/>
        <v>0</v>
      </c>
      <c r="AA803" s="78" t="b">
        <f t="shared" si="899"/>
        <v>0</v>
      </c>
      <c r="AB803" s="78" t="b">
        <f t="shared" si="900"/>
        <v>0</v>
      </c>
      <c r="AC803" s="78" t="b">
        <f t="shared" si="901"/>
        <v>0</v>
      </c>
      <c r="AD803" s="78" t="b">
        <f t="shared" si="902"/>
        <v>0</v>
      </c>
      <c r="AE803" s="78" t="b">
        <f t="shared" si="903"/>
        <v>0</v>
      </c>
      <c r="AF803" s="78" t="b">
        <f t="shared" si="904"/>
        <v>0</v>
      </c>
      <c r="AG803" s="78" t="b">
        <f t="shared" si="905"/>
        <v>0</v>
      </c>
      <c r="AH803" s="78" t="b">
        <f t="shared" si="906"/>
        <v>0</v>
      </c>
      <c r="AI803" s="78" t="b">
        <f t="shared" si="907"/>
        <v>0</v>
      </c>
      <c r="AJ803" s="78" t="b">
        <f t="shared" si="908"/>
        <v>0</v>
      </c>
      <c r="AK803" s="78" t="b">
        <f t="shared" si="909"/>
        <v>0</v>
      </c>
      <c r="AL803" s="78" t="b">
        <f t="shared" si="910"/>
        <v>0</v>
      </c>
      <c r="AM803" s="78" t="b">
        <f t="shared" si="911"/>
        <v>0</v>
      </c>
      <c r="AN803" s="78" t="b">
        <f t="shared" si="912"/>
        <v>0</v>
      </c>
      <c r="AO803" s="78" t="b">
        <f t="shared" si="913"/>
        <v>0</v>
      </c>
    </row>
    <row r="804" spans="7:41" x14ac:dyDescent="0.35">
      <c r="G804" s="77">
        <f t="shared" si="881"/>
        <v>0</v>
      </c>
      <c r="H804" s="78">
        <f t="shared" si="882"/>
        <v>0</v>
      </c>
      <c r="I804" s="77">
        <f t="shared" si="883"/>
        <v>0</v>
      </c>
      <c r="J804" s="78">
        <f t="shared" si="884"/>
        <v>0</v>
      </c>
      <c r="K804" s="78" t="str">
        <f t="shared" si="885"/>
        <v>1900-01-00 00:0:00</v>
      </c>
      <c r="L804" s="78" t="str">
        <f t="shared" si="886"/>
        <v>1900-01-00 00:0:00</v>
      </c>
      <c r="M804" s="79">
        <f t="shared" si="887"/>
        <v>0</v>
      </c>
      <c r="N804">
        <f t="shared" si="914"/>
        <v>1</v>
      </c>
      <c r="O804" t="str">
        <f>IFERROR(_xlfn.XLOOKUP(A804,HC!A:A,HC!C:C),"")</f>
        <v>Workforce</v>
      </c>
      <c r="R804" s="78" t="b">
        <f t="shared" si="890"/>
        <v>0</v>
      </c>
      <c r="S804" s="78" t="b">
        <f t="shared" si="891"/>
        <v>0</v>
      </c>
      <c r="T804" s="78" t="b">
        <f t="shared" si="892"/>
        <v>0</v>
      </c>
      <c r="U804" s="78" t="b">
        <f t="shared" si="893"/>
        <v>0</v>
      </c>
      <c r="V804" s="78" t="b">
        <f t="shared" si="894"/>
        <v>0</v>
      </c>
      <c r="W804" s="78" t="b">
        <f t="shared" si="895"/>
        <v>0</v>
      </c>
      <c r="X804" s="78" t="b">
        <f t="shared" si="896"/>
        <v>0</v>
      </c>
      <c r="Y804" s="78" t="b">
        <f t="shared" si="897"/>
        <v>0</v>
      </c>
      <c r="Z804" s="78" t="b">
        <f t="shared" si="898"/>
        <v>0</v>
      </c>
      <c r="AA804" s="78" t="b">
        <f t="shared" si="899"/>
        <v>0</v>
      </c>
      <c r="AB804" s="78" t="b">
        <f t="shared" si="900"/>
        <v>0</v>
      </c>
      <c r="AC804" s="78" t="b">
        <f t="shared" si="901"/>
        <v>0</v>
      </c>
      <c r="AD804" s="78" t="b">
        <f t="shared" si="902"/>
        <v>0</v>
      </c>
      <c r="AE804" s="78" t="b">
        <f t="shared" si="903"/>
        <v>0</v>
      </c>
      <c r="AF804" s="78" t="b">
        <f t="shared" si="904"/>
        <v>0</v>
      </c>
      <c r="AG804" s="78" t="b">
        <f t="shared" si="905"/>
        <v>0</v>
      </c>
      <c r="AH804" s="78" t="b">
        <f t="shared" si="906"/>
        <v>0</v>
      </c>
      <c r="AI804" s="78" t="b">
        <f t="shared" si="907"/>
        <v>0</v>
      </c>
      <c r="AJ804" s="78" t="b">
        <f t="shared" si="908"/>
        <v>0</v>
      </c>
      <c r="AK804" s="78" t="b">
        <f t="shared" si="909"/>
        <v>0</v>
      </c>
      <c r="AL804" s="78" t="b">
        <f t="shared" si="910"/>
        <v>0</v>
      </c>
      <c r="AM804" s="78" t="b">
        <f t="shared" si="911"/>
        <v>0</v>
      </c>
      <c r="AN804" s="78" t="b">
        <f t="shared" si="912"/>
        <v>0</v>
      </c>
      <c r="AO804" s="78" t="b">
        <f t="shared" si="913"/>
        <v>0</v>
      </c>
    </row>
    <row r="805" spans="7:41" x14ac:dyDescent="0.35">
      <c r="G805" s="77">
        <f t="shared" si="881"/>
        <v>0</v>
      </c>
      <c r="H805" s="78">
        <f t="shared" si="882"/>
        <v>0</v>
      </c>
      <c r="I805" s="77">
        <f t="shared" si="883"/>
        <v>0</v>
      </c>
      <c r="J805" s="78">
        <f t="shared" si="884"/>
        <v>0</v>
      </c>
      <c r="K805" s="78" t="str">
        <f t="shared" si="885"/>
        <v>1900-01-00 00:0:00</v>
      </c>
      <c r="L805" s="78" t="str">
        <f t="shared" si="886"/>
        <v>1900-01-00 00:0:00</v>
      </c>
      <c r="M805" s="79">
        <f t="shared" si="887"/>
        <v>0</v>
      </c>
      <c r="N805">
        <f t="shared" si="914"/>
        <v>1</v>
      </c>
      <c r="O805" t="str">
        <f>IFERROR(_xlfn.XLOOKUP(A805,HC!A:A,HC!C:C),"")</f>
        <v>Workforce</v>
      </c>
      <c r="R805" s="78" t="b">
        <f t="shared" si="890"/>
        <v>0</v>
      </c>
      <c r="S805" s="78" t="b">
        <f t="shared" si="891"/>
        <v>0</v>
      </c>
      <c r="T805" s="78" t="b">
        <f t="shared" si="892"/>
        <v>0</v>
      </c>
      <c r="U805" s="78" t="b">
        <f t="shared" si="893"/>
        <v>0</v>
      </c>
      <c r="V805" s="78" t="b">
        <f t="shared" si="894"/>
        <v>0</v>
      </c>
      <c r="W805" s="78" t="b">
        <f t="shared" si="895"/>
        <v>0</v>
      </c>
      <c r="X805" s="78" t="b">
        <f t="shared" si="896"/>
        <v>0</v>
      </c>
      <c r="Y805" s="78" t="b">
        <f t="shared" si="897"/>
        <v>0</v>
      </c>
      <c r="Z805" s="78" t="b">
        <f t="shared" si="898"/>
        <v>0</v>
      </c>
      <c r="AA805" s="78" t="b">
        <f t="shared" si="899"/>
        <v>0</v>
      </c>
      <c r="AB805" s="78" t="b">
        <f t="shared" si="900"/>
        <v>0</v>
      </c>
      <c r="AC805" s="78" t="b">
        <f t="shared" si="901"/>
        <v>0</v>
      </c>
      <c r="AD805" s="78" t="b">
        <f t="shared" si="902"/>
        <v>0</v>
      </c>
      <c r="AE805" s="78" t="b">
        <f t="shared" si="903"/>
        <v>0</v>
      </c>
      <c r="AF805" s="78" t="b">
        <f t="shared" si="904"/>
        <v>0</v>
      </c>
      <c r="AG805" s="78" t="b">
        <f t="shared" si="905"/>
        <v>0</v>
      </c>
      <c r="AH805" s="78" t="b">
        <f t="shared" si="906"/>
        <v>0</v>
      </c>
      <c r="AI805" s="78" t="b">
        <f t="shared" si="907"/>
        <v>0</v>
      </c>
      <c r="AJ805" s="78" t="b">
        <f t="shared" si="908"/>
        <v>0</v>
      </c>
      <c r="AK805" s="78" t="b">
        <f t="shared" si="909"/>
        <v>0</v>
      </c>
      <c r="AL805" s="78" t="b">
        <f t="shared" si="910"/>
        <v>0</v>
      </c>
      <c r="AM805" s="78" t="b">
        <f t="shared" si="911"/>
        <v>0</v>
      </c>
      <c r="AN805" s="78" t="b">
        <f t="shared" si="912"/>
        <v>0</v>
      </c>
      <c r="AO805" s="78" t="b">
        <f t="shared" si="913"/>
        <v>0</v>
      </c>
    </row>
    <row r="806" spans="7:41" x14ac:dyDescent="0.35">
      <c r="G806" s="77">
        <f t="shared" si="881"/>
        <v>0</v>
      </c>
      <c r="H806" s="78">
        <f t="shared" si="882"/>
        <v>0</v>
      </c>
      <c r="I806" s="77">
        <f t="shared" si="883"/>
        <v>0</v>
      </c>
      <c r="J806" s="78">
        <f t="shared" si="884"/>
        <v>0</v>
      </c>
      <c r="K806" s="78" t="str">
        <f t="shared" si="885"/>
        <v>1900-01-00 00:0:00</v>
      </c>
      <c r="L806" s="78" t="str">
        <f t="shared" si="886"/>
        <v>1900-01-00 00:0:00</v>
      </c>
      <c r="M806" s="79">
        <f t="shared" si="887"/>
        <v>0</v>
      </c>
      <c r="N806">
        <f t="shared" si="914"/>
        <v>1</v>
      </c>
      <c r="O806" t="str">
        <f>IFERROR(_xlfn.XLOOKUP(A806,HC!A:A,HC!C:C),"")</f>
        <v>Workforce</v>
      </c>
      <c r="R806" s="78" t="b">
        <f t="shared" si="890"/>
        <v>0</v>
      </c>
      <c r="S806" s="78" t="b">
        <f t="shared" si="891"/>
        <v>0</v>
      </c>
      <c r="T806" s="78" t="b">
        <f t="shared" si="892"/>
        <v>0</v>
      </c>
      <c r="U806" s="78" t="b">
        <f t="shared" si="893"/>
        <v>0</v>
      </c>
      <c r="V806" s="78" t="b">
        <f t="shared" si="894"/>
        <v>0</v>
      </c>
      <c r="W806" s="78" t="b">
        <f t="shared" si="895"/>
        <v>0</v>
      </c>
      <c r="X806" s="78" t="b">
        <f t="shared" si="896"/>
        <v>0</v>
      </c>
      <c r="Y806" s="78" t="b">
        <f t="shared" si="897"/>
        <v>0</v>
      </c>
      <c r="Z806" s="78" t="b">
        <f t="shared" si="898"/>
        <v>0</v>
      </c>
      <c r="AA806" s="78" t="b">
        <f t="shared" si="899"/>
        <v>0</v>
      </c>
      <c r="AB806" s="78" t="b">
        <f t="shared" si="900"/>
        <v>0</v>
      </c>
      <c r="AC806" s="78" t="b">
        <f t="shared" si="901"/>
        <v>0</v>
      </c>
      <c r="AD806" s="78" t="b">
        <f t="shared" si="902"/>
        <v>0</v>
      </c>
      <c r="AE806" s="78" t="b">
        <f t="shared" si="903"/>
        <v>0</v>
      </c>
      <c r="AF806" s="78" t="b">
        <f t="shared" si="904"/>
        <v>0</v>
      </c>
      <c r="AG806" s="78" t="b">
        <f t="shared" si="905"/>
        <v>0</v>
      </c>
      <c r="AH806" s="78" t="b">
        <f t="shared" si="906"/>
        <v>0</v>
      </c>
      <c r="AI806" s="78" t="b">
        <f t="shared" si="907"/>
        <v>0</v>
      </c>
      <c r="AJ806" s="78" t="b">
        <f t="shared" si="908"/>
        <v>0</v>
      </c>
      <c r="AK806" s="78" t="b">
        <f t="shared" si="909"/>
        <v>0</v>
      </c>
      <c r="AL806" s="78" t="b">
        <f t="shared" si="910"/>
        <v>0</v>
      </c>
      <c r="AM806" s="78" t="b">
        <f t="shared" si="911"/>
        <v>0</v>
      </c>
      <c r="AN806" s="78" t="b">
        <f t="shared" si="912"/>
        <v>0</v>
      </c>
      <c r="AO806" s="78" t="b">
        <f t="shared" si="913"/>
        <v>0</v>
      </c>
    </row>
    <row r="807" spans="7:41" x14ac:dyDescent="0.35">
      <c r="G807" s="77">
        <f t="shared" si="881"/>
        <v>0</v>
      </c>
      <c r="H807" s="78">
        <f t="shared" si="882"/>
        <v>0</v>
      </c>
      <c r="I807" s="77">
        <f t="shared" si="883"/>
        <v>0</v>
      </c>
      <c r="J807" s="78">
        <f t="shared" si="884"/>
        <v>0</v>
      </c>
      <c r="K807" s="78" t="str">
        <f t="shared" si="885"/>
        <v>1900-01-00 00:0:00</v>
      </c>
      <c r="L807" s="78" t="str">
        <f t="shared" si="886"/>
        <v>1900-01-00 00:0:00</v>
      </c>
      <c r="M807" s="79">
        <f t="shared" si="887"/>
        <v>0</v>
      </c>
      <c r="N807">
        <f t="shared" si="914"/>
        <v>1</v>
      </c>
      <c r="O807" t="str">
        <f>IFERROR(_xlfn.XLOOKUP(A807,HC!A:A,HC!C:C),"")</f>
        <v>Workforce</v>
      </c>
      <c r="R807" s="78" t="b">
        <f t="shared" si="890"/>
        <v>0</v>
      </c>
      <c r="S807" s="78" t="b">
        <f t="shared" si="891"/>
        <v>0</v>
      </c>
      <c r="T807" s="78" t="b">
        <f t="shared" si="892"/>
        <v>0</v>
      </c>
      <c r="U807" s="78" t="b">
        <f t="shared" si="893"/>
        <v>0</v>
      </c>
      <c r="V807" s="78" t="b">
        <f t="shared" si="894"/>
        <v>0</v>
      </c>
      <c r="W807" s="78" t="b">
        <f t="shared" si="895"/>
        <v>0</v>
      </c>
      <c r="X807" s="78" t="b">
        <f t="shared" si="896"/>
        <v>0</v>
      </c>
      <c r="Y807" s="78" t="b">
        <f t="shared" si="897"/>
        <v>0</v>
      </c>
      <c r="Z807" s="78" t="b">
        <f t="shared" si="898"/>
        <v>0</v>
      </c>
      <c r="AA807" s="78" t="b">
        <f t="shared" si="899"/>
        <v>0</v>
      </c>
      <c r="AB807" s="78" t="b">
        <f t="shared" si="900"/>
        <v>0</v>
      </c>
      <c r="AC807" s="78" t="b">
        <f t="shared" si="901"/>
        <v>0</v>
      </c>
      <c r="AD807" s="78" t="b">
        <f t="shared" si="902"/>
        <v>0</v>
      </c>
      <c r="AE807" s="78" t="b">
        <f t="shared" si="903"/>
        <v>0</v>
      </c>
      <c r="AF807" s="78" t="b">
        <f t="shared" si="904"/>
        <v>0</v>
      </c>
      <c r="AG807" s="78" t="b">
        <f t="shared" si="905"/>
        <v>0</v>
      </c>
      <c r="AH807" s="78" t="b">
        <f t="shared" si="906"/>
        <v>0</v>
      </c>
      <c r="AI807" s="78" t="b">
        <f t="shared" si="907"/>
        <v>0</v>
      </c>
      <c r="AJ807" s="78" t="b">
        <f t="shared" si="908"/>
        <v>0</v>
      </c>
      <c r="AK807" s="78" t="b">
        <f t="shared" si="909"/>
        <v>0</v>
      </c>
      <c r="AL807" s="78" t="b">
        <f t="shared" si="910"/>
        <v>0</v>
      </c>
      <c r="AM807" s="78" t="b">
        <f t="shared" si="911"/>
        <v>0</v>
      </c>
      <c r="AN807" s="78" t="b">
        <f t="shared" si="912"/>
        <v>0</v>
      </c>
      <c r="AO807" s="78" t="b">
        <f t="shared" si="913"/>
        <v>0</v>
      </c>
    </row>
    <row r="808" spans="7:41" x14ac:dyDescent="0.35">
      <c r="G808" s="77">
        <f t="shared" si="881"/>
        <v>0</v>
      </c>
      <c r="H808" s="78">
        <f t="shared" si="882"/>
        <v>0</v>
      </c>
      <c r="I808" s="77">
        <f t="shared" si="883"/>
        <v>0</v>
      </c>
      <c r="J808" s="78">
        <f t="shared" si="884"/>
        <v>0</v>
      </c>
      <c r="K808" s="78" t="str">
        <f t="shared" si="885"/>
        <v>1900-01-00 00:0:00</v>
      </c>
      <c r="L808" s="78" t="str">
        <f t="shared" si="886"/>
        <v>1900-01-00 00:0:00</v>
      </c>
      <c r="M808" s="79">
        <f t="shared" si="887"/>
        <v>0</v>
      </c>
      <c r="N808">
        <f t="shared" si="914"/>
        <v>1</v>
      </c>
      <c r="O808" t="str">
        <f>IFERROR(_xlfn.XLOOKUP(A808,HC!A:A,HC!C:C),"")</f>
        <v>Workforce</v>
      </c>
      <c r="R808" s="78" t="b">
        <f t="shared" si="890"/>
        <v>0</v>
      </c>
      <c r="S808" s="78" t="b">
        <f t="shared" si="891"/>
        <v>0</v>
      </c>
      <c r="T808" s="78" t="b">
        <f t="shared" si="892"/>
        <v>0</v>
      </c>
      <c r="U808" s="78" t="b">
        <f t="shared" si="893"/>
        <v>0</v>
      </c>
      <c r="V808" s="78" t="b">
        <f t="shared" si="894"/>
        <v>0</v>
      </c>
      <c r="W808" s="78" t="b">
        <f t="shared" si="895"/>
        <v>0</v>
      </c>
      <c r="X808" s="78" t="b">
        <f t="shared" si="896"/>
        <v>0</v>
      </c>
      <c r="Y808" s="78" t="b">
        <f t="shared" si="897"/>
        <v>0</v>
      </c>
      <c r="Z808" s="78" t="b">
        <f t="shared" si="898"/>
        <v>0</v>
      </c>
      <c r="AA808" s="78" t="b">
        <f t="shared" si="899"/>
        <v>0</v>
      </c>
      <c r="AB808" s="78" t="b">
        <f t="shared" si="900"/>
        <v>0</v>
      </c>
      <c r="AC808" s="78" t="b">
        <f t="shared" si="901"/>
        <v>0</v>
      </c>
      <c r="AD808" s="78" t="b">
        <f t="shared" si="902"/>
        <v>0</v>
      </c>
      <c r="AE808" s="78" t="b">
        <f t="shared" si="903"/>
        <v>0</v>
      </c>
      <c r="AF808" s="78" t="b">
        <f t="shared" si="904"/>
        <v>0</v>
      </c>
      <c r="AG808" s="78" t="b">
        <f t="shared" si="905"/>
        <v>0</v>
      </c>
      <c r="AH808" s="78" t="b">
        <f t="shared" si="906"/>
        <v>0</v>
      </c>
      <c r="AI808" s="78" t="b">
        <f t="shared" si="907"/>
        <v>0</v>
      </c>
      <c r="AJ808" s="78" t="b">
        <f t="shared" si="908"/>
        <v>0</v>
      </c>
      <c r="AK808" s="78" t="b">
        <f t="shared" si="909"/>
        <v>0</v>
      </c>
      <c r="AL808" s="78" t="b">
        <f t="shared" si="910"/>
        <v>0</v>
      </c>
      <c r="AM808" s="78" t="b">
        <f t="shared" si="911"/>
        <v>0</v>
      </c>
      <c r="AN808" s="78" t="b">
        <f t="shared" si="912"/>
        <v>0</v>
      </c>
      <c r="AO808" s="78" t="b">
        <f t="shared" si="913"/>
        <v>0</v>
      </c>
    </row>
    <row r="809" spans="7:41" x14ac:dyDescent="0.35">
      <c r="G809" s="77">
        <f t="shared" si="881"/>
        <v>0</v>
      </c>
      <c r="H809" s="78">
        <f t="shared" si="882"/>
        <v>0</v>
      </c>
      <c r="I809" s="77">
        <f t="shared" si="883"/>
        <v>0</v>
      </c>
      <c r="J809" s="78">
        <f t="shared" si="884"/>
        <v>0</v>
      </c>
      <c r="K809" s="78" t="str">
        <f t="shared" si="885"/>
        <v>1900-01-00 00:0:00</v>
      </c>
      <c r="L809" s="78" t="str">
        <f t="shared" si="886"/>
        <v>1900-01-00 00:0:00</v>
      </c>
      <c r="M809" s="79">
        <f t="shared" si="887"/>
        <v>0</v>
      </c>
      <c r="N809">
        <f t="shared" si="914"/>
        <v>1</v>
      </c>
      <c r="O809" t="str">
        <f>IFERROR(_xlfn.XLOOKUP(A809,HC!A:A,HC!C:C),"")</f>
        <v>Workforce</v>
      </c>
      <c r="R809" s="78" t="b">
        <f t="shared" si="890"/>
        <v>0</v>
      </c>
      <c r="S809" s="78" t="b">
        <f t="shared" si="891"/>
        <v>0</v>
      </c>
      <c r="T809" s="78" t="b">
        <f t="shared" si="892"/>
        <v>0</v>
      </c>
      <c r="U809" s="78" t="b">
        <f t="shared" si="893"/>
        <v>0</v>
      </c>
      <c r="V809" s="78" t="b">
        <f t="shared" si="894"/>
        <v>0</v>
      </c>
      <c r="W809" s="78" t="b">
        <f t="shared" si="895"/>
        <v>0</v>
      </c>
      <c r="X809" s="78" t="b">
        <f t="shared" si="896"/>
        <v>0</v>
      </c>
      <c r="Y809" s="78" t="b">
        <f t="shared" si="897"/>
        <v>0</v>
      </c>
      <c r="Z809" s="78" t="b">
        <f t="shared" si="898"/>
        <v>0</v>
      </c>
      <c r="AA809" s="78" t="b">
        <f t="shared" si="899"/>
        <v>0</v>
      </c>
      <c r="AB809" s="78" t="b">
        <f t="shared" si="900"/>
        <v>0</v>
      </c>
      <c r="AC809" s="78" t="b">
        <f t="shared" si="901"/>
        <v>0</v>
      </c>
      <c r="AD809" s="78" t="b">
        <f t="shared" si="902"/>
        <v>0</v>
      </c>
      <c r="AE809" s="78" t="b">
        <f t="shared" si="903"/>
        <v>0</v>
      </c>
      <c r="AF809" s="78" t="b">
        <f t="shared" si="904"/>
        <v>0</v>
      </c>
      <c r="AG809" s="78" t="b">
        <f t="shared" si="905"/>
        <v>0</v>
      </c>
      <c r="AH809" s="78" t="b">
        <f t="shared" si="906"/>
        <v>0</v>
      </c>
      <c r="AI809" s="78" t="b">
        <f t="shared" si="907"/>
        <v>0</v>
      </c>
      <c r="AJ809" s="78" t="b">
        <f t="shared" si="908"/>
        <v>0</v>
      </c>
      <c r="AK809" s="78" t="b">
        <f t="shared" si="909"/>
        <v>0</v>
      </c>
      <c r="AL809" s="78" t="b">
        <f t="shared" si="910"/>
        <v>0</v>
      </c>
      <c r="AM809" s="78" t="b">
        <f t="shared" si="911"/>
        <v>0</v>
      </c>
      <c r="AN809" s="78" t="b">
        <f t="shared" si="912"/>
        <v>0</v>
      </c>
      <c r="AO809" s="78" t="b">
        <f t="shared" si="913"/>
        <v>0</v>
      </c>
    </row>
    <row r="810" spans="7:41" x14ac:dyDescent="0.35">
      <c r="G810" s="77">
        <f t="shared" si="881"/>
        <v>0</v>
      </c>
      <c r="H810" s="78">
        <f t="shared" si="882"/>
        <v>0</v>
      </c>
      <c r="I810" s="77">
        <f t="shared" si="883"/>
        <v>0</v>
      </c>
      <c r="J810" s="78">
        <f t="shared" si="884"/>
        <v>0</v>
      </c>
      <c r="K810" s="78" t="str">
        <f t="shared" si="885"/>
        <v>1900-01-00 00:0:00</v>
      </c>
      <c r="L810" s="78" t="str">
        <f t="shared" si="886"/>
        <v>1900-01-00 00:0:00</v>
      </c>
      <c r="M810" s="79">
        <f t="shared" si="887"/>
        <v>0</v>
      </c>
      <c r="N810">
        <f t="shared" si="914"/>
        <v>1</v>
      </c>
      <c r="O810" t="str">
        <f>IFERROR(_xlfn.XLOOKUP(A810,HC!A:A,HC!C:C),"")</f>
        <v>Workforce</v>
      </c>
      <c r="R810" s="78" t="b">
        <f t="shared" si="890"/>
        <v>0</v>
      </c>
      <c r="S810" s="78" t="b">
        <f t="shared" si="891"/>
        <v>0</v>
      </c>
      <c r="T810" s="78" t="b">
        <f t="shared" si="892"/>
        <v>0</v>
      </c>
      <c r="U810" s="78" t="b">
        <f t="shared" si="893"/>
        <v>0</v>
      </c>
      <c r="V810" s="78" t="b">
        <f t="shared" si="894"/>
        <v>0</v>
      </c>
      <c r="W810" s="78" t="b">
        <f t="shared" si="895"/>
        <v>0</v>
      </c>
      <c r="X810" s="78" t="b">
        <f t="shared" si="896"/>
        <v>0</v>
      </c>
      <c r="Y810" s="78" t="b">
        <f t="shared" si="897"/>
        <v>0</v>
      </c>
      <c r="Z810" s="78" t="b">
        <f t="shared" si="898"/>
        <v>0</v>
      </c>
      <c r="AA810" s="78" t="b">
        <f t="shared" si="899"/>
        <v>0</v>
      </c>
      <c r="AB810" s="78" t="b">
        <f t="shared" si="900"/>
        <v>0</v>
      </c>
      <c r="AC810" s="78" t="b">
        <f t="shared" si="901"/>
        <v>0</v>
      </c>
      <c r="AD810" s="78" t="b">
        <f t="shared" si="902"/>
        <v>0</v>
      </c>
      <c r="AE810" s="78" t="b">
        <f t="shared" si="903"/>
        <v>0</v>
      </c>
      <c r="AF810" s="78" t="b">
        <f t="shared" si="904"/>
        <v>0</v>
      </c>
      <c r="AG810" s="78" t="b">
        <f t="shared" si="905"/>
        <v>0</v>
      </c>
      <c r="AH810" s="78" t="b">
        <f t="shared" si="906"/>
        <v>0</v>
      </c>
      <c r="AI810" s="78" t="b">
        <f t="shared" si="907"/>
        <v>0</v>
      </c>
      <c r="AJ810" s="78" t="b">
        <f t="shared" si="908"/>
        <v>0</v>
      </c>
      <c r="AK810" s="78" t="b">
        <f t="shared" si="909"/>
        <v>0</v>
      </c>
      <c r="AL810" s="78" t="b">
        <f t="shared" si="910"/>
        <v>0</v>
      </c>
      <c r="AM810" s="78" t="b">
        <f t="shared" si="911"/>
        <v>0</v>
      </c>
      <c r="AN810" s="78" t="b">
        <f t="shared" si="912"/>
        <v>0</v>
      </c>
      <c r="AO810" s="78" t="b">
        <f t="shared" si="913"/>
        <v>0</v>
      </c>
    </row>
    <row r="811" spans="7:41" x14ac:dyDescent="0.35">
      <c r="G811" s="77">
        <f t="shared" si="881"/>
        <v>0</v>
      </c>
      <c r="H811" s="78">
        <f t="shared" si="882"/>
        <v>0</v>
      </c>
      <c r="I811" s="77">
        <f t="shared" si="883"/>
        <v>0</v>
      </c>
      <c r="J811" s="78">
        <f t="shared" si="884"/>
        <v>0</v>
      </c>
      <c r="K811" s="78" t="str">
        <f t="shared" si="885"/>
        <v>1900-01-00 00:0:00</v>
      </c>
      <c r="L811" s="78" t="str">
        <f t="shared" si="886"/>
        <v>1900-01-00 00:0:00</v>
      </c>
      <c r="M811" s="79">
        <f t="shared" si="887"/>
        <v>0</v>
      </c>
      <c r="N811">
        <f t="shared" si="914"/>
        <v>1</v>
      </c>
      <c r="O811" t="str">
        <f>IFERROR(_xlfn.XLOOKUP(A811,HC!A:A,HC!C:C),"")</f>
        <v>Workforce</v>
      </c>
      <c r="R811" s="78" t="b">
        <f t="shared" si="890"/>
        <v>0</v>
      </c>
      <c r="S811" s="78" t="b">
        <f t="shared" si="891"/>
        <v>0</v>
      </c>
      <c r="T811" s="78" t="b">
        <f t="shared" si="892"/>
        <v>0</v>
      </c>
      <c r="U811" s="78" t="b">
        <f t="shared" si="893"/>
        <v>0</v>
      </c>
      <c r="V811" s="78" t="b">
        <f t="shared" si="894"/>
        <v>0</v>
      </c>
      <c r="W811" s="78" t="b">
        <f t="shared" si="895"/>
        <v>0</v>
      </c>
      <c r="X811" s="78" t="b">
        <f t="shared" si="896"/>
        <v>0</v>
      </c>
      <c r="Y811" s="78" t="b">
        <f t="shared" si="897"/>
        <v>0</v>
      </c>
      <c r="Z811" s="78" t="b">
        <f t="shared" si="898"/>
        <v>0</v>
      </c>
      <c r="AA811" s="78" t="b">
        <f t="shared" si="899"/>
        <v>0</v>
      </c>
      <c r="AB811" s="78" t="b">
        <f t="shared" si="900"/>
        <v>0</v>
      </c>
      <c r="AC811" s="78" t="b">
        <f t="shared" si="901"/>
        <v>0</v>
      </c>
      <c r="AD811" s="78" t="b">
        <f t="shared" si="902"/>
        <v>0</v>
      </c>
      <c r="AE811" s="78" t="b">
        <f t="shared" si="903"/>
        <v>0</v>
      </c>
      <c r="AF811" s="78" t="b">
        <f t="shared" si="904"/>
        <v>0</v>
      </c>
      <c r="AG811" s="78" t="b">
        <f t="shared" si="905"/>
        <v>0</v>
      </c>
      <c r="AH811" s="78" t="b">
        <f t="shared" si="906"/>
        <v>0</v>
      </c>
      <c r="AI811" s="78" t="b">
        <f t="shared" si="907"/>
        <v>0</v>
      </c>
      <c r="AJ811" s="78" t="b">
        <f t="shared" si="908"/>
        <v>0</v>
      </c>
      <c r="AK811" s="78" t="b">
        <f t="shared" si="909"/>
        <v>0</v>
      </c>
      <c r="AL811" s="78" t="b">
        <f t="shared" si="910"/>
        <v>0</v>
      </c>
      <c r="AM811" s="78" t="b">
        <f t="shared" si="911"/>
        <v>0</v>
      </c>
      <c r="AN811" s="78" t="b">
        <f t="shared" si="912"/>
        <v>0</v>
      </c>
      <c r="AO811" s="78" t="b">
        <f t="shared" si="913"/>
        <v>0</v>
      </c>
    </row>
    <row r="812" spans="7:41" x14ac:dyDescent="0.35">
      <c r="G812" s="77">
        <f t="shared" si="881"/>
        <v>0</v>
      </c>
      <c r="H812" s="78">
        <f t="shared" si="882"/>
        <v>0</v>
      </c>
      <c r="I812" s="77">
        <f t="shared" si="883"/>
        <v>0</v>
      </c>
      <c r="J812" s="78">
        <f t="shared" si="884"/>
        <v>0</v>
      </c>
      <c r="K812" s="78" t="str">
        <f t="shared" si="885"/>
        <v>1900-01-00 00:0:00</v>
      </c>
      <c r="L812" s="78" t="str">
        <f t="shared" si="886"/>
        <v>1900-01-00 00:0:00</v>
      </c>
      <c r="M812" s="79">
        <f t="shared" si="887"/>
        <v>0</v>
      </c>
      <c r="N812">
        <f t="shared" si="914"/>
        <v>1</v>
      </c>
      <c r="O812" t="str">
        <f>IFERROR(_xlfn.XLOOKUP(A812,HC!A:A,HC!C:C),"")</f>
        <v>Workforce</v>
      </c>
      <c r="R812" s="78" t="b">
        <f t="shared" si="890"/>
        <v>0</v>
      </c>
      <c r="S812" s="78" t="b">
        <f t="shared" si="891"/>
        <v>0</v>
      </c>
      <c r="T812" s="78" t="b">
        <f t="shared" si="892"/>
        <v>0</v>
      </c>
      <c r="U812" s="78" t="b">
        <f t="shared" si="893"/>
        <v>0</v>
      </c>
      <c r="V812" s="78" t="b">
        <f t="shared" si="894"/>
        <v>0</v>
      </c>
      <c r="W812" s="78" t="b">
        <f t="shared" si="895"/>
        <v>0</v>
      </c>
      <c r="X812" s="78" t="b">
        <f t="shared" si="896"/>
        <v>0</v>
      </c>
      <c r="Y812" s="78" t="b">
        <f t="shared" si="897"/>
        <v>0</v>
      </c>
      <c r="Z812" s="78" t="b">
        <f t="shared" si="898"/>
        <v>0</v>
      </c>
      <c r="AA812" s="78" t="b">
        <f t="shared" si="899"/>
        <v>0</v>
      </c>
      <c r="AB812" s="78" t="b">
        <f t="shared" si="900"/>
        <v>0</v>
      </c>
      <c r="AC812" s="78" t="b">
        <f t="shared" si="901"/>
        <v>0</v>
      </c>
      <c r="AD812" s="78" t="b">
        <f t="shared" si="902"/>
        <v>0</v>
      </c>
      <c r="AE812" s="78" t="b">
        <f t="shared" si="903"/>
        <v>0</v>
      </c>
      <c r="AF812" s="78" t="b">
        <f t="shared" si="904"/>
        <v>0</v>
      </c>
      <c r="AG812" s="78" t="b">
        <f t="shared" si="905"/>
        <v>0</v>
      </c>
      <c r="AH812" s="78" t="b">
        <f t="shared" si="906"/>
        <v>0</v>
      </c>
      <c r="AI812" s="78" t="b">
        <f t="shared" si="907"/>
        <v>0</v>
      </c>
      <c r="AJ812" s="78" t="b">
        <f t="shared" si="908"/>
        <v>0</v>
      </c>
      <c r="AK812" s="78" t="b">
        <f t="shared" si="909"/>
        <v>0</v>
      </c>
      <c r="AL812" s="78" t="b">
        <f t="shared" si="910"/>
        <v>0</v>
      </c>
      <c r="AM812" s="78" t="b">
        <f t="shared" si="911"/>
        <v>0</v>
      </c>
      <c r="AN812" s="78" t="b">
        <f t="shared" si="912"/>
        <v>0</v>
      </c>
      <c r="AO812" s="78" t="b">
        <f t="shared" si="913"/>
        <v>0</v>
      </c>
    </row>
    <row r="813" spans="7:41" x14ac:dyDescent="0.35">
      <c r="G813" s="77">
        <f t="shared" si="881"/>
        <v>0</v>
      </c>
      <c r="H813" s="78">
        <f t="shared" si="882"/>
        <v>0</v>
      </c>
      <c r="I813" s="77">
        <f t="shared" si="883"/>
        <v>0</v>
      </c>
      <c r="J813" s="78">
        <f t="shared" si="884"/>
        <v>0</v>
      </c>
      <c r="K813" s="78" t="str">
        <f t="shared" si="885"/>
        <v>1900-01-00 00:0:00</v>
      </c>
      <c r="L813" s="78" t="str">
        <f t="shared" si="886"/>
        <v>1900-01-00 00:0:00</v>
      </c>
      <c r="M813" s="79">
        <f t="shared" si="887"/>
        <v>0</v>
      </c>
      <c r="N813">
        <f t="shared" si="914"/>
        <v>1</v>
      </c>
      <c r="O813" t="str">
        <f>IFERROR(_xlfn.XLOOKUP(A813,HC!A:A,HC!C:C),"")</f>
        <v>Workforce</v>
      </c>
      <c r="R813" s="78" t="b">
        <f t="shared" si="890"/>
        <v>0</v>
      </c>
      <c r="S813" s="78" t="b">
        <f t="shared" si="891"/>
        <v>0</v>
      </c>
      <c r="T813" s="78" t="b">
        <f t="shared" si="892"/>
        <v>0</v>
      </c>
      <c r="U813" s="78" t="b">
        <f t="shared" si="893"/>
        <v>0</v>
      </c>
      <c r="V813" s="78" t="b">
        <f t="shared" si="894"/>
        <v>0</v>
      </c>
      <c r="W813" s="78" t="b">
        <f t="shared" si="895"/>
        <v>0</v>
      </c>
      <c r="X813" s="78" t="b">
        <f t="shared" si="896"/>
        <v>0</v>
      </c>
      <c r="Y813" s="78" t="b">
        <f t="shared" si="897"/>
        <v>0</v>
      </c>
      <c r="Z813" s="78" t="b">
        <f t="shared" si="898"/>
        <v>0</v>
      </c>
      <c r="AA813" s="78" t="b">
        <f t="shared" si="899"/>
        <v>0</v>
      </c>
      <c r="AB813" s="78" t="b">
        <f t="shared" si="900"/>
        <v>0</v>
      </c>
      <c r="AC813" s="78" t="b">
        <f t="shared" si="901"/>
        <v>0</v>
      </c>
      <c r="AD813" s="78" t="b">
        <f t="shared" si="902"/>
        <v>0</v>
      </c>
      <c r="AE813" s="78" t="b">
        <f t="shared" si="903"/>
        <v>0</v>
      </c>
      <c r="AF813" s="78" t="b">
        <f t="shared" si="904"/>
        <v>0</v>
      </c>
      <c r="AG813" s="78" t="b">
        <f t="shared" si="905"/>
        <v>0</v>
      </c>
      <c r="AH813" s="78" t="b">
        <f t="shared" si="906"/>
        <v>0</v>
      </c>
      <c r="AI813" s="78" t="b">
        <f t="shared" si="907"/>
        <v>0</v>
      </c>
      <c r="AJ813" s="78" t="b">
        <f t="shared" si="908"/>
        <v>0</v>
      </c>
      <c r="AK813" s="78" t="b">
        <f t="shared" si="909"/>
        <v>0</v>
      </c>
      <c r="AL813" s="78" t="b">
        <f t="shared" si="910"/>
        <v>0</v>
      </c>
      <c r="AM813" s="78" t="b">
        <f t="shared" si="911"/>
        <v>0</v>
      </c>
      <c r="AN813" s="78" t="b">
        <f t="shared" si="912"/>
        <v>0</v>
      </c>
      <c r="AO813" s="78" t="b">
        <f t="shared" si="913"/>
        <v>0</v>
      </c>
    </row>
    <row r="814" spans="7:41" x14ac:dyDescent="0.35">
      <c r="G814" s="77">
        <f t="shared" si="881"/>
        <v>0</v>
      </c>
      <c r="H814" s="78">
        <f t="shared" si="882"/>
        <v>0</v>
      </c>
      <c r="I814" s="77">
        <f t="shared" si="883"/>
        <v>0</v>
      </c>
      <c r="J814" s="78">
        <f t="shared" si="884"/>
        <v>0</v>
      </c>
      <c r="K814" s="78" t="str">
        <f t="shared" si="885"/>
        <v>1900-01-00 00:0:00</v>
      </c>
      <c r="L814" s="78" t="str">
        <f t="shared" si="886"/>
        <v>1900-01-00 00:0:00</v>
      </c>
      <c r="M814" s="79">
        <f t="shared" si="887"/>
        <v>0</v>
      </c>
      <c r="N814">
        <f t="shared" si="914"/>
        <v>1</v>
      </c>
      <c r="O814" t="str">
        <f>IFERROR(_xlfn.XLOOKUP(A814,HC!A:A,HC!C:C),"")</f>
        <v>Workforce</v>
      </c>
      <c r="R814" s="78" t="b">
        <f t="shared" si="890"/>
        <v>0</v>
      </c>
      <c r="S814" s="78" t="b">
        <f t="shared" si="891"/>
        <v>0</v>
      </c>
      <c r="T814" s="78" t="b">
        <f t="shared" si="892"/>
        <v>0</v>
      </c>
      <c r="U814" s="78" t="b">
        <f t="shared" si="893"/>
        <v>0</v>
      </c>
      <c r="V814" s="78" t="b">
        <f t="shared" si="894"/>
        <v>0</v>
      </c>
      <c r="W814" s="78" t="b">
        <f t="shared" si="895"/>
        <v>0</v>
      </c>
      <c r="X814" s="78" t="b">
        <f t="shared" si="896"/>
        <v>0</v>
      </c>
      <c r="Y814" s="78" t="b">
        <f t="shared" si="897"/>
        <v>0</v>
      </c>
      <c r="Z814" s="78" t="b">
        <f t="shared" si="898"/>
        <v>0</v>
      </c>
      <c r="AA814" s="78" t="b">
        <f t="shared" si="899"/>
        <v>0</v>
      </c>
      <c r="AB814" s="78" t="b">
        <f t="shared" si="900"/>
        <v>0</v>
      </c>
      <c r="AC814" s="78" t="b">
        <f t="shared" si="901"/>
        <v>0</v>
      </c>
      <c r="AD814" s="78" t="b">
        <f t="shared" si="902"/>
        <v>0</v>
      </c>
      <c r="AE814" s="78" t="b">
        <f t="shared" si="903"/>
        <v>0</v>
      </c>
      <c r="AF814" s="78" t="b">
        <f t="shared" si="904"/>
        <v>0</v>
      </c>
      <c r="AG814" s="78" t="b">
        <f t="shared" si="905"/>
        <v>0</v>
      </c>
      <c r="AH814" s="78" t="b">
        <f t="shared" si="906"/>
        <v>0</v>
      </c>
      <c r="AI814" s="78" t="b">
        <f t="shared" si="907"/>
        <v>0</v>
      </c>
      <c r="AJ814" s="78" t="b">
        <f t="shared" si="908"/>
        <v>0</v>
      </c>
      <c r="AK814" s="78" t="b">
        <f t="shared" si="909"/>
        <v>0</v>
      </c>
      <c r="AL814" s="78" t="b">
        <f t="shared" si="910"/>
        <v>0</v>
      </c>
      <c r="AM814" s="78" t="b">
        <f t="shared" si="911"/>
        <v>0</v>
      </c>
      <c r="AN814" s="78" t="b">
        <f t="shared" si="912"/>
        <v>0</v>
      </c>
      <c r="AO814" s="78" t="b">
        <f t="shared" si="913"/>
        <v>0</v>
      </c>
    </row>
    <row r="815" spans="7:41" x14ac:dyDescent="0.35">
      <c r="G815" s="77">
        <f t="shared" si="881"/>
        <v>0</v>
      </c>
      <c r="H815" s="78">
        <f t="shared" si="882"/>
        <v>0</v>
      </c>
      <c r="I815" s="77">
        <f t="shared" si="883"/>
        <v>0</v>
      </c>
      <c r="J815" s="78">
        <f t="shared" si="884"/>
        <v>0</v>
      </c>
      <c r="K815" s="78" t="str">
        <f t="shared" si="885"/>
        <v>1900-01-00 00:0:00</v>
      </c>
      <c r="L815" s="78" t="str">
        <f t="shared" si="886"/>
        <v>1900-01-00 00:0:00</v>
      </c>
      <c r="M815" s="79">
        <f t="shared" si="887"/>
        <v>0</v>
      </c>
      <c r="N815">
        <f t="shared" si="914"/>
        <v>1</v>
      </c>
      <c r="O815" t="str">
        <f>IFERROR(_xlfn.XLOOKUP(A815,HC!A:A,HC!C:C),"")</f>
        <v>Workforce</v>
      </c>
      <c r="R815" s="78" t="b">
        <f t="shared" si="890"/>
        <v>0</v>
      </c>
      <c r="S815" s="78" t="b">
        <f t="shared" si="891"/>
        <v>0</v>
      </c>
      <c r="T815" s="78" t="b">
        <f t="shared" si="892"/>
        <v>0</v>
      </c>
      <c r="U815" s="78" t="b">
        <f t="shared" si="893"/>
        <v>0</v>
      </c>
      <c r="V815" s="78" t="b">
        <f t="shared" si="894"/>
        <v>0</v>
      </c>
      <c r="W815" s="78" t="b">
        <f t="shared" si="895"/>
        <v>0</v>
      </c>
      <c r="X815" s="78" t="b">
        <f t="shared" si="896"/>
        <v>0</v>
      </c>
      <c r="Y815" s="78" t="b">
        <f t="shared" si="897"/>
        <v>0</v>
      </c>
      <c r="Z815" s="78" t="b">
        <f t="shared" si="898"/>
        <v>0</v>
      </c>
      <c r="AA815" s="78" t="b">
        <f t="shared" si="899"/>
        <v>0</v>
      </c>
      <c r="AB815" s="78" t="b">
        <f t="shared" si="900"/>
        <v>0</v>
      </c>
      <c r="AC815" s="78" t="b">
        <f t="shared" si="901"/>
        <v>0</v>
      </c>
      <c r="AD815" s="78" t="b">
        <f t="shared" si="902"/>
        <v>0</v>
      </c>
      <c r="AE815" s="78" t="b">
        <f t="shared" si="903"/>
        <v>0</v>
      </c>
      <c r="AF815" s="78" t="b">
        <f t="shared" si="904"/>
        <v>0</v>
      </c>
      <c r="AG815" s="78" t="b">
        <f t="shared" si="905"/>
        <v>0</v>
      </c>
      <c r="AH815" s="78" t="b">
        <f t="shared" si="906"/>
        <v>0</v>
      </c>
      <c r="AI815" s="78" t="b">
        <f t="shared" si="907"/>
        <v>0</v>
      </c>
      <c r="AJ815" s="78" t="b">
        <f t="shared" si="908"/>
        <v>0</v>
      </c>
      <c r="AK815" s="78" t="b">
        <f t="shared" si="909"/>
        <v>0</v>
      </c>
      <c r="AL815" s="78" t="b">
        <f t="shared" si="910"/>
        <v>0</v>
      </c>
      <c r="AM815" s="78" t="b">
        <f t="shared" si="911"/>
        <v>0</v>
      </c>
      <c r="AN815" s="78" t="b">
        <f t="shared" si="912"/>
        <v>0</v>
      </c>
      <c r="AO815" s="78" t="b">
        <f t="shared" si="913"/>
        <v>0</v>
      </c>
    </row>
    <row r="816" spans="7:41" x14ac:dyDescent="0.35">
      <c r="G816" s="77">
        <f t="shared" si="881"/>
        <v>0</v>
      </c>
      <c r="H816" s="78">
        <f t="shared" si="882"/>
        <v>0</v>
      </c>
      <c r="I816" s="77">
        <f t="shared" si="883"/>
        <v>0</v>
      </c>
      <c r="J816" s="78">
        <f t="shared" si="884"/>
        <v>0</v>
      </c>
      <c r="K816" s="78" t="str">
        <f t="shared" si="885"/>
        <v>1900-01-00 00:0:00</v>
      </c>
      <c r="L816" s="78" t="str">
        <f t="shared" si="886"/>
        <v>1900-01-00 00:0:00</v>
      </c>
      <c r="M816" s="79">
        <f t="shared" si="887"/>
        <v>0</v>
      </c>
      <c r="N816">
        <f t="shared" si="914"/>
        <v>1</v>
      </c>
      <c r="O816" t="str">
        <f>IFERROR(_xlfn.XLOOKUP(A816,HC!A:A,HC!C:C),"")</f>
        <v>Workforce</v>
      </c>
      <c r="R816" s="78" t="b">
        <f t="shared" si="890"/>
        <v>0</v>
      </c>
      <c r="S816" s="78" t="b">
        <f t="shared" si="891"/>
        <v>0</v>
      </c>
      <c r="T816" s="78" t="b">
        <f t="shared" si="892"/>
        <v>0</v>
      </c>
      <c r="U816" s="78" t="b">
        <f t="shared" si="893"/>
        <v>0</v>
      </c>
      <c r="V816" s="78" t="b">
        <f t="shared" si="894"/>
        <v>0</v>
      </c>
      <c r="W816" s="78" t="b">
        <f t="shared" si="895"/>
        <v>0</v>
      </c>
      <c r="X816" s="78" t="b">
        <f t="shared" si="896"/>
        <v>0</v>
      </c>
      <c r="Y816" s="78" t="b">
        <f t="shared" si="897"/>
        <v>0</v>
      </c>
      <c r="Z816" s="78" t="b">
        <f t="shared" si="898"/>
        <v>0</v>
      </c>
      <c r="AA816" s="78" t="b">
        <f t="shared" si="899"/>
        <v>0</v>
      </c>
      <c r="AB816" s="78" t="b">
        <f t="shared" si="900"/>
        <v>0</v>
      </c>
      <c r="AC816" s="78" t="b">
        <f t="shared" si="901"/>
        <v>0</v>
      </c>
      <c r="AD816" s="78" t="b">
        <f t="shared" si="902"/>
        <v>0</v>
      </c>
      <c r="AE816" s="78" t="b">
        <f t="shared" si="903"/>
        <v>0</v>
      </c>
      <c r="AF816" s="78" t="b">
        <f t="shared" si="904"/>
        <v>0</v>
      </c>
      <c r="AG816" s="78" t="b">
        <f t="shared" si="905"/>
        <v>0</v>
      </c>
      <c r="AH816" s="78" t="b">
        <f t="shared" si="906"/>
        <v>0</v>
      </c>
      <c r="AI816" s="78" t="b">
        <f t="shared" si="907"/>
        <v>0</v>
      </c>
      <c r="AJ816" s="78" t="b">
        <f t="shared" si="908"/>
        <v>0</v>
      </c>
      <c r="AK816" s="78" t="b">
        <f t="shared" si="909"/>
        <v>0</v>
      </c>
      <c r="AL816" s="78" t="b">
        <f t="shared" si="910"/>
        <v>0</v>
      </c>
      <c r="AM816" s="78" t="b">
        <f t="shared" si="911"/>
        <v>0</v>
      </c>
      <c r="AN816" s="78" t="b">
        <f t="shared" si="912"/>
        <v>0</v>
      </c>
      <c r="AO816" s="78" t="b">
        <f t="shared" si="913"/>
        <v>0</v>
      </c>
    </row>
    <row r="817" spans="7:41" x14ac:dyDescent="0.35">
      <c r="G817" s="77">
        <f t="shared" si="881"/>
        <v>0</v>
      </c>
      <c r="H817" s="78">
        <f t="shared" si="882"/>
        <v>0</v>
      </c>
      <c r="I817" s="77">
        <f t="shared" si="883"/>
        <v>0</v>
      </c>
      <c r="J817" s="78">
        <f t="shared" si="884"/>
        <v>0</v>
      </c>
      <c r="K817" s="78" t="str">
        <f t="shared" si="885"/>
        <v>1900-01-00 00:0:00</v>
      </c>
      <c r="L817" s="78" t="str">
        <f t="shared" si="886"/>
        <v>1900-01-00 00:0:00</v>
      </c>
      <c r="M817" s="79">
        <f t="shared" si="887"/>
        <v>0</v>
      </c>
      <c r="N817">
        <f t="shared" si="914"/>
        <v>1</v>
      </c>
      <c r="O817" t="str">
        <f>IFERROR(_xlfn.XLOOKUP(A817,HC!A:A,HC!C:C),"")</f>
        <v>Workforce</v>
      </c>
      <c r="R817" s="78" t="b">
        <f t="shared" si="890"/>
        <v>0</v>
      </c>
      <c r="S817" s="78" t="b">
        <f t="shared" si="891"/>
        <v>0</v>
      </c>
      <c r="T817" s="78" t="b">
        <f t="shared" si="892"/>
        <v>0</v>
      </c>
      <c r="U817" s="78" t="b">
        <f t="shared" si="893"/>
        <v>0</v>
      </c>
      <c r="V817" s="78" t="b">
        <f t="shared" si="894"/>
        <v>0</v>
      </c>
      <c r="W817" s="78" t="b">
        <f t="shared" si="895"/>
        <v>0</v>
      </c>
      <c r="X817" s="78" t="b">
        <f t="shared" si="896"/>
        <v>0</v>
      </c>
      <c r="Y817" s="78" t="b">
        <f t="shared" si="897"/>
        <v>0</v>
      </c>
      <c r="Z817" s="78" t="b">
        <f t="shared" si="898"/>
        <v>0</v>
      </c>
      <c r="AA817" s="78" t="b">
        <f t="shared" si="899"/>
        <v>0</v>
      </c>
      <c r="AB817" s="78" t="b">
        <f t="shared" si="900"/>
        <v>0</v>
      </c>
      <c r="AC817" s="78" t="b">
        <f t="shared" si="901"/>
        <v>0</v>
      </c>
      <c r="AD817" s="78" t="b">
        <f t="shared" si="902"/>
        <v>0</v>
      </c>
      <c r="AE817" s="78" t="b">
        <f t="shared" si="903"/>
        <v>0</v>
      </c>
      <c r="AF817" s="78" t="b">
        <f t="shared" si="904"/>
        <v>0</v>
      </c>
      <c r="AG817" s="78" t="b">
        <f t="shared" si="905"/>
        <v>0</v>
      </c>
      <c r="AH817" s="78" t="b">
        <f t="shared" si="906"/>
        <v>0</v>
      </c>
      <c r="AI817" s="78" t="b">
        <f t="shared" si="907"/>
        <v>0</v>
      </c>
      <c r="AJ817" s="78" t="b">
        <f t="shared" si="908"/>
        <v>0</v>
      </c>
      <c r="AK817" s="78" t="b">
        <f t="shared" si="909"/>
        <v>0</v>
      </c>
      <c r="AL817" s="78" t="b">
        <f t="shared" si="910"/>
        <v>0</v>
      </c>
      <c r="AM817" s="78" t="b">
        <f t="shared" si="911"/>
        <v>0</v>
      </c>
      <c r="AN817" s="78" t="b">
        <f t="shared" si="912"/>
        <v>0</v>
      </c>
      <c r="AO817" s="78" t="b">
        <f t="shared" si="913"/>
        <v>0</v>
      </c>
    </row>
    <row r="818" spans="7:41" x14ac:dyDescent="0.35">
      <c r="G818" s="77">
        <f t="shared" si="881"/>
        <v>0</v>
      </c>
      <c r="H818" s="78">
        <f t="shared" si="882"/>
        <v>0</v>
      </c>
      <c r="I818" s="77">
        <f t="shared" si="883"/>
        <v>0</v>
      </c>
      <c r="J818" s="78">
        <f t="shared" si="884"/>
        <v>0</v>
      </c>
      <c r="K818" s="78" t="str">
        <f t="shared" si="885"/>
        <v>1900-01-00 00:0:00</v>
      </c>
      <c r="L818" s="78" t="str">
        <f t="shared" si="886"/>
        <v>1900-01-00 00:0:00</v>
      </c>
      <c r="M818" s="79">
        <f t="shared" si="887"/>
        <v>0</v>
      </c>
      <c r="N818">
        <f t="shared" si="914"/>
        <v>1</v>
      </c>
      <c r="O818" t="str">
        <f>IFERROR(_xlfn.XLOOKUP(A818,HC!A:A,HC!C:C),"")</f>
        <v>Workforce</v>
      </c>
      <c r="R818" s="78" t="b">
        <f t="shared" si="890"/>
        <v>0</v>
      </c>
      <c r="S818" s="78" t="b">
        <f t="shared" si="891"/>
        <v>0</v>
      </c>
      <c r="T818" s="78" t="b">
        <f t="shared" si="892"/>
        <v>0</v>
      </c>
      <c r="U818" s="78" t="b">
        <f t="shared" si="893"/>
        <v>0</v>
      </c>
      <c r="V818" s="78" t="b">
        <f t="shared" si="894"/>
        <v>0</v>
      </c>
      <c r="W818" s="78" t="b">
        <f t="shared" si="895"/>
        <v>0</v>
      </c>
      <c r="X818" s="78" t="b">
        <f t="shared" si="896"/>
        <v>0</v>
      </c>
      <c r="Y818" s="78" t="b">
        <f t="shared" si="897"/>
        <v>0</v>
      </c>
      <c r="Z818" s="78" t="b">
        <f t="shared" si="898"/>
        <v>0</v>
      </c>
      <c r="AA818" s="78" t="b">
        <f t="shared" si="899"/>
        <v>0</v>
      </c>
      <c r="AB818" s="78" t="b">
        <f t="shared" si="900"/>
        <v>0</v>
      </c>
      <c r="AC818" s="78" t="b">
        <f t="shared" si="901"/>
        <v>0</v>
      </c>
      <c r="AD818" s="78" t="b">
        <f t="shared" si="902"/>
        <v>0</v>
      </c>
      <c r="AE818" s="78" t="b">
        <f t="shared" si="903"/>
        <v>0</v>
      </c>
      <c r="AF818" s="78" t="b">
        <f t="shared" si="904"/>
        <v>0</v>
      </c>
      <c r="AG818" s="78" t="b">
        <f t="shared" si="905"/>
        <v>0</v>
      </c>
      <c r="AH818" s="78" t="b">
        <f t="shared" si="906"/>
        <v>0</v>
      </c>
      <c r="AI818" s="78" t="b">
        <f t="shared" si="907"/>
        <v>0</v>
      </c>
      <c r="AJ818" s="78" t="b">
        <f t="shared" si="908"/>
        <v>0</v>
      </c>
      <c r="AK818" s="78" t="b">
        <f t="shared" si="909"/>
        <v>0</v>
      </c>
      <c r="AL818" s="78" t="b">
        <f t="shared" si="910"/>
        <v>0</v>
      </c>
      <c r="AM818" s="78" t="b">
        <f t="shared" si="911"/>
        <v>0</v>
      </c>
      <c r="AN818" s="78" t="b">
        <f t="shared" si="912"/>
        <v>0</v>
      </c>
      <c r="AO818" s="78" t="b">
        <f t="shared" si="913"/>
        <v>0</v>
      </c>
    </row>
    <row r="819" spans="7:41" x14ac:dyDescent="0.35">
      <c r="G819" s="77">
        <f t="shared" si="881"/>
        <v>0</v>
      </c>
      <c r="H819" s="78">
        <f t="shared" si="882"/>
        <v>0</v>
      </c>
      <c r="I819" s="77">
        <f t="shared" si="883"/>
        <v>0</v>
      </c>
      <c r="J819" s="78">
        <f t="shared" si="884"/>
        <v>0</v>
      </c>
      <c r="K819" s="78" t="str">
        <f t="shared" si="885"/>
        <v>1900-01-00 00:0:00</v>
      </c>
      <c r="L819" s="78" t="str">
        <f t="shared" si="886"/>
        <v>1900-01-00 00:0:00</v>
      </c>
      <c r="M819" s="79">
        <f t="shared" si="887"/>
        <v>0</v>
      </c>
      <c r="N819">
        <f t="shared" si="914"/>
        <v>1</v>
      </c>
      <c r="O819" t="str">
        <f>IFERROR(_xlfn.XLOOKUP(A819,HC!A:A,HC!C:C),"")</f>
        <v>Workforce</v>
      </c>
      <c r="R819" s="78" t="b">
        <f t="shared" si="890"/>
        <v>0</v>
      </c>
      <c r="S819" s="78" t="b">
        <f t="shared" si="891"/>
        <v>0</v>
      </c>
      <c r="T819" s="78" t="b">
        <f t="shared" si="892"/>
        <v>0</v>
      </c>
      <c r="U819" s="78" t="b">
        <f t="shared" si="893"/>
        <v>0</v>
      </c>
      <c r="V819" s="78" t="b">
        <f t="shared" si="894"/>
        <v>0</v>
      </c>
      <c r="W819" s="78" t="b">
        <f t="shared" si="895"/>
        <v>0</v>
      </c>
      <c r="X819" s="78" t="b">
        <f t="shared" si="896"/>
        <v>0</v>
      </c>
      <c r="Y819" s="78" t="b">
        <f t="shared" si="897"/>
        <v>0</v>
      </c>
      <c r="Z819" s="78" t="b">
        <f t="shared" si="898"/>
        <v>0</v>
      </c>
      <c r="AA819" s="78" t="b">
        <f t="shared" si="899"/>
        <v>0</v>
      </c>
      <c r="AB819" s="78" t="b">
        <f t="shared" si="900"/>
        <v>0</v>
      </c>
      <c r="AC819" s="78" t="b">
        <f t="shared" si="901"/>
        <v>0</v>
      </c>
      <c r="AD819" s="78" t="b">
        <f t="shared" si="902"/>
        <v>0</v>
      </c>
      <c r="AE819" s="78" t="b">
        <f t="shared" si="903"/>
        <v>0</v>
      </c>
      <c r="AF819" s="78" t="b">
        <f t="shared" si="904"/>
        <v>0</v>
      </c>
      <c r="AG819" s="78" t="b">
        <f t="shared" si="905"/>
        <v>0</v>
      </c>
      <c r="AH819" s="78" t="b">
        <f t="shared" si="906"/>
        <v>0</v>
      </c>
      <c r="AI819" s="78" t="b">
        <f t="shared" si="907"/>
        <v>0</v>
      </c>
      <c r="AJ819" s="78" t="b">
        <f t="shared" si="908"/>
        <v>0</v>
      </c>
      <c r="AK819" s="78" t="b">
        <f t="shared" si="909"/>
        <v>0</v>
      </c>
      <c r="AL819" s="78" t="b">
        <f t="shared" si="910"/>
        <v>0</v>
      </c>
      <c r="AM819" s="78" t="b">
        <f t="shared" si="911"/>
        <v>0</v>
      </c>
      <c r="AN819" s="78" t="b">
        <f t="shared" si="912"/>
        <v>0</v>
      </c>
      <c r="AO819" s="78" t="b">
        <f t="shared" si="913"/>
        <v>0</v>
      </c>
    </row>
    <row r="820" spans="7:41" x14ac:dyDescent="0.35">
      <c r="G820" s="77">
        <f t="shared" si="881"/>
        <v>0</v>
      </c>
      <c r="H820" s="78">
        <f t="shared" si="882"/>
        <v>0</v>
      </c>
      <c r="I820" s="77">
        <f t="shared" si="883"/>
        <v>0</v>
      </c>
      <c r="J820" s="78">
        <f t="shared" si="884"/>
        <v>0</v>
      </c>
      <c r="K820" s="78" t="str">
        <f t="shared" si="885"/>
        <v>1900-01-00 00:0:00</v>
      </c>
      <c r="L820" s="78" t="str">
        <f t="shared" si="886"/>
        <v>1900-01-00 00:0:00</v>
      </c>
      <c r="M820" s="79">
        <f t="shared" si="887"/>
        <v>0</v>
      </c>
      <c r="N820">
        <f t="shared" si="914"/>
        <v>1</v>
      </c>
      <c r="O820" t="str">
        <f>IFERROR(_xlfn.XLOOKUP(A820,HC!A:A,HC!C:C),"")</f>
        <v>Workforce</v>
      </c>
      <c r="R820" s="78" t="b">
        <f t="shared" si="890"/>
        <v>0</v>
      </c>
      <c r="S820" s="78" t="b">
        <f t="shared" si="891"/>
        <v>0</v>
      </c>
      <c r="T820" s="78" t="b">
        <f t="shared" si="892"/>
        <v>0</v>
      </c>
      <c r="U820" s="78" t="b">
        <f t="shared" si="893"/>
        <v>0</v>
      </c>
      <c r="V820" s="78" t="b">
        <f t="shared" si="894"/>
        <v>0</v>
      </c>
      <c r="W820" s="78" t="b">
        <f t="shared" si="895"/>
        <v>0</v>
      </c>
      <c r="X820" s="78" t="b">
        <f t="shared" si="896"/>
        <v>0</v>
      </c>
      <c r="Y820" s="78" t="b">
        <f t="shared" si="897"/>
        <v>0</v>
      </c>
      <c r="Z820" s="78" t="b">
        <f t="shared" si="898"/>
        <v>0</v>
      </c>
      <c r="AA820" s="78" t="b">
        <f t="shared" si="899"/>
        <v>0</v>
      </c>
      <c r="AB820" s="78" t="b">
        <f t="shared" si="900"/>
        <v>0</v>
      </c>
      <c r="AC820" s="78" t="b">
        <f t="shared" si="901"/>
        <v>0</v>
      </c>
      <c r="AD820" s="78" t="b">
        <f t="shared" si="902"/>
        <v>0</v>
      </c>
      <c r="AE820" s="78" t="b">
        <f t="shared" si="903"/>
        <v>0</v>
      </c>
      <c r="AF820" s="78" t="b">
        <f t="shared" si="904"/>
        <v>0</v>
      </c>
      <c r="AG820" s="78" t="b">
        <f t="shared" si="905"/>
        <v>0</v>
      </c>
      <c r="AH820" s="78" t="b">
        <f t="shared" si="906"/>
        <v>0</v>
      </c>
      <c r="AI820" s="78" t="b">
        <f t="shared" si="907"/>
        <v>0</v>
      </c>
      <c r="AJ820" s="78" t="b">
        <f t="shared" si="908"/>
        <v>0</v>
      </c>
      <c r="AK820" s="78" t="b">
        <f t="shared" si="909"/>
        <v>0</v>
      </c>
      <c r="AL820" s="78" t="b">
        <f t="shared" si="910"/>
        <v>0</v>
      </c>
      <c r="AM820" s="78" t="b">
        <f t="shared" si="911"/>
        <v>0</v>
      </c>
      <c r="AN820" s="78" t="b">
        <f t="shared" si="912"/>
        <v>0</v>
      </c>
      <c r="AO820" s="78" t="b">
        <f t="shared" si="913"/>
        <v>0</v>
      </c>
    </row>
    <row r="821" spans="7:41" x14ac:dyDescent="0.35">
      <c r="G821" s="77">
        <f t="shared" si="881"/>
        <v>0</v>
      </c>
      <c r="H821" s="78">
        <f t="shared" si="882"/>
        <v>0</v>
      </c>
      <c r="I821" s="77">
        <f t="shared" si="883"/>
        <v>0</v>
      </c>
      <c r="J821" s="78">
        <f t="shared" si="884"/>
        <v>0</v>
      </c>
      <c r="K821" s="78" t="str">
        <f t="shared" si="885"/>
        <v>1900-01-00 00:0:00</v>
      </c>
      <c r="L821" s="78" t="str">
        <f t="shared" si="886"/>
        <v>1900-01-00 00:0:00</v>
      </c>
      <c r="M821" s="79">
        <f t="shared" si="887"/>
        <v>0</v>
      </c>
      <c r="N821">
        <f t="shared" si="914"/>
        <v>1</v>
      </c>
      <c r="O821" t="str">
        <f>IFERROR(_xlfn.XLOOKUP(A821,HC!A:A,HC!C:C),"")</f>
        <v>Workforce</v>
      </c>
      <c r="R821" s="78" t="b">
        <f t="shared" si="890"/>
        <v>0</v>
      </c>
      <c r="S821" s="78" t="b">
        <f t="shared" si="891"/>
        <v>0</v>
      </c>
      <c r="T821" s="78" t="b">
        <f t="shared" si="892"/>
        <v>0</v>
      </c>
      <c r="U821" s="78" t="b">
        <f t="shared" si="893"/>
        <v>0</v>
      </c>
      <c r="V821" s="78" t="b">
        <f t="shared" si="894"/>
        <v>0</v>
      </c>
      <c r="W821" s="78" t="b">
        <f t="shared" si="895"/>
        <v>0</v>
      </c>
      <c r="X821" s="78" t="b">
        <f t="shared" si="896"/>
        <v>0</v>
      </c>
      <c r="Y821" s="78" t="b">
        <f t="shared" si="897"/>
        <v>0</v>
      </c>
      <c r="Z821" s="78" t="b">
        <f t="shared" si="898"/>
        <v>0</v>
      </c>
      <c r="AA821" s="78" t="b">
        <f t="shared" si="899"/>
        <v>0</v>
      </c>
      <c r="AB821" s="78" t="b">
        <f t="shared" si="900"/>
        <v>0</v>
      </c>
      <c r="AC821" s="78" t="b">
        <f t="shared" si="901"/>
        <v>0</v>
      </c>
      <c r="AD821" s="78" t="b">
        <f t="shared" si="902"/>
        <v>0</v>
      </c>
      <c r="AE821" s="78" t="b">
        <f t="shared" si="903"/>
        <v>0</v>
      </c>
      <c r="AF821" s="78" t="b">
        <f t="shared" si="904"/>
        <v>0</v>
      </c>
      <c r="AG821" s="78" t="b">
        <f t="shared" si="905"/>
        <v>0</v>
      </c>
      <c r="AH821" s="78" t="b">
        <f t="shared" si="906"/>
        <v>0</v>
      </c>
      <c r="AI821" s="78" t="b">
        <f t="shared" si="907"/>
        <v>0</v>
      </c>
      <c r="AJ821" s="78" t="b">
        <f t="shared" si="908"/>
        <v>0</v>
      </c>
      <c r="AK821" s="78" t="b">
        <f t="shared" si="909"/>
        <v>0</v>
      </c>
      <c r="AL821" s="78" t="b">
        <f t="shared" si="910"/>
        <v>0</v>
      </c>
      <c r="AM821" s="78" t="b">
        <f t="shared" si="911"/>
        <v>0</v>
      </c>
      <c r="AN821" s="78" t="b">
        <f t="shared" si="912"/>
        <v>0</v>
      </c>
      <c r="AO821" s="78" t="b">
        <f t="shared" si="913"/>
        <v>0</v>
      </c>
    </row>
    <row r="822" spans="7:41" x14ac:dyDescent="0.35">
      <c r="G822" s="77">
        <f t="shared" si="881"/>
        <v>0</v>
      </c>
      <c r="H822" s="78">
        <f t="shared" si="882"/>
        <v>0</v>
      </c>
      <c r="I822" s="77">
        <f t="shared" si="883"/>
        <v>0</v>
      </c>
      <c r="J822" s="78">
        <f t="shared" si="884"/>
        <v>0</v>
      </c>
      <c r="K822" s="78" t="str">
        <f t="shared" si="885"/>
        <v>1900-01-00 00:0:00</v>
      </c>
      <c r="L822" s="78" t="str">
        <f t="shared" si="886"/>
        <v>1900-01-00 00:0:00</v>
      </c>
      <c r="M822" s="79">
        <f t="shared" si="887"/>
        <v>0</v>
      </c>
      <c r="N822">
        <f t="shared" si="914"/>
        <v>1</v>
      </c>
      <c r="O822" t="str">
        <f>IFERROR(_xlfn.XLOOKUP(A822,HC!A:A,HC!C:C),"")</f>
        <v>Workforce</v>
      </c>
      <c r="R822" s="78" t="b">
        <f t="shared" si="890"/>
        <v>0</v>
      </c>
      <c r="S822" s="78" t="b">
        <f t="shared" si="891"/>
        <v>0</v>
      </c>
      <c r="T822" s="78" t="b">
        <f t="shared" si="892"/>
        <v>0</v>
      </c>
      <c r="U822" s="78" t="b">
        <f t="shared" si="893"/>
        <v>0</v>
      </c>
      <c r="V822" s="78" t="b">
        <f t="shared" si="894"/>
        <v>0</v>
      </c>
      <c r="W822" s="78" t="b">
        <f t="shared" si="895"/>
        <v>0</v>
      </c>
      <c r="X822" s="78" t="b">
        <f t="shared" si="896"/>
        <v>0</v>
      </c>
      <c r="Y822" s="78" t="b">
        <f t="shared" si="897"/>
        <v>0</v>
      </c>
      <c r="Z822" s="78" t="b">
        <f t="shared" si="898"/>
        <v>0</v>
      </c>
      <c r="AA822" s="78" t="b">
        <f t="shared" si="899"/>
        <v>0</v>
      </c>
      <c r="AB822" s="78" t="b">
        <f t="shared" si="900"/>
        <v>0</v>
      </c>
      <c r="AC822" s="78" t="b">
        <f t="shared" si="901"/>
        <v>0</v>
      </c>
      <c r="AD822" s="78" t="b">
        <f t="shared" si="902"/>
        <v>0</v>
      </c>
      <c r="AE822" s="78" t="b">
        <f t="shared" si="903"/>
        <v>0</v>
      </c>
      <c r="AF822" s="78" t="b">
        <f t="shared" si="904"/>
        <v>0</v>
      </c>
      <c r="AG822" s="78" t="b">
        <f t="shared" si="905"/>
        <v>0</v>
      </c>
      <c r="AH822" s="78" t="b">
        <f t="shared" si="906"/>
        <v>0</v>
      </c>
      <c r="AI822" s="78" t="b">
        <f t="shared" si="907"/>
        <v>0</v>
      </c>
      <c r="AJ822" s="78" t="b">
        <f t="shared" si="908"/>
        <v>0</v>
      </c>
      <c r="AK822" s="78" t="b">
        <f t="shared" si="909"/>
        <v>0</v>
      </c>
      <c r="AL822" s="78" t="b">
        <f t="shared" si="910"/>
        <v>0</v>
      </c>
      <c r="AM822" s="78" t="b">
        <f t="shared" si="911"/>
        <v>0</v>
      </c>
      <c r="AN822" s="78" t="b">
        <f t="shared" si="912"/>
        <v>0</v>
      </c>
      <c r="AO822" s="78" t="b">
        <f t="shared" si="913"/>
        <v>0</v>
      </c>
    </row>
    <row r="823" spans="7:41" x14ac:dyDescent="0.35">
      <c r="G823" s="77">
        <f t="shared" si="881"/>
        <v>0</v>
      </c>
      <c r="H823" s="78">
        <f t="shared" si="882"/>
        <v>0</v>
      </c>
      <c r="I823" s="77">
        <f t="shared" si="883"/>
        <v>0</v>
      </c>
      <c r="J823" s="78">
        <f t="shared" si="884"/>
        <v>0</v>
      </c>
      <c r="K823" s="78" t="str">
        <f t="shared" si="885"/>
        <v>1900-01-00 00:0:00</v>
      </c>
      <c r="L823" s="78" t="str">
        <f t="shared" si="886"/>
        <v>1900-01-00 00:0:00</v>
      </c>
      <c r="M823" s="79">
        <f t="shared" si="887"/>
        <v>0</v>
      </c>
      <c r="N823">
        <f t="shared" si="914"/>
        <v>1</v>
      </c>
      <c r="O823" t="str">
        <f>IFERROR(_xlfn.XLOOKUP(A823,HC!A:A,HC!C:C),"")</f>
        <v>Workforce</v>
      </c>
      <c r="R823" s="78" t="b">
        <f t="shared" si="890"/>
        <v>0</v>
      </c>
      <c r="S823" s="78" t="b">
        <f t="shared" si="891"/>
        <v>0</v>
      </c>
      <c r="T823" s="78" t="b">
        <f t="shared" si="892"/>
        <v>0</v>
      </c>
      <c r="U823" s="78" t="b">
        <f t="shared" si="893"/>
        <v>0</v>
      </c>
      <c r="V823" s="78" t="b">
        <f t="shared" si="894"/>
        <v>0</v>
      </c>
      <c r="W823" s="78" t="b">
        <f t="shared" si="895"/>
        <v>0</v>
      </c>
      <c r="X823" s="78" t="b">
        <f t="shared" si="896"/>
        <v>0</v>
      </c>
      <c r="Y823" s="78" t="b">
        <f t="shared" si="897"/>
        <v>0</v>
      </c>
      <c r="Z823" s="78" t="b">
        <f t="shared" si="898"/>
        <v>0</v>
      </c>
      <c r="AA823" s="78" t="b">
        <f t="shared" si="899"/>
        <v>0</v>
      </c>
      <c r="AB823" s="78" t="b">
        <f t="shared" si="900"/>
        <v>0</v>
      </c>
      <c r="AC823" s="78" t="b">
        <f t="shared" si="901"/>
        <v>0</v>
      </c>
      <c r="AD823" s="78" t="b">
        <f t="shared" si="902"/>
        <v>0</v>
      </c>
      <c r="AE823" s="78" t="b">
        <f t="shared" si="903"/>
        <v>0</v>
      </c>
      <c r="AF823" s="78" t="b">
        <f t="shared" si="904"/>
        <v>0</v>
      </c>
      <c r="AG823" s="78" t="b">
        <f t="shared" si="905"/>
        <v>0</v>
      </c>
      <c r="AH823" s="78" t="b">
        <f t="shared" si="906"/>
        <v>0</v>
      </c>
      <c r="AI823" s="78" t="b">
        <f t="shared" si="907"/>
        <v>0</v>
      </c>
      <c r="AJ823" s="78" t="b">
        <f t="shared" si="908"/>
        <v>0</v>
      </c>
      <c r="AK823" s="78" t="b">
        <f t="shared" si="909"/>
        <v>0</v>
      </c>
      <c r="AL823" s="78" t="b">
        <f t="shared" si="910"/>
        <v>0</v>
      </c>
      <c r="AM823" s="78" t="b">
        <f t="shared" si="911"/>
        <v>0</v>
      </c>
      <c r="AN823" s="78" t="b">
        <f t="shared" si="912"/>
        <v>0</v>
      </c>
      <c r="AO823" s="78" t="b">
        <f t="shared" si="913"/>
        <v>0</v>
      </c>
    </row>
    <row r="824" spans="7:41" x14ac:dyDescent="0.35">
      <c r="G824" s="77">
        <f t="shared" si="881"/>
        <v>0</v>
      </c>
      <c r="H824" s="78">
        <f t="shared" si="882"/>
        <v>0</v>
      </c>
      <c r="I824" s="77">
        <f t="shared" si="883"/>
        <v>0</v>
      </c>
      <c r="J824" s="78">
        <f t="shared" si="884"/>
        <v>0</v>
      </c>
      <c r="K824" s="78" t="str">
        <f t="shared" si="885"/>
        <v>1900-01-00 00:0:00</v>
      </c>
      <c r="L824" s="78" t="str">
        <f t="shared" si="886"/>
        <v>1900-01-00 00:0:00</v>
      </c>
      <c r="M824" s="79">
        <f t="shared" si="887"/>
        <v>0</v>
      </c>
      <c r="N824">
        <f t="shared" si="914"/>
        <v>1</v>
      </c>
      <c r="O824" t="str">
        <f>IFERROR(_xlfn.XLOOKUP(A824,HC!A:A,HC!C:C),"")</f>
        <v>Workforce</v>
      </c>
      <c r="R824" s="78" t="b">
        <f t="shared" si="890"/>
        <v>0</v>
      </c>
      <c r="S824" s="78" t="b">
        <f t="shared" si="891"/>
        <v>0</v>
      </c>
      <c r="T824" s="78" t="b">
        <f t="shared" si="892"/>
        <v>0</v>
      </c>
      <c r="U824" s="78" t="b">
        <f t="shared" si="893"/>
        <v>0</v>
      </c>
      <c r="V824" s="78" t="b">
        <f t="shared" si="894"/>
        <v>0</v>
      </c>
      <c r="W824" s="78" t="b">
        <f t="shared" si="895"/>
        <v>0</v>
      </c>
      <c r="X824" s="78" t="b">
        <f t="shared" si="896"/>
        <v>0</v>
      </c>
      <c r="Y824" s="78" t="b">
        <f t="shared" si="897"/>
        <v>0</v>
      </c>
      <c r="Z824" s="78" t="b">
        <f t="shared" si="898"/>
        <v>0</v>
      </c>
      <c r="AA824" s="78" t="b">
        <f t="shared" si="899"/>
        <v>0</v>
      </c>
      <c r="AB824" s="78" t="b">
        <f t="shared" si="900"/>
        <v>0</v>
      </c>
      <c r="AC824" s="78" t="b">
        <f t="shared" si="901"/>
        <v>0</v>
      </c>
      <c r="AD824" s="78" t="b">
        <f t="shared" si="902"/>
        <v>0</v>
      </c>
      <c r="AE824" s="78" t="b">
        <f t="shared" si="903"/>
        <v>0</v>
      </c>
      <c r="AF824" s="78" t="b">
        <f t="shared" si="904"/>
        <v>0</v>
      </c>
      <c r="AG824" s="78" t="b">
        <f t="shared" si="905"/>
        <v>0</v>
      </c>
      <c r="AH824" s="78" t="b">
        <f t="shared" si="906"/>
        <v>0</v>
      </c>
      <c r="AI824" s="78" t="b">
        <f t="shared" si="907"/>
        <v>0</v>
      </c>
      <c r="AJ824" s="78" t="b">
        <f t="shared" si="908"/>
        <v>0</v>
      </c>
      <c r="AK824" s="78" t="b">
        <f t="shared" si="909"/>
        <v>0</v>
      </c>
      <c r="AL824" s="78" t="b">
        <f t="shared" si="910"/>
        <v>0</v>
      </c>
      <c r="AM824" s="78" t="b">
        <f t="shared" si="911"/>
        <v>0</v>
      </c>
      <c r="AN824" s="78" t="b">
        <f t="shared" si="912"/>
        <v>0</v>
      </c>
      <c r="AO824" s="78" t="b">
        <f t="shared" si="913"/>
        <v>0</v>
      </c>
    </row>
    <row r="825" spans="7:41" x14ac:dyDescent="0.35">
      <c r="G825" s="77">
        <f t="shared" si="881"/>
        <v>0</v>
      </c>
      <c r="H825" s="78">
        <f t="shared" si="882"/>
        <v>0</v>
      </c>
      <c r="I825" s="77">
        <f t="shared" si="883"/>
        <v>0</v>
      </c>
      <c r="J825" s="78">
        <f t="shared" si="884"/>
        <v>0</v>
      </c>
      <c r="K825" s="78" t="str">
        <f t="shared" si="885"/>
        <v>1900-01-00 00:0:00</v>
      </c>
      <c r="L825" s="78" t="str">
        <f t="shared" si="886"/>
        <v>1900-01-00 00:0:00</v>
      </c>
      <c r="M825" s="79">
        <f t="shared" si="887"/>
        <v>0</v>
      </c>
      <c r="N825">
        <f t="shared" si="914"/>
        <v>1</v>
      </c>
      <c r="O825" t="str">
        <f>IFERROR(_xlfn.XLOOKUP(A825,HC!A:A,HC!C:C),"")</f>
        <v>Workforce</v>
      </c>
      <c r="R825" s="78" t="b">
        <f t="shared" si="890"/>
        <v>0</v>
      </c>
      <c r="S825" s="78" t="b">
        <f t="shared" si="891"/>
        <v>0</v>
      </c>
      <c r="T825" s="78" t="b">
        <f t="shared" si="892"/>
        <v>0</v>
      </c>
      <c r="U825" s="78" t="b">
        <f t="shared" si="893"/>
        <v>0</v>
      </c>
      <c r="V825" s="78" t="b">
        <f t="shared" si="894"/>
        <v>0</v>
      </c>
      <c r="W825" s="78" t="b">
        <f t="shared" si="895"/>
        <v>0</v>
      </c>
      <c r="X825" s="78" t="b">
        <f t="shared" si="896"/>
        <v>0</v>
      </c>
      <c r="Y825" s="78" t="b">
        <f t="shared" si="897"/>
        <v>0</v>
      </c>
      <c r="Z825" s="78" t="b">
        <f t="shared" si="898"/>
        <v>0</v>
      </c>
      <c r="AA825" s="78" t="b">
        <f t="shared" si="899"/>
        <v>0</v>
      </c>
      <c r="AB825" s="78" t="b">
        <f t="shared" si="900"/>
        <v>0</v>
      </c>
      <c r="AC825" s="78" t="b">
        <f t="shared" si="901"/>
        <v>0</v>
      </c>
      <c r="AD825" s="78" t="b">
        <f t="shared" si="902"/>
        <v>0</v>
      </c>
      <c r="AE825" s="78" t="b">
        <f t="shared" si="903"/>
        <v>0</v>
      </c>
      <c r="AF825" s="78" t="b">
        <f t="shared" si="904"/>
        <v>0</v>
      </c>
      <c r="AG825" s="78" t="b">
        <f t="shared" si="905"/>
        <v>0</v>
      </c>
      <c r="AH825" s="78" t="b">
        <f t="shared" si="906"/>
        <v>0</v>
      </c>
      <c r="AI825" s="78" t="b">
        <f t="shared" si="907"/>
        <v>0</v>
      </c>
      <c r="AJ825" s="78" t="b">
        <f t="shared" si="908"/>
        <v>0</v>
      </c>
      <c r="AK825" s="78" t="b">
        <f t="shared" si="909"/>
        <v>0</v>
      </c>
      <c r="AL825" s="78" t="b">
        <f t="shared" si="910"/>
        <v>0</v>
      </c>
      <c r="AM825" s="78" t="b">
        <f t="shared" si="911"/>
        <v>0</v>
      </c>
      <c r="AN825" s="78" t="b">
        <f t="shared" si="912"/>
        <v>0</v>
      </c>
      <c r="AO825" s="78" t="b">
        <f t="shared" si="913"/>
        <v>0</v>
      </c>
    </row>
    <row r="826" spans="7:41" x14ac:dyDescent="0.35">
      <c r="G826" s="77">
        <f t="shared" ref="G826:G889" si="915">INT(D826)</f>
        <v>0</v>
      </c>
      <c r="H826" s="78">
        <f t="shared" ref="H826:H889" si="916">D826-G826</f>
        <v>0</v>
      </c>
      <c r="I826" s="77">
        <f t="shared" ref="I826:I889" si="917">INT(E826)</f>
        <v>0</v>
      </c>
      <c r="J826" s="78">
        <f t="shared" ref="J826:J889" si="918">E826-I826</f>
        <v>0</v>
      </c>
      <c r="K826" s="78" t="str">
        <f t="shared" ref="K826:K889" si="919">TEXT(G826+H826,"yyyy-mm-dd hh:m:ss")</f>
        <v>1900-01-00 00:0:00</v>
      </c>
      <c r="L826" s="78" t="str">
        <f t="shared" ref="L826:L889" si="920">TEXT(I826+J826,"yyyy-mm-dd hh:m:ss")</f>
        <v>1900-01-00 00:0:00</v>
      </c>
      <c r="M826" s="79">
        <f t="shared" ref="M826:M889" si="921">E826-D826</f>
        <v>0</v>
      </c>
      <c r="N826">
        <f t="shared" si="914"/>
        <v>1</v>
      </c>
      <c r="O826" t="str">
        <f>IFERROR(_xlfn.XLOOKUP(A826,HC!A:A,HC!C:C),"")</f>
        <v>Workforce</v>
      </c>
      <c r="R826" s="78" t="b">
        <f t="shared" si="890"/>
        <v>0</v>
      </c>
      <c r="S826" s="78" t="b">
        <f t="shared" si="891"/>
        <v>0</v>
      </c>
      <c r="T826" s="78" t="b">
        <f t="shared" si="892"/>
        <v>0</v>
      </c>
      <c r="U826" s="78" t="b">
        <f t="shared" si="893"/>
        <v>0</v>
      </c>
      <c r="V826" s="78" t="b">
        <f t="shared" si="894"/>
        <v>0</v>
      </c>
      <c r="W826" s="78" t="b">
        <f t="shared" si="895"/>
        <v>0</v>
      </c>
      <c r="X826" s="78" t="b">
        <f t="shared" si="896"/>
        <v>0</v>
      </c>
      <c r="Y826" s="78" t="b">
        <f t="shared" si="897"/>
        <v>0</v>
      </c>
      <c r="Z826" s="78" t="b">
        <f t="shared" si="898"/>
        <v>0</v>
      </c>
      <c r="AA826" s="78" t="b">
        <f t="shared" si="899"/>
        <v>0</v>
      </c>
      <c r="AB826" s="78" t="b">
        <f t="shared" si="900"/>
        <v>0</v>
      </c>
      <c r="AC826" s="78" t="b">
        <f t="shared" si="901"/>
        <v>0</v>
      </c>
      <c r="AD826" s="78" t="b">
        <f t="shared" si="902"/>
        <v>0</v>
      </c>
      <c r="AE826" s="78" t="b">
        <f t="shared" si="903"/>
        <v>0</v>
      </c>
      <c r="AF826" s="78" t="b">
        <f t="shared" si="904"/>
        <v>0</v>
      </c>
      <c r="AG826" s="78" t="b">
        <f t="shared" si="905"/>
        <v>0</v>
      </c>
      <c r="AH826" s="78" t="b">
        <f t="shared" si="906"/>
        <v>0</v>
      </c>
      <c r="AI826" s="78" t="b">
        <f t="shared" si="907"/>
        <v>0</v>
      </c>
      <c r="AJ826" s="78" t="b">
        <f t="shared" si="908"/>
        <v>0</v>
      </c>
      <c r="AK826" s="78" t="b">
        <f t="shared" si="909"/>
        <v>0</v>
      </c>
      <c r="AL826" s="78" t="b">
        <f t="shared" si="910"/>
        <v>0</v>
      </c>
      <c r="AM826" s="78" t="b">
        <f t="shared" si="911"/>
        <v>0</v>
      </c>
      <c r="AN826" s="78" t="b">
        <f t="shared" si="912"/>
        <v>0</v>
      </c>
      <c r="AO826" s="78" t="b">
        <f t="shared" si="913"/>
        <v>0</v>
      </c>
    </row>
    <row r="827" spans="7:41" x14ac:dyDescent="0.35">
      <c r="G827" s="77">
        <f t="shared" si="915"/>
        <v>0</v>
      </c>
      <c r="H827" s="78">
        <f t="shared" si="916"/>
        <v>0</v>
      </c>
      <c r="I827" s="77">
        <f t="shared" si="917"/>
        <v>0</v>
      </c>
      <c r="J827" s="78">
        <f t="shared" si="918"/>
        <v>0</v>
      </c>
      <c r="K827" s="78" t="str">
        <f t="shared" si="919"/>
        <v>1900-01-00 00:0:00</v>
      </c>
      <c r="L827" s="78" t="str">
        <f t="shared" si="920"/>
        <v>1900-01-00 00:0:00</v>
      </c>
      <c r="M827" s="79">
        <f t="shared" si="921"/>
        <v>0</v>
      </c>
      <c r="N827">
        <f t="shared" si="914"/>
        <v>1</v>
      </c>
      <c r="O827" t="str">
        <f>IFERROR(_xlfn.XLOOKUP(A827,HC!A:A,HC!C:C),"")</f>
        <v>Workforce</v>
      </c>
      <c r="R827" s="78" t="b">
        <f t="shared" si="890"/>
        <v>0</v>
      </c>
      <c r="S827" s="78" t="b">
        <f t="shared" si="891"/>
        <v>0</v>
      </c>
      <c r="T827" s="78" t="b">
        <f t="shared" si="892"/>
        <v>0</v>
      </c>
      <c r="U827" s="78" t="b">
        <f t="shared" si="893"/>
        <v>0</v>
      </c>
      <c r="V827" s="78" t="b">
        <f t="shared" si="894"/>
        <v>0</v>
      </c>
      <c r="W827" s="78" t="b">
        <f t="shared" si="895"/>
        <v>0</v>
      </c>
      <c r="X827" s="78" t="b">
        <f t="shared" si="896"/>
        <v>0</v>
      </c>
      <c r="Y827" s="78" t="b">
        <f t="shared" si="897"/>
        <v>0</v>
      </c>
      <c r="Z827" s="78" t="b">
        <f t="shared" si="898"/>
        <v>0</v>
      </c>
      <c r="AA827" s="78" t="b">
        <f t="shared" si="899"/>
        <v>0</v>
      </c>
      <c r="AB827" s="78" t="b">
        <f t="shared" si="900"/>
        <v>0</v>
      </c>
      <c r="AC827" s="78" t="b">
        <f t="shared" si="901"/>
        <v>0</v>
      </c>
      <c r="AD827" s="78" t="b">
        <f t="shared" si="902"/>
        <v>0</v>
      </c>
      <c r="AE827" s="78" t="b">
        <f t="shared" si="903"/>
        <v>0</v>
      </c>
      <c r="AF827" s="78" t="b">
        <f t="shared" si="904"/>
        <v>0</v>
      </c>
      <c r="AG827" s="78" t="b">
        <f t="shared" si="905"/>
        <v>0</v>
      </c>
      <c r="AH827" s="78" t="b">
        <f t="shared" si="906"/>
        <v>0</v>
      </c>
      <c r="AI827" s="78" t="b">
        <f t="shared" si="907"/>
        <v>0</v>
      </c>
      <c r="AJ827" s="78" t="b">
        <f t="shared" si="908"/>
        <v>0</v>
      </c>
      <c r="AK827" s="78" t="b">
        <f t="shared" si="909"/>
        <v>0</v>
      </c>
      <c r="AL827" s="78" t="b">
        <f t="shared" si="910"/>
        <v>0</v>
      </c>
      <c r="AM827" s="78" t="b">
        <f t="shared" si="911"/>
        <v>0</v>
      </c>
      <c r="AN827" s="78" t="b">
        <f t="shared" si="912"/>
        <v>0</v>
      </c>
      <c r="AO827" s="78" t="b">
        <f t="shared" si="913"/>
        <v>0</v>
      </c>
    </row>
    <row r="828" spans="7:41" x14ac:dyDescent="0.35">
      <c r="G828" s="77">
        <f t="shared" si="915"/>
        <v>0</v>
      </c>
      <c r="H828" s="78">
        <f t="shared" si="916"/>
        <v>0</v>
      </c>
      <c r="I828" s="77">
        <f t="shared" si="917"/>
        <v>0</v>
      </c>
      <c r="J828" s="78">
        <f t="shared" si="918"/>
        <v>0</v>
      </c>
      <c r="K828" s="78" t="str">
        <f t="shared" si="919"/>
        <v>1900-01-00 00:0:00</v>
      </c>
      <c r="L828" s="78" t="str">
        <f t="shared" si="920"/>
        <v>1900-01-00 00:0:00</v>
      </c>
      <c r="M828" s="79">
        <f t="shared" si="921"/>
        <v>0</v>
      </c>
      <c r="N828">
        <f t="shared" si="914"/>
        <v>1</v>
      </c>
      <c r="O828" t="str">
        <f>IFERROR(_xlfn.XLOOKUP(A828,HC!A:A,HC!C:C),"")</f>
        <v>Workforce</v>
      </c>
      <c r="R828" s="78" t="b">
        <f t="shared" ref="R828:R891" si="922">IFERROR(IF($B828=$D$1,IF(AND($K828&lt;R$1,$L828&lt;R$1),"",IF(AND($K828&gt;S$1,$L828&gt;S$1),"",IF(AND($K828&lt;R$1,$L828&lt;=S$1),$L828-R$1,IF(AND($K828&gt;=R$1,$L828&gt;S$1),S$1-$K828,IF(AND($K828&gt;=R$1,$L828&lt;=S$1),$L828-$K828,IF(AND($K828&lt;R$1,$L828&gt;S$1),S$1-R$1,""))))))),"")</f>
        <v>0</v>
      </c>
      <c r="S828" s="78" t="b">
        <f t="shared" ref="S828:S891" si="923">IFERROR(IF($B828=$D$1,IF(AND($K828&lt;S$1,$L828&lt;S$1),"",IF(AND($K828&gt;T$1,$L828&gt;T$1),"",IF(AND($K828&lt;S$1,$L828&lt;=T$1),$L828-S$1,IF(AND($K828&gt;=S$1,$L828&gt;T$1),T$1-$K828,IF(AND($K828&gt;=S$1,$L828&lt;=T$1),$L828-$K828,IF(AND($K828&lt;S$1,$L828&gt;T$1),T$1-S$1,""))))))),"")</f>
        <v>0</v>
      </c>
      <c r="T828" s="78" t="b">
        <f t="shared" ref="T828:T891" si="924">IFERROR(IF($B828=$D$1,IF(AND($K828&lt;T$1,$L828&lt;T$1),"",IF(AND($K828&gt;U$1,$L828&gt;U$1),"",IF(AND($K828&lt;T$1,$L828&lt;=U$1),$L828-T$1,IF(AND($K828&gt;=T$1,$L828&gt;U$1),U$1-$K828,IF(AND($K828&gt;=T$1,$L828&lt;=U$1),$L828-$K828,IF(AND($K828&lt;T$1,$L828&gt;U$1),U$1-T$1,""))))))),"")</f>
        <v>0</v>
      </c>
      <c r="U828" s="78" t="b">
        <f t="shared" ref="U828:U891" si="925">IFERROR(IF($B828=$D$1,IF(AND($K828&lt;U$1,$L828&lt;U$1),"",IF(AND($K828&gt;V$1,$L828&gt;V$1),"",IF(AND($K828&lt;U$1,$L828&lt;=V$1),$L828-U$1,IF(AND($K828&gt;=U$1,$L828&gt;V$1),V$1-$K828,IF(AND($K828&gt;=U$1,$L828&lt;=V$1),$L828-$K828,IF(AND($K828&lt;U$1,$L828&gt;V$1),V$1-U$1,""))))))),"")</f>
        <v>0</v>
      </c>
      <c r="V828" s="78" t="b">
        <f t="shared" ref="V828:V891" si="926">IFERROR(IF($B828=$D$1,IF(AND($K828&lt;V$1,$L828&lt;V$1),"",IF(AND($K828&gt;W$1,$L828&gt;W$1),"",IF(AND($K828&lt;V$1,$L828&lt;=W$1),$L828-V$1,IF(AND($K828&gt;=V$1,$L828&gt;W$1),W$1-$K828,IF(AND($K828&gt;=V$1,$L828&lt;=W$1),$L828-$K828,IF(AND($K828&lt;V$1,$L828&gt;W$1),W$1-V$1,""))))))),"")</f>
        <v>0</v>
      </c>
      <c r="W828" s="78" t="b">
        <f t="shared" ref="W828:W891" si="927">IFERROR(IF($B828=$D$1,IF(AND($K828&lt;W$1,$L828&lt;W$1),"",IF(AND($K828&gt;X$1,$L828&gt;X$1),"",IF(AND($K828&lt;W$1,$L828&lt;=X$1),$L828-W$1,IF(AND($K828&gt;=W$1,$L828&gt;X$1),X$1-$K828,IF(AND($K828&gt;=W$1,$L828&lt;=X$1),$L828-$K828,IF(AND($K828&lt;W$1,$L828&gt;X$1),X$1-W$1,""))))))),"")</f>
        <v>0</v>
      </c>
      <c r="X828" s="78" t="b">
        <f t="shared" ref="X828:X891" si="928">IFERROR(IF($B828=$D$1,IF(AND($K828&lt;X$1,$L828&lt;X$1),"",IF(AND($K828&gt;Y$1,$L828&gt;Y$1),"",IF(AND($K828&lt;X$1,$L828&lt;=Y$1),$L828-X$1,IF(AND($K828&gt;=X$1,$L828&gt;Y$1),Y$1-$K828,IF(AND($K828&gt;=X$1,$L828&lt;=Y$1),$L828-$K828,IF(AND($K828&lt;X$1,$L828&gt;Y$1),Y$1-X$1,""))))))),"")</f>
        <v>0</v>
      </c>
      <c r="Y828" s="78" t="b">
        <f t="shared" ref="Y828:Y891" si="929">IFERROR(IF($B828=$D$1,IF(AND($K828&lt;Y$1,$L828&lt;Y$1),"",IF(AND($K828&gt;Z$1,$L828&gt;Z$1),"",IF(AND($K828&lt;Y$1,$L828&lt;=Z$1),$L828-Y$1,IF(AND($K828&gt;=Y$1,$L828&gt;Z$1),Z$1-$K828,IF(AND($K828&gt;=Y$1,$L828&lt;=Z$1),$L828-$K828,IF(AND($K828&lt;Y$1,$L828&gt;Z$1),Z$1-Y$1,""))))))),"")</f>
        <v>0</v>
      </c>
      <c r="Z828" s="78" t="b">
        <f t="shared" ref="Z828:Z891" si="930">IFERROR(IF($B828=$D$1,IF(AND($K828&lt;Z$1,$L828&lt;Z$1),"",IF(AND($K828&gt;AA$1,$L828&gt;AA$1),"",IF(AND($K828&lt;Z$1,$L828&lt;=AA$1),$L828-Z$1,IF(AND($K828&gt;=Z$1,$L828&gt;AA$1),AA$1-$K828,IF(AND($K828&gt;=Z$1,$L828&lt;=AA$1),$L828-$K828,IF(AND($K828&lt;Z$1,$L828&gt;AA$1),AA$1-Z$1,""))))))),"")</f>
        <v>0</v>
      </c>
      <c r="AA828" s="78" t="b">
        <f t="shared" ref="AA828:AA891" si="931">IFERROR(IF($B828=$D$1,IF(AND($K828&lt;AA$1,$L828&lt;AA$1),"",IF(AND($K828&gt;AB$1,$L828&gt;AB$1),"",IF(AND($K828&lt;AA$1,$L828&lt;=AB$1),$L828-AA$1,IF(AND($K828&gt;=AA$1,$L828&gt;AB$1),AB$1-$K828,IF(AND($K828&gt;=AA$1,$L828&lt;=AB$1),$L828-$K828,IF(AND($K828&lt;AA$1,$L828&gt;AB$1),AB$1-AA$1,""))))))),"")</f>
        <v>0</v>
      </c>
      <c r="AB828" s="78" t="b">
        <f t="shared" ref="AB828:AB891" si="932">IFERROR(IF($B828=$D$1,IF(AND($K828&lt;AB$1,$L828&lt;AB$1),"",IF(AND($K828&gt;AC$1,$L828&gt;AC$1),"",IF(AND($K828&lt;AB$1,$L828&lt;=AC$1),$L828-AB$1,IF(AND($K828&gt;=AB$1,$L828&gt;AC$1),AC$1-$K828,IF(AND($K828&gt;=AB$1,$L828&lt;=AC$1),$L828-$K828,IF(AND($K828&lt;AB$1,$L828&gt;AC$1),AC$1-AB$1,""))))))),"")</f>
        <v>0</v>
      </c>
      <c r="AC828" s="78" t="b">
        <f t="shared" ref="AC828:AC891" si="933">IFERROR(IF($B828=$D$1,IF(AND($K828&lt;AC$1,$L828&lt;AC$1),"",IF(AND($K828&gt;AD$1,$L828&gt;AD$1),"",IF(AND($K828&lt;AC$1,$L828&lt;=AD$1),$L828-AC$1,IF(AND($K828&gt;=AC$1,$L828&gt;AD$1),AD$1-$K828,IF(AND($K828&gt;=AC$1,$L828&lt;=AD$1),$L828-$K828,IF(AND($K828&lt;AC$1,$L828&gt;AD$1),AD$1-AC$1,""))))))),"")</f>
        <v>0</v>
      </c>
      <c r="AD828" s="78" t="b">
        <f t="shared" ref="AD828:AD891" si="934">IFERROR(IF($B828=$D$1,IF(AND($K828&lt;AD$1,$L828&lt;AD$1),"",IF(AND($K828&gt;AE$1,$L828&gt;AE$1),"",IF(AND($K828&lt;AD$1,$L828&lt;=AE$1),$L828-AD$1,IF(AND($K828&gt;=AD$1,$L828&gt;AE$1),AE$1-$K828,IF(AND($K828&gt;=AD$1,$L828&lt;=AE$1),$L828-$K828,IF(AND($K828&lt;AD$1,$L828&gt;AE$1),AE$1-AD$1,""))))))),"")</f>
        <v>0</v>
      </c>
      <c r="AE828" s="78" t="b">
        <f t="shared" ref="AE828:AE891" si="935">IFERROR(IF($B828=$D$1,IF(AND($K828&lt;AE$1,$L828&lt;AE$1),"",IF(AND($K828&gt;AF$1,$L828&gt;AF$1),"",IF(AND($K828&lt;AE$1,$L828&lt;=AF$1),$L828-AE$1,IF(AND($K828&gt;=AE$1,$L828&gt;AF$1),AF$1-$K828,IF(AND($K828&gt;=AE$1,$L828&lt;=AF$1),$L828-$K828,IF(AND($K828&lt;AE$1,$L828&gt;AF$1),AF$1-AE$1,""))))))),"")</f>
        <v>0</v>
      </c>
      <c r="AF828" s="78" t="b">
        <f t="shared" ref="AF828:AF891" si="936">IFERROR(IF($B828=$D$1,IF(AND($K828&lt;AF$1,$L828&lt;AF$1),"",IF(AND($K828&gt;AG$1,$L828&gt;AG$1),"",IF(AND($K828&lt;AF$1,$L828&lt;=AG$1),$L828-AF$1,IF(AND($K828&gt;=AF$1,$L828&gt;AG$1),AG$1-$K828,IF(AND($K828&gt;=AF$1,$L828&lt;=AG$1),$L828-$K828,IF(AND($K828&lt;AF$1,$L828&gt;AG$1),AG$1-AF$1,""))))))),"")</f>
        <v>0</v>
      </c>
      <c r="AG828" s="78" t="b">
        <f t="shared" ref="AG828:AG891" si="937">IFERROR(IF($B828=$D$1,IF(AND($K828&lt;AG$1,$L828&lt;AG$1),"",IF(AND($K828&gt;AH$1,$L828&gt;AH$1),"",IF(AND($K828&lt;AG$1,$L828&lt;=AH$1),$L828-AG$1,IF(AND($K828&gt;=AG$1,$L828&gt;AH$1),AH$1-$K828,IF(AND($K828&gt;=AG$1,$L828&lt;=AH$1),$L828-$K828,IF(AND($K828&lt;AG$1,$L828&gt;AH$1),AH$1-AG$1,""))))))),"")</f>
        <v>0</v>
      </c>
      <c r="AH828" s="78" t="b">
        <f t="shared" ref="AH828:AH891" si="938">IFERROR(IF($B828=$D$1,IF(AND($K828&lt;AH$1,$L828&lt;AH$1),"",IF(AND($K828&gt;AI$1,$L828&gt;AI$1),"",IF(AND($K828&lt;AH$1,$L828&lt;=AI$1),$L828-AH$1,IF(AND($K828&gt;=AH$1,$L828&gt;AI$1),AI$1-$K828,IF(AND($K828&gt;=AH$1,$L828&lt;=AI$1),$L828-$K828,IF(AND($K828&lt;AH$1,$L828&gt;AI$1),AI$1-AH$1,""))))))),"")</f>
        <v>0</v>
      </c>
      <c r="AI828" s="78" t="b">
        <f t="shared" ref="AI828:AI891" si="939">IFERROR(IF($B828=$D$1,IF(AND($K828&lt;AI$1,$L828&lt;AI$1),"",IF(AND($K828&gt;AJ$1,$L828&gt;AJ$1),"",IF(AND($K828&lt;AI$1,$L828&lt;=AJ$1),$L828-AI$1,IF(AND($K828&gt;=AI$1,$L828&gt;AJ$1),AJ$1-$K828,IF(AND($K828&gt;=AI$1,$L828&lt;=AJ$1),$L828-$K828,IF(AND($K828&lt;AI$1,$L828&gt;AJ$1),AJ$1-AI$1,""))))))),"")</f>
        <v>0</v>
      </c>
      <c r="AJ828" s="78" t="b">
        <f t="shared" ref="AJ828:AJ891" si="940">IFERROR(IF($B828=$D$1,IF(AND($K828&lt;AJ$1,$L828&lt;AJ$1),"",IF(AND($K828&gt;AK$1,$L828&gt;AK$1),"",IF(AND($K828&lt;AJ$1,$L828&lt;=AK$1),$L828-AJ$1,IF(AND($K828&gt;=AJ$1,$L828&gt;AK$1),AK$1-$K828,IF(AND($K828&gt;=AJ$1,$L828&lt;=AK$1),$L828-$K828,IF(AND($K828&lt;AJ$1,$L828&gt;AK$1),AK$1-AJ$1,""))))))),"")</f>
        <v>0</v>
      </c>
      <c r="AK828" s="78" t="b">
        <f t="shared" ref="AK828:AK891" si="941">IFERROR(IF($B828=$D$1,IF(AND($K828&lt;AK$1,$L828&lt;AK$1),"",IF(AND($K828&gt;AL$1,$L828&gt;AL$1),"",IF(AND($K828&lt;AK$1,$L828&lt;=AL$1),$L828-AK$1,IF(AND($K828&gt;=AK$1,$L828&gt;AL$1),AL$1-$K828,IF(AND($K828&gt;=AK$1,$L828&lt;=AL$1),$L828-$K828,IF(AND($K828&lt;AK$1,$L828&gt;AL$1),AL$1-AK$1,""))))))),"")</f>
        <v>0</v>
      </c>
      <c r="AL828" s="78" t="b">
        <f t="shared" ref="AL828:AL891" si="942">IFERROR(IF($B828=$D$1,IF(AND($K828&lt;AL$1,$L828&lt;AL$1),"",IF(AND($K828&gt;AM$1,$L828&gt;AM$1),"",IF(AND($K828&lt;AL$1,$L828&lt;=AM$1),$L828-AL$1,IF(AND($K828&gt;=AL$1,$L828&gt;AM$1),AM$1-$K828,IF(AND($K828&gt;=AL$1,$L828&lt;=AM$1),$L828-$K828,IF(AND($K828&lt;AL$1,$L828&gt;AM$1),AM$1-AL$1,""))))))),"")</f>
        <v>0</v>
      </c>
      <c r="AM828" s="78" t="b">
        <f t="shared" ref="AM828:AM891" si="943">IFERROR(IF($B828=$D$1,IF(AND($K828&lt;AM$1,$L828&lt;AM$1),"",IF(AND($K828&gt;AN$1,$L828&gt;AN$1),"",IF(AND($K828&lt;AM$1,$L828&lt;=AN$1),$L828-AM$1,IF(AND($K828&gt;=AM$1,$L828&gt;AN$1),AN$1-$K828,IF(AND($K828&gt;=AM$1,$L828&lt;=AN$1),$L828-$K828,IF(AND($K828&lt;AM$1,$L828&gt;AN$1),AN$1-AM$1,""))))))),"")</f>
        <v>0</v>
      </c>
      <c r="AN828" s="78" t="b">
        <f t="shared" ref="AN828:AN891" si="944">IFERROR(IF($B828=$D$1,IF(AND($K828&lt;AN$1,$L828&lt;AN$1),"",IF(AND($K828&gt;AO$1,$L828&gt;AO$1),"",IF(AND($K828&lt;AN$1,$L828&lt;=AO$1),$L828-AN$1,IF(AND($K828&gt;=AN$1,$L828&gt;AO$1),AO$1-$K828,IF(AND($K828&gt;=AN$1,$L828&lt;=AO$1),$L828-$K828,IF(AND($K828&lt;AN$1,$L828&gt;AO$1),AO$1-AN$1,""))))))),"")</f>
        <v>0</v>
      </c>
      <c r="AO828" s="78" t="b">
        <f t="shared" ref="AO828:AO891" si="945">IFERROR(IF($B828=$D$1,IF(AND($K828&lt;AO$1,$L828&lt;AO$1),"",IF(AND($K828&gt;AP$1,$L828&gt;AP$1),"",IF(AND($K828&lt;AO$1,$L828&lt;=AP$1),$L828-AO$1,IF(AND($K828&gt;=AO$1,$L828&gt;AP$1),AP$1-$K828,IF(AND($K828&gt;=AO$1,$L828&lt;=AP$1),$L828-$K828,IF(AND($K828&lt;AO$1,$L828&gt;AP$1),AP$1-AO$1,""))))))),"")</f>
        <v>0</v>
      </c>
    </row>
    <row r="829" spans="7:41" x14ac:dyDescent="0.35">
      <c r="G829" s="77">
        <f t="shared" si="915"/>
        <v>0</v>
      </c>
      <c r="H829" s="78">
        <f t="shared" si="916"/>
        <v>0</v>
      </c>
      <c r="I829" s="77">
        <f t="shared" si="917"/>
        <v>0</v>
      </c>
      <c r="J829" s="78">
        <f t="shared" si="918"/>
        <v>0</v>
      </c>
      <c r="K829" s="78" t="str">
        <f t="shared" si="919"/>
        <v>1900-01-00 00:0:00</v>
      </c>
      <c r="L829" s="78" t="str">
        <f t="shared" si="920"/>
        <v>1900-01-00 00:0:00</v>
      </c>
      <c r="M829" s="79">
        <f t="shared" si="921"/>
        <v>0</v>
      </c>
      <c r="N829">
        <f t="shared" si="914"/>
        <v>1</v>
      </c>
      <c r="O829" t="str">
        <f>IFERROR(_xlfn.XLOOKUP(A829,HC!A:A,HC!C:C),"")</f>
        <v>Workforce</v>
      </c>
      <c r="R829" s="78" t="b">
        <f t="shared" si="922"/>
        <v>0</v>
      </c>
      <c r="S829" s="78" t="b">
        <f t="shared" si="923"/>
        <v>0</v>
      </c>
      <c r="T829" s="78" t="b">
        <f t="shared" si="924"/>
        <v>0</v>
      </c>
      <c r="U829" s="78" t="b">
        <f t="shared" si="925"/>
        <v>0</v>
      </c>
      <c r="V829" s="78" t="b">
        <f t="shared" si="926"/>
        <v>0</v>
      </c>
      <c r="W829" s="78" t="b">
        <f t="shared" si="927"/>
        <v>0</v>
      </c>
      <c r="X829" s="78" t="b">
        <f t="shared" si="928"/>
        <v>0</v>
      </c>
      <c r="Y829" s="78" t="b">
        <f t="shared" si="929"/>
        <v>0</v>
      </c>
      <c r="Z829" s="78" t="b">
        <f t="shared" si="930"/>
        <v>0</v>
      </c>
      <c r="AA829" s="78" t="b">
        <f t="shared" si="931"/>
        <v>0</v>
      </c>
      <c r="AB829" s="78" t="b">
        <f t="shared" si="932"/>
        <v>0</v>
      </c>
      <c r="AC829" s="78" t="b">
        <f t="shared" si="933"/>
        <v>0</v>
      </c>
      <c r="AD829" s="78" t="b">
        <f t="shared" si="934"/>
        <v>0</v>
      </c>
      <c r="AE829" s="78" t="b">
        <f t="shared" si="935"/>
        <v>0</v>
      </c>
      <c r="AF829" s="78" t="b">
        <f t="shared" si="936"/>
        <v>0</v>
      </c>
      <c r="AG829" s="78" t="b">
        <f t="shared" si="937"/>
        <v>0</v>
      </c>
      <c r="AH829" s="78" t="b">
        <f t="shared" si="938"/>
        <v>0</v>
      </c>
      <c r="AI829" s="78" t="b">
        <f t="shared" si="939"/>
        <v>0</v>
      </c>
      <c r="AJ829" s="78" t="b">
        <f t="shared" si="940"/>
        <v>0</v>
      </c>
      <c r="AK829" s="78" t="b">
        <f t="shared" si="941"/>
        <v>0</v>
      </c>
      <c r="AL829" s="78" t="b">
        <f t="shared" si="942"/>
        <v>0</v>
      </c>
      <c r="AM829" s="78" t="b">
        <f t="shared" si="943"/>
        <v>0</v>
      </c>
      <c r="AN829" s="78" t="b">
        <f t="shared" si="944"/>
        <v>0</v>
      </c>
      <c r="AO829" s="78" t="b">
        <f t="shared" si="945"/>
        <v>0</v>
      </c>
    </row>
    <row r="830" spans="7:41" x14ac:dyDescent="0.35">
      <c r="G830" s="77">
        <f t="shared" si="915"/>
        <v>0</v>
      </c>
      <c r="H830" s="78">
        <f t="shared" si="916"/>
        <v>0</v>
      </c>
      <c r="I830" s="77">
        <f t="shared" si="917"/>
        <v>0</v>
      </c>
      <c r="J830" s="78">
        <f t="shared" si="918"/>
        <v>0</v>
      </c>
      <c r="K830" s="78" t="str">
        <f t="shared" si="919"/>
        <v>1900-01-00 00:0:00</v>
      </c>
      <c r="L830" s="78" t="str">
        <f t="shared" si="920"/>
        <v>1900-01-00 00:0:00</v>
      </c>
      <c r="M830" s="79">
        <f t="shared" si="921"/>
        <v>0</v>
      </c>
      <c r="N830">
        <f t="shared" si="914"/>
        <v>1</v>
      </c>
      <c r="O830" t="str">
        <f>IFERROR(_xlfn.XLOOKUP(A830,HC!A:A,HC!C:C),"")</f>
        <v>Workforce</v>
      </c>
      <c r="R830" s="78" t="b">
        <f t="shared" si="922"/>
        <v>0</v>
      </c>
      <c r="S830" s="78" t="b">
        <f t="shared" si="923"/>
        <v>0</v>
      </c>
      <c r="T830" s="78" t="b">
        <f t="shared" si="924"/>
        <v>0</v>
      </c>
      <c r="U830" s="78" t="b">
        <f t="shared" si="925"/>
        <v>0</v>
      </c>
      <c r="V830" s="78" t="b">
        <f t="shared" si="926"/>
        <v>0</v>
      </c>
      <c r="W830" s="78" t="b">
        <f t="shared" si="927"/>
        <v>0</v>
      </c>
      <c r="X830" s="78" t="b">
        <f t="shared" si="928"/>
        <v>0</v>
      </c>
      <c r="Y830" s="78" t="b">
        <f t="shared" si="929"/>
        <v>0</v>
      </c>
      <c r="Z830" s="78" t="b">
        <f t="shared" si="930"/>
        <v>0</v>
      </c>
      <c r="AA830" s="78" t="b">
        <f t="shared" si="931"/>
        <v>0</v>
      </c>
      <c r="AB830" s="78" t="b">
        <f t="shared" si="932"/>
        <v>0</v>
      </c>
      <c r="AC830" s="78" t="b">
        <f t="shared" si="933"/>
        <v>0</v>
      </c>
      <c r="AD830" s="78" t="b">
        <f t="shared" si="934"/>
        <v>0</v>
      </c>
      <c r="AE830" s="78" t="b">
        <f t="shared" si="935"/>
        <v>0</v>
      </c>
      <c r="AF830" s="78" t="b">
        <f t="shared" si="936"/>
        <v>0</v>
      </c>
      <c r="AG830" s="78" t="b">
        <f t="shared" si="937"/>
        <v>0</v>
      </c>
      <c r="AH830" s="78" t="b">
        <f t="shared" si="938"/>
        <v>0</v>
      </c>
      <c r="AI830" s="78" t="b">
        <f t="shared" si="939"/>
        <v>0</v>
      </c>
      <c r="AJ830" s="78" t="b">
        <f t="shared" si="940"/>
        <v>0</v>
      </c>
      <c r="AK830" s="78" t="b">
        <f t="shared" si="941"/>
        <v>0</v>
      </c>
      <c r="AL830" s="78" t="b">
        <f t="shared" si="942"/>
        <v>0</v>
      </c>
      <c r="AM830" s="78" t="b">
        <f t="shared" si="943"/>
        <v>0</v>
      </c>
      <c r="AN830" s="78" t="b">
        <f t="shared" si="944"/>
        <v>0</v>
      </c>
      <c r="AO830" s="78" t="b">
        <f t="shared" si="945"/>
        <v>0</v>
      </c>
    </row>
    <row r="831" spans="7:41" x14ac:dyDescent="0.35">
      <c r="G831" s="77">
        <f t="shared" si="915"/>
        <v>0</v>
      </c>
      <c r="H831" s="78">
        <f t="shared" si="916"/>
        <v>0</v>
      </c>
      <c r="I831" s="77">
        <f t="shared" si="917"/>
        <v>0</v>
      </c>
      <c r="J831" s="78">
        <f t="shared" si="918"/>
        <v>0</v>
      </c>
      <c r="K831" s="78" t="str">
        <f t="shared" si="919"/>
        <v>1900-01-00 00:0:00</v>
      </c>
      <c r="L831" s="78" t="str">
        <f t="shared" si="920"/>
        <v>1900-01-00 00:0:00</v>
      </c>
      <c r="M831" s="79">
        <f t="shared" si="921"/>
        <v>0</v>
      </c>
      <c r="N831">
        <f t="shared" si="914"/>
        <v>1</v>
      </c>
      <c r="O831" t="str">
        <f>IFERROR(_xlfn.XLOOKUP(A831,HC!A:A,HC!C:C),"")</f>
        <v>Workforce</v>
      </c>
      <c r="R831" s="78" t="b">
        <f t="shared" si="922"/>
        <v>0</v>
      </c>
      <c r="S831" s="78" t="b">
        <f t="shared" si="923"/>
        <v>0</v>
      </c>
      <c r="T831" s="78" t="b">
        <f t="shared" si="924"/>
        <v>0</v>
      </c>
      <c r="U831" s="78" t="b">
        <f t="shared" si="925"/>
        <v>0</v>
      </c>
      <c r="V831" s="78" t="b">
        <f t="shared" si="926"/>
        <v>0</v>
      </c>
      <c r="W831" s="78" t="b">
        <f t="shared" si="927"/>
        <v>0</v>
      </c>
      <c r="X831" s="78" t="b">
        <f t="shared" si="928"/>
        <v>0</v>
      </c>
      <c r="Y831" s="78" t="b">
        <f t="shared" si="929"/>
        <v>0</v>
      </c>
      <c r="Z831" s="78" t="b">
        <f t="shared" si="930"/>
        <v>0</v>
      </c>
      <c r="AA831" s="78" t="b">
        <f t="shared" si="931"/>
        <v>0</v>
      </c>
      <c r="AB831" s="78" t="b">
        <f t="shared" si="932"/>
        <v>0</v>
      </c>
      <c r="AC831" s="78" t="b">
        <f t="shared" si="933"/>
        <v>0</v>
      </c>
      <c r="AD831" s="78" t="b">
        <f t="shared" si="934"/>
        <v>0</v>
      </c>
      <c r="AE831" s="78" t="b">
        <f t="shared" si="935"/>
        <v>0</v>
      </c>
      <c r="AF831" s="78" t="b">
        <f t="shared" si="936"/>
        <v>0</v>
      </c>
      <c r="AG831" s="78" t="b">
        <f t="shared" si="937"/>
        <v>0</v>
      </c>
      <c r="AH831" s="78" t="b">
        <f t="shared" si="938"/>
        <v>0</v>
      </c>
      <c r="AI831" s="78" t="b">
        <f t="shared" si="939"/>
        <v>0</v>
      </c>
      <c r="AJ831" s="78" t="b">
        <f t="shared" si="940"/>
        <v>0</v>
      </c>
      <c r="AK831" s="78" t="b">
        <f t="shared" si="941"/>
        <v>0</v>
      </c>
      <c r="AL831" s="78" t="b">
        <f t="shared" si="942"/>
        <v>0</v>
      </c>
      <c r="AM831" s="78" t="b">
        <f t="shared" si="943"/>
        <v>0</v>
      </c>
      <c r="AN831" s="78" t="b">
        <f t="shared" si="944"/>
        <v>0</v>
      </c>
      <c r="AO831" s="78" t="b">
        <f t="shared" si="945"/>
        <v>0</v>
      </c>
    </row>
    <row r="832" spans="7:41" x14ac:dyDescent="0.35">
      <c r="G832" s="77">
        <f t="shared" si="915"/>
        <v>0</v>
      </c>
      <c r="H832" s="78">
        <f t="shared" si="916"/>
        <v>0</v>
      </c>
      <c r="I832" s="77">
        <f t="shared" si="917"/>
        <v>0</v>
      </c>
      <c r="J832" s="78">
        <f t="shared" si="918"/>
        <v>0</v>
      </c>
      <c r="K832" s="78" t="str">
        <f t="shared" si="919"/>
        <v>1900-01-00 00:0:00</v>
      </c>
      <c r="L832" s="78" t="str">
        <f t="shared" si="920"/>
        <v>1900-01-00 00:0:00</v>
      </c>
      <c r="M832" s="79">
        <f t="shared" si="921"/>
        <v>0</v>
      </c>
      <c r="N832">
        <f t="shared" si="914"/>
        <v>1</v>
      </c>
      <c r="O832" t="str">
        <f>IFERROR(_xlfn.XLOOKUP(A832,HC!A:A,HC!C:C),"")</f>
        <v>Workforce</v>
      </c>
      <c r="R832" s="78" t="b">
        <f t="shared" si="922"/>
        <v>0</v>
      </c>
      <c r="S832" s="78" t="b">
        <f t="shared" si="923"/>
        <v>0</v>
      </c>
      <c r="T832" s="78" t="b">
        <f t="shared" si="924"/>
        <v>0</v>
      </c>
      <c r="U832" s="78" t="b">
        <f t="shared" si="925"/>
        <v>0</v>
      </c>
      <c r="V832" s="78" t="b">
        <f t="shared" si="926"/>
        <v>0</v>
      </c>
      <c r="W832" s="78" t="b">
        <f t="shared" si="927"/>
        <v>0</v>
      </c>
      <c r="X832" s="78" t="b">
        <f t="shared" si="928"/>
        <v>0</v>
      </c>
      <c r="Y832" s="78" t="b">
        <f t="shared" si="929"/>
        <v>0</v>
      </c>
      <c r="Z832" s="78" t="b">
        <f t="shared" si="930"/>
        <v>0</v>
      </c>
      <c r="AA832" s="78" t="b">
        <f t="shared" si="931"/>
        <v>0</v>
      </c>
      <c r="AB832" s="78" t="b">
        <f t="shared" si="932"/>
        <v>0</v>
      </c>
      <c r="AC832" s="78" t="b">
        <f t="shared" si="933"/>
        <v>0</v>
      </c>
      <c r="AD832" s="78" t="b">
        <f t="shared" si="934"/>
        <v>0</v>
      </c>
      <c r="AE832" s="78" t="b">
        <f t="shared" si="935"/>
        <v>0</v>
      </c>
      <c r="AF832" s="78" t="b">
        <f t="shared" si="936"/>
        <v>0</v>
      </c>
      <c r="AG832" s="78" t="b">
        <f t="shared" si="937"/>
        <v>0</v>
      </c>
      <c r="AH832" s="78" t="b">
        <f t="shared" si="938"/>
        <v>0</v>
      </c>
      <c r="AI832" s="78" t="b">
        <f t="shared" si="939"/>
        <v>0</v>
      </c>
      <c r="AJ832" s="78" t="b">
        <f t="shared" si="940"/>
        <v>0</v>
      </c>
      <c r="AK832" s="78" t="b">
        <f t="shared" si="941"/>
        <v>0</v>
      </c>
      <c r="AL832" s="78" t="b">
        <f t="shared" si="942"/>
        <v>0</v>
      </c>
      <c r="AM832" s="78" t="b">
        <f t="shared" si="943"/>
        <v>0</v>
      </c>
      <c r="AN832" s="78" t="b">
        <f t="shared" si="944"/>
        <v>0</v>
      </c>
      <c r="AO832" s="78" t="b">
        <f t="shared" si="945"/>
        <v>0</v>
      </c>
    </row>
    <row r="833" spans="7:41" x14ac:dyDescent="0.35">
      <c r="G833" s="77">
        <f t="shared" si="915"/>
        <v>0</v>
      </c>
      <c r="H833" s="78">
        <f t="shared" si="916"/>
        <v>0</v>
      </c>
      <c r="I833" s="77">
        <f t="shared" si="917"/>
        <v>0</v>
      </c>
      <c r="J833" s="78">
        <f t="shared" si="918"/>
        <v>0</v>
      </c>
      <c r="K833" s="78" t="str">
        <f t="shared" si="919"/>
        <v>1900-01-00 00:0:00</v>
      </c>
      <c r="L833" s="78" t="str">
        <f t="shared" si="920"/>
        <v>1900-01-00 00:0:00</v>
      </c>
      <c r="M833" s="79">
        <f t="shared" si="921"/>
        <v>0</v>
      </c>
      <c r="N833">
        <f t="shared" si="914"/>
        <v>1</v>
      </c>
      <c r="O833" t="str">
        <f>IFERROR(_xlfn.XLOOKUP(A833,HC!A:A,HC!C:C),"")</f>
        <v>Workforce</v>
      </c>
      <c r="R833" s="78" t="b">
        <f t="shared" si="922"/>
        <v>0</v>
      </c>
      <c r="S833" s="78" t="b">
        <f t="shared" si="923"/>
        <v>0</v>
      </c>
      <c r="T833" s="78" t="b">
        <f t="shared" si="924"/>
        <v>0</v>
      </c>
      <c r="U833" s="78" t="b">
        <f t="shared" si="925"/>
        <v>0</v>
      </c>
      <c r="V833" s="78" t="b">
        <f t="shared" si="926"/>
        <v>0</v>
      </c>
      <c r="W833" s="78" t="b">
        <f t="shared" si="927"/>
        <v>0</v>
      </c>
      <c r="X833" s="78" t="b">
        <f t="shared" si="928"/>
        <v>0</v>
      </c>
      <c r="Y833" s="78" t="b">
        <f t="shared" si="929"/>
        <v>0</v>
      </c>
      <c r="Z833" s="78" t="b">
        <f t="shared" si="930"/>
        <v>0</v>
      </c>
      <c r="AA833" s="78" t="b">
        <f t="shared" si="931"/>
        <v>0</v>
      </c>
      <c r="AB833" s="78" t="b">
        <f t="shared" si="932"/>
        <v>0</v>
      </c>
      <c r="AC833" s="78" t="b">
        <f t="shared" si="933"/>
        <v>0</v>
      </c>
      <c r="AD833" s="78" t="b">
        <f t="shared" si="934"/>
        <v>0</v>
      </c>
      <c r="AE833" s="78" t="b">
        <f t="shared" si="935"/>
        <v>0</v>
      </c>
      <c r="AF833" s="78" t="b">
        <f t="shared" si="936"/>
        <v>0</v>
      </c>
      <c r="AG833" s="78" t="b">
        <f t="shared" si="937"/>
        <v>0</v>
      </c>
      <c r="AH833" s="78" t="b">
        <f t="shared" si="938"/>
        <v>0</v>
      </c>
      <c r="AI833" s="78" t="b">
        <f t="shared" si="939"/>
        <v>0</v>
      </c>
      <c r="AJ833" s="78" t="b">
        <f t="shared" si="940"/>
        <v>0</v>
      </c>
      <c r="AK833" s="78" t="b">
        <f t="shared" si="941"/>
        <v>0</v>
      </c>
      <c r="AL833" s="78" t="b">
        <f t="shared" si="942"/>
        <v>0</v>
      </c>
      <c r="AM833" s="78" t="b">
        <f t="shared" si="943"/>
        <v>0</v>
      </c>
      <c r="AN833" s="78" t="b">
        <f t="shared" si="944"/>
        <v>0</v>
      </c>
      <c r="AO833" s="78" t="b">
        <f t="shared" si="945"/>
        <v>0</v>
      </c>
    </row>
    <row r="834" spans="7:41" x14ac:dyDescent="0.35">
      <c r="G834" s="77">
        <f t="shared" si="915"/>
        <v>0</v>
      </c>
      <c r="H834" s="78">
        <f t="shared" si="916"/>
        <v>0</v>
      </c>
      <c r="I834" s="77">
        <f t="shared" si="917"/>
        <v>0</v>
      </c>
      <c r="J834" s="78">
        <f t="shared" si="918"/>
        <v>0</v>
      </c>
      <c r="K834" s="78" t="str">
        <f t="shared" si="919"/>
        <v>1900-01-00 00:0:00</v>
      </c>
      <c r="L834" s="78" t="str">
        <f t="shared" si="920"/>
        <v>1900-01-00 00:0:00</v>
      </c>
      <c r="M834" s="79">
        <f t="shared" si="921"/>
        <v>0</v>
      </c>
      <c r="N834">
        <f t="shared" si="914"/>
        <v>1</v>
      </c>
      <c r="O834" t="str">
        <f>IFERROR(_xlfn.XLOOKUP(A834,HC!A:A,HC!C:C),"")</f>
        <v>Workforce</v>
      </c>
      <c r="R834" s="78" t="b">
        <f t="shared" si="922"/>
        <v>0</v>
      </c>
      <c r="S834" s="78" t="b">
        <f t="shared" si="923"/>
        <v>0</v>
      </c>
      <c r="T834" s="78" t="b">
        <f t="shared" si="924"/>
        <v>0</v>
      </c>
      <c r="U834" s="78" t="b">
        <f t="shared" si="925"/>
        <v>0</v>
      </c>
      <c r="V834" s="78" t="b">
        <f t="shared" si="926"/>
        <v>0</v>
      </c>
      <c r="W834" s="78" t="b">
        <f t="shared" si="927"/>
        <v>0</v>
      </c>
      <c r="X834" s="78" t="b">
        <f t="shared" si="928"/>
        <v>0</v>
      </c>
      <c r="Y834" s="78" t="b">
        <f t="shared" si="929"/>
        <v>0</v>
      </c>
      <c r="Z834" s="78" t="b">
        <f t="shared" si="930"/>
        <v>0</v>
      </c>
      <c r="AA834" s="78" t="b">
        <f t="shared" si="931"/>
        <v>0</v>
      </c>
      <c r="AB834" s="78" t="b">
        <f t="shared" si="932"/>
        <v>0</v>
      </c>
      <c r="AC834" s="78" t="b">
        <f t="shared" si="933"/>
        <v>0</v>
      </c>
      <c r="AD834" s="78" t="b">
        <f t="shared" si="934"/>
        <v>0</v>
      </c>
      <c r="AE834" s="78" t="b">
        <f t="shared" si="935"/>
        <v>0</v>
      </c>
      <c r="AF834" s="78" t="b">
        <f t="shared" si="936"/>
        <v>0</v>
      </c>
      <c r="AG834" s="78" t="b">
        <f t="shared" si="937"/>
        <v>0</v>
      </c>
      <c r="AH834" s="78" t="b">
        <f t="shared" si="938"/>
        <v>0</v>
      </c>
      <c r="AI834" s="78" t="b">
        <f t="shared" si="939"/>
        <v>0</v>
      </c>
      <c r="AJ834" s="78" t="b">
        <f t="shared" si="940"/>
        <v>0</v>
      </c>
      <c r="AK834" s="78" t="b">
        <f t="shared" si="941"/>
        <v>0</v>
      </c>
      <c r="AL834" s="78" t="b">
        <f t="shared" si="942"/>
        <v>0</v>
      </c>
      <c r="AM834" s="78" t="b">
        <f t="shared" si="943"/>
        <v>0</v>
      </c>
      <c r="AN834" s="78" t="b">
        <f t="shared" si="944"/>
        <v>0</v>
      </c>
      <c r="AO834" s="78" t="b">
        <f t="shared" si="945"/>
        <v>0</v>
      </c>
    </row>
    <row r="835" spans="7:41" x14ac:dyDescent="0.35">
      <c r="G835" s="77">
        <f t="shared" si="915"/>
        <v>0</v>
      </c>
      <c r="H835" s="78">
        <f t="shared" si="916"/>
        <v>0</v>
      </c>
      <c r="I835" s="77">
        <f t="shared" si="917"/>
        <v>0</v>
      </c>
      <c r="J835" s="78">
        <f t="shared" si="918"/>
        <v>0</v>
      </c>
      <c r="K835" s="78" t="str">
        <f t="shared" si="919"/>
        <v>1900-01-00 00:0:00</v>
      </c>
      <c r="L835" s="78" t="str">
        <f t="shared" si="920"/>
        <v>1900-01-00 00:0:00</v>
      </c>
      <c r="M835" s="79">
        <f t="shared" si="921"/>
        <v>0</v>
      </c>
      <c r="N835">
        <f t="shared" si="914"/>
        <v>1</v>
      </c>
      <c r="O835" t="str">
        <f>IFERROR(_xlfn.XLOOKUP(A835,HC!A:A,HC!C:C),"")</f>
        <v>Workforce</v>
      </c>
      <c r="R835" s="78" t="b">
        <f t="shared" si="922"/>
        <v>0</v>
      </c>
      <c r="S835" s="78" t="b">
        <f t="shared" si="923"/>
        <v>0</v>
      </c>
      <c r="T835" s="78" t="b">
        <f t="shared" si="924"/>
        <v>0</v>
      </c>
      <c r="U835" s="78" t="b">
        <f t="shared" si="925"/>
        <v>0</v>
      </c>
      <c r="V835" s="78" t="b">
        <f t="shared" si="926"/>
        <v>0</v>
      </c>
      <c r="W835" s="78" t="b">
        <f t="shared" si="927"/>
        <v>0</v>
      </c>
      <c r="X835" s="78" t="b">
        <f t="shared" si="928"/>
        <v>0</v>
      </c>
      <c r="Y835" s="78" t="b">
        <f t="shared" si="929"/>
        <v>0</v>
      </c>
      <c r="Z835" s="78" t="b">
        <f t="shared" si="930"/>
        <v>0</v>
      </c>
      <c r="AA835" s="78" t="b">
        <f t="shared" si="931"/>
        <v>0</v>
      </c>
      <c r="AB835" s="78" t="b">
        <f t="shared" si="932"/>
        <v>0</v>
      </c>
      <c r="AC835" s="78" t="b">
        <f t="shared" si="933"/>
        <v>0</v>
      </c>
      <c r="AD835" s="78" t="b">
        <f t="shared" si="934"/>
        <v>0</v>
      </c>
      <c r="AE835" s="78" t="b">
        <f t="shared" si="935"/>
        <v>0</v>
      </c>
      <c r="AF835" s="78" t="b">
        <f t="shared" si="936"/>
        <v>0</v>
      </c>
      <c r="AG835" s="78" t="b">
        <f t="shared" si="937"/>
        <v>0</v>
      </c>
      <c r="AH835" s="78" t="b">
        <f t="shared" si="938"/>
        <v>0</v>
      </c>
      <c r="AI835" s="78" t="b">
        <f t="shared" si="939"/>
        <v>0</v>
      </c>
      <c r="AJ835" s="78" t="b">
        <f t="shared" si="940"/>
        <v>0</v>
      </c>
      <c r="AK835" s="78" t="b">
        <f t="shared" si="941"/>
        <v>0</v>
      </c>
      <c r="AL835" s="78" t="b">
        <f t="shared" si="942"/>
        <v>0</v>
      </c>
      <c r="AM835" s="78" t="b">
        <f t="shared" si="943"/>
        <v>0</v>
      </c>
      <c r="AN835" s="78" t="b">
        <f t="shared" si="944"/>
        <v>0</v>
      </c>
      <c r="AO835" s="78" t="b">
        <f t="shared" si="945"/>
        <v>0</v>
      </c>
    </row>
    <row r="836" spans="7:41" x14ac:dyDescent="0.35">
      <c r="G836" s="77">
        <f t="shared" si="915"/>
        <v>0</v>
      </c>
      <c r="H836" s="78">
        <f t="shared" si="916"/>
        <v>0</v>
      </c>
      <c r="I836" s="77">
        <f t="shared" si="917"/>
        <v>0</v>
      </c>
      <c r="J836" s="78">
        <f t="shared" si="918"/>
        <v>0</v>
      </c>
      <c r="K836" s="78" t="str">
        <f t="shared" si="919"/>
        <v>1900-01-00 00:0:00</v>
      </c>
      <c r="L836" s="78" t="str">
        <f t="shared" si="920"/>
        <v>1900-01-00 00:0:00</v>
      </c>
      <c r="M836" s="79">
        <f t="shared" si="921"/>
        <v>0</v>
      </c>
      <c r="N836">
        <f t="shared" ref="N836:N899" si="946">IF(M836&lt;$BA$1,1,0)</f>
        <v>1</v>
      </c>
      <c r="O836" t="str">
        <f>IFERROR(_xlfn.XLOOKUP(A836,HC!A:A,HC!C:C),"")</f>
        <v>Workforce</v>
      </c>
      <c r="R836" s="78" t="b">
        <f t="shared" si="922"/>
        <v>0</v>
      </c>
      <c r="S836" s="78" t="b">
        <f t="shared" si="923"/>
        <v>0</v>
      </c>
      <c r="T836" s="78" t="b">
        <f t="shared" si="924"/>
        <v>0</v>
      </c>
      <c r="U836" s="78" t="b">
        <f t="shared" si="925"/>
        <v>0</v>
      </c>
      <c r="V836" s="78" t="b">
        <f t="shared" si="926"/>
        <v>0</v>
      </c>
      <c r="W836" s="78" t="b">
        <f t="shared" si="927"/>
        <v>0</v>
      </c>
      <c r="X836" s="78" t="b">
        <f t="shared" si="928"/>
        <v>0</v>
      </c>
      <c r="Y836" s="78" t="b">
        <f t="shared" si="929"/>
        <v>0</v>
      </c>
      <c r="Z836" s="78" t="b">
        <f t="shared" si="930"/>
        <v>0</v>
      </c>
      <c r="AA836" s="78" t="b">
        <f t="shared" si="931"/>
        <v>0</v>
      </c>
      <c r="AB836" s="78" t="b">
        <f t="shared" si="932"/>
        <v>0</v>
      </c>
      <c r="AC836" s="78" t="b">
        <f t="shared" si="933"/>
        <v>0</v>
      </c>
      <c r="AD836" s="78" t="b">
        <f t="shared" si="934"/>
        <v>0</v>
      </c>
      <c r="AE836" s="78" t="b">
        <f t="shared" si="935"/>
        <v>0</v>
      </c>
      <c r="AF836" s="78" t="b">
        <f t="shared" si="936"/>
        <v>0</v>
      </c>
      <c r="AG836" s="78" t="b">
        <f t="shared" si="937"/>
        <v>0</v>
      </c>
      <c r="AH836" s="78" t="b">
        <f t="shared" si="938"/>
        <v>0</v>
      </c>
      <c r="AI836" s="78" t="b">
        <f t="shared" si="939"/>
        <v>0</v>
      </c>
      <c r="AJ836" s="78" t="b">
        <f t="shared" si="940"/>
        <v>0</v>
      </c>
      <c r="AK836" s="78" t="b">
        <f t="shared" si="941"/>
        <v>0</v>
      </c>
      <c r="AL836" s="78" t="b">
        <f t="shared" si="942"/>
        <v>0</v>
      </c>
      <c r="AM836" s="78" t="b">
        <f t="shared" si="943"/>
        <v>0</v>
      </c>
      <c r="AN836" s="78" t="b">
        <f t="shared" si="944"/>
        <v>0</v>
      </c>
      <c r="AO836" s="78" t="b">
        <f t="shared" si="945"/>
        <v>0</v>
      </c>
    </row>
    <row r="837" spans="7:41" x14ac:dyDescent="0.35">
      <c r="G837" s="77">
        <f t="shared" si="915"/>
        <v>0</v>
      </c>
      <c r="H837" s="78">
        <f t="shared" si="916"/>
        <v>0</v>
      </c>
      <c r="I837" s="77">
        <f t="shared" si="917"/>
        <v>0</v>
      </c>
      <c r="J837" s="78">
        <f t="shared" si="918"/>
        <v>0</v>
      </c>
      <c r="K837" s="78" t="str">
        <f t="shared" si="919"/>
        <v>1900-01-00 00:0:00</v>
      </c>
      <c r="L837" s="78" t="str">
        <f t="shared" si="920"/>
        <v>1900-01-00 00:0:00</v>
      </c>
      <c r="M837" s="79">
        <f t="shared" si="921"/>
        <v>0</v>
      </c>
      <c r="N837">
        <f t="shared" si="946"/>
        <v>1</v>
      </c>
      <c r="O837" t="str">
        <f>IFERROR(_xlfn.XLOOKUP(A837,HC!A:A,HC!C:C),"")</f>
        <v>Workforce</v>
      </c>
      <c r="R837" s="78" t="b">
        <f t="shared" si="922"/>
        <v>0</v>
      </c>
      <c r="S837" s="78" t="b">
        <f t="shared" si="923"/>
        <v>0</v>
      </c>
      <c r="T837" s="78" t="b">
        <f t="shared" si="924"/>
        <v>0</v>
      </c>
      <c r="U837" s="78" t="b">
        <f t="shared" si="925"/>
        <v>0</v>
      </c>
      <c r="V837" s="78" t="b">
        <f t="shared" si="926"/>
        <v>0</v>
      </c>
      <c r="W837" s="78" t="b">
        <f t="shared" si="927"/>
        <v>0</v>
      </c>
      <c r="X837" s="78" t="b">
        <f t="shared" si="928"/>
        <v>0</v>
      </c>
      <c r="Y837" s="78" t="b">
        <f t="shared" si="929"/>
        <v>0</v>
      </c>
      <c r="Z837" s="78" t="b">
        <f t="shared" si="930"/>
        <v>0</v>
      </c>
      <c r="AA837" s="78" t="b">
        <f t="shared" si="931"/>
        <v>0</v>
      </c>
      <c r="AB837" s="78" t="b">
        <f t="shared" si="932"/>
        <v>0</v>
      </c>
      <c r="AC837" s="78" t="b">
        <f t="shared" si="933"/>
        <v>0</v>
      </c>
      <c r="AD837" s="78" t="b">
        <f t="shared" si="934"/>
        <v>0</v>
      </c>
      <c r="AE837" s="78" t="b">
        <f t="shared" si="935"/>
        <v>0</v>
      </c>
      <c r="AF837" s="78" t="b">
        <f t="shared" si="936"/>
        <v>0</v>
      </c>
      <c r="AG837" s="78" t="b">
        <f t="shared" si="937"/>
        <v>0</v>
      </c>
      <c r="AH837" s="78" t="b">
        <f t="shared" si="938"/>
        <v>0</v>
      </c>
      <c r="AI837" s="78" t="b">
        <f t="shared" si="939"/>
        <v>0</v>
      </c>
      <c r="AJ837" s="78" t="b">
        <f t="shared" si="940"/>
        <v>0</v>
      </c>
      <c r="AK837" s="78" t="b">
        <f t="shared" si="941"/>
        <v>0</v>
      </c>
      <c r="AL837" s="78" t="b">
        <f t="shared" si="942"/>
        <v>0</v>
      </c>
      <c r="AM837" s="78" t="b">
        <f t="shared" si="943"/>
        <v>0</v>
      </c>
      <c r="AN837" s="78" t="b">
        <f t="shared" si="944"/>
        <v>0</v>
      </c>
      <c r="AO837" s="78" t="b">
        <f t="shared" si="945"/>
        <v>0</v>
      </c>
    </row>
    <row r="838" spans="7:41" x14ac:dyDescent="0.35">
      <c r="G838" s="77">
        <f t="shared" si="915"/>
        <v>0</v>
      </c>
      <c r="H838" s="78">
        <f t="shared" si="916"/>
        <v>0</v>
      </c>
      <c r="I838" s="77">
        <f t="shared" si="917"/>
        <v>0</v>
      </c>
      <c r="J838" s="78">
        <f t="shared" si="918"/>
        <v>0</v>
      </c>
      <c r="K838" s="78" t="str">
        <f t="shared" si="919"/>
        <v>1900-01-00 00:0:00</v>
      </c>
      <c r="L838" s="78" t="str">
        <f t="shared" si="920"/>
        <v>1900-01-00 00:0:00</v>
      </c>
      <c r="M838" s="79">
        <f t="shared" si="921"/>
        <v>0</v>
      </c>
      <c r="N838">
        <f t="shared" si="946"/>
        <v>1</v>
      </c>
      <c r="O838" t="str">
        <f>IFERROR(_xlfn.XLOOKUP(A838,HC!A:A,HC!C:C),"")</f>
        <v>Workforce</v>
      </c>
      <c r="R838" s="78" t="b">
        <f t="shared" si="922"/>
        <v>0</v>
      </c>
      <c r="S838" s="78" t="b">
        <f t="shared" si="923"/>
        <v>0</v>
      </c>
      <c r="T838" s="78" t="b">
        <f t="shared" si="924"/>
        <v>0</v>
      </c>
      <c r="U838" s="78" t="b">
        <f t="shared" si="925"/>
        <v>0</v>
      </c>
      <c r="V838" s="78" t="b">
        <f t="shared" si="926"/>
        <v>0</v>
      </c>
      <c r="W838" s="78" t="b">
        <f t="shared" si="927"/>
        <v>0</v>
      </c>
      <c r="X838" s="78" t="b">
        <f t="shared" si="928"/>
        <v>0</v>
      </c>
      <c r="Y838" s="78" t="b">
        <f t="shared" si="929"/>
        <v>0</v>
      </c>
      <c r="Z838" s="78" t="b">
        <f t="shared" si="930"/>
        <v>0</v>
      </c>
      <c r="AA838" s="78" t="b">
        <f t="shared" si="931"/>
        <v>0</v>
      </c>
      <c r="AB838" s="78" t="b">
        <f t="shared" si="932"/>
        <v>0</v>
      </c>
      <c r="AC838" s="78" t="b">
        <f t="shared" si="933"/>
        <v>0</v>
      </c>
      <c r="AD838" s="78" t="b">
        <f t="shared" si="934"/>
        <v>0</v>
      </c>
      <c r="AE838" s="78" t="b">
        <f t="shared" si="935"/>
        <v>0</v>
      </c>
      <c r="AF838" s="78" t="b">
        <f t="shared" si="936"/>
        <v>0</v>
      </c>
      <c r="AG838" s="78" t="b">
        <f t="shared" si="937"/>
        <v>0</v>
      </c>
      <c r="AH838" s="78" t="b">
        <f t="shared" si="938"/>
        <v>0</v>
      </c>
      <c r="AI838" s="78" t="b">
        <f t="shared" si="939"/>
        <v>0</v>
      </c>
      <c r="AJ838" s="78" t="b">
        <f t="shared" si="940"/>
        <v>0</v>
      </c>
      <c r="AK838" s="78" t="b">
        <f t="shared" si="941"/>
        <v>0</v>
      </c>
      <c r="AL838" s="78" t="b">
        <f t="shared" si="942"/>
        <v>0</v>
      </c>
      <c r="AM838" s="78" t="b">
        <f t="shared" si="943"/>
        <v>0</v>
      </c>
      <c r="AN838" s="78" t="b">
        <f t="shared" si="944"/>
        <v>0</v>
      </c>
      <c r="AO838" s="78" t="b">
        <f t="shared" si="945"/>
        <v>0</v>
      </c>
    </row>
    <row r="839" spans="7:41" x14ac:dyDescent="0.35">
      <c r="G839" s="77">
        <f t="shared" si="915"/>
        <v>0</v>
      </c>
      <c r="H839" s="78">
        <f t="shared" si="916"/>
        <v>0</v>
      </c>
      <c r="I839" s="77">
        <f t="shared" si="917"/>
        <v>0</v>
      </c>
      <c r="J839" s="78">
        <f t="shared" si="918"/>
        <v>0</v>
      </c>
      <c r="K839" s="78" t="str">
        <f t="shared" si="919"/>
        <v>1900-01-00 00:0:00</v>
      </c>
      <c r="L839" s="78" t="str">
        <f t="shared" si="920"/>
        <v>1900-01-00 00:0:00</v>
      </c>
      <c r="M839" s="79">
        <f t="shared" si="921"/>
        <v>0</v>
      </c>
      <c r="N839">
        <f t="shared" si="946"/>
        <v>1</v>
      </c>
      <c r="O839" t="str">
        <f>IFERROR(_xlfn.XLOOKUP(A839,HC!A:A,HC!C:C),"")</f>
        <v>Workforce</v>
      </c>
      <c r="R839" s="78" t="b">
        <f t="shared" si="922"/>
        <v>0</v>
      </c>
      <c r="S839" s="78" t="b">
        <f t="shared" si="923"/>
        <v>0</v>
      </c>
      <c r="T839" s="78" t="b">
        <f t="shared" si="924"/>
        <v>0</v>
      </c>
      <c r="U839" s="78" t="b">
        <f t="shared" si="925"/>
        <v>0</v>
      </c>
      <c r="V839" s="78" t="b">
        <f t="shared" si="926"/>
        <v>0</v>
      </c>
      <c r="W839" s="78" t="b">
        <f t="shared" si="927"/>
        <v>0</v>
      </c>
      <c r="X839" s="78" t="b">
        <f t="shared" si="928"/>
        <v>0</v>
      </c>
      <c r="Y839" s="78" t="b">
        <f t="shared" si="929"/>
        <v>0</v>
      </c>
      <c r="Z839" s="78" t="b">
        <f t="shared" si="930"/>
        <v>0</v>
      </c>
      <c r="AA839" s="78" t="b">
        <f t="shared" si="931"/>
        <v>0</v>
      </c>
      <c r="AB839" s="78" t="b">
        <f t="shared" si="932"/>
        <v>0</v>
      </c>
      <c r="AC839" s="78" t="b">
        <f t="shared" si="933"/>
        <v>0</v>
      </c>
      <c r="AD839" s="78" t="b">
        <f t="shared" si="934"/>
        <v>0</v>
      </c>
      <c r="AE839" s="78" t="b">
        <f t="shared" si="935"/>
        <v>0</v>
      </c>
      <c r="AF839" s="78" t="b">
        <f t="shared" si="936"/>
        <v>0</v>
      </c>
      <c r="AG839" s="78" t="b">
        <f t="shared" si="937"/>
        <v>0</v>
      </c>
      <c r="AH839" s="78" t="b">
        <f t="shared" si="938"/>
        <v>0</v>
      </c>
      <c r="AI839" s="78" t="b">
        <f t="shared" si="939"/>
        <v>0</v>
      </c>
      <c r="AJ839" s="78" t="b">
        <f t="shared" si="940"/>
        <v>0</v>
      </c>
      <c r="AK839" s="78" t="b">
        <f t="shared" si="941"/>
        <v>0</v>
      </c>
      <c r="AL839" s="78" t="b">
        <f t="shared" si="942"/>
        <v>0</v>
      </c>
      <c r="AM839" s="78" t="b">
        <f t="shared" si="943"/>
        <v>0</v>
      </c>
      <c r="AN839" s="78" t="b">
        <f t="shared" si="944"/>
        <v>0</v>
      </c>
      <c r="AO839" s="78" t="b">
        <f t="shared" si="945"/>
        <v>0</v>
      </c>
    </row>
    <row r="840" spans="7:41" x14ac:dyDescent="0.35">
      <c r="G840" s="77">
        <f t="shared" si="915"/>
        <v>0</v>
      </c>
      <c r="H840" s="78">
        <f t="shared" si="916"/>
        <v>0</v>
      </c>
      <c r="I840" s="77">
        <f t="shared" si="917"/>
        <v>0</v>
      </c>
      <c r="J840" s="78">
        <f t="shared" si="918"/>
        <v>0</v>
      </c>
      <c r="K840" s="78" t="str">
        <f t="shared" si="919"/>
        <v>1900-01-00 00:0:00</v>
      </c>
      <c r="L840" s="78" t="str">
        <f t="shared" si="920"/>
        <v>1900-01-00 00:0:00</v>
      </c>
      <c r="M840" s="79">
        <f t="shared" si="921"/>
        <v>0</v>
      </c>
      <c r="N840">
        <f t="shared" si="946"/>
        <v>1</v>
      </c>
      <c r="O840" t="str">
        <f>IFERROR(_xlfn.XLOOKUP(A840,HC!A:A,HC!C:C),"")</f>
        <v>Workforce</v>
      </c>
      <c r="R840" s="78" t="b">
        <f t="shared" si="922"/>
        <v>0</v>
      </c>
      <c r="S840" s="78" t="b">
        <f t="shared" si="923"/>
        <v>0</v>
      </c>
      <c r="T840" s="78" t="b">
        <f t="shared" si="924"/>
        <v>0</v>
      </c>
      <c r="U840" s="78" t="b">
        <f t="shared" si="925"/>
        <v>0</v>
      </c>
      <c r="V840" s="78" t="b">
        <f t="shared" si="926"/>
        <v>0</v>
      </c>
      <c r="W840" s="78" t="b">
        <f t="shared" si="927"/>
        <v>0</v>
      </c>
      <c r="X840" s="78" t="b">
        <f t="shared" si="928"/>
        <v>0</v>
      </c>
      <c r="Y840" s="78" t="b">
        <f t="shared" si="929"/>
        <v>0</v>
      </c>
      <c r="Z840" s="78" t="b">
        <f t="shared" si="930"/>
        <v>0</v>
      </c>
      <c r="AA840" s="78" t="b">
        <f t="shared" si="931"/>
        <v>0</v>
      </c>
      <c r="AB840" s="78" t="b">
        <f t="shared" si="932"/>
        <v>0</v>
      </c>
      <c r="AC840" s="78" t="b">
        <f t="shared" si="933"/>
        <v>0</v>
      </c>
      <c r="AD840" s="78" t="b">
        <f t="shared" si="934"/>
        <v>0</v>
      </c>
      <c r="AE840" s="78" t="b">
        <f t="shared" si="935"/>
        <v>0</v>
      </c>
      <c r="AF840" s="78" t="b">
        <f t="shared" si="936"/>
        <v>0</v>
      </c>
      <c r="AG840" s="78" t="b">
        <f t="shared" si="937"/>
        <v>0</v>
      </c>
      <c r="AH840" s="78" t="b">
        <f t="shared" si="938"/>
        <v>0</v>
      </c>
      <c r="AI840" s="78" t="b">
        <f t="shared" si="939"/>
        <v>0</v>
      </c>
      <c r="AJ840" s="78" t="b">
        <f t="shared" si="940"/>
        <v>0</v>
      </c>
      <c r="AK840" s="78" t="b">
        <f t="shared" si="941"/>
        <v>0</v>
      </c>
      <c r="AL840" s="78" t="b">
        <f t="shared" si="942"/>
        <v>0</v>
      </c>
      <c r="AM840" s="78" t="b">
        <f t="shared" si="943"/>
        <v>0</v>
      </c>
      <c r="AN840" s="78" t="b">
        <f t="shared" si="944"/>
        <v>0</v>
      </c>
      <c r="AO840" s="78" t="b">
        <f t="shared" si="945"/>
        <v>0</v>
      </c>
    </row>
    <row r="841" spans="7:41" x14ac:dyDescent="0.35">
      <c r="G841" s="77">
        <f t="shared" si="915"/>
        <v>0</v>
      </c>
      <c r="H841" s="78">
        <f t="shared" si="916"/>
        <v>0</v>
      </c>
      <c r="I841" s="77">
        <f t="shared" si="917"/>
        <v>0</v>
      </c>
      <c r="J841" s="78">
        <f t="shared" si="918"/>
        <v>0</v>
      </c>
      <c r="K841" s="78" t="str">
        <f t="shared" si="919"/>
        <v>1900-01-00 00:0:00</v>
      </c>
      <c r="L841" s="78" t="str">
        <f t="shared" si="920"/>
        <v>1900-01-00 00:0:00</v>
      </c>
      <c r="M841" s="79">
        <f t="shared" si="921"/>
        <v>0</v>
      </c>
      <c r="N841">
        <f t="shared" si="946"/>
        <v>1</v>
      </c>
      <c r="O841" t="str">
        <f>IFERROR(_xlfn.XLOOKUP(A841,HC!A:A,HC!C:C),"")</f>
        <v>Workforce</v>
      </c>
      <c r="R841" s="78" t="b">
        <f t="shared" si="922"/>
        <v>0</v>
      </c>
      <c r="S841" s="78" t="b">
        <f t="shared" si="923"/>
        <v>0</v>
      </c>
      <c r="T841" s="78" t="b">
        <f t="shared" si="924"/>
        <v>0</v>
      </c>
      <c r="U841" s="78" t="b">
        <f t="shared" si="925"/>
        <v>0</v>
      </c>
      <c r="V841" s="78" t="b">
        <f t="shared" si="926"/>
        <v>0</v>
      </c>
      <c r="W841" s="78" t="b">
        <f t="shared" si="927"/>
        <v>0</v>
      </c>
      <c r="X841" s="78" t="b">
        <f t="shared" si="928"/>
        <v>0</v>
      </c>
      <c r="Y841" s="78" t="b">
        <f t="shared" si="929"/>
        <v>0</v>
      </c>
      <c r="Z841" s="78" t="b">
        <f t="shared" si="930"/>
        <v>0</v>
      </c>
      <c r="AA841" s="78" t="b">
        <f t="shared" si="931"/>
        <v>0</v>
      </c>
      <c r="AB841" s="78" t="b">
        <f t="shared" si="932"/>
        <v>0</v>
      </c>
      <c r="AC841" s="78" t="b">
        <f t="shared" si="933"/>
        <v>0</v>
      </c>
      <c r="AD841" s="78" t="b">
        <f t="shared" si="934"/>
        <v>0</v>
      </c>
      <c r="AE841" s="78" t="b">
        <f t="shared" si="935"/>
        <v>0</v>
      </c>
      <c r="AF841" s="78" t="b">
        <f t="shared" si="936"/>
        <v>0</v>
      </c>
      <c r="AG841" s="78" t="b">
        <f t="shared" si="937"/>
        <v>0</v>
      </c>
      <c r="AH841" s="78" t="b">
        <f t="shared" si="938"/>
        <v>0</v>
      </c>
      <c r="AI841" s="78" t="b">
        <f t="shared" si="939"/>
        <v>0</v>
      </c>
      <c r="AJ841" s="78" t="b">
        <f t="shared" si="940"/>
        <v>0</v>
      </c>
      <c r="AK841" s="78" t="b">
        <f t="shared" si="941"/>
        <v>0</v>
      </c>
      <c r="AL841" s="78" t="b">
        <f t="shared" si="942"/>
        <v>0</v>
      </c>
      <c r="AM841" s="78" t="b">
        <f t="shared" si="943"/>
        <v>0</v>
      </c>
      <c r="AN841" s="78" t="b">
        <f t="shared" si="944"/>
        <v>0</v>
      </c>
      <c r="AO841" s="78" t="b">
        <f t="shared" si="945"/>
        <v>0</v>
      </c>
    </row>
    <row r="842" spans="7:41" x14ac:dyDescent="0.35">
      <c r="G842" s="77">
        <f t="shared" si="915"/>
        <v>0</v>
      </c>
      <c r="H842" s="78">
        <f t="shared" si="916"/>
        <v>0</v>
      </c>
      <c r="I842" s="77">
        <f t="shared" si="917"/>
        <v>0</v>
      </c>
      <c r="J842" s="78">
        <f t="shared" si="918"/>
        <v>0</v>
      </c>
      <c r="K842" s="78" t="str">
        <f t="shared" si="919"/>
        <v>1900-01-00 00:0:00</v>
      </c>
      <c r="L842" s="78" t="str">
        <f t="shared" si="920"/>
        <v>1900-01-00 00:0:00</v>
      </c>
      <c r="M842" s="79">
        <f t="shared" si="921"/>
        <v>0</v>
      </c>
      <c r="N842">
        <f t="shared" si="946"/>
        <v>1</v>
      </c>
      <c r="O842" t="str">
        <f>IFERROR(_xlfn.XLOOKUP(A842,HC!A:A,HC!C:C),"")</f>
        <v>Workforce</v>
      </c>
      <c r="R842" s="78" t="b">
        <f t="shared" si="922"/>
        <v>0</v>
      </c>
      <c r="S842" s="78" t="b">
        <f t="shared" si="923"/>
        <v>0</v>
      </c>
      <c r="T842" s="78" t="b">
        <f t="shared" si="924"/>
        <v>0</v>
      </c>
      <c r="U842" s="78" t="b">
        <f t="shared" si="925"/>
        <v>0</v>
      </c>
      <c r="V842" s="78" t="b">
        <f t="shared" si="926"/>
        <v>0</v>
      </c>
      <c r="W842" s="78" t="b">
        <f t="shared" si="927"/>
        <v>0</v>
      </c>
      <c r="X842" s="78" t="b">
        <f t="shared" si="928"/>
        <v>0</v>
      </c>
      <c r="Y842" s="78" t="b">
        <f t="shared" si="929"/>
        <v>0</v>
      </c>
      <c r="Z842" s="78" t="b">
        <f t="shared" si="930"/>
        <v>0</v>
      </c>
      <c r="AA842" s="78" t="b">
        <f t="shared" si="931"/>
        <v>0</v>
      </c>
      <c r="AB842" s="78" t="b">
        <f t="shared" si="932"/>
        <v>0</v>
      </c>
      <c r="AC842" s="78" t="b">
        <f t="shared" si="933"/>
        <v>0</v>
      </c>
      <c r="AD842" s="78" t="b">
        <f t="shared" si="934"/>
        <v>0</v>
      </c>
      <c r="AE842" s="78" t="b">
        <f t="shared" si="935"/>
        <v>0</v>
      </c>
      <c r="AF842" s="78" t="b">
        <f t="shared" si="936"/>
        <v>0</v>
      </c>
      <c r="AG842" s="78" t="b">
        <f t="shared" si="937"/>
        <v>0</v>
      </c>
      <c r="AH842" s="78" t="b">
        <f t="shared" si="938"/>
        <v>0</v>
      </c>
      <c r="AI842" s="78" t="b">
        <f t="shared" si="939"/>
        <v>0</v>
      </c>
      <c r="AJ842" s="78" t="b">
        <f t="shared" si="940"/>
        <v>0</v>
      </c>
      <c r="AK842" s="78" t="b">
        <f t="shared" si="941"/>
        <v>0</v>
      </c>
      <c r="AL842" s="78" t="b">
        <f t="shared" si="942"/>
        <v>0</v>
      </c>
      <c r="AM842" s="78" t="b">
        <f t="shared" si="943"/>
        <v>0</v>
      </c>
      <c r="AN842" s="78" t="b">
        <f t="shared" si="944"/>
        <v>0</v>
      </c>
      <c r="AO842" s="78" t="b">
        <f t="shared" si="945"/>
        <v>0</v>
      </c>
    </row>
    <row r="843" spans="7:41" x14ac:dyDescent="0.35">
      <c r="G843" s="77">
        <f t="shared" si="915"/>
        <v>0</v>
      </c>
      <c r="H843" s="78">
        <f t="shared" si="916"/>
        <v>0</v>
      </c>
      <c r="I843" s="77">
        <f t="shared" si="917"/>
        <v>0</v>
      </c>
      <c r="J843" s="78">
        <f t="shared" si="918"/>
        <v>0</v>
      </c>
      <c r="K843" s="78" t="str">
        <f t="shared" si="919"/>
        <v>1900-01-00 00:0:00</v>
      </c>
      <c r="L843" s="78" t="str">
        <f t="shared" si="920"/>
        <v>1900-01-00 00:0:00</v>
      </c>
      <c r="M843" s="79">
        <f t="shared" si="921"/>
        <v>0</v>
      </c>
      <c r="N843">
        <f t="shared" si="946"/>
        <v>1</v>
      </c>
      <c r="O843" t="str">
        <f>IFERROR(_xlfn.XLOOKUP(A843,HC!A:A,HC!C:C),"")</f>
        <v>Workforce</v>
      </c>
      <c r="R843" s="78" t="b">
        <f t="shared" si="922"/>
        <v>0</v>
      </c>
      <c r="S843" s="78" t="b">
        <f t="shared" si="923"/>
        <v>0</v>
      </c>
      <c r="T843" s="78" t="b">
        <f t="shared" si="924"/>
        <v>0</v>
      </c>
      <c r="U843" s="78" t="b">
        <f t="shared" si="925"/>
        <v>0</v>
      </c>
      <c r="V843" s="78" t="b">
        <f t="shared" si="926"/>
        <v>0</v>
      </c>
      <c r="W843" s="78" t="b">
        <f t="shared" si="927"/>
        <v>0</v>
      </c>
      <c r="X843" s="78" t="b">
        <f t="shared" si="928"/>
        <v>0</v>
      </c>
      <c r="Y843" s="78" t="b">
        <f t="shared" si="929"/>
        <v>0</v>
      </c>
      <c r="Z843" s="78" t="b">
        <f t="shared" si="930"/>
        <v>0</v>
      </c>
      <c r="AA843" s="78" t="b">
        <f t="shared" si="931"/>
        <v>0</v>
      </c>
      <c r="AB843" s="78" t="b">
        <f t="shared" si="932"/>
        <v>0</v>
      </c>
      <c r="AC843" s="78" t="b">
        <f t="shared" si="933"/>
        <v>0</v>
      </c>
      <c r="AD843" s="78" t="b">
        <f t="shared" si="934"/>
        <v>0</v>
      </c>
      <c r="AE843" s="78" t="b">
        <f t="shared" si="935"/>
        <v>0</v>
      </c>
      <c r="AF843" s="78" t="b">
        <f t="shared" si="936"/>
        <v>0</v>
      </c>
      <c r="AG843" s="78" t="b">
        <f t="shared" si="937"/>
        <v>0</v>
      </c>
      <c r="AH843" s="78" t="b">
        <f t="shared" si="938"/>
        <v>0</v>
      </c>
      <c r="AI843" s="78" t="b">
        <f t="shared" si="939"/>
        <v>0</v>
      </c>
      <c r="AJ843" s="78" t="b">
        <f t="shared" si="940"/>
        <v>0</v>
      </c>
      <c r="AK843" s="78" t="b">
        <f t="shared" si="941"/>
        <v>0</v>
      </c>
      <c r="AL843" s="78" t="b">
        <f t="shared" si="942"/>
        <v>0</v>
      </c>
      <c r="AM843" s="78" t="b">
        <f t="shared" si="943"/>
        <v>0</v>
      </c>
      <c r="AN843" s="78" t="b">
        <f t="shared" si="944"/>
        <v>0</v>
      </c>
      <c r="AO843" s="78" t="b">
        <f t="shared" si="945"/>
        <v>0</v>
      </c>
    </row>
    <row r="844" spans="7:41" x14ac:dyDescent="0.35">
      <c r="G844" s="77">
        <f t="shared" si="915"/>
        <v>0</v>
      </c>
      <c r="H844" s="78">
        <f t="shared" si="916"/>
        <v>0</v>
      </c>
      <c r="I844" s="77">
        <f t="shared" si="917"/>
        <v>0</v>
      </c>
      <c r="J844" s="78">
        <f t="shared" si="918"/>
        <v>0</v>
      </c>
      <c r="K844" s="78" t="str">
        <f t="shared" si="919"/>
        <v>1900-01-00 00:0:00</v>
      </c>
      <c r="L844" s="78" t="str">
        <f t="shared" si="920"/>
        <v>1900-01-00 00:0:00</v>
      </c>
      <c r="M844" s="79">
        <f t="shared" si="921"/>
        <v>0</v>
      </c>
      <c r="N844">
        <f t="shared" si="946"/>
        <v>1</v>
      </c>
      <c r="O844" t="str">
        <f>IFERROR(_xlfn.XLOOKUP(A844,HC!A:A,HC!C:C),"")</f>
        <v>Workforce</v>
      </c>
      <c r="R844" s="78" t="b">
        <f t="shared" si="922"/>
        <v>0</v>
      </c>
      <c r="S844" s="78" t="b">
        <f t="shared" si="923"/>
        <v>0</v>
      </c>
      <c r="T844" s="78" t="b">
        <f t="shared" si="924"/>
        <v>0</v>
      </c>
      <c r="U844" s="78" t="b">
        <f t="shared" si="925"/>
        <v>0</v>
      </c>
      <c r="V844" s="78" t="b">
        <f t="shared" si="926"/>
        <v>0</v>
      </c>
      <c r="W844" s="78" t="b">
        <f t="shared" si="927"/>
        <v>0</v>
      </c>
      <c r="X844" s="78" t="b">
        <f t="shared" si="928"/>
        <v>0</v>
      </c>
      <c r="Y844" s="78" t="b">
        <f t="shared" si="929"/>
        <v>0</v>
      </c>
      <c r="Z844" s="78" t="b">
        <f t="shared" si="930"/>
        <v>0</v>
      </c>
      <c r="AA844" s="78" t="b">
        <f t="shared" si="931"/>
        <v>0</v>
      </c>
      <c r="AB844" s="78" t="b">
        <f t="shared" si="932"/>
        <v>0</v>
      </c>
      <c r="AC844" s="78" t="b">
        <f t="shared" si="933"/>
        <v>0</v>
      </c>
      <c r="AD844" s="78" t="b">
        <f t="shared" si="934"/>
        <v>0</v>
      </c>
      <c r="AE844" s="78" t="b">
        <f t="shared" si="935"/>
        <v>0</v>
      </c>
      <c r="AF844" s="78" t="b">
        <f t="shared" si="936"/>
        <v>0</v>
      </c>
      <c r="AG844" s="78" t="b">
        <f t="shared" si="937"/>
        <v>0</v>
      </c>
      <c r="AH844" s="78" t="b">
        <f t="shared" si="938"/>
        <v>0</v>
      </c>
      <c r="AI844" s="78" t="b">
        <f t="shared" si="939"/>
        <v>0</v>
      </c>
      <c r="AJ844" s="78" t="b">
        <f t="shared" si="940"/>
        <v>0</v>
      </c>
      <c r="AK844" s="78" t="b">
        <f t="shared" si="941"/>
        <v>0</v>
      </c>
      <c r="AL844" s="78" t="b">
        <f t="shared" si="942"/>
        <v>0</v>
      </c>
      <c r="AM844" s="78" t="b">
        <f t="shared" si="943"/>
        <v>0</v>
      </c>
      <c r="AN844" s="78" t="b">
        <f t="shared" si="944"/>
        <v>0</v>
      </c>
      <c r="AO844" s="78" t="b">
        <f t="shared" si="945"/>
        <v>0</v>
      </c>
    </row>
    <row r="845" spans="7:41" x14ac:dyDescent="0.35">
      <c r="G845" s="77">
        <f t="shared" si="915"/>
        <v>0</v>
      </c>
      <c r="H845" s="78">
        <f t="shared" si="916"/>
        <v>0</v>
      </c>
      <c r="I845" s="77">
        <f t="shared" si="917"/>
        <v>0</v>
      </c>
      <c r="J845" s="78">
        <f t="shared" si="918"/>
        <v>0</v>
      </c>
      <c r="K845" s="78" t="str">
        <f t="shared" si="919"/>
        <v>1900-01-00 00:0:00</v>
      </c>
      <c r="L845" s="78" t="str">
        <f t="shared" si="920"/>
        <v>1900-01-00 00:0:00</v>
      </c>
      <c r="M845" s="79">
        <f t="shared" si="921"/>
        <v>0</v>
      </c>
      <c r="N845">
        <f t="shared" si="946"/>
        <v>1</v>
      </c>
      <c r="O845" t="str">
        <f>IFERROR(_xlfn.XLOOKUP(A845,HC!A:A,HC!C:C),"")</f>
        <v>Workforce</v>
      </c>
      <c r="R845" s="78" t="b">
        <f t="shared" si="922"/>
        <v>0</v>
      </c>
      <c r="S845" s="78" t="b">
        <f t="shared" si="923"/>
        <v>0</v>
      </c>
      <c r="T845" s="78" t="b">
        <f t="shared" si="924"/>
        <v>0</v>
      </c>
      <c r="U845" s="78" t="b">
        <f t="shared" si="925"/>
        <v>0</v>
      </c>
      <c r="V845" s="78" t="b">
        <f t="shared" si="926"/>
        <v>0</v>
      </c>
      <c r="W845" s="78" t="b">
        <f t="shared" si="927"/>
        <v>0</v>
      </c>
      <c r="X845" s="78" t="b">
        <f t="shared" si="928"/>
        <v>0</v>
      </c>
      <c r="Y845" s="78" t="b">
        <f t="shared" si="929"/>
        <v>0</v>
      </c>
      <c r="Z845" s="78" t="b">
        <f t="shared" si="930"/>
        <v>0</v>
      </c>
      <c r="AA845" s="78" t="b">
        <f t="shared" si="931"/>
        <v>0</v>
      </c>
      <c r="AB845" s="78" t="b">
        <f t="shared" si="932"/>
        <v>0</v>
      </c>
      <c r="AC845" s="78" t="b">
        <f t="shared" si="933"/>
        <v>0</v>
      </c>
      <c r="AD845" s="78" t="b">
        <f t="shared" si="934"/>
        <v>0</v>
      </c>
      <c r="AE845" s="78" t="b">
        <f t="shared" si="935"/>
        <v>0</v>
      </c>
      <c r="AF845" s="78" t="b">
        <f t="shared" si="936"/>
        <v>0</v>
      </c>
      <c r="AG845" s="78" t="b">
        <f t="shared" si="937"/>
        <v>0</v>
      </c>
      <c r="AH845" s="78" t="b">
        <f t="shared" si="938"/>
        <v>0</v>
      </c>
      <c r="AI845" s="78" t="b">
        <f t="shared" si="939"/>
        <v>0</v>
      </c>
      <c r="AJ845" s="78" t="b">
        <f t="shared" si="940"/>
        <v>0</v>
      </c>
      <c r="AK845" s="78" t="b">
        <f t="shared" si="941"/>
        <v>0</v>
      </c>
      <c r="AL845" s="78" t="b">
        <f t="shared" si="942"/>
        <v>0</v>
      </c>
      <c r="AM845" s="78" t="b">
        <f t="shared" si="943"/>
        <v>0</v>
      </c>
      <c r="AN845" s="78" t="b">
        <f t="shared" si="944"/>
        <v>0</v>
      </c>
      <c r="AO845" s="78" t="b">
        <f t="shared" si="945"/>
        <v>0</v>
      </c>
    </row>
    <row r="846" spans="7:41" x14ac:dyDescent="0.35">
      <c r="G846" s="77">
        <f t="shared" si="915"/>
        <v>0</v>
      </c>
      <c r="H846" s="78">
        <f t="shared" si="916"/>
        <v>0</v>
      </c>
      <c r="I846" s="77">
        <f t="shared" si="917"/>
        <v>0</v>
      </c>
      <c r="J846" s="78">
        <f t="shared" si="918"/>
        <v>0</v>
      </c>
      <c r="K846" s="78" t="str">
        <f t="shared" si="919"/>
        <v>1900-01-00 00:0:00</v>
      </c>
      <c r="L846" s="78" t="str">
        <f t="shared" si="920"/>
        <v>1900-01-00 00:0:00</v>
      </c>
      <c r="M846" s="79">
        <f t="shared" si="921"/>
        <v>0</v>
      </c>
      <c r="N846">
        <f t="shared" si="946"/>
        <v>1</v>
      </c>
      <c r="O846" t="str">
        <f>IFERROR(_xlfn.XLOOKUP(A846,HC!A:A,HC!C:C),"")</f>
        <v>Workforce</v>
      </c>
      <c r="R846" s="78" t="b">
        <f t="shared" si="922"/>
        <v>0</v>
      </c>
      <c r="S846" s="78" t="b">
        <f t="shared" si="923"/>
        <v>0</v>
      </c>
      <c r="T846" s="78" t="b">
        <f t="shared" si="924"/>
        <v>0</v>
      </c>
      <c r="U846" s="78" t="b">
        <f t="shared" si="925"/>
        <v>0</v>
      </c>
      <c r="V846" s="78" t="b">
        <f t="shared" si="926"/>
        <v>0</v>
      </c>
      <c r="W846" s="78" t="b">
        <f t="shared" si="927"/>
        <v>0</v>
      </c>
      <c r="X846" s="78" t="b">
        <f t="shared" si="928"/>
        <v>0</v>
      </c>
      <c r="Y846" s="78" t="b">
        <f t="shared" si="929"/>
        <v>0</v>
      </c>
      <c r="Z846" s="78" t="b">
        <f t="shared" si="930"/>
        <v>0</v>
      </c>
      <c r="AA846" s="78" t="b">
        <f t="shared" si="931"/>
        <v>0</v>
      </c>
      <c r="AB846" s="78" t="b">
        <f t="shared" si="932"/>
        <v>0</v>
      </c>
      <c r="AC846" s="78" t="b">
        <f t="shared" si="933"/>
        <v>0</v>
      </c>
      <c r="AD846" s="78" t="b">
        <f t="shared" si="934"/>
        <v>0</v>
      </c>
      <c r="AE846" s="78" t="b">
        <f t="shared" si="935"/>
        <v>0</v>
      </c>
      <c r="AF846" s="78" t="b">
        <f t="shared" si="936"/>
        <v>0</v>
      </c>
      <c r="AG846" s="78" t="b">
        <f t="shared" si="937"/>
        <v>0</v>
      </c>
      <c r="AH846" s="78" t="b">
        <f t="shared" si="938"/>
        <v>0</v>
      </c>
      <c r="AI846" s="78" t="b">
        <f t="shared" si="939"/>
        <v>0</v>
      </c>
      <c r="AJ846" s="78" t="b">
        <f t="shared" si="940"/>
        <v>0</v>
      </c>
      <c r="AK846" s="78" t="b">
        <f t="shared" si="941"/>
        <v>0</v>
      </c>
      <c r="AL846" s="78" t="b">
        <f t="shared" si="942"/>
        <v>0</v>
      </c>
      <c r="AM846" s="78" t="b">
        <f t="shared" si="943"/>
        <v>0</v>
      </c>
      <c r="AN846" s="78" t="b">
        <f t="shared" si="944"/>
        <v>0</v>
      </c>
      <c r="AO846" s="78" t="b">
        <f t="shared" si="945"/>
        <v>0</v>
      </c>
    </row>
    <row r="847" spans="7:41" x14ac:dyDescent="0.35">
      <c r="G847" s="77">
        <f t="shared" si="915"/>
        <v>0</v>
      </c>
      <c r="H847" s="78">
        <f t="shared" si="916"/>
        <v>0</v>
      </c>
      <c r="I847" s="77">
        <f t="shared" si="917"/>
        <v>0</v>
      </c>
      <c r="J847" s="78">
        <f t="shared" si="918"/>
        <v>0</v>
      </c>
      <c r="K847" s="78" t="str">
        <f t="shared" si="919"/>
        <v>1900-01-00 00:0:00</v>
      </c>
      <c r="L847" s="78" t="str">
        <f t="shared" si="920"/>
        <v>1900-01-00 00:0:00</v>
      </c>
      <c r="M847" s="79">
        <f t="shared" si="921"/>
        <v>0</v>
      </c>
      <c r="N847">
        <f t="shared" si="946"/>
        <v>1</v>
      </c>
      <c r="O847" t="str">
        <f>IFERROR(_xlfn.XLOOKUP(A847,HC!A:A,HC!C:C),"")</f>
        <v>Workforce</v>
      </c>
      <c r="R847" s="78" t="b">
        <f t="shared" si="922"/>
        <v>0</v>
      </c>
      <c r="S847" s="78" t="b">
        <f t="shared" si="923"/>
        <v>0</v>
      </c>
      <c r="T847" s="78" t="b">
        <f t="shared" si="924"/>
        <v>0</v>
      </c>
      <c r="U847" s="78" t="b">
        <f t="shared" si="925"/>
        <v>0</v>
      </c>
      <c r="V847" s="78" t="b">
        <f t="shared" si="926"/>
        <v>0</v>
      </c>
      <c r="W847" s="78" t="b">
        <f t="shared" si="927"/>
        <v>0</v>
      </c>
      <c r="X847" s="78" t="b">
        <f t="shared" si="928"/>
        <v>0</v>
      </c>
      <c r="Y847" s="78" t="b">
        <f t="shared" si="929"/>
        <v>0</v>
      </c>
      <c r="Z847" s="78" t="b">
        <f t="shared" si="930"/>
        <v>0</v>
      </c>
      <c r="AA847" s="78" t="b">
        <f t="shared" si="931"/>
        <v>0</v>
      </c>
      <c r="AB847" s="78" t="b">
        <f t="shared" si="932"/>
        <v>0</v>
      </c>
      <c r="AC847" s="78" t="b">
        <f t="shared" si="933"/>
        <v>0</v>
      </c>
      <c r="AD847" s="78" t="b">
        <f t="shared" si="934"/>
        <v>0</v>
      </c>
      <c r="AE847" s="78" t="b">
        <f t="shared" si="935"/>
        <v>0</v>
      </c>
      <c r="AF847" s="78" t="b">
        <f t="shared" si="936"/>
        <v>0</v>
      </c>
      <c r="AG847" s="78" t="b">
        <f t="shared" si="937"/>
        <v>0</v>
      </c>
      <c r="AH847" s="78" t="b">
        <f t="shared" si="938"/>
        <v>0</v>
      </c>
      <c r="AI847" s="78" t="b">
        <f t="shared" si="939"/>
        <v>0</v>
      </c>
      <c r="AJ847" s="78" t="b">
        <f t="shared" si="940"/>
        <v>0</v>
      </c>
      <c r="AK847" s="78" t="b">
        <f t="shared" si="941"/>
        <v>0</v>
      </c>
      <c r="AL847" s="78" t="b">
        <f t="shared" si="942"/>
        <v>0</v>
      </c>
      <c r="AM847" s="78" t="b">
        <f t="shared" si="943"/>
        <v>0</v>
      </c>
      <c r="AN847" s="78" t="b">
        <f t="shared" si="944"/>
        <v>0</v>
      </c>
      <c r="AO847" s="78" t="b">
        <f t="shared" si="945"/>
        <v>0</v>
      </c>
    </row>
    <row r="848" spans="7:41" x14ac:dyDescent="0.35">
      <c r="G848" s="77">
        <f t="shared" si="915"/>
        <v>0</v>
      </c>
      <c r="H848" s="78">
        <f t="shared" si="916"/>
        <v>0</v>
      </c>
      <c r="I848" s="77">
        <f t="shared" si="917"/>
        <v>0</v>
      </c>
      <c r="J848" s="78">
        <f t="shared" si="918"/>
        <v>0</v>
      </c>
      <c r="K848" s="78" t="str">
        <f t="shared" si="919"/>
        <v>1900-01-00 00:0:00</v>
      </c>
      <c r="L848" s="78" t="str">
        <f t="shared" si="920"/>
        <v>1900-01-00 00:0:00</v>
      </c>
      <c r="M848" s="79">
        <f t="shared" si="921"/>
        <v>0</v>
      </c>
      <c r="N848">
        <f t="shared" si="946"/>
        <v>1</v>
      </c>
      <c r="O848" t="str">
        <f>IFERROR(_xlfn.XLOOKUP(A848,HC!A:A,HC!C:C),"")</f>
        <v>Workforce</v>
      </c>
      <c r="R848" s="78" t="b">
        <f t="shared" si="922"/>
        <v>0</v>
      </c>
      <c r="S848" s="78" t="b">
        <f t="shared" si="923"/>
        <v>0</v>
      </c>
      <c r="T848" s="78" t="b">
        <f t="shared" si="924"/>
        <v>0</v>
      </c>
      <c r="U848" s="78" t="b">
        <f t="shared" si="925"/>
        <v>0</v>
      </c>
      <c r="V848" s="78" t="b">
        <f t="shared" si="926"/>
        <v>0</v>
      </c>
      <c r="W848" s="78" t="b">
        <f t="shared" si="927"/>
        <v>0</v>
      </c>
      <c r="X848" s="78" t="b">
        <f t="shared" si="928"/>
        <v>0</v>
      </c>
      <c r="Y848" s="78" t="b">
        <f t="shared" si="929"/>
        <v>0</v>
      </c>
      <c r="Z848" s="78" t="b">
        <f t="shared" si="930"/>
        <v>0</v>
      </c>
      <c r="AA848" s="78" t="b">
        <f t="shared" si="931"/>
        <v>0</v>
      </c>
      <c r="AB848" s="78" t="b">
        <f t="shared" si="932"/>
        <v>0</v>
      </c>
      <c r="AC848" s="78" t="b">
        <f t="shared" si="933"/>
        <v>0</v>
      </c>
      <c r="AD848" s="78" t="b">
        <f t="shared" si="934"/>
        <v>0</v>
      </c>
      <c r="AE848" s="78" t="b">
        <f t="shared" si="935"/>
        <v>0</v>
      </c>
      <c r="AF848" s="78" t="b">
        <f t="shared" si="936"/>
        <v>0</v>
      </c>
      <c r="AG848" s="78" t="b">
        <f t="shared" si="937"/>
        <v>0</v>
      </c>
      <c r="AH848" s="78" t="b">
        <f t="shared" si="938"/>
        <v>0</v>
      </c>
      <c r="AI848" s="78" t="b">
        <f t="shared" si="939"/>
        <v>0</v>
      </c>
      <c r="AJ848" s="78" t="b">
        <f t="shared" si="940"/>
        <v>0</v>
      </c>
      <c r="AK848" s="78" t="b">
        <f t="shared" si="941"/>
        <v>0</v>
      </c>
      <c r="AL848" s="78" t="b">
        <f t="shared" si="942"/>
        <v>0</v>
      </c>
      <c r="AM848" s="78" t="b">
        <f t="shared" si="943"/>
        <v>0</v>
      </c>
      <c r="AN848" s="78" t="b">
        <f t="shared" si="944"/>
        <v>0</v>
      </c>
      <c r="AO848" s="78" t="b">
        <f t="shared" si="945"/>
        <v>0</v>
      </c>
    </row>
    <row r="849" spans="7:41" x14ac:dyDescent="0.35">
      <c r="G849" s="77">
        <f t="shared" si="915"/>
        <v>0</v>
      </c>
      <c r="H849" s="78">
        <f t="shared" si="916"/>
        <v>0</v>
      </c>
      <c r="I849" s="77">
        <f t="shared" si="917"/>
        <v>0</v>
      </c>
      <c r="J849" s="78">
        <f t="shared" si="918"/>
        <v>0</v>
      </c>
      <c r="K849" s="78" t="str">
        <f t="shared" si="919"/>
        <v>1900-01-00 00:0:00</v>
      </c>
      <c r="L849" s="78" t="str">
        <f t="shared" si="920"/>
        <v>1900-01-00 00:0:00</v>
      </c>
      <c r="M849" s="79">
        <f t="shared" si="921"/>
        <v>0</v>
      </c>
      <c r="N849">
        <f t="shared" si="946"/>
        <v>1</v>
      </c>
      <c r="O849" t="str">
        <f>IFERROR(_xlfn.XLOOKUP(A849,HC!A:A,HC!C:C),"")</f>
        <v>Workforce</v>
      </c>
      <c r="R849" s="78" t="b">
        <f t="shared" si="922"/>
        <v>0</v>
      </c>
      <c r="S849" s="78" t="b">
        <f t="shared" si="923"/>
        <v>0</v>
      </c>
      <c r="T849" s="78" t="b">
        <f t="shared" si="924"/>
        <v>0</v>
      </c>
      <c r="U849" s="78" t="b">
        <f t="shared" si="925"/>
        <v>0</v>
      </c>
      <c r="V849" s="78" t="b">
        <f t="shared" si="926"/>
        <v>0</v>
      </c>
      <c r="W849" s="78" t="b">
        <f t="shared" si="927"/>
        <v>0</v>
      </c>
      <c r="X849" s="78" t="b">
        <f t="shared" si="928"/>
        <v>0</v>
      </c>
      <c r="Y849" s="78" t="b">
        <f t="shared" si="929"/>
        <v>0</v>
      </c>
      <c r="Z849" s="78" t="b">
        <f t="shared" si="930"/>
        <v>0</v>
      </c>
      <c r="AA849" s="78" t="b">
        <f t="shared" si="931"/>
        <v>0</v>
      </c>
      <c r="AB849" s="78" t="b">
        <f t="shared" si="932"/>
        <v>0</v>
      </c>
      <c r="AC849" s="78" t="b">
        <f t="shared" si="933"/>
        <v>0</v>
      </c>
      <c r="AD849" s="78" t="b">
        <f t="shared" si="934"/>
        <v>0</v>
      </c>
      <c r="AE849" s="78" t="b">
        <f t="shared" si="935"/>
        <v>0</v>
      </c>
      <c r="AF849" s="78" t="b">
        <f t="shared" si="936"/>
        <v>0</v>
      </c>
      <c r="AG849" s="78" t="b">
        <f t="shared" si="937"/>
        <v>0</v>
      </c>
      <c r="AH849" s="78" t="b">
        <f t="shared" si="938"/>
        <v>0</v>
      </c>
      <c r="AI849" s="78" t="b">
        <f t="shared" si="939"/>
        <v>0</v>
      </c>
      <c r="AJ849" s="78" t="b">
        <f t="shared" si="940"/>
        <v>0</v>
      </c>
      <c r="AK849" s="78" t="b">
        <f t="shared" si="941"/>
        <v>0</v>
      </c>
      <c r="AL849" s="78" t="b">
        <f t="shared" si="942"/>
        <v>0</v>
      </c>
      <c r="AM849" s="78" t="b">
        <f t="shared" si="943"/>
        <v>0</v>
      </c>
      <c r="AN849" s="78" t="b">
        <f t="shared" si="944"/>
        <v>0</v>
      </c>
      <c r="AO849" s="78" t="b">
        <f t="shared" si="945"/>
        <v>0</v>
      </c>
    </row>
    <row r="850" spans="7:41" x14ac:dyDescent="0.35">
      <c r="G850" s="77">
        <f t="shared" si="915"/>
        <v>0</v>
      </c>
      <c r="H850" s="78">
        <f t="shared" si="916"/>
        <v>0</v>
      </c>
      <c r="I850" s="77">
        <f t="shared" si="917"/>
        <v>0</v>
      </c>
      <c r="J850" s="78">
        <f t="shared" si="918"/>
        <v>0</v>
      </c>
      <c r="K850" s="78" t="str">
        <f t="shared" si="919"/>
        <v>1900-01-00 00:0:00</v>
      </c>
      <c r="L850" s="78" t="str">
        <f t="shared" si="920"/>
        <v>1900-01-00 00:0:00</v>
      </c>
      <c r="M850" s="79">
        <f t="shared" si="921"/>
        <v>0</v>
      </c>
      <c r="N850">
        <f t="shared" si="946"/>
        <v>1</v>
      </c>
      <c r="O850" t="str">
        <f>IFERROR(_xlfn.XLOOKUP(A850,HC!A:A,HC!C:C),"")</f>
        <v>Workforce</v>
      </c>
      <c r="R850" s="78" t="b">
        <f t="shared" si="922"/>
        <v>0</v>
      </c>
      <c r="S850" s="78" t="b">
        <f t="shared" si="923"/>
        <v>0</v>
      </c>
      <c r="T850" s="78" t="b">
        <f t="shared" si="924"/>
        <v>0</v>
      </c>
      <c r="U850" s="78" t="b">
        <f t="shared" si="925"/>
        <v>0</v>
      </c>
      <c r="V850" s="78" t="b">
        <f t="shared" si="926"/>
        <v>0</v>
      </c>
      <c r="W850" s="78" t="b">
        <f t="shared" si="927"/>
        <v>0</v>
      </c>
      <c r="X850" s="78" t="b">
        <f t="shared" si="928"/>
        <v>0</v>
      </c>
      <c r="Y850" s="78" t="b">
        <f t="shared" si="929"/>
        <v>0</v>
      </c>
      <c r="Z850" s="78" t="b">
        <f t="shared" si="930"/>
        <v>0</v>
      </c>
      <c r="AA850" s="78" t="b">
        <f t="shared" si="931"/>
        <v>0</v>
      </c>
      <c r="AB850" s="78" t="b">
        <f t="shared" si="932"/>
        <v>0</v>
      </c>
      <c r="AC850" s="78" t="b">
        <f t="shared" si="933"/>
        <v>0</v>
      </c>
      <c r="AD850" s="78" t="b">
        <f t="shared" si="934"/>
        <v>0</v>
      </c>
      <c r="AE850" s="78" t="b">
        <f t="shared" si="935"/>
        <v>0</v>
      </c>
      <c r="AF850" s="78" t="b">
        <f t="shared" si="936"/>
        <v>0</v>
      </c>
      <c r="AG850" s="78" t="b">
        <f t="shared" si="937"/>
        <v>0</v>
      </c>
      <c r="AH850" s="78" t="b">
        <f t="shared" si="938"/>
        <v>0</v>
      </c>
      <c r="AI850" s="78" t="b">
        <f t="shared" si="939"/>
        <v>0</v>
      </c>
      <c r="AJ850" s="78" t="b">
        <f t="shared" si="940"/>
        <v>0</v>
      </c>
      <c r="AK850" s="78" t="b">
        <f t="shared" si="941"/>
        <v>0</v>
      </c>
      <c r="AL850" s="78" t="b">
        <f t="shared" si="942"/>
        <v>0</v>
      </c>
      <c r="AM850" s="78" t="b">
        <f t="shared" si="943"/>
        <v>0</v>
      </c>
      <c r="AN850" s="78" t="b">
        <f t="shared" si="944"/>
        <v>0</v>
      </c>
      <c r="AO850" s="78" t="b">
        <f t="shared" si="945"/>
        <v>0</v>
      </c>
    </row>
    <row r="851" spans="7:41" x14ac:dyDescent="0.35">
      <c r="G851" s="77">
        <f t="shared" si="915"/>
        <v>0</v>
      </c>
      <c r="H851" s="78">
        <f t="shared" si="916"/>
        <v>0</v>
      </c>
      <c r="I851" s="77">
        <f t="shared" si="917"/>
        <v>0</v>
      </c>
      <c r="J851" s="78">
        <f t="shared" si="918"/>
        <v>0</v>
      </c>
      <c r="K851" s="78" t="str">
        <f t="shared" si="919"/>
        <v>1900-01-00 00:0:00</v>
      </c>
      <c r="L851" s="78" t="str">
        <f t="shared" si="920"/>
        <v>1900-01-00 00:0:00</v>
      </c>
      <c r="M851" s="79">
        <f t="shared" si="921"/>
        <v>0</v>
      </c>
      <c r="N851">
        <f t="shared" si="946"/>
        <v>1</v>
      </c>
      <c r="O851" t="str">
        <f>IFERROR(_xlfn.XLOOKUP(A851,HC!A:A,HC!C:C),"")</f>
        <v>Workforce</v>
      </c>
      <c r="R851" s="78" t="b">
        <f t="shared" si="922"/>
        <v>0</v>
      </c>
      <c r="S851" s="78" t="b">
        <f t="shared" si="923"/>
        <v>0</v>
      </c>
      <c r="T851" s="78" t="b">
        <f t="shared" si="924"/>
        <v>0</v>
      </c>
      <c r="U851" s="78" t="b">
        <f t="shared" si="925"/>
        <v>0</v>
      </c>
      <c r="V851" s="78" t="b">
        <f t="shared" si="926"/>
        <v>0</v>
      </c>
      <c r="W851" s="78" t="b">
        <f t="shared" si="927"/>
        <v>0</v>
      </c>
      <c r="X851" s="78" t="b">
        <f t="shared" si="928"/>
        <v>0</v>
      </c>
      <c r="Y851" s="78" t="b">
        <f t="shared" si="929"/>
        <v>0</v>
      </c>
      <c r="Z851" s="78" t="b">
        <f t="shared" si="930"/>
        <v>0</v>
      </c>
      <c r="AA851" s="78" t="b">
        <f t="shared" si="931"/>
        <v>0</v>
      </c>
      <c r="AB851" s="78" t="b">
        <f t="shared" si="932"/>
        <v>0</v>
      </c>
      <c r="AC851" s="78" t="b">
        <f t="shared" si="933"/>
        <v>0</v>
      </c>
      <c r="AD851" s="78" t="b">
        <f t="shared" si="934"/>
        <v>0</v>
      </c>
      <c r="AE851" s="78" t="b">
        <f t="shared" si="935"/>
        <v>0</v>
      </c>
      <c r="AF851" s="78" t="b">
        <f t="shared" si="936"/>
        <v>0</v>
      </c>
      <c r="AG851" s="78" t="b">
        <f t="shared" si="937"/>
        <v>0</v>
      </c>
      <c r="AH851" s="78" t="b">
        <f t="shared" si="938"/>
        <v>0</v>
      </c>
      <c r="AI851" s="78" t="b">
        <f t="shared" si="939"/>
        <v>0</v>
      </c>
      <c r="AJ851" s="78" t="b">
        <f t="shared" si="940"/>
        <v>0</v>
      </c>
      <c r="AK851" s="78" t="b">
        <f t="shared" si="941"/>
        <v>0</v>
      </c>
      <c r="AL851" s="78" t="b">
        <f t="shared" si="942"/>
        <v>0</v>
      </c>
      <c r="AM851" s="78" t="b">
        <f t="shared" si="943"/>
        <v>0</v>
      </c>
      <c r="AN851" s="78" t="b">
        <f t="shared" si="944"/>
        <v>0</v>
      </c>
      <c r="AO851" s="78" t="b">
        <f t="shared" si="945"/>
        <v>0</v>
      </c>
    </row>
    <row r="852" spans="7:41" x14ac:dyDescent="0.35">
      <c r="G852" s="77">
        <f t="shared" si="915"/>
        <v>0</v>
      </c>
      <c r="H852" s="78">
        <f t="shared" si="916"/>
        <v>0</v>
      </c>
      <c r="I852" s="77">
        <f t="shared" si="917"/>
        <v>0</v>
      </c>
      <c r="J852" s="78">
        <f t="shared" si="918"/>
        <v>0</v>
      </c>
      <c r="K852" s="78" t="str">
        <f t="shared" si="919"/>
        <v>1900-01-00 00:0:00</v>
      </c>
      <c r="L852" s="78" t="str">
        <f t="shared" si="920"/>
        <v>1900-01-00 00:0:00</v>
      </c>
      <c r="M852" s="79">
        <f t="shared" si="921"/>
        <v>0</v>
      </c>
      <c r="N852">
        <f t="shared" si="946"/>
        <v>1</v>
      </c>
      <c r="O852" t="str">
        <f>IFERROR(_xlfn.XLOOKUP(A852,HC!A:A,HC!C:C),"")</f>
        <v>Workforce</v>
      </c>
      <c r="R852" s="78" t="b">
        <f t="shared" si="922"/>
        <v>0</v>
      </c>
      <c r="S852" s="78" t="b">
        <f t="shared" si="923"/>
        <v>0</v>
      </c>
      <c r="T852" s="78" t="b">
        <f t="shared" si="924"/>
        <v>0</v>
      </c>
      <c r="U852" s="78" t="b">
        <f t="shared" si="925"/>
        <v>0</v>
      </c>
      <c r="V852" s="78" t="b">
        <f t="shared" si="926"/>
        <v>0</v>
      </c>
      <c r="W852" s="78" t="b">
        <f t="shared" si="927"/>
        <v>0</v>
      </c>
      <c r="X852" s="78" t="b">
        <f t="shared" si="928"/>
        <v>0</v>
      </c>
      <c r="Y852" s="78" t="b">
        <f t="shared" si="929"/>
        <v>0</v>
      </c>
      <c r="Z852" s="78" t="b">
        <f t="shared" si="930"/>
        <v>0</v>
      </c>
      <c r="AA852" s="78" t="b">
        <f t="shared" si="931"/>
        <v>0</v>
      </c>
      <c r="AB852" s="78" t="b">
        <f t="shared" si="932"/>
        <v>0</v>
      </c>
      <c r="AC852" s="78" t="b">
        <f t="shared" si="933"/>
        <v>0</v>
      </c>
      <c r="AD852" s="78" t="b">
        <f t="shared" si="934"/>
        <v>0</v>
      </c>
      <c r="AE852" s="78" t="b">
        <f t="shared" si="935"/>
        <v>0</v>
      </c>
      <c r="AF852" s="78" t="b">
        <f t="shared" si="936"/>
        <v>0</v>
      </c>
      <c r="AG852" s="78" t="b">
        <f t="shared" si="937"/>
        <v>0</v>
      </c>
      <c r="AH852" s="78" t="b">
        <f t="shared" si="938"/>
        <v>0</v>
      </c>
      <c r="AI852" s="78" t="b">
        <f t="shared" si="939"/>
        <v>0</v>
      </c>
      <c r="AJ852" s="78" t="b">
        <f t="shared" si="940"/>
        <v>0</v>
      </c>
      <c r="AK852" s="78" t="b">
        <f t="shared" si="941"/>
        <v>0</v>
      </c>
      <c r="AL852" s="78" t="b">
        <f t="shared" si="942"/>
        <v>0</v>
      </c>
      <c r="AM852" s="78" t="b">
        <f t="shared" si="943"/>
        <v>0</v>
      </c>
      <c r="AN852" s="78" t="b">
        <f t="shared" si="944"/>
        <v>0</v>
      </c>
      <c r="AO852" s="78" t="b">
        <f t="shared" si="945"/>
        <v>0</v>
      </c>
    </row>
    <row r="853" spans="7:41" x14ac:dyDescent="0.35">
      <c r="G853" s="77">
        <f t="shared" si="915"/>
        <v>0</v>
      </c>
      <c r="H853" s="78">
        <f t="shared" si="916"/>
        <v>0</v>
      </c>
      <c r="I853" s="77">
        <f t="shared" si="917"/>
        <v>0</v>
      </c>
      <c r="J853" s="78">
        <f t="shared" si="918"/>
        <v>0</v>
      </c>
      <c r="K853" s="78" t="str">
        <f t="shared" si="919"/>
        <v>1900-01-00 00:0:00</v>
      </c>
      <c r="L853" s="78" t="str">
        <f t="shared" si="920"/>
        <v>1900-01-00 00:0:00</v>
      </c>
      <c r="M853" s="79">
        <f t="shared" si="921"/>
        <v>0</v>
      </c>
      <c r="N853">
        <f t="shared" si="946"/>
        <v>1</v>
      </c>
      <c r="O853" t="str">
        <f>IFERROR(_xlfn.XLOOKUP(A853,HC!A:A,HC!C:C),"")</f>
        <v>Workforce</v>
      </c>
      <c r="R853" s="78" t="b">
        <f t="shared" si="922"/>
        <v>0</v>
      </c>
      <c r="S853" s="78" t="b">
        <f t="shared" si="923"/>
        <v>0</v>
      </c>
      <c r="T853" s="78" t="b">
        <f t="shared" si="924"/>
        <v>0</v>
      </c>
      <c r="U853" s="78" t="b">
        <f t="shared" si="925"/>
        <v>0</v>
      </c>
      <c r="V853" s="78" t="b">
        <f t="shared" si="926"/>
        <v>0</v>
      </c>
      <c r="W853" s="78" t="b">
        <f t="shared" si="927"/>
        <v>0</v>
      </c>
      <c r="X853" s="78" t="b">
        <f t="shared" si="928"/>
        <v>0</v>
      </c>
      <c r="Y853" s="78" t="b">
        <f t="shared" si="929"/>
        <v>0</v>
      </c>
      <c r="Z853" s="78" t="b">
        <f t="shared" si="930"/>
        <v>0</v>
      </c>
      <c r="AA853" s="78" t="b">
        <f t="shared" si="931"/>
        <v>0</v>
      </c>
      <c r="AB853" s="78" t="b">
        <f t="shared" si="932"/>
        <v>0</v>
      </c>
      <c r="AC853" s="78" t="b">
        <f t="shared" si="933"/>
        <v>0</v>
      </c>
      <c r="AD853" s="78" t="b">
        <f t="shared" si="934"/>
        <v>0</v>
      </c>
      <c r="AE853" s="78" t="b">
        <f t="shared" si="935"/>
        <v>0</v>
      </c>
      <c r="AF853" s="78" t="b">
        <f t="shared" si="936"/>
        <v>0</v>
      </c>
      <c r="AG853" s="78" t="b">
        <f t="shared" si="937"/>
        <v>0</v>
      </c>
      <c r="AH853" s="78" t="b">
        <f t="shared" si="938"/>
        <v>0</v>
      </c>
      <c r="AI853" s="78" t="b">
        <f t="shared" si="939"/>
        <v>0</v>
      </c>
      <c r="AJ853" s="78" t="b">
        <f t="shared" si="940"/>
        <v>0</v>
      </c>
      <c r="AK853" s="78" t="b">
        <f t="shared" si="941"/>
        <v>0</v>
      </c>
      <c r="AL853" s="78" t="b">
        <f t="shared" si="942"/>
        <v>0</v>
      </c>
      <c r="AM853" s="78" t="b">
        <f t="shared" si="943"/>
        <v>0</v>
      </c>
      <c r="AN853" s="78" t="b">
        <f t="shared" si="944"/>
        <v>0</v>
      </c>
      <c r="AO853" s="78" t="b">
        <f t="shared" si="945"/>
        <v>0</v>
      </c>
    </row>
    <row r="854" spans="7:41" x14ac:dyDescent="0.35">
      <c r="G854" s="77">
        <f t="shared" si="915"/>
        <v>0</v>
      </c>
      <c r="H854" s="78">
        <f t="shared" si="916"/>
        <v>0</v>
      </c>
      <c r="I854" s="77">
        <f t="shared" si="917"/>
        <v>0</v>
      </c>
      <c r="J854" s="78">
        <f t="shared" si="918"/>
        <v>0</v>
      </c>
      <c r="K854" s="78" t="str">
        <f t="shared" si="919"/>
        <v>1900-01-00 00:0:00</v>
      </c>
      <c r="L854" s="78" t="str">
        <f t="shared" si="920"/>
        <v>1900-01-00 00:0:00</v>
      </c>
      <c r="M854" s="79">
        <f t="shared" si="921"/>
        <v>0</v>
      </c>
      <c r="N854">
        <f t="shared" si="946"/>
        <v>1</v>
      </c>
      <c r="O854" t="str">
        <f>IFERROR(_xlfn.XLOOKUP(A854,HC!A:A,HC!C:C),"")</f>
        <v>Workforce</v>
      </c>
      <c r="R854" s="78" t="b">
        <f t="shared" si="922"/>
        <v>0</v>
      </c>
      <c r="S854" s="78" t="b">
        <f t="shared" si="923"/>
        <v>0</v>
      </c>
      <c r="T854" s="78" t="b">
        <f t="shared" si="924"/>
        <v>0</v>
      </c>
      <c r="U854" s="78" t="b">
        <f t="shared" si="925"/>
        <v>0</v>
      </c>
      <c r="V854" s="78" t="b">
        <f t="shared" si="926"/>
        <v>0</v>
      </c>
      <c r="W854" s="78" t="b">
        <f t="shared" si="927"/>
        <v>0</v>
      </c>
      <c r="X854" s="78" t="b">
        <f t="shared" si="928"/>
        <v>0</v>
      </c>
      <c r="Y854" s="78" t="b">
        <f t="shared" si="929"/>
        <v>0</v>
      </c>
      <c r="Z854" s="78" t="b">
        <f t="shared" si="930"/>
        <v>0</v>
      </c>
      <c r="AA854" s="78" t="b">
        <f t="shared" si="931"/>
        <v>0</v>
      </c>
      <c r="AB854" s="78" t="b">
        <f t="shared" si="932"/>
        <v>0</v>
      </c>
      <c r="AC854" s="78" t="b">
        <f t="shared" si="933"/>
        <v>0</v>
      </c>
      <c r="AD854" s="78" t="b">
        <f t="shared" si="934"/>
        <v>0</v>
      </c>
      <c r="AE854" s="78" t="b">
        <f t="shared" si="935"/>
        <v>0</v>
      </c>
      <c r="AF854" s="78" t="b">
        <f t="shared" si="936"/>
        <v>0</v>
      </c>
      <c r="AG854" s="78" t="b">
        <f t="shared" si="937"/>
        <v>0</v>
      </c>
      <c r="AH854" s="78" t="b">
        <f t="shared" si="938"/>
        <v>0</v>
      </c>
      <c r="AI854" s="78" t="b">
        <f t="shared" si="939"/>
        <v>0</v>
      </c>
      <c r="AJ854" s="78" t="b">
        <f t="shared" si="940"/>
        <v>0</v>
      </c>
      <c r="AK854" s="78" t="b">
        <f t="shared" si="941"/>
        <v>0</v>
      </c>
      <c r="AL854" s="78" t="b">
        <f t="shared" si="942"/>
        <v>0</v>
      </c>
      <c r="AM854" s="78" t="b">
        <f t="shared" si="943"/>
        <v>0</v>
      </c>
      <c r="AN854" s="78" t="b">
        <f t="shared" si="944"/>
        <v>0</v>
      </c>
      <c r="AO854" s="78" t="b">
        <f t="shared" si="945"/>
        <v>0</v>
      </c>
    </row>
    <row r="855" spans="7:41" x14ac:dyDescent="0.35">
      <c r="G855" s="77">
        <f t="shared" si="915"/>
        <v>0</v>
      </c>
      <c r="H855" s="78">
        <f t="shared" si="916"/>
        <v>0</v>
      </c>
      <c r="I855" s="77">
        <f t="shared" si="917"/>
        <v>0</v>
      </c>
      <c r="J855" s="78">
        <f t="shared" si="918"/>
        <v>0</v>
      </c>
      <c r="K855" s="78" t="str">
        <f t="shared" si="919"/>
        <v>1900-01-00 00:0:00</v>
      </c>
      <c r="L855" s="78" t="str">
        <f t="shared" si="920"/>
        <v>1900-01-00 00:0:00</v>
      </c>
      <c r="M855" s="79">
        <f t="shared" si="921"/>
        <v>0</v>
      </c>
      <c r="N855">
        <f t="shared" si="946"/>
        <v>1</v>
      </c>
      <c r="O855" t="str">
        <f>IFERROR(_xlfn.XLOOKUP(A855,HC!A:A,HC!C:C),"")</f>
        <v>Workforce</v>
      </c>
      <c r="R855" s="78" t="b">
        <f t="shared" si="922"/>
        <v>0</v>
      </c>
      <c r="S855" s="78" t="b">
        <f t="shared" si="923"/>
        <v>0</v>
      </c>
      <c r="T855" s="78" t="b">
        <f t="shared" si="924"/>
        <v>0</v>
      </c>
      <c r="U855" s="78" t="b">
        <f t="shared" si="925"/>
        <v>0</v>
      </c>
      <c r="V855" s="78" t="b">
        <f t="shared" si="926"/>
        <v>0</v>
      </c>
      <c r="W855" s="78" t="b">
        <f t="shared" si="927"/>
        <v>0</v>
      </c>
      <c r="X855" s="78" t="b">
        <f t="shared" si="928"/>
        <v>0</v>
      </c>
      <c r="Y855" s="78" t="b">
        <f t="shared" si="929"/>
        <v>0</v>
      </c>
      <c r="Z855" s="78" t="b">
        <f t="shared" si="930"/>
        <v>0</v>
      </c>
      <c r="AA855" s="78" t="b">
        <f t="shared" si="931"/>
        <v>0</v>
      </c>
      <c r="AB855" s="78" t="b">
        <f t="shared" si="932"/>
        <v>0</v>
      </c>
      <c r="AC855" s="78" t="b">
        <f t="shared" si="933"/>
        <v>0</v>
      </c>
      <c r="AD855" s="78" t="b">
        <f t="shared" si="934"/>
        <v>0</v>
      </c>
      <c r="AE855" s="78" t="b">
        <f t="shared" si="935"/>
        <v>0</v>
      </c>
      <c r="AF855" s="78" t="b">
        <f t="shared" si="936"/>
        <v>0</v>
      </c>
      <c r="AG855" s="78" t="b">
        <f t="shared" si="937"/>
        <v>0</v>
      </c>
      <c r="AH855" s="78" t="b">
        <f t="shared" si="938"/>
        <v>0</v>
      </c>
      <c r="AI855" s="78" t="b">
        <f t="shared" si="939"/>
        <v>0</v>
      </c>
      <c r="AJ855" s="78" t="b">
        <f t="shared" si="940"/>
        <v>0</v>
      </c>
      <c r="AK855" s="78" t="b">
        <f t="shared" si="941"/>
        <v>0</v>
      </c>
      <c r="AL855" s="78" t="b">
        <f t="shared" si="942"/>
        <v>0</v>
      </c>
      <c r="AM855" s="78" t="b">
        <f t="shared" si="943"/>
        <v>0</v>
      </c>
      <c r="AN855" s="78" t="b">
        <f t="shared" si="944"/>
        <v>0</v>
      </c>
      <c r="AO855" s="78" t="b">
        <f t="shared" si="945"/>
        <v>0</v>
      </c>
    </row>
    <row r="856" spans="7:41" x14ac:dyDescent="0.35">
      <c r="G856" s="77">
        <f t="shared" si="915"/>
        <v>0</v>
      </c>
      <c r="H856" s="78">
        <f t="shared" si="916"/>
        <v>0</v>
      </c>
      <c r="I856" s="77">
        <f t="shared" si="917"/>
        <v>0</v>
      </c>
      <c r="J856" s="78">
        <f t="shared" si="918"/>
        <v>0</v>
      </c>
      <c r="K856" s="78" t="str">
        <f t="shared" si="919"/>
        <v>1900-01-00 00:0:00</v>
      </c>
      <c r="L856" s="78" t="str">
        <f t="shared" si="920"/>
        <v>1900-01-00 00:0:00</v>
      </c>
      <c r="M856" s="79">
        <f t="shared" si="921"/>
        <v>0</v>
      </c>
      <c r="N856">
        <f t="shared" si="946"/>
        <v>1</v>
      </c>
      <c r="O856" t="str">
        <f>IFERROR(_xlfn.XLOOKUP(A856,HC!A:A,HC!C:C),"")</f>
        <v>Workforce</v>
      </c>
      <c r="R856" s="78" t="b">
        <f t="shared" si="922"/>
        <v>0</v>
      </c>
      <c r="S856" s="78" t="b">
        <f t="shared" si="923"/>
        <v>0</v>
      </c>
      <c r="T856" s="78" t="b">
        <f t="shared" si="924"/>
        <v>0</v>
      </c>
      <c r="U856" s="78" t="b">
        <f t="shared" si="925"/>
        <v>0</v>
      </c>
      <c r="V856" s="78" t="b">
        <f t="shared" si="926"/>
        <v>0</v>
      </c>
      <c r="W856" s="78" t="b">
        <f t="shared" si="927"/>
        <v>0</v>
      </c>
      <c r="X856" s="78" t="b">
        <f t="shared" si="928"/>
        <v>0</v>
      </c>
      <c r="Y856" s="78" t="b">
        <f t="shared" si="929"/>
        <v>0</v>
      </c>
      <c r="Z856" s="78" t="b">
        <f t="shared" si="930"/>
        <v>0</v>
      </c>
      <c r="AA856" s="78" t="b">
        <f t="shared" si="931"/>
        <v>0</v>
      </c>
      <c r="AB856" s="78" t="b">
        <f t="shared" si="932"/>
        <v>0</v>
      </c>
      <c r="AC856" s="78" t="b">
        <f t="shared" si="933"/>
        <v>0</v>
      </c>
      <c r="AD856" s="78" t="b">
        <f t="shared" si="934"/>
        <v>0</v>
      </c>
      <c r="AE856" s="78" t="b">
        <f t="shared" si="935"/>
        <v>0</v>
      </c>
      <c r="AF856" s="78" t="b">
        <f t="shared" si="936"/>
        <v>0</v>
      </c>
      <c r="AG856" s="78" t="b">
        <f t="shared" si="937"/>
        <v>0</v>
      </c>
      <c r="AH856" s="78" t="b">
        <f t="shared" si="938"/>
        <v>0</v>
      </c>
      <c r="AI856" s="78" t="b">
        <f t="shared" si="939"/>
        <v>0</v>
      </c>
      <c r="AJ856" s="78" t="b">
        <f t="shared" si="940"/>
        <v>0</v>
      </c>
      <c r="AK856" s="78" t="b">
        <f t="shared" si="941"/>
        <v>0</v>
      </c>
      <c r="AL856" s="78" t="b">
        <f t="shared" si="942"/>
        <v>0</v>
      </c>
      <c r="AM856" s="78" t="b">
        <f t="shared" si="943"/>
        <v>0</v>
      </c>
      <c r="AN856" s="78" t="b">
        <f t="shared" si="944"/>
        <v>0</v>
      </c>
      <c r="AO856" s="78" t="b">
        <f t="shared" si="945"/>
        <v>0</v>
      </c>
    </row>
    <row r="857" spans="7:41" x14ac:dyDescent="0.35">
      <c r="G857" s="77">
        <f t="shared" si="915"/>
        <v>0</v>
      </c>
      <c r="H857" s="78">
        <f t="shared" si="916"/>
        <v>0</v>
      </c>
      <c r="I857" s="77">
        <f t="shared" si="917"/>
        <v>0</v>
      </c>
      <c r="J857" s="78">
        <f t="shared" si="918"/>
        <v>0</v>
      </c>
      <c r="K857" s="78" t="str">
        <f t="shared" si="919"/>
        <v>1900-01-00 00:0:00</v>
      </c>
      <c r="L857" s="78" t="str">
        <f t="shared" si="920"/>
        <v>1900-01-00 00:0:00</v>
      </c>
      <c r="M857" s="79">
        <f t="shared" si="921"/>
        <v>0</v>
      </c>
      <c r="N857">
        <f t="shared" si="946"/>
        <v>1</v>
      </c>
      <c r="O857" t="str">
        <f>IFERROR(_xlfn.XLOOKUP(A857,HC!A:A,HC!C:C),"")</f>
        <v>Workforce</v>
      </c>
      <c r="R857" s="78" t="b">
        <f t="shared" si="922"/>
        <v>0</v>
      </c>
      <c r="S857" s="78" t="b">
        <f t="shared" si="923"/>
        <v>0</v>
      </c>
      <c r="T857" s="78" t="b">
        <f t="shared" si="924"/>
        <v>0</v>
      </c>
      <c r="U857" s="78" t="b">
        <f t="shared" si="925"/>
        <v>0</v>
      </c>
      <c r="V857" s="78" t="b">
        <f t="shared" si="926"/>
        <v>0</v>
      </c>
      <c r="W857" s="78" t="b">
        <f t="shared" si="927"/>
        <v>0</v>
      </c>
      <c r="X857" s="78" t="b">
        <f t="shared" si="928"/>
        <v>0</v>
      </c>
      <c r="Y857" s="78" t="b">
        <f t="shared" si="929"/>
        <v>0</v>
      </c>
      <c r="Z857" s="78" t="b">
        <f t="shared" si="930"/>
        <v>0</v>
      </c>
      <c r="AA857" s="78" t="b">
        <f t="shared" si="931"/>
        <v>0</v>
      </c>
      <c r="AB857" s="78" t="b">
        <f t="shared" si="932"/>
        <v>0</v>
      </c>
      <c r="AC857" s="78" t="b">
        <f t="shared" si="933"/>
        <v>0</v>
      </c>
      <c r="AD857" s="78" t="b">
        <f t="shared" si="934"/>
        <v>0</v>
      </c>
      <c r="AE857" s="78" t="b">
        <f t="shared" si="935"/>
        <v>0</v>
      </c>
      <c r="AF857" s="78" t="b">
        <f t="shared" si="936"/>
        <v>0</v>
      </c>
      <c r="AG857" s="78" t="b">
        <f t="shared" si="937"/>
        <v>0</v>
      </c>
      <c r="AH857" s="78" t="b">
        <f t="shared" si="938"/>
        <v>0</v>
      </c>
      <c r="AI857" s="78" t="b">
        <f t="shared" si="939"/>
        <v>0</v>
      </c>
      <c r="AJ857" s="78" t="b">
        <f t="shared" si="940"/>
        <v>0</v>
      </c>
      <c r="AK857" s="78" t="b">
        <f t="shared" si="941"/>
        <v>0</v>
      </c>
      <c r="AL857" s="78" t="b">
        <f t="shared" si="942"/>
        <v>0</v>
      </c>
      <c r="AM857" s="78" t="b">
        <f t="shared" si="943"/>
        <v>0</v>
      </c>
      <c r="AN857" s="78" t="b">
        <f t="shared" si="944"/>
        <v>0</v>
      </c>
      <c r="AO857" s="78" t="b">
        <f t="shared" si="945"/>
        <v>0</v>
      </c>
    </row>
    <row r="858" spans="7:41" x14ac:dyDescent="0.35">
      <c r="G858" s="77">
        <f t="shared" si="915"/>
        <v>0</v>
      </c>
      <c r="H858" s="78">
        <f t="shared" si="916"/>
        <v>0</v>
      </c>
      <c r="I858" s="77">
        <f t="shared" si="917"/>
        <v>0</v>
      </c>
      <c r="J858" s="78">
        <f t="shared" si="918"/>
        <v>0</v>
      </c>
      <c r="K858" s="78" t="str">
        <f t="shared" si="919"/>
        <v>1900-01-00 00:0:00</v>
      </c>
      <c r="L858" s="78" t="str">
        <f t="shared" si="920"/>
        <v>1900-01-00 00:0:00</v>
      </c>
      <c r="M858" s="79">
        <f t="shared" si="921"/>
        <v>0</v>
      </c>
      <c r="N858">
        <f t="shared" si="946"/>
        <v>1</v>
      </c>
      <c r="O858" t="str">
        <f>IFERROR(_xlfn.XLOOKUP(A858,HC!A:A,HC!C:C),"")</f>
        <v>Workforce</v>
      </c>
      <c r="R858" s="78" t="b">
        <f t="shared" si="922"/>
        <v>0</v>
      </c>
      <c r="S858" s="78" t="b">
        <f t="shared" si="923"/>
        <v>0</v>
      </c>
      <c r="T858" s="78" t="b">
        <f t="shared" si="924"/>
        <v>0</v>
      </c>
      <c r="U858" s="78" t="b">
        <f t="shared" si="925"/>
        <v>0</v>
      </c>
      <c r="V858" s="78" t="b">
        <f t="shared" si="926"/>
        <v>0</v>
      </c>
      <c r="W858" s="78" t="b">
        <f t="shared" si="927"/>
        <v>0</v>
      </c>
      <c r="X858" s="78" t="b">
        <f t="shared" si="928"/>
        <v>0</v>
      </c>
      <c r="Y858" s="78" t="b">
        <f t="shared" si="929"/>
        <v>0</v>
      </c>
      <c r="Z858" s="78" t="b">
        <f t="shared" si="930"/>
        <v>0</v>
      </c>
      <c r="AA858" s="78" t="b">
        <f t="shared" si="931"/>
        <v>0</v>
      </c>
      <c r="AB858" s="78" t="b">
        <f t="shared" si="932"/>
        <v>0</v>
      </c>
      <c r="AC858" s="78" t="b">
        <f t="shared" si="933"/>
        <v>0</v>
      </c>
      <c r="AD858" s="78" t="b">
        <f t="shared" si="934"/>
        <v>0</v>
      </c>
      <c r="AE858" s="78" t="b">
        <f t="shared" si="935"/>
        <v>0</v>
      </c>
      <c r="AF858" s="78" t="b">
        <f t="shared" si="936"/>
        <v>0</v>
      </c>
      <c r="AG858" s="78" t="b">
        <f t="shared" si="937"/>
        <v>0</v>
      </c>
      <c r="AH858" s="78" t="b">
        <f t="shared" si="938"/>
        <v>0</v>
      </c>
      <c r="AI858" s="78" t="b">
        <f t="shared" si="939"/>
        <v>0</v>
      </c>
      <c r="AJ858" s="78" t="b">
        <f t="shared" si="940"/>
        <v>0</v>
      </c>
      <c r="AK858" s="78" t="b">
        <f t="shared" si="941"/>
        <v>0</v>
      </c>
      <c r="AL858" s="78" t="b">
        <f t="shared" si="942"/>
        <v>0</v>
      </c>
      <c r="AM858" s="78" t="b">
        <f t="shared" si="943"/>
        <v>0</v>
      </c>
      <c r="AN858" s="78" t="b">
        <f t="shared" si="944"/>
        <v>0</v>
      </c>
      <c r="AO858" s="78" t="b">
        <f t="shared" si="945"/>
        <v>0</v>
      </c>
    </row>
    <row r="859" spans="7:41" x14ac:dyDescent="0.35">
      <c r="G859" s="77">
        <f t="shared" si="915"/>
        <v>0</v>
      </c>
      <c r="H859" s="78">
        <f t="shared" si="916"/>
        <v>0</v>
      </c>
      <c r="I859" s="77">
        <f t="shared" si="917"/>
        <v>0</v>
      </c>
      <c r="J859" s="78">
        <f t="shared" si="918"/>
        <v>0</v>
      </c>
      <c r="K859" s="78" t="str">
        <f t="shared" si="919"/>
        <v>1900-01-00 00:0:00</v>
      </c>
      <c r="L859" s="78" t="str">
        <f t="shared" si="920"/>
        <v>1900-01-00 00:0:00</v>
      </c>
      <c r="M859" s="79">
        <f t="shared" si="921"/>
        <v>0</v>
      </c>
      <c r="N859">
        <f t="shared" si="946"/>
        <v>1</v>
      </c>
      <c r="O859" t="str">
        <f>IFERROR(_xlfn.XLOOKUP(A859,HC!A:A,HC!C:C),"")</f>
        <v>Workforce</v>
      </c>
      <c r="R859" s="78" t="b">
        <f t="shared" si="922"/>
        <v>0</v>
      </c>
      <c r="S859" s="78" t="b">
        <f t="shared" si="923"/>
        <v>0</v>
      </c>
      <c r="T859" s="78" t="b">
        <f t="shared" si="924"/>
        <v>0</v>
      </c>
      <c r="U859" s="78" t="b">
        <f t="shared" si="925"/>
        <v>0</v>
      </c>
      <c r="V859" s="78" t="b">
        <f t="shared" si="926"/>
        <v>0</v>
      </c>
      <c r="W859" s="78" t="b">
        <f t="shared" si="927"/>
        <v>0</v>
      </c>
      <c r="X859" s="78" t="b">
        <f t="shared" si="928"/>
        <v>0</v>
      </c>
      <c r="Y859" s="78" t="b">
        <f t="shared" si="929"/>
        <v>0</v>
      </c>
      <c r="Z859" s="78" t="b">
        <f t="shared" si="930"/>
        <v>0</v>
      </c>
      <c r="AA859" s="78" t="b">
        <f t="shared" si="931"/>
        <v>0</v>
      </c>
      <c r="AB859" s="78" t="b">
        <f t="shared" si="932"/>
        <v>0</v>
      </c>
      <c r="AC859" s="78" t="b">
        <f t="shared" si="933"/>
        <v>0</v>
      </c>
      <c r="AD859" s="78" t="b">
        <f t="shared" si="934"/>
        <v>0</v>
      </c>
      <c r="AE859" s="78" t="b">
        <f t="shared" si="935"/>
        <v>0</v>
      </c>
      <c r="AF859" s="78" t="b">
        <f t="shared" si="936"/>
        <v>0</v>
      </c>
      <c r="AG859" s="78" t="b">
        <f t="shared" si="937"/>
        <v>0</v>
      </c>
      <c r="AH859" s="78" t="b">
        <f t="shared" si="938"/>
        <v>0</v>
      </c>
      <c r="AI859" s="78" t="b">
        <f t="shared" si="939"/>
        <v>0</v>
      </c>
      <c r="AJ859" s="78" t="b">
        <f t="shared" si="940"/>
        <v>0</v>
      </c>
      <c r="AK859" s="78" t="b">
        <f t="shared" si="941"/>
        <v>0</v>
      </c>
      <c r="AL859" s="78" t="b">
        <f t="shared" si="942"/>
        <v>0</v>
      </c>
      <c r="AM859" s="78" t="b">
        <f t="shared" si="943"/>
        <v>0</v>
      </c>
      <c r="AN859" s="78" t="b">
        <f t="shared" si="944"/>
        <v>0</v>
      </c>
      <c r="AO859" s="78" t="b">
        <f t="shared" si="945"/>
        <v>0</v>
      </c>
    </row>
    <row r="860" spans="7:41" x14ac:dyDescent="0.35">
      <c r="G860" s="77">
        <f t="shared" si="915"/>
        <v>0</v>
      </c>
      <c r="H860" s="78">
        <f t="shared" si="916"/>
        <v>0</v>
      </c>
      <c r="I860" s="77">
        <f t="shared" si="917"/>
        <v>0</v>
      </c>
      <c r="J860" s="78">
        <f t="shared" si="918"/>
        <v>0</v>
      </c>
      <c r="K860" s="78" t="str">
        <f t="shared" si="919"/>
        <v>1900-01-00 00:0:00</v>
      </c>
      <c r="L860" s="78" t="str">
        <f t="shared" si="920"/>
        <v>1900-01-00 00:0:00</v>
      </c>
      <c r="M860" s="79">
        <f t="shared" si="921"/>
        <v>0</v>
      </c>
      <c r="N860">
        <f t="shared" si="946"/>
        <v>1</v>
      </c>
      <c r="O860" t="str">
        <f>IFERROR(_xlfn.XLOOKUP(A860,HC!A:A,HC!C:C),"")</f>
        <v>Workforce</v>
      </c>
      <c r="R860" s="78" t="b">
        <f t="shared" si="922"/>
        <v>0</v>
      </c>
      <c r="S860" s="78" t="b">
        <f t="shared" si="923"/>
        <v>0</v>
      </c>
      <c r="T860" s="78" t="b">
        <f t="shared" si="924"/>
        <v>0</v>
      </c>
      <c r="U860" s="78" t="b">
        <f t="shared" si="925"/>
        <v>0</v>
      </c>
      <c r="V860" s="78" t="b">
        <f t="shared" si="926"/>
        <v>0</v>
      </c>
      <c r="W860" s="78" t="b">
        <f t="shared" si="927"/>
        <v>0</v>
      </c>
      <c r="X860" s="78" t="b">
        <f t="shared" si="928"/>
        <v>0</v>
      </c>
      <c r="Y860" s="78" t="b">
        <f t="shared" si="929"/>
        <v>0</v>
      </c>
      <c r="Z860" s="78" t="b">
        <f t="shared" si="930"/>
        <v>0</v>
      </c>
      <c r="AA860" s="78" t="b">
        <f t="shared" si="931"/>
        <v>0</v>
      </c>
      <c r="AB860" s="78" t="b">
        <f t="shared" si="932"/>
        <v>0</v>
      </c>
      <c r="AC860" s="78" t="b">
        <f t="shared" si="933"/>
        <v>0</v>
      </c>
      <c r="AD860" s="78" t="b">
        <f t="shared" si="934"/>
        <v>0</v>
      </c>
      <c r="AE860" s="78" t="b">
        <f t="shared" si="935"/>
        <v>0</v>
      </c>
      <c r="AF860" s="78" t="b">
        <f t="shared" si="936"/>
        <v>0</v>
      </c>
      <c r="AG860" s="78" t="b">
        <f t="shared" si="937"/>
        <v>0</v>
      </c>
      <c r="AH860" s="78" t="b">
        <f t="shared" si="938"/>
        <v>0</v>
      </c>
      <c r="AI860" s="78" t="b">
        <f t="shared" si="939"/>
        <v>0</v>
      </c>
      <c r="AJ860" s="78" t="b">
        <f t="shared" si="940"/>
        <v>0</v>
      </c>
      <c r="AK860" s="78" t="b">
        <f t="shared" si="941"/>
        <v>0</v>
      </c>
      <c r="AL860" s="78" t="b">
        <f t="shared" si="942"/>
        <v>0</v>
      </c>
      <c r="AM860" s="78" t="b">
        <f t="shared" si="943"/>
        <v>0</v>
      </c>
      <c r="AN860" s="78" t="b">
        <f t="shared" si="944"/>
        <v>0</v>
      </c>
      <c r="AO860" s="78" t="b">
        <f t="shared" si="945"/>
        <v>0</v>
      </c>
    </row>
    <row r="861" spans="7:41" x14ac:dyDescent="0.35">
      <c r="G861" s="77">
        <f t="shared" si="915"/>
        <v>0</v>
      </c>
      <c r="H861" s="78">
        <f t="shared" si="916"/>
        <v>0</v>
      </c>
      <c r="I861" s="77">
        <f t="shared" si="917"/>
        <v>0</v>
      </c>
      <c r="J861" s="78">
        <f t="shared" si="918"/>
        <v>0</v>
      </c>
      <c r="K861" s="78" t="str">
        <f t="shared" si="919"/>
        <v>1900-01-00 00:0:00</v>
      </c>
      <c r="L861" s="78" t="str">
        <f t="shared" si="920"/>
        <v>1900-01-00 00:0:00</v>
      </c>
      <c r="M861" s="79">
        <f t="shared" si="921"/>
        <v>0</v>
      </c>
      <c r="N861">
        <f t="shared" si="946"/>
        <v>1</v>
      </c>
      <c r="O861" t="str">
        <f>IFERROR(_xlfn.XLOOKUP(A861,HC!A:A,HC!C:C),"")</f>
        <v>Workforce</v>
      </c>
      <c r="R861" s="78" t="b">
        <f t="shared" si="922"/>
        <v>0</v>
      </c>
      <c r="S861" s="78" t="b">
        <f t="shared" si="923"/>
        <v>0</v>
      </c>
      <c r="T861" s="78" t="b">
        <f t="shared" si="924"/>
        <v>0</v>
      </c>
      <c r="U861" s="78" t="b">
        <f t="shared" si="925"/>
        <v>0</v>
      </c>
      <c r="V861" s="78" t="b">
        <f t="shared" si="926"/>
        <v>0</v>
      </c>
      <c r="W861" s="78" t="b">
        <f t="shared" si="927"/>
        <v>0</v>
      </c>
      <c r="X861" s="78" t="b">
        <f t="shared" si="928"/>
        <v>0</v>
      </c>
      <c r="Y861" s="78" t="b">
        <f t="shared" si="929"/>
        <v>0</v>
      </c>
      <c r="Z861" s="78" t="b">
        <f t="shared" si="930"/>
        <v>0</v>
      </c>
      <c r="AA861" s="78" t="b">
        <f t="shared" si="931"/>
        <v>0</v>
      </c>
      <c r="AB861" s="78" t="b">
        <f t="shared" si="932"/>
        <v>0</v>
      </c>
      <c r="AC861" s="78" t="b">
        <f t="shared" si="933"/>
        <v>0</v>
      </c>
      <c r="AD861" s="78" t="b">
        <f t="shared" si="934"/>
        <v>0</v>
      </c>
      <c r="AE861" s="78" t="b">
        <f t="shared" si="935"/>
        <v>0</v>
      </c>
      <c r="AF861" s="78" t="b">
        <f t="shared" si="936"/>
        <v>0</v>
      </c>
      <c r="AG861" s="78" t="b">
        <f t="shared" si="937"/>
        <v>0</v>
      </c>
      <c r="AH861" s="78" t="b">
        <f t="shared" si="938"/>
        <v>0</v>
      </c>
      <c r="AI861" s="78" t="b">
        <f t="shared" si="939"/>
        <v>0</v>
      </c>
      <c r="AJ861" s="78" t="b">
        <f t="shared" si="940"/>
        <v>0</v>
      </c>
      <c r="AK861" s="78" t="b">
        <f t="shared" si="941"/>
        <v>0</v>
      </c>
      <c r="AL861" s="78" t="b">
        <f t="shared" si="942"/>
        <v>0</v>
      </c>
      <c r="AM861" s="78" t="b">
        <f t="shared" si="943"/>
        <v>0</v>
      </c>
      <c r="AN861" s="78" t="b">
        <f t="shared" si="944"/>
        <v>0</v>
      </c>
      <c r="AO861" s="78" t="b">
        <f t="shared" si="945"/>
        <v>0</v>
      </c>
    </row>
    <row r="862" spans="7:41" x14ac:dyDescent="0.35">
      <c r="G862" s="77">
        <f t="shared" si="915"/>
        <v>0</v>
      </c>
      <c r="H862" s="78">
        <f t="shared" si="916"/>
        <v>0</v>
      </c>
      <c r="I862" s="77">
        <f t="shared" si="917"/>
        <v>0</v>
      </c>
      <c r="J862" s="78">
        <f t="shared" si="918"/>
        <v>0</v>
      </c>
      <c r="K862" s="78" t="str">
        <f t="shared" si="919"/>
        <v>1900-01-00 00:0:00</v>
      </c>
      <c r="L862" s="78" t="str">
        <f t="shared" si="920"/>
        <v>1900-01-00 00:0:00</v>
      </c>
      <c r="M862" s="79">
        <f t="shared" si="921"/>
        <v>0</v>
      </c>
      <c r="N862">
        <f t="shared" si="946"/>
        <v>1</v>
      </c>
      <c r="O862" t="str">
        <f>IFERROR(_xlfn.XLOOKUP(A862,HC!A:A,HC!C:C),"")</f>
        <v>Workforce</v>
      </c>
      <c r="R862" s="78" t="b">
        <f t="shared" si="922"/>
        <v>0</v>
      </c>
      <c r="S862" s="78" t="b">
        <f t="shared" si="923"/>
        <v>0</v>
      </c>
      <c r="T862" s="78" t="b">
        <f t="shared" si="924"/>
        <v>0</v>
      </c>
      <c r="U862" s="78" t="b">
        <f t="shared" si="925"/>
        <v>0</v>
      </c>
      <c r="V862" s="78" t="b">
        <f t="shared" si="926"/>
        <v>0</v>
      </c>
      <c r="W862" s="78" t="b">
        <f t="shared" si="927"/>
        <v>0</v>
      </c>
      <c r="X862" s="78" t="b">
        <f t="shared" si="928"/>
        <v>0</v>
      </c>
      <c r="Y862" s="78" t="b">
        <f t="shared" si="929"/>
        <v>0</v>
      </c>
      <c r="Z862" s="78" t="b">
        <f t="shared" si="930"/>
        <v>0</v>
      </c>
      <c r="AA862" s="78" t="b">
        <f t="shared" si="931"/>
        <v>0</v>
      </c>
      <c r="AB862" s="78" t="b">
        <f t="shared" si="932"/>
        <v>0</v>
      </c>
      <c r="AC862" s="78" t="b">
        <f t="shared" si="933"/>
        <v>0</v>
      </c>
      <c r="AD862" s="78" t="b">
        <f t="shared" si="934"/>
        <v>0</v>
      </c>
      <c r="AE862" s="78" t="b">
        <f t="shared" si="935"/>
        <v>0</v>
      </c>
      <c r="AF862" s="78" t="b">
        <f t="shared" si="936"/>
        <v>0</v>
      </c>
      <c r="AG862" s="78" t="b">
        <f t="shared" si="937"/>
        <v>0</v>
      </c>
      <c r="AH862" s="78" t="b">
        <f t="shared" si="938"/>
        <v>0</v>
      </c>
      <c r="AI862" s="78" t="b">
        <f t="shared" si="939"/>
        <v>0</v>
      </c>
      <c r="AJ862" s="78" t="b">
        <f t="shared" si="940"/>
        <v>0</v>
      </c>
      <c r="AK862" s="78" t="b">
        <f t="shared" si="941"/>
        <v>0</v>
      </c>
      <c r="AL862" s="78" t="b">
        <f t="shared" si="942"/>
        <v>0</v>
      </c>
      <c r="AM862" s="78" t="b">
        <f t="shared" si="943"/>
        <v>0</v>
      </c>
      <c r="AN862" s="78" t="b">
        <f t="shared" si="944"/>
        <v>0</v>
      </c>
      <c r="AO862" s="78" t="b">
        <f t="shared" si="945"/>
        <v>0</v>
      </c>
    </row>
    <row r="863" spans="7:41" x14ac:dyDescent="0.35">
      <c r="G863" s="77">
        <f t="shared" si="915"/>
        <v>0</v>
      </c>
      <c r="H863" s="78">
        <f t="shared" si="916"/>
        <v>0</v>
      </c>
      <c r="I863" s="77">
        <f t="shared" si="917"/>
        <v>0</v>
      </c>
      <c r="J863" s="78">
        <f t="shared" si="918"/>
        <v>0</v>
      </c>
      <c r="K863" s="78" t="str">
        <f t="shared" si="919"/>
        <v>1900-01-00 00:0:00</v>
      </c>
      <c r="L863" s="78" t="str">
        <f t="shared" si="920"/>
        <v>1900-01-00 00:0:00</v>
      </c>
      <c r="M863" s="79">
        <f t="shared" si="921"/>
        <v>0</v>
      </c>
      <c r="N863">
        <f t="shared" si="946"/>
        <v>1</v>
      </c>
      <c r="O863" t="str">
        <f>IFERROR(_xlfn.XLOOKUP(A863,HC!A:A,HC!C:C),"")</f>
        <v>Workforce</v>
      </c>
      <c r="R863" s="78" t="b">
        <f t="shared" si="922"/>
        <v>0</v>
      </c>
      <c r="S863" s="78" t="b">
        <f t="shared" si="923"/>
        <v>0</v>
      </c>
      <c r="T863" s="78" t="b">
        <f t="shared" si="924"/>
        <v>0</v>
      </c>
      <c r="U863" s="78" t="b">
        <f t="shared" si="925"/>
        <v>0</v>
      </c>
      <c r="V863" s="78" t="b">
        <f t="shared" si="926"/>
        <v>0</v>
      </c>
      <c r="W863" s="78" t="b">
        <f t="shared" si="927"/>
        <v>0</v>
      </c>
      <c r="X863" s="78" t="b">
        <f t="shared" si="928"/>
        <v>0</v>
      </c>
      <c r="Y863" s="78" t="b">
        <f t="shared" si="929"/>
        <v>0</v>
      </c>
      <c r="Z863" s="78" t="b">
        <f t="shared" si="930"/>
        <v>0</v>
      </c>
      <c r="AA863" s="78" t="b">
        <f t="shared" si="931"/>
        <v>0</v>
      </c>
      <c r="AB863" s="78" t="b">
        <f t="shared" si="932"/>
        <v>0</v>
      </c>
      <c r="AC863" s="78" t="b">
        <f t="shared" si="933"/>
        <v>0</v>
      </c>
      <c r="AD863" s="78" t="b">
        <f t="shared" si="934"/>
        <v>0</v>
      </c>
      <c r="AE863" s="78" t="b">
        <f t="shared" si="935"/>
        <v>0</v>
      </c>
      <c r="AF863" s="78" t="b">
        <f t="shared" si="936"/>
        <v>0</v>
      </c>
      <c r="AG863" s="78" t="b">
        <f t="shared" si="937"/>
        <v>0</v>
      </c>
      <c r="AH863" s="78" t="b">
        <f t="shared" si="938"/>
        <v>0</v>
      </c>
      <c r="AI863" s="78" t="b">
        <f t="shared" si="939"/>
        <v>0</v>
      </c>
      <c r="AJ863" s="78" t="b">
        <f t="shared" si="940"/>
        <v>0</v>
      </c>
      <c r="AK863" s="78" t="b">
        <f t="shared" si="941"/>
        <v>0</v>
      </c>
      <c r="AL863" s="78" t="b">
        <f t="shared" si="942"/>
        <v>0</v>
      </c>
      <c r="AM863" s="78" t="b">
        <f t="shared" si="943"/>
        <v>0</v>
      </c>
      <c r="AN863" s="78" t="b">
        <f t="shared" si="944"/>
        <v>0</v>
      </c>
      <c r="AO863" s="78" t="b">
        <f t="shared" si="945"/>
        <v>0</v>
      </c>
    </row>
    <row r="864" spans="7:41" x14ac:dyDescent="0.35">
      <c r="G864" s="77">
        <f t="shared" si="915"/>
        <v>0</v>
      </c>
      <c r="H864" s="78">
        <f t="shared" si="916"/>
        <v>0</v>
      </c>
      <c r="I864" s="77">
        <f t="shared" si="917"/>
        <v>0</v>
      </c>
      <c r="J864" s="78">
        <f t="shared" si="918"/>
        <v>0</v>
      </c>
      <c r="K864" s="78" t="str">
        <f t="shared" si="919"/>
        <v>1900-01-00 00:0:00</v>
      </c>
      <c r="L864" s="78" t="str">
        <f t="shared" si="920"/>
        <v>1900-01-00 00:0:00</v>
      </c>
      <c r="M864" s="79">
        <f t="shared" si="921"/>
        <v>0</v>
      </c>
      <c r="N864">
        <f t="shared" si="946"/>
        <v>1</v>
      </c>
      <c r="O864" t="str">
        <f>IFERROR(_xlfn.XLOOKUP(A864,HC!A:A,HC!C:C),"")</f>
        <v>Workforce</v>
      </c>
      <c r="R864" s="78" t="b">
        <f t="shared" si="922"/>
        <v>0</v>
      </c>
      <c r="S864" s="78" t="b">
        <f t="shared" si="923"/>
        <v>0</v>
      </c>
      <c r="T864" s="78" t="b">
        <f t="shared" si="924"/>
        <v>0</v>
      </c>
      <c r="U864" s="78" t="b">
        <f t="shared" si="925"/>
        <v>0</v>
      </c>
      <c r="V864" s="78" t="b">
        <f t="shared" si="926"/>
        <v>0</v>
      </c>
      <c r="W864" s="78" t="b">
        <f t="shared" si="927"/>
        <v>0</v>
      </c>
      <c r="X864" s="78" t="b">
        <f t="shared" si="928"/>
        <v>0</v>
      </c>
      <c r="Y864" s="78" t="b">
        <f t="shared" si="929"/>
        <v>0</v>
      </c>
      <c r="Z864" s="78" t="b">
        <f t="shared" si="930"/>
        <v>0</v>
      </c>
      <c r="AA864" s="78" t="b">
        <f t="shared" si="931"/>
        <v>0</v>
      </c>
      <c r="AB864" s="78" t="b">
        <f t="shared" si="932"/>
        <v>0</v>
      </c>
      <c r="AC864" s="78" t="b">
        <f t="shared" si="933"/>
        <v>0</v>
      </c>
      <c r="AD864" s="78" t="b">
        <f t="shared" si="934"/>
        <v>0</v>
      </c>
      <c r="AE864" s="78" t="b">
        <f t="shared" si="935"/>
        <v>0</v>
      </c>
      <c r="AF864" s="78" t="b">
        <f t="shared" si="936"/>
        <v>0</v>
      </c>
      <c r="AG864" s="78" t="b">
        <f t="shared" si="937"/>
        <v>0</v>
      </c>
      <c r="AH864" s="78" t="b">
        <f t="shared" si="938"/>
        <v>0</v>
      </c>
      <c r="AI864" s="78" t="b">
        <f t="shared" si="939"/>
        <v>0</v>
      </c>
      <c r="AJ864" s="78" t="b">
        <f t="shared" si="940"/>
        <v>0</v>
      </c>
      <c r="AK864" s="78" t="b">
        <f t="shared" si="941"/>
        <v>0</v>
      </c>
      <c r="AL864" s="78" t="b">
        <f t="shared" si="942"/>
        <v>0</v>
      </c>
      <c r="AM864" s="78" t="b">
        <f t="shared" si="943"/>
        <v>0</v>
      </c>
      <c r="AN864" s="78" t="b">
        <f t="shared" si="944"/>
        <v>0</v>
      </c>
      <c r="AO864" s="78" t="b">
        <f t="shared" si="945"/>
        <v>0</v>
      </c>
    </row>
    <row r="865" spans="7:41" x14ac:dyDescent="0.35">
      <c r="G865" s="77">
        <f t="shared" si="915"/>
        <v>0</v>
      </c>
      <c r="H865" s="78">
        <f t="shared" si="916"/>
        <v>0</v>
      </c>
      <c r="I865" s="77">
        <f t="shared" si="917"/>
        <v>0</v>
      </c>
      <c r="J865" s="78">
        <f t="shared" si="918"/>
        <v>0</v>
      </c>
      <c r="K865" s="78" t="str">
        <f t="shared" si="919"/>
        <v>1900-01-00 00:0:00</v>
      </c>
      <c r="L865" s="78" t="str">
        <f t="shared" si="920"/>
        <v>1900-01-00 00:0:00</v>
      </c>
      <c r="M865" s="79">
        <f t="shared" si="921"/>
        <v>0</v>
      </c>
      <c r="N865">
        <f t="shared" si="946"/>
        <v>1</v>
      </c>
      <c r="O865" t="str">
        <f>IFERROR(_xlfn.XLOOKUP(A865,HC!A:A,HC!C:C),"")</f>
        <v>Workforce</v>
      </c>
      <c r="R865" s="78" t="b">
        <f t="shared" si="922"/>
        <v>0</v>
      </c>
      <c r="S865" s="78" t="b">
        <f t="shared" si="923"/>
        <v>0</v>
      </c>
      <c r="T865" s="78" t="b">
        <f t="shared" si="924"/>
        <v>0</v>
      </c>
      <c r="U865" s="78" t="b">
        <f t="shared" si="925"/>
        <v>0</v>
      </c>
      <c r="V865" s="78" t="b">
        <f t="shared" si="926"/>
        <v>0</v>
      </c>
      <c r="W865" s="78" t="b">
        <f t="shared" si="927"/>
        <v>0</v>
      </c>
      <c r="X865" s="78" t="b">
        <f t="shared" si="928"/>
        <v>0</v>
      </c>
      <c r="Y865" s="78" t="b">
        <f t="shared" si="929"/>
        <v>0</v>
      </c>
      <c r="Z865" s="78" t="b">
        <f t="shared" si="930"/>
        <v>0</v>
      </c>
      <c r="AA865" s="78" t="b">
        <f t="shared" si="931"/>
        <v>0</v>
      </c>
      <c r="AB865" s="78" t="b">
        <f t="shared" si="932"/>
        <v>0</v>
      </c>
      <c r="AC865" s="78" t="b">
        <f t="shared" si="933"/>
        <v>0</v>
      </c>
      <c r="AD865" s="78" t="b">
        <f t="shared" si="934"/>
        <v>0</v>
      </c>
      <c r="AE865" s="78" t="b">
        <f t="shared" si="935"/>
        <v>0</v>
      </c>
      <c r="AF865" s="78" t="b">
        <f t="shared" si="936"/>
        <v>0</v>
      </c>
      <c r="AG865" s="78" t="b">
        <f t="shared" si="937"/>
        <v>0</v>
      </c>
      <c r="AH865" s="78" t="b">
        <f t="shared" si="938"/>
        <v>0</v>
      </c>
      <c r="AI865" s="78" t="b">
        <f t="shared" si="939"/>
        <v>0</v>
      </c>
      <c r="AJ865" s="78" t="b">
        <f t="shared" si="940"/>
        <v>0</v>
      </c>
      <c r="AK865" s="78" t="b">
        <f t="shared" si="941"/>
        <v>0</v>
      </c>
      <c r="AL865" s="78" t="b">
        <f t="shared" si="942"/>
        <v>0</v>
      </c>
      <c r="AM865" s="78" t="b">
        <f t="shared" si="943"/>
        <v>0</v>
      </c>
      <c r="AN865" s="78" t="b">
        <f t="shared" si="944"/>
        <v>0</v>
      </c>
      <c r="AO865" s="78" t="b">
        <f t="shared" si="945"/>
        <v>0</v>
      </c>
    </row>
    <row r="866" spans="7:41" x14ac:dyDescent="0.35">
      <c r="G866" s="77">
        <f t="shared" si="915"/>
        <v>0</v>
      </c>
      <c r="H866" s="78">
        <f t="shared" si="916"/>
        <v>0</v>
      </c>
      <c r="I866" s="77">
        <f t="shared" si="917"/>
        <v>0</v>
      </c>
      <c r="J866" s="78">
        <f t="shared" si="918"/>
        <v>0</v>
      </c>
      <c r="K866" s="78" t="str">
        <f t="shared" si="919"/>
        <v>1900-01-00 00:0:00</v>
      </c>
      <c r="L866" s="78" t="str">
        <f t="shared" si="920"/>
        <v>1900-01-00 00:0:00</v>
      </c>
      <c r="M866" s="79">
        <f t="shared" si="921"/>
        <v>0</v>
      </c>
      <c r="N866">
        <f t="shared" si="946"/>
        <v>1</v>
      </c>
      <c r="O866" t="str">
        <f>IFERROR(_xlfn.XLOOKUP(A866,HC!A:A,HC!C:C),"")</f>
        <v>Workforce</v>
      </c>
      <c r="R866" s="78" t="b">
        <f t="shared" si="922"/>
        <v>0</v>
      </c>
      <c r="S866" s="78" t="b">
        <f t="shared" si="923"/>
        <v>0</v>
      </c>
      <c r="T866" s="78" t="b">
        <f t="shared" si="924"/>
        <v>0</v>
      </c>
      <c r="U866" s="78" t="b">
        <f t="shared" si="925"/>
        <v>0</v>
      </c>
      <c r="V866" s="78" t="b">
        <f t="shared" si="926"/>
        <v>0</v>
      </c>
      <c r="W866" s="78" t="b">
        <f t="shared" si="927"/>
        <v>0</v>
      </c>
      <c r="X866" s="78" t="b">
        <f t="shared" si="928"/>
        <v>0</v>
      </c>
      <c r="Y866" s="78" t="b">
        <f t="shared" si="929"/>
        <v>0</v>
      </c>
      <c r="Z866" s="78" t="b">
        <f t="shared" si="930"/>
        <v>0</v>
      </c>
      <c r="AA866" s="78" t="b">
        <f t="shared" si="931"/>
        <v>0</v>
      </c>
      <c r="AB866" s="78" t="b">
        <f t="shared" si="932"/>
        <v>0</v>
      </c>
      <c r="AC866" s="78" t="b">
        <f t="shared" si="933"/>
        <v>0</v>
      </c>
      <c r="AD866" s="78" t="b">
        <f t="shared" si="934"/>
        <v>0</v>
      </c>
      <c r="AE866" s="78" t="b">
        <f t="shared" si="935"/>
        <v>0</v>
      </c>
      <c r="AF866" s="78" t="b">
        <f t="shared" si="936"/>
        <v>0</v>
      </c>
      <c r="AG866" s="78" t="b">
        <f t="shared" si="937"/>
        <v>0</v>
      </c>
      <c r="AH866" s="78" t="b">
        <f t="shared" si="938"/>
        <v>0</v>
      </c>
      <c r="AI866" s="78" t="b">
        <f t="shared" si="939"/>
        <v>0</v>
      </c>
      <c r="AJ866" s="78" t="b">
        <f t="shared" si="940"/>
        <v>0</v>
      </c>
      <c r="AK866" s="78" t="b">
        <f t="shared" si="941"/>
        <v>0</v>
      </c>
      <c r="AL866" s="78" t="b">
        <f t="shared" si="942"/>
        <v>0</v>
      </c>
      <c r="AM866" s="78" t="b">
        <f t="shared" si="943"/>
        <v>0</v>
      </c>
      <c r="AN866" s="78" t="b">
        <f t="shared" si="944"/>
        <v>0</v>
      </c>
      <c r="AO866" s="78" t="b">
        <f t="shared" si="945"/>
        <v>0</v>
      </c>
    </row>
    <row r="867" spans="7:41" x14ac:dyDescent="0.35">
      <c r="G867" s="77">
        <f t="shared" si="915"/>
        <v>0</v>
      </c>
      <c r="H867" s="78">
        <f t="shared" si="916"/>
        <v>0</v>
      </c>
      <c r="I867" s="77">
        <f t="shared" si="917"/>
        <v>0</v>
      </c>
      <c r="J867" s="78">
        <f t="shared" si="918"/>
        <v>0</v>
      </c>
      <c r="K867" s="78" t="str">
        <f t="shared" si="919"/>
        <v>1900-01-00 00:0:00</v>
      </c>
      <c r="L867" s="78" t="str">
        <f t="shared" si="920"/>
        <v>1900-01-00 00:0:00</v>
      </c>
      <c r="M867" s="79">
        <f t="shared" si="921"/>
        <v>0</v>
      </c>
      <c r="N867">
        <f t="shared" si="946"/>
        <v>1</v>
      </c>
      <c r="O867" t="str">
        <f>IFERROR(_xlfn.XLOOKUP(A867,HC!A:A,HC!C:C),"")</f>
        <v>Workforce</v>
      </c>
      <c r="R867" s="78" t="b">
        <f t="shared" si="922"/>
        <v>0</v>
      </c>
      <c r="S867" s="78" t="b">
        <f t="shared" si="923"/>
        <v>0</v>
      </c>
      <c r="T867" s="78" t="b">
        <f t="shared" si="924"/>
        <v>0</v>
      </c>
      <c r="U867" s="78" t="b">
        <f t="shared" si="925"/>
        <v>0</v>
      </c>
      <c r="V867" s="78" t="b">
        <f t="shared" si="926"/>
        <v>0</v>
      </c>
      <c r="W867" s="78" t="b">
        <f t="shared" si="927"/>
        <v>0</v>
      </c>
      <c r="X867" s="78" t="b">
        <f t="shared" si="928"/>
        <v>0</v>
      </c>
      <c r="Y867" s="78" t="b">
        <f t="shared" si="929"/>
        <v>0</v>
      </c>
      <c r="Z867" s="78" t="b">
        <f t="shared" si="930"/>
        <v>0</v>
      </c>
      <c r="AA867" s="78" t="b">
        <f t="shared" si="931"/>
        <v>0</v>
      </c>
      <c r="AB867" s="78" t="b">
        <f t="shared" si="932"/>
        <v>0</v>
      </c>
      <c r="AC867" s="78" t="b">
        <f t="shared" si="933"/>
        <v>0</v>
      </c>
      <c r="AD867" s="78" t="b">
        <f t="shared" si="934"/>
        <v>0</v>
      </c>
      <c r="AE867" s="78" t="b">
        <f t="shared" si="935"/>
        <v>0</v>
      </c>
      <c r="AF867" s="78" t="b">
        <f t="shared" si="936"/>
        <v>0</v>
      </c>
      <c r="AG867" s="78" t="b">
        <f t="shared" si="937"/>
        <v>0</v>
      </c>
      <c r="AH867" s="78" t="b">
        <f t="shared" si="938"/>
        <v>0</v>
      </c>
      <c r="AI867" s="78" t="b">
        <f t="shared" si="939"/>
        <v>0</v>
      </c>
      <c r="AJ867" s="78" t="b">
        <f t="shared" si="940"/>
        <v>0</v>
      </c>
      <c r="AK867" s="78" t="b">
        <f t="shared" si="941"/>
        <v>0</v>
      </c>
      <c r="AL867" s="78" t="b">
        <f t="shared" si="942"/>
        <v>0</v>
      </c>
      <c r="AM867" s="78" t="b">
        <f t="shared" si="943"/>
        <v>0</v>
      </c>
      <c r="AN867" s="78" t="b">
        <f t="shared" si="944"/>
        <v>0</v>
      </c>
      <c r="AO867" s="78" t="b">
        <f t="shared" si="945"/>
        <v>0</v>
      </c>
    </row>
    <row r="868" spans="7:41" x14ac:dyDescent="0.35">
      <c r="G868" s="77">
        <f t="shared" si="915"/>
        <v>0</v>
      </c>
      <c r="H868" s="78">
        <f t="shared" si="916"/>
        <v>0</v>
      </c>
      <c r="I868" s="77">
        <f t="shared" si="917"/>
        <v>0</v>
      </c>
      <c r="J868" s="78">
        <f t="shared" si="918"/>
        <v>0</v>
      </c>
      <c r="K868" s="78" t="str">
        <f t="shared" si="919"/>
        <v>1900-01-00 00:0:00</v>
      </c>
      <c r="L868" s="78" t="str">
        <f t="shared" si="920"/>
        <v>1900-01-00 00:0:00</v>
      </c>
      <c r="M868" s="79">
        <f t="shared" si="921"/>
        <v>0</v>
      </c>
      <c r="N868">
        <f t="shared" si="946"/>
        <v>1</v>
      </c>
      <c r="O868" t="str">
        <f>IFERROR(_xlfn.XLOOKUP(A868,HC!A:A,HC!C:C),"")</f>
        <v>Workforce</v>
      </c>
      <c r="R868" s="78" t="b">
        <f t="shared" si="922"/>
        <v>0</v>
      </c>
      <c r="S868" s="78" t="b">
        <f t="shared" si="923"/>
        <v>0</v>
      </c>
      <c r="T868" s="78" t="b">
        <f t="shared" si="924"/>
        <v>0</v>
      </c>
      <c r="U868" s="78" t="b">
        <f t="shared" si="925"/>
        <v>0</v>
      </c>
      <c r="V868" s="78" t="b">
        <f t="shared" si="926"/>
        <v>0</v>
      </c>
      <c r="W868" s="78" t="b">
        <f t="shared" si="927"/>
        <v>0</v>
      </c>
      <c r="X868" s="78" t="b">
        <f t="shared" si="928"/>
        <v>0</v>
      </c>
      <c r="Y868" s="78" t="b">
        <f t="shared" si="929"/>
        <v>0</v>
      </c>
      <c r="Z868" s="78" t="b">
        <f t="shared" si="930"/>
        <v>0</v>
      </c>
      <c r="AA868" s="78" t="b">
        <f t="shared" si="931"/>
        <v>0</v>
      </c>
      <c r="AB868" s="78" t="b">
        <f t="shared" si="932"/>
        <v>0</v>
      </c>
      <c r="AC868" s="78" t="b">
        <f t="shared" si="933"/>
        <v>0</v>
      </c>
      <c r="AD868" s="78" t="b">
        <f t="shared" si="934"/>
        <v>0</v>
      </c>
      <c r="AE868" s="78" t="b">
        <f t="shared" si="935"/>
        <v>0</v>
      </c>
      <c r="AF868" s="78" t="b">
        <f t="shared" si="936"/>
        <v>0</v>
      </c>
      <c r="AG868" s="78" t="b">
        <f t="shared" si="937"/>
        <v>0</v>
      </c>
      <c r="AH868" s="78" t="b">
        <f t="shared" si="938"/>
        <v>0</v>
      </c>
      <c r="AI868" s="78" t="b">
        <f t="shared" si="939"/>
        <v>0</v>
      </c>
      <c r="AJ868" s="78" t="b">
        <f t="shared" si="940"/>
        <v>0</v>
      </c>
      <c r="AK868" s="78" t="b">
        <f t="shared" si="941"/>
        <v>0</v>
      </c>
      <c r="AL868" s="78" t="b">
        <f t="shared" si="942"/>
        <v>0</v>
      </c>
      <c r="AM868" s="78" t="b">
        <f t="shared" si="943"/>
        <v>0</v>
      </c>
      <c r="AN868" s="78" t="b">
        <f t="shared" si="944"/>
        <v>0</v>
      </c>
      <c r="AO868" s="78" t="b">
        <f t="shared" si="945"/>
        <v>0</v>
      </c>
    </row>
    <row r="869" spans="7:41" x14ac:dyDescent="0.35">
      <c r="G869" s="77">
        <f t="shared" si="915"/>
        <v>0</v>
      </c>
      <c r="H869" s="78">
        <f t="shared" si="916"/>
        <v>0</v>
      </c>
      <c r="I869" s="77">
        <f t="shared" si="917"/>
        <v>0</v>
      </c>
      <c r="J869" s="78">
        <f t="shared" si="918"/>
        <v>0</v>
      </c>
      <c r="K869" s="78" t="str">
        <f t="shared" si="919"/>
        <v>1900-01-00 00:0:00</v>
      </c>
      <c r="L869" s="78" t="str">
        <f t="shared" si="920"/>
        <v>1900-01-00 00:0:00</v>
      </c>
      <c r="M869" s="79">
        <f t="shared" si="921"/>
        <v>0</v>
      </c>
      <c r="N869">
        <f t="shared" si="946"/>
        <v>1</v>
      </c>
      <c r="O869" t="str">
        <f>IFERROR(_xlfn.XLOOKUP(A869,HC!A:A,HC!C:C),"")</f>
        <v>Workforce</v>
      </c>
      <c r="R869" s="78" t="b">
        <f t="shared" si="922"/>
        <v>0</v>
      </c>
      <c r="S869" s="78" t="b">
        <f t="shared" si="923"/>
        <v>0</v>
      </c>
      <c r="T869" s="78" t="b">
        <f t="shared" si="924"/>
        <v>0</v>
      </c>
      <c r="U869" s="78" t="b">
        <f t="shared" si="925"/>
        <v>0</v>
      </c>
      <c r="V869" s="78" t="b">
        <f t="shared" si="926"/>
        <v>0</v>
      </c>
      <c r="W869" s="78" t="b">
        <f t="shared" si="927"/>
        <v>0</v>
      </c>
      <c r="X869" s="78" t="b">
        <f t="shared" si="928"/>
        <v>0</v>
      </c>
      <c r="Y869" s="78" t="b">
        <f t="shared" si="929"/>
        <v>0</v>
      </c>
      <c r="Z869" s="78" t="b">
        <f t="shared" si="930"/>
        <v>0</v>
      </c>
      <c r="AA869" s="78" t="b">
        <f t="shared" si="931"/>
        <v>0</v>
      </c>
      <c r="AB869" s="78" t="b">
        <f t="shared" si="932"/>
        <v>0</v>
      </c>
      <c r="AC869" s="78" t="b">
        <f t="shared" si="933"/>
        <v>0</v>
      </c>
      <c r="AD869" s="78" t="b">
        <f t="shared" si="934"/>
        <v>0</v>
      </c>
      <c r="AE869" s="78" t="b">
        <f t="shared" si="935"/>
        <v>0</v>
      </c>
      <c r="AF869" s="78" t="b">
        <f t="shared" si="936"/>
        <v>0</v>
      </c>
      <c r="AG869" s="78" t="b">
        <f t="shared" si="937"/>
        <v>0</v>
      </c>
      <c r="AH869" s="78" t="b">
        <f t="shared" si="938"/>
        <v>0</v>
      </c>
      <c r="AI869" s="78" t="b">
        <f t="shared" si="939"/>
        <v>0</v>
      </c>
      <c r="AJ869" s="78" t="b">
        <f t="shared" si="940"/>
        <v>0</v>
      </c>
      <c r="AK869" s="78" t="b">
        <f t="shared" si="941"/>
        <v>0</v>
      </c>
      <c r="AL869" s="78" t="b">
        <f t="shared" si="942"/>
        <v>0</v>
      </c>
      <c r="AM869" s="78" t="b">
        <f t="shared" si="943"/>
        <v>0</v>
      </c>
      <c r="AN869" s="78" t="b">
        <f t="shared" si="944"/>
        <v>0</v>
      </c>
      <c r="AO869" s="78" t="b">
        <f t="shared" si="945"/>
        <v>0</v>
      </c>
    </row>
    <row r="870" spans="7:41" x14ac:dyDescent="0.35">
      <c r="G870" s="77">
        <f t="shared" si="915"/>
        <v>0</v>
      </c>
      <c r="H870" s="78">
        <f t="shared" si="916"/>
        <v>0</v>
      </c>
      <c r="I870" s="77">
        <f t="shared" si="917"/>
        <v>0</v>
      </c>
      <c r="J870" s="78">
        <f t="shared" si="918"/>
        <v>0</v>
      </c>
      <c r="K870" s="78" t="str">
        <f t="shared" si="919"/>
        <v>1900-01-00 00:0:00</v>
      </c>
      <c r="L870" s="78" t="str">
        <f t="shared" si="920"/>
        <v>1900-01-00 00:0:00</v>
      </c>
      <c r="M870" s="79">
        <f t="shared" si="921"/>
        <v>0</v>
      </c>
      <c r="N870">
        <f t="shared" si="946"/>
        <v>1</v>
      </c>
      <c r="O870" t="str">
        <f>IFERROR(_xlfn.XLOOKUP(A870,HC!A:A,HC!C:C),"")</f>
        <v>Workforce</v>
      </c>
      <c r="R870" s="78" t="b">
        <f t="shared" si="922"/>
        <v>0</v>
      </c>
      <c r="S870" s="78" t="b">
        <f t="shared" si="923"/>
        <v>0</v>
      </c>
      <c r="T870" s="78" t="b">
        <f t="shared" si="924"/>
        <v>0</v>
      </c>
      <c r="U870" s="78" t="b">
        <f t="shared" si="925"/>
        <v>0</v>
      </c>
      <c r="V870" s="78" t="b">
        <f t="shared" si="926"/>
        <v>0</v>
      </c>
      <c r="W870" s="78" t="b">
        <f t="shared" si="927"/>
        <v>0</v>
      </c>
      <c r="X870" s="78" t="b">
        <f t="shared" si="928"/>
        <v>0</v>
      </c>
      <c r="Y870" s="78" t="b">
        <f t="shared" si="929"/>
        <v>0</v>
      </c>
      <c r="Z870" s="78" t="b">
        <f t="shared" si="930"/>
        <v>0</v>
      </c>
      <c r="AA870" s="78" t="b">
        <f t="shared" si="931"/>
        <v>0</v>
      </c>
      <c r="AB870" s="78" t="b">
        <f t="shared" si="932"/>
        <v>0</v>
      </c>
      <c r="AC870" s="78" t="b">
        <f t="shared" si="933"/>
        <v>0</v>
      </c>
      <c r="AD870" s="78" t="b">
        <f t="shared" si="934"/>
        <v>0</v>
      </c>
      <c r="AE870" s="78" t="b">
        <f t="shared" si="935"/>
        <v>0</v>
      </c>
      <c r="AF870" s="78" t="b">
        <f t="shared" si="936"/>
        <v>0</v>
      </c>
      <c r="AG870" s="78" t="b">
        <f t="shared" si="937"/>
        <v>0</v>
      </c>
      <c r="AH870" s="78" t="b">
        <f t="shared" si="938"/>
        <v>0</v>
      </c>
      <c r="AI870" s="78" t="b">
        <f t="shared" si="939"/>
        <v>0</v>
      </c>
      <c r="AJ870" s="78" t="b">
        <f t="shared" si="940"/>
        <v>0</v>
      </c>
      <c r="AK870" s="78" t="b">
        <f t="shared" si="941"/>
        <v>0</v>
      </c>
      <c r="AL870" s="78" t="b">
        <f t="shared" si="942"/>
        <v>0</v>
      </c>
      <c r="AM870" s="78" t="b">
        <f t="shared" si="943"/>
        <v>0</v>
      </c>
      <c r="AN870" s="78" t="b">
        <f t="shared" si="944"/>
        <v>0</v>
      </c>
      <c r="AO870" s="78" t="b">
        <f t="shared" si="945"/>
        <v>0</v>
      </c>
    </row>
    <row r="871" spans="7:41" x14ac:dyDescent="0.35">
      <c r="G871" s="77">
        <f t="shared" si="915"/>
        <v>0</v>
      </c>
      <c r="H871" s="78">
        <f t="shared" si="916"/>
        <v>0</v>
      </c>
      <c r="I871" s="77">
        <f t="shared" si="917"/>
        <v>0</v>
      </c>
      <c r="J871" s="78">
        <f t="shared" si="918"/>
        <v>0</v>
      </c>
      <c r="K871" s="78" t="str">
        <f t="shared" si="919"/>
        <v>1900-01-00 00:0:00</v>
      </c>
      <c r="L871" s="78" t="str">
        <f t="shared" si="920"/>
        <v>1900-01-00 00:0:00</v>
      </c>
      <c r="M871" s="79">
        <f t="shared" si="921"/>
        <v>0</v>
      </c>
      <c r="N871">
        <f t="shared" si="946"/>
        <v>1</v>
      </c>
      <c r="O871" t="str">
        <f>IFERROR(_xlfn.XLOOKUP(A871,HC!A:A,HC!C:C),"")</f>
        <v>Workforce</v>
      </c>
      <c r="R871" s="78" t="b">
        <f t="shared" si="922"/>
        <v>0</v>
      </c>
      <c r="S871" s="78" t="b">
        <f t="shared" si="923"/>
        <v>0</v>
      </c>
      <c r="T871" s="78" t="b">
        <f t="shared" si="924"/>
        <v>0</v>
      </c>
      <c r="U871" s="78" t="b">
        <f t="shared" si="925"/>
        <v>0</v>
      </c>
      <c r="V871" s="78" t="b">
        <f t="shared" si="926"/>
        <v>0</v>
      </c>
      <c r="W871" s="78" t="b">
        <f t="shared" si="927"/>
        <v>0</v>
      </c>
      <c r="X871" s="78" t="b">
        <f t="shared" si="928"/>
        <v>0</v>
      </c>
      <c r="Y871" s="78" t="b">
        <f t="shared" si="929"/>
        <v>0</v>
      </c>
      <c r="Z871" s="78" t="b">
        <f t="shared" si="930"/>
        <v>0</v>
      </c>
      <c r="AA871" s="78" t="b">
        <f t="shared" si="931"/>
        <v>0</v>
      </c>
      <c r="AB871" s="78" t="b">
        <f t="shared" si="932"/>
        <v>0</v>
      </c>
      <c r="AC871" s="78" t="b">
        <f t="shared" si="933"/>
        <v>0</v>
      </c>
      <c r="AD871" s="78" t="b">
        <f t="shared" si="934"/>
        <v>0</v>
      </c>
      <c r="AE871" s="78" t="b">
        <f t="shared" si="935"/>
        <v>0</v>
      </c>
      <c r="AF871" s="78" t="b">
        <f t="shared" si="936"/>
        <v>0</v>
      </c>
      <c r="AG871" s="78" t="b">
        <f t="shared" si="937"/>
        <v>0</v>
      </c>
      <c r="AH871" s="78" t="b">
        <f t="shared" si="938"/>
        <v>0</v>
      </c>
      <c r="AI871" s="78" t="b">
        <f t="shared" si="939"/>
        <v>0</v>
      </c>
      <c r="AJ871" s="78" t="b">
        <f t="shared" si="940"/>
        <v>0</v>
      </c>
      <c r="AK871" s="78" t="b">
        <f t="shared" si="941"/>
        <v>0</v>
      </c>
      <c r="AL871" s="78" t="b">
        <f t="shared" si="942"/>
        <v>0</v>
      </c>
      <c r="AM871" s="78" t="b">
        <f t="shared" si="943"/>
        <v>0</v>
      </c>
      <c r="AN871" s="78" t="b">
        <f t="shared" si="944"/>
        <v>0</v>
      </c>
      <c r="AO871" s="78" t="b">
        <f t="shared" si="945"/>
        <v>0</v>
      </c>
    </row>
    <row r="872" spans="7:41" x14ac:dyDescent="0.35">
      <c r="G872" s="77">
        <f t="shared" si="915"/>
        <v>0</v>
      </c>
      <c r="H872" s="78">
        <f t="shared" si="916"/>
        <v>0</v>
      </c>
      <c r="I872" s="77">
        <f t="shared" si="917"/>
        <v>0</v>
      </c>
      <c r="J872" s="78">
        <f t="shared" si="918"/>
        <v>0</v>
      </c>
      <c r="K872" s="78" t="str">
        <f t="shared" si="919"/>
        <v>1900-01-00 00:0:00</v>
      </c>
      <c r="L872" s="78" t="str">
        <f t="shared" si="920"/>
        <v>1900-01-00 00:0:00</v>
      </c>
      <c r="M872" s="79">
        <f t="shared" si="921"/>
        <v>0</v>
      </c>
      <c r="N872">
        <f t="shared" si="946"/>
        <v>1</v>
      </c>
      <c r="O872" t="str">
        <f>IFERROR(_xlfn.XLOOKUP(A872,HC!A:A,HC!C:C),"")</f>
        <v>Workforce</v>
      </c>
      <c r="R872" s="78" t="b">
        <f t="shared" si="922"/>
        <v>0</v>
      </c>
      <c r="S872" s="78" t="b">
        <f t="shared" si="923"/>
        <v>0</v>
      </c>
      <c r="T872" s="78" t="b">
        <f t="shared" si="924"/>
        <v>0</v>
      </c>
      <c r="U872" s="78" t="b">
        <f t="shared" si="925"/>
        <v>0</v>
      </c>
      <c r="V872" s="78" t="b">
        <f t="shared" si="926"/>
        <v>0</v>
      </c>
      <c r="W872" s="78" t="b">
        <f t="shared" si="927"/>
        <v>0</v>
      </c>
      <c r="X872" s="78" t="b">
        <f t="shared" si="928"/>
        <v>0</v>
      </c>
      <c r="Y872" s="78" t="b">
        <f t="shared" si="929"/>
        <v>0</v>
      </c>
      <c r="Z872" s="78" t="b">
        <f t="shared" si="930"/>
        <v>0</v>
      </c>
      <c r="AA872" s="78" t="b">
        <f t="shared" si="931"/>
        <v>0</v>
      </c>
      <c r="AB872" s="78" t="b">
        <f t="shared" si="932"/>
        <v>0</v>
      </c>
      <c r="AC872" s="78" t="b">
        <f t="shared" si="933"/>
        <v>0</v>
      </c>
      <c r="AD872" s="78" t="b">
        <f t="shared" si="934"/>
        <v>0</v>
      </c>
      <c r="AE872" s="78" t="b">
        <f t="shared" si="935"/>
        <v>0</v>
      </c>
      <c r="AF872" s="78" t="b">
        <f t="shared" si="936"/>
        <v>0</v>
      </c>
      <c r="AG872" s="78" t="b">
        <f t="shared" si="937"/>
        <v>0</v>
      </c>
      <c r="AH872" s="78" t="b">
        <f t="shared" si="938"/>
        <v>0</v>
      </c>
      <c r="AI872" s="78" t="b">
        <f t="shared" si="939"/>
        <v>0</v>
      </c>
      <c r="AJ872" s="78" t="b">
        <f t="shared" si="940"/>
        <v>0</v>
      </c>
      <c r="AK872" s="78" t="b">
        <f t="shared" si="941"/>
        <v>0</v>
      </c>
      <c r="AL872" s="78" t="b">
        <f t="shared" si="942"/>
        <v>0</v>
      </c>
      <c r="AM872" s="78" t="b">
        <f t="shared" si="943"/>
        <v>0</v>
      </c>
      <c r="AN872" s="78" t="b">
        <f t="shared" si="944"/>
        <v>0</v>
      </c>
      <c r="AO872" s="78" t="b">
        <f t="shared" si="945"/>
        <v>0</v>
      </c>
    </row>
    <row r="873" spans="7:41" x14ac:dyDescent="0.35">
      <c r="G873" s="77">
        <f t="shared" si="915"/>
        <v>0</v>
      </c>
      <c r="H873" s="78">
        <f t="shared" si="916"/>
        <v>0</v>
      </c>
      <c r="I873" s="77">
        <f t="shared" si="917"/>
        <v>0</v>
      </c>
      <c r="J873" s="78">
        <f t="shared" si="918"/>
        <v>0</v>
      </c>
      <c r="K873" s="78" t="str">
        <f t="shared" si="919"/>
        <v>1900-01-00 00:0:00</v>
      </c>
      <c r="L873" s="78" t="str">
        <f t="shared" si="920"/>
        <v>1900-01-00 00:0:00</v>
      </c>
      <c r="M873" s="79">
        <f t="shared" si="921"/>
        <v>0</v>
      </c>
      <c r="N873">
        <f t="shared" si="946"/>
        <v>1</v>
      </c>
      <c r="O873" t="str">
        <f>IFERROR(_xlfn.XLOOKUP(A873,HC!A:A,HC!C:C),"")</f>
        <v>Workforce</v>
      </c>
      <c r="R873" s="78" t="b">
        <f t="shared" si="922"/>
        <v>0</v>
      </c>
      <c r="S873" s="78" t="b">
        <f t="shared" si="923"/>
        <v>0</v>
      </c>
      <c r="T873" s="78" t="b">
        <f t="shared" si="924"/>
        <v>0</v>
      </c>
      <c r="U873" s="78" t="b">
        <f t="shared" si="925"/>
        <v>0</v>
      </c>
      <c r="V873" s="78" t="b">
        <f t="shared" si="926"/>
        <v>0</v>
      </c>
      <c r="W873" s="78" t="b">
        <f t="shared" si="927"/>
        <v>0</v>
      </c>
      <c r="X873" s="78" t="b">
        <f t="shared" si="928"/>
        <v>0</v>
      </c>
      <c r="Y873" s="78" t="b">
        <f t="shared" si="929"/>
        <v>0</v>
      </c>
      <c r="Z873" s="78" t="b">
        <f t="shared" si="930"/>
        <v>0</v>
      </c>
      <c r="AA873" s="78" t="b">
        <f t="shared" si="931"/>
        <v>0</v>
      </c>
      <c r="AB873" s="78" t="b">
        <f t="shared" si="932"/>
        <v>0</v>
      </c>
      <c r="AC873" s="78" t="b">
        <f t="shared" si="933"/>
        <v>0</v>
      </c>
      <c r="AD873" s="78" t="b">
        <f t="shared" si="934"/>
        <v>0</v>
      </c>
      <c r="AE873" s="78" t="b">
        <f t="shared" si="935"/>
        <v>0</v>
      </c>
      <c r="AF873" s="78" t="b">
        <f t="shared" si="936"/>
        <v>0</v>
      </c>
      <c r="AG873" s="78" t="b">
        <f t="shared" si="937"/>
        <v>0</v>
      </c>
      <c r="AH873" s="78" t="b">
        <f t="shared" si="938"/>
        <v>0</v>
      </c>
      <c r="AI873" s="78" t="b">
        <f t="shared" si="939"/>
        <v>0</v>
      </c>
      <c r="AJ873" s="78" t="b">
        <f t="shared" si="940"/>
        <v>0</v>
      </c>
      <c r="AK873" s="78" t="b">
        <f t="shared" si="941"/>
        <v>0</v>
      </c>
      <c r="AL873" s="78" t="b">
        <f t="shared" si="942"/>
        <v>0</v>
      </c>
      <c r="AM873" s="78" t="b">
        <f t="shared" si="943"/>
        <v>0</v>
      </c>
      <c r="AN873" s="78" t="b">
        <f t="shared" si="944"/>
        <v>0</v>
      </c>
      <c r="AO873" s="78" t="b">
        <f t="shared" si="945"/>
        <v>0</v>
      </c>
    </row>
    <row r="874" spans="7:41" x14ac:dyDescent="0.35">
      <c r="G874" s="77">
        <f t="shared" si="915"/>
        <v>0</v>
      </c>
      <c r="H874" s="78">
        <f t="shared" si="916"/>
        <v>0</v>
      </c>
      <c r="I874" s="77">
        <f t="shared" si="917"/>
        <v>0</v>
      </c>
      <c r="J874" s="78">
        <f t="shared" si="918"/>
        <v>0</v>
      </c>
      <c r="K874" s="78" t="str">
        <f t="shared" si="919"/>
        <v>1900-01-00 00:0:00</v>
      </c>
      <c r="L874" s="78" t="str">
        <f t="shared" si="920"/>
        <v>1900-01-00 00:0:00</v>
      </c>
      <c r="M874" s="79">
        <f t="shared" si="921"/>
        <v>0</v>
      </c>
      <c r="N874">
        <f t="shared" si="946"/>
        <v>1</v>
      </c>
      <c r="O874" t="str">
        <f>IFERROR(_xlfn.XLOOKUP(A874,HC!A:A,HC!C:C),"")</f>
        <v>Workforce</v>
      </c>
      <c r="R874" s="78" t="b">
        <f t="shared" si="922"/>
        <v>0</v>
      </c>
      <c r="S874" s="78" t="b">
        <f t="shared" si="923"/>
        <v>0</v>
      </c>
      <c r="T874" s="78" t="b">
        <f t="shared" si="924"/>
        <v>0</v>
      </c>
      <c r="U874" s="78" t="b">
        <f t="shared" si="925"/>
        <v>0</v>
      </c>
      <c r="V874" s="78" t="b">
        <f t="shared" si="926"/>
        <v>0</v>
      </c>
      <c r="W874" s="78" t="b">
        <f t="shared" si="927"/>
        <v>0</v>
      </c>
      <c r="X874" s="78" t="b">
        <f t="shared" si="928"/>
        <v>0</v>
      </c>
      <c r="Y874" s="78" t="b">
        <f t="shared" si="929"/>
        <v>0</v>
      </c>
      <c r="Z874" s="78" t="b">
        <f t="shared" si="930"/>
        <v>0</v>
      </c>
      <c r="AA874" s="78" t="b">
        <f t="shared" si="931"/>
        <v>0</v>
      </c>
      <c r="AB874" s="78" t="b">
        <f t="shared" si="932"/>
        <v>0</v>
      </c>
      <c r="AC874" s="78" t="b">
        <f t="shared" si="933"/>
        <v>0</v>
      </c>
      <c r="AD874" s="78" t="b">
        <f t="shared" si="934"/>
        <v>0</v>
      </c>
      <c r="AE874" s="78" t="b">
        <f t="shared" si="935"/>
        <v>0</v>
      </c>
      <c r="AF874" s="78" t="b">
        <f t="shared" si="936"/>
        <v>0</v>
      </c>
      <c r="AG874" s="78" t="b">
        <f t="shared" si="937"/>
        <v>0</v>
      </c>
      <c r="AH874" s="78" t="b">
        <f t="shared" si="938"/>
        <v>0</v>
      </c>
      <c r="AI874" s="78" t="b">
        <f t="shared" si="939"/>
        <v>0</v>
      </c>
      <c r="AJ874" s="78" t="b">
        <f t="shared" si="940"/>
        <v>0</v>
      </c>
      <c r="AK874" s="78" t="b">
        <f t="shared" si="941"/>
        <v>0</v>
      </c>
      <c r="AL874" s="78" t="b">
        <f t="shared" si="942"/>
        <v>0</v>
      </c>
      <c r="AM874" s="78" t="b">
        <f t="shared" si="943"/>
        <v>0</v>
      </c>
      <c r="AN874" s="78" t="b">
        <f t="shared" si="944"/>
        <v>0</v>
      </c>
      <c r="AO874" s="78" t="b">
        <f t="shared" si="945"/>
        <v>0</v>
      </c>
    </row>
    <row r="875" spans="7:41" x14ac:dyDescent="0.35">
      <c r="G875" s="77">
        <f t="shared" si="915"/>
        <v>0</v>
      </c>
      <c r="H875" s="78">
        <f t="shared" si="916"/>
        <v>0</v>
      </c>
      <c r="I875" s="77">
        <f t="shared" si="917"/>
        <v>0</v>
      </c>
      <c r="J875" s="78">
        <f t="shared" si="918"/>
        <v>0</v>
      </c>
      <c r="K875" s="78" t="str">
        <f t="shared" si="919"/>
        <v>1900-01-00 00:0:00</v>
      </c>
      <c r="L875" s="78" t="str">
        <f t="shared" si="920"/>
        <v>1900-01-00 00:0:00</v>
      </c>
      <c r="M875" s="79">
        <f t="shared" si="921"/>
        <v>0</v>
      </c>
      <c r="N875">
        <f t="shared" si="946"/>
        <v>1</v>
      </c>
      <c r="O875" t="str">
        <f>IFERROR(_xlfn.XLOOKUP(A875,HC!A:A,HC!C:C),"")</f>
        <v>Workforce</v>
      </c>
      <c r="R875" s="78" t="b">
        <f t="shared" si="922"/>
        <v>0</v>
      </c>
      <c r="S875" s="78" t="b">
        <f t="shared" si="923"/>
        <v>0</v>
      </c>
      <c r="T875" s="78" t="b">
        <f t="shared" si="924"/>
        <v>0</v>
      </c>
      <c r="U875" s="78" t="b">
        <f t="shared" si="925"/>
        <v>0</v>
      </c>
      <c r="V875" s="78" t="b">
        <f t="shared" si="926"/>
        <v>0</v>
      </c>
      <c r="W875" s="78" t="b">
        <f t="shared" si="927"/>
        <v>0</v>
      </c>
      <c r="X875" s="78" t="b">
        <f t="shared" si="928"/>
        <v>0</v>
      </c>
      <c r="Y875" s="78" t="b">
        <f t="shared" si="929"/>
        <v>0</v>
      </c>
      <c r="Z875" s="78" t="b">
        <f t="shared" si="930"/>
        <v>0</v>
      </c>
      <c r="AA875" s="78" t="b">
        <f t="shared" si="931"/>
        <v>0</v>
      </c>
      <c r="AB875" s="78" t="b">
        <f t="shared" si="932"/>
        <v>0</v>
      </c>
      <c r="AC875" s="78" t="b">
        <f t="shared" si="933"/>
        <v>0</v>
      </c>
      <c r="AD875" s="78" t="b">
        <f t="shared" si="934"/>
        <v>0</v>
      </c>
      <c r="AE875" s="78" t="b">
        <f t="shared" si="935"/>
        <v>0</v>
      </c>
      <c r="AF875" s="78" t="b">
        <f t="shared" si="936"/>
        <v>0</v>
      </c>
      <c r="AG875" s="78" t="b">
        <f t="shared" si="937"/>
        <v>0</v>
      </c>
      <c r="AH875" s="78" t="b">
        <f t="shared" si="938"/>
        <v>0</v>
      </c>
      <c r="AI875" s="78" t="b">
        <f t="shared" si="939"/>
        <v>0</v>
      </c>
      <c r="AJ875" s="78" t="b">
        <f t="shared" si="940"/>
        <v>0</v>
      </c>
      <c r="AK875" s="78" t="b">
        <f t="shared" si="941"/>
        <v>0</v>
      </c>
      <c r="AL875" s="78" t="b">
        <f t="shared" si="942"/>
        <v>0</v>
      </c>
      <c r="AM875" s="78" t="b">
        <f t="shared" si="943"/>
        <v>0</v>
      </c>
      <c r="AN875" s="78" t="b">
        <f t="shared" si="944"/>
        <v>0</v>
      </c>
      <c r="AO875" s="78" t="b">
        <f t="shared" si="945"/>
        <v>0</v>
      </c>
    </row>
    <row r="876" spans="7:41" x14ac:dyDescent="0.35">
      <c r="G876" s="77">
        <f t="shared" si="915"/>
        <v>0</v>
      </c>
      <c r="H876" s="78">
        <f t="shared" si="916"/>
        <v>0</v>
      </c>
      <c r="I876" s="77">
        <f t="shared" si="917"/>
        <v>0</v>
      </c>
      <c r="J876" s="78">
        <f t="shared" si="918"/>
        <v>0</v>
      </c>
      <c r="K876" s="78" t="str">
        <f t="shared" si="919"/>
        <v>1900-01-00 00:0:00</v>
      </c>
      <c r="L876" s="78" t="str">
        <f t="shared" si="920"/>
        <v>1900-01-00 00:0:00</v>
      </c>
      <c r="M876" s="79">
        <f t="shared" si="921"/>
        <v>0</v>
      </c>
      <c r="N876">
        <f t="shared" si="946"/>
        <v>1</v>
      </c>
      <c r="O876" t="str">
        <f>IFERROR(_xlfn.XLOOKUP(A876,HC!A:A,HC!C:C),"")</f>
        <v>Workforce</v>
      </c>
      <c r="R876" s="78" t="b">
        <f t="shared" si="922"/>
        <v>0</v>
      </c>
      <c r="S876" s="78" t="b">
        <f t="shared" si="923"/>
        <v>0</v>
      </c>
      <c r="T876" s="78" t="b">
        <f t="shared" si="924"/>
        <v>0</v>
      </c>
      <c r="U876" s="78" t="b">
        <f t="shared" si="925"/>
        <v>0</v>
      </c>
      <c r="V876" s="78" t="b">
        <f t="shared" si="926"/>
        <v>0</v>
      </c>
      <c r="W876" s="78" t="b">
        <f t="shared" si="927"/>
        <v>0</v>
      </c>
      <c r="X876" s="78" t="b">
        <f t="shared" si="928"/>
        <v>0</v>
      </c>
      <c r="Y876" s="78" t="b">
        <f t="shared" si="929"/>
        <v>0</v>
      </c>
      <c r="Z876" s="78" t="b">
        <f t="shared" si="930"/>
        <v>0</v>
      </c>
      <c r="AA876" s="78" t="b">
        <f t="shared" si="931"/>
        <v>0</v>
      </c>
      <c r="AB876" s="78" t="b">
        <f t="shared" si="932"/>
        <v>0</v>
      </c>
      <c r="AC876" s="78" t="b">
        <f t="shared" si="933"/>
        <v>0</v>
      </c>
      <c r="AD876" s="78" t="b">
        <f t="shared" si="934"/>
        <v>0</v>
      </c>
      <c r="AE876" s="78" t="b">
        <f t="shared" si="935"/>
        <v>0</v>
      </c>
      <c r="AF876" s="78" t="b">
        <f t="shared" si="936"/>
        <v>0</v>
      </c>
      <c r="AG876" s="78" t="b">
        <f t="shared" si="937"/>
        <v>0</v>
      </c>
      <c r="AH876" s="78" t="b">
        <f t="shared" si="938"/>
        <v>0</v>
      </c>
      <c r="AI876" s="78" t="b">
        <f t="shared" si="939"/>
        <v>0</v>
      </c>
      <c r="AJ876" s="78" t="b">
        <f t="shared" si="940"/>
        <v>0</v>
      </c>
      <c r="AK876" s="78" t="b">
        <f t="shared" si="941"/>
        <v>0</v>
      </c>
      <c r="AL876" s="78" t="b">
        <f t="shared" si="942"/>
        <v>0</v>
      </c>
      <c r="AM876" s="78" t="b">
        <f t="shared" si="943"/>
        <v>0</v>
      </c>
      <c r="AN876" s="78" t="b">
        <f t="shared" si="944"/>
        <v>0</v>
      </c>
      <c r="AO876" s="78" t="b">
        <f t="shared" si="945"/>
        <v>0</v>
      </c>
    </row>
    <row r="877" spans="7:41" x14ac:dyDescent="0.35">
      <c r="G877" s="77">
        <f t="shared" si="915"/>
        <v>0</v>
      </c>
      <c r="H877" s="78">
        <f t="shared" si="916"/>
        <v>0</v>
      </c>
      <c r="I877" s="77">
        <f t="shared" si="917"/>
        <v>0</v>
      </c>
      <c r="J877" s="78">
        <f t="shared" si="918"/>
        <v>0</v>
      </c>
      <c r="K877" s="78" t="str">
        <f t="shared" si="919"/>
        <v>1900-01-00 00:0:00</v>
      </c>
      <c r="L877" s="78" t="str">
        <f t="shared" si="920"/>
        <v>1900-01-00 00:0:00</v>
      </c>
      <c r="M877" s="79">
        <f t="shared" si="921"/>
        <v>0</v>
      </c>
      <c r="N877">
        <f t="shared" si="946"/>
        <v>1</v>
      </c>
      <c r="O877" t="str">
        <f>IFERROR(_xlfn.XLOOKUP(A877,HC!A:A,HC!C:C),"")</f>
        <v>Workforce</v>
      </c>
      <c r="R877" s="78" t="b">
        <f t="shared" si="922"/>
        <v>0</v>
      </c>
      <c r="S877" s="78" t="b">
        <f t="shared" si="923"/>
        <v>0</v>
      </c>
      <c r="T877" s="78" t="b">
        <f t="shared" si="924"/>
        <v>0</v>
      </c>
      <c r="U877" s="78" t="b">
        <f t="shared" si="925"/>
        <v>0</v>
      </c>
      <c r="V877" s="78" t="b">
        <f t="shared" si="926"/>
        <v>0</v>
      </c>
      <c r="W877" s="78" t="b">
        <f t="shared" si="927"/>
        <v>0</v>
      </c>
      <c r="X877" s="78" t="b">
        <f t="shared" si="928"/>
        <v>0</v>
      </c>
      <c r="Y877" s="78" t="b">
        <f t="shared" si="929"/>
        <v>0</v>
      </c>
      <c r="Z877" s="78" t="b">
        <f t="shared" si="930"/>
        <v>0</v>
      </c>
      <c r="AA877" s="78" t="b">
        <f t="shared" si="931"/>
        <v>0</v>
      </c>
      <c r="AB877" s="78" t="b">
        <f t="shared" si="932"/>
        <v>0</v>
      </c>
      <c r="AC877" s="78" t="b">
        <f t="shared" si="933"/>
        <v>0</v>
      </c>
      <c r="AD877" s="78" t="b">
        <f t="shared" si="934"/>
        <v>0</v>
      </c>
      <c r="AE877" s="78" t="b">
        <f t="shared" si="935"/>
        <v>0</v>
      </c>
      <c r="AF877" s="78" t="b">
        <f t="shared" si="936"/>
        <v>0</v>
      </c>
      <c r="AG877" s="78" t="b">
        <f t="shared" si="937"/>
        <v>0</v>
      </c>
      <c r="AH877" s="78" t="b">
        <f t="shared" si="938"/>
        <v>0</v>
      </c>
      <c r="AI877" s="78" t="b">
        <f t="shared" si="939"/>
        <v>0</v>
      </c>
      <c r="AJ877" s="78" t="b">
        <f t="shared" si="940"/>
        <v>0</v>
      </c>
      <c r="AK877" s="78" t="b">
        <f t="shared" si="941"/>
        <v>0</v>
      </c>
      <c r="AL877" s="78" t="b">
        <f t="shared" si="942"/>
        <v>0</v>
      </c>
      <c r="AM877" s="78" t="b">
        <f t="shared" si="943"/>
        <v>0</v>
      </c>
      <c r="AN877" s="78" t="b">
        <f t="shared" si="944"/>
        <v>0</v>
      </c>
      <c r="AO877" s="78" t="b">
        <f t="shared" si="945"/>
        <v>0</v>
      </c>
    </row>
    <row r="878" spans="7:41" x14ac:dyDescent="0.35">
      <c r="G878" s="77">
        <f t="shared" si="915"/>
        <v>0</v>
      </c>
      <c r="H878" s="78">
        <f t="shared" si="916"/>
        <v>0</v>
      </c>
      <c r="I878" s="77">
        <f t="shared" si="917"/>
        <v>0</v>
      </c>
      <c r="J878" s="78">
        <f t="shared" si="918"/>
        <v>0</v>
      </c>
      <c r="K878" s="78" t="str">
        <f t="shared" si="919"/>
        <v>1900-01-00 00:0:00</v>
      </c>
      <c r="L878" s="78" t="str">
        <f t="shared" si="920"/>
        <v>1900-01-00 00:0:00</v>
      </c>
      <c r="M878" s="79">
        <f t="shared" si="921"/>
        <v>0</v>
      </c>
      <c r="N878">
        <f t="shared" si="946"/>
        <v>1</v>
      </c>
      <c r="O878" t="str">
        <f>IFERROR(_xlfn.XLOOKUP(A878,HC!A:A,HC!C:C),"")</f>
        <v>Workforce</v>
      </c>
      <c r="R878" s="78" t="b">
        <f t="shared" si="922"/>
        <v>0</v>
      </c>
      <c r="S878" s="78" t="b">
        <f t="shared" si="923"/>
        <v>0</v>
      </c>
      <c r="T878" s="78" t="b">
        <f t="shared" si="924"/>
        <v>0</v>
      </c>
      <c r="U878" s="78" t="b">
        <f t="shared" si="925"/>
        <v>0</v>
      </c>
      <c r="V878" s="78" t="b">
        <f t="shared" si="926"/>
        <v>0</v>
      </c>
      <c r="W878" s="78" t="b">
        <f t="shared" si="927"/>
        <v>0</v>
      </c>
      <c r="X878" s="78" t="b">
        <f t="shared" si="928"/>
        <v>0</v>
      </c>
      <c r="Y878" s="78" t="b">
        <f t="shared" si="929"/>
        <v>0</v>
      </c>
      <c r="Z878" s="78" t="b">
        <f t="shared" si="930"/>
        <v>0</v>
      </c>
      <c r="AA878" s="78" t="b">
        <f t="shared" si="931"/>
        <v>0</v>
      </c>
      <c r="AB878" s="78" t="b">
        <f t="shared" si="932"/>
        <v>0</v>
      </c>
      <c r="AC878" s="78" t="b">
        <f t="shared" si="933"/>
        <v>0</v>
      </c>
      <c r="AD878" s="78" t="b">
        <f t="shared" si="934"/>
        <v>0</v>
      </c>
      <c r="AE878" s="78" t="b">
        <f t="shared" si="935"/>
        <v>0</v>
      </c>
      <c r="AF878" s="78" t="b">
        <f t="shared" si="936"/>
        <v>0</v>
      </c>
      <c r="AG878" s="78" t="b">
        <f t="shared" si="937"/>
        <v>0</v>
      </c>
      <c r="AH878" s="78" t="b">
        <f t="shared" si="938"/>
        <v>0</v>
      </c>
      <c r="AI878" s="78" t="b">
        <f t="shared" si="939"/>
        <v>0</v>
      </c>
      <c r="AJ878" s="78" t="b">
        <f t="shared" si="940"/>
        <v>0</v>
      </c>
      <c r="AK878" s="78" t="b">
        <f t="shared" si="941"/>
        <v>0</v>
      </c>
      <c r="AL878" s="78" t="b">
        <f t="shared" si="942"/>
        <v>0</v>
      </c>
      <c r="AM878" s="78" t="b">
        <f t="shared" si="943"/>
        <v>0</v>
      </c>
      <c r="AN878" s="78" t="b">
        <f t="shared" si="944"/>
        <v>0</v>
      </c>
      <c r="AO878" s="78" t="b">
        <f t="shared" si="945"/>
        <v>0</v>
      </c>
    </row>
    <row r="879" spans="7:41" x14ac:dyDescent="0.35">
      <c r="G879" s="77">
        <f t="shared" si="915"/>
        <v>0</v>
      </c>
      <c r="H879" s="78">
        <f t="shared" si="916"/>
        <v>0</v>
      </c>
      <c r="I879" s="77">
        <f t="shared" si="917"/>
        <v>0</v>
      </c>
      <c r="J879" s="78">
        <f t="shared" si="918"/>
        <v>0</v>
      </c>
      <c r="K879" s="78" t="str">
        <f t="shared" si="919"/>
        <v>1900-01-00 00:0:00</v>
      </c>
      <c r="L879" s="78" t="str">
        <f t="shared" si="920"/>
        <v>1900-01-00 00:0:00</v>
      </c>
      <c r="M879" s="79">
        <f t="shared" si="921"/>
        <v>0</v>
      </c>
      <c r="N879">
        <f t="shared" si="946"/>
        <v>1</v>
      </c>
      <c r="O879" t="str">
        <f>IFERROR(_xlfn.XLOOKUP(A879,HC!A:A,HC!C:C),"")</f>
        <v>Workforce</v>
      </c>
      <c r="R879" s="78" t="b">
        <f t="shared" si="922"/>
        <v>0</v>
      </c>
      <c r="S879" s="78" t="b">
        <f t="shared" si="923"/>
        <v>0</v>
      </c>
      <c r="T879" s="78" t="b">
        <f t="shared" si="924"/>
        <v>0</v>
      </c>
      <c r="U879" s="78" t="b">
        <f t="shared" si="925"/>
        <v>0</v>
      </c>
      <c r="V879" s="78" t="b">
        <f t="shared" si="926"/>
        <v>0</v>
      </c>
      <c r="W879" s="78" t="b">
        <f t="shared" si="927"/>
        <v>0</v>
      </c>
      <c r="X879" s="78" t="b">
        <f t="shared" si="928"/>
        <v>0</v>
      </c>
      <c r="Y879" s="78" t="b">
        <f t="shared" si="929"/>
        <v>0</v>
      </c>
      <c r="Z879" s="78" t="b">
        <f t="shared" si="930"/>
        <v>0</v>
      </c>
      <c r="AA879" s="78" t="b">
        <f t="shared" si="931"/>
        <v>0</v>
      </c>
      <c r="AB879" s="78" t="b">
        <f t="shared" si="932"/>
        <v>0</v>
      </c>
      <c r="AC879" s="78" t="b">
        <f t="shared" si="933"/>
        <v>0</v>
      </c>
      <c r="AD879" s="78" t="b">
        <f t="shared" si="934"/>
        <v>0</v>
      </c>
      <c r="AE879" s="78" t="b">
        <f t="shared" si="935"/>
        <v>0</v>
      </c>
      <c r="AF879" s="78" t="b">
        <f t="shared" si="936"/>
        <v>0</v>
      </c>
      <c r="AG879" s="78" t="b">
        <f t="shared" si="937"/>
        <v>0</v>
      </c>
      <c r="AH879" s="78" t="b">
        <f t="shared" si="938"/>
        <v>0</v>
      </c>
      <c r="AI879" s="78" t="b">
        <f t="shared" si="939"/>
        <v>0</v>
      </c>
      <c r="AJ879" s="78" t="b">
        <f t="shared" si="940"/>
        <v>0</v>
      </c>
      <c r="AK879" s="78" t="b">
        <f t="shared" si="941"/>
        <v>0</v>
      </c>
      <c r="AL879" s="78" t="b">
        <f t="shared" si="942"/>
        <v>0</v>
      </c>
      <c r="AM879" s="78" t="b">
        <f t="shared" si="943"/>
        <v>0</v>
      </c>
      <c r="AN879" s="78" t="b">
        <f t="shared" si="944"/>
        <v>0</v>
      </c>
      <c r="AO879" s="78" t="b">
        <f t="shared" si="945"/>
        <v>0</v>
      </c>
    </row>
    <row r="880" spans="7:41" x14ac:dyDescent="0.35">
      <c r="G880" s="77">
        <f t="shared" si="915"/>
        <v>0</v>
      </c>
      <c r="H880" s="78">
        <f t="shared" si="916"/>
        <v>0</v>
      </c>
      <c r="I880" s="77">
        <f t="shared" si="917"/>
        <v>0</v>
      </c>
      <c r="J880" s="78">
        <f t="shared" si="918"/>
        <v>0</v>
      </c>
      <c r="K880" s="78" t="str">
        <f t="shared" si="919"/>
        <v>1900-01-00 00:0:00</v>
      </c>
      <c r="L880" s="78" t="str">
        <f t="shared" si="920"/>
        <v>1900-01-00 00:0:00</v>
      </c>
      <c r="M880" s="79">
        <f t="shared" si="921"/>
        <v>0</v>
      </c>
      <c r="N880">
        <f t="shared" si="946"/>
        <v>1</v>
      </c>
      <c r="O880" t="str">
        <f>IFERROR(_xlfn.XLOOKUP(A880,HC!A:A,HC!C:C),"")</f>
        <v>Workforce</v>
      </c>
      <c r="R880" s="78" t="b">
        <f t="shared" si="922"/>
        <v>0</v>
      </c>
      <c r="S880" s="78" t="b">
        <f t="shared" si="923"/>
        <v>0</v>
      </c>
      <c r="T880" s="78" t="b">
        <f t="shared" si="924"/>
        <v>0</v>
      </c>
      <c r="U880" s="78" t="b">
        <f t="shared" si="925"/>
        <v>0</v>
      </c>
      <c r="V880" s="78" t="b">
        <f t="shared" si="926"/>
        <v>0</v>
      </c>
      <c r="W880" s="78" t="b">
        <f t="shared" si="927"/>
        <v>0</v>
      </c>
      <c r="X880" s="78" t="b">
        <f t="shared" si="928"/>
        <v>0</v>
      </c>
      <c r="Y880" s="78" t="b">
        <f t="shared" si="929"/>
        <v>0</v>
      </c>
      <c r="Z880" s="78" t="b">
        <f t="shared" si="930"/>
        <v>0</v>
      </c>
      <c r="AA880" s="78" t="b">
        <f t="shared" si="931"/>
        <v>0</v>
      </c>
      <c r="AB880" s="78" t="b">
        <f t="shared" si="932"/>
        <v>0</v>
      </c>
      <c r="AC880" s="78" t="b">
        <f t="shared" si="933"/>
        <v>0</v>
      </c>
      <c r="AD880" s="78" t="b">
        <f t="shared" si="934"/>
        <v>0</v>
      </c>
      <c r="AE880" s="78" t="b">
        <f t="shared" si="935"/>
        <v>0</v>
      </c>
      <c r="AF880" s="78" t="b">
        <f t="shared" si="936"/>
        <v>0</v>
      </c>
      <c r="AG880" s="78" t="b">
        <f t="shared" si="937"/>
        <v>0</v>
      </c>
      <c r="AH880" s="78" t="b">
        <f t="shared" si="938"/>
        <v>0</v>
      </c>
      <c r="AI880" s="78" t="b">
        <f t="shared" si="939"/>
        <v>0</v>
      </c>
      <c r="AJ880" s="78" t="b">
        <f t="shared" si="940"/>
        <v>0</v>
      </c>
      <c r="AK880" s="78" t="b">
        <f t="shared" si="941"/>
        <v>0</v>
      </c>
      <c r="AL880" s="78" t="b">
        <f t="shared" si="942"/>
        <v>0</v>
      </c>
      <c r="AM880" s="78" t="b">
        <f t="shared" si="943"/>
        <v>0</v>
      </c>
      <c r="AN880" s="78" t="b">
        <f t="shared" si="944"/>
        <v>0</v>
      </c>
      <c r="AO880" s="78" t="b">
        <f t="shared" si="945"/>
        <v>0</v>
      </c>
    </row>
    <row r="881" spans="7:41" x14ac:dyDescent="0.35">
      <c r="G881" s="77">
        <f t="shared" si="915"/>
        <v>0</v>
      </c>
      <c r="H881" s="78">
        <f t="shared" si="916"/>
        <v>0</v>
      </c>
      <c r="I881" s="77">
        <f t="shared" si="917"/>
        <v>0</v>
      </c>
      <c r="J881" s="78">
        <f t="shared" si="918"/>
        <v>0</v>
      </c>
      <c r="K881" s="78" t="str">
        <f t="shared" si="919"/>
        <v>1900-01-00 00:0:00</v>
      </c>
      <c r="L881" s="78" t="str">
        <f t="shared" si="920"/>
        <v>1900-01-00 00:0:00</v>
      </c>
      <c r="M881" s="79">
        <f t="shared" si="921"/>
        <v>0</v>
      </c>
      <c r="N881">
        <f t="shared" si="946"/>
        <v>1</v>
      </c>
      <c r="O881" t="str">
        <f>IFERROR(_xlfn.XLOOKUP(A881,HC!A:A,HC!C:C),"")</f>
        <v>Workforce</v>
      </c>
      <c r="R881" s="78" t="b">
        <f t="shared" si="922"/>
        <v>0</v>
      </c>
      <c r="S881" s="78" t="b">
        <f t="shared" si="923"/>
        <v>0</v>
      </c>
      <c r="T881" s="78" t="b">
        <f t="shared" si="924"/>
        <v>0</v>
      </c>
      <c r="U881" s="78" t="b">
        <f t="shared" si="925"/>
        <v>0</v>
      </c>
      <c r="V881" s="78" t="b">
        <f t="shared" si="926"/>
        <v>0</v>
      </c>
      <c r="W881" s="78" t="b">
        <f t="shared" si="927"/>
        <v>0</v>
      </c>
      <c r="X881" s="78" t="b">
        <f t="shared" si="928"/>
        <v>0</v>
      </c>
      <c r="Y881" s="78" t="b">
        <f t="shared" si="929"/>
        <v>0</v>
      </c>
      <c r="Z881" s="78" t="b">
        <f t="shared" si="930"/>
        <v>0</v>
      </c>
      <c r="AA881" s="78" t="b">
        <f t="shared" si="931"/>
        <v>0</v>
      </c>
      <c r="AB881" s="78" t="b">
        <f t="shared" si="932"/>
        <v>0</v>
      </c>
      <c r="AC881" s="78" t="b">
        <f t="shared" si="933"/>
        <v>0</v>
      </c>
      <c r="AD881" s="78" t="b">
        <f t="shared" si="934"/>
        <v>0</v>
      </c>
      <c r="AE881" s="78" t="b">
        <f t="shared" si="935"/>
        <v>0</v>
      </c>
      <c r="AF881" s="78" t="b">
        <f t="shared" si="936"/>
        <v>0</v>
      </c>
      <c r="AG881" s="78" t="b">
        <f t="shared" si="937"/>
        <v>0</v>
      </c>
      <c r="AH881" s="78" t="b">
        <f t="shared" si="938"/>
        <v>0</v>
      </c>
      <c r="AI881" s="78" t="b">
        <f t="shared" si="939"/>
        <v>0</v>
      </c>
      <c r="AJ881" s="78" t="b">
        <f t="shared" si="940"/>
        <v>0</v>
      </c>
      <c r="AK881" s="78" t="b">
        <f t="shared" si="941"/>
        <v>0</v>
      </c>
      <c r="AL881" s="78" t="b">
        <f t="shared" si="942"/>
        <v>0</v>
      </c>
      <c r="AM881" s="78" t="b">
        <f t="shared" si="943"/>
        <v>0</v>
      </c>
      <c r="AN881" s="78" t="b">
        <f t="shared" si="944"/>
        <v>0</v>
      </c>
      <c r="AO881" s="78" t="b">
        <f t="shared" si="945"/>
        <v>0</v>
      </c>
    </row>
    <row r="882" spans="7:41" x14ac:dyDescent="0.35">
      <c r="G882" s="77">
        <f t="shared" si="915"/>
        <v>0</v>
      </c>
      <c r="H882" s="78">
        <f t="shared" si="916"/>
        <v>0</v>
      </c>
      <c r="I882" s="77">
        <f t="shared" si="917"/>
        <v>0</v>
      </c>
      <c r="J882" s="78">
        <f t="shared" si="918"/>
        <v>0</v>
      </c>
      <c r="K882" s="78" t="str">
        <f t="shared" si="919"/>
        <v>1900-01-00 00:0:00</v>
      </c>
      <c r="L882" s="78" t="str">
        <f t="shared" si="920"/>
        <v>1900-01-00 00:0:00</v>
      </c>
      <c r="M882" s="79">
        <f t="shared" si="921"/>
        <v>0</v>
      </c>
      <c r="N882">
        <f t="shared" si="946"/>
        <v>1</v>
      </c>
      <c r="O882" t="str">
        <f>IFERROR(_xlfn.XLOOKUP(A882,HC!A:A,HC!C:C),"")</f>
        <v>Workforce</v>
      </c>
      <c r="R882" s="78" t="b">
        <f t="shared" si="922"/>
        <v>0</v>
      </c>
      <c r="S882" s="78" t="b">
        <f t="shared" si="923"/>
        <v>0</v>
      </c>
      <c r="T882" s="78" t="b">
        <f t="shared" si="924"/>
        <v>0</v>
      </c>
      <c r="U882" s="78" t="b">
        <f t="shared" si="925"/>
        <v>0</v>
      </c>
      <c r="V882" s="78" t="b">
        <f t="shared" si="926"/>
        <v>0</v>
      </c>
      <c r="W882" s="78" t="b">
        <f t="shared" si="927"/>
        <v>0</v>
      </c>
      <c r="X882" s="78" t="b">
        <f t="shared" si="928"/>
        <v>0</v>
      </c>
      <c r="Y882" s="78" t="b">
        <f t="shared" si="929"/>
        <v>0</v>
      </c>
      <c r="Z882" s="78" t="b">
        <f t="shared" si="930"/>
        <v>0</v>
      </c>
      <c r="AA882" s="78" t="b">
        <f t="shared" si="931"/>
        <v>0</v>
      </c>
      <c r="AB882" s="78" t="b">
        <f t="shared" si="932"/>
        <v>0</v>
      </c>
      <c r="AC882" s="78" t="b">
        <f t="shared" si="933"/>
        <v>0</v>
      </c>
      <c r="AD882" s="78" t="b">
        <f t="shared" si="934"/>
        <v>0</v>
      </c>
      <c r="AE882" s="78" t="b">
        <f t="shared" si="935"/>
        <v>0</v>
      </c>
      <c r="AF882" s="78" t="b">
        <f t="shared" si="936"/>
        <v>0</v>
      </c>
      <c r="AG882" s="78" t="b">
        <f t="shared" si="937"/>
        <v>0</v>
      </c>
      <c r="AH882" s="78" t="b">
        <f t="shared" si="938"/>
        <v>0</v>
      </c>
      <c r="AI882" s="78" t="b">
        <f t="shared" si="939"/>
        <v>0</v>
      </c>
      <c r="AJ882" s="78" t="b">
        <f t="shared" si="940"/>
        <v>0</v>
      </c>
      <c r="AK882" s="78" t="b">
        <f t="shared" si="941"/>
        <v>0</v>
      </c>
      <c r="AL882" s="78" t="b">
        <f t="shared" si="942"/>
        <v>0</v>
      </c>
      <c r="AM882" s="78" t="b">
        <f t="shared" si="943"/>
        <v>0</v>
      </c>
      <c r="AN882" s="78" t="b">
        <f t="shared" si="944"/>
        <v>0</v>
      </c>
      <c r="AO882" s="78" t="b">
        <f t="shared" si="945"/>
        <v>0</v>
      </c>
    </row>
    <row r="883" spans="7:41" x14ac:dyDescent="0.35">
      <c r="G883" s="77">
        <f t="shared" si="915"/>
        <v>0</v>
      </c>
      <c r="H883" s="78">
        <f t="shared" si="916"/>
        <v>0</v>
      </c>
      <c r="I883" s="77">
        <f t="shared" si="917"/>
        <v>0</v>
      </c>
      <c r="J883" s="78">
        <f t="shared" si="918"/>
        <v>0</v>
      </c>
      <c r="K883" s="78" t="str">
        <f t="shared" si="919"/>
        <v>1900-01-00 00:0:00</v>
      </c>
      <c r="L883" s="78" t="str">
        <f t="shared" si="920"/>
        <v>1900-01-00 00:0:00</v>
      </c>
      <c r="M883" s="79">
        <f t="shared" si="921"/>
        <v>0</v>
      </c>
      <c r="N883">
        <f t="shared" si="946"/>
        <v>1</v>
      </c>
      <c r="O883" t="str">
        <f>IFERROR(_xlfn.XLOOKUP(A883,HC!A:A,HC!C:C),"")</f>
        <v>Workforce</v>
      </c>
      <c r="R883" s="78" t="b">
        <f t="shared" si="922"/>
        <v>0</v>
      </c>
      <c r="S883" s="78" t="b">
        <f t="shared" si="923"/>
        <v>0</v>
      </c>
      <c r="T883" s="78" t="b">
        <f t="shared" si="924"/>
        <v>0</v>
      </c>
      <c r="U883" s="78" t="b">
        <f t="shared" si="925"/>
        <v>0</v>
      </c>
      <c r="V883" s="78" t="b">
        <f t="shared" si="926"/>
        <v>0</v>
      </c>
      <c r="W883" s="78" t="b">
        <f t="shared" si="927"/>
        <v>0</v>
      </c>
      <c r="X883" s="78" t="b">
        <f t="shared" si="928"/>
        <v>0</v>
      </c>
      <c r="Y883" s="78" t="b">
        <f t="shared" si="929"/>
        <v>0</v>
      </c>
      <c r="Z883" s="78" t="b">
        <f t="shared" si="930"/>
        <v>0</v>
      </c>
      <c r="AA883" s="78" t="b">
        <f t="shared" si="931"/>
        <v>0</v>
      </c>
      <c r="AB883" s="78" t="b">
        <f t="shared" si="932"/>
        <v>0</v>
      </c>
      <c r="AC883" s="78" t="b">
        <f t="shared" si="933"/>
        <v>0</v>
      </c>
      <c r="AD883" s="78" t="b">
        <f t="shared" si="934"/>
        <v>0</v>
      </c>
      <c r="AE883" s="78" t="b">
        <f t="shared" si="935"/>
        <v>0</v>
      </c>
      <c r="AF883" s="78" t="b">
        <f t="shared" si="936"/>
        <v>0</v>
      </c>
      <c r="AG883" s="78" t="b">
        <f t="shared" si="937"/>
        <v>0</v>
      </c>
      <c r="AH883" s="78" t="b">
        <f t="shared" si="938"/>
        <v>0</v>
      </c>
      <c r="AI883" s="78" t="b">
        <f t="shared" si="939"/>
        <v>0</v>
      </c>
      <c r="AJ883" s="78" t="b">
        <f t="shared" si="940"/>
        <v>0</v>
      </c>
      <c r="AK883" s="78" t="b">
        <f t="shared" si="941"/>
        <v>0</v>
      </c>
      <c r="AL883" s="78" t="b">
        <f t="shared" si="942"/>
        <v>0</v>
      </c>
      <c r="AM883" s="78" t="b">
        <f t="shared" si="943"/>
        <v>0</v>
      </c>
      <c r="AN883" s="78" t="b">
        <f t="shared" si="944"/>
        <v>0</v>
      </c>
      <c r="AO883" s="78" t="b">
        <f t="shared" si="945"/>
        <v>0</v>
      </c>
    </row>
    <row r="884" spans="7:41" x14ac:dyDescent="0.35">
      <c r="G884" s="77">
        <f t="shared" si="915"/>
        <v>0</v>
      </c>
      <c r="H884" s="78">
        <f t="shared" si="916"/>
        <v>0</v>
      </c>
      <c r="I884" s="77">
        <f t="shared" si="917"/>
        <v>0</v>
      </c>
      <c r="J884" s="78">
        <f t="shared" si="918"/>
        <v>0</v>
      </c>
      <c r="K884" s="78" t="str">
        <f t="shared" si="919"/>
        <v>1900-01-00 00:0:00</v>
      </c>
      <c r="L884" s="78" t="str">
        <f t="shared" si="920"/>
        <v>1900-01-00 00:0:00</v>
      </c>
      <c r="M884" s="79">
        <f t="shared" si="921"/>
        <v>0</v>
      </c>
      <c r="N884">
        <f t="shared" si="946"/>
        <v>1</v>
      </c>
      <c r="O884" t="str">
        <f>IFERROR(_xlfn.XLOOKUP(A884,HC!A:A,HC!C:C),"")</f>
        <v>Workforce</v>
      </c>
      <c r="R884" s="78" t="b">
        <f t="shared" si="922"/>
        <v>0</v>
      </c>
      <c r="S884" s="78" t="b">
        <f t="shared" si="923"/>
        <v>0</v>
      </c>
      <c r="T884" s="78" t="b">
        <f t="shared" si="924"/>
        <v>0</v>
      </c>
      <c r="U884" s="78" t="b">
        <f t="shared" si="925"/>
        <v>0</v>
      </c>
      <c r="V884" s="78" t="b">
        <f t="shared" si="926"/>
        <v>0</v>
      </c>
      <c r="W884" s="78" t="b">
        <f t="shared" si="927"/>
        <v>0</v>
      </c>
      <c r="X884" s="78" t="b">
        <f t="shared" si="928"/>
        <v>0</v>
      </c>
      <c r="Y884" s="78" t="b">
        <f t="shared" si="929"/>
        <v>0</v>
      </c>
      <c r="Z884" s="78" t="b">
        <f t="shared" si="930"/>
        <v>0</v>
      </c>
      <c r="AA884" s="78" t="b">
        <f t="shared" si="931"/>
        <v>0</v>
      </c>
      <c r="AB884" s="78" t="b">
        <f t="shared" si="932"/>
        <v>0</v>
      </c>
      <c r="AC884" s="78" t="b">
        <f t="shared" si="933"/>
        <v>0</v>
      </c>
      <c r="AD884" s="78" t="b">
        <f t="shared" si="934"/>
        <v>0</v>
      </c>
      <c r="AE884" s="78" t="b">
        <f t="shared" si="935"/>
        <v>0</v>
      </c>
      <c r="AF884" s="78" t="b">
        <f t="shared" si="936"/>
        <v>0</v>
      </c>
      <c r="AG884" s="78" t="b">
        <f t="shared" si="937"/>
        <v>0</v>
      </c>
      <c r="AH884" s="78" t="b">
        <f t="shared" si="938"/>
        <v>0</v>
      </c>
      <c r="AI884" s="78" t="b">
        <f t="shared" si="939"/>
        <v>0</v>
      </c>
      <c r="AJ884" s="78" t="b">
        <f t="shared" si="940"/>
        <v>0</v>
      </c>
      <c r="AK884" s="78" t="b">
        <f t="shared" si="941"/>
        <v>0</v>
      </c>
      <c r="AL884" s="78" t="b">
        <f t="shared" si="942"/>
        <v>0</v>
      </c>
      <c r="AM884" s="78" t="b">
        <f t="shared" si="943"/>
        <v>0</v>
      </c>
      <c r="AN884" s="78" t="b">
        <f t="shared" si="944"/>
        <v>0</v>
      </c>
      <c r="AO884" s="78" t="b">
        <f t="shared" si="945"/>
        <v>0</v>
      </c>
    </row>
    <row r="885" spans="7:41" x14ac:dyDescent="0.35">
      <c r="G885" s="77">
        <f t="shared" si="915"/>
        <v>0</v>
      </c>
      <c r="H885" s="78">
        <f t="shared" si="916"/>
        <v>0</v>
      </c>
      <c r="I885" s="77">
        <f t="shared" si="917"/>
        <v>0</v>
      </c>
      <c r="J885" s="78">
        <f t="shared" si="918"/>
        <v>0</v>
      </c>
      <c r="K885" s="78" t="str">
        <f t="shared" si="919"/>
        <v>1900-01-00 00:0:00</v>
      </c>
      <c r="L885" s="78" t="str">
        <f t="shared" si="920"/>
        <v>1900-01-00 00:0:00</v>
      </c>
      <c r="M885" s="79">
        <f t="shared" si="921"/>
        <v>0</v>
      </c>
      <c r="N885">
        <f t="shared" si="946"/>
        <v>1</v>
      </c>
      <c r="O885" t="str">
        <f>IFERROR(_xlfn.XLOOKUP(A885,HC!A:A,HC!C:C),"")</f>
        <v>Workforce</v>
      </c>
      <c r="R885" s="78" t="b">
        <f t="shared" si="922"/>
        <v>0</v>
      </c>
      <c r="S885" s="78" t="b">
        <f t="shared" si="923"/>
        <v>0</v>
      </c>
      <c r="T885" s="78" t="b">
        <f t="shared" si="924"/>
        <v>0</v>
      </c>
      <c r="U885" s="78" t="b">
        <f t="shared" si="925"/>
        <v>0</v>
      </c>
      <c r="V885" s="78" t="b">
        <f t="shared" si="926"/>
        <v>0</v>
      </c>
      <c r="W885" s="78" t="b">
        <f t="shared" si="927"/>
        <v>0</v>
      </c>
      <c r="X885" s="78" t="b">
        <f t="shared" si="928"/>
        <v>0</v>
      </c>
      <c r="Y885" s="78" t="b">
        <f t="shared" si="929"/>
        <v>0</v>
      </c>
      <c r="Z885" s="78" t="b">
        <f t="shared" si="930"/>
        <v>0</v>
      </c>
      <c r="AA885" s="78" t="b">
        <f t="shared" si="931"/>
        <v>0</v>
      </c>
      <c r="AB885" s="78" t="b">
        <f t="shared" si="932"/>
        <v>0</v>
      </c>
      <c r="AC885" s="78" t="b">
        <f t="shared" si="933"/>
        <v>0</v>
      </c>
      <c r="AD885" s="78" t="b">
        <f t="shared" si="934"/>
        <v>0</v>
      </c>
      <c r="AE885" s="78" t="b">
        <f t="shared" si="935"/>
        <v>0</v>
      </c>
      <c r="AF885" s="78" t="b">
        <f t="shared" si="936"/>
        <v>0</v>
      </c>
      <c r="AG885" s="78" t="b">
        <f t="shared" si="937"/>
        <v>0</v>
      </c>
      <c r="AH885" s="78" t="b">
        <f t="shared" si="938"/>
        <v>0</v>
      </c>
      <c r="AI885" s="78" t="b">
        <f t="shared" si="939"/>
        <v>0</v>
      </c>
      <c r="AJ885" s="78" t="b">
        <f t="shared" si="940"/>
        <v>0</v>
      </c>
      <c r="AK885" s="78" t="b">
        <f t="shared" si="941"/>
        <v>0</v>
      </c>
      <c r="AL885" s="78" t="b">
        <f t="shared" si="942"/>
        <v>0</v>
      </c>
      <c r="AM885" s="78" t="b">
        <f t="shared" si="943"/>
        <v>0</v>
      </c>
      <c r="AN885" s="78" t="b">
        <f t="shared" si="944"/>
        <v>0</v>
      </c>
      <c r="AO885" s="78" t="b">
        <f t="shared" si="945"/>
        <v>0</v>
      </c>
    </row>
    <row r="886" spans="7:41" x14ac:dyDescent="0.35">
      <c r="G886" s="77">
        <f t="shared" si="915"/>
        <v>0</v>
      </c>
      <c r="H886" s="78">
        <f t="shared" si="916"/>
        <v>0</v>
      </c>
      <c r="I886" s="77">
        <f t="shared" si="917"/>
        <v>0</v>
      </c>
      <c r="J886" s="78">
        <f t="shared" si="918"/>
        <v>0</v>
      </c>
      <c r="K886" s="78" t="str">
        <f t="shared" si="919"/>
        <v>1900-01-00 00:0:00</v>
      </c>
      <c r="L886" s="78" t="str">
        <f t="shared" si="920"/>
        <v>1900-01-00 00:0:00</v>
      </c>
      <c r="M886" s="79">
        <f t="shared" si="921"/>
        <v>0</v>
      </c>
      <c r="N886">
        <f t="shared" si="946"/>
        <v>1</v>
      </c>
      <c r="O886" t="str">
        <f>IFERROR(_xlfn.XLOOKUP(A886,HC!A:A,HC!C:C),"")</f>
        <v>Workforce</v>
      </c>
      <c r="R886" s="78" t="b">
        <f t="shared" si="922"/>
        <v>0</v>
      </c>
      <c r="S886" s="78" t="b">
        <f t="shared" si="923"/>
        <v>0</v>
      </c>
      <c r="T886" s="78" t="b">
        <f t="shared" si="924"/>
        <v>0</v>
      </c>
      <c r="U886" s="78" t="b">
        <f t="shared" si="925"/>
        <v>0</v>
      </c>
      <c r="V886" s="78" t="b">
        <f t="shared" si="926"/>
        <v>0</v>
      </c>
      <c r="W886" s="78" t="b">
        <f t="shared" si="927"/>
        <v>0</v>
      </c>
      <c r="X886" s="78" t="b">
        <f t="shared" si="928"/>
        <v>0</v>
      </c>
      <c r="Y886" s="78" t="b">
        <f t="shared" si="929"/>
        <v>0</v>
      </c>
      <c r="Z886" s="78" t="b">
        <f t="shared" si="930"/>
        <v>0</v>
      </c>
      <c r="AA886" s="78" t="b">
        <f t="shared" si="931"/>
        <v>0</v>
      </c>
      <c r="AB886" s="78" t="b">
        <f t="shared" si="932"/>
        <v>0</v>
      </c>
      <c r="AC886" s="78" t="b">
        <f t="shared" si="933"/>
        <v>0</v>
      </c>
      <c r="AD886" s="78" t="b">
        <f t="shared" si="934"/>
        <v>0</v>
      </c>
      <c r="AE886" s="78" t="b">
        <f t="shared" si="935"/>
        <v>0</v>
      </c>
      <c r="AF886" s="78" t="b">
        <f t="shared" si="936"/>
        <v>0</v>
      </c>
      <c r="AG886" s="78" t="b">
        <f t="shared" si="937"/>
        <v>0</v>
      </c>
      <c r="AH886" s="78" t="b">
        <f t="shared" si="938"/>
        <v>0</v>
      </c>
      <c r="AI886" s="78" t="b">
        <f t="shared" si="939"/>
        <v>0</v>
      </c>
      <c r="AJ886" s="78" t="b">
        <f t="shared" si="940"/>
        <v>0</v>
      </c>
      <c r="AK886" s="78" t="b">
        <f t="shared" si="941"/>
        <v>0</v>
      </c>
      <c r="AL886" s="78" t="b">
        <f t="shared" si="942"/>
        <v>0</v>
      </c>
      <c r="AM886" s="78" t="b">
        <f t="shared" si="943"/>
        <v>0</v>
      </c>
      <c r="AN886" s="78" t="b">
        <f t="shared" si="944"/>
        <v>0</v>
      </c>
      <c r="AO886" s="78" t="b">
        <f t="shared" si="945"/>
        <v>0</v>
      </c>
    </row>
    <row r="887" spans="7:41" x14ac:dyDescent="0.35">
      <c r="G887" s="77">
        <f t="shared" si="915"/>
        <v>0</v>
      </c>
      <c r="H887" s="78">
        <f t="shared" si="916"/>
        <v>0</v>
      </c>
      <c r="I887" s="77">
        <f t="shared" si="917"/>
        <v>0</v>
      </c>
      <c r="J887" s="78">
        <f t="shared" si="918"/>
        <v>0</v>
      </c>
      <c r="K887" s="78" t="str">
        <f t="shared" si="919"/>
        <v>1900-01-00 00:0:00</v>
      </c>
      <c r="L887" s="78" t="str">
        <f t="shared" si="920"/>
        <v>1900-01-00 00:0:00</v>
      </c>
      <c r="M887" s="79">
        <f t="shared" si="921"/>
        <v>0</v>
      </c>
      <c r="N887">
        <f t="shared" si="946"/>
        <v>1</v>
      </c>
      <c r="O887" t="str">
        <f>IFERROR(_xlfn.XLOOKUP(A887,HC!A:A,HC!C:C),"")</f>
        <v>Workforce</v>
      </c>
      <c r="R887" s="78" t="b">
        <f t="shared" si="922"/>
        <v>0</v>
      </c>
      <c r="S887" s="78" t="b">
        <f t="shared" si="923"/>
        <v>0</v>
      </c>
      <c r="T887" s="78" t="b">
        <f t="shared" si="924"/>
        <v>0</v>
      </c>
      <c r="U887" s="78" t="b">
        <f t="shared" si="925"/>
        <v>0</v>
      </c>
      <c r="V887" s="78" t="b">
        <f t="shared" si="926"/>
        <v>0</v>
      </c>
      <c r="W887" s="78" t="b">
        <f t="shared" si="927"/>
        <v>0</v>
      </c>
      <c r="X887" s="78" t="b">
        <f t="shared" si="928"/>
        <v>0</v>
      </c>
      <c r="Y887" s="78" t="b">
        <f t="shared" si="929"/>
        <v>0</v>
      </c>
      <c r="Z887" s="78" t="b">
        <f t="shared" si="930"/>
        <v>0</v>
      </c>
      <c r="AA887" s="78" t="b">
        <f t="shared" si="931"/>
        <v>0</v>
      </c>
      <c r="AB887" s="78" t="b">
        <f t="shared" si="932"/>
        <v>0</v>
      </c>
      <c r="AC887" s="78" t="b">
        <f t="shared" si="933"/>
        <v>0</v>
      </c>
      <c r="AD887" s="78" t="b">
        <f t="shared" si="934"/>
        <v>0</v>
      </c>
      <c r="AE887" s="78" t="b">
        <f t="shared" si="935"/>
        <v>0</v>
      </c>
      <c r="AF887" s="78" t="b">
        <f t="shared" si="936"/>
        <v>0</v>
      </c>
      <c r="AG887" s="78" t="b">
        <f t="shared" si="937"/>
        <v>0</v>
      </c>
      <c r="AH887" s="78" t="b">
        <f t="shared" si="938"/>
        <v>0</v>
      </c>
      <c r="AI887" s="78" t="b">
        <f t="shared" si="939"/>
        <v>0</v>
      </c>
      <c r="AJ887" s="78" t="b">
        <f t="shared" si="940"/>
        <v>0</v>
      </c>
      <c r="AK887" s="78" t="b">
        <f t="shared" si="941"/>
        <v>0</v>
      </c>
      <c r="AL887" s="78" t="b">
        <f t="shared" si="942"/>
        <v>0</v>
      </c>
      <c r="AM887" s="78" t="b">
        <f t="shared" si="943"/>
        <v>0</v>
      </c>
      <c r="AN887" s="78" t="b">
        <f t="shared" si="944"/>
        <v>0</v>
      </c>
      <c r="AO887" s="78" t="b">
        <f t="shared" si="945"/>
        <v>0</v>
      </c>
    </row>
    <row r="888" spans="7:41" x14ac:dyDescent="0.35">
      <c r="G888" s="77">
        <f t="shared" si="915"/>
        <v>0</v>
      </c>
      <c r="H888" s="78">
        <f t="shared" si="916"/>
        <v>0</v>
      </c>
      <c r="I888" s="77">
        <f t="shared" si="917"/>
        <v>0</v>
      </c>
      <c r="J888" s="78">
        <f t="shared" si="918"/>
        <v>0</v>
      </c>
      <c r="K888" s="78" t="str">
        <f t="shared" si="919"/>
        <v>1900-01-00 00:0:00</v>
      </c>
      <c r="L888" s="78" t="str">
        <f t="shared" si="920"/>
        <v>1900-01-00 00:0:00</v>
      </c>
      <c r="M888" s="79">
        <f t="shared" si="921"/>
        <v>0</v>
      </c>
      <c r="N888">
        <f t="shared" si="946"/>
        <v>1</v>
      </c>
      <c r="O888" t="str">
        <f>IFERROR(_xlfn.XLOOKUP(A888,HC!A:A,HC!C:C),"")</f>
        <v>Workforce</v>
      </c>
      <c r="R888" s="78" t="b">
        <f t="shared" si="922"/>
        <v>0</v>
      </c>
      <c r="S888" s="78" t="b">
        <f t="shared" si="923"/>
        <v>0</v>
      </c>
      <c r="T888" s="78" t="b">
        <f t="shared" si="924"/>
        <v>0</v>
      </c>
      <c r="U888" s="78" t="b">
        <f t="shared" si="925"/>
        <v>0</v>
      </c>
      <c r="V888" s="78" t="b">
        <f t="shared" si="926"/>
        <v>0</v>
      </c>
      <c r="W888" s="78" t="b">
        <f t="shared" si="927"/>
        <v>0</v>
      </c>
      <c r="X888" s="78" t="b">
        <f t="shared" si="928"/>
        <v>0</v>
      </c>
      <c r="Y888" s="78" t="b">
        <f t="shared" si="929"/>
        <v>0</v>
      </c>
      <c r="Z888" s="78" t="b">
        <f t="shared" si="930"/>
        <v>0</v>
      </c>
      <c r="AA888" s="78" t="b">
        <f t="shared" si="931"/>
        <v>0</v>
      </c>
      <c r="AB888" s="78" t="b">
        <f t="shared" si="932"/>
        <v>0</v>
      </c>
      <c r="AC888" s="78" t="b">
        <f t="shared" si="933"/>
        <v>0</v>
      </c>
      <c r="AD888" s="78" t="b">
        <f t="shared" si="934"/>
        <v>0</v>
      </c>
      <c r="AE888" s="78" t="b">
        <f t="shared" si="935"/>
        <v>0</v>
      </c>
      <c r="AF888" s="78" t="b">
        <f t="shared" si="936"/>
        <v>0</v>
      </c>
      <c r="AG888" s="78" t="b">
        <f t="shared" si="937"/>
        <v>0</v>
      </c>
      <c r="AH888" s="78" t="b">
        <f t="shared" si="938"/>
        <v>0</v>
      </c>
      <c r="AI888" s="78" t="b">
        <f t="shared" si="939"/>
        <v>0</v>
      </c>
      <c r="AJ888" s="78" t="b">
        <f t="shared" si="940"/>
        <v>0</v>
      </c>
      <c r="AK888" s="78" t="b">
        <f t="shared" si="941"/>
        <v>0</v>
      </c>
      <c r="AL888" s="78" t="b">
        <f t="shared" si="942"/>
        <v>0</v>
      </c>
      <c r="AM888" s="78" t="b">
        <f t="shared" si="943"/>
        <v>0</v>
      </c>
      <c r="AN888" s="78" t="b">
        <f t="shared" si="944"/>
        <v>0</v>
      </c>
      <c r="AO888" s="78" t="b">
        <f t="shared" si="945"/>
        <v>0</v>
      </c>
    </row>
    <row r="889" spans="7:41" x14ac:dyDescent="0.35">
      <c r="G889" s="77">
        <f t="shared" si="915"/>
        <v>0</v>
      </c>
      <c r="H889" s="78">
        <f t="shared" si="916"/>
        <v>0</v>
      </c>
      <c r="I889" s="77">
        <f t="shared" si="917"/>
        <v>0</v>
      </c>
      <c r="J889" s="78">
        <f t="shared" si="918"/>
        <v>0</v>
      </c>
      <c r="K889" s="78" t="str">
        <f t="shared" si="919"/>
        <v>1900-01-00 00:0:00</v>
      </c>
      <c r="L889" s="78" t="str">
        <f t="shared" si="920"/>
        <v>1900-01-00 00:0:00</v>
      </c>
      <c r="M889" s="79">
        <f t="shared" si="921"/>
        <v>0</v>
      </c>
      <c r="N889">
        <f t="shared" si="946"/>
        <v>1</v>
      </c>
      <c r="O889" t="str">
        <f>IFERROR(_xlfn.XLOOKUP(A889,HC!A:A,HC!C:C),"")</f>
        <v>Workforce</v>
      </c>
      <c r="R889" s="78" t="b">
        <f t="shared" si="922"/>
        <v>0</v>
      </c>
      <c r="S889" s="78" t="b">
        <f t="shared" si="923"/>
        <v>0</v>
      </c>
      <c r="T889" s="78" t="b">
        <f t="shared" si="924"/>
        <v>0</v>
      </c>
      <c r="U889" s="78" t="b">
        <f t="shared" si="925"/>
        <v>0</v>
      </c>
      <c r="V889" s="78" t="b">
        <f t="shared" si="926"/>
        <v>0</v>
      </c>
      <c r="W889" s="78" t="b">
        <f t="shared" si="927"/>
        <v>0</v>
      </c>
      <c r="X889" s="78" t="b">
        <f t="shared" si="928"/>
        <v>0</v>
      </c>
      <c r="Y889" s="78" t="b">
        <f t="shared" si="929"/>
        <v>0</v>
      </c>
      <c r="Z889" s="78" t="b">
        <f t="shared" si="930"/>
        <v>0</v>
      </c>
      <c r="AA889" s="78" t="b">
        <f t="shared" si="931"/>
        <v>0</v>
      </c>
      <c r="AB889" s="78" t="b">
        <f t="shared" si="932"/>
        <v>0</v>
      </c>
      <c r="AC889" s="78" t="b">
        <f t="shared" si="933"/>
        <v>0</v>
      </c>
      <c r="AD889" s="78" t="b">
        <f t="shared" si="934"/>
        <v>0</v>
      </c>
      <c r="AE889" s="78" t="b">
        <f t="shared" si="935"/>
        <v>0</v>
      </c>
      <c r="AF889" s="78" t="b">
        <f t="shared" si="936"/>
        <v>0</v>
      </c>
      <c r="AG889" s="78" t="b">
        <f t="shared" si="937"/>
        <v>0</v>
      </c>
      <c r="AH889" s="78" t="b">
        <f t="shared" si="938"/>
        <v>0</v>
      </c>
      <c r="AI889" s="78" t="b">
        <f t="shared" si="939"/>
        <v>0</v>
      </c>
      <c r="AJ889" s="78" t="b">
        <f t="shared" si="940"/>
        <v>0</v>
      </c>
      <c r="AK889" s="78" t="b">
        <f t="shared" si="941"/>
        <v>0</v>
      </c>
      <c r="AL889" s="78" t="b">
        <f t="shared" si="942"/>
        <v>0</v>
      </c>
      <c r="AM889" s="78" t="b">
        <f t="shared" si="943"/>
        <v>0</v>
      </c>
      <c r="AN889" s="78" t="b">
        <f t="shared" si="944"/>
        <v>0</v>
      </c>
      <c r="AO889" s="78" t="b">
        <f t="shared" si="945"/>
        <v>0</v>
      </c>
    </row>
    <row r="890" spans="7:41" x14ac:dyDescent="0.35">
      <c r="G890" s="77">
        <f t="shared" ref="G890:G953" si="947">INT(D890)</f>
        <v>0</v>
      </c>
      <c r="H890" s="78">
        <f t="shared" ref="H890:H953" si="948">D890-G890</f>
        <v>0</v>
      </c>
      <c r="I890" s="77">
        <f t="shared" ref="I890:I953" si="949">INT(E890)</f>
        <v>0</v>
      </c>
      <c r="J890" s="78">
        <f t="shared" ref="J890:J953" si="950">E890-I890</f>
        <v>0</v>
      </c>
      <c r="K890" s="78" t="str">
        <f t="shared" ref="K890:K953" si="951">TEXT(G890+H890,"yyyy-mm-dd hh:m:ss")</f>
        <v>1900-01-00 00:0:00</v>
      </c>
      <c r="L890" s="78" t="str">
        <f t="shared" ref="L890:L953" si="952">TEXT(I890+J890,"yyyy-mm-dd hh:m:ss")</f>
        <v>1900-01-00 00:0:00</v>
      </c>
      <c r="M890" s="79">
        <f t="shared" ref="M890:M953" si="953">E890-D890</f>
        <v>0</v>
      </c>
      <c r="N890">
        <f t="shared" si="946"/>
        <v>1</v>
      </c>
      <c r="O890" t="str">
        <f>IFERROR(_xlfn.XLOOKUP(A890,HC!A:A,HC!C:C),"")</f>
        <v>Workforce</v>
      </c>
      <c r="R890" s="78" t="b">
        <f t="shared" si="922"/>
        <v>0</v>
      </c>
      <c r="S890" s="78" t="b">
        <f t="shared" si="923"/>
        <v>0</v>
      </c>
      <c r="T890" s="78" t="b">
        <f t="shared" si="924"/>
        <v>0</v>
      </c>
      <c r="U890" s="78" t="b">
        <f t="shared" si="925"/>
        <v>0</v>
      </c>
      <c r="V890" s="78" t="b">
        <f t="shared" si="926"/>
        <v>0</v>
      </c>
      <c r="W890" s="78" t="b">
        <f t="shared" si="927"/>
        <v>0</v>
      </c>
      <c r="X890" s="78" t="b">
        <f t="shared" si="928"/>
        <v>0</v>
      </c>
      <c r="Y890" s="78" t="b">
        <f t="shared" si="929"/>
        <v>0</v>
      </c>
      <c r="Z890" s="78" t="b">
        <f t="shared" si="930"/>
        <v>0</v>
      </c>
      <c r="AA890" s="78" t="b">
        <f t="shared" si="931"/>
        <v>0</v>
      </c>
      <c r="AB890" s="78" t="b">
        <f t="shared" si="932"/>
        <v>0</v>
      </c>
      <c r="AC890" s="78" t="b">
        <f t="shared" si="933"/>
        <v>0</v>
      </c>
      <c r="AD890" s="78" t="b">
        <f t="shared" si="934"/>
        <v>0</v>
      </c>
      <c r="AE890" s="78" t="b">
        <f t="shared" si="935"/>
        <v>0</v>
      </c>
      <c r="AF890" s="78" t="b">
        <f t="shared" si="936"/>
        <v>0</v>
      </c>
      <c r="AG890" s="78" t="b">
        <f t="shared" si="937"/>
        <v>0</v>
      </c>
      <c r="AH890" s="78" t="b">
        <f t="shared" si="938"/>
        <v>0</v>
      </c>
      <c r="AI890" s="78" t="b">
        <f t="shared" si="939"/>
        <v>0</v>
      </c>
      <c r="AJ890" s="78" t="b">
        <f t="shared" si="940"/>
        <v>0</v>
      </c>
      <c r="AK890" s="78" t="b">
        <f t="shared" si="941"/>
        <v>0</v>
      </c>
      <c r="AL890" s="78" t="b">
        <f t="shared" si="942"/>
        <v>0</v>
      </c>
      <c r="AM890" s="78" t="b">
        <f t="shared" si="943"/>
        <v>0</v>
      </c>
      <c r="AN890" s="78" t="b">
        <f t="shared" si="944"/>
        <v>0</v>
      </c>
      <c r="AO890" s="78" t="b">
        <f t="shared" si="945"/>
        <v>0</v>
      </c>
    </row>
    <row r="891" spans="7:41" x14ac:dyDescent="0.35">
      <c r="G891" s="77">
        <f t="shared" si="947"/>
        <v>0</v>
      </c>
      <c r="H891" s="78">
        <f t="shared" si="948"/>
        <v>0</v>
      </c>
      <c r="I891" s="77">
        <f t="shared" si="949"/>
        <v>0</v>
      </c>
      <c r="J891" s="78">
        <f t="shared" si="950"/>
        <v>0</v>
      </c>
      <c r="K891" s="78" t="str">
        <f t="shared" si="951"/>
        <v>1900-01-00 00:0:00</v>
      </c>
      <c r="L891" s="78" t="str">
        <f t="shared" si="952"/>
        <v>1900-01-00 00:0:00</v>
      </c>
      <c r="M891" s="79">
        <f t="shared" si="953"/>
        <v>0</v>
      </c>
      <c r="N891">
        <f t="shared" si="946"/>
        <v>1</v>
      </c>
      <c r="O891" t="str">
        <f>IFERROR(_xlfn.XLOOKUP(A891,HC!A:A,HC!C:C),"")</f>
        <v>Workforce</v>
      </c>
      <c r="R891" s="78" t="b">
        <f t="shared" si="922"/>
        <v>0</v>
      </c>
      <c r="S891" s="78" t="b">
        <f t="shared" si="923"/>
        <v>0</v>
      </c>
      <c r="T891" s="78" t="b">
        <f t="shared" si="924"/>
        <v>0</v>
      </c>
      <c r="U891" s="78" t="b">
        <f t="shared" si="925"/>
        <v>0</v>
      </c>
      <c r="V891" s="78" t="b">
        <f t="shared" si="926"/>
        <v>0</v>
      </c>
      <c r="W891" s="78" t="b">
        <f t="shared" si="927"/>
        <v>0</v>
      </c>
      <c r="X891" s="78" t="b">
        <f t="shared" si="928"/>
        <v>0</v>
      </c>
      <c r="Y891" s="78" t="b">
        <f t="shared" si="929"/>
        <v>0</v>
      </c>
      <c r="Z891" s="78" t="b">
        <f t="shared" si="930"/>
        <v>0</v>
      </c>
      <c r="AA891" s="78" t="b">
        <f t="shared" si="931"/>
        <v>0</v>
      </c>
      <c r="AB891" s="78" t="b">
        <f t="shared" si="932"/>
        <v>0</v>
      </c>
      <c r="AC891" s="78" t="b">
        <f t="shared" si="933"/>
        <v>0</v>
      </c>
      <c r="AD891" s="78" t="b">
        <f t="shared" si="934"/>
        <v>0</v>
      </c>
      <c r="AE891" s="78" t="b">
        <f t="shared" si="935"/>
        <v>0</v>
      </c>
      <c r="AF891" s="78" t="b">
        <f t="shared" si="936"/>
        <v>0</v>
      </c>
      <c r="AG891" s="78" t="b">
        <f t="shared" si="937"/>
        <v>0</v>
      </c>
      <c r="AH891" s="78" t="b">
        <f t="shared" si="938"/>
        <v>0</v>
      </c>
      <c r="AI891" s="78" t="b">
        <f t="shared" si="939"/>
        <v>0</v>
      </c>
      <c r="AJ891" s="78" t="b">
        <f t="shared" si="940"/>
        <v>0</v>
      </c>
      <c r="AK891" s="78" t="b">
        <f t="shared" si="941"/>
        <v>0</v>
      </c>
      <c r="AL891" s="78" t="b">
        <f t="shared" si="942"/>
        <v>0</v>
      </c>
      <c r="AM891" s="78" t="b">
        <f t="shared" si="943"/>
        <v>0</v>
      </c>
      <c r="AN891" s="78" t="b">
        <f t="shared" si="944"/>
        <v>0</v>
      </c>
      <c r="AO891" s="78" t="b">
        <f t="shared" si="945"/>
        <v>0</v>
      </c>
    </row>
    <row r="892" spans="7:41" x14ac:dyDescent="0.35">
      <c r="G892" s="77">
        <f t="shared" si="947"/>
        <v>0</v>
      </c>
      <c r="H892" s="78">
        <f t="shared" si="948"/>
        <v>0</v>
      </c>
      <c r="I892" s="77">
        <f t="shared" si="949"/>
        <v>0</v>
      </c>
      <c r="J892" s="78">
        <f t="shared" si="950"/>
        <v>0</v>
      </c>
      <c r="K892" s="78" t="str">
        <f t="shared" si="951"/>
        <v>1900-01-00 00:0:00</v>
      </c>
      <c r="L892" s="78" t="str">
        <f t="shared" si="952"/>
        <v>1900-01-00 00:0:00</v>
      </c>
      <c r="M892" s="79">
        <f t="shared" si="953"/>
        <v>0</v>
      </c>
      <c r="N892">
        <f t="shared" si="946"/>
        <v>1</v>
      </c>
      <c r="O892" t="str">
        <f>IFERROR(_xlfn.XLOOKUP(A892,HC!A:A,HC!C:C),"")</f>
        <v>Workforce</v>
      </c>
      <c r="R892" s="78" t="b">
        <f t="shared" ref="R892:R955" si="954">IFERROR(IF($B892=$D$1,IF(AND($K892&lt;R$1,$L892&lt;R$1),"",IF(AND($K892&gt;S$1,$L892&gt;S$1),"",IF(AND($K892&lt;R$1,$L892&lt;=S$1),$L892-R$1,IF(AND($K892&gt;=R$1,$L892&gt;S$1),S$1-$K892,IF(AND($K892&gt;=R$1,$L892&lt;=S$1),$L892-$K892,IF(AND($K892&lt;R$1,$L892&gt;S$1),S$1-R$1,""))))))),"")</f>
        <v>0</v>
      </c>
      <c r="S892" s="78" t="b">
        <f t="shared" ref="S892:S955" si="955">IFERROR(IF($B892=$D$1,IF(AND($K892&lt;S$1,$L892&lt;S$1),"",IF(AND($K892&gt;T$1,$L892&gt;T$1),"",IF(AND($K892&lt;S$1,$L892&lt;=T$1),$L892-S$1,IF(AND($K892&gt;=S$1,$L892&gt;T$1),T$1-$K892,IF(AND($K892&gt;=S$1,$L892&lt;=T$1),$L892-$K892,IF(AND($K892&lt;S$1,$L892&gt;T$1),T$1-S$1,""))))))),"")</f>
        <v>0</v>
      </c>
      <c r="T892" s="78" t="b">
        <f t="shared" ref="T892:T955" si="956">IFERROR(IF($B892=$D$1,IF(AND($K892&lt;T$1,$L892&lt;T$1),"",IF(AND($K892&gt;U$1,$L892&gt;U$1),"",IF(AND($K892&lt;T$1,$L892&lt;=U$1),$L892-T$1,IF(AND($K892&gt;=T$1,$L892&gt;U$1),U$1-$K892,IF(AND($K892&gt;=T$1,$L892&lt;=U$1),$L892-$K892,IF(AND($K892&lt;T$1,$L892&gt;U$1),U$1-T$1,""))))))),"")</f>
        <v>0</v>
      </c>
      <c r="U892" s="78" t="b">
        <f t="shared" ref="U892:U955" si="957">IFERROR(IF($B892=$D$1,IF(AND($K892&lt;U$1,$L892&lt;U$1),"",IF(AND($K892&gt;V$1,$L892&gt;V$1),"",IF(AND($K892&lt;U$1,$L892&lt;=V$1),$L892-U$1,IF(AND($K892&gt;=U$1,$L892&gt;V$1),V$1-$K892,IF(AND($K892&gt;=U$1,$L892&lt;=V$1),$L892-$K892,IF(AND($K892&lt;U$1,$L892&gt;V$1),V$1-U$1,""))))))),"")</f>
        <v>0</v>
      </c>
      <c r="V892" s="78" t="b">
        <f t="shared" ref="V892:V955" si="958">IFERROR(IF($B892=$D$1,IF(AND($K892&lt;V$1,$L892&lt;V$1),"",IF(AND($K892&gt;W$1,$L892&gt;W$1),"",IF(AND($K892&lt;V$1,$L892&lt;=W$1),$L892-V$1,IF(AND($K892&gt;=V$1,$L892&gt;W$1),W$1-$K892,IF(AND($K892&gt;=V$1,$L892&lt;=W$1),$L892-$K892,IF(AND($K892&lt;V$1,$L892&gt;W$1),W$1-V$1,""))))))),"")</f>
        <v>0</v>
      </c>
      <c r="W892" s="78" t="b">
        <f t="shared" ref="W892:W955" si="959">IFERROR(IF($B892=$D$1,IF(AND($K892&lt;W$1,$L892&lt;W$1),"",IF(AND($K892&gt;X$1,$L892&gt;X$1),"",IF(AND($K892&lt;W$1,$L892&lt;=X$1),$L892-W$1,IF(AND($K892&gt;=W$1,$L892&gt;X$1),X$1-$K892,IF(AND($K892&gt;=W$1,$L892&lt;=X$1),$L892-$K892,IF(AND($K892&lt;W$1,$L892&gt;X$1),X$1-W$1,""))))))),"")</f>
        <v>0</v>
      </c>
      <c r="X892" s="78" t="b">
        <f t="shared" ref="X892:X955" si="960">IFERROR(IF($B892=$D$1,IF(AND($K892&lt;X$1,$L892&lt;X$1),"",IF(AND($K892&gt;Y$1,$L892&gt;Y$1),"",IF(AND($K892&lt;X$1,$L892&lt;=Y$1),$L892-X$1,IF(AND($K892&gt;=X$1,$L892&gt;Y$1),Y$1-$K892,IF(AND($K892&gt;=X$1,$L892&lt;=Y$1),$L892-$K892,IF(AND($K892&lt;X$1,$L892&gt;Y$1),Y$1-X$1,""))))))),"")</f>
        <v>0</v>
      </c>
      <c r="Y892" s="78" t="b">
        <f t="shared" ref="Y892:Y955" si="961">IFERROR(IF($B892=$D$1,IF(AND($K892&lt;Y$1,$L892&lt;Y$1),"",IF(AND($K892&gt;Z$1,$L892&gt;Z$1),"",IF(AND($K892&lt;Y$1,$L892&lt;=Z$1),$L892-Y$1,IF(AND($K892&gt;=Y$1,$L892&gt;Z$1),Z$1-$K892,IF(AND($K892&gt;=Y$1,$L892&lt;=Z$1),$L892-$K892,IF(AND($K892&lt;Y$1,$L892&gt;Z$1),Z$1-Y$1,""))))))),"")</f>
        <v>0</v>
      </c>
      <c r="Z892" s="78" t="b">
        <f t="shared" ref="Z892:Z955" si="962">IFERROR(IF($B892=$D$1,IF(AND($K892&lt;Z$1,$L892&lt;Z$1),"",IF(AND($K892&gt;AA$1,$L892&gt;AA$1),"",IF(AND($K892&lt;Z$1,$L892&lt;=AA$1),$L892-Z$1,IF(AND($K892&gt;=Z$1,$L892&gt;AA$1),AA$1-$K892,IF(AND($K892&gt;=Z$1,$L892&lt;=AA$1),$L892-$K892,IF(AND($K892&lt;Z$1,$L892&gt;AA$1),AA$1-Z$1,""))))))),"")</f>
        <v>0</v>
      </c>
      <c r="AA892" s="78" t="b">
        <f t="shared" ref="AA892:AA955" si="963">IFERROR(IF($B892=$D$1,IF(AND($K892&lt;AA$1,$L892&lt;AA$1),"",IF(AND($K892&gt;AB$1,$L892&gt;AB$1),"",IF(AND($K892&lt;AA$1,$L892&lt;=AB$1),$L892-AA$1,IF(AND($K892&gt;=AA$1,$L892&gt;AB$1),AB$1-$K892,IF(AND($K892&gt;=AA$1,$L892&lt;=AB$1),$L892-$K892,IF(AND($K892&lt;AA$1,$L892&gt;AB$1),AB$1-AA$1,""))))))),"")</f>
        <v>0</v>
      </c>
      <c r="AB892" s="78" t="b">
        <f t="shared" ref="AB892:AB955" si="964">IFERROR(IF($B892=$D$1,IF(AND($K892&lt;AB$1,$L892&lt;AB$1),"",IF(AND($K892&gt;AC$1,$L892&gt;AC$1),"",IF(AND($K892&lt;AB$1,$L892&lt;=AC$1),$L892-AB$1,IF(AND($K892&gt;=AB$1,$L892&gt;AC$1),AC$1-$K892,IF(AND($K892&gt;=AB$1,$L892&lt;=AC$1),$L892-$K892,IF(AND($K892&lt;AB$1,$L892&gt;AC$1),AC$1-AB$1,""))))))),"")</f>
        <v>0</v>
      </c>
      <c r="AC892" s="78" t="b">
        <f t="shared" ref="AC892:AC955" si="965">IFERROR(IF($B892=$D$1,IF(AND($K892&lt;AC$1,$L892&lt;AC$1),"",IF(AND($K892&gt;AD$1,$L892&gt;AD$1),"",IF(AND($K892&lt;AC$1,$L892&lt;=AD$1),$L892-AC$1,IF(AND($K892&gt;=AC$1,$L892&gt;AD$1),AD$1-$K892,IF(AND($K892&gt;=AC$1,$L892&lt;=AD$1),$L892-$K892,IF(AND($K892&lt;AC$1,$L892&gt;AD$1),AD$1-AC$1,""))))))),"")</f>
        <v>0</v>
      </c>
      <c r="AD892" s="78" t="b">
        <f t="shared" ref="AD892:AD955" si="966">IFERROR(IF($B892=$D$1,IF(AND($K892&lt;AD$1,$L892&lt;AD$1),"",IF(AND($K892&gt;AE$1,$L892&gt;AE$1),"",IF(AND($K892&lt;AD$1,$L892&lt;=AE$1),$L892-AD$1,IF(AND($K892&gt;=AD$1,$L892&gt;AE$1),AE$1-$K892,IF(AND($K892&gt;=AD$1,$L892&lt;=AE$1),$L892-$K892,IF(AND($K892&lt;AD$1,$L892&gt;AE$1),AE$1-AD$1,""))))))),"")</f>
        <v>0</v>
      </c>
      <c r="AE892" s="78" t="b">
        <f t="shared" ref="AE892:AE955" si="967">IFERROR(IF($B892=$D$1,IF(AND($K892&lt;AE$1,$L892&lt;AE$1),"",IF(AND($K892&gt;AF$1,$L892&gt;AF$1),"",IF(AND($K892&lt;AE$1,$L892&lt;=AF$1),$L892-AE$1,IF(AND($K892&gt;=AE$1,$L892&gt;AF$1),AF$1-$K892,IF(AND($K892&gt;=AE$1,$L892&lt;=AF$1),$L892-$K892,IF(AND($K892&lt;AE$1,$L892&gt;AF$1),AF$1-AE$1,""))))))),"")</f>
        <v>0</v>
      </c>
      <c r="AF892" s="78" t="b">
        <f t="shared" ref="AF892:AF955" si="968">IFERROR(IF($B892=$D$1,IF(AND($K892&lt;AF$1,$L892&lt;AF$1),"",IF(AND($K892&gt;AG$1,$L892&gt;AG$1),"",IF(AND($K892&lt;AF$1,$L892&lt;=AG$1),$L892-AF$1,IF(AND($K892&gt;=AF$1,$L892&gt;AG$1),AG$1-$K892,IF(AND($K892&gt;=AF$1,$L892&lt;=AG$1),$L892-$K892,IF(AND($K892&lt;AF$1,$L892&gt;AG$1),AG$1-AF$1,""))))))),"")</f>
        <v>0</v>
      </c>
      <c r="AG892" s="78" t="b">
        <f t="shared" ref="AG892:AG955" si="969">IFERROR(IF($B892=$D$1,IF(AND($K892&lt;AG$1,$L892&lt;AG$1),"",IF(AND($K892&gt;AH$1,$L892&gt;AH$1),"",IF(AND($K892&lt;AG$1,$L892&lt;=AH$1),$L892-AG$1,IF(AND($K892&gt;=AG$1,$L892&gt;AH$1),AH$1-$K892,IF(AND($K892&gt;=AG$1,$L892&lt;=AH$1),$L892-$K892,IF(AND($K892&lt;AG$1,$L892&gt;AH$1),AH$1-AG$1,""))))))),"")</f>
        <v>0</v>
      </c>
      <c r="AH892" s="78" t="b">
        <f t="shared" ref="AH892:AH955" si="970">IFERROR(IF($B892=$D$1,IF(AND($K892&lt;AH$1,$L892&lt;AH$1),"",IF(AND($K892&gt;AI$1,$L892&gt;AI$1),"",IF(AND($K892&lt;AH$1,$L892&lt;=AI$1),$L892-AH$1,IF(AND($K892&gt;=AH$1,$L892&gt;AI$1),AI$1-$K892,IF(AND($K892&gt;=AH$1,$L892&lt;=AI$1),$L892-$K892,IF(AND($K892&lt;AH$1,$L892&gt;AI$1),AI$1-AH$1,""))))))),"")</f>
        <v>0</v>
      </c>
      <c r="AI892" s="78" t="b">
        <f t="shared" ref="AI892:AI955" si="971">IFERROR(IF($B892=$D$1,IF(AND($K892&lt;AI$1,$L892&lt;AI$1),"",IF(AND($K892&gt;AJ$1,$L892&gt;AJ$1),"",IF(AND($K892&lt;AI$1,$L892&lt;=AJ$1),$L892-AI$1,IF(AND($K892&gt;=AI$1,$L892&gt;AJ$1),AJ$1-$K892,IF(AND($K892&gt;=AI$1,$L892&lt;=AJ$1),$L892-$K892,IF(AND($K892&lt;AI$1,$L892&gt;AJ$1),AJ$1-AI$1,""))))))),"")</f>
        <v>0</v>
      </c>
      <c r="AJ892" s="78" t="b">
        <f t="shared" ref="AJ892:AJ955" si="972">IFERROR(IF($B892=$D$1,IF(AND($K892&lt;AJ$1,$L892&lt;AJ$1),"",IF(AND($K892&gt;AK$1,$L892&gt;AK$1),"",IF(AND($K892&lt;AJ$1,$L892&lt;=AK$1),$L892-AJ$1,IF(AND($K892&gt;=AJ$1,$L892&gt;AK$1),AK$1-$K892,IF(AND($K892&gt;=AJ$1,$L892&lt;=AK$1),$L892-$K892,IF(AND($K892&lt;AJ$1,$L892&gt;AK$1),AK$1-AJ$1,""))))))),"")</f>
        <v>0</v>
      </c>
      <c r="AK892" s="78" t="b">
        <f t="shared" ref="AK892:AK955" si="973">IFERROR(IF($B892=$D$1,IF(AND($K892&lt;AK$1,$L892&lt;AK$1),"",IF(AND($K892&gt;AL$1,$L892&gt;AL$1),"",IF(AND($K892&lt;AK$1,$L892&lt;=AL$1),$L892-AK$1,IF(AND($K892&gt;=AK$1,$L892&gt;AL$1),AL$1-$K892,IF(AND($K892&gt;=AK$1,$L892&lt;=AL$1),$L892-$K892,IF(AND($K892&lt;AK$1,$L892&gt;AL$1),AL$1-AK$1,""))))))),"")</f>
        <v>0</v>
      </c>
      <c r="AL892" s="78" t="b">
        <f t="shared" ref="AL892:AL955" si="974">IFERROR(IF($B892=$D$1,IF(AND($K892&lt;AL$1,$L892&lt;AL$1),"",IF(AND($K892&gt;AM$1,$L892&gt;AM$1),"",IF(AND($K892&lt;AL$1,$L892&lt;=AM$1),$L892-AL$1,IF(AND($K892&gt;=AL$1,$L892&gt;AM$1),AM$1-$K892,IF(AND($K892&gt;=AL$1,$L892&lt;=AM$1),$L892-$K892,IF(AND($K892&lt;AL$1,$L892&gt;AM$1),AM$1-AL$1,""))))))),"")</f>
        <v>0</v>
      </c>
      <c r="AM892" s="78" t="b">
        <f t="shared" ref="AM892:AM955" si="975">IFERROR(IF($B892=$D$1,IF(AND($K892&lt;AM$1,$L892&lt;AM$1),"",IF(AND($K892&gt;AN$1,$L892&gt;AN$1),"",IF(AND($K892&lt;AM$1,$L892&lt;=AN$1),$L892-AM$1,IF(AND($K892&gt;=AM$1,$L892&gt;AN$1),AN$1-$K892,IF(AND($K892&gt;=AM$1,$L892&lt;=AN$1),$L892-$K892,IF(AND($K892&lt;AM$1,$L892&gt;AN$1),AN$1-AM$1,""))))))),"")</f>
        <v>0</v>
      </c>
      <c r="AN892" s="78" t="b">
        <f t="shared" ref="AN892:AN955" si="976">IFERROR(IF($B892=$D$1,IF(AND($K892&lt;AN$1,$L892&lt;AN$1),"",IF(AND($K892&gt;AO$1,$L892&gt;AO$1),"",IF(AND($K892&lt;AN$1,$L892&lt;=AO$1),$L892-AN$1,IF(AND($K892&gt;=AN$1,$L892&gt;AO$1),AO$1-$K892,IF(AND($K892&gt;=AN$1,$L892&lt;=AO$1),$L892-$K892,IF(AND($K892&lt;AN$1,$L892&gt;AO$1),AO$1-AN$1,""))))))),"")</f>
        <v>0</v>
      </c>
      <c r="AO892" s="78" t="b">
        <f t="shared" ref="AO892:AO955" si="977">IFERROR(IF($B892=$D$1,IF(AND($K892&lt;AO$1,$L892&lt;AO$1),"",IF(AND($K892&gt;AP$1,$L892&gt;AP$1),"",IF(AND($K892&lt;AO$1,$L892&lt;=AP$1),$L892-AO$1,IF(AND($K892&gt;=AO$1,$L892&gt;AP$1),AP$1-$K892,IF(AND($K892&gt;=AO$1,$L892&lt;=AP$1),$L892-$K892,IF(AND($K892&lt;AO$1,$L892&gt;AP$1),AP$1-AO$1,""))))))),"")</f>
        <v>0</v>
      </c>
    </row>
    <row r="893" spans="7:41" x14ac:dyDescent="0.35">
      <c r="G893" s="77">
        <f t="shared" si="947"/>
        <v>0</v>
      </c>
      <c r="H893" s="78">
        <f t="shared" si="948"/>
        <v>0</v>
      </c>
      <c r="I893" s="77">
        <f t="shared" si="949"/>
        <v>0</v>
      </c>
      <c r="J893" s="78">
        <f t="shared" si="950"/>
        <v>0</v>
      </c>
      <c r="K893" s="78" t="str">
        <f t="shared" si="951"/>
        <v>1900-01-00 00:0:00</v>
      </c>
      <c r="L893" s="78" t="str">
        <f t="shared" si="952"/>
        <v>1900-01-00 00:0:00</v>
      </c>
      <c r="M893" s="79">
        <f t="shared" si="953"/>
        <v>0</v>
      </c>
      <c r="N893">
        <f t="shared" si="946"/>
        <v>1</v>
      </c>
      <c r="O893" t="str">
        <f>IFERROR(_xlfn.XLOOKUP(A893,HC!A:A,HC!C:C),"")</f>
        <v>Workforce</v>
      </c>
      <c r="R893" s="78" t="b">
        <f t="shared" si="954"/>
        <v>0</v>
      </c>
      <c r="S893" s="78" t="b">
        <f t="shared" si="955"/>
        <v>0</v>
      </c>
      <c r="T893" s="78" t="b">
        <f t="shared" si="956"/>
        <v>0</v>
      </c>
      <c r="U893" s="78" t="b">
        <f t="shared" si="957"/>
        <v>0</v>
      </c>
      <c r="V893" s="78" t="b">
        <f t="shared" si="958"/>
        <v>0</v>
      </c>
      <c r="W893" s="78" t="b">
        <f t="shared" si="959"/>
        <v>0</v>
      </c>
      <c r="X893" s="78" t="b">
        <f t="shared" si="960"/>
        <v>0</v>
      </c>
      <c r="Y893" s="78" t="b">
        <f t="shared" si="961"/>
        <v>0</v>
      </c>
      <c r="Z893" s="78" t="b">
        <f t="shared" si="962"/>
        <v>0</v>
      </c>
      <c r="AA893" s="78" t="b">
        <f t="shared" si="963"/>
        <v>0</v>
      </c>
      <c r="AB893" s="78" t="b">
        <f t="shared" si="964"/>
        <v>0</v>
      </c>
      <c r="AC893" s="78" t="b">
        <f t="shared" si="965"/>
        <v>0</v>
      </c>
      <c r="AD893" s="78" t="b">
        <f t="shared" si="966"/>
        <v>0</v>
      </c>
      <c r="AE893" s="78" t="b">
        <f t="shared" si="967"/>
        <v>0</v>
      </c>
      <c r="AF893" s="78" t="b">
        <f t="shared" si="968"/>
        <v>0</v>
      </c>
      <c r="AG893" s="78" t="b">
        <f t="shared" si="969"/>
        <v>0</v>
      </c>
      <c r="AH893" s="78" t="b">
        <f t="shared" si="970"/>
        <v>0</v>
      </c>
      <c r="AI893" s="78" t="b">
        <f t="shared" si="971"/>
        <v>0</v>
      </c>
      <c r="AJ893" s="78" t="b">
        <f t="shared" si="972"/>
        <v>0</v>
      </c>
      <c r="AK893" s="78" t="b">
        <f t="shared" si="973"/>
        <v>0</v>
      </c>
      <c r="AL893" s="78" t="b">
        <f t="shared" si="974"/>
        <v>0</v>
      </c>
      <c r="AM893" s="78" t="b">
        <f t="shared" si="975"/>
        <v>0</v>
      </c>
      <c r="AN893" s="78" t="b">
        <f t="shared" si="976"/>
        <v>0</v>
      </c>
      <c r="AO893" s="78" t="b">
        <f t="shared" si="977"/>
        <v>0</v>
      </c>
    </row>
    <row r="894" spans="7:41" x14ac:dyDescent="0.35">
      <c r="G894" s="77">
        <f t="shared" si="947"/>
        <v>0</v>
      </c>
      <c r="H894" s="78">
        <f t="shared" si="948"/>
        <v>0</v>
      </c>
      <c r="I894" s="77">
        <f t="shared" si="949"/>
        <v>0</v>
      </c>
      <c r="J894" s="78">
        <f t="shared" si="950"/>
        <v>0</v>
      </c>
      <c r="K894" s="78" t="str">
        <f t="shared" si="951"/>
        <v>1900-01-00 00:0:00</v>
      </c>
      <c r="L894" s="78" t="str">
        <f t="shared" si="952"/>
        <v>1900-01-00 00:0:00</v>
      </c>
      <c r="M894" s="79">
        <f t="shared" si="953"/>
        <v>0</v>
      </c>
      <c r="N894">
        <f t="shared" si="946"/>
        <v>1</v>
      </c>
      <c r="O894" t="str">
        <f>IFERROR(_xlfn.XLOOKUP(A894,HC!A:A,HC!C:C),"")</f>
        <v>Workforce</v>
      </c>
      <c r="R894" s="78" t="b">
        <f t="shared" si="954"/>
        <v>0</v>
      </c>
      <c r="S894" s="78" t="b">
        <f t="shared" si="955"/>
        <v>0</v>
      </c>
      <c r="T894" s="78" t="b">
        <f t="shared" si="956"/>
        <v>0</v>
      </c>
      <c r="U894" s="78" t="b">
        <f t="shared" si="957"/>
        <v>0</v>
      </c>
      <c r="V894" s="78" t="b">
        <f t="shared" si="958"/>
        <v>0</v>
      </c>
      <c r="W894" s="78" t="b">
        <f t="shared" si="959"/>
        <v>0</v>
      </c>
      <c r="X894" s="78" t="b">
        <f t="shared" si="960"/>
        <v>0</v>
      </c>
      <c r="Y894" s="78" t="b">
        <f t="shared" si="961"/>
        <v>0</v>
      </c>
      <c r="Z894" s="78" t="b">
        <f t="shared" si="962"/>
        <v>0</v>
      </c>
      <c r="AA894" s="78" t="b">
        <f t="shared" si="963"/>
        <v>0</v>
      </c>
      <c r="AB894" s="78" t="b">
        <f t="shared" si="964"/>
        <v>0</v>
      </c>
      <c r="AC894" s="78" t="b">
        <f t="shared" si="965"/>
        <v>0</v>
      </c>
      <c r="AD894" s="78" t="b">
        <f t="shared" si="966"/>
        <v>0</v>
      </c>
      <c r="AE894" s="78" t="b">
        <f t="shared" si="967"/>
        <v>0</v>
      </c>
      <c r="AF894" s="78" t="b">
        <f t="shared" si="968"/>
        <v>0</v>
      </c>
      <c r="AG894" s="78" t="b">
        <f t="shared" si="969"/>
        <v>0</v>
      </c>
      <c r="AH894" s="78" t="b">
        <f t="shared" si="970"/>
        <v>0</v>
      </c>
      <c r="AI894" s="78" t="b">
        <f t="shared" si="971"/>
        <v>0</v>
      </c>
      <c r="AJ894" s="78" t="b">
        <f t="shared" si="972"/>
        <v>0</v>
      </c>
      <c r="AK894" s="78" t="b">
        <f t="shared" si="973"/>
        <v>0</v>
      </c>
      <c r="AL894" s="78" t="b">
        <f t="shared" si="974"/>
        <v>0</v>
      </c>
      <c r="AM894" s="78" t="b">
        <f t="shared" si="975"/>
        <v>0</v>
      </c>
      <c r="AN894" s="78" t="b">
        <f t="shared" si="976"/>
        <v>0</v>
      </c>
      <c r="AO894" s="78" t="b">
        <f t="shared" si="977"/>
        <v>0</v>
      </c>
    </row>
    <row r="895" spans="7:41" x14ac:dyDescent="0.35">
      <c r="G895" s="77">
        <f t="shared" si="947"/>
        <v>0</v>
      </c>
      <c r="H895" s="78">
        <f t="shared" si="948"/>
        <v>0</v>
      </c>
      <c r="I895" s="77">
        <f t="shared" si="949"/>
        <v>0</v>
      </c>
      <c r="J895" s="78">
        <f t="shared" si="950"/>
        <v>0</v>
      </c>
      <c r="K895" s="78" t="str">
        <f t="shared" si="951"/>
        <v>1900-01-00 00:0:00</v>
      </c>
      <c r="L895" s="78" t="str">
        <f t="shared" si="952"/>
        <v>1900-01-00 00:0:00</v>
      </c>
      <c r="M895" s="79">
        <f t="shared" si="953"/>
        <v>0</v>
      </c>
      <c r="N895">
        <f t="shared" si="946"/>
        <v>1</v>
      </c>
      <c r="O895" t="str">
        <f>IFERROR(_xlfn.XLOOKUP(A895,HC!A:A,HC!C:C),"")</f>
        <v>Workforce</v>
      </c>
      <c r="R895" s="78" t="b">
        <f t="shared" si="954"/>
        <v>0</v>
      </c>
      <c r="S895" s="78" t="b">
        <f t="shared" si="955"/>
        <v>0</v>
      </c>
      <c r="T895" s="78" t="b">
        <f t="shared" si="956"/>
        <v>0</v>
      </c>
      <c r="U895" s="78" t="b">
        <f t="shared" si="957"/>
        <v>0</v>
      </c>
      <c r="V895" s="78" t="b">
        <f t="shared" si="958"/>
        <v>0</v>
      </c>
      <c r="W895" s="78" t="b">
        <f t="shared" si="959"/>
        <v>0</v>
      </c>
      <c r="X895" s="78" t="b">
        <f t="shared" si="960"/>
        <v>0</v>
      </c>
      <c r="Y895" s="78" t="b">
        <f t="shared" si="961"/>
        <v>0</v>
      </c>
      <c r="Z895" s="78" t="b">
        <f t="shared" si="962"/>
        <v>0</v>
      </c>
      <c r="AA895" s="78" t="b">
        <f t="shared" si="963"/>
        <v>0</v>
      </c>
      <c r="AB895" s="78" t="b">
        <f t="shared" si="964"/>
        <v>0</v>
      </c>
      <c r="AC895" s="78" t="b">
        <f t="shared" si="965"/>
        <v>0</v>
      </c>
      <c r="AD895" s="78" t="b">
        <f t="shared" si="966"/>
        <v>0</v>
      </c>
      <c r="AE895" s="78" t="b">
        <f t="shared" si="967"/>
        <v>0</v>
      </c>
      <c r="AF895" s="78" t="b">
        <f t="shared" si="968"/>
        <v>0</v>
      </c>
      <c r="AG895" s="78" t="b">
        <f t="shared" si="969"/>
        <v>0</v>
      </c>
      <c r="AH895" s="78" t="b">
        <f t="shared" si="970"/>
        <v>0</v>
      </c>
      <c r="AI895" s="78" t="b">
        <f t="shared" si="971"/>
        <v>0</v>
      </c>
      <c r="AJ895" s="78" t="b">
        <f t="shared" si="972"/>
        <v>0</v>
      </c>
      <c r="AK895" s="78" t="b">
        <f t="shared" si="973"/>
        <v>0</v>
      </c>
      <c r="AL895" s="78" t="b">
        <f t="shared" si="974"/>
        <v>0</v>
      </c>
      <c r="AM895" s="78" t="b">
        <f t="shared" si="975"/>
        <v>0</v>
      </c>
      <c r="AN895" s="78" t="b">
        <f t="shared" si="976"/>
        <v>0</v>
      </c>
      <c r="AO895" s="78" t="b">
        <f t="shared" si="977"/>
        <v>0</v>
      </c>
    </row>
    <row r="896" spans="7:41" x14ac:dyDescent="0.35">
      <c r="G896" s="77">
        <f t="shared" si="947"/>
        <v>0</v>
      </c>
      <c r="H896" s="78">
        <f t="shared" si="948"/>
        <v>0</v>
      </c>
      <c r="I896" s="77">
        <f t="shared" si="949"/>
        <v>0</v>
      </c>
      <c r="J896" s="78">
        <f t="shared" si="950"/>
        <v>0</v>
      </c>
      <c r="K896" s="78" t="str">
        <f t="shared" si="951"/>
        <v>1900-01-00 00:0:00</v>
      </c>
      <c r="L896" s="78" t="str">
        <f t="shared" si="952"/>
        <v>1900-01-00 00:0:00</v>
      </c>
      <c r="M896" s="79">
        <f t="shared" si="953"/>
        <v>0</v>
      </c>
      <c r="N896">
        <f t="shared" si="946"/>
        <v>1</v>
      </c>
      <c r="O896" t="str">
        <f>IFERROR(_xlfn.XLOOKUP(A896,HC!A:A,HC!C:C),"")</f>
        <v>Workforce</v>
      </c>
      <c r="R896" s="78" t="b">
        <f t="shared" si="954"/>
        <v>0</v>
      </c>
      <c r="S896" s="78" t="b">
        <f t="shared" si="955"/>
        <v>0</v>
      </c>
      <c r="T896" s="78" t="b">
        <f t="shared" si="956"/>
        <v>0</v>
      </c>
      <c r="U896" s="78" t="b">
        <f t="shared" si="957"/>
        <v>0</v>
      </c>
      <c r="V896" s="78" t="b">
        <f t="shared" si="958"/>
        <v>0</v>
      </c>
      <c r="W896" s="78" t="b">
        <f t="shared" si="959"/>
        <v>0</v>
      </c>
      <c r="X896" s="78" t="b">
        <f t="shared" si="960"/>
        <v>0</v>
      </c>
      <c r="Y896" s="78" t="b">
        <f t="shared" si="961"/>
        <v>0</v>
      </c>
      <c r="Z896" s="78" t="b">
        <f t="shared" si="962"/>
        <v>0</v>
      </c>
      <c r="AA896" s="78" t="b">
        <f t="shared" si="963"/>
        <v>0</v>
      </c>
      <c r="AB896" s="78" t="b">
        <f t="shared" si="964"/>
        <v>0</v>
      </c>
      <c r="AC896" s="78" t="b">
        <f t="shared" si="965"/>
        <v>0</v>
      </c>
      <c r="AD896" s="78" t="b">
        <f t="shared" si="966"/>
        <v>0</v>
      </c>
      <c r="AE896" s="78" t="b">
        <f t="shared" si="967"/>
        <v>0</v>
      </c>
      <c r="AF896" s="78" t="b">
        <f t="shared" si="968"/>
        <v>0</v>
      </c>
      <c r="AG896" s="78" t="b">
        <f t="shared" si="969"/>
        <v>0</v>
      </c>
      <c r="AH896" s="78" t="b">
        <f t="shared" si="970"/>
        <v>0</v>
      </c>
      <c r="AI896" s="78" t="b">
        <f t="shared" si="971"/>
        <v>0</v>
      </c>
      <c r="AJ896" s="78" t="b">
        <f t="shared" si="972"/>
        <v>0</v>
      </c>
      <c r="AK896" s="78" t="b">
        <f t="shared" si="973"/>
        <v>0</v>
      </c>
      <c r="AL896" s="78" t="b">
        <f t="shared" si="974"/>
        <v>0</v>
      </c>
      <c r="AM896" s="78" t="b">
        <f t="shared" si="975"/>
        <v>0</v>
      </c>
      <c r="AN896" s="78" t="b">
        <f t="shared" si="976"/>
        <v>0</v>
      </c>
      <c r="AO896" s="78" t="b">
        <f t="shared" si="977"/>
        <v>0</v>
      </c>
    </row>
    <row r="897" spans="7:41" x14ac:dyDescent="0.35">
      <c r="G897" s="77">
        <f t="shared" si="947"/>
        <v>0</v>
      </c>
      <c r="H897" s="78">
        <f t="shared" si="948"/>
        <v>0</v>
      </c>
      <c r="I897" s="77">
        <f t="shared" si="949"/>
        <v>0</v>
      </c>
      <c r="J897" s="78">
        <f t="shared" si="950"/>
        <v>0</v>
      </c>
      <c r="K897" s="78" t="str">
        <f t="shared" si="951"/>
        <v>1900-01-00 00:0:00</v>
      </c>
      <c r="L897" s="78" t="str">
        <f t="shared" si="952"/>
        <v>1900-01-00 00:0:00</v>
      </c>
      <c r="M897" s="79">
        <f t="shared" si="953"/>
        <v>0</v>
      </c>
      <c r="N897">
        <f t="shared" si="946"/>
        <v>1</v>
      </c>
      <c r="O897" t="str">
        <f>IFERROR(_xlfn.XLOOKUP(A897,HC!A:A,HC!C:C),"")</f>
        <v>Workforce</v>
      </c>
      <c r="R897" s="78" t="b">
        <f t="shared" si="954"/>
        <v>0</v>
      </c>
      <c r="S897" s="78" t="b">
        <f t="shared" si="955"/>
        <v>0</v>
      </c>
      <c r="T897" s="78" t="b">
        <f t="shared" si="956"/>
        <v>0</v>
      </c>
      <c r="U897" s="78" t="b">
        <f t="shared" si="957"/>
        <v>0</v>
      </c>
      <c r="V897" s="78" t="b">
        <f t="shared" si="958"/>
        <v>0</v>
      </c>
      <c r="W897" s="78" t="b">
        <f t="shared" si="959"/>
        <v>0</v>
      </c>
      <c r="X897" s="78" t="b">
        <f t="shared" si="960"/>
        <v>0</v>
      </c>
      <c r="Y897" s="78" t="b">
        <f t="shared" si="961"/>
        <v>0</v>
      </c>
      <c r="Z897" s="78" t="b">
        <f t="shared" si="962"/>
        <v>0</v>
      </c>
      <c r="AA897" s="78" t="b">
        <f t="shared" si="963"/>
        <v>0</v>
      </c>
      <c r="AB897" s="78" t="b">
        <f t="shared" si="964"/>
        <v>0</v>
      </c>
      <c r="AC897" s="78" t="b">
        <f t="shared" si="965"/>
        <v>0</v>
      </c>
      <c r="AD897" s="78" t="b">
        <f t="shared" si="966"/>
        <v>0</v>
      </c>
      <c r="AE897" s="78" t="b">
        <f t="shared" si="967"/>
        <v>0</v>
      </c>
      <c r="AF897" s="78" t="b">
        <f t="shared" si="968"/>
        <v>0</v>
      </c>
      <c r="AG897" s="78" t="b">
        <f t="shared" si="969"/>
        <v>0</v>
      </c>
      <c r="AH897" s="78" t="b">
        <f t="shared" si="970"/>
        <v>0</v>
      </c>
      <c r="AI897" s="78" t="b">
        <f t="shared" si="971"/>
        <v>0</v>
      </c>
      <c r="AJ897" s="78" t="b">
        <f t="shared" si="972"/>
        <v>0</v>
      </c>
      <c r="AK897" s="78" t="b">
        <f t="shared" si="973"/>
        <v>0</v>
      </c>
      <c r="AL897" s="78" t="b">
        <f t="shared" si="974"/>
        <v>0</v>
      </c>
      <c r="AM897" s="78" t="b">
        <f t="shared" si="975"/>
        <v>0</v>
      </c>
      <c r="AN897" s="78" t="b">
        <f t="shared" si="976"/>
        <v>0</v>
      </c>
      <c r="AO897" s="78" t="b">
        <f t="shared" si="977"/>
        <v>0</v>
      </c>
    </row>
    <row r="898" spans="7:41" x14ac:dyDescent="0.35">
      <c r="G898" s="77">
        <f t="shared" si="947"/>
        <v>0</v>
      </c>
      <c r="H898" s="78">
        <f t="shared" si="948"/>
        <v>0</v>
      </c>
      <c r="I898" s="77">
        <f t="shared" si="949"/>
        <v>0</v>
      </c>
      <c r="J898" s="78">
        <f t="shared" si="950"/>
        <v>0</v>
      </c>
      <c r="K898" s="78" t="str">
        <f t="shared" si="951"/>
        <v>1900-01-00 00:0:00</v>
      </c>
      <c r="L898" s="78" t="str">
        <f t="shared" si="952"/>
        <v>1900-01-00 00:0:00</v>
      </c>
      <c r="M898" s="79">
        <f t="shared" si="953"/>
        <v>0</v>
      </c>
      <c r="N898">
        <f t="shared" si="946"/>
        <v>1</v>
      </c>
      <c r="O898" t="str">
        <f>IFERROR(_xlfn.XLOOKUP(A898,HC!A:A,HC!C:C),"")</f>
        <v>Workforce</v>
      </c>
      <c r="R898" s="78" t="b">
        <f t="shared" si="954"/>
        <v>0</v>
      </c>
      <c r="S898" s="78" t="b">
        <f t="shared" si="955"/>
        <v>0</v>
      </c>
      <c r="T898" s="78" t="b">
        <f t="shared" si="956"/>
        <v>0</v>
      </c>
      <c r="U898" s="78" t="b">
        <f t="shared" si="957"/>
        <v>0</v>
      </c>
      <c r="V898" s="78" t="b">
        <f t="shared" si="958"/>
        <v>0</v>
      </c>
      <c r="W898" s="78" t="b">
        <f t="shared" si="959"/>
        <v>0</v>
      </c>
      <c r="X898" s="78" t="b">
        <f t="shared" si="960"/>
        <v>0</v>
      </c>
      <c r="Y898" s="78" t="b">
        <f t="shared" si="961"/>
        <v>0</v>
      </c>
      <c r="Z898" s="78" t="b">
        <f t="shared" si="962"/>
        <v>0</v>
      </c>
      <c r="AA898" s="78" t="b">
        <f t="shared" si="963"/>
        <v>0</v>
      </c>
      <c r="AB898" s="78" t="b">
        <f t="shared" si="964"/>
        <v>0</v>
      </c>
      <c r="AC898" s="78" t="b">
        <f t="shared" si="965"/>
        <v>0</v>
      </c>
      <c r="AD898" s="78" t="b">
        <f t="shared" si="966"/>
        <v>0</v>
      </c>
      <c r="AE898" s="78" t="b">
        <f t="shared" si="967"/>
        <v>0</v>
      </c>
      <c r="AF898" s="78" t="b">
        <f t="shared" si="968"/>
        <v>0</v>
      </c>
      <c r="AG898" s="78" t="b">
        <f t="shared" si="969"/>
        <v>0</v>
      </c>
      <c r="AH898" s="78" t="b">
        <f t="shared" si="970"/>
        <v>0</v>
      </c>
      <c r="AI898" s="78" t="b">
        <f t="shared" si="971"/>
        <v>0</v>
      </c>
      <c r="AJ898" s="78" t="b">
        <f t="shared" si="972"/>
        <v>0</v>
      </c>
      <c r="AK898" s="78" t="b">
        <f t="shared" si="973"/>
        <v>0</v>
      </c>
      <c r="AL898" s="78" t="b">
        <f t="shared" si="974"/>
        <v>0</v>
      </c>
      <c r="AM898" s="78" t="b">
        <f t="shared" si="975"/>
        <v>0</v>
      </c>
      <c r="AN898" s="78" t="b">
        <f t="shared" si="976"/>
        <v>0</v>
      </c>
      <c r="AO898" s="78" t="b">
        <f t="shared" si="977"/>
        <v>0</v>
      </c>
    </row>
    <row r="899" spans="7:41" x14ac:dyDescent="0.35">
      <c r="G899" s="77">
        <f t="shared" si="947"/>
        <v>0</v>
      </c>
      <c r="H899" s="78">
        <f t="shared" si="948"/>
        <v>0</v>
      </c>
      <c r="I899" s="77">
        <f t="shared" si="949"/>
        <v>0</v>
      </c>
      <c r="J899" s="78">
        <f t="shared" si="950"/>
        <v>0</v>
      </c>
      <c r="K899" s="78" t="str">
        <f t="shared" si="951"/>
        <v>1900-01-00 00:0:00</v>
      </c>
      <c r="L899" s="78" t="str">
        <f t="shared" si="952"/>
        <v>1900-01-00 00:0:00</v>
      </c>
      <c r="M899" s="79">
        <f t="shared" si="953"/>
        <v>0</v>
      </c>
      <c r="N899">
        <f t="shared" si="946"/>
        <v>1</v>
      </c>
      <c r="O899" t="str">
        <f>IFERROR(_xlfn.XLOOKUP(A899,HC!A:A,HC!C:C),"")</f>
        <v>Workforce</v>
      </c>
      <c r="R899" s="78" t="b">
        <f t="shared" si="954"/>
        <v>0</v>
      </c>
      <c r="S899" s="78" t="b">
        <f t="shared" si="955"/>
        <v>0</v>
      </c>
      <c r="T899" s="78" t="b">
        <f t="shared" si="956"/>
        <v>0</v>
      </c>
      <c r="U899" s="78" t="b">
        <f t="shared" si="957"/>
        <v>0</v>
      </c>
      <c r="V899" s="78" t="b">
        <f t="shared" si="958"/>
        <v>0</v>
      </c>
      <c r="W899" s="78" t="b">
        <f t="shared" si="959"/>
        <v>0</v>
      </c>
      <c r="X899" s="78" t="b">
        <f t="shared" si="960"/>
        <v>0</v>
      </c>
      <c r="Y899" s="78" t="b">
        <f t="shared" si="961"/>
        <v>0</v>
      </c>
      <c r="Z899" s="78" t="b">
        <f t="shared" si="962"/>
        <v>0</v>
      </c>
      <c r="AA899" s="78" t="b">
        <f t="shared" si="963"/>
        <v>0</v>
      </c>
      <c r="AB899" s="78" t="b">
        <f t="shared" si="964"/>
        <v>0</v>
      </c>
      <c r="AC899" s="78" t="b">
        <f t="shared" si="965"/>
        <v>0</v>
      </c>
      <c r="AD899" s="78" t="b">
        <f t="shared" si="966"/>
        <v>0</v>
      </c>
      <c r="AE899" s="78" t="b">
        <f t="shared" si="967"/>
        <v>0</v>
      </c>
      <c r="AF899" s="78" t="b">
        <f t="shared" si="968"/>
        <v>0</v>
      </c>
      <c r="AG899" s="78" t="b">
        <f t="shared" si="969"/>
        <v>0</v>
      </c>
      <c r="AH899" s="78" t="b">
        <f t="shared" si="970"/>
        <v>0</v>
      </c>
      <c r="AI899" s="78" t="b">
        <f t="shared" si="971"/>
        <v>0</v>
      </c>
      <c r="AJ899" s="78" t="b">
        <f t="shared" si="972"/>
        <v>0</v>
      </c>
      <c r="AK899" s="78" t="b">
        <f t="shared" si="973"/>
        <v>0</v>
      </c>
      <c r="AL899" s="78" t="b">
        <f t="shared" si="974"/>
        <v>0</v>
      </c>
      <c r="AM899" s="78" t="b">
        <f t="shared" si="975"/>
        <v>0</v>
      </c>
      <c r="AN899" s="78" t="b">
        <f t="shared" si="976"/>
        <v>0</v>
      </c>
      <c r="AO899" s="78" t="b">
        <f t="shared" si="977"/>
        <v>0</v>
      </c>
    </row>
    <row r="900" spans="7:41" x14ac:dyDescent="0.35">
      <c r="G900" s="77">
        <f t="shared" si="947"/>
        <v>0</v>
      </c>
      <c r="H900" s="78">
        <f t="shared" si="948"/>
        <v>0</v>
      </c>
      <c r="I900" s="77">
        <f t="shared" si="949"/>
        <v>0</v>
      </c>
      <c r="J900" s="78">
        <f t="shared" si="950"/>
        <v>0</v>
      </c>
      <c r="K900" s="78" t="str">
        <f t="shared" si="951"/>
        <v>1900-01-00 00:0:00</v>
      </c>
      <c r="L900" s="78" t="str">
        <f t="shared" si="952"/>
        <v>1900-01-00 00:0:00</v>
      </c>
      <c r="M900" s="79">
        <f t="shared" si="953"/>
        <v>0</v>
      </c>
      <c r="N900">
        <f t="shared" ref="N900:N963" si="978">IF(M900&lt;$BA$1,1,0)</f>
        <v>1</v>
      </c>
      <c r="O900" t="str">
        <f>IFERROR(_xlfn.XLOOKUP(A900,HC!A:A,HC!C:C),"")</f>
        <v>Workforce</v>
      </c>
      <c r="R900" s="78" t="b">
        <f t="shared" si="954"/>
        <v>0</v>
      </c>
      <c r="S900" s="78" t="b">
        <f t="shared" si="955"/>
        <v>0</v>
      </c>
      <c r="T900" s="78" t="b">
        <f t="shared" si="956"/>
        <v>0</v>
      </c>
      <c r="U900" s="78" t="b">
        <f t="shared" si="957"/>
        <v>0</v>
      </c>
      <c r="V900" s="78" t="b">
        <f t="shared" si="958"/>
        <v>0</v>
      </c>
      <c r="W900" s="78" t="b">
        <f t="shared" si="959"/>
        <v>0</v>
      </c>
      <c r="X900" s="78" t="b">
        <f t="shared" si="960"/>
        <v>0</v>
      </c>
      <c r="Y900" s="78" t="b">
        <f t="shared" si="961"/>
        <v>0</v>
      </c>
      <c r="Z900" s="78" t="b">
        <f t="shared" si="962"/>
        <v>0</v>
      </c>
      <c r="AA900" s="78" t="b">
        <f t="shared" si="963"/>
        <v>0</v>
      </c>
      <c r="AB900" s="78" t="b">
        <f t="shared" si="964"/>
        <v>0</v>
      </c>
      <c r="AC900" s="78" t="b">
        <f t="shared" si="965"/>
        <v>0</v>
      </c>
      <c r="AD900" s="78" t="b">
        <f t="shared" si="966"/>
        <v>0</v>
      </c>
      <c r="AE900" s="78" t="b">
        <f t="shared" si="967"/>
        <v>0</v>
      </c>
      <c r="AF900" s="78" t="b">
        <f t="shared" si="968"/>
        <v>0</v>
      </c>
      <c r="AG900" s="78" t="b">
        <f t="shared" si="969"/>
        <v>0</v>
      </c>
      <c r="AH900" s="78" t="b">
        <f t="shared" si="970"/>
        <v>0</v>
      </c>
      <c r="AI900" s="78" t="b">
        <f t="shared" si="971"/>
        <v>0</v>
      </c>
      <c r="AJ900" s="78" t="b">
        <f t="shared" si="972"/>
        <v>0</v>
      </c>
      <c r="AK900" s="78" t="b">
        <f t="shared" si="973"/>
        <v>0</v>
      </c>
      <c r="AL900" s="78" t="b">
        <f t="shared" si="974"/>
        <v>0</v>
      </c>
      <c r="AM900" s="78" t="b">
        <f t="shared" si="975"/>
        <v>0</v>
      </c>
      <c r="AN900" s="78" t="b">
        <f t="shared" si="976"/>
        <v>0</v>
      </c>
      <c r="AO900" s="78" t="b">
        <f t="shared" si="977"/>
        <v>0</v>
      </c>
    </row>
    <row r="901" spans="7:41" x14ac:dyDescent="0.35">
      <c r="G901" s="77">
        <f t="shared" si="947"/>
        <v>0</v>
      </c>
      <c r="H901" s="78">
        <f t="shared" si="948"/>
        <v>0</v>
      </c>
      <c r="I901" s="77">
        <f t="shared" si="949"/>
        <v>0</v>
      </c>
      <c r="J901" s="78">
        <f t="shared" si="950"/>
        <v>0</v>
      </c>
      <c r="K901" s="78" t="str">
        <f t="shared" si="951"/>
        <v>1900-01-00 00:0:00</v>
      </c>
      <c r="L901" s="78" t="str">
        <f t="shared" si="952"/>
        <v>1900-01-00 00:0:00</v>
      </c>
      <c r="M901" s="79">
        <f t="shared" si="953"/>
        <v>0</v>
      </c>
      <c r="N901">
        <f t="shared" si="978"/>
        <v>1</v>
      </c>
      <c r="O901" t="str">
        <f>IFERROR(_xlfn.XLOOKUP(A901,HC!A:A,HC!C:C),"")</f>
        <v>Workforce</v>
      </c>
      <c r="R901" s="78" t="b">
        <f t="shared" si="954"/>
        <v>0</v>
      </c>
      <c r="S901" s="78" t="b">
        <f t="shared" si="955"/>
        <v>0</v>
      </c>
      <c r="T901" s="78" t="b">
        <f t="shared" si="956"/>
        <v>0</v>
      </c>
      <c r="U901" s="78" t="b">
        <f t="shared" si="957"/>
        <v>0</v>
      </c>
      <c r="V901" s="78" t="b">
        <f t="shared" si="958"/>
        <v>0</v>
      </c>
      <c r="W901" s="78" t="b">
        <f t="shared" si="959"/>
        <v>0</v>
      </c>
      <c r="X901" s="78" t="b">
        <f t="shared" si="960"/>
        <v>0</v>
      </c>
      <c r="Y901" s="78" t="b">
        <f t="shared" si="961"/>
        <v>0</v>
      </c>
      <c r="Z901" s="78" t="b">
        <f t="shared" si="962"/>
        <v>0</v>
      </c>
      <c r="AA901" s="78" t="b">
        <f t="shared" si="963"/>
        <v>0</v>
      </c>
      <c r="AB901" s="78" t="b">
        <f t="shared" si="964"/>
        <v>0</v>
      </c>
      <c r="AC901" s="78" t="b">
        <f t="shared" si="965"/>
        <v>0</v>
      </c>
      <c r="AD901" s="78" t="b">
        <f t="shared" si="966"/>
        <v>0</v>
      </c>
      <c r="AE901" s="78" t="b">
        <f t="shared" si="967"/>
        <v>0</v>
      </c>
      <c r="AF901" s="78" t="b">
        <f t="shared" si="968"/>
        <v>0</v>
      </c>
      <c r="AG901" s="78" t="b">
        <f t="shared" si="969"/>
        <v>0</v>
      </c>
      <c r="AH901" s="78" t="b">
        <f t="shared" si="970"/>
        <v>0</v>
      </c>
      <c r="AI901" s="78" t="b">
        <f t="shared" si="971"/>
        <v>0</v>
      </c>
      <c r="AJ901" s="78" t="b">
        <f t="shared" si="972"/>
        <v>0</v>
      </c>
      <c r="AK901" s="78" t="b">
        <f t="shared" si="973"/>
        <v>0</v>
      </c>
      <c r="AL901" s="78" t="b">
        <f t="shared" si="974"/>
        <v>0</v>
      </c>
      <c r="AM901" s="78" t="b">
        <f t="shared" si="975"/>
        <v>0</v>
      </c>
      <c r="AN901" s="78" t="b">
        <f t="shared" si="976"/>
        <v>0</v>
      </c>
      <c r="AO901" s="78" t="b">
        <f t="shared" si="977"/>
        <v>0</v>
      </c>
    </row>
    <row r="902" spans="7:41" x14ac:dyDescent="0.35">
      <c r="G902" s="77">
        <f t="shared" si="947"/>
        <v>0</v>
      </c>
      <c r="H902" s="78">
        <f t="shared" si="948"/>
        <v>0</v>
      </c>
      <c r="I902" s="77">
        <f t="shared" si="949"/>
        <v>0</v>
      </c>
      <c r="J902" s="78">
        <f t="shared" si="950"/>
        <v>0</v>
      </c>
      <c r="K902" s="78" t="str">
        <f t="shared" si="951"/>
        <v>1900-01-00 00:0:00</v>
      </c>
      <c r="L902" s="78" t="str">
        <f t="shared" si="952"/>
        <v>1900-01-00 00:0:00</v>
      </c>
      <c r="M902" s="79">
        <f t="shared" si="953"/>
        <v>0</v>
      </c>
      <c r="N902">
        <f t="shared" si="978"/>
        <v>1</v>
      </c>
      <c r="O902" t="str">
        <f>IFERROR(_xlfn.XLOOKUP(A902,HC!A:A,HC!C:C),"")</f>
        <v>Workforce</v>
      </c>
      <c r="R902" s="78" t="b">
        <f t="shared" si="954"/>
        <v>0</v>
      </c>
      <c r="S902" s="78" t="b">
        <f t="shared" si="955"/>
        <v>0</v>
      </c>
      <c r="T902" s="78" t="b">
        <f t="shared" si="956"/>
        <v>0</v>
      </c>
      <c r="U902" s="78" t="b">
        <f t="shared" si="957"/>
        <v>0</v>
      </c>
      <c r="V902" s="78" t="b">
        <f t="shared" si="958"/>
        <v>0</v>
      </c>
      <c r="W902" s="78" t="b">
        <f t="shared" si="959"/>
        <v>0</v>
      </c>
      <c r="X902" s="78" t="b">
        <f t="shared" si="960"/>
        <v>0</v>
      </c>
      <c r="Y902" s="78" t="b">
        <f t="shared" si="961"/>
        <v>0</v>
      </c>
      <c r="Z902" s="78" t="b">
        <f t="shared" si="962"/>
        <v>0</v>
      </c>
      <c r="AA902" s="78" t="b">
        <f t="shared" si="963"/>
        <v>0</v>
      </c>
      <c r="AB902" s="78" t="b">
        <f t="shared" si="964"/>
        <v>0</v>
      </c>
      <c r="AC902" s="78" t="b">
        <f t="shared" si="965"/>
        <v>0</v>
      </c>
      <c r="AD902" s="78" t="b">
        <f t="shared" si="966"/>
        <v>0</v>
      </c>
      <c r="AE902" s="78" t="b">
        <f t="shared" si="967"/>
        <v>0</v>
      </c>
      <c r="AF902" s="78" t="b">
        <f t="shared" si="968"/>
        <v>0</v>
      </c>
      <c r="AG902" s="78" t="b">
        <f t="shared" si="969"/>
        <v>0</v>
      </c>
      <c r="AH902" s="78" t="b">
        <f t="shared" si="970"/>
        <v>0</v>
      </c>
      <c r="AI902" s="78" t="b">
        <f t="shared" si="971"/>
        <v>0</v>
      </c>
      <c r="AJ902" s="78" t="b">
        <f t="shared" si="972"/>
        <v>0</v>
      </c>
      <c r="AK902" s="78" t="b">
        <f t="shared" si="973"/>
        <v>0</v>
      </c>
      <c r="AL902" s="78" t="b">
        <f t="shared" si="974"/>
        <v>0</v>
      </c>
      <c r="AM902" s="78" t="b">
        <f t="shared" si="975"/>
        <v>0</v>
      </c>
      <c r="AN902" s="78" t="b">
        <f t="shared" si="976"/>
        <v>0</v>
      </c>
      <c r="AO902" s="78" t="b">
        <f t="shared" si="977"/>
        <v>0</v>
      </c>
    </row>
    <row r="903" spans="7:41" x14ac:dyDescent="0.35">
      <c r="G903" s="77">
        <f t="shared" si="947"/>
        <v>0</v>
      </c>
      <c r="H903" s="78">
        <f t="shared" si="948"/>
        <v>0</v>
      </c>
      <c r="I903" s="77">
        <f t="shared" si="949"/>
        <v>0</v>
      </c>
      <c r="J903" s="78">
        <f t="shared" si="950"/>
        <v>0</v>
      </c>
      <c r="K903" s="78" t="str">
        <f t="shared" si="951"/>
        <v>1900-01-00 00:0:00</v>
      </c>
      <c r="L903" s="78" t="str">
        <f t="shared" si="952"/>
        <v>1900-01-00 00:0:00</v>
      </c>
      <c r="M903" s="79">
        <f t="shared" si="953"/>
        <v>0</v>
      </c>
      <c r="N903">
        <f t="shared" si="978"/>
        <v>1</v>
      </c>
      <c r="O903" t="str">
        <f>IFERROR(_xlfn.XLOOKUP(A903,HC!A:A,HC!C:C),"")</f>
        <v>Workforce</v>
      </c>
      <c r="R903" s="78" t="b">
        <f t="shared" si="954"/>
        <v>0</v>
      </c>
      <c r="S903" s="78" t="b">
        <f t="shared" si="955"/>
        <v>0</v>
      </c>
      <c r="T903" s="78" t="b">
        <f t="shared" si="956"/>
        <v>0</v>
      </c>
      <c r="U903" s="78" t="b">
        <f t="shared" si="957"/>
        <v>0</v>
      </c>
      <c r="V903" s="78" t="b">
        <f t="shared" si="958"/>
        <v>0</v>
      </c>
      <c r="W903" s="78" t="b">
        <f t="shared" si="959"/>
        <v>0</v>
      </c>
      <c r="X903" s="78" t="b">
        <f t="shared" si="960"/>
        <v>0</v>
      </c>
      <c r="Y903" s="78" t="b">
        <f t="shared" si="961"/>
        <v>0</v>
      </c>
      <c r="Z903" s="78" t="b">
        <f t="shared" si="962"/>
        <v>0</v>
      </c>
      <c r="AA903" s="78" t="b">
        <f t="shared" si="963"/>
        <v>0</v>
      </c>
      <c r="AB903" s="78" t="b">
        <f t="shared" si="964"/>
        <v>0</v>
      </c>
      <c r="AC903" s="78" t="b">
        <f t="shared" si="965"/>
        <v>0</v>
      </c>
      <c r="AD903" s="78" t="b">
        <f t="shared" si="966"/>
        <v>0</v>
      </c>
      <c r="AE903" s="78" t="b">
        <f t="shared" si="967"/>
        <v>0</v>
      </c>
      <c r="AF903" s="78" t="b">
        <f t="shared" si="968"/>
        <v>0</v>
      </c>
      <c r="AG903" s="78" t="b">
        <f t="shared" si="969"/>
        <v>0</v>
      </c>
      <c r="AH903" s="78" t="b">
        <f t="shared" si="970"/>
        <v>0</v>
      </c>
      <c r="AI903" s="78" t="b">
        <f t="shared" si="971"/>
        <v>0</v>
      </c>
      <c r="AJ903" s="78" t="b">
        <f t="shared" si="972"/>
        <v>0</v>
      </c>
      <c r="AK903" s="78" t="b">
        <f t="shared" si="973"/>
        <v>0</v>
      </c>
      <c r="AL903" s="78" t="b">
        <f t="shared" si="974"/>
        <v>0</v>
      </c>
      <c r="AM903" s="78" t="b">
        <f t="shared" si="975"/>
        <v>0</v>
      </c>
      <c r="AN903" s="78" t="b">
        <f t="shared" si="976"/>
        <v>0</v>
      </c>
      <c r="AO903" s="78" t="b">
        <f t="shared" si="977"/>
        <v>0</v>
      </c>
    </row>
    <row r="904" spans="7:41" x14ac:dyDescent="0.35">
      <c r="G904" s="77">
        <f t="shared" si="947"/>
        <v>0</v>
      </c>
      <c r="H904" s="78">
        <f t="shared" si="948"/>
        <v>0</v>
      </c>
      <c r="I904" s="77">
        <f t="shared" si="949"/>
        <v>0</v>
      </c>
      <c r="J904" s="78">
        <f t="shared" si="950"/>
        <v>0</v>
      </c>
      <c r="K904" s="78" t="str">
        <f t="shared" si="951"/>
        <v>1900-01-00 00:0:00</v>
      </c>
      <c r="L904" s="78" t="str">
        <f t="shared" si="952"/>
        <v>1900-01-00 00:0:00</v>
      </c>
      <c r="M904" s="79">
        <f t="shared" si="953"/>
        <v>0</v>
      </c>
      <c r="N904">
        <f t="shared" si="978"/>
        <v>1</v>
      </c>
      <c r="O904" t="str">
        <f>IFERROR(_xlfn.XLOOKUP(A904,HC!A:A,HC!C:C),"")</f>
        <v>Workforce</v>
      </c>
      <c r="R904" s="78" t="b">
        <f t="shared" si="954"/>
        <v>0</v>
      </c>
      <c r="S904" s="78" t="b">
        <f t="shared" si="955"/>
        <v>0</v>
      </c>
      <c r="T904" s="78" t="b">
        <f t="shared" si="956"/>
        <v>0</v>
      </c>
      <c r="U904" s="78" t="b">
        <f t="shared" si="957"/>
        <v>0</v>
      </c>
      <c r="V904" s="78" t="b">
        <f t="shared" si="958"/>
        <v>0</v>
      </c>
      <c r="W904" s="78" t="b">
        <f t="shared" si="959"/>
        <v>0</v>
      </c>
      <c r="X904" s="78" t="b">
        <f t="shared" si="960"/>
        <v>0</v>
      </c>
      <c r="Y904" s="78" t="b">
        <f t="shared" si="961"/>
        <v>0</v>
      </c>
      <c r="Z904" s="78" t="b">
        <f t="shared" si="962"/>
        <v>0</v>
      </c>
      <c r="AA904" s="78" t="b">
        <f t="shared" si="963"/>
        <v>0</v>
      </c>
      <c r="AB904" s="78" t="b">
        <f t="shared" si="964"/>
        <v>0</v>
      </c>
      <c r="AC904" s="78" t="b">
        <f t="shared" si="965"/>
        <v>0</v>
      </c>
      <c r="AD904" s="78" t="b">
        <f t="shared" si="966"/>
        <v>0</v>
      </c>
      <c r="AE904" s="78" t="b">
        <f t="shared" si="967"/>
        <v>0</v>
      </c>
      <c r="AF904" s="78" t="b">
        <f t="shared" si="968"/>
        <v>0</v>
      </c>
      <c r="AG904" s="78" t="b">
        <f t="shared" si="969"/>
        <v>0</v>
      </c>
      <c r="AH904" s="78" t="b">
        <f t="shared" si="970"/>
        <v>0</v>
      </c>
      <c r="AI904" s="78" t="b">
        <f t="shared" si="971"/>
        <v>0</v>
      </c>
      <c r="AJ904" s="78" t="b">
        <f t="shared" si="972"/>
        <v>0</v>
      </c>
      <c r="AK904" s="78" t="b">
        <f t="shared" si="973"/>
        <v>0</v>
      </c>
      <c r="AL904" s="78" t="b">
        <f t="shared" si="974"/>
        <v>0</v>
      </c>
      <c r="AM904" s="78" t="b">
        <f t="shared" si="975"/>
        <v>0</v>
      </c>
      <c r="AN904" s="78" t="b">
        <f t="shared" si="976"/>
        <v>0</v>
      </c>
      <c r="AO904" s="78" t="b">
        <f t="shared" si="977"/>
        <v>0</v>
      </c>
    </row>
    <row r="905" spans="7:41" x14ac:dyDescent="0.35">
      <c r="G905" s="77">
        <f t="shared" si="947"/>
        <v>0</v>
      </c>
      <c r="H905" s="78">
        <f t="shared" si="948"/>
        <v>0</v>
      </c>
      <c r="I905" s="77">
        <f t="shared" si="949"/>
        <v>0</v>
      </c>
      <c r="J905" s="78">
        <f t="shared" si="950"/>
        <v>0</v>
      </c>
      <c r="K905" s="78" t="str">
        <f t="shared" si="951"/>
        <v>1900-01-00 00:0:00</v>
      </c>
      <c r="L905" s="78" t="str">
        <f t="shared" si="952"/>
        <v>1900-01-00 00:0:00</v>
      </c>
      <c r="M905" s="79">
        <f t="shared" si="953"/>
        <v>0</v>
      </c>
      <c r="N905">
        <f t="shared" si="978"/>
        <v>1</v>
      </c>
      <c r="O905" t="str">
        <f>IFERROR(_xlfn.XLOOKUP(A905,HC!A:A,HC!C:C),"")</f>
        <v>Workforce</v>
      </c>
      <c r="R905" s="78" t="b">
        <f t="shared" si="954"/>
        <v>0</v>
      </c>
      <c r="S905" s="78" t="b">
        <f t="shared" si="955"/>
        <v>0</v>
      </c>
      <c r="T905" s="78" t="b">
        <f t="shared" si="956"/>
        <v>0</v>
      </c>
      <c r="U905" s="78" t="b">
        <f t="shared" si="957"/>
        <v>0</v>
      </c>
      <c r="V905" s="78" t="b">
        <f t="shared" si="958"/>
        <v>0</v>
      </c>
      <c r="W905" s="78" t="b">
        <f t="shared" si="959"/>
        <v>0</v>
      </c>
      <c r="X905" s="78" t="b">
        <f t="shared" si="960"/>
        <v>0</v>
      </c>
      <c r="Y905" s="78" t="b">
        <f t="shared" si="961"/>
        <v>0</v>
      </c>
      <c r="Z905" s="78" t="b">
        <f t="shared" si="962"/>
        <v>0</v>
      </c>
      <c r="AA905" s="78" t="b">
        <f t="shared" si="963"/>
        <v>0</v>
      </c>
      <c r="AB905" s="78" t="b">
        <f t="shared" si="964"/>
        <v>0</v>
      </c>
      <c r="AC905" s="78" t="b">
        <f t="shared" si="965"/>
        <v>0</v>
      </c>
      <c r="AD905" s="78" t="b">
        <f t="shared" si="966"/>
        <v>0</v>
      </c>
      <c r="AE905" s="78" t="b">
        <f t="shared" si="967"/>
        <v>0</v>
      </c>
      <c r="AF905" s="78" t="b">
        <f t="shared" si="968"/>
        <v>0</v>
      </c>
      <c r="AG905" s="78" t="b">
        <f t="shared" si="969"/>
        <v>0</v>
      </c>
      <c r="AH905" s="78" t="b">
        <f t="shared" si="970"/>
        <v>0</v>
      </c>
      <c r="AI905" s="78" t="b">
        <f t="shared" si="971"/>
        <v>0</v>
      </c>
      <c r="AJ905" s="78" t="b">
        <f t="shared" si="972"/>
        <v>0</v>
      </c>
      <c r="AK905" s="78" t="b">
        <f t="shared" si="973"/>
        <v>0</v>
      </c>
      <c r="AL905" s="78" t="b">
        <f t="shared" si="974"/>
        <v>0</v>
      </c>
      <c r="AM905" s="78" t="b">
        <f t="shared" si="975"/>
        <v>0</v>
      </c>
      <c r="AN905" s="78" t="b">
        <f t="shared" si="976"/>
        <v>0</v>
      </c>
      <c r="AO905" s="78" t="b">
        <f t="shared" si="977"/>
        <v>0</v>
      </c>
    </row>
    <row r="906" spans="7:41" x14ac:dyDescent="0.35">
      <c r="G906" s="77">
        <f t="shared" si="947"/>
        <v>0</v>
      </c>
      <c r="H906" s="78">
        <f t="shared" si="948"/>
        <v>0</v>
      </c>
      <c r="I906" s="77">
        <f t="shared" si="949"/>
        <v>0</v>
      </c>
      <c r="J906" s="78">
        <f t="shared" si="950"/>
        <v>0</v>
      </c>
      <c r="K906" s="78" t="str">
        <f t="shared" si="951"/>
        <v>1900-01-00 00:0:00</v>
      </c>
      <c r="L906" s="78" t="str">
        <f t="shared" si="952"/>
        <v>1900-01-00 00:0:00</v>
      </c>
      <c r="M906" s="79">
        <f t="shared" si="953"/>
        <v>0</v>
      </c>
      <c r="N906">
        <f t="shared" si="978"/>
        <v>1</v>
      </c>
      <c r="O906" t="str">
        <f>IFERROR(_xlfn.XLOOKUP(A906,HC!A:A,HC!C:C),"")</f>
        <v>Workforce</v>
      </c>
      <c r="R906" s="78" t="b">
        <f t="shared" si="954"/>
        <v>0</v>
      </c>
      <c r="S906" s="78" t="b">
        <f t="shared" si="955"/>
        <v>0</v>
      </c>
      <c r="T906" s="78" t="b">
        <f t="shared" si="956"/>
        <v>0</v>
      </c>
      <c r="U906" s="78" t="b">
        <f t="shared" si="957"/>
        <v>0</v>
      </c>
      <c r="V906" s="78" t="b">
        <f t="shared" si="958"/>
        <v>0</v>
      </c>
      <c r="W906" s="78" t="b">
        <f t="shared" si="959"/>
        <v>0</v>
      </c>
      <c r="X906" s="78" t="b">
        <f t="shared" si="960"/>
        <v>0</v>
      </c>
      <c r="Y906" s="78" t="b">
        <f t="shared" si="961"/>
        <v>0</v>
      </c>
      <c r="Z906" s="78" t="b">
        <f t="shared" si="962"/>
        <v>0</v>
      </c>
      <c r="AA906" s="78" t="b">
        <f t="shared" si="963"/>
        <v>0</v>
      </c>
      <c r="AB906" s="78" t="b">
        <f t="shared" si="964"/>
        <v>0</v>
      </c>
      <c r="AC906" s="78" t="b">
        <f t="shared" si="965"/>
        <v>0</v>
      </c>
      <c r="AD906" s="78" t="b">
        <f t="shared" si="966"/>
        <v>0</v>
      </c>
      <c r="AE906" s="78" t="b">
        <f t="shared" si="967"/>
        <v>0</v>
      </c>
      <c r="AF906" s="78" t="b">
        <f t="shared" si="968"/>
        <v>0</v>
      </c>
      <c r="AG906" s="78" t="b">
        <f t="shared" si="969"/>
        <v>0</v>
      </c>
      <c r="AH906" s="78" t="b">
        <f t="shared" si="970"/>
        <v>0</v>
      </c>
      <c r="AI906" s="78" t="b">
        <f t="shared" si="971"/>
        <v>0</v>
      </c>
      <c r="AJ906" s="78" t="b">
        <f t="shared" si="972"/>
        <v>0</v>
      </c>
      <c r="AK906" s="78" t="b">
        <f t="shared" si="973"/>
        <v>0</v>
      </c>
      <c r="AL906" s="78" t="b">
        <f t="shared" si="974"/>
        <v>0</v>
      </c>
      <c r="AM906" s="78" t="b">
        <f t="shared" si="975"/>
        <v>0</v>
      </c>
      <c r="AN906" s="78" t="b">
        <f t="shared" si="976"/>
        <v>0</v>
      </c>
      <c r="AO906" s="78" t="b">
        <f t="shared" si="977"/>
        <v>0</v>
      </c>
    </row>
    <row r="907" spans="7:41" x14ac:dyDescent="0.35">
      <c r="G907" s="77">
        <f t="shared" si="947"/>
        <v>0</v>
      </c>
      <c r="H907" s="78">
        <f t="shared" si="948"/>
        <v>0</v>
      </c>
      <c r="I907" s="77">
        <f t="shared" si="949"/>
        <v>0</v>
      </c>
      <c r="J907" s="78">
        <f t="shared" si="950"/>
        <v>0</v>
      </c>
      <c r="K907" s="78" t="str">
        <f t="shared" si="951"/>
        <v>1900-01-00 00:0:00</v>
      </c>
      <c r="L907" s="78" t="str">
        <f t="shared" si="952"/>
        <v>1900-01-00 00:0:00</v>
      </c>
      <c r="M907" s="79">
        <f t="shared" si="953"/>
        <v>0</v>
      </c>
      <c r="N907">
        <f t="shared" si="978"/>
        <v>1</v>
      </c>
      <c r="O907" t="str">
        <f>IFERROR(_xlfn.XLOOKUP(A907,HC!A:A,HC!C:C),"")</f>
        <v>Workforce</v>
      </c>
      <c r="R907" s="78" t="b">
        <f t="shared" si="954"/>
        <v>0</v>
      </c>
      <c r="S907" s="78" t="b">
        <f t="shared" si="955"/>
        <v>0</v>
      </c>
      <c r="T907" s="78" t="b">
        <f t="shared" si="956"/>
        <v>0</v>
      </c>
      <c r="U907" s="78" t="b">
        <f t="shared" si="957"/>
        <v>0</v>
      </c>
      <c r="V907" s="78" t="b">
        <f t="shared" si="958"/>
        <v>0</v>
      </c>
      <c r="W907" s="78" t="b">
        <f t="shared" si="959"/>
        <v>0</v>
      </c>
      <c r="X907" s="78" t="b">
        <f t="shared" si="960"/>
        <v>0</v>
      </c>
      <c r="Y907" s="78" t="b">
        <f t="shared" si="961"/>
        <v>0</v>
      </c>
      <c r="Z907" s="78" t="b">
        <f t="shared" si="962"/>
        <v>0</v>
      </c>
      <c r="AA907" s="78" t="b">
        <f t="shared" si="963"/>
        <v>0</v>
      </c>
      <c r="AB907" s="78" t="b">
        <f t="shared" si="964"/>
        <v>0</v>
      </c>
      <c r="AC907" s="78" t="b">
        <f t="shared" si="965"/>
        <v>0</v>
      </c>
      <c r="AD907" s="78" t="b">
        <f t="shared" si="966"/>
        <v>0</v>
      </c>
      <c r="AE907" s="78" t="b">
        <f t="shared" si="967"/>
        <v>0</v>
      </c>
      <c r="AF907" s="78" t="b">
        <f t="shared" si="968"/>
        <v>0</v>
      </c>
      <c r="AG907" s="78" t="b">
        <f t="shared" si="969"/>
        <v>0</v>
      </c>
      <c r="AH907" s="78" t="b">
        <f t="shared" si="970"/>
        <v>0</v>
      </c>
      <c r="AI907" s="78" t="b">
        <f t="shared" si="971"/>
        <v>0</v>
      </c>
      <c r="AJ907" s="78" t="b">
        <f t="shared" si="972"/>
        <v>0</v>
      </c>
      <c r="AK907" s="78" t="b">
        <f t="shared" si="973"/>
        <v>0</v>
      </c>
      <c r="AL907" s="78" t="b">
        <f t="shared" si="974"/>
        <v>0</v>
      </c>
      <c r="AM907" s="78" t="b">
        <f t="shared" si="975"/>
        <v>0</v>
      </c>
      <c r="AN907" s="78" t="b">
        <f t="shared" si="976"/>
        <v>0</v>
      </c>
      <c r="AO907" s="78" t="b">
        <f t="shared" si="977"/>
        <v>0</v>
      </c>
    </row>
    <row r="908" spans="7:41" x14ac:dyDescent="0.35">
      <c r="G908" s="77">
        <f t="shared" si="947"/>
        <v>0</v>
      </c>
      <c r="H908" s="78">
        <f t="shared" si="948"/>
        <v>0</v>
      </c>
      <c r="I908" s="77">
        <f t="shared" si="949"/>
        <v>0</v>
      </c>
      <c r="J908" s="78">
        <f t="shared" si="950"/>
        <v>0</v>
      </c>
      <c r="K908" s="78" t="str">
        <f t="shared" si="951"/>
        <v>1900-01-00 00:0:00</v>
      </c>
      <c r="L908" s="78" t="str">
        <f t="shared" si="952"/>
        <v>1900-01-00 00:0:00</v>
      </c>
      <c r="M908" s="79">
        <f t="shared" si="953"/>
        <v>0</v>
      </c>
      <c r="N908">
        <f t="shared" si="978"/>
        <v>1</v>
      </c>
      <c r="O908" t="str">
        <f>IFERROR(_xlfn.XLOOKUP(A908,HC!A:A,HC!C:C),"")</f>
        <v>Workforce</v>
      </c>
      <c r="R908" s="78" t="b">
        <f t="shared" si="954"/>
        <v>0</v>
      </c>
      <c r="S908" s="78" t="b">
        <f t="shared" si="955"/>
        <v>0</v>
      </c>
      <c r="T908" s="78" t="b">
        <f t="shared" si="956"/>
        <v>0</v>
      </c>
      <c r="U908" s="78" t="b">
        <f t="shared" si="957"/>
        <v>0</v>
      </c>
      <c r="V908" s="78" t="b">
        <f t="shared" si="958"/>
        <v>0</v>
      </c>
      <c r="W908" s="78" t="b">
        <f t="shared" si="959"/>
        <v>0</v>
      </c>
      <c r="X908" s="78" t="b">
        <f t="shared" si="960"/>
        <v>0</v>
      </c>
      <c r="Y908" s="78" t="b">
        <f t="shared" si="961"/>
        <v>0</v>
      </c>
      <c r="Z908" s="78" t="b">
        <f t="shared" si="962"/>
        <v>0</v>
      </c>
      <c r="AA908" s="78" t="b">
        <f t="shared" si="963"/>
        <v>0</v>
      </c>
      <c r="AB908" s="78" t="b">
        <f t="shared" si="964"/>
        <v>0</v>
      </c>
      <c r="AC908" s="78" t="b">
        <f t="shared" si="965"/>
        <v>0</v>
      </c>
      <c r="AD908" s="78" t="b">
        <f t="shared" si="966"/>
        <v>0</v>
      </c>
      <c r="AE908" s="78" t="b">
        <f t="shared" si="967"/>
        <v>0</v>
      </c>
      <c r="AF908" s="78" t="b">
        <f t="shared" si="968"/>
        <v>0</v>
      </c>
      <c r="AG908" s="78" t="b">
        <f t="shared" si="969"/>
        <v>0</v>
      </c>
      <c r="AH908" s="78" t="b">
        <f t="shared" si="970"/>
        <v>0</v>
      </c>
      <c r="AI908" s="78" t="b">
        <f t="shared" si="971"/>
        <v>0</v>
      </c>
      <c r="AJ908" s="78" t="b">
        <f t="shared" si="972"/>
        <v>0</v>
      </c>
      <c r="AK908" s="78" t="b">
        <f t="shared" si="973"/>
        <v>0</v>
      </c>
      <c r="AL908" s="78" t="b">
        <f t="shared" si="974"/>
        <v>0</v>
      </c>
      <c r="AM908" s="78" t="b">
        <f t="shared" si="975"/>
        <v>0</v>
      </c>
      <c r="AN908" s="78" t="b">
        <f t="shared" si="976"/>
        <v>0</v>
      </c>
      <c r="AO908" s="78" t="b">
        <f t="shared" si="977"/>
        <v>0</v>
      </c>
    </row>
    <row r="909" spans="7:41" x14ac:dyDescent="0.35">
      <c r="G909" s="77">
        <f t="shared" si="947"/>
        <v>0</v>
      </c>
      <c r="H909" s="78">
        <f t="shared" si="948"/>
        <v>0</v>
      </c>
      <c r="I909" s="77">
        <f t="shared" si="949"/>
        <v>0</v>
      </c>
      <c r="J909" s="78">
        <f t="shared" si="950"/>
        <v>0</v>
      </c>
      <c r="K909" s="78" t="str">
        <f t="shared" si="951"/>
        <v>1900-01-00 00:0:00</v>
      </c>
      <c r="L909" s="78" t="str">
        <f t="shared" si="952"/>
        <v>1900-01-00 00:0:00</v>
      </c>
      <c r="M909" s="79">
        <f t="shared" si="953"/>
        <v>0</v>
      </c>
      <c r="N909">
        <f t="shared" si="978"/>
        <v>1</v>
      </c>
      <c r="O909" t="str">
        <f>IFERROR(_xlfn.XLOOKUP(A909,HC!A:A,HC!C:C),"")</f>
        <v>Workforce</v>
      </c>
      <c r="R909" s="78" t="b">
        <f t="shared" si="954"/>
        <v>0</v>
      </c>
      <c r="S909" s="78" t="b">
        <f t="shared" si="955"/>
        <v>0</v>
      </c>
      <c r="T909" s="78" t="b">
        <f t="shared" si="956"/>
        <v>0</v>
      </c>
      <c r="U909" s="78" t="b">
        <f t="shared" si="957"/>
        <v>0</v>
      </c>
      <c r="V909" s="78" t="b">
        <f t="shared" si="958"/>
        <v>0</v>
      </c>
      <c r="W909" s="78" t="b">
        <f t="shared" si="959"/>
        <v>0</v>
      </c>
      <c r="X909" s="78" t="b">
        <f t="shared" si="960"/>
        <v>0</v>
      </c>
      <c r="Y909" s="78" t="b">
        <f t="shared" si="961"/>
        <v>0</v>
      </c>
      <c r="Z909" s="78" t="b">
        <f t="shared" si="962"/>
        <v>0</v>
      </c>
      <c r="AA909" s="78" t="b">
        <f t="shared" si="963"/>
        <v>0</v>
      </c>
      <c r="AB909" s="78" t="b">
        <f t="shared" si="964"/>
        <v>0</v>
      </c>
      <c r="AC909" s="78" t="b">
        <f t="shared" si="965"/>
        <v>0</v>
      </c>
      <c r="AD909" s="78" t="b">
        <f t="shared" si="966"/>
        <v>0</v>
      </c>
      <c r="AE909" s="78" t="b">
        <f t="shared" si="967"/>
        <v>0</v>
      </c>
      <c r="AF909" s="78" t="b">
        <f t="shared" si="968"/>
        <v>0</v>
      </c>
      <c r="AG909" s="78" t="b">
        <f t="shared" si="969"/>
        <v>0</v>
      </c>
      <c r="AH909" s="78" t="b">
        <f t="shared" si="970"/>
        <v>0</v>
      </c>
      <c r="AI909" s="78" t="b">
        <f t="shared" si="971"/>
        <v>0</v>
      </c>
      <c r="AJ909" s="78" t="b">
        <f t="shared" si="972"/>
        <v>0</v>
      </c>
      <c r="AK909" s="78" t="b">
        <f t="shared" si="973"/>
        <v>0</v>
      </c>
      <c r="AL909" s="78" t="b">
        <f t="shared" si="974"/>
        <v>0</v>
      </c>
      <c r="AM909" s="78" t="b">
        <f t="shared" si="975"/>
        <v>0</v>
      </c>
      <c r="AN909" s="78" t="b">
        <f t="shared" si="976"/>
        <v>0</v>
      </c>
      <c r="AO909" s="78" t="b">
        <f t="shared" si="977"/>
        <v>0</v>
      </c>
    </row>
    <row r="910" spans="7:41" x14ac:dyDescent="0.35">
      <c r="G910" s="77">
        <f t="shared" si="947"/>
        <v>0</v>
      </c>
      <c r="H910" s="78">
        <f t="shared" si="948"/>
        <v>0</v>
      </c>
      <c r="I910" s="77">
        <f t="shared" si="949"/>
        <v>0</v>
      </c>
      <c r="J910" s="78">
        <f t="shared" si="950"/>
        <v>0</v>
      </c>
      <c r="K910" s="78" t="str">
        <f t="shared" si="951"/>
        <v>1900-01-00 00:0:00</v>
      </c>
      <c r="L910" s="78" t="str">
        <f t="shared" si="952"/>
        <v>1900-01-00 00:0:00</v>
      </c>
      <c r="M910" s="79">
        <f t="shared" si="953"/>
        <v>0</v>
      </c>
      <c r="N910">
        <f t="shared" si="978"/>
        <v>1</v>
      </c>
      <c r="O910" t="str">
        <f>IFERROR(_xlfn.XLOOKUP(A910,HC!A:A,HC!C:C),"")</f>
        <v>Workforce</v>
      </c>
      <c r="R910" s="78" t="b">
        <f t="shared" si="954"/>
        <v>0</v>
      </c>
      <c r="S910" s="78" t="b">
        <f t="shared" si="955"/>
        <v>0</v>
      </c>
      <c r="T910" s="78" t="b">
        <f t="shared" si="956"/>
        <v>0</v>
      </c>
      <c r="U910" s="78" t="b">
        <f t="shared" si="957"/>
        <v>0</v>
      </c>
      <c r="V910" s="78" t="b">
        <f t="shared" si="958"/>
        <v>0</v>
      </c>
      <c r="W910" s="78" t="b">
        <f t="shared" si="959"/>
        <v>0</v>
      </c>
      <c r="X910" s="78" t="b">
        <f t="shared" si="960"/>
        <v>0</v>
      </c>
      <c r="Y910" s="78" t="b">
        <f t="shared" si="961"/>
        <v>0</v>
      </c>
      <c r="Z910" s="78" t="b">
        <f t="shared" si="962"/>
        <v>0</v>
      </c>
      <c r="AA910" s="78" t="b">
        <f t="shared" si="963"/>
        <v>0</v>
      </c>
      <c r="AB910" s="78" t="b">
        <f t="shared" si="964"/>
        <v>0</v>
      </c>
      <c r="AC910" s="78" t="b">
        <f t="shared" si="965"/>
        <v>0</v>
      </c>
      <c r="AD910" s="78" t="b">
        <f t="shared" si="966"/>
        <v>0</v>
      </c>
      <c r="AE910" s="78" t="b">
        <f t="shared" si="967"/>
        <v>0</v>
      </c>
      <c r="AF910" s="78" t="b">
        <f t="shared" si="968"/>
        <v>0</v>
      </c>
      <c r="AG910" s="78" t="b">
        <f t="shared" si="969"/>
        <v>0</v>
      </c>
      <c r="AH910" s="78" t="b">
        <f t="shared" si="970"/>
        <v>0</v>
      </c>
      <c r="AI910" s="78" t="b">
        <f t="shared" si="971"/>
        <v>0</v>
      </c>
      <c r="AJ910" s="78" t="b">
        <f t="shared" si="972"/>
        <v>0</v>
      </c>
      <c r="AK910" s="78" t="b">
        <f t="shared" si="973"/>
        <v>0</v>
      </c>
      <c r="AL910" s="78" t="b">
        <f t="shared" si="974"/>
        <v>0</v>
      </c>
      <c r="AM910" s="78" t="b">
        <f t="shared" si="975"/>
        <v>0</v>
      </c>
      <c r="AN910" s="78" t="b">
        <f t="shared" si="976"/>
        <v>0</v>
      </c>
      <c r="AO910" s="78" t="b">
        <f t="shared" si="977"/>
        <v>0</v>
      </c>
    </row>
    <row r="911" spans="7:41" x14ac:dyDescent="0.35">
      <c r="G911" s="77">
        <f t="shared" si="947"/>
        <v>0</v>
      </c>
      <c r="H911" s="78">
        <f t="shared" si="948"/>
        <v>0</v>
      </c>
      <c r="I911" s="77">
        <f t="shared" si="949"/>
        <v>0</v>
      </c>
      <c r="J911" s="78">
        <f t="shared" si="950"/>
        <v>0</v>
      </c>
      <c r="K911" s="78" t="str">
        <f t="shared" si="951"/>
        <v>1900-01-00 00:0:00</v>
      </c>
      <c r="L911" s="78" t="str">
        <f t="shared" si="952"/>
        <v>1900-01-00 00:0:00</v>
      </c>
      <c r="M911" s="79">
        <f t="shared" si="953"/>
        <v>0</v>
      </c>
      <c r="N911">
        <f t="shared" si="978"/>
        <v>1</v>
      </c>
      <c r="O911" t="str">
        <f>IFERROR(_xlfn.XLOOKUP(A911,HC!A:A,HC!C:C),"")</f>
        <v>Workforce</v>
      </c>
      <c r="R911" s="78" t="b">
        <f t="shared" si="954"/>
        <v>0</v>
      </c>
      <c r="S911" s="78" t="b">
        <f t="shared" si="955"/>
        <v>0</v>
      </c>
      <c r="T911" s="78" t="b">
        <f t="shared" si="956"/>
        <v>0</v>
      </c>
      <c r="U911" s="78" t="b">
        <f t="shared" si="957"/>
        <v>0</v>
      </c>
      <c r="V911" s="78" t="b">
        <f t="shared" si="958"/>
        <v>0</v>
      </c>
      <c r="W911" s="78" t="b">
        <f t="shared" si="959"/>
        <v>0</v>
      </c>
      <c r="X911" s="78" t="b">
        <f t="shared" si="960"/>
        <v>0</v>
      </c>
      <c r="Y911" s="78" t="b">
        <f t="shared" si="961"/>
        <v>0</v>
      </c>
      <c r="Z911" s="78" t="b">
        <f t="shared" si="962"/>
        <v>0</v>
      </c>
      <c r="AA911" s="78" t="b">
        <f t="shared" si="963"/>
        <v>0</v>
      </c>
      <c r="AB911" s="78" t="b">
        <f t="shared" si="964"/>
        <v>0</v>
      </c>
      <c r="AC911" s="78" t="b">
        <f t="shared" si="965"/>
        <v>0</v>
      </c>
      <c r="AD911" s="78" t="b">
        <f t="shared" si="966"/>
        <v>0</v>
      </c>
      <c r="AE911" s="78" t="b">
        <f t="shared" si="967"/>
        <v>0</v>
      </c>
      <c r="AF911" s="78" t="b">
        <f t="shared" si="968"/>
        <v>0</v>
      </c>
      <c r="AG911" s="78" t="b">
        <f t="shared" si="969"/>
        <v>0</v>
      </c>
      <c r="AH911" s="78" t="b">
        <f t="shared" si="970"/>
        <v>0</v>
      </c>
      <c r="AI911" s="78" t="b">
        <f t="shared" si="971"/>
        <v>0</v>
      </c>
      <c r="AJ911" s="78" t="b">
        <f t="shared" si="972"/>
        <v>0</v>
      </c>
      <c r="AK911" s="78" t="b">
        <f t="shared" si="973"/>
        <v>0</v>
      </c>
      <c r="AL911" s="78" t="b">
        <f t="shared" si="974"/>
        <v>0</v>
      </c>
      <c r="AM911" s="78" t="b">
        <f t="shared" si="975"/>
        <v>0</v>
      </c>
      <c r="AN911" s="78" t="b">
        <f t="shared" si="976"/>
        <v>0</v>
      </c>
      <c r="AO911" s="78" t="b">
        <f t="shared" si="977"/>
        <v>0</v>
      </c>
    </row>
    <row r="912" spans="7:41" x14ac:dyDescent="0.35">
      <c r="G912" s="77">
        <f t="shared" si="947"/>
        <v>0</v>
      </c>
      <c r="H912" s="78">
        <f t="shared" si="948"/>
        <v>0</v>
      </c>
      <c r="I912" s="77">
        <f t="shared" si="949"/>
        <v>0</v>
      </c>
      <c r="J912" s="78">
        <f t="shared" si="950"/>
        <v>0</v>
      </c>
      <c r="K912" s="78" t="str">
        <f t="shared" si="951"/>
        <v>1900-01-00 00:0:00</v>
      </c>
      <c r="L912" s="78" t="str">
        <f t="shared" si="952"/>
        <v>1900-01-00 00:0:00</v>
      </c>
      <c r="M912" s="79">
        <f t="shared" si="953"/>
        <v>0</v>
      </c>
      <c r="N912">
        <f t="shared" si="978"/>
        <v>1</v>
      </c>
      <c r="O912" t="str">
        <f>IFERROR(_xlfn.XLOOKUP(A912,HC!A:A,HC!C:C),"")</f>
        <v>Workforce</v>
      </c>
      <c r="R912" s="78" t="b">
        <f t="shared" si="954"/>
        <v>0</v>
      </c>
      <c r="S912" s="78" t="b">
        <f t="shared" si="955"/>
        <v>0</v>
      </c>
      <c r="T912" s="78" t="b">
        <f t="shared" si="956"/>
        <v>0</v>
      </c>
      <c r="U912" s="78" t="b">
        <f t="shared" si="957"/>
        <v>0</v>
      </c>
      <c r="V912" s="78" t="b">
        <f t="shared" si="958"/>
        <v>0</v>
      </c>
      <c r="W912" s="78" t="b">
        <f t="shared" si="959"/>
        <v>0</v>
      </c>
      <c r="X912" s="78" t="b">
        <f t="shared" si="960"/>
        <v>0</v>
      </c>
      <c r="Y912" s="78" t="b">
        <f t="shared" si="961"/>
        <v>0</v>
      </c>
      <c r="Z912" s="78" t="b">
        <f t="shared" si="962"/>
        <v>0</v>
      </c>
      <c r="AA912" s="78" t="b">
        <f t="shared" si="963"/>
        <v>0</v>
      </c>
      <c r="AB912" s="78" t="b">
        <f t="shared" si="964"/>
        <v>0</v>
      </c>
      <c r="AC912" s="78" t="b">
        <f t="shared" si="965"/>
        <v>0</v>
      </c>
      <c r="AD912" s="78" t="b">
        <f t="shared" si="966"/>
        <v>0</v>
      </c>
      <c r="AE912" s="78" t="b">
        <f t="shared" si="967"/>
        <v>0</v>
      </c>
      <c r="AF912" s="78" t="b">
        <f t="shared" si="968"/>
        <v>0</v>
      </c>
      <c r="AG912" s="78" t="b">
        <f t="shared" si="969"/>
        <v>0</v>
      </c>
      <c r="AH912" s="78" t="b">
        <f t="shared" si="970"/>
        <v>0</v>
      </c>
      <c r="AI912" s="78" t="b">
        <f t="shared" si="971"/>
        <v>0</v>
      </c>
      <c r="AJ912" s="78" t="b">
        <f t="shared" si="972"/>
        <v>0</v>
      </c>
      <c r="AK912" s="78" t="b">
        <f t="shared" si="973"/>
        <v>0</v>
      </c>
      <c r="AL912" s="78" t="b">
        <f t="shared" si="974"/>
        <v>0</v>
      </c>
      <c r="AM912" s="78" t="b">
        <f t="shared" si="975"/>
        <v>0</v>
      </c>
      <c r="AN912" s="78" t="b">
        <f t="shared" si="976"/>
        <v>0</v>
      </c>
      <c r="AO912" s="78" t="b">
        <f t="shared" si="977"/>
        <v>0</v>
      </c>
    </row>
    <row r="913" spans="7:41" x14ac:dyDescent="0.35">
      <c r="G913" s="77">
        <f t="shared" si="947"/>
        <v>0</v>
      </c>
      <c r="H913" s="78">
        <f t="shared" si="948"/>
        <v>0</v>
      </c>
      <c r="I913" s="77">
        <f t="shared" si="949"/>
        <v>0</v>
      </c>
      <c r="J913" s="78">
        <f t="shared" si="950"/>
        <v>0</v>
      </c>
      <c r="K913" s="78" t="str">
        <f t="shared" si="951"/>
        <v>1900-01-00 00:0:00</v>
      </c>
      <c r="L913" s="78" t="str">
        <f t="shared" si="952"/>
        <v>1900-01-00 00:0:00</v>
      </c>
      <c r="M913" s="79">
        <f t="shared" si="953"/>
        <v>0</v>
      </c>
      <c r="N913">
        <f t="shared" si="978"/>
        <v>1</v>
      </c>
      <c r="O913" t="str">
        <f>IFERROR(_xlfn.XLOOKUP(A913,HC!A:A,HC!C:C),"")</f>
        <v>Workforce</v>
      </c>
      <c r="R913" s="78" t="b">
        <f t="shared" si="954"/>
        <v>0</v>
      </c>
      <c r="S913" s="78" t="b">
        <f t="shared" si="955"/>
        <v>0</v>
      </c>
      <c r="T913" s="78" t="b">
        <f t="shared" si="956"/>
        <v>0</v>
      </c>
      <c r="U913" s="78" t="b">
        <f t="shared" si="957"/>
        <v>0</v>
      </c>
      <c r="V913" s="78" t="b">
        <f t="shared" si="958"/>
        <v>0</v>
      </c>
      <c r="W913" s="78" t="b">
        <f t="shared" si="959"/>
        <v>0</v>
      </c>
      <c r="X913" s="78" t="b">
        <f t="shared" si="960"/>
        <v>0</v>
      </c>
      <c r="Y913" s="78" t="b">
        <f t="shared" si="961"/>
        <v>0</v>
      </c>
      <c r="Z913" s="78" t="b">
        <f t="shared" si="962"/>
        <v>0</v>
      </c>
      <c r="AA913" s="78" t="b">
        <f t="shared" si="963"/>
        <v>0</v>
      </c>
      <c r="AB913" s="78" t="b">
        <f t="shared" si="964"/>
        <v>0</v>
      </c>
      <c r="AC913" s="78" t="b">
        <f t="shared" si="965"/>
        <v>0</v>
      </c>
      <c r="AD913" s="78" t="b">
        <f t="shared" si="966"/>
        <v>0</v>
      </c>
      <c r="AE913" s="78" t="b">
        <f t="shared" si="967"/>
        <v>0</v>
      </c>
      <c r="AF913" s="78" t="b">
        <f t="shared" si="968"/>
        <v>0</v>
      </c>
      <c r="AG913" s="78" t="b">
        <f t="shared" si="969"/>
        <v>0</v>
      </c>
      <c r="AH913" s="78" t="b">
        <f t="shared" si="970"/>
        <v>0</v>
      </c>
      <c r="AI913" s="78" t="b">
        <f t="shared" si="971"/>
        <v>0</v>
      </c>
      <c r="AJ913" s="78" t="b">
        <f t="shared" si="972"/>
        <v>0</v>
      </c>
      <c r="AK913" s="78" t="b">
        <f t="shared" si="973"/>
        <v>0</v>
      </c>
      <c r="AL913" s="78" t="b">
        <f t="shared" si="974"/>
        <v>0</v>
      </c>
      <c r="AM913" s="78" t="b">
        <f t="shared" si="975"/>
        <v>0</v>
      </c>
      <c r="AN913" s="78" t="b">
        <f t="shared" si="976"/>
        <v>0</v>
      </c>
      <c r="AO913" s="78" t="b">
        <f t="shared" si="977"/>
        <v>0</v>
      </c>
    </row>
    <row r="914" spans="7:41" x14ac:dyDescent="0.35">
      <c r="G914" s="77">
        <f t="shared" si="947"/>
        <v>0</v>
      </c>
      <c r="H914" s="78">
        <f t="shared" si="948"/>
        <v>0</v>
      </c>
      <c r="I914" s="77">
        <f t="shared" si="949"/>
        <v>0</v>
      </c>
      <c r="J914" s="78">
        <f t="shared" si="950"/>
        <v>0</v>
      </c>
      <c r="K914" s="78" t="str">
        <f t="shared" si="951"/>
        <v>1900-01-00 00:0:00</v>
      </c>
      <c r="L914" s="78" t="str">
        <f t="shared" si="952"/>
        <v>1900-01-00 00:0:00</v>
      </c>
      <c r="M914" s="79">
        <f t="shared" si="953"/>
        <v>0</v>
      </c>
      <c r="N914">
        <f t="shared" si="978"/>
        <v>1</v>
      </c>
      <c r="O914" t="str">
        <f>IFERROR(_xlfn.XLOOKUP(A914,HC!A:A,HC!C:C),"")</f>
        <v>Workforce</v>
      </c>
      <c r="R914" s="78" t="b">
        <f t="shared" si="954"/>
        <v>0</v>
      </c>
      <c r="S914" s="78" t="b">
        <f t="shared" si="955"/>
        <v>0</v>
      </c>
      <c r="T914" s="78" t="b">
        <f t="shared" si="956"/>
        <v>0</v>
      </c>
      <c r="U914" s="78" t="b">
        <f t="shared" si="957"/>
        <v>0</v>
      </c>
      <c r="V914" s="78" t="b">
        <f t="shared" si="958"/>
        <v>0</v>
      </c>
      <c r="W914" s="78" t="b">
        <f t="shared" si="959"/>
        <v>0</v>
      </c>
      <c r="X914" s="78" t="b">
        <f t="shared" si="960"/>
        <v>0</v>
      </c>
      <c r="Y914" s="78" t="b">
        <f t="shared" si="961"/>
        <v>0</v>
      </c>
      <c r="Z914" s="78" t="b">
        <f t="shared" si="962"/>
        <v>0</v>
      </c>
      <c r="AA914" s="78" t="b">
        <f t="shared" si="963"/>
        <v>0</v>
      </c>
      <c r="AB914" s="78" t="b">
        <f t="shared" si="964"/>
        <v>0</v>
      </c>
      <c r="AC914" s="78" t="b">
        <f t="shared" si="965"/>
        <v>0</v>
      </c>
      <c r="AD914" s="78" t="b">
        <f t="shared" si="966"/>
        <v>0</v>
      </c>
      <c r="AE914" s="78" t="b">
        <f t="shared" si="967"/>
        <v>0</v>
      </c>
      <c r="AF914" s="78" t="b">
        <f t="shared" si="968"/>
        <v>0</v>
      </c>
      <c r="AG914" s="78" t="b">
        <f t="shared" si="969"/>
        <v>0</v>
      </c>
      <c r="AH914" s="78" t="b">
        <f t="shared" si="970"/>
        <v>0</v>
      </c>
      <c r="AI914" s="78" t="b">
        <f t="shared" si="971"/>
        <v>0</v>
      </c>
      <c r="AJ914" s="78" t="b">
        <f t="shared" si="972"/>
        <v>0</v>
      </c>
      <c r="AK914" s="78" t="b">
        <f t="shared" si="973"/>
        <v>0</v>
      </c>
      <c r="AL914" s="78" t="b">
        <f t="shared" si="974"/>
        <v>0</v>
      </c>
      <c r="AM914" s="78" t="b">
        <f t="shared" si="975"/>
        <v>0</v>
      </c>
      <c r="AN914" s="78" t="b">
        <f t="shared" si="976"/>
        <v>0</v>
      </c>
      <c r="AO914" s="78" t="b">
        <f t="shared" si="977"/>
        <v>0</v>
      </c>
    </row>
    <row r="915" spans="7:41" x14ac:dyDescent="0.35">
      <c r="G915" s="77">
        <f t="shared" si="947"/>
        <v>0</v>
      </c>
      <c r="H915" s="78">
        <f t="shared" si="948"/>
        <v>0</v>
      </c>
      <c r="I915" s="77">
        <f t="shared" si="949"/>
        <v>0</v>
      </c>
      <c r="J915" s="78">
        <f t="shared" si="950"/>
        <v>0</v>
      </c>
      <c r="K915" s="78" t="str">
        <f t="shared" si="951"/>
        <v>1900-01-00 00:0:00</v>
      </c>
      <c r="L915" s="78" t="str">
        <f t="shared" si="952"/>
        <v>1900-01-00 00:0:00</v>
      </c>
      <c r="M915" s="79">
        <f t="shared" si="953"/>
        <v>0</v>
      </c>
      <c r="N915">
        <f t="shared" si="978"/>
        <v>1</v>
      </c>
      <c r="O915" t="str">
        <f>IFERROR(_xlfn.XLOOKUP(A915,HC!A:A,HC!C:C),"")</f>
        <v>Workforce</v>
      </c>
      <c r="R915" s="78" t="b">
        <f t="shared" si="954"/>
        <v>0</v>
      </c>
      <c r="S915" s="78" t="b">
        <f t="shared" si="955"/>
        <v>0</v>
      </c>
      <c r="T915" s="78" t="b">
        <f t="shared" si="956"/>
        <v>0</v>
      </c>
      <c r="U915" s="78" t="b">
        <f t="shared" si="957"/>
        <v>0</v>
      </c>
      <c r="V915" s="78" t="b">
        <f t="shared" si="958"/>
        <v>0</v>
      </c>
      <c r="W915" s="78" t="b">
        <f t="shared" si="959"/>
        <v>0</v>
      </c>
      <c r="X915" s="78" t="b">
        <f t="shared" si="960"/>
        <v>0</v>
      </c>
      <c r="Y915" s="78" t="b">
        <f t="shared" si="961"/>
        <v>0</v>
      </c>
      <c r="Z915" s="78" t="b">
        <f t="shared" si="962"/>
        <v>0</v>
      </c>
      <c r="AA915" s="78" t="b">
        <f t="shared" si="963"/>
        <v>0</v>
      </c>
      <c r="AB915" s="78" t="b">
        <f t="shared" si="964"/>
        <v>0</v>
      </c>
      <c r="AC915" s="78" t="b">
        <f t="shared" si="965"/>
        <v>0</v>
      </c>
      <c r="AD915" s="78" t="b">
        <f t="shared" si="966"/>
        <v>0</v>
      </c>
      <c r="AE915" s="78" t="b">
        <f t="shared" si="967"/>
        <v>0</v>
      </c>
      <c r="AF915" s="78" t="b">
        <f t="shared" si="968"/>
        <v>0</v>
      </c>
      <c r="AG915" s="78" t="b">
        <f t="shared" si="969"/>
        <v>0</v>
      </c>
      <c r="AH915" s="78" t="b">
        <f t="shared" si="970"/>
        <v>0</v>
      </c>
      <c r="AI915" s="78" t="b">
        <f t="shared" si="971"/>
        <v>0</v>
      </c>
      <c r="AJ915" s="78" t="b">
        <f t="shared" si="972"/>
        <v>0</v>
      </c>
      <c r="AK915" s="78" t="b">
        <f t="shared" si="973"/>
        <v>0</v>
      </c>
      <c r="AL915" s="78" t="b">
        <f t="shared" si="974"/>
        <v>0</v>
      </c>
      <c r="AM915" s="78" t="b">
        <f t="shared" si="975"/>
        <v>0</v>
      </c>
      <c r="AN915" s="78" t="b">
        <f t="shared" si="976"/>
        <v>0</v>
      </c>
      <c r="AO915" s="78" t="b">
        <f t="shared" si="977"/>
        <v>0</v>
      </c>
    </row>
    <row r="916" spans="7:41" x14ac:dyDescent="0.35">
      <c r="G916" s="77">
        <f t="shared" si="947"/>
        <v>0</v>
      </c>
      <c r="H916" s="78">
        <f t="shared" si="948"/>
        <v>0</v>
      </c>
      <c r="I916" s="77">
        <f t="shared" si="949"/>
        <v>0</v>
      </c>
      <c r="J916" s="78">
        <f t="shared" si="950"/>
        <v>0</v>
      </c>
      <c r="K916" s="78" t="str">
        <f t="shared" si="951"/>
        <v>1900-01-00 00:0:00</v>
      </c>
      <c r="L916" s="78" t="str">
        <f t="shared" si="952"/>
        <v>1900-01-00 00:0:00</v>
      </c>
      <c r="M916" s="79">
        <f t="shared" si="953"/>
        <v>0</v>
      </c>
      <c r="N916">
        <f t="shared" si="978"/>
        <v>1</v>
      </c>
      <c r="O916" t="str">
        <f>IFERROR(_xlfn.XLOOKUP(A916,HC!A:A,HC!C:C),"")</f>
        <v>Workforce</v>
      </c>
      <c r="R916" s="78" t="b">
        <f t="shared" si="954"/>
        <v>0</v>
      </c>
      <c r="S916" s="78" t="b">
        <f t="shared" si="955"/>
        <v>0</v>
      </c>
      <c r="T916" s="78" t="b">
        <f t="shared" si="956"/>
        <v>0</v>
      </c>
      <c r="U916" s="78" t="b">
        <f t="shared" si="957"/>
        <v>0</v>
      </c>
      <c r="V916" s="78" t="b">
        <f t="shared" si="958"/>
        <v>0</v>
      </c>
      <c r="W916" s="78" t="b">
        <f t="shared" si="959"/>
        <v>0</v>
      </c>
      <c r="X916" s="78" t="b">
        <f t="shared" si="960"/>
        <v>0</v>
      </c>
      <c r="Y916" s="78" t="b">
        <f t="shared" si="961"/>
        <v>0</v>
      </c>
      <c r="Z916" s="78" t="b">
        <f t="shared" si="962"/>
        <v>0</v>
      </c>
      <c r="AA916" s="78" t="b">
        <f t="shared" si="963"/>
        <v>0</v>
      </c>
      <c r="AB916" s="78" t="b">
        <f t="shared" si="964"/>
        <v>0</v>
      </c>
      <c r="AC916" s="78" t="b">
        <f t="shared" si="965"/>
        <v>0</v>
      </c>
      <c r="AD916" s="78" t="b">
        <f t="shared" si="966"/>
        <v>0</v>
      </c>
      <c r="AE916" s="78" t="b">
        <f t="shared" si="967"/>
        <v>0</v>
      </c>
      <c r="AF916" s="78" t="b">
        <f t="shared" si="968"/>
        <v>0</v>
      </c>
      <c r="AG916" s="78" t="b">
        <f t="shared" si="969"/>
        <v>0</v>
      </c>
      <c r="AH916" s="78" t="b">
        <f t="shared" si="970"/>
        <v>0</v>
      </c>
      <c r="AI916" s="78" t="b">
        <f t="shared" si="971"/>
        <v>0</v>
      </c>
      <c r="AJ916" s="78" t="b">
        <f t="shared" si="972"/>
        <v>0</v>
      </c>
      <c r="AK916" s="78" t="b">
        <f t="shared" si="973"/>
        <v>0</v>
      </c>
      <c r="AL916" s="78" t="b">
        <f t="shared" si="974"/>
        <v>0</v>
      </c>
      <c r="AM916" s="78" t="b">
        <f t="shared" si="975"/>
        <v>0</v>
      </c>
      <c r="AN916" s="78" t="b">
        <f t="shared" si="976"/>
        <v>0</v>
      </c>
      <c r="AO916" s="78" t="b">
        <f t="shared" si="977"/>
        <v>0</v>
      </c>
    </row>
    <row r="917" spans="7:41" x14ac:dyDescent="0.35">
      <c r="G917" s="77">
        <f t="shared" si="947"/>
        <v>0</v>
      </c>
      <c r="H917" s="78">
        <f t="shared" si="948"/>
        <v>0</v>
      </c>
      <c r="I917" s="77">
        <f t="shared" si="949"/>
        <v>0</v>
      </c>
      <c r="J917" s="78">
        <f t="shared" si="950"/>
        <v>0</v>
      </c>
      <c r="K917" s="78" t="str">
        <f t="shared" si="951"/>
        <v>1900-01-00 00:0:00</v>
      </c>
      <c r="L917" s="78" t="str">
        <f t="shared" si="952"/>
        <v>1900-01-00 00:0:00</v>
      </c>
      <c r="M917" s="79">
        <f t="shared" si="953"/>
        <v>0</v>
      </c>
      <c r="N917">
        <f t="shared" si="978"/>
        <v>1</v>
      </c>
      <c r="O917" t="str">
        <f>IFERROR(_xlfn.XLOOKUP(A917,HC!A:A,HC!C:C),"")</f>
        <v>Workforce</v>
      </c>
      <c r="R917" s="78" t="b">
        <f t="shared" si="954"/>
        <v>0</v>
      </c>
      <c r="S917" s="78" t="b">
        <f t="shared" si="955"/>
        <v>0</v>
      </c>
      <c r="T917" s="78" t="b">
        <f t="shared" si="956"/>
        <v>0</v>
      </c>
      <c r="U917" s="78" t="b">
        <f t="shared" si="957"/>
        <v>0</v>
      </c>
      <c r="V917" s="78" t="b">
        <f t="shared" si="958"/>
        <v>0</v>
      </c>
      <c r="W917" s="78" t="b">
        <f t="shared" si="959"/>
        <v>0</v>
      </c>
      <c r="X917" s="78" t="b">
        <f t="shared" si="960"/>
        <v>0</v>
      </c>
      <c r="Y917" s="78" t="b">
        <f t="shared" si="961"/>
        <v>0</v>
      </c>
      <c r="Z917" s="78" t="b">
        <f t="shared" si="962"/>
        <v>0</v>
      </c>
      <c r="AA917" s="78" t="b">
        <f t="shared" si="963"/>
        <v>0</v>
      </c>
      <c r="AB917" s="78" t="b">
        <f t="shared" si="964"/>
        <v>0</v>
      </c>
      <c r="AC917" s="78" t="b">
        <f t="shared" si="965"/>
        <v>0</v>
      </c>
      <c r="AD917" s="78" t="b">
        <f t="shared" si="966"/>
        <v>0</v>
      </c>
      <c r="AE917" s="78" t="b">
        <f t="shared" si="967"/>
        <v>0</v>
      </c>
      <c r="AF917" s="78" t="b">
        <f t="shared" si="968"/>
        <v>0</v>
      </c>
      <c r="AG917" s="78" t="b">
        <f t="shared" si="969"/>
        <v>0</v>
      </c>
      <c r="AH917" s="78" t="b">
        <f t="shared" si="970"/>
        <v>0</v>
      </c>
      <c r="AI917" s="78" t="b">
        <f t="shared" si="971"/>
        <v>0</v>
      </c>
      <c r="AJ917" s="78" t="b">
        <f t="shared" si="972"/>
        <v>0</v>
      </c>
      <c r="AK917" s="78" t="b">
        <f t="shared" si="973"/>
        <v>0</v>
      </c>
      <c r="AL917" s="78" t="b">
        <f t="shared" si="974"/>
        <v>0</v>
      </c>
      <c r="AM917" s="78" t="b">
        <f t="shared" si="975"/>
        <v>0</v>
      </c>
      <c r="AN917" s="78" t="b">
        <f t="shared" si="976"/>
        <v>0</v>
      </c>
      <c r="AO917" s="78" t="b">
        <f t="shared" si="977"/>
        <v>0</v>
      </c>
    </row>
    <row r="918" spans="7:41" x14ac:dyDescent="0.35">
      <c r="G918" s="77">
        <f t="shared" si="947"/>
        <v>0</v>
      </c>
      <c r="H918" s="78">
        <f t="shared" si="948"/>
        <v>0</v>
      </c>
      <c r="I918" s="77">
        <f t="shared" si="949"/>
        <v>0</v>
      </c>
      <c r="J918" s="78">
        <f t="shared" si="950"/>
        <v>0</v>
      </c>
      <c r="K918" s="78" t="str">
        <f t="shared" si="951"/>
        <v>1900-01-00 00:0:00</v>
      </c>
      <c r="L918" s="78" t="str">
        <f t="shared" si="952"/>
        <v>1900-01-00 00:0:00</v>
      </c>
      <c r="M918" s="79">
        <f t="shared" si="953"/>
        <v>0</v>
      </c>
      <c r="N918">
        <f t="shared" si="978"/>
        <v>1</v>
      </c>
      <c r="O918" t="str">
        <f>IFERROR(_xlfn.XLOOKUP(A918,HC!A:A,HC!C:C),"")</f>
        <v>Workforce</v>
      </c>
      <c r="R918" s="78" t="b">
        <f t="shared" si="954"/>
        <v>0</v>
      </c>
      <c r="S918" s="78" t="b">
        <f t="shared" si="955"/>
        <v>0</v>
      </c>
      <c r="T918" s="78" t="b">
        <f t="shared" si="956"/>
        <v>0</v>
      </c>
      <c r="U918" s="78" t="b">
        <f t="shared" si="957"/>
        <v>0</v>
      </c>
      <c r="V918" s="78" t="b">
        <f t="shared" si="958"/>
        <v>0</v>
      </c>
      <c r="W918" s="78" t="b">
        <f t="shared" si="959"/>
        <v>0</v>
      </c>
      <c r="X918" s="78" t="b">
        <f t="shared" si="960"/>
        <v>0</v>
      </c>
      <c r="Y918" s="78" t="b">
        <f t="shared" si="961"/>
        <v>0</v>
      </c>
      <c r="Z918" s="78" t="b">
        <f t="shared" si="962"/>
        <v>0</v>
      </c>
      <c r="AA918" s="78" t="b">
        <f t="shared" si="963"/>
        <v>0</v>
      </c>
      <c r="AB918" s="78" t="b">
        <f t="shared" si="964"/>
        <v>0</v>
      </c>
      <c r="AC918" s="78" t="b">
        <f t="shared" si="965"/>
        <v>0</v>
      </c>
      <c r="AD918" s="78" t="b">
        <f t="shared" si="966"/>
        <v>0</v>
      </c>
      <c r="AE918" s="78" t="b">
        <f t="shared" si="967"/>
        <v>0</v>
      </c>
      <c r="AF918" s="78" t="b">
        <f t="shared" si="968"/>
        <v>0</v>
      </c>
      <c r="AG918" s="78" t="b">
        <f t="shared" si="969"/>
        <v>0</v>
      </c>
      <c r="AH918" s="78" t="b">
        <f t="shared" si="970"/>
        <v>0</v>
      </c>
      <c r="AI918" s="78" t="b">
        <f t="shared" si="971"/>
        <v>0</v>
      </c>
      <c r="AJ918" s="78" t="b">
        <f t="shared" si="972"/>
        <v>0</v>
      </c>
      <c r="AK918" s="78" t="b">
        <f t="shared" si="973"/>
        <v>0</v>
      </c>
      <c r="AL918" s="78" t="b">
        <f t="shared" si="974"/>
        <v>0</v>
      </c>
      <c r="AM918" s="78" t="b">
        <f t="shared" si="975"/>
        <v>0</v>
      </c>
      <c r="AN918" s="78" t="b">
        <f t="shared" si="976"/>
        <v>0</v>
      </c>
      <c r="AO918" s="78" t="b">
        <f t="shared" si="977"/>
        <v>0</v>
      </c>
    </row>
    <row r="919" spans="7:41" x14ac:dyDescent="0.35">
      <c r="G919" s="77">
        <f t="shared" si="947"/>
        <v>0</v>
      </c>
      <c r="H919" s="78">
        <f t="shared" si="948"/>
        <v>0</v>
      </c>
      <c r="I919" s="77">
        <f t="shared" si="949"/>
        <v>0</v>
      </c>
      <c r="J919" s="78">
        <f t="shared" si="950"/>
        <v>0</v>
      </c>
      <c r="K919" s="78" t="str">
        <f t="shared" si="951"/>
        <v>1900-01-00 00:0:00</v>
      </c>
      <c r="L919" s="78" t="str">
        <f t="shared" si="952"/>
        <v>1900-01-00 00:0:00</v>
      </c>
      <c r="M919" s="79">
        <f t="shared" si="953"/>
        <v>0</v>
      </c>
      <c r="N919">
        <f t="shared" si="978"/>
        <v>1</v>
      </c>
      <c r="O919" t="str">
        <f>IFERROR(_xlfn.XLOOKUP(A919,HC!A:A,HC!C:C),"")</f>
        <v>Workforce</v>
      </c>
      <c r="R919" s="78" t="b">
        <f t="shared" si="954"/>
        <v>0</v>
      </c>
      <c r="S919" s="78" t="b">
        <f t="shared" si="955"/>
        <v>0</v>
      </c>
      <c r="T919" s="78" t="b">
        <f t="shared" si="956"/>
        <v>0</v>
      </c>
      <c r="U919" s="78" t="b">
        <f t="shared" si="957"/>
        <v>0</v>
      </c>
      <c r="V919" s="78" t="b">
        <f t="shared" si="958"/>
        <v>0</v>
      </c>
      <c r="W919" s="78" t="b">
        <f t="shared" si="959"/>
        <v>0</v>
      </c>
      <c r="X919" s="78" t="b">
        <f t="shared" si="960"/>
        <v>0</v>
      </c>
      <c r="Y919" s="78" t="b">
        <f t="shared" si="961"/>
        <v>0</v>
      </c>
      <c r="Z919" s="78" t="b">
        <f t="shared" si="962"/>
        <v>0</v>
      </c>
      <c r="AA919" s="78" t="b">
        <f t="shared" si="963"/>
        <v>0</v>
      </c>
      <c r="AB919" s="78" t="b">
        <f t="shared" si="964"/>
        <v>0</v>
      </c>
      <c r="AC919" s="78" t="b">
        <f t="shared" si="965"/>
        <v>0</v>
      </c>
      <c r="AD919" s="78" t="b">
        <f t="shared" si="966"/>
        <v>0</v>
      </c>
      <c r="AE919" s="78" t="b">
        <f t="shared" si="967"/>
        <v>0</v>
      </c>
      <c r="AF919" s="78" t="b">
        <f t="shared" si="968"/>
        <v>0</v>
      </c>
      <c r="AG919" s="78" t="b">
        <f t="shared" si="969"/>
        <v>0</v>
      </c>
      <c r="AH919" s="78" t="b">
        <f t="shared" si="970"/>
        <v>0</v>
      </c>
      <c r="AI919" s="78" t="b">
        <f t="shared" si="971"/>
        <v>0</v>
      </c>
      <c r="AJ919" s="78" t="b">
        <f t="shared" si="972"/>
        <v>0</v>
      </c>
      <c r="AK919" s="78" t="b">
        <f t="shared" si="973"/>
        <v>0</v>
      </c>
      <c r="AL919" s="78" t="b">
        <f t="shared" si="974"/>
        <v>0</v>
      </c>
      <c r="AM919" s="78" t="b">
        <f t="shared" si="975"/>
        <v>0</v>
      </c>
      <c r="AN919" s="78" t="b">
        <f t="shared" si="976"/>
        <v>0</v>
      </c>
      <c r="AO919" s="78" t="b">
        <f t="shared" si="977"/>
        <v>0</v>
      </c>
    </row>
    <row r="920" spans="7:41" x14ac:dyDescent="0.35">
      <c r="G920" s="77">
        <f t="shared" si="947"/>
        <v>0</v>
      </c>
      <c r="H920" s="78">
        <f t="shared" si="948"/>
        <v>0</v>
      </c>
      <c r="I920" s="77">
        <f t="shared" si="949"/>
        <v>0</v>
      </c>
      <c r="J920" s="78">
        <f t="shared" si="950"/>
        <v>0</v>
      </c>
      <c r="K920" s="78" t="str">
        <f t="shared" si="951"/>
        <v>1900-01-00 00:0:00</v>
      </c>
      <c r="L920" s="78" t="str">
        <f t="shared" si="952"/>
        <v>1900-01-00 00:0:00</v>
      </c>
      <c r="M920" s="79">
        <f t="shared" si="953"/>
        <v>0</v>
      </c>
      <c r="N920">
        <f t="shared" si="978"/>
        <v>1</v>
      </c>
      <c r="O920" t="str">
        <f>IFERROR(_xlfn.XLOOKUP(A920,HC!A:A,HC!C:C),"")</f>
        <v>Workforce</v>
      </c>
      <c r="R920" s="78" t="b">
        <f t="shared" si="954"/>
        <v>0</v>
      </c>
      <c r="S920" s="78" t="b">
        <f t="shared" si="955"/>
        <v>0</v>
      </c>
      <c r="T920" s="78" t="b">
        <f t="shared" si="956"/>
        <v>0</v>
      </c>
      <c r="U920" s="78" t="b">
        <f t="shared" si="957"/>
        <v>0</v>
      </c>
      <c r="V920" s="78" t="b">
        <f t="shared" si="958"/>
        <v>0</v>
      </c>
      <c r="W920" s="78" t="b">
        <f t="shared" si="959"/>
        <v>0</v>
      </c>
      <c r="X920" s="78" t="b">
        <f t="shared" si="960"/>
        <v>0</v>
      </c>
      <c r="Y920" s="78" t="b">
        <f t="shared" si="961"/>
        <v>0</v>
      </c>
      <c r="Z920" s="78" t="b">
        <f t="shared" si="962"/>
        <v>0</v>
      </c>
      <c r="AA920" s="78" t="b">
        <f t="shared" si="963"/>
        <v>0</v>
      </c>
      <c r="AB920" s="78" t="b">
        <f t="shared" si="964"/>
        <v>0</v>
      </c>
      <c r="AC920" s="78" t="b">
        <f t="shared" si="965"/>
        <v>0</v>
      </c>
      <c r="AD920" s="78" t="b">
        <f t="shared" si="966"/>
        <v>0</v>
      </c>
      <c r="AE920" s="78" t="b">
        <f t="shared" si="967"/>
        <v>0</v>
      </c>
      <c r="AF920" s="78" t="b">
        <f t="shared" si="968"/>
        <v>0</v>
      </c>
      <c r="AG920" s="78" t="b">
        <f t="shared" si="969"/>
        <v>0</v>
      </c>
      <c r="AH920" s="78" t="b">
        <f t="shared" si="970"/>
        <v>0</v>
      </c>
      <c r="AI920" s="78" t="b">
        <f t="shared" si="971"/>
        <v>0</v>
      </c>
      <c r="AJ920" s="78" t="b">
        <f t="shared" si="972"/>
        <v>0</v>
      </c>
      <c r="AK920" s="78" t="b">
        <f t="shared" si="973"/>
        <v>0</v>
      </c>
      <c r="AL920" s="78" t="b">
        <f t="shared" si="974"/>
        <v>0</v>
      </c>
      <c r="AM920" s="78" t="b">
        <f t="shared" si="975"/>
        <v>0</v>
      </c>
      <c r="AN920" s="78" t="b">
        <f t="shared" si="976"/>
        <v>0</v>
      </c>
      <c r="AO920" s="78" t="b">
        <f t="shared" si="977"/>
        <v>0</v>
      </c>
    </row>
    <row r="921" spans="7:41" x14ac:dyDescent="0.35">
      <c r="G921" s="77">
        <f t="shared" si="947"/>
        <v>0</v>
      </c>
      <c r="H921" s="78">
        <f t="shared" si="948"/>
        <v>0</v>
      </c>
      <c r="I921" s="77">
        <f t="shared" si="949"/>
        <v>0</v>
      </c>
      <c r="J921" s="78">
        <f t="shared" si="950"/>
        <v>0</v>
      </c>
      <c r="K921" s="78" t="str">
        <f t="shared" si="951"/>
        <v>1900-01-00 00:0:00</v>
      </c>
      <c r="L921" s="78" t="str">
        <f t="shared" si="952"/>
        <v>1900-01-00 00:0:00</v>
      </c>
      <c r="M921" s="79">
        <f t="shared" si="953"/>
        <v>0</v>
      </c>
      <c r="N921">
        <f t="shared" si="978"/>
        <v>1</v>
      </c>
      <c r="O921" t="str">
        <f>IFERROR(_xlfn.XLOOKUP(A921,HC!A:A,HC!C:C),"")</f>
        <v>Workforce</v>
      </c>
      <c r="R921" s="78" t="b">
        <f t="shared" si="954"/>
        <v>0</v>
      </c>
      <c r="S921" s="78" t="b">
        <f t="shared" si="955"/>
        <v>0</v>
      </c>
      <c r="T921" s="78" t="b">
        <f t="shared" si="956"/>
        <v>0</v>
      </c>
      <c r="U921" s="78" t="b">
        <f t="shared" si="957"/>
        <v>0</v>
      </c>
      <c r="V921" s="78" t="b">
        <f t="shared" si="958"/>
        <v>0</v>
      </c>
      <c r="W921" s="78" t="b">
        <f t="shared" si="959"/>
        <v>0</v>
      </c>
      <c r="X921" s="78" t="b">
        <f t="shared" si="960"/>
        <v>0</v>
      </c>
      <c r="Y921" s="78" t="b">
        <f t="shared" si="961"/>
        <v>0</v>
      </c>
      <c r="Z921" s="78" t="b">
        <f t="shared" si="962"/>
        <v>0</v>
      </c>
      <c r="AA921" s="78" t="b">
        <f t="shared" si="963"/>
        <v>0</v>
      </c>
      <c r="AB921" s="78" t="b">
        <f t="shared" si="964"/>
        <v>0</v>
      </c>
      <c r="AC921" s="78" t="b">
        <f t="shared" si="965"/>
        <v>0</v>
      </c>
      <c r="AD921" s="78" t="b">
        <f t="shared" si="966"/>
        <v>0</v>
      </c>
      <c r="AE921" s="78" t="b">
        <f t="shared" si="967"/>
        <v>0</v>
      </c>
      <c r="AF921" s="78" t="b">
        <f t="shared" si="968"/>
        <v>0</v>
      </c>
      <c r="AG921" s="78" t="b">
        <f t="shared" si="969"/>
        <v>0</v>
      </c>
      <c r="AH921" s="78" t="b">
        <f t="shared" si="970"/>
        <v>0</v>
      </c>
      <c r="AI921" s="78" t="b">
        <f t="shared" si="971"/>
        <v>0</v>
      </c>
      <c r="AJ921" s="78" t="b">
        <f t="shared" si="972"/>
        <v>0</v>
      </c>
      <c r="AK921" s="78" t="b">
        <f t="shared" si="973"/>
        <v>0</v>
      </c>
      <c r="AL921" s="78" t="b">
        <f t="shared" si="974"/>
        <v>0</v>
      </c>
      <c r="AM921" s="78" t="b">
        <f t="shared" si="975"/>
        <v>0</v>
      </c>
      <c r="AN921" s="78" t="b">
        <f t="shared" si="976"/>
        <v>0</v>
      </c>
      <c r="AO921" s="78" t="b">
        <f t="shared" si="977"/>
        <v>0</v>
      </c>
    </row>
    <row r="922" spans="7:41" x14ac:dyDescent="0.35">
      <c r="G922" s="77">
        <f t="shared" si="947"/>
        <v>0</v>
      </c>
      <c r="H922" s="78">
        <f t="shared" si="948"/>
        <v>0</v>
      </c>
      <c r="I922" s="77">
        <f t="shared" si="949"/>
        <v>0</v>
      </c>
      <c r="J922" s="78">
        <f t="shared" si="950"/>
        <v>0</v>
      </c>
      <c r="K922" s="78" t="str">
        <f t="shared" si="951"/>
        <v>1900-01-00 00:0:00</v>
      </c>
      <c r="L922" s="78" t="str">
        <f t="shared" si="952"/>
        <v>1900-01-00 00:0:00</v>
      </c>
      <c r="M922" s="79">
        <f t="shared" si="953"/>
        <v>0</v>
      </c>
      <c r="N922">
        <f t="shared" si="978"/>
        <v>1</v>
      </c>
      <c r="O922" t="str">
        <f>IFERROR(_xlfn.XLOOKUP(A922,HC!A:A,HC!C:C),"")</f>
        <v>Workforce</v>
      </c>
      <c r="R922" s="78" t="b">
        <f t="shared" si="954"/>
        <v>0</v>
      </c>
      <c r="S922" s="78" t="b">
        <f t="shared" si="955"/>
        <v>0</v>
      </c>
      <c r="T922" s="78" t="b">
        <f t="shared" si="956"/>
        <v>0</v>
      </c>
      <c r="U922" s="78" t="b">
        <f t="shared" si="957"/>
        <v>0</v>
      </c>
      <c r="V922" s="78" t="b">
        <f t="shared" si="958"/>
        <v>0</v>
      </c>
      <c r="W922" s="78" t="b">
        <f t="shared" si="959"/>
        <v>0</v>
      </c>
      <c r="X922" s="78" t="b">
        <f t="shared" si="960"/>
        <v>0</v>
      </c>
      <c r="Y922" s="78" t="b">
        <f t="shared" si="961"/>
        <v>0</v>
      </c>
      <c r="Z922" s="78" t="b">
        <f t="shared" si="962"/>
        <v>0</v>
      </c>
      <c r="AA922" s="78" t="b">
        <f t="shared" si="963"/>
        <v>0</v>
      </c>
      <c r="AB922" s="78" t="b">
        <f t="shared" si="964"/>
        <v>0</v>
      </c>
      <c r="AC922" s="78" t="b">
        <f t="shared" si="965"/>
        <v>0</v>
      </c>
      <c r="AD922" s="78" t="b">
        <f t="shared" si="966"/>
        <v>0</v>
      </c>
      <c r="AE922" s="78" t="b">
        <f t="shared" si="967"/>
        <v>0</v>
      </c>
      <c r="AF922" s="78" t="b">
        <f t="shared" si="968"/>
        <v>0</v>
      </c>
      <c r="AG922" s="78" t="b">
        <f t="shared" si="969"/>
        <v>0</v>
      </c>
      <c r="AH922" s="78" t="b">
        <f t="shared" si="970"/>
        <v>0</v>
      </c>
      <c r="AI922" s="78" t="b">
        <f t="shared" si="971"/>
        <v>0</v>
      </c>
      <c r="AJ922" s="78" t="b">
        <f t="shared" si="972"/>
        <v>0</v>
      </c>
      <c r="AK922" s="78" t="b">
        <f t="shared" si="973"/>
        <v>0</v>
      </c>
      <c r="AL922" s="78" t="b">
        <f t="shared" si="974"/>
        <v>0</v>
      </c>
      <c r="AM922" s="78" t="b">
        <f t="shared" si="975"/>
        <v>0</v>
      </c>
      <c r="AN922" s="78" t="b">
        <f t="shared" si="976"/>
        <v>0</v>
      </c>
      <c r="AO922" s="78" t="b">
        <f t="shared" si="977"/>
        <v>0</v>
      </c>
    </row>
    <row r="923" spans="7:41" x14ac:dyDescent="0.35">
      <c r="G923" s="77">
        <f t="shared" si="947"/>
        <v>0</v>
      </c>
      <c r="H923" s="78">
        <f t="shared" si="948"/>
        <v>0</v>
      </c>
      <c r="I923" s="77">
        <f t="shared" si="949"/>
        <v>0</v>
      </c>
      <c r="J923" s="78">
        <f t="shared" si="950"/>
        <v>0</v>
      </c>
      <c r="K923" s="78" t="str">
        <f t="shared" si="951"/>
        <v>1900-01-00 00:0:00</v>
      </c>
      <c r="L923" s="78" t="str">
        <f t="shared" si="952"/>
        <v>1900-01-00 00:0:00</v>
      </c>
      <c r="M923" s="79">
        <f t="shared" si="953"/>
        <v>0</v>
      </c>
      <c r="N923">
        <f t="shared" si="978"/>
        <v>1</v>
      </c>
      <c r="O923" t="str">
        <f>IFERROR(_xlfn.XLOOKUP(A923,HC!A:A,HC!C:C),"")</f>
        <v>Workforce</v>
      </c>
      <c r="R923" s="78" t="b">
        <f t="shared" si="954"/>
        <v>0</v>
      </c>
      <c r="S923" s="78" t="b">
        <f t="shared" si="955"/>
        <v>0</v>
      </c>
      <c r="T923" s="78" t="b">
        <f t="shared" si="956"/>
        <v>0</v>
      </c>
      <c r="U923" s="78" t="b">
        <f t="shared" si="957"/>
        <v>0</v>
      </c>
      <c r="V923" s="78" t="b">
        <f t="shared" si="958"/>
        <v>0</v>
      </c>
      <c r="W923" s="78" t="b">
        <f t="shared" si="959"/>
        <v>0</v>
      </c>
      <c r="X923" s="78" t="b">
        <f t="shared" si="960"/>
        <v>0</v>
      </c>
      <c r="Y923" s="78" t="b">
        <f t="shared" si="961"/>
        <v>0</v>
      </c>
      <c r="Z923" s="78" t="b">
        <f t="shared" si="962"/>
        <v>0</v>
      </c>
      <c r="AA923" s="78" t="b">
        <f t="shared" si="963"/>
        <v>0</v>
      </c>
      <c r="AB923" s="78" t="b">
        <f t="shared" si="964"/>
        <v>0</v>
      </c>
      <c r="AC923" s="78" t="b">
        <f t="shared" si="965"/>
        <v>0</v>
      </c>
      <c r="AD923" s="78" t="b">
        <f t="shared" si="966"/>
        <v>0</v>
      </c>
      <c r="AE923" s="78" t="b">
        <f t="shared" si="967"/>
        <v>0</v>
      </c>
      <c r="AF923" s="78" t="b">
        <f t="shared" si="968"/>
        <v>0</v>
      </c>
      <c r="AG923" s="78" t="b">
        <f t="shared" si="969"/>
        <v>0</v>
      </c>
      <c r="AH923" s="78" t="b">
        <f t="shared" si="970"/>
        <v>0</v>
      </c>
      <c r="AI923" s="78" t="b">
        <f t="shared" si="971"/>
        <v>0</v>
      </c>
      <c r="AJ923" s="78" t="b">
        <f t="shared" si="972"/>
        <v>0</v>
      </c>
      <c r="AK923" s="78" t="b">
        <f t="shared" si="973"/>
        <v>0</v>
      </c>
      <c r="AL923" s="78" t="b">
        <f t="shared" si="974"/>
        <v>0</v>
      </c>
      <c r="AM923" s="78" t="b">
        <f t="shared" si="975"/>
        <v>0</v>
      </c>
      <c r="AN923" s="78" t="b">
        <f t="shared" si="976"/>
        <v>0</v>
      </c>
      <c r="AO923" s="78" t="b">
        <f t="shared" si="977"/>
        <v>0</v>
      </c>
    </row>
    <row r="924" spans="7:41" x14ac:dyDescent="0.35">
      <c r="G924" s="77">
        <f t="shared" si="947"/>
        <v>0</v>
      </c>
      <c r="H924" s="78">
        <f t="shared" si="948"/>
        <v>0</v>
      </c>
      <c r="I924" s="77">
        <f t="shared" si="949"/>
        <v>0</v>
      </c>
      <c r="J924" s="78">
        <f t="shared" si="950"/>
        <v>0</v>
      </c>
      <c r="K924" s="78" t="str">
        <f t="shared" si="951"/>
        <v>1900-01-00 00:0:00</v>
      </c>
      <c r="L924" s="78" t="str">
        <f t="shared" si="952"/>
        <v>1900-01-00 00:0:00</v>
      </c>
      <c r="M924" s="79">
        <f t="shared" si="953"/>
        <v>0</v>
      </c>
      <c r="N924">
        <f t="shared" si="978"/>
        <v>1</v>
      </c>
      <c r="O924" t="str">
        <f>IFERROR(_xlfn.XLOOKUP(A924,HC!A:A,HC!C:C),"")</f>
        <v>Workforce</v>
      </c>
      <c r="R924" s="78" t="b">
        <f t="shared" si="954"/>
        <v>0</v>
      </c>
      <c r="S924" s="78" t="b">
        <f t="shared" si="955"/>
        <v>0</v>
      </c>
      <c r="T924" s="78" t="b">
        <f t="shared" si="956"/>
        <v>0</v>
      </c>
      <c r="U924" s="78" t="b">
        <f t="shared" si="957"/>
        <v>0</v>
      </c>
      <c r="V924" s="78" t="b">
        <f t="shared" si="958"/>
        <v>0</v>
      </c>
      <c r="W924" s="78" t="b">
        <f t="shared" si="959"/>
        <v>0</v>
      </c>
      <c r="X924" s="78" t="b">
        <f t="shared" si="960"/>
        <v>0</v>
      </c>
      <c r="Y924" s="78" t="b">
        <f t="shared" si="961"/>
        <v>0</v>
      </c>
      <c r="Z924" s="78" t="b">
        <f t="shared" si="962"/>
        <v>0</v>
      </c>
      <c r="AA924" s="78" t="b">
        <f t="shared" si="963"/>
        <v>0</v>
      </c>
      <c r="AB924" s="78" t="b">
        <f t="shared" si="964"/>
        <v>0</v>
      </c>
      <c r="AC924" s="78" t="b">
        <f t="shared" si="965"/>
        <v>0</v>
      </c>
      <c r="AD924" s="78" t="b">
        <f t="shared" si="966"/>
        <v>0</v>
      </c>
      <c r="AE924" s="78" t="b">
        <f t="shared" si="967"/>
        <v>0</v>
      </c>
      <c r="AF924" s="78" t="b">
        <f t="shared" si="968"/>
        <v>0</v>
      </c>
      <c r="AG924" s="78" t="b">
        <f t="shared" si="969"/>
        <v>0</v>
      </c>
      <c r="AH924" s="78" t="b">
        <f t="shared" si="970"/>
        <v>0</v>
      </c>
      <c r="AI924" s="78" t="b">
        <f t="shared" si="971"/>
        <v>0</v>
      </c>
      <c r="AJ924" s="78" t="b">
        <f t="shared" si="972"/>
        <v>0</v>
      </c>
      <c r="AK924" s="78" t="b">
        <f t="shared" si="973"/>
        <v>0</v>
      </c>
      <c r="AL924" s="78" t="b">
        <f t="shared" si="974"/>
        <v>0</v>
      </c>
      <c r="AM924" s="78" t="b">
        <f t="shared" si="975"/>
        <v>0</v>
      </c>
      <c r="AN924" s="78" t="b">
        <f t="shared" si="976"/>
        <v>0</v>
      </c>
      <c r="AO924" s="78" t="b">
        <f t="shared" si="977"/>
        <v>0</v>
      </c>
    </row>
    <row r="925" spans="7:41" x14ac:dyDescent="0.35">
      <c r="G925" s="77">
        <f t="shared" si="947"/>
        <v>0</v>
      </c>
      <c r="H925" s="78">
        <f t="shared" si="948"/>
        <v>0</v>
      </c>
      <c r="I925" s="77">
        <f t="shared" si="949"/>
        <v>0</v>
      </c>
      <c r="J925" s="78">
        <f t="shared" si="950"/>
        <v>0</v>
      </c>
      <c r="K925" s="78" t="str">
        <f t="shared" si="951"/>
        <v>1900-01-00 00:0:00</v>
      </c>
      <c r="L925" s="78" t="str">
        <f t="shared" si="952"/>
        <v>1900-01-00 00:0:00</v>
      </c>
      <c r="M925" s="79">
        <f t="shared" si="953"/>
        <v>0</v>
      </c>
      <c r="N925">
        <f t="shared" si="978"/>
        <v>1</v>
      </c>
      <c r="O925" t="str">
        <f>IFERROR(_xlfn.XLOOKUP(A925,HC!A:A,HC!C:C),"")</f>
        <v>Workforce</v>
      </c>
      <c r="R925" s="78" t="b">
        <f t="shared" si="954"/>
        <v>0</v>
      </c>
      <c r="S925" s="78" t="b">
        <f t="shared" si="955"/>
        <v>0</v>
      </c>
      <c r="T925" s="78" t="b">
        <f t="shared" si="956"/>
        <v>0</v>
      </c>
      <c r="U925" s="78" t="b">
        <f t="shared" si="957"/>
        <v>0</v>
      </c>
      <c r="V925" s="78" t="b">
        <f t="shared" si="958"/>
        <v>0</v>
      </c>
      <c r="W925" s="78" t="b">
        <f t="shared" si="959"/>
        <v>0</v>
      </c>
      <c r="X925" s="78" t="b">
        <f t="shared" si="960"/>
        <v>0</v>
      </c>
      <c r="Y925" s="78" t="b">
        <f t="shared" si="961"/>
        <v>0</v>
      </c>
      <c r="Z925" s="78" t="b">
        <f t="shared" si="962"/>
        <v>0</v>
      </c>
      <c r="AA925" s="78" t="b">
        <f t="shared" si="963"/>
        <v>0</v>
      </c>
      <c r="AB925" s="78" t="b">
        <f t="shared" si="964"/>
        <v>0</v>
      </c>
      <c r="AC925" s="78" t="b">
        <f t="shared" si="965"/>
        <v>0</v>
      </c>
      <c r="AD925" s="78" t="b">
        <f t="shared" si="966"/>
        <v>0</v>
      </c>
      <c r="AE925" s="78" t="b">
        <f t="shared" si="967"/>
        <v>0</v>
      </c>
      <c r="AF925" s="78" t="b">
        <f t="shared" si="968"/>
        <v>0</v>
      </c>
      <c r="AG925" s="78" t="b">
        <f t="shared" si="969"/>
        <v>0</v>
      </c>
      <c r="AH925" s="78" t="b">
        <f t="shared" si="970"/>
        <v>0</v>
      </c>
      <c r="AI925" s="78" t="b">
        <f t="shared" si="971"/>
        <v>0</v>
      </c>
      <c r="AJ925" s="78" t="b">
        <f t="shared" si="972"/>
        <v>0</v>
      </c>
      <c r="AK925" s="78" t="b">
        <f t="shared" si="973"/>
        <v>0</v>
      </c>
      <c r="AL925" s="78" t="b">
        <f t="shared" si="974"/>
        <v>0</v>
      </c>
      <c r="AM925" s="78" t="b">
        <f t="shared" si="975"/>
        <v>0</v>
      </c>
      <c r="AN925" s="78" t="b">
        <f t="shared" si="976"/>
        <v>0</v>
      </c>
      <c r="AO925" s="78" t="b">
        <f t="shared" si="977"/>
        <v>0</v>
      </c>
    </row>
    <row r="926" spans="7:41" x14ac:dyDescent="0.35">
      <c r="G926" s="77">
        <f t="shared" si="947"/>
        <v>0</v>
      </c>
      <c r="H926" s="78">
        <f t="shared" si="948"/>
        <v>0</v>
      </c>
      <c r="I926" s="77">
        <f t="shared" si="949"/>
        <v>0</v>
      </c>
      <c r="J926" s="78">
        <f t="shared" si="950"/>
        <v>0</v>
      </c>
      <c r="K926" s="78" t="str">
        <f t="shared" si="951"/>
        <v>1900-01-00 00:0:00</v>
      </c>
      <c r="L926" s="78" t="str">
        <f t="shared" si="952"/>
        <v>1900-01-00 00:0:00</v>
      </c>
      <c r="M926" s="79">
        <f t="shared" si="953"/>
        <v>0</v>
      </c>
      <c r="N926">
        <f t="shared" si="978"/>
        <v>1</v>
      </c>
      <c r="O926" t="str">
        <f>IFERROR(_xlfn.XLOOKUP(A926,HC!A:A,HC!C:C),"")</f>
        <v>Workforce</v>
      </c>
      <c r="R926" s="78" t="b">
        <f t="shared" si="954"/>
        <v>0</v>
      </c>
      <c r="S926" s="78" t="b">
        <f t="shared" si="955"/>
        <v>0</v>
      </c>
      <c r="T926" s="78" t="b">
        <f t="shared" si="956"/>
        <v>0</v>
      </c>
      <c r="U926" s="78" t="b">
        <f t="shared" si="957"/>
        <v>0</v>
      </c>
      <c r="V926" s="78" t="b">
        <f t="shared" si="958"/>
        <v>0</v>
      </c>
      <c r="W926" s="78" t="b">
        <f t="shared" si="959"/>
        <v>0</v>
      </c>
      <c r="X926" s="78" t="b">
        <f t="shared" si="960"/>
        <v>0</v>
      </c>
      <c r="Y926" s="78" t="b">
        <f t="shared" si="961"/>
        <v>0</v>
      </c>
      <c r="Z926" s="78" t="b">
        <f t="shared" si="962"/>
        <v>0</v>
      </c>
      <c r="AA926" s="78" t="b">
        <f t="shared" si="963"/>
        <v>0</v>
      </c>
      <c r="AB926" s="78" t="b">
        <f t="shared" si="964"/>
        <v>0</v>
      </c>
      <c r="AC926" s="78" t="b">
        <f t="shared" si="965"/>
        <v>0</v>
      </c>
      <c r="AD926" s="78" t="b">
        <f t="shared" si="966"/>
        <v>0</v>
      </c>
      <c r="AE926" s="78" t="b">
        <f t="shared" si="967"/>
        <v>0</v>
      </c>
      <c r="AF926" s="78" t="b">
        <f t="shared" si="968"/>
        <v>0</v>
      </c>
      <c r="AG926" s="78" t="b">
        <f t="shared" si="969"/>
        <v>0</v>
      </c>
      <c r="AH926" s="78" t="b">
        <f t="shared" si="970"/>
        <v>0</v>
      </c>
      <c r="AI926" s="78" t="b">
        <f t="shared" si="971"/>
        <v>0</v>
      </c>
      <c r="AJ926" s="78" t="b">
        <f t="shared" si="972"/>
        <v>0</v>
      </c>
      <c r="AK926" s="78" t="b">
        <f t="shared" si="973"/>
        <v>0</v>
      </c>
      <c r="AL926" s="78" t="b">
        <f t="shared" si="974"/>
        <v>0</v>
      </c>
      <c r="AM926" s="78" t="b">
        <f t="shared" si="975"/>
        <v>0</v>
      </c>
      <c r="AN926" s="78" t="b">
        <f t="shared" si="976"/>
        <v>0</v>
      </c>
      <c r="AO926" s="78" t="b">
        <f t="shared" si="977"/>
        <v>0</v>
      </c>
    </row>
    <row r="927" spans="7:41" x14ac:dyDescent="0.35">
      <c r="G927" s="77">
        <f t="shared" si="947"/>
        <v>0</v>
      </c>
      <c r="H927" s="78">
        <f t="shared" si="948"/>
        <v>0</v>
      </c>
      <c r="I927" s="77">
        <f t="shared" si="949"/>
        <v>0</v>
      </c>
      <c r="J927" s="78">
        <f t="shared" si="950"/>
        <v>0</v>
      </c>
      <c r="K927" s="78" t="str">
        <f t="shared" si="951"/>
        <v>1900-01-00 00:0:00</v>
      </c>
      <c r="L927" s="78" t="str">
        <f t="shared" si="952"/>
        <v>1900-01-00 00:0:00</v>
      </c>
      <c r="M927" s="79">
        <f t="shared" si="953"/>
        <v>0</v>
      </c>
      <c r="N927">
        <f t="shared" si="978"/>
        <v>1</v>
      </c>
      <c r="O927" t="str">
        <f>IFERROR(_xlfn.XLOOKUP(A927,HC!A:A,HC!C:C),"")</f>
        <v>Workforce</v>
      </c>
      <c r="R927" s="78" t="b">
        <f t="shared" si="954"/>
        <v>0</v>
      </c>
      <c r="S927" s="78" t="b">
        <f t="shared" si="955"/>
        <v>0</v>
      </c>
      <c r="T927" s="78" t="b">
        <f t="shared" si="956"/>
        <v>0</v>
      </c>
      <c r="U927" s="78" t="b">
        <f t="shared" si="957"/>
        <v>0</v>
      </c>
      <c r="V927" s="78" t="b">
        <f t="shared" si="958"/>
        <v>0</v>
      </c>
      <c r="W927" s="78" t="b">
        <f t="shared" si="959"/>
        <v>0</v>
      </c>
      <c r="X927" s="78" t="b">
        <f t="shared" si="960"/>
        <v>0</v>
      </c>
      <c r="Y927" s="78" t="b">
        <f t="shared" si="961"/>
        <v>0</v>
      </c>
      <c r="Z927" s="78" t="b">
        <f t="shared" si="962"/>
        <v>0</v>
      </c>
      <c r="AA927" s="78" t="b">
        <f t="shared" si="963"/>
        <v>0</v>
      </c>
      <c r="AB927" s="78" t="b">
        <f t="shared" si="964"/>
        <v>0</v>
      </c>
      <c r="AC927" s="78" t="b">
        <f t="shared" si="965"/>
        <v>0</v>
      </c>
      <c r="AD927" s="78" t="b">
        <f t="shared" si="966"/>
        <v>0</v>
      </c>
      <c r="AE927" s="78" t="b">
        <f t="shared" si="967"/>
        <v>0</v>
      </c>
      <c r="AF927" s="78" t="b">
        <f t="shared" si="968"/>
        <v>0</v>
      </c>
      <c r="AG927" s="78" t="b">
        <f t="shared" si="969"/>
        <v>0</v>
      </c>
      <c r="AH927" s="78" t="b">
        <f t="shared" si="970"/>
        <v>0</v>
      </c>
      <c r="AI927" s="78" t="b">
        <f t="shared" si="971"/>
        <v>0</v>
      </c>
      <c r="AJ927" s="78" t="b">
        <f t="shared" si="972"/>
        <v>0</v>
      </c>
      <c r="AK927" s="78" t="b">
        <f t="shared" si="973"/>
        <v>0</v>
      </c>
      <c r="AL927" s="78" t="b">
        <f t="shared" si="974"/>
        <v>0</v>
      </c>
      <c r="AM927" s="78" t="b">
        <f t="shared" si="975"/>
        <v>0</v>
      </c>
      <c r="AN927" s="78" t="b">
        <f t="shared" si="976"/>
        <v>0</v>
      </c>
      <c r="AO927" s="78" t="b">
        <f t="shared" si="977"/>
        <v>0</v>
      </c>
    </row>
    <row r="928" spans="7:41" x14ac:dyDescent="0.35">
      <c r="G928" s="77">
        <f t="shared" si="947"/>
        <v>0</v>
      </c>
      <c r="H928" s="78">
        <f t="shared" si="948"/>
        <v>0</v>
      </c>
      <c r="I928" s="77">
        <f t="shared" si="949"/>
        <v>0</v>
      </c>
      <c r="J928" s="78">
        <f t="shared" si="950"/>
        <v>0</v>
      </c>
      <c r="K928" s="78" t="str">
        <f t="shared" si="951"/>
        <v>1900-01-00 00:0:00</v>
      </c>
      <c r="L928" s="78" t="str">
        <f t="shared" si="952"/>
        <v>1900-01-00 00:0:00</v>
      </c>
      <c r="M928" s="79">
        <f t="shared" si="953"/>
        <v>0</v>
      </c>
      <c r="N928">
        <f t="shared" si="978"/>
        <v>1</v>
      </c>
      <c r="O928" t="str">
        <f>IFERROR(_xlfn.XLOOKUP(A928,HC!A:A,HC!C:C),"")</f>
        <v>Workforce</v>
      </c>
      <c r="R928" s="78" t="b">
        <f t="shared" si="954"/>
        <v>0</v>
      </c>
      <c r="S928" s="78" t="b">
        <f t="shared" si="955"/>
        <v>0</v>
      </c>
      <c r="T928" s="78" t="b">
        <f t="shared" si="956"/>
        <v>0</v>
      </c>
      <c r="U928" s="78" t="b">
        <f t="shared" si="957"/>
        <v>0</v>
      </c>
      <c r="V928" s="78" t="b">
        <f t="shared" si="958"/>
        <v>0</v>
      </c>
      <c r="W928" s="78" t="b">
        <f t="shared" si="959"/>
        <v>0</v>
      </c>
      <c r="X928" s="78" t="b">
        <f t="shared" si="960"/>
        <v>0</v>
      </c>
      <c r="Y928" s="78" t="b">
        <f t="shared" si="961"/>
        <v>0</v>
      </c>
      <c r="Z928" s="78" t="b">
        <f t="shared" si="962"/>
        <v>0</v>
      </c>
      <c r="AA928" s="78" t="b">
        <f t="shared" si="963"/>
        <v>0</v>
      </c>
      <c r="AB928" s="78" t="b">
        <f t="shared" si="964"/>
        <v>0</v>
      </c>
      <c r="AC928" s="78" t="b">
        <f t="shared" si="965"/>
        <v>0</v>
      </c>
      <c r="AD928" s="78" t="b">
        <f t="shared" si="966"/>
        <v>0</v>
      </c>
      <c r="AE928" s="78" t="b">
        <f t="shared" si="967"/>
        <v>0</v>
      </c>
      <c r="AF928" s="78" t="b">
        <f t="shared" si="968"/>
        <v>0</v>
      </c>
      <c r="AG928" s="78" t="b">
        <f t="shared" si="969"/>
        <v>0</v>
      </c>
      <c r="AH928" s="78" t="b">
        <f t="shared" si="970"/>
        <v>0</v>
      </c>
      <c r="AI928" s="78" t="b">
        <f t="shared" si="971"/>
        <v>0</v>
      </c>
      <c r="AJ928" s="78" t="b">
        <f t="shared" si="972"/>
        <v>0</v>
      </c>
      <c r="AK928" s="78" t="b">
        <f t="shared" si="973"/>
        <v>0</v>
      </c>
      <c r="AL928" s="78" t="b">
        <f t="shared" si="974"/>
        <v>0</v>
      </c>
      <c r="AM928" s="78" t="b">
        <f t="shared" si="975"/>
        <v>0</v>
      </c>
      <c r="AN928" s="78" t="b">
        <f t="shared" si="976"/>
        <v>0</v>
      </c>
      <c r="AO928" s="78" t="b">
        <f t="shared" si="977"/>
        <v>0</v>
      </c>
    </row>
    <row r="929" spans="7:41" x14ac:dyDescent="0.35">
      <c r="G929" s="77">
        <f t="shared" si="947"/>
        <v>0</v>
      </c>
      <c r="H929" s="78">
        <f t="shared" si="948"/>
        <v>0</v>
      </c>
      <c r="I929" s="77">
        <f t="shared" si="949"/>
        <v>0</v>
      </c>
      <c r="J929" s="78">
        <f t="shared" si="950"/>
        <v>0</v>
      </c>
      <c r="K929" s="78" t="str">
        <f t="shared" si="951"/>
        <v>1900-01-00 00:0:00</v>
      </c>
      <c r="L929" s="78" t="str">
        <f t="shared" si="952"/>
        <v>1900-01-00 00:0:00</v>
      </c>
      <c r="M929" s="79">
        <f t="shared" si="953"/>
        <v>0</v>
      </c>
      <c r="N929">
        <f t="shared" si="978"/>
        <v>1</v>
      </c>
      <c r="O929" t="str">
        <f>IFERROR(_xlfn.XLOOKUP(A929,HC!A:A,HC!C:C),"")</f>
        <v>Workforce</v>
      </c>
      <c r="R929" s="78" t="b">
        <f t="shared" si="954"/>
        <v>0</v>
      </c>
      <c r="S929" s="78" t="b">
        <f t="shared" si="955"/>
        <v>0</v>
      </c>
      <c r="T929" s="78" t="b">
        <f t="shared" si="956"/>
        <v>0</v>
      </c>
      <c r="U929" s="78" t="b">
        <f t="shared" si="957"/>
        <v>0</v>
      </c>
      <c r="V929" s="78" t="b">
        <f t="shared" si="958"/>
        <v>0</v>
      </c>
      <c r="W929" s="78" t="b">
        <f t="shared" si="959"/>
        <v>0</v>
      </c>
      <c r="X929" s="78" t="b">
        <f t="shared" si="960"/>
        <v>0</v>
      </c>
      <c r="Y929" s="78" t="b">
        <f t="shared" si="961"/>
        <v>0</v>
      </c>
      <c r="Z929" s="78" t="b">
        <f t="shared" si="962"/>
        <v>0</v>
      </c>
      <c r="AA929" s="78" t="b">
        <f t="shared" si="963"/>
        <v>0</v>
      </c>
      <c r="AB929" s="78" t="b">
        <f t="shared" si="964"/>
        <v>0</v>
      </c>
      <c r="AC929" s="78" t="b">
        <f t="shared" si="965"/>
        <v>0</v>
      </c>
      <c r="AD929" s="78" t="b">
        <f t="shared" si="966"/>
        <v>0</v>
      </c>
      <c r="AE929" s="78" t="b">
        <f t="shared" si="967"/>
        <v>0</v>
      </c>
      <c r="AF929" s="78" t="b">
        <f t="shared" si="968"/>
        <v>0</v>
      </c>
      <c r="AG929" s="78" t="b">
        <f t="shared" si="969"/>
        <v>0</v>
      </c>
      <c r="AH929" s="78" t="b">
        <f t="shared" si="970"/>
        <v>0</v>
      </c>
      <c r="AI929" s="78" t="b">
        <f t="shared" si="971"/>
        <v>0</v>
      </c>
      <c r="AJ929" s="78" t="b">
        <f t="shared" si="972"/>
        <v>0</v>
      </c>
      <c r="AK929" s="78" t="b">
        <f t="shared" si="973"/>
        <v>0</v>
      </c>
      <c r="AL929" s="78" t="b">
        <f t="shared" si="974"/>
        <v>0</v>
      </c>
      <c r="AM929" s="78" t="b">
        <f t="shared" si="975"/>
        <v>0</v>
      </c>
      <c r="AN929" s="78" t="b">
        <f t="shared" si="976"/>
        <v>0</v>
      </c>
      <c r="AO929" s="78" t="b">
        <f t="shared" si="977"/>
        <v>0</v>
      </c>
    </row>
    <row r="930" spans="7:41" x14ac:dyDescent="0.35">
      <c r="G930" s="77">
        <f t="shared" si="947"/>
        <v>0</v>
      </c>
      <c r="H930" s="78">
        <f t="shared" si="948"/>
        <v>0</v>
      </c>
      <c r="I930" s="77">
        <f t="shared" si="949"/>
        <v>0</v>
      </c>
      <c r="J930" s="78">
        <f t="shared" si="950"/>
        <v>0</v>
      </c>
      <c r="K930" s="78" t="str">
        <f t="shared" si="951"/>
        <v>1900-01-00 00:0:00</v>
      </c>
      <c r="L930" s="78" t="str">
        <f t="shared" si="952"/>
        <v>1900-01-00 00:0:00</v>
      </c>
      <c r="M930" s="79">
        <f t="shared" si="953"/>
        <v>0</v>
      </c>
      <c r="N930">
        <f t="shared" si="978"/>
        <v>1</v>
      </c>
      <c r="O930" t="str">
        <f>IFERROR(_xlfn.XLOOKUP(A930,HC!A:A,HC!C:C),"")</f>
        <v>Workforce</v>
      </c>
      <c r="R930" s="78" t="b">
        <f t="shared" si="954"/>
        <v>0</v>
      </c>
      <c r="S930" s="78" t="b">
        <f t="shared" si="955"/>
        <v>0</v>
      </c>
      <c r="T930" s="78" t="b">
        <f t="shared" si="956"/>
        <v>0</v>
      </c>
      <c r="U930" s="78" t="b">
        <f t="shared" si="957"/>
        <v>0</v>
      </c>
      <c r="V930" s="78" t="b">
        <f t="shared" si="958"/>
        <v>0</v>
      </c>
      <c r="W930" s="78" t="b">
        <f t="shared" si="959"/>
        <v>0</v>
      </c>
      <c r="X930" s="78" t="b">
        <f t="shared" si="960"/>
        <v>0</v>
      </c>
      <c r="Y930" s="78" t="b">
        <f t="shared" si="961"/>
        <v>0</v>
      </c>
      <c r="Z930" s="78" t="b">
        <f t="shared" si="962"/>
        <v>0</v>
      </c>
      <c r="AA930" s="78" t="b">
        <f t="shared" si="963"/>
        <v>0</v>
      </c>
      <c r="AB930" s="78" t="b">
        <f t="shared" si="964"/>
        <v>0</v>
      </c>
      <c r="AC930" s="78" t="b">
        <f t="shared" si="965"/>
        <v>0</v>
      </c>
      <c r="AD930" s="78" t="b">
        <f t="shared" si="966"/>
        <v>0</v>
      </c>
      <c r="AE930" s="78" t="b">
        <f t="shared" si="967"/>
        <v>0</v>
      </c>
      <c r="AF930" s="78" t="b">
        <f t="shared" si="968"/>
        <v>0</v>
      </c>
      <c r="AG930" s="78" t="b">
        <f t="shared" si="969"/>
        <v>0</v>
      </c>
      <c r="AH930" s="78" t="b">
        <f t="shared" si="970"/>
        <v>0</v>
      </c>
      <c r="AI930" s="78" t="b">
        <f t="shared" si="971"/>
        <v>0</v>
      </c>
      <c r="AJ930" s="78" t="b">
        <f t="shared" si="972"/>
        <v>0</v>
      </c>
      <c r="AK930" s="78" t="b">
        <f t="shared" si="973"/>
        <v>0</v>
      </c>
      <c r="AL930" s="78" t="b">
        <f t="shared" si="974"/>
        <v>0</v>
      </c>
      <c r="AM930" s="78" t="b">
        <f t="shared" si="975"/>
        <v>0</v>
      </c>
      <c r="AN930" s="78" t="b">
        <f t="shared" si="976"/>
        <v>0</v>
      </c>
      <c r="AO930" s="78" t="b">
        <f t="shared" si="977"/>
        <v>0</v>
      </c>
    </row>
    <row r="931" spans="7:41" x14ac:dyDescent="0.35">
      <c r="G931" s="77">
        <f t="shared" si="947"/>
        <v>0</v>
      </c>
      <c r="H931" s="78">
        <f t="shared" si="948"/>
        <v>0</v>
      </c>
      <c r="I931" s="77">
        <f t="shared" si="949"/>
        <v>0</v>
      </c>
      <c r="J931" s="78">
        <f t="shared" si="950"/>
        <v>0</v>
      </c>
      <c r="K931" s="78" t="str">
        <f t="shared" si="951"/>
        <v>1900-01-00 00:0:00</v>
      </c>
      <c r="L931" s="78" t="str">
        <f t="shared" si="952"/>
        <v>1900-01-00 00:0:00</v>
      </c>
      <c r="M931" s="79">
        <f t="shared" si="953"/>
        <v>0</v>
      </c>
      <c r="N931">
        <f t="shared" si="978"/>
        <v>1</v>
      </c>
      <c r="O931" t="str">
        <f>IFERROR(_xlfn.XLOOKUP(A931,HC!A:A,HC!C:C),"")</f>
        <v>Workforce</v>
      </c>
      <c r="R931" s="78" t="b">
        <f t="shared" si="954"/>
        <v>0</v>
      </c>
      <c r="S931" s="78" t="b">
        <f t="shared" si="955"/>
        <v>0</v>
      </c>
      <c r="T931" s="78" t="b">
        <f t="shared" si="956"/>
        <v>0</v>
      </c>
      <c r="U931" s="78" t="b">
        <f t="shared" si="957"/>
        <v>0</v>
      </c>
      <c r="V931" s="78" t="b">
        <f t="shared" si="958"/>
        <v>0</v>
      </c>
      <c r="W931" s="78" t="b">
        <f t="shared" si="959"/>
        <v>0</v>
      </c>
      <c r="X931" s="78" t="b">
        <f t="shared" si="960"/>
        <v>0</v>
      </c>
      <c r="Y931" s="78" t="b">
        <f t="shared" si="961"/>
        <v>0</v>
      </c>
      <c r="Z931" s="78" t="b">
        <f t="shared" si="962"/>
        <v>0</v>
      </c>
      <c r="AA931" s="78" t="b">
        <f t="shared" si="963"/>
        <v>0</v>
      </c>
      <c r="AB931" s="78" t="b">
        <f t="shared" si="964"/>
        <v>0</v>
      </c>
      <c r="AC931" s="78" t="b">
        <f t="shared" si="965"/>
        <v>0</v>
      </c>
      <c r="AD931" s="78" t="b">
        <f t="shared" si="966"/>
        <v>0</v>
      </c>
      <c r="AE931" s="78" t="b">
        <f t="shared" si="967"/>
        <v>0</v>
      </c>
      <c r="AF931" s="78" t="b">
        <f t="shared" si="968"/>
        <v>0</v>
      </c>
      <c r="AG931" s="78" t="b">
        <f t="shared" si="969"/>
        <v>0</v>
      </c>
      <c r="AH931" s="78" t="b">
        <f t="shared" si="970"/>
        <v>0</v>
      </c>
      <c r="AI931" s="78" t="b">
        <f t="shared" si="971"/>
        <v>0</v>
      </c>
      <c r="AJ931" s="78" t="b">
        <f t="shared" si="972"/>
        <v>0</v>
      </c>
      <c r="AK931" s="78" t="b">
        <f t="shared" si="973"/>
        <v>0</v>
      </c>
      <c r="AL931" s="78" t="b">
        <f t="shared" si="974"/>
        <v>0</v>
      </c>
      <c r="AM931" s="78" t="b">
        <f t="shared" si="975"/>
        <v>0</v>
      </c>
      <c r="AN931" s="78" t="b">
        <f t="shared" si="976"/>
        <v>0</v>
      </c>
      <c r="AO931" s="78" t="b">
        <f t="shared" si="977"/>
        <v>0</v>
      </c>
    </row>
    <row r="932" spans="7:41" x14ac:dyDescent="0.35">
      <c r="G932" s="77">
        <f t="shared" si="947"/>
        <v>0</v>
      </c>
      <c r="H932" s="78">
        <f t="shared" si="948"/>
        <v>0</v>
      </c>
      <c r="I932" s="77">
        <f t="shared" si="949"/>
        <v>0</v>
      </c>
      <c r="J932" s="78">
        <f t="shared" si="950"/>
        <v>0</v>
      </c>
      <c r="K932" s="78" t="str">
        <f t="shared" si="951"/>
        <v>1900-01-00 00:0:00</v>
      </c>
      <c r="L932" s="78" t="str">
        <f t="shared" si="952"/>
        <v>1900-01-00 00:0:00</v>
      </c>
      <c r="M932" s="79">
        <f t="shared" si="953"/>
        <v>0</v>
      </c>
      <c r="N932">
        <f t="shared" si="978"/>
        <v>1</v>
      </c>
      <c r="O932" t="str">
        <f>IFERROR(_xlfn.XLOOKUP(A932,HC!A:A,HC!C:C),"")</f>
        <v>Workforce</v>
      </c>
      <c r="R932" s="78" t="b">
        <f t="shared" si="954"/>
        <v>0</v>
      </c>
      <c r="S932" s="78" t="b">
        <f t="shared" si="955"/>
        <v>0</v>
      </c>
      <c r="T932" s="78" t="b">
        <f t="shared" si="956"/>
        <v>0</v>
      </c>
      <c r="U932" s="78" t="b">
        <f t="shared" si="957"/>
        <v>0</v>
      </c>
      <c r="V932" s="78" t="b">
        <f t="shared" si="958"/>
        <v>0</v>
      </c>
      <c r="W932" s="78" t="b">
        <f t="shared" si="959"/>
        <v>0</v>
      </c>
      <c r="X932" s="78" t="b">
        <f t="shared" si="960"/>
        <v>0</v>
      </c>
      <c r="Y932" s="78" t="b">
        <f t="shared" si="961"/>
        <v>0</v>
      </c>
      <c r="Z932" s="78" t="b">
        <f t="shared" si="962"/>
        <v>0</v>
      </c>
      <c r="AA932" s="78" t="b">
        <f t="shared" si="963"/>
        <v>0</v>
      </c>
      <c r="AB932" s="78" t="b">
        <f t="shared" si="964"/>
        <v>0</v>
      </c>
      <c r="AC932" s="78" t="b">
        <f t="shared" si="965"/>
        <v>0</v>
      </c>
      <c r="AD932" s="78" t="b">
        <f t="shared" si="966"/>
        <v>0</v>
      </c>
      <c r="AE932" s="78" t="b">
        <f t="shared" si="967"/>
        <v>0</v>
      </c>
      <c r="AF932" s="78" t="b">
        <f t="shared" si="968"/>
        <v>0</v>
      </c>
      <c r="AG932" s="78" t="b">
        <f t="shared" si="969"/>
        <v>0</v>
      </c>
      <c r="AH932" s="78" t="b">
        <f t="shared" si="970"/>
        <v>0</v>
      </c>
      <c r="AI932" s="78" t="b">
        <f t="shared" si="971"/>
        <v>0</v>
      </c>
      <c r="AJ932" s="78" t="b">
        <f t="shared" si="972"/>
        <v>0</v>
      </c>
      <c r="AK932" s="78" t="b">
        <f t="shared" si="973"/>
        <v>0</v>
      </c>
      <c r="AL932" s="78" t="b">
        <f t="shared" si="974"/>
        <v>0</v>
      </c>
      <c r="AM932" s="78" t="b">
        <f t="shared" si="975"/>
        <v>0</v>
      </c>
      <c r="AN932" s="78" t="b">
        <f t="shared" si="976"/>
        <v>0</v>
      </c>
      <c r="AO932" s="78" t="b">
        <f t="shared" si="977"/>
        <v>0</v>
      </c>
    </row>
    <row r="933" spans="7:41" x14ac:dyDescent="0.35">
      <c r="G933" s="77">
        <f t="shared" si="947"/>
        <v>0</v>
      </c>
      <c r="H933" s="78">
        <f t="shared" si="948"/>
        <v>0</v>
      </c>
      <c r="I933" s="77">
        <f t="shared" si="949"/>
        <v>0</v>
      </c>
      <c r="J933" s="78">
        <f t="shared" si="950"/>
        <v>0</v>
      </c>
      <c r="K933" s="78" t="str">
        <f t="shared" si="951"/>
        <v>1900-01-00 00:0:00</v>
      </c>
      <c r="L933" s="78" t="str">
        <f t="shared" si="952"/>
        <v>1900-01-00 00:0:00</v>
      </c>
      <c r="M933" s="79">
        <f t="shared" si="953"/>
        <v>0</v>
      </c>
      <c r="N933">
        <f t="shared" si="978"/>
        <v>1</v>
      </c>
      <c r="O933" t="str">
        <f>IFERROR(_xlfn.XLOOKUP(A933,HC!A:A,HC!C:C),"")</f>
        <v>Workforce</v>
      </c>
      <c r="R933" s="78" t="b">
        <f t="shared" si="954"/>
        <v>0</v>
      </c>
      <c r="S933" s="78" t="b">
        <f t="shared" si="955"/>
        <v>0</v>
      </c>
      <c r="T933" s="78" t="b">
        <f t="shared" si="956"/>
        <v>0</v>
      </c>
      <c r="U933" s="78" t="b">
        <f t="shared" si="957"/>
        <v>0</v>
      </c>
      <c r="V933" s="78" t="b">
        <f t="shared" si="958"/>
        <v>0</v>
      </c>
      <c r="W933" s="78" t="b">
        <f t="shared" si="959"/>
        <v>0</v>
      </c>
      <c r="X933" s="78" t="b">
        <f t="shared" si="960"/>
        <v>0</v>
      </c>
      <c r="Y933" s="78" t="b">
        <f t="shared" si="961"/>
        <v>0</v>
      </c>
      <c r="Z933" s="78" t="b">
        <f t="shared" si="962"/>
        <v>0</v>
      </c>
      <c r="AA933" s="78" t="b">
        <f t="shared" si="963"/>
        <v>0</v>
      </c>
      <c r="AB933" s="78" t="b">
        <f t="shared" si="964"/>
        <v>0</v>
      </c>
      <c r="AC933" s="78" t="b">
        <f t="shared" si="965"/>
        <v>0</v>
      </c>
      <c r="AD933" s="78" t="b">
        <f t="shared" si="966"/>
        <v>0</v>
      </c>
      <c r="AE933" s="78" t="b">
        <f t="shared" si="967"/>
        <v>0</v>
      </c>
      <c r="AF933" s="78" t="b">
        <f t="shared" si="968"/>
        <v>0</v>
      </c>
      <c r="AG933" s="78" t="b">
        <f t="shared" si="969"/>
        <v>0</v>
      </c>
      <c r="AH933" s="78" t="b">
        <f t="shared" si="970"/>
        <v>0</v>
      </c>
      <c r="AI933" s="78" t="b">
        <f t="shared" si="971"/>
        <v>0</v>
      </c>
      <c r="AJ933" s="78" t="b">
        <f t="shared" si="972"/>
        <v>0</v>
      </c>
      <c r="AK933" s="78" t="b">
        <f t="shared" si="973"/>
        <v>0</v>
      </c>
      <c r="AL933" s="78" t="b">
        <f t="shared" si="974"/>
        <v>0</v>
      </c>
      <c r="AM933" s="78" t="b">
        <f t="shared" si="975"/>
        <v>0</v>
      </c>
      <c r="AN933" s="78" t="b">
        <f t="shared" si="976"/>
        <v>0</v>
      </c>
      <c r="AO933" s="78" t="b">
        <f t="shared" si="977"/>
        <v>0</v>
      </c>
    </row>
    <row r="934" spans="7:41" x14ac:dyDescent="0.35">
      <c r="G934" s="77">
        <f t="shared" si="947"/>
        <v>0</v>
      </c>
      <c r="H934" s="78">
        <f t="shared" si="948"/>
        <v>0</v>
      </c>
      <c r="I934" s="77">
        <f t="shared" si="949"/>
        <v>0</v>
      </c>
      <c r="J934" s="78">
        <f t="shared" si="950"/>
        <v>0</v>
      </c>
      <c r="K934" s="78" t="str">
        <f t="shared" si="951"/>
        <v>1900-01-00 00:0:00</v>
      </c>
      <c r="L934" s="78" t="str">
        <f t="shared" si="952"/>
        <v>1900-01-00 00:0:00</v>
      </c>
      <c r="M934" s="79">
        <f t="shared" si="953"/>
        <v>0</v>
      </c>
      <c r="N934">
        <f t="shared" si="978"/>
        <v>1</v>
      </c>
      <c r="O934" t="str">
        <f>IFERROR(_xlfn.XLOOKUP(A934,HC!A:A,HC!C:C),"")</f>
        <v>Workforce</v>
      </c>
      <c r="R934" s="78" t="b">
        <f t="shared" si="954"/>
        <v>0</v>
      </c>
      <c r="S934" s="78" t="b">
        <f t="shared" si="955"/>
        <v>0</v>
      </c>
      <c r="T934" s="78" t="b">
        <f t="shared" si="956"/>
        <v>0</v>
      </c>
      <c r="U934" s="78" t="b">
        <f t="shared" si="957"/>
        <v>0</v>
      </c>
      <c r="V934" s="78" t="b">
        <f t="shared" si="958"/>
        <v>0</v>
      </c>
      <c r="W934" s="78" t="b">
        <f t="shared" si="959"/>
        <v>0</v>
      </c>
      <c r="X934" s="78" t="b">
        <f t="shared" si="960"/>
        <v>0</v>
      </c>
      <c r="Y934" s="78" t="b">
        <f t="shared" si="961"/>
        <v>0</v>
      </c>
      <c r="Z934" s="78" t="b">
        <f t="shared" si="962"/>
        <v>0</v>
      </c>
      <c r="AA934" s="78" t="b">
        <f t="shared" si="963"/>
        <v>0</v>
      </c>
      <c r="AB934" s="78" t="b">
        <f t="shared" si="964"/>
        <v>0</v>
      </c>
      <c r="AC934" s="78" t="b">
        <f t="shared" si="965"/>
        <v>0</v>
      </c>
      <c r="AD934" s="78" t="b">
        <f t="shared" si="966"/>
        <v>0</v>
      </c>
      <c r="AE934" s="78" t="b">
        <f t="shared" si="967"/>
        <v>0</v>
      </c>
      <c r="AF934" s="78" t="b">
        <f t="shared" si="968"/>
        <v>0</v>
      </c>
      <c r="AG934" s="78" t="b">
        <f t="shared" si="969"/>
        <v>0</v>
      </c>
      <c r="AH934" s="78" t="b">
        <f t="shared" si="970"/>
        <v>0</v>
      </c>
      <c r="AI934" s="78" t="b">
        <f t="shared" si="971"/>
        <v>0</v>
      </c>
      <c r="AJ934" s="78" t="b">
        <f t="shared" si="972"/>
        <v>0</v>
      </c>
      <c r="AK934" s="78" t="b">
        <f t="shared" si="973"/>
        <v>0</v>
      </c>
      <c r="AL934" s="78" t="b">
        <f t="shared" si="974"/>
        <v>0</v>
      </c>
      <c r="AM934" s="78" t="b">
        <f t="shared" si="975"/>
        <v>0</v>
      </c>
      <c r="AN934" s="78" t="b">
        <f t="shared" si="976"/>
        <v>0</v>
      </c>
      <c r="AO934" s="78" t="b">
        <f t="shared" si="977"/>
        <v>0</v>
      </c>
    </row>
    <row r="935" spans="7:41" x14ac:dyDescent="0.35">
      <c r="G935" s="77">
        <f t="shared" si="947"/>
        <v>0</v>
      </c>
      <c r="H935" s="78">
        <f t="shared" si="948"/>
        <v>0</v>
      </c>
      <c r="I935" s="77">
        <f t="shared" si="949"/>
        <v>0</v>
      </c>
      <c r="J935" s="78">
        <f t="shared" si="950"/>
        <v>0</v>
      </c>
      <c r="K935" s="78" t="str">
        <f t="shared" si="951"/>
        <v>1900-01-00 00:0:00</v>
      </c>
      <c r="L935" s="78" t="str">
        <f t="shared" si="952"/>
        <v>1900-01-00 00:0:00</v>
      </c>
      <c r="M935" s="79">
        <f t="shared" si="953"/>
        <v>0</v>
      </c>
      <c r="N935">
        <f t="shared" si="978"/>
        <v>1</v>
      </c>
      <c r="O935" t="str">
        <f>IFERROR(_xlfn.XLOOKUP(A935,HC!A:A,HC!C:C),"")</f>
        <v>Workforce</v>
      </c>
      <c r="R935" s="78" t="b">
        <f t="shared" si="954"/>
        <v>0</v>
      </c>
      <c r="S935" s="78" t="b">
        <f t="shared" si="955"/>
        <v>0</v>
      </c>
      <c r="T935" s="78" t="b">
        <f t="shared" si="956"/>
        <v>0</v>
      </c>
      <c r="U935" s="78" t="b">
        <f t="shared" si="957"/>
        <v>0</v>
      </c>
      <c r="V935" s="78" t="b">
        <f t="shared" si="958"/>
        <v>0</v>
      </c>
      <c r="W935" s="78" t="b">
        <f t="shared" si="959"/>
        <v>0</v>
      </c>
      <c r="X935" s="78" t="b">
        <f t="shared" si="960"/>
        <v>0</v>
      </c>
      <c r="Y935" s="78" t="b">
        <f t="shared" si="961"/>
        <v>0</v>
      </c>
      <c r="Z935" s="78" t="b">
        <f t="shared" si="962"/>
        <v>0</v>
      </c>
      <c r="AA935" s="78" t="b">
        <f t="shared" si="963"/>
        <v>0</v>
      </c>
      <c r="AB935" s="78" t="b">
        <f t="shared" si="964"/>
        <v>0</v>
      </c>
      <c r="AC935" s="78" t="b">
        <f t="shared" si="965"/>
        <v>0</v>
      </c>
      <c r="AD935" s="78" t="b">
        <f t="shared" si="966"/>
        <v>0</v>
      </c>
      <c r="AE935" s="78" t="b">
        <f t="shared" si="967"/>
        <v>0</v>
      </c>
      <c r="AF935" s="78" t="b">
        <f t="shared" si="968"/>
        <v>0</v>
      </c>
      <c r="AG935" s="78" t="b">
        <f t="shared" si="969"/>
        <v>0</v>
      </c>
      <c r="AH935" s="78" t="b">
        <f t="shared" si="970"/>
        <v>0</v>
      </c>
      <c r="AI935" s="78" t="b">
        <f t="shared" si="971"/>
        <v>0</v>
      </c>
      <c r="AJ935" s="78" t="b">
        <f t="shared" si="972"/>
        <v>0</v>
      </c>
      <c r="AK935" s="78" t="b">
        <f t="shared" si="973"/>
        <v>0</v>
      </c>
      <c r="AL935" s="78" t="b">
        <f t="shared" si="974"/>
        <v>0</v>
      </c>
      <c r="AM935" s="78" t="b">
        <f t="shared" si="975"/>
        <v>0</v>
      </c>
      <c r="AN935" s="78" t="b">
        <f t="shared" si="976"/>
        <v>0</v>
      </c>
      <c r="AO935" s="78" t="b">
        <f t="shared" si="977"/>
        <v>0</v>
      </c>
    </row>
    <row r="936" spans="7:41" x14ac:dyDescent="0.35">
      <c r="G936" s="77">
        <f t="shared" si="947"/>
        <v>0</v>
      </c>
      <c r="H936" s="78">
        <f t="shared" si="948"/>
        <v>0</v>
      </c>
      <c r="I936" s="77">
        <f t="shared" si="949"/>
        <v>0</v>
      </c>
      <c r="J936" s="78">
        <f t="shared" si="950"/>
        <v>0</v>
      </c>
      <c r="K936" s="78" t="str">
        <f t="shared" si="951"/>
        <v>1900-01-00 00:0:00</v>
      </c>
      <c r="L936" s="78" t="str">
        <f t="shared" si="952"/>
        <v>1900-01-00 00:0:00</v>
      </c>
      <c r="M936" s="79">
        <f t="shared" si="953"/>
        <v>0</v>
      </c>
      <c r="N936">
        <f t="shared" si="978"/>
        <v>1</v>
      </c>
      <c r="O936" t="str">
        <f>IFERROR(_xlfn.XLOOKUP(A936,HC!A:A,HC!C:C),"")</f>
        <v>Workforce</v>
      </c>
      <c r="R936" s="78" t="b">
        <f t="shared" si="954"/>
        <v>0</v>
      </c>
      <c r="S936" s="78" t="b">
        <f t="shared" si="955"/>
        <v>0</v>
      </c>
      <c r="T936" s="78" t="b">
        <f t="shared" si="956"/>
        <v>0</v>
      </c>
      <c r="U936" s="78" t="b">
        <f t="shared" si="957"/>
        <v>0</v>
      </c>
      <c r="V936" s="78" t="b">
        <f t="shared" si="958"/>
        <v>0</v>
      </c>
      <c r="W936" s="78" t="b">
        <f t="shared" si="959"/>
        <v>0</v>
      </c>
      <c r="X936" s="78" t="b">
        <f t="shared" si="960"/>
        <v>0</v>
      </c>
      <c r="Y936" s="78" t="b">
        <f t="shared" si="961"/>
        <v>0</v>
      </c>
      <c r="Z936" s="78" t="b">
        <f t="shared" si="962"/>
        <v>0</v>
      </c>
      <c r="AA936" s="78" t="b">
        <f t="shared" si="963"/>
        <v>0</v>
      </c>
      <c r="AB936" s="78" t="b">
        <f t="shared" si="964"/>
        <v>0</v>
      </c>
      <c r="AC936" s="78" t="b">
        <f t="shared" si="965"/>
        <v>0</v>
      </c>
      <c r="AD936" s="78" t="b">
        <f t="shared" si="966"/>
        <v>0</v>
      </c>
      <c r="AE936" s="78" t="b">
        <f t="shared" si="967"/>
        <v>0</v>
      </c>
      <c r="AF936" s="78" t="b">
        <f t="shared" si="968"/>
        <v>0</v>
      </c>
      <c r="AG936" s="78" t="b">
        <f t="shared" si="969"/>
        <v>0</v>
      </c>
      <c r="AH936" s="78" t="b">
        <f t="shared" si="970"/>
        <v>0</v>
      </c>
      <c r="AI936" s="78" t="b">
        <f t="shared" si="971"/>
        <v>0</v>
      </c>
      <c r="AJ936" s="78" t="b">
        <f t="shared" si="972"/>
        <v>0</v>
      </c>
      <c r="AK936" s="78" t="b">
        <f t="shared" si="973"/>
        <v>0</v>
      </c>
      <c r="AL936" s="78" t="b">
        <f t="shared" si="974"/>
        <v>0</v>
      </c>
      <c r="AM936" s="78" t="b">
        <f t="shared" si="975"/>
        <v>0</v>
      </c>
      <c r="AN936" s="78" t="b">
        <f t="shared" si="976"/>
        <v>0</v>
      </c>
      <c r="AO936" s="78" t="b">
        <f t="shared" si="977"/>
        <v>0</v>
      </c>
    </row>
    <row r="937" spans="7:41" x14ac:dyDescent="0.35">
      <c r="G937" s="77">
        <f t="shared" si="947"/>
        <v>0</v>
      </c>
      <c r="H937" s="78">
        <f t="shared" si="948"/>
        <v>0</v>
      </c>
      <c r="I937" s="77">
        <f t="shared" si="949"/>
        <v>0</v>
      </c>
      <c r="J937" s="78">
        <f t="shared" si="950"/>
        <v>0</v>
      </c>
      <c r="K937" s="78" t="str">
        <f t="shared" si="951"/>
        <v>1900-01-00 00:0:00</v>
      </c>
      <c r="L937" s="78" t="str">
        <f t="shared" si="952"/>
        <v>1900-01-00 00:0:00</v>
      </c>
      <c r="M937" s="79">
        <f t="shared" si="953"/>
        <v>0</v>
      </c>
      <c r="N937">
        <f t="shared" si="978"/>
        <v>1</v>
      </c>
      <c r="O937" t="str">
        <f>IFERROR(_xlfn.XLOOKUP(A937,HC!A:A,HC!C:C),"")</f>
        <v>Workforce</v>
      </c>
      <c r="R937" s="78" t="b">
        <f t="shared" si="954"/>
        <v>0</v>
      </c>
      <c r="S937" s="78" t="b">
        <f t="shared" si="955"/>
        <v>0</v>
      </c>
      <c r="T937" s="78" t="b">
        <f t="shared" si="956"/>
        <v>0</v>
      </c>
      <c r="U937" s="78" t="b">
        <f t="shared" si="957"/>
        <v>0</v>
      </c>
      <c r="V937" s="78" t="b">
        <f t="shared" si="958"/>
        <v>0</v>
      </c>
      <c r="W937" s="78" t="b">
        <f t="shared" si="959"/>
        <v>0</v>
      </c>
      <c r="X937" s="78" t="b">
        <f t="shared" si="960"/>
        <v>0</v>
      </c>
      <c r="Y937" s="78" t="b">
        <f t="shared" si="961"/>
        <v>0</v>
      </c>
      <c r="Z937" s="78" t="b">
        <f t="shared" si="962"/>
        <v>0</v>
      </c>
      <c r="AA937" s="78" t="b">
        <f t="shared" si="963"/>
        <v>0</v>
      </c>
      <c r="AB937" s="78" t="b">
        <f t="shared" si="964"/>
        <v>0</v>
      </c>
      <c r="AC937" s="78" t="b">
        <f t="shared" si="965"/>
        <v>0</v>
      </c>
      <c r="AD937" s="78" t="b">
        <f t="shared" si="966"/>
        <v>0</v>
      </c>
      <c r="AE937" s="78" t="b">
        <f t="shared" si="967"/>
        <v>0</v>
      </c>
      <c r="AF937" s="78" t="b">
        <f t="shared" si="968"/>
        <v>0</v>
      </c>
      <c r="AG937" s="78" t="b">
        <f t="shared" si="969"/>
        <v>0</v>
      </c>
      <c r="AH937" s="78" t="b">
        <f t="shared" si="970"/>
        <v>0</v>
      </c>
      <c r="AI937" s="78" t="b">
        <f t="shared" si="971"/>
        <v>0</v>
      </c>
      <c r="AJ937" s="78" t="b">
        <f t="shared" si="972"/>
        <v>0</v>
      </c>
      <c r="AK937" s="78" t="b">
        <f t="shared" si="973"/>
        <v>0</v>
      </c>
      <c r="AL937" s="78" t="b">
        <f t="shared" si="974"/>
        <v>0</v>
      </c>
      <c r="AM937" s="78" t="b">
        <f t="shared" si="975"/>
        <v>0</v>
      </c>
      <c r="AN937" s="78" t="b">
        <f t="shared" si="976"/>
        <v>0</v>
      </c>
      <c r="AO937" s="78" t="b">
        <f t="shared" si="977"/>
        <v>0</v>
      </c>
    </row>
    <row r="938" spans="7:41" x14ac:dyDescent="0.35">
      <c r="G938" s="77">
        <f t="shared" si="947"/>
        <v>0</v>
      </c>
      <c r="H938" s="78">
        <f t="shared" si="948"/>
        <v>0</v>
      </c>
      <c r="I938" s="77">
        <f t="shared" si="949"/>
        <v>0</v>
      </c>
      <c r="J938" s="78">
        <f t="shared" si="950"/>
        <v>0</v>
      </c>
      <c r="K938" s="78" t="str">
        <f t="shared" si="951"/>
        <v>1900-01-00 00:0:00</v>
      </c>
      <c r="L938" s="78" t="str">
        <f t="shared" si="952"/>
        <v>1900-01-00 00:0:00</v>
      </c>
      <c r="M938" s="79">
        <f t="shared" si="953"/>
        <v>0</v>
      </c>
      <c r="N938">
        <f t="shared" si="978"/>
        <v>1</v>
      </c>
      <c r="O938" t="str">
        <f>IFERROR(_xlfn.XLOOKUP(A938,HC!A:A,HC!C:C),"")</f>
        <v>Workforce</v>
      </c>
      <c r="R938" s="78" t="b">
        <f t="shared" si="954"/>
        <v>0</v>
      </c>
      <c r="S938" s="78" t="b">
        <f t="shared" si="955"/>
        <v>0</v>
      </c>
      <c r="T938" s="78" t="b">
        <f t="shared" si="956"/>
        <v>0</v>
      </c>
      <c r="U938" s="78" t="b">
        <f t="shared" si="957"/>
        <v>0</v>
      </c>
      <c r="V938" s="78" t="b">
        <f t="shared" si="958"/>
        <v>0</v>
      </c>
      <c r="W938" s="78" t="b">
        <f t="shared" si="959"/>
        <v>0</v>
      </c>
      <c r="X938" s="78" t="b">
        <f t="shared" si="960"/>
        <v>0</v>
      </c>
      <c r="Y938" s="78" t="b">
        <f t="shared" si="961"/>
        <v>0</v>
      </c>
      <c r="Z938" s="78" t="b">
        <f t="shared" si="962"/>
        <v>0</v>
      </c>
      <c r="AA938" s="78" t="b">
        <f t="shared" si="963"/>
        <v>0</v>
      </c>
      <c r="AB938" s="78" t="b">
        <f t="shared" si="964"/>
        <v>0</v>
      </c>
      <c r="AC938" s="78" t="b">
        <f t="shared" si="965"/>
        <v>0</v>
      </c>
      <c r="AD938" s="78" t="b">
        <f t="shared" si="966"/>
        <v>0</v>
      </c>
      <c r="AE938" s="78" t="b">
        <f t="shared" si="967"/>
        <v>0</v>
      </c>
      <c r="AF938" s="78" t="b">
        <f t="shared" si="968"/>
        <v>0</v>
      </c>
      <c r="AG938" s="78" t="b">
        <f t="shared" si="969"/>
        <v>0</v>
      </c>
      <c r="AH938" s="78" t="b">
        <f t="shared" si="970"/>
        <v>0</v>
      </c>
      <c r="AI938" s="78" t="b">
        <f t="shared" si="971"/>
        <v>0</v>
      </c>
      <c r="AJ938" s="78" t="b">
        <f t="shared" si="972"/>
        <v>0</v>
      </c>
      <c r="AK938" s="78" t="b">
        <f t="shared" si="973"/>
        <v>0</v>
      </c>
      <c r="AL938" s="78" t="b">
        <f t="shared" si="974"/>
        <v>0</v>
      </c>
      <c r="AM938" s="78" t="b">
        <f t="shared" si="975"/>
        <v>0</v>
      </c>
      <c r="AN938" s="78" t="b">
        <f t="shared" si="976"/>
        <v>0</v>
      </c>
      <c r="AO938" s="78" t="b">
        <f t="shared" si="977"/>
        <v>0</v>
      </c>
    </row>
    <row r="939" spans="7:41" x14ac:dyDescent="0.35">
      <c r="G939" s="77">
        <f t="shared" si="947"/>
        <v>0</v>
      </c>
      <c r="H939" s="78">
        <f t="shared" si="948"/>
        <v>0</v>
      </c>
      <c r="I939" s="77">
        <f t="shared" si="949"/>
        <v>0</v>
      </c>
      <c r="J939" s="78">
        <f t="shared" si="950"/>
        <v>0</v>
      </c>
      <c r="K939" s="78" t="str">
        <f t="shared" si="951"/>
        <v>1900-01-00 00:0:00</v>
      </c>
      <c r="L939" s="78" t="str">
        <f t="shared" si="952"/>
        <v>1900-01-00 00:0:00</v>
      </c>
      <c r="M939" s="79">
        <f t="shared" si="953"/>
        <v>0</v>
      </c>
      <c r="N939">
        <f t="shared" si="978"/>
        <v>1</v>
      </c>
      <c r="O939" t="str">
        <f>IFERROR(_xlfn.XLOOKUP(A939,HC!A:A,HC!C:C),"")</f>
        <v>Workforce</v>
      </c>
      <c r="R939" s="78" t="b">
        <f t="shared" si="954"/>
        <v>0</v>
      </c>
      <c r="S939" s="78" t="b">
        <f t="shared" si="955"/>
        <v>0</v>
      </c>
      <c r="T939" s="78" t="b">
        <f t="shared" si="956"/>
        <v>0</v>
      </c>
      <c r="U939" s="78" t="b">
        <f t="shared" si="957"/>
        <v>0</v>
      </c>
      <c r="V939" s="78" t="b">
        <f t="shared" si="958"/>
        <v>0</v>
      </c>
      <c r="W939" s="78" t="b">
        <f t="shared" si="959"/>
        <v>0</v>
      </c>
      <c r="X939" s="78" t="b">
        <f t="shared" si="960"/>
        <v>0</v>
      </c>
      <c r="Y939" s="78" t="b">
        <f t="shared" si="961"/>
        <v>0</v>
      </c>
      <c r="Z939" s="78" t="b">
        <f t="shared" si="962"/>
        <v>0</v>
      </c>
      <c r="AA939" s="78" t="b">
        <f t="shared" si="963"/>
        <v>0</v>
      </c>
      <c r="AB939" s="78" t="b">
        <f t="shared" si="964"/>
        <v>0</v>
      </c>
      <c r="AC939" s="78" t="b">
        <f t="shared" si="965"/>
        <v>0</v>
      </c>
      <c r="AD939" s="78" t="b">
        <f t="shared" si="966"/>
        <v>0</v>
      </c>
      <c r="AE939" s="78" t="b">
        <f t="shared" si="967"/>
        <v>0</v>
      </c>
      <c r="AF939" s="78" t="b">
        <f t="shared" si="968"/>
        <v>0</v>
      </c>
      <c r="AG939" s="78" t="b">
        <f t="shared" si="969"/>
        <v>0</v>
      </c>
      <c r="AH939" s="78" t="b">
        <f t="shared" si="970"/>
        <v>0</v>
      </c>
      <c r="AI939" s="78" t="b">
        <f t="shared" si="971"/>
        <v>0</v>
      </c>
      <c r="AJ939" s="78" t="b">
        <f t="shared" si="972"/>
        <v>0</v>
      </c>
      <c r="AK939" s="78" t="b">
        <f t="shared" si="973"/>
        <v>0</v>
      </c>
      <c r="AL939" s="78" t="b">
        <f t="shared" si="974"/>
        <v>0</v>
      </c>
      <c r="AM939" s="78" t="b">
        <f t="shared" si="975"/>
        <v>0</v>
      </c>
      <c r="AN939" s="78" t="b">
        <f t="shared" si="976"/>
        <v>0</v>
      </c>
      <c r="AO939" s="78" t="b">
        <f t="shared" si="977"/>
        <v>0</v>
      </c>
    </row>
    <row r="940" spans="7:41" x14ac:dyDescent="0.35">
      <c r="G940" s="77">
        <f t="shared" si="947"/>
        <v>0</v>
      </c>
      <c r="H940" s="78">
        <f t="shared" si="948"/>
        <v>0</v>
      </c>
      <c r="I940" s="77">
        <f t="shared" si="949"/>
        <v>0</v>
      </c>
      <c r="J940" s="78">
        <f t="shared" si="950"/>
        <v>0</v>
      </c>
      <c r="K940" s="78" t="str">
        <f t="shared" si="951"/>
        <v>1900-01-00 00:0:00</v>
      </c>
      <c r="L940" s="78" t="str">
        <f t="shared" si="952"/>
        <v>1900-01-00 00:0:00</v>
      </c>
      <c r="M940" s="79">
        <f t="shared" si="953"/>
        <v>0</v>
      </c>
      <c r="N940">
        <f t="shared" si="978"/>
        <v>1</v>
      </c>
      <c r="O940" t="str">
        <f>IFERROR(_xlfn.XLOOKUP(A940,HC!A:A,HC!C:C),"")</f>
        <v>Workforce</v>
      </c>
      <c r="R940" s="78" t="b">
        <f t="shared" si="954"/>
        <v>0</v>
      </c>
      <c r="S940" s="78" t="b">
        <f t="shared" si="955"/>
        <v>0</v>
      </c>
      <c r="T940" s="78" t="b">
        <f t="shared" si="956"/>
        <v>0</v>
      </c>
      <c r="U940" s="78" t="b">
        <f t="shared" si="957"/>
        <v>0</v>
      </c>
      <c r="V940" s="78" t="b">
        <f t="shared" si="958"/>
        <v>0</v>
      </c>
      <c r="W940" s="78" t="b">
        <f t="shared" si="959"/>
        <v>0</v>
      </c>
      <c r="X940" s="78" t="b">
        <f t="shared" si="960"/>
        <v>0</v>
      </c>
      <c r="Y940" s="78" t="b">
        <f t="shared" si="961"/>
        <v>0</v>
      </c>
      <c r="Z940" s="78" t="b">
        <f t="shared" si="962"/>
        <v>0</v>
      </c>
      <c r="AA940" s="78" t="b">
        <f t="shared" si="963"/>
        <v>0</v>
      </c>
      <c r="AB940" s="78" t="b">
        <f t="shared" si="964"/>
        <v>0</v>
      </c>
      <c r="AC940" s="78" t="b">
        <f t="shared" si="965"/>
        <v>0</v>
      </c>
      <c r="AD940" s="78" t="b">
        <f t="shared" si="966"/>
        <v>0</v>
      </c>
      <c r="AE940" s="78" t="b">
        <f t="shared" si="967"/>
        <v>0</v>
      </c>
      <c r="AF940" s="78" t="b">
        <f t="shared" si="968"/>
        <v>0</v>
      </c>
      <c r="AG940" s="78" t="b">
        <f t="shared" si="969"/>
        <v>0</v>
      </c>
      <c r="AH940" s="78" t="b">
        <f t="shared" si="970"/>
        <v>0</v>
      </c>
      <c r="AI940" s="78" t="b">
        <f t="shared" si="971"/>
        <v>0</v>
      </c>
      <c r="AJ940" s="78" t="b">
        <f t="shared" si="972"/>
        <v>0</v>
      </c>
      <c r="AK940" s="78" t="b">
        <f t="shared" si="973"/>
        <v>0</v>
      </c>
      <c r="AL940" s="78" t="b">
        <f t="shared" si="974"/>
        <v>0</v>
      </c>
      <c r="AM940" s="78" t="b">
        <f t="shared" si="975"/>
        <v>0</v>
      </c>
      <c r="AN940" s="78" t="b">
        <f t="shared" si="976"/>
        <v>0</v>
      </c>
      <c r="AO940" s="78" t="b">
        <f t="shared" si="977"/>
        <v>0</v>
      </c>
    </row>
    <row r="941" spans="7:41" x14ac:dyDescent="0.35">
      <c r="G941" s="77">
        <f t="shared" si="947"/>
        <v>0</v>
      </c>
      <c r="H941" s="78">
        <f t="shared" si="948"/>
        <v>0</v>
      </c>
      <c r="I941" s="77">
        <f t="shared" si="949"/>
        <v>0</v>
      </c>
      <c r="J941" s="78">
        <f t="shared" si="950"/>
        <v>0</v>
      </c>
      <c r="K941" s="78" t="str">
        <f t="shared" si="951"/>
        <v>1900-01-00 00:0:00</v>
      </c>
      <c r="L941" s="78" t="str">
        <f t="shared" si="952"/>
        <v>1900-01-00 00:0:00</v>
      </c>
      <c r="M941" s="79">
        <f t="shared" si="953"/>
        <v>0</v>
      </c>
      <c r="N941">
        <f t="shared" si="978"/>
        <v>1</v>
      </c>
      <c r="O941" t="str">
        <f>IFERROR(_xlfn.XLOOKUP(A941,HC!A:A,HC!C:C),"")</f>
        <v>Workforce</v>
      </c>
      <c r="R941" s="78" t="b">
        <f t="shared" si="954"/>
        <v>0</v>
      </c>
      <c r="S941" s="78" t="b">
        <f t="shared" si="955"/>
        <v>0</v>
      </c>
      <c r="T941" s="78" t="b">
        <f t="shared" si="956"/>
        <v>0</v>
      </c>
      <c r="U941" s="78" t="b">
        <f t="shared" si="957"/>
        <v>0</v>
      </c>
      <c r="V941" s="78" t="b">
        <f t="shared" si="958"/>
        <v>0</v>
      </c>
      <c r="W941" s="78" t="b">
        <f t="shared" si="959"/>
        <v>0</v>
      </c>
      <c r="X941" s="78" t="b">
        <f t="shared" si="960"/>
        <v>0</v>
      </c>
      <c r="Y941" s="78" t="b">
        <f t="shared" si="961"/>
        <v>0</v>
      </c>
      <c r="Z941" s="78" t="b">
        <f t="shared" si="962"/>
        <v>0</v>
      </c>
      <c r="AA941" s="78" t="b">
        <f t="shared" si="963"/>
        <v>0</v>
      </c>
      <c r="AB941" s="78" t="b">
        <f t="shared" si="964"/>
        <v>0</v>
      </c>
      <c r="AC941" s="78" t="b">
        <f t="shared" si="965"/>
        <v>0</v>
      </c>
      <c r="AD941" s="78" t="b">
        <f t="shared" si="966"/>
        <v>0</v>
      </c>
      <c r="AE941" s="78" t="b">
        <f t="shared" si="967"/>
        <v>0</v>
      </c>
      <c r="AF941" s="78" t="b">
        <f t="shared" si="968"/>
        <v>0</v>
      </c>
      <c r="AG941" s="78" t="b">
        <f t="shared" si="969"/>
        <v>0</v>
      </c>
      <c r="AH941" s="78" t="b">
        <f t="shared" si="970"/>
        <v>0</v>
      </c>
      <c r="AI941" s="78" t="b">
        <f t="shared" si="971"/>
        <v>0</v>
      </c>
      <c r="AJ941" s="78" t="b">
        <f t="shared" si="972"/>
        <v>0</v>
      </c>
      <c r="AK941" s="78" t="b">
        <f t="shared" si="973"/>
        <v>0</v>
      </c>
      <c r="AL941" s="78" t="b">
        <f t="shared" si="974"/>
        <v>0</v>
      </c>
      <c r="AM941" s="78" t="b">
        <f t="shared" si="975"/>
        <v>0</v>
      </c>
      <c r="AN941" s="78" t="b">
        <f t="shared" si="976"/>
        <v>0</v>
      </c>
      <c r="AO941" s="78" t="b">
        <f t="shared" si="977"/>
        <v>0</v>
      </c>
    </row>
    <row r="942" spans="7:41" x14ac:dyDescent="0.35">
      <c r="G942" s="77">
        <f t="shared" si="947"/>
        <v>0</v>
      </c>
      <c r="H942" s="78">
        <f t="shared" si="948"/>
        <v>0</v>
      </c>
      <c r="I942" s="77">
        <f t="shared" si="949"/>
        <v>0</v>
      </c>
      <c r="J942" s="78">
        <f t="shared" si="950"/>
        <v>0</v>
      </c>
      <c r="K942" s="78" t="str">
        <f t="shared" si="951"/>
        <v>1900-01-00 00:0:00</v>
      </c>
      <c r="L942" s="78" t="str">
        <f t="shared" si="952"/>
        <v>1900-01-00 00:0:00</v>
      </c>
      <c r="M942" s="79">
        <f t="shared" si="953"/>
        <v>0</v>
      </c>
      <c r="N942">
        <f t="shared" si="978"/>
        <v>1</v>
      </c>
      <c r="O942" t="str">
        <f>IFERROR(_xlfn.XLOOKUP(A942,HC!A:A,HC!C:C),"")</f>
        <v>Workforce</v>
      </c>
      <c r="R942" s="78" t="b">
        <f t="shared" si="954"/>
        <v>0</v>
      </c>
      <c r="S942" s="78" t="b">
        <f t="shared" si="955"/>
        <v>0</v>
      </c>
      <c r="T942" s="78" t="b">
        <f t="shared" si="956"/>
        <v>0</v>
      </c>
      <c r="U942" s="78" t="b">
        <f t="shared" si="957"/>
        <v>0</v>
      </c>
      <c r="V942" s="78" t="b">
        <f t="shared" si="958"/>
        <v>0</v>
      </c>
      <c r="W942" s="78" t="b">
        <f t="shared" si="959"/>
        <v>0</v>
      </c>
      <c r="X942" s="78" t="b">
        <f t="shared" si="960"/>
        <v>0</v>
      </c>
      <c r="Y942" s="78" t="b">
        <f t="shared" si="961"/>
        <v>0</v>
      </c>
      <c r="Z942" s="78" t="b">
        <f t="shared" si="962"/>
        <v>0</v>
      </c>
      <c r="AA942" s="78" t="b">
        <f t="shared" si="963"/>
        <v>0</v>
      </c>
      <c r="AB942" s="78" t="b">
        <f t="shared" si="964"/>
        <v>0</v>
      </c>
      <c r="AC942" s="78" t="b">
        <f t="shared" si="965"/>
        <v>0</v>
      </c>
      <c r="AD942" s="78" t="b">
        <f t="shared" si="966"/>
        <v>0</v>
      </c>
      <c r="AE942" s="78" t="b">
        <f t="shared" si="967"/>
        <v>0</v>
      </c>
      <c r="AF942" s="78" t="b">
        <f t="shared" si="968"/>
        <v>0</v>
      </c>
      <c r="AG942" s="78" t="b">
        <f t="shared" si="969"/>
        <v>0</v>
      </c>
      <c r="AH942" s="78" t="b">
        <f t="shared" si="970"/>
        <v>0</v>
      </c>
      <c r="AI942" s="78" t="b">
        <f t="shared" si="971"/>
        <v>0</v>
      </c>
      <c r="AJ942" s="78" t="b">
        <f t="shared" si="972"/>
        <v>0</v>
      </c>
      <c r="AK942" s="78" t="b">
        <f t="shared" si="973"/>
        <v>0</v>
      </c>
      <c r="AL942" s="78" t="b">
        <f t="shared" si="974"/>
        <v>0</v>
      </c>
      <c r="AM942" s="78" t="b">
        <f t="shared" si="975"/>
        <v>0</v>
      </c>
      <c r="AN942" s="78" t="b">
        <f t="shared" si="976"/>
        <v>0</v>
      </c>
      <c r="AO942" s="78" t="b">
        <f t="shared" si="977"/>
        <v>0</v>
      </c>
    </row>
    <row r="943" spans="7:41" x14ac:dyDescent="0.35">
      <c r="G943" s="77">
        <f t="shared" si="947"/>
        <v>0</v>
      </c>
      <c r="H943" s="78">
        <f t="shared" si="948"/>
        <v>0</v>
      </c>
      <c r="I943" s="77">
        <f t="shared" si="949"/>
        <v>0</v>
      </c>
      <c r="J943" s="78">
        <f t="shared" si="950"/>
        <v>0</v>
      </c>
      <c r="K943" s="78" t="str">
        <f t="shared" si="951"/>
        <v>1900-01-00 00:0:00</v>
      </c>
      <c r="L943" s="78" t="str">
        <f t="shared" si="952"/>
        <v>1900-01-00 00:0:00</v>
      </c>
      <c r="M943" s="79">
        <f t="shared" si="953"/>
        <v>0</v>
      </c>
      <c r="N943">
        <f t="shared" si="978"/>
        <v>1</v>
      </c>
      <c r="O943" t="str">
        <f>IFERROR(_xlfn.XLOOKUP(A943,HC!A:A,HC!C:C),"")</f>
        <v>Workforce</v>
      </c>
      <c r="R943" s="78" t="b">
        <f t="shared" si="954"/>
        <v>0</v>
      </c>
      <c r="S943" s="78" t="b">
        <f t="shared" si="955"/>
        <v>0</v>
      </c>
      <c r="T943" s="78" t="b">
        <f t="shared" si="956"/>
        <v>0</v>
      </c>
      <c r="U943" s="78" t="b">
        <f t="shared" si="957"/>
        <v>0</v>
      </c>
      <c r="V943" s="78" t="b">
        <f t="shared" si="958"/>
        <v>0</v>
      </c>
      <c r="W943" s="78" t="b">
        <f t="shared" si="959"/>
        <v>0</v>
      </c>
      <c r="X943" s="78" t="b">
        <f t="shared" si="960"/>
        <v>0</v>
      </c>
      <c r="Y943" s="78" t="b">
        <f t="shared" si="961"/>
        <v>0</v>
      </c>
      <c r="Z943" s="78" t="b">
        <f t="shared" si="962"/>
        <v>0</v>
      </c>
      <c r="AA943" s="78" t="b">
        <f t="shared" si="963"/>
        <v>0</v>
      </c>
      <c r="AB943" s="78" t="b">
        <f t="shared" si="964"/>
        <v>0</v>
      </c>
      <c r="AC943" s="78" t="b">
        <f t="shared" si="965"/>
        <v>0</v>
      </c>
      <c r="AD943" s="78" t="b">
        <f t="shared" si="966"/>
        <v>0</v>
      </c>
      <c r="AE943" s="78" t="b">
        <f t="shared" si="967"/>
        <v>0</v>
      </c>
      <c r="AF943" s="78" t="b">
        <f t="shared" si="968"/>
        <v>0</v>
      </c>
      <c r="AG943" s="78" t="b">
        <f t="shared" si="969"/>
        <v>0</v>
      </c>
      <c r="AH943" s="78" t="b">
        <f t="shared" si="970"/>
        <v>0</v>
      </c>
      <c r="AI943" s="78" t="b">
        <f t="shared" si="971"/>
        <v>0</v>
      </c>
      <c r="AJ943" s="78" t="b">
        <f t="shared" si="972"/>
        <v>0</v>
      </c>
      <c r="AK943" s="78" t="b">
        <f t="shared" si="973"/>
        <v>0</v>
      </c>
      <c r="AL943" s="78" t="b">
        <f t="shared" si="974"/>
        <v>0</v>
      </c>
      <c r="AM943" s="78" t="b">
        <f t="shared" si="975"/>
        <v>0</v>
      </c>
      <c r="AN943" s="78" t="b">
        <f t="shared" si="976"/>
        <v>0</v>
      </c>
      <c r="AO943" s="78" t="b">
        <f t="shared" si="977"/>
        <v>0</v>
      </c>
    </row>
    <row r="944" spans="7:41" x14ac:dyDescent="0.35">
      <c r="G944" s="77">
        <f t="shared" si="947"/>
        <v>0</v>
      </c>
      <c r="H944" s="78">
        <f t="shared" si="948"/>
        <v>0</v>
      </c>
      <c r="I944" s="77">
        <f t="shared" si="949"/>
        <v>0</v>
      </c>
      <c r="J944" s="78">
        <f t="shared" si="950"/>
        <v>0</v>
      </c>
      <c r="K944" s="78" t="str">
        <f t="shared" si="951"/>
        <v>1900-01-00 00:0:00</v>
      </c>
      <c r="L944" s="78" t="str">
        <f t="shared" si="952"/>
        <v>1900-01-00 00:0:00</v>
      </c>
      <c r="M944" s="79">
        <f t="shared" si="953"/>
        <v>0</v>
      </c>
      <c r="N944">
        <f t="shared" si="978"/>
        <v>1</v>
      </c>
      <c r="O944" t="str">
        <f>IFERROR(_xlfn.XLOOKUP(A944,HC!A:A,HC!C:C),"")</f>
        <v>Workforce</v>
      </c>
      <c r="R944" s="78" t="b">
        <f t="shared" si="954"/>
        <v>0</v>
      </c>
      <c r="S944" s="78" t="b">
        <f t="shared" si="955"/>
        <v>0</v>
      </c>
      <c r="T944" s="78" t="b">
        <f t="shared" si="956"/>
        <v>0</v>
      </c>
      <c r="U944" s="78" t="b">
        <f t="shared" si="957"/>
        <v>0</v>
      </c>
      <c r="V944" s="78" t="b">
        <f t="shared" si="958"/>
        <v>0</v>
      </c>
      <c r="W944" s="78" t="b">
        <f t="shared" si="959"/>
        <v>0</v>
      </c>
      <c r="X944" s="78" t="b">
        <f t="shared" si="960"/>
        <v>0</v>
      </c>
      <c r="Y944" s="78" t="b">
        <f t="shared" si="961"/>
        <v>0</v>
      </c>
      <c r="Z944" s="78" t="b">
        <f t="shared" si="962"/>
        <v>0</v>
      </c>
      <c r="AA944" s="78" t="b">
        <f t="shared" si="963"/>
        <v>0</v>
      </c>
      <c r="AB944" s="78" t="b">
        <f t="shared" si="964"/>
        <v>0</v>
      </c>
      <c r="AC944" s="78" t="b">
        <f t="shared" si="965"/>
        <v>0</v>
      </c>
      <c r="AD944" s="78" t="b">
        <f t="shared" si="966"/>
        <v>0</v>
      </c>
      <c r="AE944" s="78" t="b">
        <f t="shared" si="967"/>
        <v>0</v>
      </c>
      <c r="AF944" s="78" t="b">
        <f t="shared" si="968"/>
        <v>0</v>
      </c>
      <c r="AG944" s="78" t="b">
        <f t="shared" si="969"/>
        <v>0</v>
      </c>
      <c r="AH944" s="78" t="b">
        <f t="shared" si="970"/>
        <v>0</v>
      </c>
      <c r="AI944" s="78" t="b">
        <f t="shared" si="971"/>
        <v>0</v>
      </c>
      <c r="AJ944" s="78" t="b">
        <f t="shared" si="972"/>
        <v>0</v>
      </c>
      <c r="AK944" s="78" t="b">
        <f t="shared" si="973"/>
        <v>0</v>
      </c>
      <c r="AL944" s="78" t="b">
        <f t="shared" si="974"/>
        <v>0</v>
      </c>
      <c r="AM944" s="78" t="b">
        <f t="shared" si="975"/>
        <v>0</v>
      </c>
      <c r="AN944" s="78" t="b">
        <f t="shared" si="976"/>
        <v>0</v>
      </c>
      <c r="AO944" s="78" t="b">
        <f t="shared" si="977"/>
        <v>0</v>
      </c>
    </row>
    <row r="945" spans="7:41" x14ac:dyDescent="0.35">
      <c r="G945" s="77">
        <f t="shared" si="947"/>
        <v>0</v>
      </c>
      <c r="H945" s="78">
        <f t="shared" si="948"/>
        <v>0</v>
      </c>
      <c r="I945" s="77">
        <f t="shared" si="949"/>
        <v>0</v>
      </c>
      <c r="J945" s="78">
        <f t="shared" si="950"/>
        <v>0</v>
      </c>
      <c r="K945" s="78" t="str">
        <f t="shared" si="951"/>
        <v>1900-01-00 00:0:00</v>
      </c>
      <c r="L945" s="78" t="str">
        <f t="shared" si="952"/>
        <v>1900-01-00 00:0:00</v>
      </c>
      <c r="M945" s="79">
        <f t="shared" si="953"/>
        <v>0</v>
      </c>
      <c r="N945">
        <f t="shared" si="978"/>
        <v>1</v>
      </c>
      <c r="O945" t="str">
        <f>IFERROR(_xlfn.XLOOKUP(A945,HC!A:A,HC!C:C),"")</f>
        <v>Workforce</v>
      </c>
      <c r="R945" s="78" t="b">
        <f t="shared" si="954"/>
        <v>0</v>
      </c>
      <c r="S945" s="78" t="b">
        <f t="shared" si="955"/>
        <v>0</v>
      </c>
      <c r="T945" s="78" t="b">
        <f t="shared" si="956"/>
        <v>0</v>
      </c>
      <c r="U945" s="78" t="b">
        <f t="shared" si="957"/>
        <v>0</v>
      </c>
      <c r="V945" s="78" t="b">
        <f t="shared" si="958"/>
        <v>0</v>
      </c>
      <c r="W945" s="78" t="b">
        <f t="shared" si="959"/>
        <v>0</v>
      </c>
      <c r="X945" s="78" t="b">
        <f t="shared" si="960"/>
        <v>0</v>
      </c>
      <c r="Y945" s="78" t="b">
        <f t="shared" si="961"/>
        <v>0</v>
      </c>
      <c r="Z945" s="78" t="b">
        <f t="shared" si="962"/>
        <v>0</v>
      </c>
      <c r="AA945" s="78" t="b">
        <f t="shared" si="963"/>
        <v>0</v>
      </c>
      <c r="AB945" s="78" t="b">
        <f t="shared" si="964"/>
        <v>0</v>
      </c>
      <c r="AC945" s="78" t="b">
        <f t="shared" si="965"/>
        <v>0</v>
      </c>
      <c r="AD945" s="78" t="b">
        <f t="shared" si="966"/>
        <v>0</v>
      </c>
      <c r="AE945" s="78" t="b">
        <f t="shared" si="967"/>
        <v>0</v>
      </c>
      <c r="AF945" s="78" t="b">
        <f t="shared" si="968"/>
        <v>0</v>
      </c>
      <c r="AG945" s="78" t="b">
        <f t="shared" si="969"/>
        <v>0</v>
      </c>
      <c r="AH945" s="78" t="b">
        <f t="shared" si="970"/>
        <v>0</v>
      </c>
      <c r="AI945" s="78" t="b">
        <f t="shared" si="971"/>
        <v>0</v>
      </c>
      <c r="AJ945" s="78" t="b">
        <f t="shared" si="972"/>
        <v>0</v>
      </c>
      <c r="AK945" s="78" t="b">
        <f t="shared" si="973"/>
        <v>0</v>
      </c>
      <c r="AL945" s="78" t="b">
        <f t="shared" si="974"/>
        <v>0</v>
      </c>
      <c r="AM945" s="78" t="b">
        <f t="shared" si="975"/>
        <v>0</v>
      </c>
      <c r="AN945" s="78" t="b">
        <f t="shared" si="976"/>
        <v>0</v>
      </c>
      <c r="AO945" s="78" t="b">
        <f t="shared" si="977"/>
        <v>0</v>
      </c>
    </row>
    <row r="946" spans="7:41" x14ac:dyDescent="0.35">
      <c r="G946" s="77">
        <f t="shared" si="947"/>
        <v>0</v>
      </c>
      <c r="H946" s="78">
        <f t="shared" si="948"/>
        <v>0</v>
      </c>
      <c r="I946" s="77">
        <f t="shared" si="949"/>
        <v>0</v>
      </c>
      <c r="J946" s="78">
        <f t="shared" si="950"/>
        <v>0</v>
      </c>
      <c r="K946" s="78" t="str">
        <f t="shared" si="951"/>
        <v>1900-01-00 00:0:00</v>
      </c>
      <c r="L946" s="78" t="str">
        <f t="shared" si="952"/>
        <v>1900-01-00 00:0:00</v>
      </c>
      <c r="M946" s="79">
        <f t="shared" si="953"/>
        <v>0</v>
      </c>
      <c r="N946">
        <f t="shared" si="978"/>
        <v>1</v>
      </c>
      <c r="O946" t="str">
        <f>IFERROR(_xlfn.XLOOKUP(A946,HC!A:A,HC!C:C),"")</f>
        <v>Workforce</v>
      </c>
      <c r="R946" s="78" t="b">
        <f t="shared" si="954"/>
        <v>0</v>
      </c>
      <c r="S946" s="78" t="b">
        <f t="shared" si="955"/>
        <v>0</v>
      </c>
      <c r="T946" s="78" t="b">
        <f t="shared" si="956"/>
        <v>0</v>
      </c>
      <c r="U946" s="78" t="b">
        <f t="shared" si="957"/>
        <v>0</v>
      </c>
      <c r="V946" s="78" t="b">
        <f t="shared" si="958"/>
        <v>0</v>
      </c>
      <c r="W946" s="78" t="b">
        <f t="shared" si="959"/>
        <v>0</v>
      </c>
      <c r="X946" s="78" t="b">
        <f t="shared" si="960"/>
        <v>0</v>
      </c>
      <c r="Y946" s="78" t="b">
        <f t="shared" si="961"/>
        <v>0</v>
      </c>
      <c r="Z946" s="78" t="b">
        <f t="shared" si="962"/>
        <v>0</v>
      </c>
      <c r="AA946" s="78" t="b">
        <f t="shared" si="963"/>
        <v>0</v>
      </c>
      <c r="AB946" s="78" t="b">
        <f t="shared" si="964"/>
        <v>0</v>
      </c>
      <c r="AC946" s="78" t="b">
        <f t="shared" si="965"/>
        <v>0</v>
      </c>
      <c r="AD946" s="78" t="b">
        <f t="shared" si="966"/>
        <v>0</v>
      </c>
      <c r="AE946" s="78" t="b">
        <f t="shared" si="967"/>
        <v>0</v>
      </c>
      <c r="AF946" s="78" t="b">
        <f t="shared" si="968"/>
        <v>0</v>
      </c>
      <c r="AG946" s="78" t="b">
        <f t="shared" si="969"/>
        <v>0</v>
      </c>
      <c r="AH946" s="78" t="b">
        <f t="shared" si="970"/>
        <v>0</v>
      </c>
      <c r="AI946" s="78" t="b">
        <f t="shared" si="971"/>
        <v>0</v>
      </c>
      <c r="AJ946" s="78" t="b">
        <f t="shared" si="972"/>
        <v>0</v>
      </c>
      <c r="AK946" s="78" t="b">
        <f t="shared" si="973"/>
        <v>0</v>
      </c>
      <c r="AL946" s="78" t="b">
        <f t="shared" si="974"/>
        <v>0</v>
      </c>
      <c r="AM946" s="78" t="b">
        <f t="shared" si="975"/>
        <v>0</v>
      </c>
      <c r="AN946" s="78" t="b">
        <f t="shared" si="976"/>
        <v>0</v>
      </c>
      <c r="AO946" s="78" t="b">
        <f t="shared" si="977"/>
        <v>0</v>
      </c>
    </row>
    <row r="947" spans="7:41" x14ac:dyDescent="0.35">
      <c r="G947" s="77">
        <f t="shared" si="947"/>
        <v>0</v>
      </c>
      <c r="H947" s="78">
        <f t="shared" si="948"/>
        <v>0</v>
      </c>
      <c r="I947" s="77">
        <f t="shared" si="949"/>
        <v>0</v>
      </c>
      <c r="J947" s="78">
        <f t="shared" si="950"/>
        <v>0</v>
      </c>
      <c r="K947" s="78" t="str">
        <f t="shared" si="951"/>
        <v>1900-01-00 00:0:00</v>
      </c>
      <c r="L947" s="78" t="str">
        <f t="shared" si="952"/>
        <v>1900-01-00 00:0:00</v>
      </c>
      <c r="M947" s="79">
        <f t="shared" si="953"/>
        <v>0</v>
      </c>
      <c r="N947">
        <f t="shared" si="978"/>
        <v>1</v>
      </c>
      <c r="O947" t="str">
        <f>IFERROR(_xlfn.XLOOKUP(A947,HC!A:A,HC!C:C),"")</f>
        <v>Workforce</v>
      </c>
      <c r="R947" s="78" t="b">
        <f t="shared" si="954"/>
        <v>0</v>
      </c>
      <c r="S947" s="78" t="b">
        <f t="shared" si="955"/>
        <v>0</v>
      </c>
      <c r="T947" s="78" t="b">
        <f t="shared" si="956"/>
        <v>0</v>
      </c>
      <c r="U947" s="78" t="b">
        <f t="shared" si="957"/>
        <v>0</v>
      </c>
      <c r="V947" s="78" t="b">
        <f t="shared" si="958"/>
        <v>0</v>
      </c>
      <c r="W947" s="78" t="b">
        <f t="shared" si="959"/>
        <v>0</v>
      </c>
      <c r="X947" s="78" t="b">
        <f t="shared" si="960"/>
        <v>0</v>
      </c>
      <c r="Y947" s="78" t="b">
        <f t="shared" si="961"/>
        <v>0</v>
      </c>
      <c r="Z947" s="78" t="b">
        <f t="shared" si="962"/>
        <v>0</v>
      </c>
      <c r="AA947" s="78" t="b">
        <f t="shared" si="963"/>
        <v>0</v>
      </c>
      <c r="AB947" s="78" t="b">
        <f t="shared" si="964"/>
        <v>0</v>
      </c>
      <c r="AC947" s="78" t="b">
        <f t="shared" si="965"/>
        <v>0</v>
      </c>
      <c r="AD947" s="78" t="b">
        <f t="shared" si="966"/>
        <v>0</v>
      </c>
      <c r="AE947" s="78" t="b">
        <f t="shared" si="967"/>
        <v>0</v>
      </c>
      <c r="AF947" s="78" t="b">
        <f t="shared" si="968"/>
        <v>0</v>
      </c>
      <c r="AG947" s="78" t="b">
        <f t="shared" si="969"/>
        <v>0</v>
      </c>
      <c r="AH947" s="78" t="b">
        <f t="shared" si="970"/>
        <v>0</v>
      </c>
      <c r="AI947" s="78" t="b">
        <f t="shared" si="971"/>
        <v>0</v>
      </c>
      <c r="AJ947" s="78" t="b">
        <f t="shared" si="972"/>
        <v>0</v>
      </c>
      <c r="AK947" s="78" t="b">
        <f t="shared" si="973"/>
        <v>0</v>
      </c>
      <c r="AL947" s="78" t="b">
        <f t="shared" si="974"/>
        <v>0</v>
      </c>
      <c r="AM947" s="78" t="b">
        <f t="shared" si="975"/>
        <v>0</v>
      </c>
      <c r="AN947" s="78" t="b">
        <f t="shared" si="976"/>
        <v>0</v>
      </c>
      <c r="AO947" s="78" t="b">
        <f t="shared" si="977"/>
        <v>0</v>
      </c>
    </row>
    <row r="948" spans="7:41" x14ac:dyDescent="0.35">
      <c r="G948" s="77">
        <f t="shared" si="947"/>
        <v>0</v>
      </c>
      <c r="H948" s="78">
        <f t="shared" si="948"/>
        <v>0</v>
      </c>
      <c r="I948" s="77">
        <f t="shared" si="949"/>
        <v>0</v>
      </c>
      <c r="J948" s="78">
        <f t="shared" si="950"/>
        <v>0</v>
      </c>
      <c r="K948" s="78" t="str">
        <f t="shared" si="951"/>
        <v>1900-01-00 00:0:00</v>
      </c>
      <c r="L948" s="78" t="str">
        <f t="shared" si="952"/>
        <v>1900-01-00 00:0:00</v>
      </c>
      <c r="M948" s="79">
        <f t="shared" si="953"/>
        <v>0</v>
      </c>
      <c r="N948">
        <f t="shared" si="978"/>
        <v>1</v>
      </c>
      <c r="O948" t="str">
        <f>IFERROR(_xlfn.XLOOKUP(A948,HC!A:A,HC!C:C),"")</f>
        <v>Workforce</v>
      </c>
      <c r="R948" s="78" t="b">
        <f t="shared" si="954"/>
        <v>0</v>
      </c>
      <c r="S948" s="78" t="b">
        <f t="shared" si="955"/>
        <v>0</v>
      </c>
      <c r="T948" s="78" t="b">
        <f t="shared" si="956"/>
        <v>0</v>
      </c>
      <c r="U948" s="78" t="b">
        <f t="shared" si="957"/>
        <v>0</v>
      </c>
      <c r="V948" s="78" t="b">
        <f t="shared" si="958"/>
        <v>0</v>
      </c>
      <c r="W948" s="78" t="b">
        <f t="shared" si="959"/>
        <v>0</v>
      </c>
      <c r="X948" s="78" t="b">
        <f t="shared" si="960"/>
        <v>0</v>
      </c>
      <c r="Y948" s="78" t="b">
        <f t="shared" si="961"/>
        <v>0</v>
      </c>
      <c r="Z948" s="78" t="b">
        <f t="shared" si="962"/>
        <v>0</v>
      </c>
      <c r="AA948" s="78" t="b">
        <f t="shared" si="963"/>
        <v>0</v>
      </c>
      <c r="AB948" s="78" t="b">
        <f t="shared" si="964"/>
        <v>0</v>
      </c>
      <c r="AC948" s="78" t="b">
        <f t="shared" si="965"/>
        <v>0</v>
      </c>
      <c r="AD948" s="78" t="b">
        <f t="shared" si="966"/>
        <v>0</v>
      </c>
      <c r="AE948" s="78" t="b">
        <f t="shared" si="967"/>
        <v>0</v>
      </c>
      <c r="AF948" s="78" t="b">
        <f t="shared" si="968"/>
        <v>0</v>
      </c>
      <c r="AG948" s="78" t="b">
        <f t="shared" si="969"/>
        <v>0</v>
      </c>
      <c r="AH948" s="78" t="b">
        <f t="shared" si="970"/>
        <v>0</v>
      </c>
      <c r="AI948" s="78" t="b">
        <f t="shared" si="971"/>
        <v>0</v>
      </c>
      <c r="AJ948" s="78" t="b">
        <f t="shared" si="972"/>
        <v>0</v>
      </c>
      <c r="AK948" s="78" t="b">
        <f t="shared" si="973"/>
        <v>0</v>
      </c>
      <c r="AL948" s="78" t="b">
        <f t="shared" si="974"/>
        <v>0</v>
      </c>
      <c r="AM948" s="78" t="b">
        <f t="shared" si="975"/>
        <v>0</v>
      </c>
      <c r="AN948" s="78" t="b">
        <f t="shared" si="976"/>
        <v>0</v>
      </c>
      <c r="AO948" s="78" t="b">
        <f t="shared" si="977"/>
        <v>0</v>
      </c>
    </row>
    <row r="949" spans="7:41" x14ac:dyDescent="0.35">
      <c r="G949" s="77">
        <f t="shared" si="947"/>
        <v>0</v>
      </c>
      <c r="H949" s="78">
        <f t="shared" si="948"/>
        <v>0</v>
      </c>
      <c r="I949" s="77">
        <f t="shared" si="949"/>
        <v>0</v>
      </c>
      <c r="J949" s="78">
        <f t="shared" si="950"/>
        <v>0</v>
      </c>
      <c r="K949" s="78" t="str">
        <f t="shared" si="951"/>
        <v>1900-01-00 00:0:00</v>
      </c>
      <c r="L949" s="78" t="str">
        <f t="shared" si="952"/>
        <v>1900-01-00 00:0:00</v>
      </c>
      <c r="M949" s="79">
        <f t="shared" si="953"/>
        <v>0</v>
      </c>
      <c r="N949">
        <f t="shared" si="978"/>
        <v>1</v>
      </c>
      <c r="O949" t="str">
        <f>IFERROR(_xlfn.XLOOKUP(A949,HC!A:A,HC!C:C),"")</f>
        <v>Workforce</v>
      </c>
      <c r="R949" s="78" t="b">
        <f t="shared" si="954"/>
        <v>0</v>
      </c>
      <c r="S949" s="78" t="b">
        <f t="shared" si="955"/>
        <v>0</v>
      </c>
      <c r="T949" s="78" t="b">
        <f t="shared" si="956"/>
        <v>0</v>
      </c>
      <c r="U949" s="78" t="b">
        <f t="shared" si="957"/>
        <v>0</v>
      </c>
      <c r="V949" s="78" t="b">
        <f t="shared" si="958"/>
        <v>0</v>
      </c>
      <c r="W949" s="78" t="b">
        <f t="shared" si="959"/>
        <v>0</v>
      </c>
      <c r="X949" s="78" t="b">
        <f t="shared" si="960"/>
        <v>0</v>
      </c>
      <c r="Y949" s="78" t="b">
        <f t="shared" si="961"/>
        <v>0</v>
      </c>
      <c r="Z949" s="78" t="b">
        <f t="shared" si="962"/>
        <v>0</v>
      </c>
      <c r="AA949" s="78" t="b">
        <f t="shared" si="963"/>
        <v>0</v>
      </c>
      <c r="AB949" s="78" t="b">
        <f t="shared" si="964"/>
        <v>0</v>
      </c>
      <c r="AC949" s="78" t="b">
        <f t="shared" si="965"/>
        <v>0</v>
      </c>
      <c r="AD949" s="78" t="b">
        <f t="shared" si="966"/>
        <v>0</v>
      </c>
      <c r="AE949" s="78" t="b">
        <f t="shared" si="967"/>
        <v>0</v>
      </c>
      <c r="AF949" s="78" t="b">
        <f t="shared" si="968"/>
        <v>0</v>
      </c>
      <c r="AG949" s="78" t="b">
        <f t="shared" si="969"/>
        <v>0</v>
      </c>
      <c r="AH949" s="78" t="b">
        <f t="shared" si="970"/>
        <v>0</v>
      </c>
      <c r="AI949" s="78" t="b">
        <f t="shared" si="971"/>
        <v>0</v>
      </c>
      <c r="AJ949" s="78" t="b">
        <f t="shared" si="972"/>
        <v>0</v>
      </c>
      <c r="AK949" s="78" t="b">
        <f t="shared" si="973"/>
        <v>0</v>
      </c>
      <c r="AL949" s="78" t="b">
        <f t="shared" si="974"/>
        <v>0</v>
      </c>
      <c r="AM949" s="78" t="b">
        <f t="shared" si="975"/>
        <v>0</v>
      </c>
      <c r="AN949" s="78" t="b">
        <f t="shared" si="976"/>
        <v>0</v>
      </c>
      <c r="AO949" s="78" t="b">
        <f t="shared" si="977"/>
        <v>0</v>
      </c>
    </row>
    <row r="950" spans="7:41" x14ac:dyDescent="0.35">
      <c r="G950" s="77">
        <f t="shared" si="947"/>
        <v>0</v>
      </c>
      <c r="H950" s="78">
        <f t="shared" si="948"/>
        <v>0</v>
      </c>
      <c r="I950" s="77">
        <f t="shared" si="949"/>
        <v>0</v>
      </c>
      <c r="J950" s="78">
        <f t="shared" si="950"/>
        <v>0</v>
      </c>
      <c r="K950" s="78" t="str">
        <f t="shared" si="951"/>
        <v>1900-01-00 00:0:00</v>
      </c>
      <c r="L950" s="78" t="str">
        <f t="shared" si="952"/>
        <v>1900-01-00 00:0:00</v>
      </c>
      <c r="M950" s="79">
        <f t="shared" si="953"/>
        <v>0</v>
      </c>
      <c r="N950">
        <f t="shared" si="978"/>
        <v>1</v>
      </c>
      <c r="O950" t="str">
        <f>IFERROR(_xlfn.XLOOKUP(A950,HC!A:A,HC!C:C),"")</f>
        <v>Workforce</v>
      </c>
      <c r="R950" s="78" t="b">
        <f t="shared" si="954"/>
        <v>0</v>
      </c>
      <c r="S950" s="78" t="b">
        <f t="shared" si="955"/>
        <v>0</v>
      </c>
      <c r="T950" s="78" t="b">
        <f t="shared" si="956"/>
        <v>0</v>
      </c>
      <c r="U950" s="78" t="b">
        <f t="shared" si="957"/>
        <v>0</v>
      </c>
      <c r="V950" s="78" t="b">
        <f t="shared" si="958"/>
        <v>0</v>
      </c>
      <c r="W950" s="78" t="b">
        <f t="shared" si="959"/>
        <v>0</v>
      </c>
      <c r="X950" s="78" t="b">
        <f t="shared" si="960"/>
        <v>0</v>
      </c>
      <c r="Y950" s="78" t="b">
        <f t="shared" si="961"/>
        <v>0</v>
      </c>
      <c r="Z950" s="78" t="b">
        <f t="shared" si="962"/>
        <v>0</v>
      </c>
      <c r="AA950" s="78" t="b">
        <f t="shared" si="963"/>
        <v>0</v>
      </c>
      <c r="AB950" s="78" t="b">
        <f t="shared" si="964"/>
        <v>0</v>
      </c>
      <c r="AC950" s="78" t="b">
        <f t="shared" si="965"/>
        <v>0</v>
      </c>
      <c r="AD950" s="78" t="b">
        <f t="shared" si="966"/>
        <v>0</v>
      </c>
      <c r="AE950" s="78" t="b">
        <f t="shared" si="967"/>
        <v>0</v>
      </c>
      <c r="AF950" s="78" t="b">
        <f t="shared" si="968"/>
        <v>0</v>
      </c>
      <c r="AG950" s="78" t="b">
        <f t="shared" si="969"/>
        <v>0</v>
      </c>
      <c r="AH950" s="78" t="b">
        <f t="shared" si="970"/>
        <v>0</v>
      </c>
      <c r="AI950" s="78" t="b">
        <f t="shared" si="971"/>
        <v>0</v>
      </c>
      <c r="AJ950" s="78" t="b">
        <f t="shared" si="972"/>
        <v>0</v>
      </c>
      <c r="AK950" s="78" t="b">
        <f t="shared" si="973"/>
        <v>0</v>
      </c>
      <c r="AL950" s="78" t="b">
        <f t="shared" si="974"/>
        <v>0</v>
      </c>
      <c r="AM950" s="78" t="b">
        <f t="shared" si="975"/>
        <v>0</v>
      </c>
      <c r="AN950" s="78" t="b">
        <f t="shared" si="976"/>
        <v>0</v>
      </c>
      <c r="AO950" s="78" t="b">
        <f t="shared" si="977"/>
        <v>0</v>
      </c>
    </row>
    <row r="951" spans="7:41" x14ac:dyDescent="0.35">
      <c r="G951" s="77">
        <f t="shared" si="947"/>
        <v>0</v>
      </c>
      <c r="H951" s="78">
        <f t="shared" si="948"/>
        <v>0</v>
      </c>
      <c r="I951" s="77">
        <f t="shared" si="949"/>
        <v>0</v>
      </c>
      <c r="J951" s="78">
        <f t="shared" si="950"/>
        <v>0</v>
      </c>
      <c r="K951" s="78" t="str">
        <f t="shared" si="951"/>
        <v>1900-01-00 00:0:00</v>
      </c>
      <c r="L951" s="78" t="str">
        <f t="shared" si="952"/>
        <v>1900-01-00 00:0:00</v>
      </c>
      <c r="M951" s="79">
        <f t="shared" si="953"/>
        <v>0</v>
      </c>
      <c r="N951">
        <f t="shared" si="978"/>
        <v>1</v>
      </c>
      <c r="O951" t="str">
        <f>IFERROR(_xlfn.XLOOKUP(A951,HC!A:A,HC!C:C),"")</f>
        <v>Workforce</v>
      </c>
      <c r="R951" s="78" t="b">
        <f t="shared" si="954"/>
        <v>0</v>
      </c>
      <c r="S951" s="78" t="b">
        <f t="shared" si="955"/>
        <v>0</v>
      </c>
      <c r="T951" s="78" t="b">
        <f t="shared" si="956"/>
        <v>0</v>
      </c>
      <c r="U951" s="78" t="b">
        <f t="shared" si="957"/>
        <v>0</v>
      </c>
      <c r="V951" s="78" t="b">
        <f t="shared" si="958"/>
        <v>0</v>
      </c>
      <c r="W951" s="78" t="b">
        <f t="shared" si="959"/>
        <v>0</v>
      </c>
      <c r="X951" s="78" t="b">
        <f t="shared" si="960"/>
        <v>0</v>
      </c>
      <c r="Y951" s="78" t="b">
        <f t="shared" si="961"/>
        <v>0</v>
      </c>
      <c r="Z951" s="78" t="b">
        <f t="shared" si="962"/>
        <v>0</v>
      </c>
      <c r="AA951" s="78" t="b">
        <f t="shared" si="963"/>
        <v>0</v>
      </c>
      <c r="AB951" s="78" t="b">
        <f t="shared" si="964"/>
        <v>0</v>
      </c>
      <c r="AC951" s="78" t="b">
        <f t="shared" si="965"/>
        <v>0</v>
      </c>
      <c r="AD951" s="78" t="b">
        <f t="shared" si="966"/>
        <v>0</v>
      </c>
      <c r="AE951" s="78" t="b">
        <f t="shared" si="967"/>
        <v>0</v>
      </c>
      <c r="AF951" s="78" t="b">
        <f t="shared" si="968"/>
        <v>0</v>
      </c>
      <c r="AG951" s="78" t="b">
        <f t="shared" si="969"/>
        <v>0</v>
      </c>
      <c r="AH951" s="78" t="b">
        <f t="shared" si="970"/>
        <v>0</v>
      </c>
      <c r="AI951" s="78" t="b">
        <f t="shared" si="971"/>
        <v>0</v>
      </c>
      <c r="AJ951" s="78" t="b">
        <f t="shared" si="972"/>
        <v>0</v>
      </c>
      <c r="AK951" s="78" t="b">
        <f t="shared" si="973"/>
        <v>0</v>
      </c>
      <c r="AL951" s="78" t="b">
        <f t="shared" si="974"/>
        <v>0</v>
      </c>
      <c r="AM951" s="78" t="b">
        <f t="shared" si="975"/>
        <v>0</v>
      </c>
      <c r="AN951" s="78" t="b">
        <f t="shared" si="976"/>
        <v>0</v>
      </c>
      <c r="AO951" s="78" t="b">
        <f t="shared" si="977"/>
        <v>0</v>
      </c>
    </row>
    <row r="952" spans="7:41" x14ac:dyDescent="0.35">
      <c r="G952" s="77">
        <f t="shared" si="947"/>
        <v>0</v>
      </c>
      <c r="H952" s="78">
        <f t="shared" si="948"/>
        <v>0</v>
      </c>
      <c r="I952" s="77">
        <f t="shared" si="949"/>
        <v>0</v>
      </c>
      <c r="J952" s="78">
        <f t="shared" si="950"/>
        <v>0</v>
      </c>
      <c r="K952" s="78" t="str">
        <f t="shared" si="951"/>
        <v>1900-01-00 00:0:00</v>
      </c>
      <c r="L952" s="78" t="str">
        <f t="shared" si="952"/>
        <v>1900-01-00 00:0:00</v>
      </c>
      <c r="M952" s="79">
        <f t="shared" si="953"/>
        <v>0</v>
      </c>
      <c r="N952">
        <f t="shared" si="978"/>
        <v>1</v>
      </c>
      <c r="O952" t="str">
        <f>IFERROR(_xlfn.XLOOKUP(A952,HC!A:A,HC!C:C),"")</f>
        <v>Workforce</v>
      </c>
      <c r="R952" s="78" t="b">
        <f t="shared" si="954"/>
        <v>0</v>
      </c>
      <c r="S952" s="78" t="b">
        <f t="shared" si="955"/>
        <v>0</v>
      </c>
      <c r="T952" s="78" t="b">
        <f t="shared" si="956"/>
        <v>0</v>
      </c>
      <c r="U952" s="78" t="b">
        <f t="shared" si="957"/>
        <v>0</v>
      </c>
      <c r="V952" s="78" t="b">
        <f t="shared" si="958"/>
        <v>0</v>
      </c>
      <c r="W952" s="78" t="b">
        <f t="shared" si="959"/>
        <v>0</v>
      </c>
      <c r="X952" s="78" t="b">
        <f t="shared" si="960"/>
        <v>0</v>
      </c>
      <c r="Y952" s="78" t="b">
        <f t="shared" si="961"/>
        <v>0</v>
      </c>
      <c r="Z952" s="78" t="b">
        <f t="shared" si="962"/>
        <v>0</v>
      </c>
      <c r="AA952" s="78" t="b">
        <f t="shared" si="963"/>
        <v>0</v>
      </c>
      <c r="AB952" s="78" t="b">
        <f t="shared" si="964"/>
        <v>0</v>
      </c>
      <c r="AC952" s="78" t="b">
        <f t="shared" si="965"/>
        <v>0</v>
      </c>
      <c r="AD952" s="78" t="b">
        <f t="shared" si="966"/>
        <v>0</v>
      </c>
      <c r="AE952" s="78" t="b">
        <f t="shared" si="967"/>
        <v>0</v>
      </c>
      <c r="AF952" s="78" t="b">
        <f t="shared" si="968"/>
        <v>0</v>
      </c>
      <c r="AG952" s="78" t="b">
        <f t="shared" si="969"/>
        <v>0</v>
      </c>
      <c r="AH952" s="78" t="b">
        <f t="shared" si="970"/>
        <v>0</v>
      </c>
      <c r="AI952" s="78" t="b">
        <f t="shared" si="971"/>
        <v>0</v>
      </c>
      <c r="AJ952" s="78" t="b">
        <f t="shared" si="972"/>
        <v>0</v>
      </c>
      <c r="AK952" s="78" t="b">
        <f t="shared" si="973"/>
        <v>0</v>
      </c>
      <c r="AL952" s="78" t="b">
        <f t="shared" si="974"/>
        <v>0</v>
      </c>
      <c r="AM952" s="78" t="b">
        <f t="shared" si="975"/>
        <v>0</v>
      </c>
      <c r="AN952" s="78" t="b">
        <f t="shared" si="976"/>
        <v>0</v>
      </c>
      <c r="AO952" s="78" t="b">
        <f t="shared" si="977"/>
        <v>0</v>
      </c>
    </row>
    <row r="953" spans="7:41" x14ac:dyDescent="0.35">
      <c r="G953" s="77">
        <f t="shared" si="947"/>
        <v>0</v>
      </c>
      <c r="H953" s="78">
        <f t="shared" si="948"/>
        <v>0</v>
      </c>
      <c r="I953" s="77">
        <f t="shared" si="949"/>
        <v>0</v>
      </c>
      <c r="J953" s="78">
        <f t="shared" si="950"/>
        <v>0</v>
      </c>
      <c r="K953" s="78" t="str">
        <f t="shared" si="951"/>
        <v>1900-01-00 00:0:00</v>
      </c>
      <c r="L953" s="78" t="str">
        <f t="shared" si="952"/>
        <v>1900-01-00 00:0:00</v>
      </c>
      <c r="M953" s="79">
        <f t="shared" si="953"/>
        <v>0</v>
      </c>
      <c r="N953">
        <f t="shared" si="978"/>
        <v>1</v>
      </c>
      <c r="O953" t="str">
        <f>IFERROR(_xlfn.XLOOKUP(A953,HC!A:A,HC!C:C),"")</f>
        <v>Workforce</v>
      </c>
      <c r="R953" s="78" t="b">
        <f t="shared" si="954"/>
        <v>0</v>
      </c>
      <c r="S953" s="78" t="b">
        <f t="shared" si="955"/>
        <v>0</v>
      </c>
      <c r="T953" s="78" t="b">
        <f t="shared" si="956"/>
        <v>0</v>
      </c>
      <c r="U953" s="78" t="b">
        <f t="shared" si="957"/>
        <v>0</v>
      </c>
      <c r="V953" s="78" t="b">
        <f t="shared" si="958"/>
        <v>0</v>
      </c>
      <c r="W953" s="78" t="b">
        <f t="shared" si="959"/>
        <v>0</v>
      </c>
      <c r="X953" s="78" t="b">
        <f t="shared" si="960"/>
        <v>0</v>
      </c>
      <c r="Y953" s="78" t="b">
        <f t="shared" si="961"/>
        <v>0</v>
      </c>
      <c r="Z953" s="78" t="b">
        <f t="shared" si="962"/>
        <v>0</v>
      </c>
      <c r="AA953" s="78" t="b">
        <f t="shared" si="963"/>
        <v>0</v>
      </c>
      <c r="AB953" s="78" t="b">
        <f t="shared" si="964"/>
        <v>0</v>
      </c>
      <c r="AC953" s="78" t="b">
        <f t="shared" si="965"/>
        <v>0</v>
      </c>
      <c r="AD953" s="78" t="b">
        <f t="shared" si="966"/>
        <v>0</v>
      </c>
      <c r="AE953" s="78" t="b">
        <f t="shared" si="967"/>
        <v>0</v>
      </c>
      <c r="AF953" s="78" t="b">
        <f t="shared" si="968"/>
        <v>0</v>
      </c>
      <c r="AG953" s="78" t="b">
        <f t="shared" si="969"/>
        <v>0</v>
      </c>
      <c r="AH953" s="78" t="b">
        <f t="shared" si="970"/>
        <v>0</v>
      </c>
      <c r="AI953" s="78" t="b">
        <f t="shared" si="971"/>
        <v>0</v>
      </c>
      <c r="AJ953" s="78" t="b">
        <f t="shared" si="972"/>
        <v>0</v>
      </c>
      <c r="AK953" s="78" t="b">
        <f t="shared" si="973"/>
        <v>0</v>
      </c>
      <c r="AL953" s="78" t="b">
        <f t="shared" si="974"/>
        <v>0</v>
      </c>
      <c r="AM953" s="78" t="b">
        <f t="shared" si="975"/>
        <v>0</v>
      </c>
      <c r="AN953" s="78" t="b">
        <f t="shared" si="976"/>
        <v>0</v>
      </c>
      <c r="AO953" s="78" t="b">
        <f t="shared" si="977"/>
        <v>0</v>
      </c>
    </row>
    <row r="954" spans="7:41" x14ac:dyDescent="0.35">
      <c r="G954" s="77">
        <f t="shared" ref="G954:G1017" si="979">INT(D954)</f>
        <v>0</v>
      </c>
      <c r="H954" s="78">
        <f t="shared" ref="H954:H1017" si="980">D954-G954</f>
        <v>0</v>
      </c>
      <c r="I954" s="77">
        <f t="shared" ref="I954:I1017" si="981">INT(E954)</f>
        <v>0</v>
      </c>
      <c r="J954" s="78">
        <f t="shared" ref="J954:J1017" si="982">E954-I954</f>
        <v>0</v>
      </c>
      <c r="K954" s="78" t="str">
        <f t="shared" ref="K954:K1017" si="983">TEXT(G954+H954,"yyyy-mm-dd hh:m:ss")</f>
        <v>1900-01-00 00:0:00</v>
      </c>
      <c r="L954" s="78" t="str">
        <f t="shared" ref="L954:L1017" si="984">TEXT(I954+J954,"yyyy-mm-dd hh:m:ss")</f>
        <v>1900-01-00 00:0:00</v>
      </c>
      <c r="M954" s="79">
        <f t="shared" ref="M954:M1017" si="985">E954-D954</f>
        <v>0</v>
      </c>
      <c r="N954">
        <f t="shared" si="978"/>
        <v>1</v>
      </c>
      <c r="O954" t="str">
        <f>IFERROR(_xlfn.XLOOKUP(A954,HC!A:A,HC!C:C),"")</f>
        <v>Workforce</v>
      </c>
      <c r="R954" s="78" t="b">
        <f t="shared" si="954"/>
        <v>0</v>
      </c>
      <c r="S954" s="78" t="b">
        <f t="shared" si="955"/>
        <v>0</v>
      </c>
      <c r="T954" s="78" t="b">
        <f t="shared" si="956"/>
        <v>0</v>
      </c>
      <c r="U954" s="78" t="b">
        <f t="shared" si="957"/>
        <v>0</v>
      </c>
      <c r="V954" s="78" t="b">
        <f t="shared" si="958"/>
        <v>0</v>
      </c>
      <c r="W954" s="78" t="b">
        <f t="shared" si="959"/>
        <v>0</v>
      </c>
      <c r="X954" s="78" t="b">
        <f t="shared" si="960"/>
        <v>0</v>
      </c>
      <c r="Y954" s="78" t="b">
        <f t="shared" si="961"/>
        <v>0</v>
      </c>
      <c r="Z954" s="78" t="b">
        <f t="shared" si="962"/>
        <v>0</v>
      </c>
      <c r="AA954" s="78" t="b">
        <f t="shared" si="963"/>
        <v>0</v>
      </c>
      <c r="AB954" s="78" t="b">
        <f t="shared" si="964"/>
        <v>0</v>
      </c>
      <c r="AC954" s="78" t="b">
        <f t="shared" si="965"/>
        <v>0</v>
      </c>
      <c r="AD954" s="78" t="b">
        <f t="shared" si="966"/>
        <v>0</v>
      </c>
      <c r="AE954" s="78" t="b">
        <f t="shared" si="967"/>
        <v>0</v>
      </c>
      <c r="AF954" s="78" t="b">
        <f t="shared" si="968"/>
        <v>0</v>
      </c>
      <c r="AG954" s="78" t="b">
        <f t="shared" si="969"/>
        <v>0</v>
      </c>
      <c r="AH954" s="78" t="b">
        <f t="shared" si="970"/>
        <v>0</v>
      </c>
      <c r="AI954" s="78" t="b">
        <f t="shared" si="971"/>
        <v>0</v>
      </c>
      <c r="AJ954" s="78" t="b">
        <f t="shared" si="972"/>
        <v>0</v>
      </c>
      <c r="AK954" s="78" t="b">
        <f t="shared" si="973"/>
        <v>0</v>
      </c>
      <c r="AL954" s="78" t="b">
        <f t="shared" si="974"/>
        <v>0</v>
      </c>
      <c r="AM954" s="78" t="b">
        <f t="shared" si="975"/>
        <v>0</v>
      </c>
      <c r="AN954" s="78" t="b">
        <f t="shared" si="976"/>
        <v>0</v>
      </c>
      <c r="AO954" s="78" t="b">
        <f t="shared" si="977"/>
        <v>0</v>
      </c>
    </row>
    <row r="955" spans="7:41" x14ac:dyDescent="0.35">
      <c r="G955" s="77">
        <f t="shared" si="979"/>
        <v>0</v>
      </c>
      <c r="H955" s="78">
        <f t="shared" si="980"/>
        <v>0</v>
      </c>
      <c r="I955" s="77">
        <f t="shared" si="981"/>
        <v>0</v>
      </c>
      <c r="J955" s="78">
        <f t="shared" si="982"/>
        <v>0</v>
      </c>
      <c r="K955" s="78" t="str">
        <f t="shared" si="983"/>
        <v>1900-01-00 00:0:00</v>
      </c>
      <c r="L955" s="78" t="str">
        <f t="shared" si="984"/>
        <v>1900-01-00 00:0:00</v>
      </c>
      <c r="M955" s="79">
        <f t="shared" si="985"/>
        <v>0</v>
      </c>
      <c r="N955">
        <f t="shared" si="978"/>
        <v>1</v>
      </c>
      <c r="O955" t="str">
        <f>IFERROR(_xlfn.XLOOKUP(A955,HC!A:A,HC!C:C),"")</f>
        <v>Workforce</v>
      </c>
      <c r="R955" s="78" t="b">
        <f t="shared" si="954"/>
        <v>0</v>
      </c>
      <c r="S955" s="78" t="b">
        <f t="shared" si="955"/>
        <v>0</v>
      </c>
      <c r="T955" s="78" t="b">
        <f t="shared" si="956"/>
        <v>0</v>
      </c>
      <c r="U955" s="78" t="b">
        <f t="shared" si="957"/>
        <v>0</v>
      </c>
      <c r="V955" s="78" t="b">
        <f t="shared" si="958"/>
        <v>0</v>
      </c>
      <c r="W955" s="78" t="b">
        <f t="shared" si="959"/>
        <v>0</v>
      </c>
      <c r="X955" s="78" t="b">
        <f t="shared" si="960"/>
        <v>0</v>
      </c>
      <c r="Y955" s="78" t="b">
        <f t="shared" si="961"/>
        <v>0</v>
      </c>
      <c r="Z955" s="78" t="b">
        <f t="shared" si="962"/>
        <v>0</v>
      </c>
      <c r="AA955" s="78" t="b">
        <f t="shared" si="963"/>
        <v>0</v>
      </c>
      <c r="AB955" s="78" t="b">
        <f t="shared" si="964"/>
        <v>0</v>
      </c>
      <c r="AC955" s="78" t="b">
        <f t="shared" si="965"/>
        <v>0</v>
      </c>
      <c r="AD955" s="78" t="b">
        <f t="shared" si="966"/>
        <v>0</v>
      </c>
      <c r="AE955" s="78" t="b">
        <f t="shared" si="967"/>
        <v>0</v>
      </c>
      <c r="AF955" s="78" t="b">
        <f t="shared" si="968"/>
        <v>0</v>
      </c>
      <c r="AG955" s="78" t="b">
        <f t="shared" si="969"/>
        <v>0</v>
      </c>
      <c r="AH955" s="78" t="b">
        <f t="shared" si="970"/>
        <v>0</v>
      </c>
      <c r="AI955" s="78" t="b">
        <f t="shared" si="971"/>
        <v>0</v>
      </c>
      <c r="AJ955" s="78" t="b">
        <f t="shared" si="972"/>
        <v>0</v>
      </c>
      <c r="AK955" s="78" t="b">
        <f t="shared" si="973"/>
        <v>0</v>
      </c>
      <c r="AL955" s="78" t="b">
        <f t="shared" si="974"/>
        <v>0</v>
      </c>
      <c r="AM955" s="78" t="b">
        <f t="shared" si="975"/>
        <v>0</v>
      </c>
      <c r="AN955" s="78" t="b">
        <f t="shared" si="976"/>
        <v>0</v>
      </c>
      <c r="AO955" s="78" t="b">
        <f t="shared" si="977"/>
        <v>0</v>
      </c>
    </row>
    <row r="956" spans="7:41" x14ac:dyDescent="0.35">
      <c r="G956" s="77">
        <f t="shared" si="979"/>
        <v>0</v>
      </c>
      <c r="H956" s="78">
        <f t="shared" si="980"/>
        <v>0</v>
      </c>
      <c r="I956" s="77">
        <f t="shared" si="981"/>
        <v>0</v>
      </c>
      <c r="J956" s="78">
        <f t="shared" si="982"/>
        <v>0</v>
      </c>
      <c r="K956" s="78" t="str">
        <f t="shared" si="983"/>
        <v>1900-01-00 00:0:00</v>
      </c>
      <c r="L956" s="78" t="str">
        <f t="shared" si="984"/>
        <v>1900-01-00 00:0:00</v>
      </c>
      <c r="M956" s="79">
        <f t="shared" si="985"/>
        <v>0</v>
      </c>
      <c r="N956">
        <f t="shared" si="978"/>
        <v>1</v>
      </c>
      <c r="O956" t="str">
        <f>IFERROR(_xlfn.XLOOKUP(A956,HC!A:A,HC!C:C),"")</f>
        <v>Workforce</v>
      </c>
      <c r="R956" s="78" t="b">
        <f t="shared" ref="R956:R1019" si="986">IFERROR(IF($B956=$D$1,IF(AND($K956&lt;R$1,$L956&lt;R$1),"",IF(AND($K956&gt;S$1,$L956&gt;S$1),"",IF(AND($K956&lt;R$1,$L956&lt;=S$1),$L956-R$1,IF(AND($K956&gt;=R$1,$L956&gt;S$1),S$1-$K956,IF(AND($K956&gt;=R$1,$L956&lt;=S$1),$L956-$K956,IF(AND($K956&lt;R$1,$L956&gt;S$1),S$1-R$1,""))))))),"")</f>
        <v>0</v>
      </c>
      <c r="S956" s="78" t="b">
        <f t="shared" ref="S956:S1019" si="987">IFERROR(IF($B956=$D$1,IF(AND($K956&lt;S$1,$L956&lt;S$1),"",IF(AND($K956&gt;T$1,$L956&gt;T$1),"",IF(AND($K956&lt;S$1,$L956&lt;=T$1),$L956-S$1,IF(AND($K956&gt;=S$1,$L956&gt;T$1),T$1-$K956,IF(AND($K956&gt;=S$1,$L956&lt;=T$1),$L956-$K956,IF(AND($K956&lt;S$1,$L956&gt;T$1),T$1-S$1,""))))))),"")</f>
        <v>0</v>
      </c>
      <c r="T956" s="78" t="b">
        <f t="shared" ref="T956:T1019" si="988">IFERROR(IF($B956=$D$1,IF(AND($K956&lt;T$1,$L956&lt;T$1),"",IF(AND($K956&gt;U$1,$L956&gt;U$1),"",IF(AND($K956&lt;T$1,$L956&lt;=U$1),$L956-T$1,IF(AND($K956&gt;=T$1,$L956&gt;U$1),U$1-$K956,IF(AND($K956&gt;=T$1,$L956&lt;=U$1),$L956-$K956,IF(AND($K956&lt;T$1,$L956&gt;U$1),U$1-T$1,""))))))),"")</f>
        <v>0</v>
      </c>
      <c r="U956" s="78" t="b">
        <f t="shared" ref="U956:U1019" si="989">IFERROR(IF($B956=$D$1,IF(AND($K956&lt;U$1,$L956&lt;U$1),"",IF(AND($K956&gt;V$1,$L956&gt;V$1),"",IF(AND($K956&lt;U$1,$L956&lt;=V$1),$L956-U$1,IF(AND($K956&gt;=U$1,$L956&gt;V$1),V$1-$K956,IF(AND($K956&gt;=U$1,$L956&lt;=V$1),$L956-$K956,IF(AND($K956&lt;U$1,$L956&gt;V$1),V$1-U$1,""))))))),"")</f>
        <v>0</v>
      </c>
      <c r="V956" s="78" t="b">
        <f t="shared" ref="V956:V1019" si="990">IFERROR(IF($B956=$D$1,IF(AND($K956&lt;V$1,$L956&lt;V$1),"",IF(AND($K956&gt;W$1,$L956&gt;W$1),"",IF(AND($K956&lt;V$1,$L956&lt;=W$1),$L956-V$1,IF(AND($K956&gt;=V$1,$L956&gt;W$1),W$1-$K956,IF(AND($K956&gt;=V$1,$L956&lt;=W$1),$L956-$K956,IF(AND($K956&lt;V$1,$L956&gt;W$1),W$1-V$1,""))))))),"")</f>
        <v>0</v>
      </c>
      <c r="W956" s="78" t="b">
        <f t="shared" ref="W956:W1019" si="991">IFERROR(IF($B956=$D$1,IF(AND($K956&lt;W$1,$L956&lt;W$1),"",IF(AND($K956&gt;X$1,$L956&gt;X$1),"",IF(AND($K956&lt;W$1,$L956&lt;=X$1),$L956-W$1,IF(AND($K956&gt;=W$1,$L956&gt;X$1),X$1-$K956,IF(AND($K956&gt;=W$1,$L956&lt;=X$1),$L956-$K956,IF(AND($K956&lt;W$1,$L956&gt;X$1),X$1-W$1,""))))))),"")</f>
        <v>0</v>
      </c>
      <c r="X956" s="78" t="b">
        <f t="shared" ref="X956:X1019" si="992">IFERROR(IF($B956=$D$1,IF(AND($K956&lt;X$1,$L956&lt;X$1),"",IF(AND($K956&gt;Y$1,$L956&gt;Y$1),"",IF(AND($K956&lt;X$1,$L956&lt;=Y$1),$L956-X$1,IF(AND($K956&gt;=X$1,$L956&gt;Y$1),Y$1-$K956,IF(AND($K956&gt;=X$1,$L956&lt;=Y$1),$L956-$K956,IF(AND($K956&lt;X$1,$L956&gt;Y$1),Y$1-X$1,""))))))),"")</f>
        <v>0</v>
      </c>
      <c r="Y956" s="78" t="b">
        <f t="shared" ref="Y956:Y1019" si="993">IFERROR(IF($B956=$D$1,IF(AND($K956&lt;Y$1,$L956&lt;Y$1),"",IF(AND($K956&gt;Z$1,$L956&gt;Z$1),"",IF(AND($K956&lt;Y$1,$L956&lt;=Z$1),$L956-Y$1,IF(AND($K956&gt;=Y$1,$L956&gt;Z$1),Z$1-$K956,IF(AND($K956&gt;=Y$1,$L956&lt;=Z$1),$L956-$K956,IF(AND($K956&lt;Y$1,$L956&gt;Z$1),Z$1-Y$1,""))))))),"")</f>
        <v>0</v>
      </c>
      <c r="Z956" s="78" t="b">
        <f t="shared" ref="Z956:Z1019" si="994">IFERROR(IF($B956=$D$1,IF(AND($K956&lt;Z$1,$L956&lt;Z$1),"",IF(AND($K956&gt;AA$1,$L956&gt;AA$1),"",IF(AND($K956&lt;Z$1,$L956&lt;=AA$1),$L956-Z$1,IF(AND($K956&gt;=Z$1,$L956&gt;AA$1),AA$1-$K956,IF(AND($K956&gt;=Z$1,$L956&lt;=AA$1),$L956-$K956,IF(AND($K956&lt;Z$1,$L956&gt;AA$1),AA$1-Z$1,""))))))),"")</f>
        <v>0</v>
      </c>
      <c r="AA956" s="78" t="b">
        <f t="shared" ref="AA956:AA1019" si="995">IFERROR(IF($B956=$D$1,IF(AND($K956&lt;AA$1,$L956&lt;AA$1),"",IF(AND($K956&gt;AB$1,$L956&gt;AB$1),"",IF(AND($K956&lt;AA$1,$L956&lt;=AB$1),$L956-AA$1,IF(AND($K956&gt;=AA$1,$L956&gt;AB$1),AB$1-$K956,IF(AND($K956&gt;=AA$1,$L956&lt;=AB$1),$L956-$K956,IF(AND($K956&lt;AA$1,$L956&gt;AB$1),AB$1-AA$1,""))))))),"")</f>
        <v>0</v>
      </c>
      <c r="AB956" s="78" t="b">
        <f t="shared" ref="AB956:AB1019" si="996">IFERROR(IF($B956=$D$1,IF(AND($K956&lt;AB$1,$L956&lt;AB$1),"",IF(AND($K956&gt;AC$1,$L956&gt;AC$1),"",IF(AND($K956&lt;AB$1,$L956&lt;=AC$1),$L956-AB$1,IF(AND($K956&gt;=AB$1,$L956&gt;AC$1),AC$1-$K956,IF(AND($K956&gt;=AB$1,$L956&lt;=AC$1),$L956-$K956,IF(AND($K956&lt;AB$1,$L956&gt;AC$1),AC$1-AB$1,""))))))),"")</f>
        <v>0</v>
      </c>
      <c r="AC956" s="78" t="b">
        <f t="shared" ref="AC956:AC1019" si="997">IFERROR(IF($B956=$D$1,IF(AND($K956&lt;AC$1,$L956&lt;AC$1),"",IF(AND($K956&gt;AD$1,$L956&gt;AD$1),"",IF(AND($K956&lt;AC$1,$L956&lt;=AD$1),$L956-AC$1,IF(AND($K956&gt;=AC$1,$L956&gt;AD$1),AD$1-$K956,IF(AND($K956&gt;=AC$1,$L956&lt;=AD$1),$L956-$K956,IF(AND($K956&lt;AC$1,$L956&gt;AD$1),AD$1-AC$1,""))))))),"")</f>
        <v>0</v>
      </c>
      <c r="AD956" s="78" t="b">
        <f t="shared" ref="AD956:AD1019" si="998">IFERROR(IF($B956=$D$1,IF(AND($K956&lt;AD$1,$L956&lt;AD$1),"",IF(AND($K956&gt;AE$1,$L956&gt;AE$1),"",IF(AND($K956&lt;AD$1,$L956&lt;=AE$1),$L956-AD$1,IF(AND($K956&gt;=AD$1,$L956&gt;AE$1),AE$1-$K956,IF(AND($K956&gt;=AD$1,$L956&lt;=AE$1),$L956-$K956,IF(AND($K956&lt;AD$1,$L956&gt;AE$1),AE$1-AD$1,""))))))),"")</f>
        <v>0</v>
      </c>
      <c r="AE956" s="78" t="b">
        <f t="shared" ref="AE956:AE1019" si="999">IFERROR(IF($B956=$D$1,IF(AND($K956&lt;AE$1,$L956&lt;AE$1),"",IF(AND($K956&gt;AF$1,$L956&gt;AF$1),"",IF(AND($K956&lt;AE$1,$L956&lt;=AF$1),$L956-AE$1,IF(AND($K956&gt;=AE$1,$L956&gt;AF$1),AF$1-$K956,IF(AND($K956&gt;=AE$1,$L956&lt;=AF$1),$L956-$K956,IF(AND($K956&lt;AE$1,$L956&gt;AF$1),AF$1-AE$1,""))))))),"")</f>
        <v>0</v>
      </c>
      <c r="AF956" s="78" t="b">
        <f t="shared" ref="AF956:AF1019" si="1000">IFERROR(IF($B956=$D$1,IF(AND($K956&lt;AF$1,$L956&lt;AF$1),"",IF(AND($K956&gt;AG$1,$L956&gt;AG$1),"",IF(AND($K956&lt;AF$1,$L956&lt;=AG$1),$L956-AF$1,IF(AND($K956&gt;=AF$1,$L956&gt;AG$1),AG$1-$K956,IF(AND($K956&gt;=AF$1,$L956&lt;=AG$1),$L956-$K956,IF(AND($K956&lt;AF$1,$L956&gt;AG$1),AG$1-AF$1,""))))))),"")</f>
        <v>0</v>
      </c>
      <c r="AG956" s="78" t="b">
        <f t="shared" ref="AG956:AG1019" si="1001">IFERROR(IF($B956=$D$1,IF(AND($K956&lt;AG$1,$L956&lt;AG$1),"",IF(AND($K956&gt;AH$1,$L956&gt;AH$1),"",IF(AND($K956&lt;AG$1,$L956&lt;=AH$1),$L956-AG$1,IF(AND($K956&gt;=AG$1,$L956&gt;AH$1),AH$1-$K956,IF(AND($K956&gt;=AG$1,$L956&lt;=AH$1),$L956-$K956,IF(AND($K956&lt;AG$1,$L956&gt;AH$1),AH$1-AG$1,""))))))),"")</f>
        <v>0</v>
      </c>
      <c r="AH956" s="78" t="b">
        <f t="shared" ref="AH956:AH1019" si="1002">IFERROR(IF($B956=$D$1,IF(AND($K956&lt;AH$1,$L956&lt;AH$1),"",IF(AND($K956&gt;AI$1,$L956&gt;AI$1),"",IF(AND($K956&lt;AH$1,$L956&lt;=AI$1),$L956-AH$1,IF(AND($K956&gt;=AH$1,$L956&gt;AI$1),AI$1-$K956,IF(AND($K956&gt;=AH$1,$L956&lt;=AI$1),$L956-$K956,IF(AND($K956&lt;AH$1,$L956&gt;AI$1),AI$1-AH$1,""))))))),"")</f>
        <v>0</v>
      </c>
      <c r="AI956" s="78" t="b">
        <f t="shared" ref="AI956:AI1019" si="1003">IFERROR(IF($B956=$D$1,IF(AND($K956&lt;AI$1,$L956&lt;AI$1),"",IF(AND($K956&gt;AJ$1,$L956&gt;AJ$1),"",IF(AND($K956&lt;AI$1,$L956&lt;=AJ$1),$L956-AI$1,IF(AND($K956&gt;=AI$1,$L956&gt;AJ$1),AJ$1-$K956,IF(AND($K956&gt;=AI$1,$L956&lt;=AJ$1),$L956-$K956,IF(AND($K956&lt;AI$1,$L956&gt;AJ$1),AJ$1-AI$1,""))))))),"")</f>
        <v>0</v>
      </c>
      <c r="AJ956" s="78" t="b">
        <f t="shared" ref="AJ956:AJ1019" si="1004">IFERROR(IF($B956=$D$1,IF(AND($K956&lt;AJ$1,$L956&lt;AJ$1),"",IF(AND($K956&gt;AK$1,$L956&gt;AK$1),"",IF(AND($K956&lt;AJ$1,$L956&lt;=AK$1),$L956-AJ$1,IF(AND($K956&gt;=AJ$1,$L956&gt;AK$1),AK$1-$K956,IF(AND($K956&gt;=AJ$1,$L956&lt;=AK$1),$L956-$K956,IF(AND($K956&lt;AJ$1,$L956&gt;AK$1),AK$1-AJ$1,""))))))),"")</f>
        <v>0</v>
      </c>
      <c r="AK956" s="78" t="b">
        <f t="shared" ref="AK956:AK1019" si="1005">IFERROR(IF($B956=$D$1,IF(AND($K956&lt;AK$1,$L956&lt;AK$1),"",IF(AND($K956&gt;AL$1,$L956&gt;AL$1),"",IF(AND($K956&lt;AK$1,$L956&lt;=AL$1),$L956-AK$1,IF(AND($K956&gt;=AK$1,$L956&gt;AL$1),AL$1-$K956,IF(AND($K956&gt;=AK$1,$L956&lt;=AL$1),$L956-$K956,IF(AND($K956&lt;AK$1,$L956&gt;AL$1),AL$1-AK$1,""))))))),"")</f>
        <v>0</v>
      </c>
      <c r="AL956" s="78" t="b">
        <f t="shared" ref="AL956:AL1019" si="1006">IFERROR(IF($B956=$D$1,IF(AND($K956&lt;AL$1,$L956&lt;AL$1),"",IF(AND($K956&gt;AM$1,$L956&gt;AM$1),"",IF(AND($K956&lt;AL$1,$L956&lt;=AM$1),$L956-AL$1,IF(AND($K956&gt;=AL$1,$L956&gt;AM$1),AM$1-$K956,IF(AND($K956&gt;=AL$1,$L956&lt;=AM$1),$L956-$K956,IF(AND($K956&lt;AL$1,$L956&gt;AM$1),AM$1-AL$1,""))))))),"")</f>
        <v>0</v>
      </c>
      <c r="AM956" s="78" t="b">
        <f t="shared" ref="AM956:AM1019" si="1007">IFERROR(IF($B956=$D$1,IF(AND($K956&lt;AM$1,$L956&lt;AM$1),"",IF(AND($K956&gt;AN$1,$L956&gt;AN$1),"",IF(AND($K956&lt;AM$1,$L956&lt;=AN$1),$L956-AM$1,IF(AND($K956&gt;=AM$1,$L956&gt;AN$1),AN$1-$K956,IF(AND($K956&gt;=AM$1,$L956&lt;=AN$1),$L956-$K956,IF(AND($K956&lt;AM$1,$L956&gt;AN$1),AN$1-AM$1,""))))))),"")</f>
        <v>0</v>
      </c>
      <c r="AN956" s="78" t="b">
        <f t="shared" ref="AN956:AN1019" si="1008">IFERROR(IF($B956=$D$1,IF(AND($K956&lt;AN$1,$L956&lt;AN$1),"",IF(AND($K956&gt;AO$1,$L956&gt;AO$1),"",IF(AND($K956&lt;AN$1,$L956&lt;=AO$1),$L956-AN$1,IF(AND($K956&gt;=AN$1,$L956&gt;AO$1),AO$1-$K956,IF(AND($K956&gt;=AN$1,$L956&lt;=AO$1),$L956-$K956,IF(AND($K956&lt;AN$1,$L956&gt;AO$1),AO$1-AN$1,""))))))),"")</f>
        <v>0</v>
      </c>
      <c r="AO956" s="78" t="b">
        <f t="shared" ref="AO956:AO1019" si="1009">IFERROR(IF($B956=$D$1,IF(AND($K956&lt;AO$1,$L956&lt;AO$1),"",IF(AND($K956&gt;AP$1,$L956&gt;AP$1),"",IF(AND($K956&lt;AO$1,$L956&lt;=AP$1),$L956-AO$1,IF(AND($K956&gt;=AO$1,$L956&gt;AP$1),AP$1-$K956,IF(AND($K956&gt;=AO$1,$L956&lt;=AP$1),$L956-$K956,IF(AND($K956&lt;AO$1,$L956&gt;AP$1),AP$1-AO$1,""))))))),"")</f>
        <v>0</v>
      </c>
    </row>
    <row r="957" spans="7:41" x14ac:dyDescent="0.35">
      <c r="G957" s="77">
        <f t="shared" si="979"/>
        <v>0</v>
      </c>
      <c r="H957" s="78">
        <f t="shared" si="980"/>
        <v>0</v>
      </c>
      <c r="I957" s="77">
        <f t="shared" si="981"/>
        <v>0</v>
      </c>
      <c r="J957" s="78">
        <f t="shared" si="982"/>
        <v>0</v>
      </c>
      <c r="K957" s="78" t="str">
        <f t="shared" si="983"/>
        <v>1900-01-00 00:0:00</v>
      </c>
      <c r="L957" s="78" t="str">
        <f t="shared" si="984"/>
        <v>1900-01-00 00:0:00</v>
      </c>
      <c r="M957" s="79">
        <f t="shared" si="985"/>
        <v>0</v>
      </c>
      <c r="N957">
        <f t="shared" si="978"/>
        <v>1</v>
      </c>
      <c r="O957" t="str">
        <f>IFERROR(_xlfn.XLOOKUP(A957,HC!A:A,HC!C:C),"")</f>
        <v>Workforce</v>
      </c>
      <c r="R957" s="78" t="b">
        <f t="shared" si="986"/>
        <v>0</v>
      </c>
      <c r="S957" s="78" t="b">
        <f t="shared" si="987"/>
        <v>0</v>
      </c>
      <c r="T957" s="78" t="b">
        <f t="shared" si="988"/>
        <v>0</v>
      </c>
      <c r="U957" s="78" t="b">
        <f t="shared" si="989"/>
        <v>0</v>
      </c>
      <c r="V957" s="78" t="b">
        <f t="shared" si="990"/>
        <v>0</v>
      </c>
      <c r="W957" s="78" t="b">
        <f t="shared" si="991"/>
        <v>0</v>
      </c>
      <c r="X957" s="78" t="b">
        <f t="shared" si="992"/>
        <v>0</v>
      </c>
      <c r="Y957" s="78" t="b">
        <f t="shared" si="993"/>
        <v>0</v>
      </c>
      <c r="Z957" s="78" t="b">
        <f t="shared" si="994"/>
        <v>0</v>
      </c>
      <c r="AA957" s="78" t="b">
        <f t="shared" si="995"/>
        <v>0</v>
      </c>
      <c r="AB957" s="78" t="b">
        <f t="shared" si="996"/>
        <v>0</v>
      </c>
      <c r="AC957" s="78" t="b">
        <f t="shared" si="997"/>
        <v>0</v>
      </c>
      <c r="AD957" s="78" t="b">
        <f t="shared" si="998"/>
        <v>0</v>
      </c>
      <c r="AE957" s="78" t="b">
        <f t="shared" si="999"/>
        <v>0</v>
      </c>
      <c r="AF957" s="78" t="b">
        <f t="shared" si="1000"/>
        <v>0</v>
      </c>
      <c r="AG957" s="78" t="b">
        <f t="shared" si="1001"/>
        <v>0</v>
      </c>
      <c r="AH957" s="78" t="b">
        <f t="shared" si="1002"/>
        <v>0</v>
      </c>
      <c r="AI957" s="78" t="b">
        <f t="shared" si="1003"/>
        <v>0</v>
      </c>
      <c r="AJ957" s="78" t="b">
        <f t="shared" si="1004"/>
        <v>0</v>
      </c>
      <c r="AK957" s="78" t="b">
        <f t="shared" si="1005"/>
        <v>0</v>
      </c>
      <c r="AL957" s="78" t="b">
        <f t="shared" si="1006"/>
        <v>0</v>
      </c>
      <c r="AM957" s="78" t="b">
        <f t="shared" si="1007"/>
        <v>0</v>
      </c>
      <c r="AN957" s="78" t="b">
        <f t="shared" si="1008"/>
        <v>0</v>
      </c>
      <c r="AO957" s="78" t="b">
        <f t="shared" si="1009"/>
        <v>0</v>
      </c>
    </row>
    <row r="958" spans="7:41" x14ac:dyDescent="0.35">
      <c r="G958" s="77">
        <f t="shared" si="979"/>
        <v>0</v>
      </c>
      <c r="H958" s="78">
        <f t="shared" si="980"/>
        <v>0</v>
      </c>
      <c r="I958" s="77">
        <f t="shared" si="981"/>
        <v>0</v>
      </c>
      <c r="J958" s="78">
        <f t="shared" si="982"/>
        <v>0</v>
      </c>
      <c r="K958" s="78" t="str">
        <f t="shared" si="983"/>
        <v>1900-01-00 00:0:00</v>
      </c>
      <c r="L958" s="78" t="str">
        <f t="shared" si="984"/>
        <v>1900-01-00 00:0:00</v>
      </c>
      <c r="M958" s="79">
        <f t="shared" si="985"/>
        <v>0</v>
      </c>
      <c r="N958">
        <f t="shared" si="978"/>
        <v>1</v>
      </c>
      <c r="O958" t="str">
        <f>IFERROR(_xlfn.XLOOKUP(A958,HC!A:A,HC!C:C),"")</f>
        <v>Workforce</v>
      </c>
      <c r="R958" s="78" t="b">
        <f t="shared" si="986"/>
        <v>0</v>
      </c>
      <c r="S958" s="78" t="b">
        <f t="shared" si="987"/>
        <v>0</v>
      </c>
      <c r="T958" s="78" t="b">
        <f t="shared" si="988"/>
        <v>0</v>
      </c>
      <c r="U958" s="78" t="b">
        <f t="shared" si="989"/>
        <v>0</v>
      </c>
      <c r="V958" s="78" t="b">
        <f t="shared" si="990"/>
        <v>0</v>
      </c>
      <c r="W958" s="78" t="b">
        <f t="shared" si="991"/>
        <v>0</v>
      </c>
      <c r="X958" s="78" t="b">
        <f t="shared" si="992"/>
        <v>0</v>
      </c>
      <c r="Y958" s="78" t="b">
        <f t="shared" si="993"/>
        <v>0</v>
      </c>
      <c r="Z958" s="78" t="b">
        <f t="shared" si="994"/>
        <v>0</v>
      </c>
      <c r="AA958" s="78" t="b">
        <f t="shared" si="995"/>
        <v>0</v>
      </c>
      <c r="AB958" s="78" t="b">
        <f t="shared" si="996"/>
        <v>0</v>
      </c>
      <c r="AC958" s="78" t="b">
        <f t="shared" si="997"/>
        <v>0</v>
      </c>
      <c r="AD958" s="78" t="b">
        <f t="shared" si="998"/>
        <v>0</v>
      </c>
      <c r="AE958" s="78" t="b">
        <f t="shared" si="999"/>
        <v>0</v>
      </c>
      <c r="AF958" s="78" t="b">
        <f t="shared" si="1000"/>
        <v>0</v>
      </c>
      <c r="AG958" s="78" t="b">
        <f t="shared" si="1001"/>
        <v>0</v>
      </c>
      <c r="AH958" s="78" t="b">
        <f t="shared" si="1002"/>
        <v>0</v>
      </c>
      <c r="AI958" s="78" t="b">
        <f t="shared" si="1003"/>
        <v>0</v>
      </c>
      <c r="AJ958" s="78" t="b">
        <f t="shared" si="1004"/>
        <v>0</v>
      </c>
      <c r="AK958" s="78" t="b">
        <f t="shared" si="1005"/>
        <v>0</v>
      </c>
      <c r="AL958" s="78" t="b">
        <f t="shared" si="1006"/>
        <v>0</v>
      </c>
      <c r="AM958" s="78" t="b">
        <f t="shared" si="1007"/>
        <v>0</v>
      </c>
      <c r="AN958" s="78" t="b">
        <f t="shared" si="1008"/>
        <v>0</v>
      </c>
      <c r="AO958" s="78" t="b">
        <f t="shared" si="1009"/>
        <v>0</v>
      </c>
    </row>
    <row r="959" spans="7:41" x14ac:dyDescent="0.35">
      <c r="G959" s="77">
        <f t="shared" si="979"/>
        <v>0</v>
      </c>
      <c r="H959" s="78">
        <f t="shared" si="980"/>
        <v>0</v>
      </c>
      <c r="I959" s="77">
        <f t="shared" si="981"/>
        <v>0</v>
      </c>
      <c r="J959" s="78">
        <f t="shared" si="982"/>
        <v>0</v>
      </c>
      <c r="K959" s="78" t="str">
        <f t="shared" si="983"/>
        <v>1900-01-00 00:0:00</v>
      </c>
      <c r="L959" s="78" t="str">
        <f t="shared" si="984"/>
        <v>1900-01-00 00:0:00</v>
      </c>
      <c r="M959" s="79">
        <f t="shared" si="985"/>
        <v>0</v>
      </c>
      <c r="N959">
        <f t="shared" si="978"/>
        <v>1</v>
      </c>
      <c r="O959" t="str">
        <f>IFERROR(_xlfn.XLOOKUP(A959,HC!A:A,HC!C:C),"")</f>
        <v>Workforce</v>
      </c>
      <c r="R959" s="78" t="b">
        <f t="shared" si="986"/>
        <v>0</v>
      </c>
      <c r="S959" s="78" t="b">
        <f t="shared" si="987"/>
        <v>0</v>
      </c>
      <c r="T959" s="78" t="b">
        <f t="shared" si="988"/>
        <v>0</v>
      </c>
      <c r="U959" s="78" t="b">
        <f t="shared" si="989"/>
        <v>0</v>
      </c>
      <c r="V959" s="78" t="b">
        <f t="shared" si="990"/>
        <v>0</v>
      </c>
      <c r="W959" s="78" t="b">
        <f t="shared" si="991"/>
        <v>0</v>
      </c>
      <c r="X959" s="78" t="b">
        <f t="shared" si="992"/>
        <v>0</v>
      </c>
      <c r="Y959" s="78" t="b">
        <f t="shared" si="993"/>
        <v>0</v>
      </c>
      <c r="Z959" s="78" t="b">
        <f t="shared" si="994"/>
        <v>0</v>
      </c>
      <c r="AA959" s="78" t="b">
        <f t="shared" si="995"/>
        <v>0</v>
      </c>
      <c r="AB959" s="78" t="b">
        <f t="shared" si="996"/>
        <v>0</v>
      </c>
      <c r="AC959" s="78" t="b">
        <f t="shared" si="997"/>
        <v>0</v>
      </c>
      <c r="AD959" s="78" t="b">
        <f t="shared" si="998"/>
        <v>0</v>
      </c>
      <c r="AE959" s="78" t="b">
        <f t="shared" si="999"/>
        <v>0</v>
      </c>
      <c r="AF959" s="78" t="b">
        <f t="shared" si="1000"/>
        <v>0</v>
      </c>
      <c r="AG959" s="78" t="b">
        <f t="shared" si="1001"/>
        <v>0</v>
      </c>
      <c r="AH959" s="78" t="b">
        <f t="shared" si="1002"/>
        <v>0</v>
      </c>
      <c r="AI959" s="78" t="b">
        <f t="shared" si="1003"/>
        <v>0</v>
      </c>
      <c r="AJ959" s="78" t="b">
        <f t="shared" si="1004"/>
        <v>0</v>
      </c>
      <c r="AK959" s="78" t="b">
        <f t="shared" si="1005"/>
        <v>0</v>
      </c>
      <c r="AL959" s="78" t="b">
        <f t="shared" si="1006"/>
        <v>0</v>
      </c>
      <c r="AM959" s="78" t="b">
        <f t="shared" si="1007"/>
        <v>0</v>
      </c>
      <c r="AN959" s="78" t="b">
        <f t="shared" si="1008"/>
        <v>0</v>
      </c>
      <c r="AO959" s="78" t="b">
        <f t="shared" si="1009"/>
        <v>0</v>
      </c>
    </row>
    <row r="960" spans="7:41" x14ac:dyDescent="0.35">
      <c r="G960" s="77">
        <f t="shared" si="979"/>
        <v>0</v>
      </c>
      <c r="H960" s="78">
        <f t="shared" si="980"/>
        <v>0</v>
      </c>
      <c r="I960" s="77">
        <f t="shared" si="981"/>
        <v>0</v>
      </c>
      <c r="J960" s="78">
        <f t="shared" si="982"/>
        <v>0</v>
      </c>
      <c r="K960" s="78" t="str">
        <f t="shared" si="983"/>
        <v>1900-01-00 00:0:00</v>
      </c>
      <c r="L960" s="78" t="str">
        <f t="shared" si="984"/>
        <v>1900-01-00 00:0:00</v>
      </c>
      <c r="M960" s="79">
        <f t="shared" si="985"/>
        <v>0</v>
      </c>
      <c r="N960">
        <f t="shared" si="978"/>
        <v>1</v>
      </c>
      <c r="O960" t="str">
        <f>IFERROR(_xlfn.XLOOKUP(A960,HC!A:A,HC!C:C),"")</f>
        <v>Workforce</v>
      </c>
      <c r="R960" s="78" t="b">
        <f t="shared" si="986"/>
        <v>0</v>
      </c>
      <c r="S960" s="78" t="b">
        <f t="shared" si="987"/>
        <v>0</v>
      </c>
      <c r="T960" s="78" t="b">
        <f t="shared" si="988"/>
        <v>0</v>
      </c>
      <c r="U960" s="78" t="b">
        <f t="shared" si="989"/>
        <v>0</v>
      </c>
      <c r="V960" s="78" t="b">
        <f t="shared" si="990"/>
        <v>0</v>
      </c>
      <c r="W960" s="78" t="b">
        <f t="shared" si="991"/>
        <v>0</v>
      </c>
      <c r="X960" s="78" t="b">
        <f t="shared" si="992"/>
        <v>0</v>
      </c>
      <c r="Y960" s="78" t="b">
        <f t="shared" si="993"/>
        <v>0</v>
      </c>
      <c r="Z960" s="78" t="b">
        <f t="shared" si="994"/>
        <v>0</v>
      </c>
      <c r="AA960" s="78" t="b">
        <f t="shared" si="995"/>
        <v>0</v>
      </c>
      <c r="AB960" s="78" t="b">
        <f t="shared" si="996"/>
        <v>0</v>
      </c>
      <c r="AC960" s="78" t="b">
        <f t="shared" si="997"/>
        <v>0</v>
      </c>
      <c r="AD960" s="78" t="b">
        <f t="shared" si="998"/>
        <v>0</v>
      </c>
      <c r="AE960" s="78" t="b">
        <f t="shared" si="999"/>
        <v>0</v>
      </c>
      <c r="AF960" s="78" t="b">
        <f t="shared" si="1000"/>
        <v>0</v>
      </c>
      <c r="AG960" s="78" t="b">
        <f t="shared" si="1001"/>
        <v>0</v>
      </c>
      <c r="AH960" s="78" t="b">
        <f t="shared" si="1002"/>
        <v>0</v>
      </c>
      <c r="AI960" s="78" t="b">
        <f t="shared" si="1003"/>
        <v>0</v>
      </c>
      <c r="AJ960" s="78" t="b">
        <f t="shared" si="1004"/>
        <v>0</v>
      </c>
      <c r="AK960" s="78" t="b">
        <f t="shared" si="1005"/>
        <v>0</v>
      </c>
      <c r="AL960" s="78" t="b">
        <f t="shared" si="1006"/>
        <v>0</v>
      </c>
      <c r="AM960" s="78" t="b">
        <f t="shared" si="1007"/>
        <v>0</v>
      </c>
      <c r="AN960" s="78" t="b">
        <f t="shared" si="1008"/>
        <v>0</v>
      </c>
      <c r="AO960" s="78" t="b">
        <f t="shared" si="1009"/>
        <v>0</v>
      </c>
    </row>
    <row r="961" spans="7:41" x14ac:dyDescent="0.35">
      <c r="G961" s="77">
        <f t="shared" si="979"/>
        <v>0</v>
      </c>
      <c r="H961" s="78">
        <f t="shared" si="980"/>
        <v>0</v>
      </c>
      <c r="I961" s="77">
        <f t="shared" si="981"/>
        <v>0</v>
      </c>
      <c r="J961" s="78">
        <f t="shared" si="982"/>
        <v>0</v>
      </c>
      <c r="K961" s="78" t="str">
        <f t="shared" si="983"/>
        <v>1900-01-00 00:0:00</v>
      </c>
      <c r="L961" s="78" t="str">
        <f t="shared" si="984"/>
        <v>1900-01-00 00:0:00</v>
      </c>
      <c r="M961" s="79">
        <f t="shared" si="985"/>
        <v>0</v>
      </c>
      <c r="N961">
        <f t="shared" si="978"/>
        <v>1</v>
      </c>
      <c r="O961" t="str">
        <f>IFERROR(_xlfn.XLOOKUP(A961,HC!A:A,HC!C:C),"")</f>
        <v>Workforce</v>
      </c>
      <c r="R961" s="78" t="b">
        <f t="shared" si="986"/>
        <v>0</v>
      </c>
      <c r="S961" s="78" t="b">
        <f t="shared" si="987"/>
        <v>0</v>
      </c>
      <c r="T961" s="78" t="b">
        <f t="shared" si="988"/>
        <v>0</v>
      </c>
      <c r="U961" s="78" t="b">
        <f t="shared" si="989"/>
        <v>0</v>
      </c>
      <c r="V961" s="78" t="b">
        <f t="shared" si="990"/>
        <v>0</v>
      </c>
      <c r="W961" s="78" t="b">
        <f t="shared" si="991"/>
        <v>0</v>
      </c>
      <c r="X961" s="78" t="b">
        <f t="shared" si="992"/>
        <v>0</v>
      </c>
      <c r="Y961" s="78" t="b">
        <f t="shared" si="993"/>
        <v>0</v>
      </c>
      <c r="Z961" s="78" t="b">
        <f t="shared" si="994"/>
        <v>0</v>
      </c>
      <c r="AA961" s="78" t="b">
        <f t="shared" si="995"/>
        <v>0</v>
      </c>
      <c r="AB961" s="78" t="b">
        <f t="shared" si="996"/>
        <v>0</v>
      </c>
      <c r="AC961" s="78" t="b">
        <f t="shared" si="997"/>
        <v>0</v>
      </c>
      <c r="AD961" s="78" t="b">
        <f t="shared" si="998"/>
        <v>0</v>
      </c>
      <c r="AE961" s="78" t="b">
        <f t="shared" si="999"/>
        <v>0</v>
      </c>
      <c r="AF961" s="78" t="b">
        <f t="shared" si="1000"/>
        <v>0</v>
      </c>
      <c r="AG961" s="78" t="b">
        <f t="shared" si="1001"/>
        <v>0</v>
      </c>
      <c r="AH961" s="78" t="b">
        <f t="shared" si="1002"/>
        <v>0</v>
      </c>
      <c r="AI961" s="78" t="b">
        <f t="shared" si="1003"/>
        <v>0</v>
      </c>
      <c r="AJ961" s="78" t="b">
        <f t="shared" si="1004"/>
        <v>0</v>
      </c>
      <c r="AK961" s="78" t="b">
        <f t="shared" si="1005"/>
        <v>0</v>
      </c>
      <c r="AL961" s="78" t="b">
        <f t="shared" si="1006"/>
        <v>0</v>
      </c>
      <c r="AM961" s="78" t="b">
        <f t="shared" si="1007"/>
        <v>0</v>
      </c>
      <c r="AN961" s="78" t="b">
        <f t="shared" si="1008"/>
        <v>0</v>
      </c>
      <c r="AO961" s="78" t="b">
        <f t="shared" si="1009"/>
        <v>0</v>
      </c>
    </row>
    <row r="962" spans="7:41" x14ac:dyDescent="0.35">
      <c r="G962" s="77">
        <f t="shared" si="979"/>
        <v>0</v>
      </c>
      <c r="H962" s="78">
        <f t="shared" si="980"/>
        <v>0</v>
      </c>
      <c r="I962" s="77">
        <f t="shared" si="981"/>
        <v>0</v>
      </c>
      <c r="J962" s="78">
        <f t="shared" si="982"/>
        <v>0</v>
      </c>
      <c r="K962" s="78" t="str">
        <f t="shared" si="983"/>
        <v>1900-01-00 00:0:00</v>
      </c>
      <c r="L962" s="78" t="str">
        <f t="shared" si="984"/>
        <v>1900-01-00 00:0:00</v>
      </c>
      <c r="M962" s="79">
        <f t="shared" si="985"/>
        <v>0</v>
      </c>
      <c r="N962">
        <f t="shared" si="978"/>
        <v>1</v>
      </c>
      <c r="O962" t="str">
        <f>IFERROR(_xlfn.XLOOKUP(A962,HC!A:A,HC!C:C),"")</f>
        <v>Workforce</v>
      </c>
      <c r="R962" s="78" t="b">
        <f t="shared" si="986"/>
        <v>0</v>
      </c>
      <c r="S962" s="78" t="b">
        <f t="shared" si="987"/>
        <v>0</v>
      </c>
      <c r="T962" s="78" t="b">
        <f t="shared" si="988"/>
        <v>0</v>
      </c>
      <c r="U962" s="78" t="b">
        <f t="shared" si="989"/>
        <v>0</v>
      </c>
      <c r="V962" s="78" t="b">
        <f t="shared" si="990"/>
        <v>0</v>
      </c>
      <c r="W962" s="78" t="b">
        <f t="shared" si="991"/>
        <v>0</v>
      </c>
      <c r="X962" s="78" t="b">
        <f t="shared" si="992"/>
        <v>0</v>
      </c>
      <c r="Y962" s="78" t="b">
        <f t="shared" si="993"/>
        <v>0</v>
      </c>
      <c r="Z962" s="78" t="b">
        <f t="shared" si="994"/>
        <v>0</v>
      </c>
      <c r="AA962" s="78" t="b">
        <f t="shared" si="995"/>
        <v>0</v>
      </c>
      <c r="AB962" s="78" t="b">
        <f t="shared" si="996"/>
        <v>0</v>
      </c>
      <c r="AC962" s="78" t="b">
        <f t="shared" si="997"/>
        <v>0</v>
      </c>
      <c r="AD962" s="78" t="b">
        <f t="shared" si="998"/>
        <v>0</v>
      </c>
      <c r="AE962" s="78" t="b">
        <f t="shared" si="999"/>
        <v>0</v>
      </c>
      <c r="AF962" s="78" t="b">
        <f t="shared" si="1000"/>
        <v>0</v>
      </c>
      <c r="AG962" s="78" t="b">
        <f t="shared" si="1001"/>
        <v>0</v>
      </c>
      <c r="AH962" s="78" t="b">
        <f t="shared" si="1002"/>
        <v>0</v>
      </c>
      <c r="AI962" s="78" t="b">
        <f t="shared" si="1003"/>
        <v>0</v>
      </c>
      <c r="AJ962" s="78" t="b">
        <f t="shared" si="1004"/>
        <v>0</v>
      </c>
      <c r="AK962" s="78" t="b">
        <f t="shared" si="1005"/>
        <v>0</v>
      </c>
      <c r="AL962" s="78" t="b">
        <f t="shared" si="1006"/>
        <v>0</v>
      </c>
      <c r="AM962" s="78" t="b">
        <f t="shared" si="1007"/>
        <v>0</v>
      </c>
      <c r="AN962" s="78" t="b">
        <f t="shared" si="1008"/>
        <v>0</v>
      </c>
      <c r="AO962" s="78" t="b">
        <f t="shared" si="1009"/>
        <v>0</v>
      </c>
    </row>
    <row r="963" spans="7:41" x14ac:dyDescent="0.35">
      <c r="G963" s="77">
        <f t="shared" si="979"/>
        <v>0</v>
      </c>
      <c r="H963" s="78">
        <f t="shared" si="980"/>
        <v>0</v>
      </c>
      <c r="I963" s="77">
        <f t="shared" si="981"/>
        <v>0</v>
      </c>
      <c r="J963" s="78">
        <f t="shared" si="982"/>
        <v>0</v>
      </c>
      <c r="K963" s="78" t="str">
        <f t="shared" si="983"/>
        <v>1900-01-00 00:0:00</v>
      </c>
      <c r="L963" s="78" t="str">
        <f t="shared" si="984"/>
        <v>1900-01-00 00:0:00</v>
      </c>
      <c r="M963" s="79">
        <f t="shared" si="985"/>
        <v>0</v>
      </c>
      <c r="N963">
        <f t="shared" si="978"/>
        <v>1</v>
      </c>
      <c r="O963" t="str">
        <f>IFERROR(_xlfn.XLOOKUP(A963,HC!A:A,HC!C:C),"")</f>
        <v>Workforce</v>
      </c>
      <c r="R963" s="78" t="b">
        <f t="shared" si="986"/>
        <v>0</v>
      </c>
      <c r="S963" s="78" t="b">
        <f t="shared" si="987"/>
        <v>0</v>
      </c>
      <c r="T963" s="78" t="b">
        <f t="shared" si="988"/>
        <v>0</v>
      </c>
      <c r="U963" s="78" t="b">
        <f t="shared" si="989"/>
        <v>0</v>
      </c>
      <c r="V963" s="78" t="b">
        <f t="shared" si="990"/>
        <v>0</v>
      </c>
      <c r="W963" s="78" t="b">
        <f t="shared" si="991"/>
        <v>0</v>
      </c>
      <c r="X963" s="78" t="b">
        <f t="shared" si="992"/>
        <v>0</v>
      </c>
      <c r="Y963" s="78" t="b">
        <f t="shared" si="993"/>
        <v>0</v>
      </c>
      <c r="Z963" s="78" t="b">
        <f t="shared" si="994"/>
        <v>0</v>
      </c>
      <c r="AA963" s="78" t="b">
        <f t="shared" si="995"/>
        <v>0</v>
      </c>
      <c r="AB963" s="78" t="b">
        <f t="shared" si="996"/>
        <v>0</v>
      </c>
      <c r="AC963" s="78" t="b">
        <f t="shared" si="997"/>
        <v>0</v>
      </c>
      <c r="AD963" s="78" t="b">
        <f t="shared" si="998"/>
        <v>0</v>
      </c>
      <c r="AE963" s="78" t="b">
        <f t="shared" si="999"/>
        <v>0</v>
      </c>
      <c r="AF963" s="78" t="b">
        <f t="shared" si="1000"/>
        <v>0</v>
      </c>
      <c r="AG963" s="78" t="b">
        <f t="shared" si="1001"/>
        <v>0</v>
      </c>
      <c r="AH963" s="78" t="b">
        <f t="shared" si="1002"/>
        <v>0</v>
      </c>
      <c r="AI963" s="78" t="b">
        <f t="shared" si="1003"/>
        <v>0</v>
      </c>
      <c r="AJ963" s="78" t="b">
        <f t="shared" si="1004"/>
        <v>0</v>
      </c>
      <c r="AK963" s="78" t="b">
        <f t="shared" si="1005"/>
        <v>0</v>
      </c>
      <c r="AL963" s="78" t="b">
        <f t="shared" si="1006"/>
        <v>0</v>
      </c>
      <c r="AM963" s="78" t="b">
        <f t="shared" si="1007"/>
        <v>0</v>
      </c>
      <c r="AN963" s="78" t="b">
        <f t="shared" si="1008"/>
        <v>0</v>
      </c>
      <c r="AO963" s="78" t="b">
        <f t="shared" si="1009"/>
        <v>0</v>
      </c>
    </row>
    <row r="964" spans="7:41" x14ac:dyDescent="0.35">
      <c r="G964" s="77">
        <f t="shared" si="979"/>
        <v>0</v>
      </c>
      <c r="H964" s="78">
        <f t="shared" si="980"/>
        <v>0</v>
      </c>
      <c r="I964" s="77">
        <f t="shared" si="981"/>
        <v>0</v>
      </c>
      <c r="J964" s="78">
        <f t="shared" si="982"/>
        <v>0</v>
      </c>
      <c r="K964" s="78" t="str">
        <f t="shared" si="983"/>
        <v>1900-01-00 00:0:00</v>
      </c>
      <c r="L964" s="78" t="str">
        <f t="shared" si="984"/>
        <v>1900-01-00 00:0:00</v>
      </c>
      <c r="M964" s="79">
        <f t="shared" si="985"/>
        <v>0</v>
      </c>
      <c r="N964">
        <f t="shared" ref="N964:N1027" si="1010">IF(M964&lt;$BA$1,1,0)</f>
        <v>1</v>
      </c>
      <c r="O964" t="str">
        <f>IFERROR(_xlfn.XLOOKUP(A964,HC!A:A,HC!C:C),"")</f>
        <v>Workforce</v>
      </c>
      <c r="R964" s="78" t="b">
        <f t="shared" si="986"/>
        <v>0</v>
      </c>
      <c r="S964" s="78" t="b">
        <f t="shared" si="987"/>
        <v>0</v>
      </c>
      <c r="T964" s="78" t="b">
        <f t="shared" si="988"/>
        <v>0</v>
      </c>
      <c r="U964" s="78" t="b">
        <f t="shared" si="989"/>
        <v>0</v>
      </c>
      <c r="V964" s="78" t="b">
        <f t="shared" si="990"/>
        <v>0</v>
      </c>
      <c r="W964" s="78" t="b">
        <f t="shared" si="991"/>
        <v>0</v>
      </c>
      <c r="X964" s="78" t="b">
        <f t="shared" si="992"/>
        <v>0</v>
      </c>
      <c r="Y964" s="78" t="b">
        <f t="shared" si="993"/>
        <v>0</v>
      </c>
      <c r="Z964" s="78" t="b">
        <f t="shared" si="994"/>
        <v>0</v>
      </c>
      <c r="AA964" s="78" t="b">
        <f t="shared" si="995"/>
        <v>0</v>
      </c>
      <c r="AB964" s="78" t="b">
        <f t="shared" si="996"/>
        <v>0</v>
      </c>
      <c r="AC964" s="78" t="b">
        <f t="shared" si="997"/>
        <v>0</v>
      </c>
      <c r="AD964" s="78" t="b">
        <f t="shared" si="998"/>
        <v>0</v>
      </c>
      <c r="AE964" s="78" t="b">
        <f t="shared" si="999"/>
        <v>0</v>
      </c>
      <c r="AF964" s="78" t="b">
        <f t="shared" si="1000"/>
        <v>0</v>
      </c>
      <c r="AG964" s="78" t="b">
        <f t="shared" si="1001"/>
        <v>0</v>
      </c>
      <c r="AH964" s="78" t="b">
        <f t="shared" si="1002"/>
        <v>0</v>
      </c>
      <c r="AI964" s="78" t="b">
        <f t="shared" si="1003"/>
        <v>0</v>
      </c>
      <c r="AJ964" s="78" t="b">
        <f t="shared" si="1004"/>
        <v>0</v>
      </c>
      <c r="AK964" s="78" t="b">
        <f t="shared" si="1005"/>
        <v>0</v>
      </c>
      <c r="AL964" s="78" t="b">
        <f t="shared" si="1006"/>
        <v>0</v>
      </c>
      <c r="AM964" s="78" t="b">
        <f t="shared" si="1007"/>
        <v>0</v>
      </c>
      <c r="AN964" s="78" t="b">
        <f t="shared" si="1008"/>
        <v>0</v>
      </c>
      <c r="AO964" s="78" t="b">
        <f t="shared" si="1009"/>
        <v>0</v>
      </c>
    </row>
    <row r="965" spans="7:41" x14ac:dyDescent="0.35">
      <c r="G965" s="77">
        <f t="shared" si="979"/>
        <v>0</v>
      </c>
      <c r="H965" s="78">
        <f t="shared" si="980"/>
        <v>0</v>
      </c>
      <c r="I965" s="77">
        <f t="shared" si="981"/>
        <v>0</v>
      </c>
      <c r="J965" s="78">
        <f t="shared" si="982"/>
        <v>0</v>
      </c>
      <c r="K965" s="78" t="str">
        <f t="shared" si="983"/>
        <v>1900-01-00 00:0:00</v>
      </c>
      <c r="L965" s="78" t="str">
        <f t="shared" si="984"/>
        <v>1900-01-00 00:0:00</v>
      </c>
      <c r="M965" s="79">
        <f t="shared" si="985"/>
        <v>0</v>
      </c>
      <c r="N965">
        <f t="shared" si="1010"/>
        <v>1</v>
      </c>
      <c r="O965" t="str">
        <f>IFERROR(_xlfn.XLOOKUP(A965,HC!A:A,HC!C:C),"")</f>
        <v>Workforce</v>
      </c>
      <c r="R965" s="78" t="b">
        <f t="shared" si="986"/>
        <v>0</v>
      </c>
      <c r="S965" s="78" t="b">
        <f t="shared" si="987"/>
        <v>0</v>
      </c>
      <c r="T965" s="78" t="b">
        <f t="shared" si="988"/>
        <v>0</v>
      </c>
      <c r="U965" s="78" t="b">
        <f t="shared" si="989"/>
        <v>0</v>
      </c>
      <c r="V965" s="78" t="b">
        <f t="shared" si="990"/>
        <v>0</v>
      </c>
      <c r="W965" s="78" t="b">
        <f t="shared" si="991"/>
        <v>0</v>
      </c>
      <c r="X965" s="78" t="b">
        <f t="shared" si="992"/>
        <v>0</v>
      </c>
      <c r="Y965" s="78" t="b">
        <f t="shared" si="993"/>
        <v>0</v>
      </c>
      <c r="Z965" s="78" t="b">
        <f t="shared" si="994"/>
        <v>0</v>
      </c>
      <c r="AA965" s="78" t="b">
        <f t="shared" si="995"/>
        <v>0</v>
      </c>
      <c r="AB965" s="78" t="b">
        <f t="shared" si="996"/>
        <v>0</v>
      </c>
      <c r="AC965" s="78" t="b">
        <f t="shared" si="997"/>
        <v>0</v>
      </c>
      <c r="AD965" s="78" t="b">
        <f t="shared" si="998"/>
        <v>0</v>
      </c>
      <c r="AE965" s="78" t="b">
        <f t="shared" si="999"/>
        <v>0</v>
      </c>
      <c r="AF965" s="78" t="b">
        <f t="shared" si="1000"/>
        <v>0</v>
      </c>
      <c r="AG965" s="78" t="b">
        <f t="shared" si="1001"/>
        <v>0</v>
      </c>
      <c r="AH965" s="78" t="b">
        <f t="shared" si="1002"/>
        <v>0</v>
      </c>
      <c r="AI965" s="78" t="b">
        <f t="shared" si="1003"/>
        <v>0</v>
      </c>
      <c r="AJ965" s="78" t="b">
        <f t="shared" si="1004"/>
        <v>0</v>
      </c>
      <c r="AK965" s="78" t="b">
        <f t="shared" si="1005"/>
        <v>0</v>
      </c>
      <c r="AL965" s="78" t="b">
        <f t="shared" si="1006"/>
        <v>0</v>
      </c>
      <c r="AM965" s="78" t="b">
        <f t="shared" si="1007"/>
        <v>0</v>
      </c>
      <c r="AN965" s="78" t="b">
        <f t="shared" si="1008"/>
        <v>0</v>
      </c>
      <c r="AO965" s="78" t="b">
        <f t="shared" si="1009"/>
        <v>0</v>
      </c>
    </row>
    <row r="966" spans="7:41" x14ac:dyDescent="0.35">
      <c r="G966" s="77">
        <f t="shared" si="979"/>
        <v>0</v>
      </c>
      <c r="H966" s="78">
        <f t="shared" si="980"/>
        <v>0</v>
      </c>
      <c r="I966" s="77">
        <f t="shared" si="981"/>
        <v>0</v>
      </c>
      <c r="J966" s="78">
        <f t="shared" si="982"/>
        <v>0</v>
      </c>
      <c r="K966" s="78" t="str">
        <f t="shared" si="983"/>
        <v>1900-01-00 00:0:00</v>
      </c>
      <c r="L966" s="78" t="str">
        <f t="shared" si="984"/>
        <v>1900-01-00 00:0:00</v>
      </c>
      <c r="M966" s="79">
        <f t="shared" si="985"/>
        <v>0</v>
      </c>
      <c r="N966">
        <f t="shared" si="1010"/>
        <v>1</v>
      </c>
      <c r="O966" t="str">
        <f>IFERROR(_xlfn.XLOOKUP(A966,HC!A:A,HC!C:C),"")</f>
        <v>Workforce</v>
      </c>
      <c r="R966" s="78" t="b">
        <f t="shared" si="986"/>
        <v>0</v>
      </c>
      <c r="S966" s="78" t="b">
        <f t="shared" si="987"/>
        <v>0</v>
      </c>
      <c r="T966" s="78" t="b">
        <f t="shared" si="988"/>
        <v>0</v>
      </c>
      <c r="U966" s="78" t="b">
        <f t="shared" si="989"/>
        <v>0</v>
      </c>
      <c r="V966" s="78" t="b">
        <f t="shared" si="990"/>
        <v>0</v>
      </c>
      <c r="W966" s="78" t="b">
        <f t="shared" si="991"/>
        <v>0</v>
      </c>
      <c r="X966" s="78" t="b">
        <f t="shared" si="992"/>
        <v>0</v>
      </c>
      <c r="Y966" s="78" t="b">
        <f t="shared" si="993"/>
        <v>0</v>
      </c>
      <c r="Z966" s="78" t="b">
        <f t="shared" si="994"/>
        <v>0</v>
      </c>
      <c r="AA966" s="78" t="b">
        <f t="shared" si="995"/>
        <v>0</v>
      </c>
      <c r="AB966" s="78" t="b">
        <f t="shared" si="996"/>
        <v>0</v>
      </c>
      <c r="AC966" s="78" t="b">
        <f t="shared" si="997"/>
        <v>0</v>
      </c>
      <c r="AD966" s="78" t="b">
        <f t="shared" si="998"/>
        <v>0</v>
      </c>
      <c r="AE966" s="78" t="b">
        <f t="shared" si="999"/>
        <v>0</v>
      </c>
      <c r="AF966" s="78" t="b">
        <f t="shared" si="1000"/>
        <v>0</v>
      </c>
      <c r="AG966" s="78" t="b">
        <f t="shared" si="1001"/>
        <v>0</v>
      </c>
      <c r="AH966" s="78" t="b">
        <f t="shared" si="1002"/>
        <v>0</v>
      </c>
      <c r="AI966" s="78" t="b">
        <f t="shared" si="1003"/>
        <v>0</v>
      </c>
      <c r="AJ966" s="78" t="b">
        <f t="shared" si="1004"/>
        <v>0</v>
      </c>
      <c r="AK966" s="78" t="b">
        <f t="shared" si="1005"/>
        <v>0</v>
      </c>
      <c r="AL966" s="78" t="b">
        <f t="shared" si="1006"/>
        <v>0</v>
      </c>
      <c r="AM966" s="78" t="b">
        <f t="shared" si="1007"/>
        <v>0</v>
      </c>
      <c r="AN966" s="78" t="b">
        <f t="shared" si="1008"/>
        <v>0</v>
      </c>
      <c r="AO966" s="78" t="b">
        <f t="shared" si="1009"/>
        <v>0</v>
      </c>
    </row>
    <row r="967" spans="7:41" x14ac:dyDescent="0.35">
      <c r="G967" s="77">
        <f t="shared" si="979"/>
        <v>0</v>
      </c>
      <c r="H967" s="78">
        <f t="shared" si="980"/>
        <v>0</v>
      </c>
      <c r="I967" s="77">
        <f t="shared" si="981"/>
        <v>0</v>
      </c>
      <c r="J967" s="78">
        <f t="shared" si="982"/>
        <v>0</v>
      </c>
      <c r="K967" s="78" t="str">
        <f t="shared" si="983"/>
        <v>1900-01-00 00:0:00</v>
      </c>
      <c r="L967" s="78" t="str">
        <f t="shared" si="984"/>
        <v>1900-01-00 00:0:00</v>
      </c>
      <c r="M967" s="79">
        <f t="shared" si="985"/>
        <v>0</v>
      </c>
      <c r="N967">
        <f t="shared" si="1010"/>
        <v>1</v>
      </c>
      <c r="O967" t="str">
        <f>IFERROR(_xlfn.XLOOKUP(A967,HC!A:A,HC!C:C),"")</f>
        <v>Workforce</v>
      </c>
      <c r="R967" s="78" t="b">
        <f t="shared" si="986"/>
        <v>0</v>
      </c>
      <c r="S967" s="78" t="b">
        <f t="shared" si="987"/>
        <v>0</v>
      </c>
      <c r="T967" s="78" t="b">
        <f t="shared" si="988"/>
        <v>0</v>
      </c>
      <c r="U967" s="78" t="b">
        <f t="shared" si="989"/>
        <v>0</v>
      </c>
      <c r="V967" s="78" t="b">
        <f t="shared" si="990"/>
        <v>0</v>
      </c>
      <c r="W967" s="78" t="b">
        <f t="shared" si="991"/>
        <v>0</v>
      </c>
      <c r="X967" s="78" t="b">
        <f t="shared" si="992"/>
        <v>0</v>
      </c>
      <c r="Y967" s="78" t="b">
        <f t="shared" si="993"/>
        <v>0</v>
      </c>
      <c r="Z967" s="78" t="b">
        <f t="shared" si="994"/>
        <v>0</v>
      </c>
      <c r="AA967" s="78" t="b">
        <f t="shared" si="995"/>
        <v>0</v>
      </c>
      <c r="AB967" s="78" t="b">
        <f t="shared" si="996"/>
        <v>0</v>
      </c>
      <c r="AC967" s="78" t="b">
        <f t="shared" si="997"/>
        <v>0</v>
      </c>
      <c r="AD967" s="78" t="b">
        <f t="shared" si="998"/>
        <v>0</v>
      </c>
      <c r="AE967" s="78" t="b">
        <f t="shared" si="999"/>
        <v>0</v>
      </c>
      <c r="AF967" s="78" t="b">
        <f t="shared" si="1000"/>
        <v>0</v>
      </c>
      <c r="AG967" s="78" t="b">
        <f t="shared" si="1001"/>
        <v>0</v>
      </c>
      <c r="AH967" s="78" t="b">
        <f t="shared" si="1002"/>
        <v>0</v>
      </c>
      <c r="AI967" s="78" t="b">
        <f t="shared" si="1003"/>
        <v>0</v>
      </c>
      <c r="AJ967" s="78" t="b">
        <f t="shared" si="1004"/>
        <v>0</v>
      </c>
      <c r="AK967" s="78" t="b">
        <f t="shared" si="1005"/>
        <v>0</v>
      </c>
      <c r="AL967" s="78" t="b">
        <f t="shared" si="1006"/>
        <v>0</v>
      </c>
      <c r="AM967" s="78" t="b">
        <f t="shared" si="1007"/>
        <v>0</v>
      </c>
      <c r="AN967" s="78" t="b">
        <f t="shared" si="1008"/>
        <v>0</v>
      </c>
      <c r="AO967" s="78" t="b">
        <f t="shared" si="1009"/>
        <v>0</v>
      </c>
    </row>
    <row r="968" spans="7:41" x14ac:dyDescent="0.35">
      <c r="G968" s="77">
        <f t="shared" si="979"/>
        <v>0</v>
      </c>
      <c r="H968" s="78">
        <f t="shared" si="980"/>
        <v>0</v>
      </c>
      <c r="I968" s="77">
        <f t="shared" si="981"/>
        <v>0</v>
      </c>
      <c r="J968" s="78">
        <f t="shared" si="982"/>
        <v>0</v>
      </c>
      <c r="K968" s="78" t="str">
        <f t="shared" si="983"/>
        <v>1900-01-00 00:0:00</v>
      </c>
      <c r="L968" s="78" t="str">
        <f t="shared" si="984"/>
        <v>1900-01-00 00:0:00</v>
      </c>
      <c r="M968" s="79">
        <f t="shared" si="985"/>
        <v>0</v>
      </c>
      <c r="N968">
        <f t="shared" si="1010"/>
        <v>1</v>
      </c>
      <c r="O968" t="str">
        <f>IFERROR(_xlfn.XLOOKUP(A968,HC!A:A,HC!C:C),"")</f>
        <v>Workforce</v>
      </c>
      <c r="R968" s="78" t="b">
        <f t="shared" si="986"/>
        <v>0</v>
      </c>
      <c r="S968" s="78" t="b">
        <f t="shared" si="987"/>
        <v>0</v>
      </c>
      <c r="T968" s="78" t="b">
        <f t="shared" si="988"/>
        <v>0</v>
      </c>
      <c r="U968" s="78" t="b">
        <f t="shared" si="989"/>
        <v>0</v>
      </c>
      <c r="V968" s="78" t="b">
        <f t="shared" si="990"/>
        <v>0</v>
      </c>
      <c r="W968" s="78" t="b">
        <f t="shared" si="991"/>
        <v>0</v>
      </c>
      <c r="X968" s="78" t="b">
        <f t="shared" si="992"/>
        <v>0</v>
      </c>
      <c r="Y968" s="78" t="b">
        <f t="shared" si="993"/>
        <v>0</v>
      </c>
      <c r="Z968" s="78" t="b">
        <f t="shared" si="994"/>
        <v>0</v>
      </c>
      <c r="AA968" s="78" t="b">
        <f t="shared" si="995"/>
        <v>0</v>
      </c>
      <c r="AB968" s="78" t="b">
        <f t="shared" si="996"/>
        <v>0</v>
      </c>
      <c r="AC968" s="78" t="b">
        <f t="shared" si="997"/>
        <v>0</v>
      </c>
      <c r="AD968" s="78" t="b">
        <f t="shared" si="998"/>
        <v>0</v>
      </c>
      <c r="AE968" s="78" t="b">
        <f t="shared" si="999"/>
        <v>0</v>
      </c>
      <c r="AF968" s="78" t="b">
        <f t="shared" si="1000"/>
        <v>0</v>
      </c>
      <c r="AG968" s="78" t="b">
        <f t="shared" si="1001"/>
        <v>0</v>
      </c>
      <c r="AH968" s="78" t="b">
        <f t="shared" si="1002"/>
        <v>0</v>
      </c>
      <c r="AI968" s="78" t="b">
        <f t="shared" si="1003"/>
        <v>0</v>
      </c>
      <c r="AJ968" s="78" t="b">
        <f t="shared" si="1004"/>
        <v>0</v>
      </c>
      <c r="AK968" s="78" t="b">
        <f t="shared" si="1005"/>
        <v>0</v>
      </c>
      <c r="AL968" s="78" t="b">
        <f t="shared" si="1006"/>
        <v>0</v>
      </c>
      <c r="AM968" s="78" t="b">
        <f t="shared" si="1007"/>
        <v>0</v>
      </c>
      <c r="AN968" s="78" t="b">
        <f t="shared" si="1008"/>
        <v>0</v>
      </c>
      <c r="AO968" s="78" t="b">
        <f t="shared" si="1009"/>
        <v>0</v>
      </c>
    </row>
    <row r="969" spans="7:41" x14ac:dyDescent="0.35">
      <c r="G969" s="77">
        <f t="shared" si="979"/>
        <v>0</v>
      </c>
      <c r="H969" s="78">
        <f t="shared" si="980"/>
        <v>0</v>
      </c>
      <c r="I969" s="77">
        <f t="shared" si="981"/>
        <v>0</v>
      </c>
      <c r="J969" s="78">
        <f t="shared" si="982"/>
        <v>0</v>
      </c>
      <c r="K969" s="78" t="str">
        <f t="shared" si="983"/>
        <v>1900-01-00 00:0:00</v>
      </c>
      <c r="L969" s="78" t="str">
        <f t="shared" si="984"/>
        <v>1900-01-00 00:0:00</v>
      </c>
      <c r="M969" s="79">
        <f t="shared" si="985"/>
        <v>0</v>
      </c>
      <c r="N969">
        <f t="shared" si="1010"/>
        <v>1</v>
      </c>
      <c r="O969" t="str">
        <f>IFERROR(_xlfn.XLOOKUP(A969,HC!A:A,HC!C:C),"")</f>
        <v>Workforce</v>
      </c>
      <c r="R969" s="78" t="b">
        <f t="shared" si="986"/>
        <v>0</v>
      </c>
      <c r="S969" s="78" t="b">
        <f t="shared" si="987"/>
        <v>0</v>
      </c>
      <c r="T969" s="78" t="b">
        <f t="shared" si="988"/>
        <v>0</v>
      </c>
      <c r="U969" s="78" t="b">
        <f t="shared" si="989"/>
        <v>0</v>
      </c>
      <c r="V969" s="78" t="b">
        <f t="shared" si="990"/>
        <v>0</v>
      </c>
      <c r="W969" s="78" t="b">
        <f t="shared" si="991"/>
        <v>0</v>
      </c>
      <c r="X969" s="78" t="b">
        <f t="shared" si="992"/>
        <v>0</v>
      </c>
      <c r="Y969" s="78" t="b">
        <f t="shared" si="993"/>
        <v>0</v>
      </c>
      <c r="Z969" s="78" t="b">
        <f t="shared" si="994"/>
        <v>0</v>
      </c>
      <c r="AA969" s="78" t="b">
        <f t="shared" si="995"/>
        <v>0</v>
      </c>
      <c r="AB969" s="78" t="b">
        <f t="shared" si="996"/>
        <v>0</v>
      </c>
      <c r="AC969" s="78" t="b">
        <f t="shared" si="997"/>
        <v>0</v>
      </c>
      <c r="AD969" s="78" t="b">
        <f t="shared" si="998"/>
        <v>0</v>
      </c>
      <c r="AE969" s="78" t="b">
        <f t="shared" si="999"/>
        <v>0</v>
      </c>
      <c r="AF969" s="78" t="b">
        <f t="shared" si="1000"/>
        <v>0</v>
      </c>
      <c r="AG969" s="78" t="b">
        <f t="shared" si="1001"/>
        <v>0</v>
      </c>
      <c r="AH969" s="78" t="b">
        <f t="shared" si="1002"/>
        <v>0</v>
      </c>
      <c r="AI969" s="78" t="b">
        <f t="shared" si="1003"/>
        <v>0</v>
      </c>
      <c r="AJ969" s="78" t="b">
        <f t="shared" si="1004"/>
        <v>0</v>
      </c>
      <c r="AK969" s="78" t="b">
        <f t="shared" si="1005"/>
        <v>0</v>
      </c>
      <c r="AL969" s="78" t="b">
        <f t="shared" si="1006"/>
        <v>0</v>
      </c>
      <c r="AM969" s="78" t="b">
        <f t="shared" si="1007"/>
        <v>0</v>
      </c>
      <c r="AN969" s="78" t="b">
        <f t="shared" si="1008"/>
        <v>0</v>
      </c>
      <c r="AO969" s="78" t="b">
        <f t="shared" si="1009"/>
        <v>0</v>
      </c>
    </row>
    <row r="970" spans="7:41" x14ac:dyDescent="0.35">
      <c r="G970" s="77">
        <f t="shared" si="979"/>
        <v>0</v>
      </c>
      <c r="H970" s="78">
        <f t="shared" si="980"/>
        <v>0</v>
      </c>
      <c r="I970" s="77">
        <f t="shared" si="981"/>
        <v>0</v>
      </c>
      <c r="J970" s="78">
        <f t="shared" si="982"/>
        <v>0</v>
      </c>
      <c r="K970" s="78" t="str">
        <f t="shared" si="983"/>
        <v>1900-01-00 00:0:00</v>
      </c>
      <c r="L970" s="78" t="str">
        <f t="shared" si="984"/>
        <v>1900-01-00 00:0:00</v>
      </c>
      <c r="M970" s="79">
        <f t="shared" si="985"/>
        <v>0</v>
      </c>
      <c r="N970">
        <f t="shared" si="1010"/>
        <v>1</v>
      </c>
      <c r="O970" t="str">
        <f>IFERROR(_xlfn.XLOOKUP(A970,HC!A:A,HC!C:C),"")</f>
        <v>Workforce</v>
      </c>
      <c r="R970" s="78" t="b">
        <f t="shared" si="986"/>
        <v>0</v>
      </c>
      <c r="S970" s="78" t="b">
        <f t="shared" si="987"/>
        <v>0</v>
      </c>
      <c r="T970" s="78" t="b">
        <f t="shared" si="988"/>
        <v>0</v>
      </c>
      <c r="U970" s="78" t="b">
        <f t="shared" si="989"/>
        <v>0</v>
      </c>
      <c r="V970" s="78" t="b">
        <f t="shared" si="990"/>
        <v>0</v>
      </c>
      <c r="W970" s="78" t="b">
        <f t="shared" si="991"/>
        <v>0</v>
      </c>
      <c r="X970" s="78" t="b">
        <f t="shared" si="992"/>
        <v>0</v>
      </c>
      <c r="Y970" s="78" t="b">
        <f t="shared" si="993"/>
        <v>0</v>
      </c>
      <c r="Z970" s="78" t="b">
        <f t="shared" si="994"/>
        <v>0</v>
      </c>
      <c r="AA970" s="78" t="b">
        <f t="shared" si="995"/>
        <v>0</v>
      </c>
      <c r="AB970" s="78" t="b">
        <f t="shared" si="996"/>
        <v>0</v>
      </c>
      <c r="AC970" s="78" t="b">
        <f t="shared" si="997"/>
        <v>0</v>
      </c>
      <c r="AD970" s="78" t="b">
        <f t="shared" si="998"/>
        <v>0</v>
      </c>
      <c r="AE970" s="78" t="b">
        <f t="shared" si="999"/>
        <v>0</v>
      </c>
      <c r="AF970" s="78" t="b">
        <f t="shared" si="1000"/>
        <v>0</v>
      </c>
      <c r="AG970" s="78" t="b">
        <f t="shared" si="1001"/>
        <v>0</v>
      </c>
      <c r="AH970" s="78" t="b">
        <f t="shared" si="1002"/>
        <v>0</v>
      </c>
      <c r="AI970" s="78" t="b">
        <f t="shared" si="1003"/>
        <v>0</v>
      </c>
      <c r="AJ970" s="78" t="b">
        <f t="shared" si="1004"/>
        <v>0</v>
      </c>
      <c r="AK970" s="78" t="b">
        <f t="shared" si="1005"/>
        <v>0</v>
      </c>
      <c r="AL970" s="78" t="b">
        <f t="shared" si="1006"/>
        <v>0</v>
      </c>
      <c r="AM970" s="78" t="b">
        <f t="shared" si="1007"/>
        <v>0</v>
      </c>
      <c r="AN970" s="78" t="b">
        <f t="shared" si="1008"/>
        <v>0</v>
      </c>
      <c r="AO970" s="78" t="b">
        <f t="shared" si="1009"/>
        <v>0</v>
      </c>
    </row>
    <row r="971" spans="7:41" x14ac:dyDescent="0.35">
      <c r="G971" s="77">
        <f t="shared" si="979"/>
        <v>0</v>
      </c>
      <c r="H971" s="78">
        <f t="shared" si="980"/>
        <v>0</v>
      </c>
      <c r="I971" s="77">
        <f t="shared" si="981"/>
        <v>0</v>
      </c>
      <c r="J971" s="78">
        <f t="shared" si="982"/>
        <v>0</v>
      </c>
      <c r="K971" s="78" t="str">
        <f t="shared" si="983"/>
        <v>1900-01-00 00:0:00</v>
      </c>
      <c r="L971" s="78" t="str">
        <f t="shared" si="984"/>
        <v>1900-01-00 00:0:00</v>
      </c>
      <c r="M971" s="79">
        <f t="shared" si="985"/>
        <v>0</v>
      </c>
      <c r="N971">
        <f t="shared" si="1010"/>
        <v>1</v>
      </c>
      <c r="O971" t="str">
        <f>IFERROR(_xlfn.XLOOKUP(A971,HC!A:A,HC!C:C),"")</f>
        <v>Workforce</v>
      </c>
      <c r="R971" s="78" t="b">
        <f t="shared" si="986"/>
        <v>0</v>
      </c>
      <c r="S971" s="78" t="b">
        <f t="shared" si="987"/>
        <v>0</v>
      </c>
      <c r="T971" s="78" t="b">
        <f t="shared" si="988"/>
        <v>0</v>
      </c>
      <c r="U971" s="78" t="b">
        <f t="shared" si="989"/>
        <v>0</v>
      </c>
      <c r="V971" s="78" t="b">
        <f t="shared" si="990"/>
        <v>0</v>
      </c>
      <c r="W971" s="78" t="b">
        <f t="shared" si="991"/>
        <v>0</v>
      </c>
      <c r="X971" s="78" t="b">
        <f t="shared" si="992"/>
        <v>0</v>
      </c>
      <c r="Y971" s="78" t="b">
        <f t="shared" si="993"/>
        <v>0</v>
      </c>
      <c r="Z971" s="78" t="b">
        <f t="shared" si="994"/>
        <v>0</v>
      </c>
      <c r="AA971" s="78" t="b">
        <f t="shared" si="995"/>
        <v>0</v>
      </c>
      <c r="AB971" s="78" t="b">
        <f t="shared" si="996"/>
        <v>0</v>
      </c>
      <c r="AC971" s="78" t="b">
        <f t="shared" si="997"/>
        <v>0</v>
      </c>
      <c r="AD971" s="78" t="b">
        <f t="shared" si="998"/>
        <v>0</v>
      </c>
      <c r="AE971" s="78" t="b">
        <f t="shared" si="999"/>
        <v>0</v>
      </c>
      <c r="AF971" s="78" t="b">
        <f t="shared" si="1000"/>
        <v>0</v>
      </c>
      <c r="AG971" s="78" t="b">
        <f t="shared" si="1001"/>
        <v>0</v>
      </c>
      <c r="AH971" s="78" t="b">
        <f t="shared" si="1002"/>
        <v>0</v>
      </c>
      <c r="AI971" s="78" t="b">
        <f t="shared" si="1003"/>
        <v>0</v>
      </c>
      <c r="AJ971" s="78" t="b">
        <f t="shared" si="1004"/>
        <v>0</v>
      </c>
      <c r="AK971" s="78" t="b">
        <f t="shared" si="1005"/>
        <v>0</v>
      </c>
      <c r="AL971" s="78" t="b">
        <f t="shared" si="1006"/>
        <v>0</v>
      </c>
      <c r="AM971" s="78" t="b">
        <f t="shared" si="1007"/>
        <v>0</v>
      </c>
      <c r="AN971" s="78" t="b">
        <f t="shared" si="1008"/>
        <v>0</v>
      </c>
      <c r="AO971" s="78" t="b">
        <f t="shared" si="1009"/>
        <v>0</v>
      </c>
    </row>
    <row r="972" spans="7:41" x14ac:dyDescent="0.35">
      <c r="G972" s="77">
        <f t="shared" si="979"/>
        <v>0</v>
      </c>
      <c r="H972" s="78">
        <f t="shared" si="980"/>
        <v>0</v>
      </c>
      <c r="I972" s="77">
        <f t="shared" si="981"/>
        <v>0</v>
      </c>
      <c r="J972" s="78">
        <f t="shared" si="982"/>
        <v>0</v>
      </c>
      <c r="K972" s="78" t="str">
        <f t="shared" si="983"/>
        <v>1900-01-00 00:0:00</v>
      </c>
      <c r="L972" s="78" t="str">
        <f t="shared" si="984"/>
        <v>1900-01-00 00:0:00</v>
      </c>
      <c r="M972" s="79">
        <f t="shared" si="985"/>
        <v>0</v>
      </c>
      <c r="N972">
        <f t="shared" si="1010"/>
        <v>1</v>
      </c>
      <c r="O972" t="str">
        <f>IFERROR(_xlfn.XLOOKUP(A972,HC!A:A,HC!C:C),"")</f>
        <v>Workforce</v>
      </c>
      <c r="R972" s="78" t="b">
        <f t="shared" si="986"/>
        <v>0</v>
      </c>
      <c r="S972" s="78" t="b">
        <f t="shared" si="987"/>
        <v>0</v>
      </c>
      <c r="T972" s="78" t="b">
        <f t="shared" si="988"/>
        <v>0</v>
      </c>
      <c r="U972" s="78" t="b">
        <f t="shared" si="989"/>
        <v>0</v>
      </c>
      <c r="V972" s="78" t="b">
        <f t="shared" si="990"/>
        <v>0</v>
      </c>
      <c r="W972" s="78" t="b">
        <f t="shared" si="991"/>
        <v>0</v>
      </c>
      <c r="X972" s="78" t="b">
        <f t="shared" si="992"/>
        <v>0</v>
      </c>
      <c r="Y972" s="78" t="b">
        <f t="shared" si="993"/>
        <v>0</v>
      </c>
      <c r="Z972" s="78" t="b">
        <f t="shared" si="994"/>
        <v>0</v>
      </c>
      <c r="AA972" s="78" t="b">
        <f t="shared" si="995"/>
        <v>0</v>
      </c>
      <c r="AB972" s="78" t="b">
        <f t="shared" si="996"/>
        <v>0</v>
      </c>
      <c r="AC972" s="78" t="b">
        <f t="shared" si="997"/>
        <v>0</v>
      </c>
      <c r="AD972" s="78" t="b">
        <f t="shared" si="998"/>
        <v>0</v>
      </c>
      <c r="AE972" s="78" t="b">
        <f t="shared" si="999"/>
        <v>0</v>
      </c>
      <c r="AF972" s="78" t="b">
        <f t="shared" si="1000"/>
        <v>0</v>
      </c>
      <c r="AG972" s="78" t="b">
        <f t="shared" si="1001"/>
        <v>0</v>
      </c>
      <c r="AH972" s="78" t="b">
        <f t="shared" si="1002"/>
        <v>0</v>
      </c>
      <c r="AI972" s="78" t="b">
        <f t="shared" si="1003"/>
        <v>0</v>
      </c>
      <c r="AJ972" s="78" t="b">
        <f t="shared" si="1004"/>
        <v>0</v>
      </c>
      <c r="AK972" s="78" t="b">
        <f t="shared" si="1005"/>
        <v>0</v>
      </c>
      <c r="AL972" s="78" t="b">
        <f t="shared" si="1006"/>
        <v>0</v>
      </c>
      <c r="AM972" s="78" t="b">
        <f t="shared" si="1007"/>
        <v>0</v>
      </c>
      <c r="AN972" s="78" t="b">
        <f t="shared" si="1008"/>
        <v>0</v>
      </c>
      <c r="AO972" s="78" t="b">
        <f t="shared" si="1009"/>
        <v>0</v>
      </c>
    </row>
    <row r="973" spans="7:41" x14ac:dyDescent="0.35">
      <c r="G973" s="77">
        <f t="shared" si="979"/>
        <v>0</v>
      </c>
      <c r="H973" s="78">
        <f t="shared" si="980"/>
        <v>0</v>
      </c>
      <c r="I973" s="77">
        <f t="shared" si="981"/>
        <v>0</v>
      </c>
      <c r="J973" s="78">
        <f t="shared" si="982"/>
        <v>0</v>
      </c>
      <c r="K973" s="78" t="str">
        <f t="shared" si="983"/>
        <v>1900-01-00 00:0:00</v>
      </c>
      <c r="L973" s="78" t="str">
        <f t="shared" si="984"/>
        <v>1900-01-00 00:0:00</v>
      </c>
      <c r="M973" s="79">
        <f t="shared" si="985"/>
        <v>0</v>
      </c>
      <c r="N973">
        <f t="shared" si="1010"/>
        <v>1</v>
      </c>
      <c r="O973" t="str">
        <f>IFERROR(_xlfn.XLOOKUP(A973,HC!A:A,HC!C:C),"")</f>
        <v>Workforce</v>
      </c>
      <c r="R973" s="78" t="b">
        <f t="shared" si="986"/>
        <v>0</v>
      </c>
      <c r="S973" s="78" t="b">
        <f t="shared" si="987"/>
        <v>0</v>
      </c>
      <c r="T973" s="78" t="b">
        <f t="shared" si="988"/>
        <v>0</v>
      </c>
      <c r="U973" s="78" t="b">
        <f t="shared" si="989"/>
        <v>0</v>
      </c>
      <c r="V973" s="78" t="b">
        <f t="shared" si="990"/>
        <v>0</v>
      </c>
      <c r="W973" s="78" t="b">
        <f t="shared" si="991"/>
        <v>0</v>
      </c>
      <c r="X973" s="78" t="b">
        <f t="shared" si="992"/>
        <v>0</v>
      </c>
      <c r="Y973" s="78" t="b">
        <f t="shared" si="993"/>
        <v>0</v>
      </c>
      <c r="Z973" s="78" t="b">
        <f t="shared" si="994"/>
        <v>0</v>
      </c>
      <c r="AA973" s="78" t="b">
        <f t="shared" si="995"/>
        <v>0</v>
      </c>
      <c r="AB973" s="78" t="b">
        <f t="shared" si="996"/>
        <v>0</v>
      </c>
      <c r="AC973" s="78" t="b">
        <f t="shared" si="997"/>
        <v>0</v>
      </c>
      <c r="AD973" s="78" t="b">
        <f t="shared" si="998"/>
        <v>0</v>
      </c>
      <c r="AE973" s="78" t="b">
        <f t="shared" si="999"/>
        <v>0</v>
      </c>
      <c r="AF973" s="78" t="b">
        <f t="shared" si="1000"/>
        <v>0</v>
      </c>
      <c r="AG973" s="78" t="b">
        <f t="shared" si="1001"/>
        <v>0</v>
      </c>
      <c r="AH973" s="78" t="b">
        <f t="shared" si="1002"/>
        <v>0</v>
      </c>
      <c r="AI973" s="78" t="b">
        <f t="shared" si="1003"/>
        <v>0</v>
      </c>
      <c r="AJ973" s="78" t="b">
        <f t="shared" si="1004"/>
        <v>0</v>
      </c>
      <c r="AK973" s="78" t="b">
        <f t="shared" si="1005"/>
        <v>0</v>
      </c>
      <c r="AL973" s="78" t="b">
        <f t="shared" si="1006"/>
        <v>0</v>
      </c>
      <c r="AM973" s="78" t="b">
        <f t="shared" si="1007"/>
        <v>0</v>
      </c>
      <c r="AN973" s="78" t="b">
        <f t="shared" si="1008"/>
        <v>0</v>
      </c>
      <c r="AO973" s="78" t="b">
        <f t="shared" si="1009"/>
        <v>0</v>
      </c>
    </row>
    <row r="974" spans="7:41" x14ac:dyDescent="0.35">
      <c r="G974" s="77">
        <f t="shared" si="979"/>
        <v>0</v>
      </c>
      <c r="H974" s="78">
        <f t="shared" si="980"/>
        <v>0</v>
      </c>
      <c r="I974" s="77">
        <f t="shared" si="981"/>
        <v>0</v>
      </c>
      <c r="J974" s="78">
        <f t="shared" si="982"/>
        <v>0</v>
      </c>
      <c r="K974" s="78" t="str">
        <f t="shared" si="983"/>
        <v>1900-01-00 00:0:00</v>
      </c>
      <c r="L974" s="78" t="str">
        <f t="shared" si="984"/>
        <v>1900-01-00 00:0:00</v>
      </c>
      <c r="M974" s="79">
        <f t="shared" si="985"/>
        <v>0</v>
      </c>
      <c r="N974">
        <f t="shared" si="1010"/>
        <v>1</v>
      </c>
      <c r="O974" t="str">
        <f>IFERROR(_xlfn.XLOOKUP(A974,HC!A:A,HC!C:C),"")</f>
        <v>Workforce</v>
      </c>
      <c r="R974" s="78" t="b">
        <f t="shared" si="986"/>
        <v>0</v>
      </c>
      <c r="S974" s="78" t="b">
        <f t="shared" si="987"/>
        <v>0</v>
      </c>
      <c r="T974" s="78" t="b">
        <f t="shared" si="988"/>
        <v>0</v>
      </c>
      <c r="U974" s="78" t="b">
        <f t="shared" si="989"/>
        <v>0</v>
      </c>
      <c r="V974" s="78" t="b">
        <f t="shared" si="990"/>
        <v>0</v>
      </c>
      <c r="W974" s="78" t="b">
        <f t="shared" si="991"/>
        <v>0</v>
      </c>
      <c r="X974" s="78" t="b">
        <f t="shared" si="992"/>
        <v>0</v>
      </c>
      <c r="Y974" s="78" t="b">
        <f t="shared" si="993"/>
        <v>0</v>
      </c>
      <c r="Z974" s="78" t="b">
        <f t="shared" si="994"/>
        <v>0</v>
      </c>
      <c r="AA974" s="78" t="b">
        <f t="shared" si="995"/>
        <v>0</v>
      </c>
      <c r="AB974" s="78" t="b">
        <f t="shared" si="996"/>
        <v>0</v>
      </c>
      <c r="AC974" s="78" t="b">
        <f t="shared" si="997"/>
        <v>0</v>
      </c>
      <c r="AD974" s="78" t="b">
        <f t="shared" si="998"/>
        <v>0</v>
      </c>
      <c r="AE974" s="78" t="b">
        <f t="shared" si="999"/>
        <v>0</v>
      </c>
      <c r="AF974" s="78" t="b">
        <f t="shared" si="1000"/>
        <v>0</v>
      </c>
      <c r="AG974" s="78" t="b">
        <f t="shared" si="1001"/>
        <v>0</v>
      </c>
      <c r="AH974" s="78" t="b">
        <f t="shared" si="1002"/>
        <v>0</v>
      </c>
      <c r="AI974" s="78" t="b">
        <f t="shared" si="1003"/>
        <v>0</v>
      </c>
      <c r="AJ974" s="78" t="b">
        <f t="shared" si="1004"/>
        <v>0</v>
      </c>
      <c r="AK974" s="78" t="b">
        <f t="shared" si="1005"/>
        <v>0</v>
      </c>
      <c r="AL974" s="78" t="b">
        <f t="shared" si="1006"/>
        <v>0</v>
      </c>
      <c r="AM974" s="78" t="b">
        <f t="shared" si="1007"/>
        <v>0</v>
      </c>
      <c r="AN974" s="78" t="b">
        <f t="shared" si="1008"/>
        <v>0</v>
      </c>
      <c r="AO974" s="78" t="b">
        <f t="shared" si="1009"/>
        <v>0</v>
      </c>
    </row>
    <row r="975" spans="7:41" x14ac:dyDescent="0.35">
      <c r="G975" s="77">
        <f t="shared" si="979"/>
        <v>0</v>
      </c>
      <c r="H975" s="78">
        <f t="shared" si="980"/>
        <v>0</v>
      </c>
      <c r="I975" s="77">
        <f t="shared" si="981"/>
        <v>0</v>
      </c>
      <c r="J975" s="78">
        <f t="shared" si="982"/>
        <v>0</v>
      </c>
      <c r="K975" s="78" t="str">
        <f t="shared" si="983"/>
        <v>1900-01-00 00:0:00</v>
      </c>
      <c r="L975" s="78" t="str">
        <f t="shared" si="984"/>
        <v>1900-01-00 00:0:00</v>
      </c>
      <c r="M975" s="79">
        <f t="shared" si="985"/>
        <v>0</v>
      </c>
      <c r="N975">
        <f t="shared" si="1010"/>
        <v>1</v>
      </c>
      <c r="O975" t="str">
        <f>IFERROR(_xlfn.XLOOKUP(A975,HC!A:A,HC!C:C),"")</f>
        <v>Workforce</v>
      </c>
      <c r="R975" s="78" t="b">
        <f t="shared" si="986"/>
        <v>0</v>
      </c>
      <c r="S975" s="78" t="b">
        <f t="shared" si="987"/>
        <v>0</v>
      </c>
      <c r="T975" s="78" t="b">
        <f t="shared" si="988"/>
        <v>0</v>
      </c>
      <c r="U975" s="78" t="b">
        <f t="shared" si="989"/>
        <v>0</v>
      </c>
      <c r="V975" s="78" t="b">
        <f t="shared" si="990"/>
        <v>0</v>
      </c>
      <c r="W975" s="78" t="b">
        <f t="shared" si="991"/>
        <v>0</v>
      </c>
      <c r="X975" s="78" t="b">
        <f t="shared" si="992"/>
        <v>0</v>
      </c>
      <c r="Y975" s="78" t="b">
        <f t="shared" si="993"/>
        <v>0</v>
      </c>
      <c r="Z975" s="78" t="b">
        <f t="shared" si="994"/>
        <v>0</v>
      </c>
      <c r="AA975" s="78" t="b">
        <f t="shared" si="995"/>
        <v>0</v>
      </c>
      <c r="AB975" s="78" t="b">
        <f t="shared" si="996"/>
        <v>0</v>
      </c>
      <c r="AC975" s="78" t="b">
        <f t="shared" si="997"/>
        <v>0</v>
      </c>
      <c r="AD975" s="78" t="b">
        <f t="shared" si="998"/>
        <v>0</v>
      </c>
      <c r="AE975" s="78" t="b">
        <f t="shared" si="999"/>
        <v>0</v>
      </c>
      <c r="AF975" s="78" t="b">
        <f t="shared" si="1000"/>
        <v>0</v>
      </c>
      <c r="AG975" s="78" t="b">
        <f t="shared" si="1001"/>
        <v>0</v>
      </c>
      <c r="AH975" s="78" t="b">
        <f t="shared" si="1002"/>
        <v>0</v>
      </c>
      <c r="AI975" s="78" t="b">
        <f t="shared" si="1003"/>
        <v>0</v>
      </c>
      <c r="AJ975" s="78" t="b">
        <f t="shared" si="1004"/>
        <v>0</v>
      </c>
      <c r="AK975" s="78" t="b">
        <f t="shared" si="1005"/>
        <v>0</v>
      </c>
      <c r="AL975" s="78" t="b">
        <f t="shared" si="1006"/>
        <v>0</v>
      </c>
      <c r="AM975" s="78" t="b">
        <f t="shared" si="1007"/>
        <v>0</v>
      </c>
      <c r="AN975" s="78" t="b">
        <f t="shared" si="1008"/>
        <v>0</v>
      </c>
      <c r="AO975" s="78" t="b">
        <f t="shared" si="1009"/>
        <v>0</v>
      </c>
    </row>
    <row r="976" spans="7:41" x14ac:dyDescent="0.35">
      <c r="G976" s="77">
        <f t="shared" si="979"/>
        <v>0</v>
      </c>
      <c r="H976" s="78">
        <f t="shared" si="980"/>
        <v>0</v>
      </c>
      <c r="I976" s="77">
        <f t="shared" si="981"/>
        <v>0</v>
      </c>
      <c r="J976" s="78">
        <f t="shared" si="982"/>
        <v>0</v>
      </c>
      <c r="K976" s="78" t="str">
        <f t="shared" si="983"/>
        <v>1900-01-00 00:0:00</v>
      </c>
      <c r="L976" s="78" t="str">
        <f t="shared" si="984"/>
        <v>1900-01-00 00:0:00</v>
      </c>
      <c r="M976" s="79">
        <f t="shared" si="985"/>
        <v>0</v>
      </c>
      <c r="N976">
        <f t="shared" si="1010"/>
        <v>1</v>
      </c>
      <c r="O976" t="str">
        <f>IFERROR(_xlfn.XLOOKUP(A976,HC!A:A,HC!C:C),"")</f>
        <v>Workforce</v>
      </c>
      <c r="R976" s="78" t="b">
        <f t="shared" si="986"/>
        <v>0</v>
      </c>
      <c r="S976" s="78" t="b">
        <f t="shared" si="987"/>
        <v>0</v>
      </c>
      <c r="T976" s="78" t="b">
        <f t="shared" si="988"/>
        <v>0</v>
      </c>
      <c r="U976" s="78" t="b">
        <f t="shared" si="989"/>
        <v>0</v>
      </c>
      <c r="V976" s="78" t="b">
        <f t="shared" si="990"/>
        <v>0</v>
      </c>
      <c r="W976" s="78" t="b">
        <f t="shared" si="991"/>
        <v>0</v>
      </c>
      <c r="X976" s="78" t="b">
        <f t="shared" si="992"/>
        <v>0</v>
      </c>
      <c r="Y976" s="78" t="b">
        <f t="shared" si="993"/>
        <v>0</v>
      </c>
      <c r="Z976" s="78" t="b">
        <f t="shared" si="994"/>
        <v>0</v>
      </c>
      <c r="AA976" s="78" t="b">
        <f t="shared" si="995"/>
        <v>0</v>
      </c>
      <c r="AB976" s="78" t="b">
        <f t="shared" si="996"/>
        <v>0</v>
      </c>
      <c r="AC976" s="78" t="b">
        <f t="shared" si="997"/>
        <v>0</v>
      </c>
      <c r="AD976" s="78" t="b">
        <f t="shared" si="998"/>
        <v>0</v>
      </c>
      <c r="AE976" s="78" t="b">
        <f t="shared" si="999"/>
        <v>0</v>
      </c>
      <c r="AF976" s="78" t="b">
        <f t="shared" si="1000"/>
        <v>0</v>
      </c>
      <c r="AG976" s="78" t="b">
        <f t="shared" si="1001"/>
        <v>0</v>
      </c>
      <c r="AH976" s="78" t="b">
        <f t="shared" si="1002"/>
        <v>0</v>
      </c>
      <c r="AI976" s="78" t="b">
        <f t="shared" si="1003"/>
        <v>0</v>
      </c>
      <c r="AJ976" s="78" t="b">
        <f t="shared" si="1004"/>
        <v>0</v>
      </c>
      <c r="AK976" s="78" t="b">
        <f t="shared" si="1005"/>
        <v>0</v>
      </c>
      <c r="AL976" s="78" t="b">
        <f t="shared" si="1006"/>
        <v>0</v>
      </c>
      <c r="AM976" s="78" t="b">
        <f t="shared" si="1007"/>
        <v>0</v>
      </c>
      <c r="AN976" s="78" t="b">
        <f t="shared" si="1008"/>
        <v>0</v>
      </c>
      <c r="AO976" s="78" t="b">
        <f t="shared" si="1009"/>
        <v>0</v>
      </c>
    </row>
    <row r="977" spans="7:41" x14ac:dyDescent="0.35">
      <c r="G977" s="77">
        <f t="shared" si="979"/>
        <v>0</v>
      </c>
      <c r="H977" s="78">
        <f t="shared" si="980"/>
        <v>0</v>
      </c>
      <c r="I977" s="77">
        <f t="shared" si="981"/>
        <v>0</v>
      </c>
      <c r="J977" s="78">
        <f t="shared" si="982"/>
        <v>0</v>
      </c>
      <c r="K977" s="78" t="str">
        <f t="shared" si="983"/>
        <v>1900-01-00 00:0:00</v>
      </c>
      <c r="L977" s="78" t="str">
        <f t="shared" si="984"/>
        <v>1900-01-00 00:0:00</v>
      </c>
      <c r="M977" s="79">
        <f t="shared" si="985"/>
        <v>0</v>
      </c>
      <c r="N977">
        <f t="shared" si="1010"/>
        <v>1</v>
      </c>
      <c r="O977" t="str">
        <f>IFERROR(_xlfn.XLOOKUP(A977,HC!A:A,HC!C:C),"")</f>
        <v>Workforce</v>
      </c>
      <c r="R977" s="78" t="b">
        <f t="shared" si="986"/>
        <v>0</v>
      </c>
      <c r="S977" s="78" t="b">
        <f t="shared" si="987"/>
        <v>0</v>
      </c>
      <c r="T977" s="78" t="b">
        <f t="shared" si="988"/>
        <v>0</v>
      </c>
      <c r="U977" s="78" t="b">
        <f t="shared" si="989"/>
        <v>0</v>
      </c>
      <c r="V977" s="78" t="b">
        <f t="shared" si="990"/>
        <v>0</v>
      </c>
      <c r="W977" s="78" t="b">
        <f t="shared" si="991"/>
        <v>0</v>
      </c>
      <c r="X977" s="78" t="b">
        <f t="shared" si="992"/>
        <v>0</v>
      </c>
      <c r="Y977" s="78" t="b">
        <f t="shared" si="993"/>
        <v>0</v>
      </c>
      <c r="Z977" s="78" t="b">
        <f t="shared" si="994"/>
        <v>0</v>
      </c>
      <c r="AA977" s="78" t="b">
        <f t="shared" si="995"/>
        <v>0</v>
      </c>
      <c r="AB977" s="78" t="b">
        <f t="shared" si="996"/>
        <v>0</v>
      </c>
      <c r="AC977" s="78" t="b">
        <f t="shared" si="997"/>
        <v>0</v>
      </c>
      <c r="AD977" s="78" t="b">
        <f t="shared" si="998"/>
        <v>0</v>
      </c>
      <c r="AE977" s="78" t="b">
        <f t="shared" si="999"/>
        <v>0</v>
      </c>
      <c r="AF977" s="78" t="b">
        <f t="shared" si="1000"/>
        <v>0</v>
      </c>
      <c r="AG977" s="78" t="b">
        <f t="shared" si="1001"/>
        <v>0</v>
      </c>
      <c r="AH977" s="78" t="b">
        <f t="shared" si="1002"/>
        <v>0</v>
      </c>
      <c r="AI977" s="78" t="b">
        <f t="shared" si="1003"/>
        <v>0</v>
      </c>
      <c r="AJ977" s="78" t="b">
        <f t="shared" si="1004"/>
        <v>0</v>
      </c>
      <c r="AK977" s="78" t="b">
        <f t="shared" si="1005"/>
        <v>0</v>
      </c>
      <c r="AL977" s="78" t="b">
        <f t="shared" si="1006"/>
        <v>0</v>
      </c>
      <c r="AM977" s="78" t="b">
        <f t="shared" si="1007"/>
        <v>0</v>
      </c>
      <c r="AN977" s="78" t="b">
        <f t="shared" si="1008"/>
        <v>0</v>
      </c>
      <c r="AO977" s="78" t="b">
        <f t="shared" si="1009"/>
        <v>0</v>
      </c>
    </row>
    <row r="978" spans="7:41" x14ac:dyDescent="0.35">
      <c r="G978" s="77">
        <f t="shared" si="979"/>
        <v>0</v>
      </c>
      <c r="H978" s="78">
        <f t="shared" si="980"/>
        <v>0</v>
      </c>
      <c r="I978" s="77">
        <f t="shared" si="981"/>
        <v>0</v>
      </c>
      <c r="J978" s="78">
        <f t="shared" si="982"/>
        <v>0</v>
      </c>
      <c r="K978" s="78" t="str">
        <f t="shared" si="983"/>
        <v>1900-01-00 00:0:00</v>
      </c>
      <c r="L978" s="78" t="str">
        <f t="shared" si="984"/>
        <v>1900-01-00 00:0:00</v>
      </c>
      <c r="M978" s="79">
        <f t="shared" si="985"/>
        <v>0</v>
      </c>
      <c r="N978">
        <f t="shared" si="1010"/>
        <v>1</v>
      </c>
      <c r="O978" t="str">
        <f>IFERROR(_xlfn.XLOOKUP(A978,HC!A:A,HC!C:C),"")</f>
        <v>Workforce</v>
      </c>
      <c r="R978" s="78" t="b">
        <f t="shared" si="986"/>
        <v>0</v>
      </c>
      <c r="S978" s="78" t="b">
        <f t="shared" si="987"/>
        <v>0</v>
      </c>
      <c r="T978" s="78" t="b">
        <f t="shared" si="988"/>
        <v>0</v>
      </c>
      <c r="U978" s="78" t="b">
        <f t="shared" si="989"/>
        <v>0</v>
      </c>
      <c r="V978" s="78" t="b">
        <f t="shared" si="990"/>
        <v>0</v>
      </c>
      <c r="W978" s="78" t="b">
        <f t="shared" si="991"/>
        <v>0</v>
      </c>
      <c r="X978" s="78" t="b">
        <f t="shared" si="992"/>
        <v>0</v>
      </c>
      <c r="Y978" s="78" t="b">
        <f t="shared" si="993"/>
        <v>0</v>
      </c>
      <c r="Z978" s="78" t="b">
        <f t="shared" si="994"/>
        <v>0</v>
      </c>
      <c r="AA978" s="78" t="b">
        <f t="shared" si="995"/>
        <v>0</v>
      </c>
      <c r="AB978" s="78" t="b">
        <f t="shared" si="996"/>
        <v>0</v>
      </c>
      <c r="AC978" s="78" t="b">
        <f t="shared" si="997"/>
        <v>0</v>
      </c>
      <c r="AD978" s="78" t="b">
        <f t="shared" si="998"/>
        <v>0</v>
      </c>
      <c r="AE978" s="78" t="b">
        <f t="shared" si="999"/>
        <v>0</v>
      </c>
      <c r="AF978" s="78" t="b">
        <f t="shared" si="1000"/>
        <v>0</v>
      </c>
      <c r="AG978" s="78" t="b">
        <f t="shared" si="1001"/>
        <v>0</v>
      </c>
      <c r="AH978" s="78" t="b">
        <f t="shared" si="1002"/>
        <v>0</v>
      </c>
      <c r="AI978" s="78" t="b">
        <f t="shared" si="1003"/>
        <v>0</v>
      </c>
      <c r="AJ978" s="78" t="b">
        <f t="shared" si="1004"/>
        <v>0</v>
      </c>
      <c r="AK978" s="78" t="b">
        <f t="shared" si="1005"/>
        <v>0</v>
      </c>
      <c r="AL978" s="78" t="b">
        <f t="shared" si="1006"/>
        <v>0</v>
      </c>
      <c r="AM978" s="78" t="b">
        <f t="shared" si="1007"/>
        <v>0</v>
      </c>
      <c r="AN978" s="78" t="b">
        <f t="shared" si="1008"/>
        <v>0</v>
      </c>
      <c r="AO978" s="78" t="b">
        <f t="shared" si="1009"/>
        <v>0</v>
      </c>
    </row>
    <row r="979" spans="7:41" x14ac:dyDescent="0.35">
      <c r="G979" s="77">
        <f t="shared" si="979"/>
        <v>0</v>
      </c>
      <c r="H979" s="78">
        <f t="shared" si="980"/>
        <v>0</v>
      </c>
      <c r="I979" s="77">
        <f t="shared" si="981"/>
        <v>0</v>
      </c>
      <c r="J979" s="78">
        <f t="shared" si="982"/>
        <v>0</v>
      </c>
      <c r="K979" s="78" t="str">
        <f t="shared" si="983"/>
        <v>1900-01-00 00:0:00</v>
      </c>
      <c r="L979" s="78" t="str">
        <f t="shared" si="984"/>
        <v>1900-01-00 00:0:00</v>
      </c>
      <c r="M979" s="79">
        <f t="shared" si="985"/>
        <v>0</v>
      </c>
      <c r="N979">
        <f t="shared" si="1010"/>
        <v>1</v>
      </c>
      <c r="O979" t="str">
        <f>IFERROR(_xlfn.XLOOKUP(A979,HC!A:A,HC!C:C),"")</f>
        <v>Workforce</v>
      </c>
      <c r="R979" s="78" t="b">
        <f t="shared" si="986"/>
        <v>0</v>
      </c>
      <c r="S979" s="78" t="b">
        <f t="shared" si="987"/>
        <v>0</v>
      </c>
      <c r="T979" s="78" t="b">
        <f t="shared" si="988"/>
        <v>0</v>
      </c>
      <c r="U979" s="78" t="b">
        <f t="shared" si="989"/>
        <v>0</v>
      </c>
      <c r="V979" s="78" t="b">
        <f t="shared" si="990"/>
        <v>0</v>
      </c>
      <c r="W979" s="78" t="b">
        <f t="shared" si="991"/>
        <v>0</v>
      </c>
      <c r="X979" s="78" t="b">
        <f t="shared" si="992"/>
        <v>0</v>
      </c>
      <c r="Y979" s="78" t="b">
        <f t="shared" si="993"/>
        <v>0</v>
      </c>
      <c r="Z979" s="78" t="b">
        <f t="shared" si="994"/>
        <v>0</v>
      </c>
      <c r="AA979" s="78" t="b">
        <f t="shared" si="995"/>
        <v>0</v>
      </c>
      <c r="AB979" s="78" t="b">
        <f t="shared" si="996"/>
        <v>0</v>
      </c>
      <c r="AC979" s="78" t="b">
        <f t="shared" si="997"/>
        <v>0</v>
      </c>
      <c r="AD979" s="78" t="b">
        <f t="shared" si="998"/>
        <v>0</v>
      </c>
      <c r="AE979" s="78" t="b">
        <f t="shared" si="999"/>
        <v>0</v>
      </c>
      <c r="AF979" s="78" t="b">
        <f t="shared" si="1000"/>
        <v>0</v>
      </c>
      <c r="AG979" s="78" t="b">
        <f t="shared" si="1001"/>
        <v>0</v>
      </c>
      <c r="AH979" s="78" t="b">
        <f t="shared" si="1002"/>
        <v>0</v>
      </c>
      <c r="AI979" s="78" t="b">
        <f t="shared" si="1003"/>
        <v>0</v>
      </c>
      <c r="AJ979" s="78" t="b">
        <f t="shared" si="1004"/>
        <v>0</v>
      </c>
      <c r="AK979" s="78" t="b">
        <f t="shared" si="1005"/>
        <v>0</v>
      </c>
      <c r="AL979" s="78" t="b">
        <f t="shared" si="1006"/>
        <v>0</v>
      </c>
      <c r="AM979" s="78" t="b">
        <f t="shared" si="1007"/>
        <v>0</v>
      </c>
      <c r="AN979" s="78" t="b">
        <f t="shared" si="1008"/>
        <v>0</v>
      </c>
      <c r="AO979" s="78" t="b">
        <f t="shared" si="1009"/>
        <v>0</v>
      </c>
    </row>
    <row r="980" spans="7:41" x14ac:dyDescent="0.35">
      <c r="G980" s="77">
        <f t="shared" si="979"/>
        <v>0</v>
      </c>
      <c r="H980" s="78">
        <f t="shared" si="980"/>
        <v>0</v>
      </c>
      <c r="I980" s="77">
        <f t="shared" si="981"/>
        <v>0</v>
      </c>
      <c r="J980" s="78">
        <f t="shared" si="982"/>
        <v>0</v>
      </c>
      <c r="K980" s="78" t="str">
        <f t="shared" si="983"/>
        <v>1900-01-00 00:0:00</v>
      </c>
      <c r="L980" s="78" t="str">
        <f t="shared" si="984"/>
        <v>1900-01-00 00:0:00</v>
      </c>
      <c r="M980" s="79">
        <f t="shared" si="985"/>
        <v>0</v>
      </c>
      <c r="N980">
        <f t="shared" si="1010"/>
        <v>1</v>
      </c>
      <c r="O980" t="str">
        <f>IFERROR(_xlfn.XLOOKUP(A980,HC!A:A,HC!C:C),"")</f>
        <v>Workforce</v>
      </c>
      <c r="R980" s="78" t="b">
        <f t="shared" si="986"/>
        <v>0</v>
      </c>
      <c r="S980" s="78" t="b">
        <f t="shared" si="987"/>
        <v>0</v>
      </c>
      <c r="T980" s="78" t="b">
        <f t="shared" si="988"/>
        <v>0</v>
      </c>
      <c r="U980" s="78" t="b">
        <f t="shared" si="989"/>
        <v>0</v>
      </c>
      <c r="V980" s="78" t="b">
        <f t="shared" si="990"/>
        <v>0</v>
      </c>
      <c r="W980" s="78" t="b">
        <f t="shared" si="991"/>
        <v>0</v>
      </c>
      <c r="X980" s="78" t="b">
        <f t="shared" si="992"/>
        <v>0</v>
      </c>
      <c r="Y980" s="78" t="b">
        <f t="shared" si="993"/>
        <v>0</v>
      </c>
      <c r="Z980" s="78" t="b">
        <f t="shared" si="994"/>
        <v>0</v>
      </c>
      <c r="AA980" s="78" t="b">
        <f t="shared" si="995"/>
        <v>0</v>
      </c>
      <c r="AB980" s="78" t="b">
        <f t="shared" si="996"/>
        <v>0</v>
      </c>
      <c r="AC980" s="78" t="b">
        <f t="shared" si="997"/>
        <v>0</v>
      </c>
      <c r="AD980" s="78" t="b">
        <f t="shared" si="998"/>
        <v>0</v>
      </c>
      <c r="AE980" s="78" t="b">
        <f t="shared" si="999"/>
        <v>0</v>
      </c>
      <c r="AF980" s="78" t="b">
        <f t="shared" si="1000"/>
        <v>0</v>
      </c>
      <c r="AG980" s="78" t="b">
        <f t="shared" si="1001"/>
        <v>0</v>
      </c>
      <c r="AH980" s="78" t="b">
        <f t="shared" si="1002"/>
        <v>0</v>
      </c>
      <c r="AI980" s="78" t="b">
        <f t="shared" si="1003"/>
        <v>0</v>
      </c>
      <c r="AJ980" s="78" t="b">
        <f t="shared" si="1004"/>
        <v>0</v>
      </c>
      <c r="AK980" s="78" t="b">
        <f t="shared" si="1005"/>
        <v>0</v>
      </c>
      <c r="AL980" s="78" t="b">
        <f t="shared" si="1006"/>
        <v>0</v>
      </c>
      <c r="AM980" s="78" t="b">
        <f t="shared" si="1007"/>
        <v>0</v>
      </c>
      <c r="AN980" s="78" t="b">
        <f t="shared" si="1008"/>
        <v>0</v>
      </c>
      <c r="AO980" s="78" t="b">
        <f t="shared" si="1009"/>
        <v>0</v>
      </c>
    </row>
    <row r="981" spans="7:41" x14ac:dyDescent="0.35">
      <c r="G981" s="77">
        <f t="shared" si="979"/>
        <v>0</v>
      </c>
      <c r="H981" s="78">
        <f t="shared" si="980"/>
        <v>0</v>
      </c>
      <c r="I981" s="77">
        <f t="shared" si="981"/>
        <v>0</v>
      </c>
      <c r="J981" s="78">
        <f t="shared" si="982"/>
        <v>0</v>
      </c>
      <c r="K981" s="78" t="str">
        <f t="shared" si="983"/>
        <v>1900-01-00 00:0:00</v>
      </c>
      <c r="L981" s="78" t="str">
        <f t="shared" si="984"/>
        <v>1900-01-00 00:0:00</v>
      </c>
      <c r="M981" s="79">
        <f t="shared" si="985"/>
        <v>0</v>
      </c>
      <c r="N981">
        <f t="shared" si="1010"/>
        <v>1</v>
      </c>
      <c r="O981" t="str">
        <f>IFERROR(_xlfn.XLOOKUP(A981,HC!A:A,HC!C:C),"")</f>
        <v>Workforce</v>
      </c>
      <c r="R981" s="78" t="b">
        <f t="shared" si="986"/>
        <v>0</v>
      </c>
      <c r="S981" s="78" t="b">
        <f t="shared" si="987"/>
        <v>0</v>
      </c>
      <c r="T981" s="78" t="b">
        <f t="shared" si="988"/>
        <v>0</v>
      </c>
      <c r="U981" s="78" t="b">
        <f t="shared" si="989"/>
        <v>0</v>
      </c>
      <c r="V981" s="78" t="b">
        <f t="shared" si="990"/>
        <v>0</v>
      </c>
      <c r="W981" s="78" t="b">
        <f t="shared" si="991"/>
        <v>0</v>
      </c>
      <c r="X981" s="78" t="b">
        <f t="shared" si="992"/>
        <v>0</v>
      </c>
      <c r="Y981" s="78" t="b">
        <f t="shared" si="993"/>
        <v>0</v>
      </c>
      <c r="Z981" s="78" t="b">
        <f t="shared" si="994"/>
        <v>0</v>
      </c>
      <c r="AA981" s="78" t="b">
        <f t="shared" si="995"/>
        <v>0</v>
      </c>
      <c r="AB981" s="78" t="b">
        <f t="shared" si="996"/>
        <v>0</v>
      </c>
      <c r="AC981" s="78" t="b">
        <f t="shared" si="997"/>
        <v>0</v>
      </c>
      <c r="AD981" s="78" t="b">
        <f t="shared" si="998"/>
        <v>0</v>
      </c>
      <c r="AE981" s="78" t="b">
        <f t="shared" si="999"/>
        <v>0</v>
      </c>
      <c r="AF981" s="78" t="b">
        <f t="shared" si="1000"/>
        <v>0</v>
      </c>
      <c r="AG981" s="78" t="b">
        <f t="shared" si="1001"/>
        <v>0</v>
      </c>
      <c r="AH981" s="78" t="b">
        <f t="shared" si="1002"/>
        <v>0</v>
      </c>
      <c r="AI981" s="78" t="b">
        <f t="shared" si="1003"/>
        <v>0</v>
      </c>
      <c r="AJ981" s="78" t="b">
        <f t="shared" si="1004"/>
        <v>0</v>
      </c>
      <c r="AK981" s="78" t="b">
        <f t="shared" si="1005"/>
        <v>0</v>
      </c>
      <c r="AL981" s="78" t="b">
        <f t="shared" si="1006"/>
        <v>0</v>
      </c>
      <c r="AM981" s="78" t="b">
        <f t="shared" si="1007"/>
        <v>0</v>
      </c>
      <c r="AN981" s="78" t="b">
        <f t="shared" si="1008"/>
        <v>0</v>
      </c>
      <c r="AO981" s="78" t="b">
        <f t="shared" si="1009"/>
        <v>0</v>
      </c>
    </row>
    <row r="982" spans="7:41" x14ac:dyDescent="0.35">
      <c r="G982" s="77">
        <f t="shared" si="979"/>
        <v>0</v>
      </c>
      <c r="H982" s="78">
        <f t="shared" si="980"/>
        <v>0</v>
      </c>
      <c r="I982" s="77">
        <f t="shared" si="981"/>
        <v>0</v>
      </c>
      <c r="J982" s="78">
        <f t="shared" si="982"/>
        <v>0</v>
      </c>
      <c r="K982" s="78" t="str">
        <f t="shared" si="983"/>
        <v>1900-01-00 00:0:00</v>
      </c>
      <c r="L982" s="78" t="str">
        <f t="shared" si="984"/>
        <v>1900-01-00 00:0:00</v>
      </c>
      <c r="M982" s="79">
        <f t="shared" si="985"/>
        <v>0</v>
      </c>
      <c r="N982">
        <f t="shared" si="1010"/>
        <v>1</v>
      </c>
      <c r="O982" t="str">
        <f>IFERROR(_xlfn.XLOOKUP(A982,HC!A:A,HC!C:C),"")</f>
        <v>Workforce</v>
      </c>
      <c r="R982" s="78" t="b">
        <f t="shared" si="986"/>
        <v>0</v>
      </c>
      <c r="S982" s="78" t="b">
        <f t="shared" si="987"/>
        <v>0</v>
      </c>
      <c r="T982" s="78" t="b">
        <f t="shared" si="988"/>
        <v>0</v>
      </c>
      <c r="U982" s="78" t="b">
        <f t="shared" si="989"/>
        <v>0</v>
      </c>
      <c r="V982" s="78" t="b">
        <f t="shared" si="990"/>
        <v>0</v>
      </c>
      <c r="W982" s="78" t="b">
        <f t="shared" si="991"/>
        <v>0</v>
      </c>
      <c r="X982" s="78" t="b">
        <f t="shared" si="992"/>
        <v>0</v>
      </c>
      <c r="Y982" s="78" t="b">
        <f t="shared" si="993"/>
        <v>0</v>
      </c>
      <c r="Z982" s="78" t="b">
        <f t="shared" si="994"/>
        <v>0</v>
      </c>
      <c r="AA982" s="78" t="b">
        <f t="shared" si="995"/>
        <v>0</v>
      </c>
      <c r="AB982" s="78" t="b">
        <f t="shared" si="996"/>
        <v>0</v>
      </c>
      <c r="AC982" s="78" t="b">
        <f t="shared" si="997"/>
        <v>0</v>
      </c>
      <c r="AD982" s="78" t="b">
        <f t="shared" si="998"/>
        <v>0</v>
      </c>
      <c r="AE982" s="78" t="b">
        <f t="shared" si="999"/>
        <v>0</v>
      </c>
      <c r="AF982" s="78" t="b">
        <f t="shared" si="1000"/>
        <v>0</v>
      </c>
      <c r="AG982" s="78" t="b">
        <f t="shared" si="1001"/>
        <v>0</v>
      </c>
      <c r="AH982" s="78" t="b">
        <f t="shared" si="1002"/>
        <v>0</v>
      </c>
      <c r="AI982" s="78" t="b">
        <f t="shared" si="1003"/>
        <v>0</v>
      </c>
      <c r="AJ982" s="78" t="b">
        <f t="shared" si="1004"/>
        <v>0</v>
      </c>
      <c r="AK982" s="78" t="b">
        <f t="shared" si="1005"/>
        <v>0</v>
      </c>
      <c r="AL982" s="78" t="b">
        <f t="shared" si="1006"/>
        <v>0</v>
      </c>
      <c r="AM982" s="78" t="b">
        <f t="shared" si="1007"/>
        <v>0</v>
      </c>
      <c r="AN982" s="78" t="b">
        <f t="shared" si="1008"/>
        <v>0</v>
      </c>
      <c r="AO982" s="78" t="b">
        <f t="shared" si="1009"/>
        <v>0</v>
      </c>
    </row>
    <row r="983" spans="7:41" x14ac:dyDescent="0.35">
      <c r="G983" s="77">
        <f t="shared" si="979"/>
        <v>0</v>
      </c>
      <c r="H983" s="78">
        <f t="shared" si="980"/>
        <v>0</v>
      </c>
      <c r="I983" s="77">
        <f t="shared" si="981"/>
        <v>0</v>
      </c>
      <c r="J983" s="78">
        <f t="shared" si="982"/>
        <v>0</v>
      </c>
      <c r="K983" s="78" t="str">
        <f t="shared" si="983"/>
        <v>1900-01-00 00:0:00</v>
      </c>
      <c r="L983" s="78" t="str">
        <f t="shared" si="984"/>
        <v>1900-01-00 00:0:00</v>
      </c>
      <c r="M983" s="79">
        <f t="shared" si="985"/>
        <v>0</v>
      </c>
      <c r="N983">
        <f t="shared" si="1010"/>
        <v>1</v>
      </c>
      <c r="O983" t="str">
        <f>IFERROR(_xlfn.XLOOKUP(A983,HC!A:A,HC!C:C),"")</f>
        <v>Workforce</v>
      </c>
      <c r="R983" s="78" t="b">
        <f t="shared" si="986"/>
        <v>0</v>
      </c>
      <c r="S983" s="78" t="b">
        <f t="shared" si="987"/>
        <v>0</v>
      </c>
      <c r="T983" s="78" t="b">
        <f t="shared" si="988"/>
        <v>0</v>
      </c>
      <c r="U983" s="78" t="b">
        <f t="shared" si="989"/>
        <v>0</v>
      </c>
      <c r="V983" s="78" t="b">
        <f t="shared" si="990"/>
        <v>0</v>
      </c>
      <c r="W983" s="78" t="b">
        <f t="shared" si="991"/>
        <v>0</v>
      </c>
      <c r="X983" s="78" t="b">
        <f t="shared" si="992"/>
        <v>0</v>
      </c>
      <c r="Y983" s="78" t="b">
        <f t="shared" si="993"/>
        <v>0</v>
      </c>
      <c r="Z983" s="78" t="b">
        <f t="shared" si="994"/>
        <v>0</v>
      </c>
      <c r="AA983" s="78" t="b">
        <f t="shared" si="995"/>
        <v>0</v>
      </c>
      <c r="AB983" s="78" t="b">
        <f t="shared" si="996"/>
        <v>0</v>
      </c>
      <c r="AC983" s="78" t="b">
        <f t="shared" si="997"/>
        <v>0</v>
      </c>
      <c r="AD983" s="78" t="b">
        <f t="shared" si="998"/>
        <v>0</v>
      </c>
      <c r="AE983" s="78" t="b">
        <f t="shared" si="999"/>
        <v>0</v>
      </c>
      <c r="AF983" s="78" t="b">
        <f t="shared" si="1000"/>
        <v>0</v>
      </c>
      <c r="AG983" s="78" t="b">
        <f t="shared" si="1001"/>
        <v>0</v>
      </c>
      <c r="AH983" s="78" t="b">
        <f t="shared" si="1002"/>
        <v>0</v>
      </c>
      <c r="AI983" s="78" t="b">
        <f t="shared" si="1003"/>
        <v>0</v>
      </c>
      <c r="AJ983" s="78" t="b">
        <f t="shared" si="1004"/>
        <v>0</v>
      </c>
      <c r="AK983" s="78" t="b">
        <f t="shared" si="1005"/>
        <v>0</v>
      </c>
      <c r="AL983" s="78" t="b">
        <f t="shared" si="1006"/>
        <v>0</v>
      </c>
      <c r="AM983" s="78" t="b">
        <f t="shared" si="1007"/>
        <v>0</v>
      </c>
      <c r="AN983" s="78" t="b">
        <f t="shared" si="1008"/>
        <v>0</v>
      </c>
      <c r="AO983" s="78" t="b">
        <f t="shared" si="1009"/>
        <v>0</v>
      </c>
    </row>
    <row r="984" spans="7:41" x14ac:dyDescent="0.35">
      <c r="G984" s="77">
        <f t="shared" si="979"/>
        <v>0</v>
      </c>
      <c r="H984" s="78">
        <f t="shared" si="980"/>
        <v>0</v>
      </c>
      <c r="I984" s="77">
        <f t="shared" si="981"/>
        <v>0</v>
      </c>
      <c r="J984" s="78">
        <f t="shared" si="982"/>
        <v>0</v>
      </c>
      <c r="K984" s="78" t="str">
        <f t="shared" si="983"/>
        <v>1900-01-00 00:0:00</v>
      </c>
      <c r="L984" s="78" t="str">
        <f t="shared" si="984"/>
        <v>1900-01-00 00:0:00</v>
      </c>
      <c r="M984" s="79">
        <f t="shared" si="985"/>
        <v>0</v>
      </c>
      <c r="N984">
        <f t="shared" si="1010"/>
        <v>1</v>
      </c>
      <c r="O984" t="str">
        <f>IFERROR(_xlfn.XLOOKUP(A984,HC!A:A,HC!C:C),"")</f>
        <v>Workforce</v>
      </c>
      <c r="R984" s="78" t="b">
        <f t="shared" si="986"/>
        <v>0</v>
      </c>
      <c r="S984" s="78" t="b">
        <f t="shared" si="987"/>
        <v>0</v>
      </c>
      <c r="T984" s="78" t="b">
        <f t="shared" si="988"/>
        <v>0</v>
      </c>
      <c r="U984" s="78" t="b">
        <f t="shared" si="989"/>
        <v>0</v>
      </c>
      <c r="V984" s="78" t="b">
        <f t="shared" si="990"/>
        <v>0</v>
      </c>
      <c r="W984" s="78" t="b">
        <f t="shared" si="991"/>
        <v>0</v>
      </c>
      <c r="X984" s="78" t="b">
        <f t="shared" si="992"/>
        <v>0</v>
      </c>
      <c r="Y984" s="78" t="b">
        <f t="shared" si="993"/>
        <v>0</v>
      </c>
      <c r="Z984" s="78" t="b">
        <f t="shared" si="994"/>
        <v>0</v>
      </c>
      <c r="AA984" s="78" t="b">
        <f t="shared" si="995"/>
        <v>0</v>
      </c>
      <c r="AB984" s="78" t="b">
        <f t="shared" si="996"/>
        <v>0</v>
      </c>
      <c r="AC984" s="78" t="b">
        <f t="shared" si="997"/>
        <v>0</v>
      </c>
      <c r="AD984" s="78" t="b">
        <f t="shared" si="998"/>
        <v>0</v>
      </c>
      <c r="AE984" s="78" t="b">
        <f t="shared" si="999"/>
        <v>0</v>
      </c>
      <c r="AF984" s="78" t="b">
        <f t="shared" si="1000"/>
        <v>0</v>
      </c>
      <c r="AG984" s="78" t="b">
        <f t="shared" si="1001"/>
        <v>0</v>
      </c>
      <c r="AH984" s="78" t="b">
        <f t="shared" si="1002"/>
        <v>0</v>
      </c>
      <c r="AI984" s="78" t="b">
        <f t="shared" si="1003"/>
        <v>0</v>
      </c>
      <c r="AJ984" s="78" t="b">
        <f t="shared" si="1004"/>
        <v>0</v>
      </c>
      <c r="AK984" s="78" t="b">
        <f t="shared" si="1005"/>
        <v>0</v>
      </c>
      <c r="AL984" s="78" t="b">
        <f t="shared" si="1006"/>
        <v>0</v>
      </c>
      <c r="AM984" s="78" t="b">
        <f t="shared" si="1007"/>
        <v>0</v>
      </c>
      <c r="AN984" s="78" t="b">
        <f t="shared" si="1008"/>
        <v>0</v>
      </c>
      <c r="AO984" s="78" t="b">
        <f t="shared" si="1009"/>
        <v>0</v>
      </c>
    </row>
    <row r="985" spans="7:41" x14ac:dyDescent="0.35">
      <c r="G985" s="77">
        <f t="shared" si="979"/>
        <v>0</v>
      </c>
      <c r="H985" s="78">
        <f t="shared" si="980"/>
        <v>0</v>
      </c>
      <c r="I985" s="77">
        <f t="shared" si="981"/>
        <v>0</v>
      </c>
      <c r="J985" s="78">
        <f t="shared" si="982"/>
        <v>0</v>
      </c>
      <c r="K985" s="78" t="str">
        <f t="shared" si="983"/>
        <v>1900-01-00 00:0:00</v>
      </c>
      <c r="L985" s="78" t="str">
        <f t="shared" si="984"/>
        <v>1900-01-00 00:0:00</v>
      </c>
      <c r="M985" s="79">
        <f t="shared" si="985"/>
        <v>0</v>
      </c>
      <c r="N985">
        <f t="shared" si="1010"/>
        <v>1</v>
      </c>
      <c r="O985" t="str">
        <f>IFERROR(_xlfn.XLOOKUP(A985,HC!A:A,HC!C:C),"")</f>
        <v>Workforce</v>
      </c>
      <c r="R985" s="78" t="b">
        <f t="shared" si="986"/>
        <v>0</v>
      </c>
      <c r="S985" s="78" t="b">
        <f t="shared" si="987"/>
        <v>0</v>
      </c>
      <c r="T985" s="78" t="b">
        <f t="shared" si="988"/>
        <v>0</v>
      </c>
      <c r="U985" s="78" t="b">
        <f t="shared" si="989"/>
        <v>0</v>
      </c>
      <c r="V985" s="78" t="b">
        <f t="shared" si="990"/>
        <v>0</v>
      </c>
      <c r="W985" s="78" t="b">
        <f t="shared" si="991"/>
        <v>0</v>
      </c>
      <c r="X985" s="78" t="b">
        <f t="shared" si="992"/>
        <v>0</v>
      </c>
      <c r="Y985" s="78" t="b">
        <f t="shared" si="993"/>
        <v>0</v>
      </c>
      <c r="Z985" s="78" t="b">
        <f t="shared" si="994"/>
        <v>0</v>
      </c>
      <c r="AA985" s="78" t="b">
        <f t="shared" si="995"/>
        <v>0</v>
      </c>
      <c r="AB985" s="78" t="b">
        <f t="shared" si="996"/>
        <v>0</v>
      </c>
      <c r="AC985" s="78" t="b">
        <f t="shared" si="997"/>
        <v>0</v>
      </c>
      <c r="AD985" s="78" t="b">
        <f t="shared" si="998"/>
        <v>0</v>
      </c>
      <c r="AE985" s="78" t="b">
        <f t="shared" si="999"/>
        <v>0</v>
      </c>
      <c r="AF985" s="78" t="b">
        <f t="shared" si="1000"/>
        <v>0</v>
      </c>
      <c r="AG985" s="78" t="b">
        <f t="shared" si="1001"/>
        <v>0</v>
      </c>
      <c r="AH985" s="78" t="b">
        <f t="shared" si="1002"/>
        <v>0</v>
      </c>
      <c r="AI985" s="78" t="b">
        <f t="shared" si="1003"/>
        <v>0</v>
      </c>
      <c r="AJ985" s="78" t="b">
        <f t="shared" si="1004"/>
        <v>0</v>
      </c>
      <c r="AK985" s="78" t="b">
        <f t="shared" si="1005"/>
        <v>0</v>
      </c>
      <c r="AL985" s="78" t="b">
        <f t="shared" si="1006"/>
        <v>0</v>
      </c>
      <c r="AM985" s="78" t="b">
        <f t="shared" si="1007"/>
        <v>0</v>
      </c>
      <c r="AN985" s="78" t="b">
        <f t="shared" si="1008"/>
        <v>0</v>
      </c>
      <c r="AO985" s="78" t="b">
        <f t="shared" si="1009"/>
        <v>0</v>
      </c>
    </row>
    <row r="986" spans="7:41" x14ac:dyDescent="0.35">
      <c r="G986" s="77">
        <f t="shared" si="979"/>
        <v>0</v>
      </c>
      <c r="H986" s="78">
        <f t="shared" si="980"/>
        <v>0</v>
      </c>
      <c r="I986" s="77">
        <f t="shared" si="981"/>
        <v>0</v>
      </c>
      <c r="J986" s="78">
        <f t="shared" si="982"/>
        <v>0</v>
      </c>
      <c r="K986" s="78" t="str">
        <f t="shared" si="983"/>
        <v>1900-01-00 00:0:00</v>
      </c>
      <c r="L986" s="78" t="str">
        <f t="shared" si="984"/>
        <v>1900-01-00 00:0:00</v>
      </c>
      <c r="M986" s="79">
        <f t="shared" si="985"/>
        <v>0</v>
      </c>
      <c r="N986">
        <f t="shared" si="1010"/>
        <v>1</v>
      </c>
      <c r="O986" t="str">
        <f>IFERROR(_xlfn.XLOOKUP(A986,HC!A:A,HC!C:C),"")</f>
        <v>Workforce</v>
      </c>
      <c r="R986" s="78" t="b">
        <f t="shared" si="986"/>
        <v>0</v>
      </c>
      <c r="S986" s="78" t="b">
        <f t="shared" si="987"/>
        <v>0</v>
      </c>
      <c r="T986" s="78" t="b">
        <f t="shared" si="988"/>
        <v>0</v>
      </c>
      <c r="U986" s="78" t="b">
        <f t="shared" si="989"/>
        <v>0</v>
      </c>
      <c r="V986" s="78" t="b">
        <f t="shared" si="990"/>
        <v>0</v>
      </c>
      <c r="W986" s="78" t="b">
        <f t="shared" si="991"/>
        <v>0</v>
      </c>
      <c r="X986" s="78" t="b">
        <f t="shared" si="992"/>
        <v>0</v>
      </c>
      <c r="Y986" s="78" t="b">
        <f t="shared" si="993"/>
        <v>0</v>
      </c>
      <c r="Z986" s="78" t="b">
        <f t="shared" si="994"/>
        <v>0</v>
      </c>
      <c r="AA986" s="78" t="b">
        <f t="shared" si="995"/>
        <v>0</v>
      </c>
      <c r="AB986" s="78" t="b">
        <f t="shared" si="996"/>
        <v>0</v>
      </c>
      <c r="AC986" s="78" t="b">
        <f t="shared" si="997"/>
        <v>0</v>
      </c>
      <c r="AD986" s="78" t="b">
        <f t="shared" si="998"/>
        <v>0</v>
      </c>
      <c r="AE986" s="78" t="b">
        <f t="shared" si="999"/>
        <v>0</v>
      </c>
      <c r="AF986" s="78" t="b">
        <f t="shared" si="1000"/>
        <v>0</v>
      </c>
      <c r="AG986" s="78" t="b">
        <f t="shared" si="1001"/>
        <v>0</v>
      </c>
      <c r="AH986" s="78" t="b">
        <f t="shared" si="1002"/>
        <v>0</v>
      </c>
      <c r="AI986" s="78" t="b">
        <f t="shared" si="1003"/>
        <v>0</v>
      </c>
      <c r="AJ986" s="78" t="b">
        <f t="shared" si="1004"/>
        <v>0</v>
      </c>
      <c r="AK986" s="78" t="b">
        <f t="shared" si="1005"/>
        <v>0</v>
      </c>
      <c r="AL986" s="78" t="b">
        <f t="shared" si="1006"/>
        <v>0</v>
      </c>
      <c r="AM986" s="78" t="b">
        <f t="shared" si="1007"/>
        <v>0</v>
      </c>
      <c r="AN986" s="78" t="b">
        <f t="shared" si="1008"/>
        <v>0</v>
      </c>
      <c r="AO986" s="78" t="b">
        <f t="shared" si="1009"/>
        <v>0</v>
      </c>
    </row>
    <row r="987" spans="7:41" x14ac:dyDescent="0.35">
      <c r="G987" s="77">
        <f t="shared" si="979"/>
        <v>0</v>
      </c>
      <c r="H987" s="78">
        <f t="shared" si="980"/>
        <v>0</v>
      </c>
      <c r="I987" s="77">
        <f t="shared" si="981"/>
        <v>0</v>
      </c>
      <c r="J987" s="78">
        <f t="shared" si="982"/>
        <v>0</v>
      </c>
      <c r="K987" s="78" t="str">
        <f t="shared" si="983"/>
        <v>1900-01-00 00:0:00</v>
      </c>
      <c r="L987" s="78" t="str">
        <f t="shared" si="984"/>
        <v>1900-01-00 00:0:00</v>
      </c>
      <c r="M987" s="79">
        <f t="shared" si="985"/>
        <v>0</v>
      </c>
      <c r="N987">
        <f t="shared" si="1010"/>
        <v>1</v>
      </c>
      <c r="O987" t="str">
        <f>IFERROR(_xlfn.XLOOKUP(A987,HC!A:A,HC!C:C),"")</f>
        <v>Workforce</v>
      </c>
      <c r="R987" s="78" t="b">
        <f t="shared" si="986"/>
        <v>0</v>
      </c>
      <c r="S987" s="78" t="b">
        <f t="shared" si="987"/>
        <v>0</v>
      </c>
      <c r="T987" s="78" t="b">
        <f t="shared" si="988"/>
        <v>0</v>
      </c>
      <c r="U987" s="78" t="b">
        <f t="shared" si="989"/>
        <v>0</v>
      </c>
      <c r="V987" s="78" t="b">
        <f t="shared" si="990"/>
        <v>0</v>
      </c>
      <c r="W987" s="78" t="b">
        <f t="shared" si="991"/>
        <v>0</v>
      </c>
      <c r="X987" s="78" t="b">
        <f t="shared" si="992"/>
        <v>0</v>
      </c>
      <c r="Y987" s="78" t="b">
        <f t="shared" si="993"/>
        <v>0</v>
      </c>
      <c r="Z987" s="78" t="b">
        <f t="shared" si="994"/>
        <v>0</v>
      </c>
      <c r="AA987" s="78" t="b">
        <f t="shared" si="995"/>
        <v>0</v>
      </c>
      <c r="AB987" s="78" t="b">
        <f t="shared" si="996"/>
        <v>0</v>
      </c>
      <c r="AC987" s="78" t="b">
        <f t="shared" si="997"/>
        <v>0</v>
      </c>
      <c r="AD987" s="78" t="b">
        <f t="shared" si="998"/>
        <v>0</v>
      </c>
      <c r="AE987" s="78" t="b">
        <f t="shared" si="999"/>
        <v>0</v>
      </c>
      <c r="AF987" s="78" t="b">
        <f t="shared" si="1000"/>
        <v>0</v>
      </c>
      <c r="AG987" s="78" t="b">
        <f t="shared" si="1001"/>
        <v>0</v>
      </c>
      <c r="AH987" s="78" t="b">
        <f t="shared" si="1002"/>
        <v>0</v>
      </c>
      <c r="AI987" s="78" t="b">
        <f t="shared" si="1003"/>
        <v>0</v>
      </c>
      <c r="AJ987" s="78" t="b">
        <f t="shared" si="1004"/>
        <v>0</v>
      </c>
      <c r="AK987" s="78" t="b">
        <f t="shared" si="1005"/>
        <v>0</v>
      </c>
      <c r="AL987" s="78" t="b">
        <f t="shared" si="1006"/>
        <v>0</v>
      </c>
      <c r="AM987" s="78" t="b">
        <f t="shared" si="1007"/>
        <v>0</v>
      </c>
      <c r="AN987" s="78" t="b">
        <f t="shared" si="1008"/>
        <v>0</v>
      </c>
      <c r="AO987" s="78" t="b">
        <f t="shared" si="1009"/>
        <v>0</v>
      </c>
    </row>
    <row r="988" spans="7:41" x14ac:dyDescent="0.35">
      <c r="G988" s="77">
        <f t="shared" si="979"/>
        <v>0</v>
      </c>
      <c r="H988" s="78">
        <f t="shared" si="980"/>
        <v>0</v>
      </c>
      <c r="I988" s="77">
        <f t="shared" si="981"/>
        <v>0</v>
      </c>
      <c r="J988" s="78">
        <f t="shared" si="982"/>
        <v>0</v>
      </c>
      <c r="K988" s="78" t="str">
        <f t="shared" si="983"/>
        <v>1900-01-00 00:0:00</v>
      </c>
      <c r="L988" s="78" t="str">
        <f t="shared" si="984"/>
        <v>1900-01-00 00:0:00</v>
      </c>
      <c r="M988" s="79">
        <f t="shared" si="985"/>
        <v>0</v>
      </c>
      <c r="N988">
        <f t="shared" si="1010"/>
        <v>1</v>
      </c>
      <c r="O988" t="str">
        <f>IFERROR(_xlfn.XLOOKUP(A988,HC!A:A,HC!C:C),"")</f>
        <v>Workforce</v>
      </c>
      <c r="R988" s="78" t="b">
        <f t="shared" si="986"/>
        <v>0</v>
      </c>
      <c r="S988" s="78" t="b">
        <f t="shared" si="987"/>
        <v>0</v>
      </c>
      <c r="T988" s="78" t="b">
        <f t="shared" si="988"/>
        <v>0</v>
      </c>
      <c r="U988" s="78" t="b">
        <f t="shared" si="989"/>
        <v>0</v>
      </c>
      <c r="V988" s="78" t="b">
        <f t="shared" si="990"/>
        <v>0</v>
      </c>
      <c r="W988" s="78" t="b">
        <f t="shared" si="991"/>
        <v>0</v>
      </c>
      <c r="X988" s="78" t="b">
        <f t="shared" si="992"/>
        <v>0</v>
      </c>
      <c r="Y988" s="78" t="b">
        <f t="shared" si="993"/>
        <v>0</v>
      </c>
      <c r="Z988" s="78" t="b">
        <f t="shared" si="994"/>
        <v>0</v>
      </c>
      <c r="AA988" s="78" t="b">
        <f t="shared" si="995"/>
        <v>0</v>
      </c>
      <c r="AB988" s="78" t="b">
        <f t="shared" si="996"/>
        <v>0</v>
      </c>
      <c r="AC988" s="78" t="b">
        <f t="shared" si="997"/>
        <v>0</v>
      </c>
      <c r="AD988" s="78" t="b">
        <f t="shared" si="998"/>
        <v>0</v>
      </c>
      <c r="AE988" s="78" t="b">
        <f t="shared" si="999"/>
        <v>0</v>
      </c>
      <c r="AF988" s="78" t="b">
        <f t="shared" si="1000"/>
        <v>0</v>
      </c>
      <c r="AG988" s="78" t="b">
        <f t="shared" si="1001"/>
        <v>0</v>
      </c>
      <c r="AH988" s="78" t="b">
        <f t="shared" si="1002"/>
        <v>0</v>
      </c>
      <c r="AI988" s="78" t="b">
        <f t="shared" si="1003"/>
        <v>0</v>
      </c>
      <c r="AJ988" s="78" t="b">
        <f t="shared" si="1004"/>
        <v>0</v>
      </c>
      <c r="AK988" s="78" t="b">
        <f t="shared" si="1005"/>
        <v>0</v>
      </c>
      <c r="AL988" s="78" t="b">
        <f t="shared" si="1006"/>
        <v>0</v>
      </c>
      <c r="AM988" s="78" t="b">
        <f t="shared" si="1007"/>
        <v>0</v>
      </c>
      <c r="AN988" s="78" t="b">
        <f t="shared" si="1008"/>
        <v>0</v>
      </c>
      <c r="AO988" s="78" t="b">
        <f t="shared" si="1009"/>
        <v>0</v>
      </c>
    </row>
    <row r="989" spans="7:41" x14ac:dyDescent="0.35">
      <c r="G989" s="77">
        <f t="shared" si="979"/>
        <v>0</v>
      </c>
      <c r="H989" s="78">
        <f t="shared" si="980"/>
        <v>0</v>
      </c>
      <c r="I989" s="77">
        <f t="shared" si="981"/>
        <v>0</v>
      </c>
      <c r="J989" s="78">
        <f t="shared" si="982"/>
        <v>0</v>
      </c>
      <c r="K989" s="78" t="str">
        <f t="shared" si="983"/>
        <v>1900-01-00 00:0:00</v>
      </c>
      <c r="L989" s="78" t="str">
        <f t="shared" si="984"/>
        <v>1900-01-00 00:0:00</v>
      </c>
      <c r="M989" s="79">
        <f t="shared" si="985"/>
        <v>0</v>
      </c>
      <c r="N989">
        <f t="shared" si="1010"/>
        <v>1</v>
      </c>
      <c r="O989" t="str">
        <f>IFERROR(_xlfn.XLOOKUP(A989,HC!A:A,HC!C:C),"")</f>
        <v>Workforce</v>
      </c>
      <c r="R989" s="78" t="b">
        <f t="shared" si="986"/>
        <v>0</v>
      </c>
      <c r="S989" s="78" t="b">
        <f t="shared" si="987"/>
        <v>0</v>
      </c>
      <c r="T989" s="78" t="b">
        <f t="shared" si="988"/>
        <v>0</v>
      </c>
      <c r="U989" s="78" t="b">
        <f t="shared" si="989"/>
        <v>0</v>
      </c>
      <c r="V989" s="78" t="b">
        <f t="shared" si="990"/>
        <v>0</v>
      </c>
      <c r="W989" s="78" t="b">
        <f t="shared" si="991"/>
        <v>0</v>
      </c>
      <c r="X989" s="78" t="b">
        <f t="shared" si="992"/>
        <v>0</v>
      </c>
      <c r="Y989" s="78" t="b">
        <f t="shared" si="993"/>
        <v>0</v>
      </c>
      <c r="Z989" s="78" t="b">
        <f t="shared" si="994"/>
        <v>0</v>
      </c>
      <c r="AA989" s="78" t="b">
        <f t="shared" si="995"/>
        <v>0</v>
      </c>
      <c r="AB989" s="78" t="b">
        <f t="shared" si="996"/>
        <v>0</v>
      </c>
      <c r="AC989" s="78" t="b">
        <f t="shared" si="997"/>
        <v>0</v>
      </c>
      <c r="AD989" s="78" t="b">
        <f t="shared" si="998"/>
        <v>0</v>
      </c>
      <c r="AE989" s="78" t="b">
        <f t="shared" si="999"/>
        <v>0</v>
      </c>
      <c r="AF989" s="78" t="b">
        <f t="shared" si="1000"/>
        <v>0</v>
      </c>
      <c r="AG989" s="78" t="b">
        <f t="shared" si="1001"/>
        <v>0</v>
      </c>
      <c r="AH989" s="78" t="b">
        <f t="shared" si="1002"/>
        <v>0</v>
      </c>
      <c r="AI989" s="78" t="b">
        <f t="shared" si="1003"/>
        <v>0</v>
      </c>
      <c r="AJ989" s="78" t="b">
        <f t="shared" si="1004"/>
        <v>0</v>
      </c>
      <c r="AK989" s="78" t="b">
        <f t="shared" si="1005"/>
        <v>0</v>
      </c>
      <c r="AL989" s="78" t="b">
        <f t="shared" si="1006"/>
        <v>0</v>
      </c>
      <c r="AM989" s="78" t="b">
        <f t="shared" si="1007"/>
        <v>0</v>
      </c>
      <c r="AN989" s="78" t="b">
        <f t="shared" si="1008"/>
        <v>0</v>
      </c>
      <c r="AO989" s="78" t="b">
        <f t="shared" si="1009"/>
        <v>0</v>
      </c>
    </row>
    <row r="990" spans="7:41" x14ac:dyDescent="0.35">
      <c r="G990" s="77">
        <f t="shared" si="979"/>
        <v>0</v>
      </c>
      <c r="H990" s="78">
        <f t="shared" si="980"/>
        <v>0</v>
      </c>
      <c r="I990" s="77">
        <f t="shared" si="981"/>
        <v>0</v>
      </c>
      <c r="J990" s="78">
        <f t="shared" si="982"/>
        <v>0</v>
      </c>
      <c r="K990" s="78" t="str">
        <f t="shared" si="983"/>
        <v>1900-01-00 00:0:00</v>
      </c>
      <c r="L990" s="78" t="str">
        <f t="shared" si="984"/>
        <v>1900-01-00 00:0:00</v>
      </c>
      <c r="M990" s="79">
        <f t="shared" si="985"/>
        <v>0</v>
      </c>
      <c r="N990">
        <f t="shared" si="1010"/>
        <v>1</v>
      </c>
      <c r="O990" t="str">
        <f>IFERROR(_xlfn.XLOOKUP(A990,HC!A:A,HC!C:C),"")</f>
        <v>Workforce</v>
      </c>
      <c r="R990" s="78" t="b">
        <f t="shared" si="986"/>
        <v>0</v>
      </c>
      <c r="S990" s="78" t="b">
        <f t="shared" si="987"/>
        <v>0</v>
      </c>
      <c r="T990" s="78" t="b">
        <f t="shared" si="988"/>
        <v>0</v>
      </c>
      <c r="U990" s="78" t="b">
        <f t="shared" si="989"/>
        <v>0</v>
      </c>
      <c r="V990" s="78" t="b">
        <f t="shared" si="990"/>
        <v>0</v>
      </c>
      <c r="W990" s="78" t="b">
        <f t="shared" si="991"/>
        <v>0</v>
      </c>
      <c r="X990" s="78" t="b">
        <f t="shared" si="992"/>
        <v>0</v>
      </c>
      <c r="Y990" s="78" t="b">
        <f t="shared" si="993"/>
        <v>0</v>
      </c>
      <c r="Z990" s="78" t="b">
        <f t="shared" si="994"/>
        <v>0</v>
      </c>
      <c r="AA990" s="78" t="b">
        <f t="shared" si="995"/>
        <v>0</v>
      </c>
      <c r="AB990" s="78" t="b">
        <f t="shared" si="996"/>
        <v>0</v>
      </c>
      <c r="AC990" s="78" t="b">
        <f t="shared" si="997"/>
        <v>0</v>
      </c>
      <c r="AD990" s="78" t="b">
        <f t="shared" si="998"/>
        <v>0</v>
      </c>
      <c r="AE990" s="78" t="b">
        <f t="shared" si="999"/>
        <v>0</v>
      </c>
      <c r="AF990" s="78" t="b">
        <f t="shared" si="1000"/>
        <v>0</v>
      </c>
      <c r="AG990" s="78" t="b">
        <f t="shared" si="1001"/>
        <v>0</v>
      </c>
      <c r="AH990" s="78" t="b">
        <f t="shared" si="1002"/>
        <v>0</v>
      </c>
      <c r="AI990" s="78" t="b">
        <f t="shared" si="1003"/>
        <v>0</v>
      </c>
      <c r="AJ990" s="78" t="b">
        <f t="shared" si="1004"/>
        <v>0</v>
      </c>
      <c r="AK990" s="78" t="b">
        <f t="shared" si="1005"/>
        <v>0</v>
      </c>
      <c r="AL990" s="78" t="b">
        <f t="shared" si="1006"/>
        <v>0</v>
      </c>
      <c r="AM990" s="78" t="b">
        <f t="shared" si="1007"/>
        <v>0</v>
      </c>
      <c r="AN990" s="78" t="b">
        <f t="shared" si="1008"/>
        <v>0</v>
      </c>
      <c r="AO990" s="78" t="b">
        <f t="shared" si="1009"/>
        <v>0</v>
      </c>
    </row>
    <row r="991" spans="7:41" x14ac:dyDescent="0.35">
      <c r="G991" s="77">
        <f t="shared" si="979"/>
        <v>0</v>
      </c>
      <c r="H991" s="78">
        <f t="shared" si="980"/>
        <v>0</v>
      </c>
      <c r="I991" s="77">
        <f t="shared" si="981"/>
        <v>0</v>
      </c>
      <c r="J991" s="78">
        <f t="shared" si="982"/>
        <v>0</v>
      </c>
      <c r="K991" s="78" t="str">
        <f t="shared" si="983"/>
        <v>1900-01-00 00:0:00</v>
      </c>
      <c r="L991" s="78" t="str">
        <f t="shared" si="984"/>
        <v>1900-01-00 00:0:00</v>
      </c>
      <c r="M991" s="79">
        <f t="shared" si="985"/>
        <v>0</v>
      </c>
      <c r="N991">
        <f t="shared" si="1010"/>
        <v>1</v>
      </c>
      <c r="O991" t="str">
        <f>IFERROR(_xlfn.XLOOKUP(A991,HC!A:A,HC!C:C),"")</f>
        <v>Workforce</v>
      </c>
      <c r="R991" s="78" t="b">
        <f t="shared" si="986"/>
        <v>0</v>
      </c>
      <c r="S991" s="78" t="b">
        <f t="shared" si="987"/>
        <v>0</v>
      </c>
      <c r="T991" s="78" t="b">
        <f t="shared" si="988"/>
        <v>0</v>
      </c>
      <c r="U991" s="78" t="b">
        <f t="shared" si="989"/>
        <v>0</v>
      </c>
      <c r="V991" s="78" t="b">
        <f t="shared" si="990"/>
        <v>0</v>
      </c>
      <c r="W991" s="78" t="b">
        <f t="shared" si="991"/>
        <v>0</v>
      </c>
      <c r="X991" s="78" t="b">
        <f t="shared" si="992"/>
        <v>0</v>
      </c>
      <c r="Y991" s="78" t="b">
        <f t="shared" si="993"/>
        <v>0</v>
      </c>
      <c r="Z991" s="78" t="b">
        <f t="shared" si="994"/>
        <v>0</v>
      </c>
      <c r="AA991" s="78" t="b">
        <f t="shared" si="995"/>
        <v>0</v>
      </c>
      <c r="AB991" s="78" t="b">
        <f t="shared" si="996"/>
        <v>0</v>
      </c>
      <c r="AC991" s="78" t="b">
        <f t="shared" si="997"/>
        <v>0</v>
      </c>
      <c r="AD991" s="78" t="b">
        <f t="shared" si="998"/>
        <v>0</v>
      </c>
      <c r="AE991" s="78" t="b">
        <f t="shared" si="999"/>
        <v>0</v>
      </c>
      <c r="AF991" s="78" t="b">
        <f t="shared" si="1000"/>
        <v>0</v>
      </c>
      <c r="AG991" s="78" t="b">
        <f t="shared" si="1001"/>
        <v>0</v>
      </c>
      <c r="AH991" s="78" t="b">
        <f t="shared" si="1002"/>
        <v>0</v>
      </c>
      <c r="AI991" s="78" t="b">
        <f t="shared" si="1003"/>
        <v>0</v>
      </c>
      <c r="AJ991" s="78" t="b">
        <f t="shared" si="1004"/>
        <v>0</v>
      </c>
      <c r="AK991" s="78" t="b">
        <f t="shared" si="1005"/>
        <v>0</v>
      </c>
      <c r="AL991" s="78" t="b">
        <f t="shared" si="1006"/>
        <v>0</v>
      </c>
      <c r="AM991" s="78" t="b">
        <f t="shared" si="1007"/>
        <v>0</v>
      </c>
      <c r="AN991" s="78" t="b">
        <f t="shared" si="1008"/>
        <v>0</v>
      </c>
      <c r="AO991" s="78" t="b">
        <f t="shared" si="1009"/>
        <v>0</v>
      </c>
    </row>
    <row r="992" spans="7:41" x14ac:dyDescent="0.35">
      <c r="G992" s="77">
        <f t="shared" si="979"/>
        <v>0</v>
      </c>
      <c r="H992" s="78">
        <f t="shared" si="980"/>
        <v>0</v>
      </c>
      <c r="I992" s="77">
        <f t="shared" si="981"/>
        <v>0</v>
      </c>
      <c r="J992" s="78">
        <f t="shared" si="982"/>
        <v>0</v>
      </c>
      <c r="K992" s="78" t="str">
        <f t="shared" si="983"/>
        <v>1900-01-00 00:0:00</v>
      </c>
      <c r="L992" s="78" t="str">
        <f t="shared" si="984"/>
        <v>1900-01-00 00:0:00</v>
      </c>
      <c r="M992" s="79">
        <f t="shared" si="985"/>
        <v>0</v>
      </c>
      <c r="N992">
        <f t="shared" si="1010"/>
        <v>1</v>
      </c>
      <c r="O992" t="str">
        <f>IFERROR(_xlfn.XLOOKUP(A992,HC!A:A,HC!C:C),"")</f>
        <v>Workforce</v>
      </c>
      <c r="R992" s="78" t="b">
        <f t="shared" si="986"/>
        <v>0</v>
      </c>
      <c r="S992" s="78" t="b">
        <f t="shared" si="987"/>
        <v>0</v>
      </c>
      <c r="T992" s="78" t="b">
        <f t="shared" si="988"/>
        <v>0</v>
      </c>
      <c r="U992" s="78" t="b">
        <f t="shared" si="989"/>
        <v>0</v>
      </c>
      <c r="V992" s="78" t="b">
        <f t="shared" si="990"/>
        <v>0</v>
      </c>
      <c r="W992" s="78" t="b">
        <f t="shared" si="991"/>
        <v>0</v>
      </c>
      <c r="X992" s="78" t="b">
        <f t="shared" si="992"/>
        <v>0</v>
      </c>
      <c r="Y992" s="78" t="b">
        <f t="shared" si="993"/>
        <v>0</v>
      </c>
      <c r="Z992" s="78" t="b">
        <f t="shared" si="994"/>
        <v>0</v>
      </c>
      <c r="AA992" s="78" t="b">
        <f t="shared" si="995"/>
        <v>0</v>
      </c>
      <c r="AB992" s="78" t="b">
        <f t="shared" si="996"/>
        <v>0</v>
      </c>
      <c r="AC992" s="78" t="b">
        <f t="shared" si="997"/>
        <v>0</v>
      </c>
      <c r="AD992" s="78" t="b">
        <f t="shared" si="998"/>
        <v>0</v>
      </c>
      <c r="AE992" s="78" t="b">
        <f t="shared" si="999"/>
        <v>0</v>
      </c>
      <c r="AF992" s="78" t="b">
        <f t="shared" si="1000"/>
        <v>0</v>
      </c>
      <c r="AG992" s="78" t="b">
        <f t="shared" si="1001"/>
        <v>0</v>
      </c>
      <c r="AH992" s="78" t="b">
        <f t="shared" si="1002"/>
        <v>0</v>
      </c>
      <c r="AI992" s="78" t="b">
        <f t="shared" si="1003"/>
        <v>0</v>
      </c>
      <c r="AJ992" s="78" t="b">
        <f t="shared" si="1004"/>
        <v>0</v>
      </c>
      <c r="AK992" s="78" t="b">
        <f t="shared" si="1005"/>
        <v>0</v>
      </c>
      <c r="AL992" s="78" t="b">
        <f t="shared" si="1006"/>
        <v>0</v>
      </c>
      <c r="AM992" s="78" t="b">
        <f t="shared" si="1007"/>
        <v>0</v>
      </c>
      <c r="AN992" s="78" t="b">
        <f t="shared" si="1008"/>
        <v>0</v>
      </c>
      <c r="AO992" s="78" t="b">
        <f t="shared" si="1009"/>
        <v>0</v>
      </c>
    </row>
    <row r="993" spans="7:41" x14ac:dyDescent="0.35">
      <c r="G993" s="77">
        <f t="shared" si="979"/>
        <v>0</v>
      </c>
      <c r="H993" s="78">
        <f t="shared" si="980"/>
        <v>0</v>
      </c>
      <c r="I993" s="77">
        <f t="shared" si="981"/>
        <v>0</v>
      </c>
      <c r="J993" s="78">
        <f t="shared" si="982"/>
        <v>0</v>
      </c>
      <c r="K993" s="78" t="str">
        <f t="shared" si="983"/>
        <v>1900-01-00 00:0:00</v>
      </c>
      <c r="L993" s="78" t="str">
        <f t="shared" si="984"/>
        <v>1900-01-00 00:0:00</v>
      </c>
      <c r="M993" s="79">
        <f t="shared" si="985"/>
        <v>0</v>
      </c>
      <c r="N993">
        <f t="shared" si="1010"/>
        <v>1</v>
      </c>
      <c r="O993" t="str">
        <f>IFERROR(_xlfn.XLOOKUP(A993,HC!A:A,HC!C:C),"")</f>
        <v>Workforce</v>
      </c>
      <c r="R993" s="78" t="b">
        <f t="shared" si="986"/>
        <v>0</v>
      </c>
      <c r="S993" s="78" t="b">
        <f t="shared" si="987"/>
        <v>0</v>
      </c>
      <c r="T993" s="78" t="b">
        <f t="shared" si="988"/>
        <v>0</v>
      </c>
      <c r="U993" s="78" t="b">
        <f t="shared" si="989"/>
        <v>0</v>
      </c>
      <c r="V993" s="78" t="b">
        <f t="shared" si="990"/>
        <v>0</v>
      </c>
      <c r="W993" s="78" t="b">
        <f t="shared" si="991"/>
        <v>0</v>
      </c>
      <c r="X993" s="78" t="b">
        <f t="shared" si="992"/>
        <v>0</v>
      </c>
      <c r="Y993" s="78" t="b">
        <f t="shared" si="993"/>
        <v>0</v>
      </c>
      <c r="Z993" s="78" t="b">
        <f t="shared" si="994"/>
        <v>0</v>
      </c>
      <c r="AA993" s="78" t="b">
        <f t="shared" si="995"/>
        <v>0</v>
      </c>
      <c r="AB993" s="78" t="b">
        <f t="shared" si="996"/>
        <v>0</v>
      </c>
      <c r="AC993" s="78" t="b">
        <f t="shared" si="997"/>
        <v>0</v>
      </c>
      <c r="AD993" s="78" t="b">
        <f t="shared" si="998"/>
        <v>0</v>
      </c>
      <c r="AE993" s="78" t="b">
        <f t="shared" si="999"/>
        <v>0</v>
      </c>
      <c r="AF993" s="78" t="b">
        <f t="shared" si="1000"/>
        <v>0</v>
      </c>
      <c r="AG993" s="78" t="b">
        <f t="shared" si="1001"/>
        <v>0</v>
      </c>
      <c r="AH993" s="78" t="b">
        <f t="shared" si="1002"/>
        <v>0</v>
      </c>
      <c r="AI993" s="78" t="b">
        <f t="shared" si="1003"/>
        <v>0</v>
      </c>
      <c r="AJ993" s="78" t="b">
        <f t="shared" si="1004"/>
        <v>0</v>
      </c>
      <c r="AK993" s="78" t="b">
        <f t="shared" si="1005"/>
        <v>0</v>
      </c>
      <c r="AL993" s="78" t="b">
        <f t="shared" si="1006"/>
        <v>0</v>
      </c>
      <c r="AM993" s="78" t="b">
        <f t="shared" si="1007"/>
        <v>0</v>
      </c>
      <c r="AN993" s="78" t="b">
        <f t="shared" si="1008"/>
        <v>0</v>
      </c>
      <c r="AO993" s="78" t="b">
        <f t="shared" si="1009"/>
        <v>0</v>
      </c>
    </row>
    <row r="994" spans="7:41" x14ac:dyDescent="0.35">
      <c r="G994" s="77">
        <f t="shared" si="979"/>
        <v>0</v>
      </c>
      <c r="H994" s="78">
        <f t="shared" si="980"/>
        <v>0</v>
      </c>
      <c r="I994" s="77">
        <f t="shared" si="981"/>
        <v>0</v>
      </c>
      <c r="J994" s="78">
        <f t="shared" si="982"/>
        <v>0</v>
      </c>
      <c r="K994" s="78" t="str">
        <f t="shared" si="983"/>
        <v>1900-01-00 00:0:00</v>
      </c>
      <c r="L994" s="78" t="str">
        <f t="shared" si="984"/>
        <v>1900-01-00 00:0:00</v>
      </c>
      <c r="M994" s="79">
        <f t="shared" si="985"/>
        <v>0</v>
      </c>
      <c r="N994">
        <f t="shared" si="1010"/>
        <v>1</v>
      </c>
      <c r="O994" t="str">
        <f>IFERROR(_xlfn.XLOOKUP(A994,HC!A:A,HC!C:C),"")</f>
        <v>Workforce</v>
      </c>
      <c r="R994" s="78" t="b">
        <f t="shared" si="986"/>
        <v>0</v>
      </c>
      <c r="S994" s="78" t="b">
        <f t="shared" si="987"/>
        <v>0</v>
      </c>
      <c r="T994" s="78" t="b">
        <f t="shared" si="988"/>
        <v>0</v>
      </c>
      <c r="U994" s="78" t="b">
        <f t="shared" si="989"/>
        <v>0</v>
      </c>
      <c r="V994" s="78" t="b">
        <f t="shared" si="990"/>
        <v>0</v>
      </c>
      <c r="W994" s="78" t="b">
        <f t="shared" si="991"/>
        <v>0</v>
      </c>
      <c r="X994" s="78" t="b">
        <f t="shared" si="992"/>
        <v>0</v>
      </c>
      <c r="Y994" s="78" t="b">
        <f t="shared" si="993"/>
        <v>0</v>
      </c>
      <c r="Z994" s="78" t="b">
        <f t="shared" si="994"/>
        <v>0</v>
      </c>
      <c r="AA994" s="78" t="b">
        <f t="shared" si="995"/>
        <v>0</v>
      </c>
      <c r="AB994" s="78" t="b">
        <f t="shared" si="996"/>
        <v>0</v>
      </c>
      <c r="AC994" s="78" t="b">
        <f t="shared" si="997"/>
        <v>0</v>
      </c>
      <c r="AD994" s="78" t="b">
        <f t="shared" si="998"/>
        <v>0</v>
      </c>
      <c r="AE994" s="78" t="b">
        <f t="shared" si="999"/>
        <v>0</v>
      </c>
      <c r="AF994" s="78" t="b">
        <f t="shared" si="1000"/>
        <v>0</v>
      </c>
      <c r="AG994" s="78" t="b">
        <f t="shared" si="1001"/>
        <v>0</v>
      </c>
      <c r="AH994" s="78" t="b">
        <f t="shared" si="1002"/>
        <v>0</v>
      </c>
      <c r="AI994" s="78" t="b">
        <f t="shared" si="1003"/>
        <v>0</v>
      </c>
      <c r="AJ994" s="78" t="b">
        <f t="shared" si="1004"/>
        <v>0</v>
      </c>
      <c r="AK994" s="78" t="b">
        <f t="shared" si="1005"/>
        <v>0</v>
      </c>
      <c r="AL994" s="78" t="b">
        <f t="shared" si="1006"/>
        <v>0</v>
      </c>
      <c r="AM994" s="78" t="b">
        <f t="shared" si="1007"/>
        <v>0</v>
      </c>
      <c r="AN994" s="78" t="b">
        <f t="shared" si="1008"/>
        <v>0</v>
      </c>
      <c r="AO994" s="78" t="b">
        <f t="shared" si="1009"/>
        <v>0</v>
      </c>
    </row>
    <row r="995" spans="7:41" x14ac:dyDescent="0.35">
      <c r="G995" s="77">
        <f t="shared" si="979"/>
        <v>0</v>
      </c>
      <c r="H995" s="78">
        <f t="shared" si="980"/>
        <v>0</v>
      </c>
      <c r="I995" s="77">
        <f t="shared" si="981"/>
        <v>0</v>
      </c>
      <c r="J995" s="78">
        <f t="shared" si="982"/>
        <v>0</v>
      </c>
      <c r="K995" s="78" t="str">
        <f t="shared" si="983"/>
        <v>1900-01-00 00:0:00</v>
      </c>
      <c r="L995" s="78" t="str">
        <f t="shared" si="984"/>
        <v>1900-01-00 00:0:00</v>
      </c>
      <c r="M995" s="79">
        <f t="shared" si="985"/>
        <v>0</v>
      </c>
      <c r="N995">
        <f t="shared" si="1010"/>
        <v>1</v>
      </c>
      <c r="O995" t="str">
        <f>IFERROR(_xlfn.XLOOKUP(A995,HC!A:A,HC!C:C),"")</f>
        <v>Workforce</v>
      </c>
      <c r="R995" s="78" t="b">
        <f t="shared" si="986"/>
        <v>0</v>
      </c>
      <c r="S995" s="78" t="b">
        <f t="shared" si="987"/>
        <v>0</v>
      </c>
      <c r="T995" s="78" t="b">
        <f t="shared" si="988"/>
        <v>0</v>
      </c>
      <c r="U995" s="78" t="b">
        <f t="shared" si="989"/>
        <v>0</v>
      </c>
      <c r="V995" s="78" t="b">
        <f t="shared" si="990"/>
        <v>0</v>
      </c>
      <c r="W995" s="78" t="b">
        <f t="shared" si="991"/>
        <v>0</v>
      </c>
      <c r="X995" s="78" t="b">
        <f t="shared" si="992"/>
        <v>0</v>
      </c>
      <c r="Y995" s="78" t="b">
        <f t="shared" si="993"/>
        <v>0</v>
      </c>
      <c r="Z995" s="78" t="b">
        <f t="shared" si="994"/>
        <v>0</v>
      </c>
      <c r="AA995" s="78" t="b">
        <f t="shared" si="995"/>
        <v>0</v>
      </c>
      <c r="AB995" s="78" t="b">
        <f t="shared" si="996"/>
        <v>0</v>
      </c>
      <c r="AC995" s="78" t="b">
        <f t="shared" si="997"/>
        <v>0</v>
      </c>
      <c r="AD995" s="78" t="b">
        <f t="shared" si="998"/>
        <v>0</v>
      </c>
      <c r="AE995" s="78" t="b">
        <f t="shared" si="999"/>
        <v>0</v>
      </c>
      <c r="AF995" s="78" t="b">
        <f t="shared" si="1000"/>
        <v>0</v>
      </c>
      <c r="AG995" s="78" t="b">
        <f t="shared" si="1001"/>
        <v>0</v>
      </c>
      <c r="AH995" s="78" t="b">
        <f t="shared" si="1002"/>
        <v>0</v>
      </c>
      <c r="AI995" s="78" t="b">
        <f t="shared" si="1003"/>
        <v>0</v>
      </c>
      <c r="AJ995" s="78" t="b">
        <f t="shared" si="1004"/>
        <v>0</v>
      </c>
      <c r="AK995" s="78" t="b">
        <f t="shared" si="1005"/>
        <v>0</v>
      </c>
      <c r="AL995" s="78" t="b">
        <f t="shared" si="1006"/>
        <v>0</v>
      </c>
      <c r="AM995" s="78" t="b">
        <f t="shared" si="1007"/>
        <v>0</v>
      </c>
      <c r="AN995" s="78" t="b">
        <f t="shared" si="1008"/>
        <v>0</v>
      </c>
      <c r="AO995" s="78" t="b">
        <f t="shared" si="1009"/>
        <v>0</v>
      </c>
    </row>
    <row r="996" spans="7:41" x14ac:dyDescent="0.35">
      <c r="G996" s="77">
        <f t="shared" si="979"/>
        <v>0</v>
      </c>
      <c r="H996" s="78">
        <f t="shared" si="980"/>
        <v>0</v>
      </c>
      <c r="I996" s="77">
        <f t="shared" si="981"/>
        <v>0</v>
      </c>
      <c r="J996" s="78">
        <f t="shared" si="982"/>
        <v>0</v>
      </c>
      <c r="K996" s="78" t="str">
        <f t="shared" si="983"/>
        <v>1900-01-00 00:0:00</v>
      </c>
      <c r="L996" s="78" t="str">
        <f t="shared" si="984"/>
        <v>1900-01-00 00:0:00</v>
      </c>
      <c r="M996" s="79">
        <f t="shared" si="985"/>
        <v>0</v>
      </c>
      <c r="N996">
        <f t="shared" si="1010"/>
        <v>1</v>
      </c>
      <c r="O996" t="str">
        <f>IFERROR(_xlfn.XLOOKUP(A996,HC!A:A,HC!C:C),"")</f>
        <v>Workforce</v>
      </c>
      <c r="R996" s="78" t="b">
        <f t="shared" si="986"/>
        <v>0</v>
      </c>
      <c r="S996" s="78" t="b">
        <f t="shared" si="987"/>
        <v>0</v>
      </c>
      <c r="T996" s="78" t="b">
        <f t="shared" si="988"/>
        <v>0</v>
      </c>
      <c r="U996" s="78" t="b">
        <f t="shared" si="989"/>
        <v>0</v>
      </c>
      <c r="V996" s="78" t="b">
        <f t="shared" si="990"/>
        <v>0</v>
      </c>
      <c r="W996" s="78" t="b">
        <f t="shared" si="991"/>
        <v>0</v>
      </c>
      <c r="X996" s="78" t="b">
        <f t="shared" si="992"/>
        <v>0</v>
      </c>
      <c r="Y996" s="78" t="b">
        <f t="shared" si="993"/>
        <v>0</v>
      </c>
      <c r="Z996" s="78" t="b">
        <f t="shared" si="994"/>
        <v>0</v>
      </c>
      <c r="AA996" s="78" t="b">
        <f t="shared" si="995"/>
        <v>0</v>
      </c>
      <c r="AB996" s="78" t="b">
        <f t="shared" si="996"/>
        <v>0</v>
      </c>
      <c r="AC996" s="78" t="b">
        <f t="shared" si="997"/>
        <v>0</v>
      </c>
      <c r="AD996" s="78" t="b">
        <f t="shared" si="998"/>
        <v>0</v>
      </c>
      <c r="AE996" s="78" t="b">
        <f t="shared" si="999"/>
        <v>0</v>
      </c>
      <c r="AF996" s="78" t="b">
        <f t="shared" si="1000"/>
        <v>0</v>
      </c>
      <c r="AG996" s="78" t="b">
        <f t="shared" si="1001"/>
        <v>0</v>
      </c>
      <c r="AH996" s="78" t="b">
        <f t="shared" si="1002"/>
        <v>0</v>
      </c>
      <c r="AI996" s="78" t="b">
        <f t="shared" si="1003"/>
        <v>0</v>
      </c>
      <c r="AJ996" s="78" t="b">
        <f t="shared" si="1004"/>
        <v>0</v>
      </c>
      <c r="AK996" s="78" t="b">
        <f t="shared" si="1005"/>
        <v>0</v>
      </c>
      <c r="AL996" s="78" t="b">
        <f t="shared" si="1006"/>
        <v>0</v>
      </c>
      <c r="AM996" s="78" t="b">
        <f t="shared" si="1007"/>
        <v>0</v>
      </c>
      <c r="AN996" s="78" t="b">
        <f t="shared" si="1008"/>
        <v>0</v>
      </c>
      <c r="AO996" s="78" t="b">
        <f t="shared" si="1009"/>
        <v>0</v>
      </c>
    </row>
    <row r="997" spans="7:41" x14ac:dyDescent="0.35">
      <c r="G997" s="77">
        <f t="shared" si="979"/>
        <v>0</v>
      </c>
      <c r="H997" s="78">
        <f t="shared" si="980"/>
        <v>0</v>
      </c>
      <c r="I997" s="77">
        <f t="shared" si="981"/>
        <v>0</v>
      </c>
      <c r="J997" s="78">
        <f t="shared" si="982"/>
        <v>0</v>
      </c>
      <c r="K997" s="78" t="str">
        <f t="shared" si="983"/>
        <v>1900-01-00 00:0:00</v>
      </c>
      <c r="L997" s="78" t="str">
        <f t="shared" si="984"/>
        <v>1900-01-00 00:0:00</v>
      </c>
      <c r="M997" s="79">
        <f t="shared" si="985"/>
        <v>0</v>
      </c>
      <c r="N997">
        <f t="shared" si="1010"/>
        <v>1</v>
      </c>
      <c r="O997" t="str">
        <f>IFERROR(_xlfn.XLOOKUP(A997,HC!A:A,HC!C:C),"")</f>
        <v>Workforce</v>
      </c>
      <c r="R997" s="78" t="b">
        <f t="shared" si="986"/>
        <v>0</v>
      </c>
      <c r="S997" s="78" t="b">
        <f t="shared" si="987"/>
        <v>0</v>
      </c>
      <c r="T997" s="78" t="b">
        <f t="shared" si="988"/>
        <v>0</v>
      </c>
      <c r="U997" s="78" t="b">
        <f t="shared" si="989"/>
        <v>0</v>
      </c>
      <c r="V997" s="78" t="b">
        <f t="shared" si="990"/>
        <v>0</v>
      </c>
      <c r="W997" s="78" t="b">
        <f t="shared" si="991"/>
        <v>0</v>
      </c>
      <c r="X997" s="78" t="b">
        <f t="shared" si="992"/>
        <v>0</v>
      </c>
      <c r="Y997" s="78" t="b">
        <f t="shared" si="993"/>
        <v>0</v>
      </c>
      <c r="Z997" s="78" t="b">
        <f t="shared" si="994"/>
        <v>0</v>
      </c>
      <c r="AA997" s="78" t="b">
        <f t="shared" si="995"/>
        <v>0</v>
      </c>
      <c r="AB997" s="78" t="b">
        <f t="shared" si="996"/>
        <v>0</v>
      </c>
      <c r="AC997" s="78" t="b">
        <f t="shared" si="997"/>
        <v>0</v>
      </c>
      <c r="AD997" s="78" t="b">
        <f t="shared" si="998"/>
        <v>0</v>
      </c>
      <c r="AE997" s="78" t="b">
        <f t="shared" si="999"/>
        <v>0</v>
      </c>
      <c r="AF997" s="78" t="b">
        <f t="shared" si="1000"/>
        <v>0</v>
      </c>
      <c r="AG997" s="78" t="b">
        <f t="shared" si="1001"/>
        <v>0</v>
      </c>
      <c r="AH997" s="78" t="b">
        <f t="shared" si="1002"/>
        <v>0</v>
      </c>
      <c r="AI997" s="78" t="b">
        <f t="shared" si="1003"/>
        <v>0</v>
      </c>
      <c r="AJ997" s="78" t="b">
        <f t="shared" si="1004"/>
        <v>0</v>
      </c>
      <c r="AK997" s="78" t="b">
        <f t="shared" si="1005"/>
        <v>0</v>
      </c>
      <c r="AL997" s="78" t="b">
        <f t="shared" si="1006"/>
        <v>0</v>
      </c>
      <c r="AM997" s="78" t="b">
        <f t="shared" si="1007"/>
        <v>0</v>
      </c>
      <c r="AN997" s="78" t="b">
        <f t="shared" si="1008"/>
        <v>0</v>
      </c>
      <c r="AO997" s="78" t="b">
        <f t="shared" si="1009"/>
        <v>0</v>
      </c>
    </row>
    <row r="998" spans="7:41" x14ac:dyDescent="0.35">
      <c r="G998" s="77">
        <f t="shared" si="979"/>
        <v>0</v>
      </c>
      <c r="H998" s="78">
        <f t="shared" si="980"/>
        <v>0</v>
      </c>
      <c r="I998" s="77">
        <f t="shared" si="981"/>
        <v>0</v>
      </c>
      <c r="J998" s="78">
        <f t="shared" si="982"/>
        <v>0</v>
      </c>
      <c r="K998" s="78" t="str">
        <f t="shared" si="983"/>
        <v>1900-01-00 00:0:00</v>
      </c>
      <c r="L998" s="78" t="str">
        <f t="shared" si="984"/>
        <v>1900-01-00 00:0:00</v>
      </c>
      <c r="M998" s="79">
        <f t="shared" si="985"/>
        <v>0</v>
      </c>
      <c r="N998">
        <f t="shared" si="1010"/>
        <v>1</v>
      </c>
      <c r="O998" t="str">
        <f>IFERROR(_xlfn.XLOOKUP(A998,HC!A:A,HC!C:C),"")</f>
        <v>Workforce</v>
      </c>
      <c r="R998" s="78" t="b">
        <f t="shared" si="986"/>
        <v>0</v>
      </c>
      <c r="S998" s="78" t="b">
        <f t="shared" si="987"/>
        <v>0</v>
      </c>
      <c r="T998" s="78" t="b">
        <f t="shared" si="988"/>
        <v>0</v>
      </c>
      <c r="U998" s="78" t="b">
        <f t="shared" si="989"/>
        <v>0</v>
      </c>
      <c r="V998" s="78" t="b">
        <f t="shared" si="990"/>
        <v>0</v>
      </c>
      <c r="W998" s="78" t="b">
        <f t="shared" si="991"/>
        <v>0</v>
      </c>
      <c r="X998" s="78" t="b">
        <f t="shared" si="992"/>
        <v>0</v>
      </c>
      <c r="Y998" s="78" t="b">
        <f t="shared" si="993"/>
        <v>0</v>
      </c>
      <c r="Z998" s="78" t="b">
        <f t="shared" si="994"/>
        <v>0</v>
      </c>
      <c r="AA998" s="78" t="b">
        <f t="shared" si="995"/>
        <v>0</v>
      </c>
      <c r="AB998" s="78" t="b">
        <f t="shared" si="996"/>
        <v>0</v>
      </c>
      <c r="AC998" s="78" t="b">
        <f t="shared" si="997"/>
        <v>0</v>
      </c>
      <c r="AD998" s="78" t="b">
        <f t="shared" si="998"/>
        <v>0</v>
      </c>
      <c r="AE998" s="78" t="b">
        <f t="shared" si="999"/>
        <v>0</v>
      </c>
      <c r="AF998" s="78" t="b">
        <f t="shared" si="1000"/>
        <v>0</v>
      </c>
      <c r="AG998" s="78" t="b">
        <f t="shared" si="1001"/>
        <v>0</v>
      </c>
      <c r="AH998" s="78" t="b">
        <f t="shared" si="1002"/>
        <v>0</v>
      </c>
      <c r="AI998" s="78" t="b">
        <f t="shared" si="1003"/>
        <v>0</v>
      </c>
      <c r="AJ998" s="78" t="b">
        <f t="shared" si="1004"/>
        <v>0</v>
      </c>
      <c r="AK998" s="78" t="b">
        <f t="shared" si="1005"/>
        <v>0</v>
      </c>
      <c r="AL998" s="78" t="b">
        <f t="shared" si="1006"/>
        <v>0</v>
      </c>
      <c r="AM998" s="78" t="b">
        <f t="shared" si="1007"/>
        <v>0</v>
      </c>
      <c r="AN998" s="78" t="b">
        <f t="shared" si="1008"/>
        <v>0</v>
      </c>
      <c r="AO998" s="78" t="b">
        <f t="shared" si="1009"/>
        <v>0</v>
      </c>
    </row>
    <row r="999" spans="7:41" x14ac:dyDescent="0.35">
      <c r="G999" s="77">
        <f t="shared" si="979"/>
        <v>0</v>
      </c>
      <c r="H999" s="78">
        <f t="shared" si="980"/>
        <v>0</v>
      </c>
      <c r="I999" s="77">
        <f t="shared" si="981"/>
        <v>0</v>
      </c>
      <c r="J999" s="78">
        <f t="shared" si="982"/>
        <v>0</v>
      </c>
      <c r="K999" s="78" t="str">
        <f t="shared" si="983"/>
        <v>1900-01-00 00:0:00</v>
      </c>
      <c r="L999" s="78" t="str">
        <f t="shared" si="984"/>
        <v>1900-01-00 00:0:00</v>
      </c>
      <c r="M999" s="79">
        <f t="shared" si="985"/>
        <v>0</v>
      </c>
      <c r="N999">
        <f t="shared" si="1010"/>
        <v>1</v>
      </c>
      <c r="O999" t="str">
        <f>IFERROR(_xlfn.XLOOKUP(A999,HC!A:A,HC!C:C),"")</f>
        <v>Workforce</v>
      </c>
      <c r="R999" s="78" t="b">
        <f t="shared" si="986"/>
        <v>0</v>
      </c>
      <c r="S999" s="78" t="b">
        <f t="shared" si="987"/>
        <v>0</v>
      </c>
      <c r="T999" s="78" t="b">
        <f t="shared" si="988"/>
        <v>0</v>
      </c>
      <c r="U999" s="78" t="b">
        <f t="shared" si="989"/>
        <v>0</v>
      </c>
      <c r="V999" s="78" t="b">
        <f t="shared" si="990"/>
        <v>0</v>
      </c>
      <c r="W999" s="78" t="b">
        <f t="shared" si="991"/>
        <v>0</v>
      </c>
      <c r="X999" s="78" t="b">
        <f t="shared" si="992"/>
        <v>0</v>
      </c>
      <c r="Y999" s="78" t="b">
        <f t="shared" si="993"/>
        <v>0</v>
      </c>
      <c r="Z999" s="78" t="b">
        <f t="shared" si="994"/>
        <v>0</v>
      </c>
      <c r="AA999" s="78" t="b">
        <f t="shared" si="995"/>
        <v>0</v>
      </c>
      <c r="AB999" s="78" t="b">
        <f t="shared" si="996"/>
        <v>0</v>
      </c>
      <c r="AC999" s="78" t="b">
        <f t="shared" si="997"/>
        <v>0</v>
      </c>
      <c r="AD999" s="78" t="b">
        <f t="shared" si="998"/>
        <v>0</v>
      </c>
      <c r="AE999" s="78" t="b">
        <f t="shared" si="999"/>
        <v>0</v>
      </c>
      <c r="AF999" s="78" t="b">
        <f t="shared" si="1000"/>
        <v>0</v>
      </c>
      <c r="AG999" s="78" t="b">
        <f t="shared" si="1001"/>
        <v>0</v>
      </c>
      <c r="AH999" s="78" t="b">
        <f t="shared" si="1002"/>
        <v>0</v>
      </c>
      <c r="AI999" s="78" t="b">
        <f t="shared" si="1003"/>
        <v>0</v>
      </c>
      <c r="AJ999" s="78" t="b">
        <f t="shared" si="1004"/>
        <v>0</v>
      </c>
      <c r="AK999" s="78" t="b">
        <f t="shared" si="1005"/>
        <v>0</v>
      </c>
      <c r="AL999" s="78" t="b">
        <f t="shared" si="1006"/>
        <v>0</v>
      </c>
      <c r="AM999" s="78" t="b">
        <f t="shared" si="1007"/>
        <v>0</v>
      </c>
      <c r="AN999" s="78" t="b">
        <f t="shared" si="1008"/>
        <v>0</v>
      </c>
      <c r="AO999" s="78" t="b">
        <f t="shared" si="1009"/>
        <v>0</v>
      </c>
    </row>
    <row r="1000" spans="7:41" x14ac:dyDescent="0.35">
      <c r="G1000" s="77">
        <f t="shared" si="979"/>
        <v>0</v>
      </c>
      <c r="H1000" s="78">
        <f t="shared" si="980"/>
        <v>0</v>
      </c>
      <c r="I1000" s="77">
        <f t="shared" si="981"/>
        <v>0</v>
      </c>
      <c r="J1000" s="78">
        <f t="shared" si="982"/>
        <v>0</v>
      </c>
      <c r="K1000" s="78" t="str">
        <f t="shared" si="983"/>
        <v>1900-01-00 00:0:00</v>
      </c>
      <c r="L1000" s="78" t="str">
        <f t="shared" si="984"/>
        <v>1900-01-00 00:0:00</v>
      </c>
      <c r="M1000" s="79">
        <f t="shared" si="985"/>
        <v>0</v>
      </c>
      <c r="N1000">
        <f t="shared" si="1010"/>
        <v>1</v>
      </c>
      <c r="O1000" t="str">
        <f>IFERROR(_xlfn.XLOOKUP(A1000,HC!A:A,HC!C:C),"")</f>
        <v>Workforce</v>
      </c>
      <c r="R1000" s="78" t="b">
        <f t="shared" si="986"/>
        <v>0</v>
      </c>
      <c r="S1000" s="78" t="b">
        <f t="shared" si="987"/>
        <v>0</v>
      </c>
      <c r="T1000" s="78" t="b">
        <f t="shared" si="988"/>
        <v>0</v>
      </c>
      <c r="U1000" s="78" t="b">
        <f t="shared" si="989"/>
        <v>0</v>
      </c>
      <c r="V1000" s="78" t="b">
        <f t="shared" si="990"/>
        <v>0</v>
      </c>
      <c r="W1000" s="78" t="b">
        <f t="shared" si="991"/>
        <v>0</v>
      </c>
      <c r="X1000" s="78" t="b">
        <f t="shared" si="992"/>
        <v>0</v>
      </c>
      <c r="Y1000" s="78" t="b">
        <f t="shared" si="993"/>
        <v>0</v>
      </c>
      <c r="Z1000" s="78" t="b">
        <f t="shared" si="994"/>
        <v>0</v>
      </c>
      <c r="AA1000" s="78" t="b">
        <f t="shared" si="995"/>
        <v>0</v>
      </c>
      <c r="AB1000" s="78" t="b">
        <f t="shared" si="996"/>
        <v>0</v>
      </c>
      <c r="AC1000" s="78" t="b">
        <f t="shared" si="997"/>
        <v>0</v>
      </c>
      <c r="AD1000" s="78" t="b">
        <f t="shared" si="998"/>
        <v>0</v>
      </c>
      <c r="AE1000" s="78" t="b">
        <f t="shared" si="999"/>
        <v>0</v>
      </c>
      <c r="AF1000" s="78" t="b">
        <f t="shared" si="1000"/>
        <v>0</v>
      </c>
      <c r="AG1000" s="78" t="b">
        <f t="shared" si="1001"/>
        <v>0</v>
      </c>
      <c r="AH1000" s="78" t="b">
        <f t="shared" si="1002"/>
        <v>0</v>
      </c>
      <c r="AI1000" s="78" t="b">
        <f t="shared" si="1003"/>
        <v>0</v>
      </c>
      <c r="AJ1000" s="78" t="b">
        <f t="shared" si="1004"/>
        <v>0</v>
      </c>
      <c r="AK1000" s="78" t="b">
        <f t="shared" si="1005"/>
        <v>0</v>
      </c>
      <c r="AL1000" s="78" t="b">
        <f t="shared" si="1006"/>
        <v>0</v>
      </c>
      <c r="AM1000" s="78" t="b">
        <f t="shared" si="1007"/>
        <v>0</v>
      </c>
      <c r="AN1000" s="78" t="b">
        <f t="shared" si="1008"/>
        <v>0</v>
      </c>
      <c r="AO1000" s="78" t="b">
        <f t="shared" si="1009"/>
        <v>0</v>
      </c>
    </row>
    <row r="1001" spans="7:41" x14ac:dyDescent="0.35">
      <c r="G1001" s="77">
        <f t="shared" si="979"/>
        <v>0</v>
      </c>
      <c r="H1001" s="78">
        <f t="shared" si="980"/>
        <v>0</v>
      </c>
      <c r="I1001" s="77">
        <f t="shared" si="981"/>
        <v>0</v>
      </c>
      <c r="J1001" s="78">
        <f t="shared" si="982"/>
        <v>0</v>
      </c>
      <c r="K1001" s="78" t="str">
        <f t="shared" si="983"/>
        <v>1900-01-00 00:0:00</v>
      </c>
      <c r="L1001" s="78" t="str">
        <f t="shared" si="984"/>
        <v>1900-01-00 00:0:00</v>
      </c>
      <c r="M1001" s="79">
        <f t="shared" si="985"/>
        <v>0</v>
      </c>
      <c r="N1001">
        <f t="shared" si="1010"/>
        <v>1</v>
      </c>
      <c r="O1001" t="str">
        <f>IFERROR(_xlfn.XLOOKUP(A1001,HC!A:A,HC!C:C),"")</f>
        <v>Workforce</v>
      </c>
      <c r="R1001" s="78" t="b">
        <f t="shared" si="986"/>
        <v>0</v>
      </c>
      <c r="S1001" s="78" t="b">
        <f t="shared" si="987"/>
        <v>0</v>
      </c>
      <c r="T1001" s="78" t="b">
        <f t="shared" si="988"/>
        <v>0</v>
      </c>
      <c r="U1001" s="78" t="b">
        <f t="shared" si="989"/>
        <v>0</v>
      </c>
      <c r="V1001" s="78" t="b">
        <f t="shared" si="990"/>
        <v>0</v>
      </c>
      <c r="W1001" s="78" t="b">
        <f t="shared" si="991"/>
        <v>0</v>
      </c>
      <c r="X1001" s="78" t="b">
        <f t="shared" si="992"/>
        <v>0</v>
      </c>
      <c r="Y1001" s="78" t="b">
        <f t="shared" si="993"/>
        <v>0</v>
      </c>
      <c r="Z1001" s="78" t="b">
        <f t="shared" si="994"/>
        <v>0</v>
      </c>
      <c r="AA1001" s="78" t="b">
        <f t="shared" si="995"/>
        <v>0</v>
      </c>
      <c r="AB1001" s="78" t="b">
        <f t="shared" si="996"/>
        <v>0</v>
      </c>
      <c r="AC1001" s="78" t="b">
        <f t="shared" si="997"/>
        <v>0</v>
      </c>
      <c r="AD1001" s="78" t="b">
        <f t="shared" si="998"/>
        <v>0</v>
      </c>
      <c r="AE1001" s="78" t="b">
        <f t="shared" si="999"/>
        <v>0</v>
      </c>
      <c r="AF1001" s="78" t="b">
        <f t="shared" si="1000"/>
        <v>0</v>
      </c>
      <c r="AG1001" s="78" t="b">
        <f t="shared" si="1001"/>
        <v>0</v>
      </c>
      <c r="AH1001" s="78" t="b">
        <f t="shared" si="1002"/>
        <v>0</v>
      </c>
      <c r="AI1001" s="78" t="b">
        <f t="shared" si="1003"/>
        <v>0</v>
      </c>
      <c r="AJ1001" s="78" t="b">
        <f t="shared" si="1004"/>
        <v>0</v>
      </c>
      <c r="AK1001" s="78" t="b">
        <f t="shared" si="1005"/>
        <v>0</v>
      </c>
      <c r="AL1001" s="78" t="b">
        <f t="shared" si="1006"/>
        <v>0</v>
      </c>
      <c r="AM1001" s="78" t="b">
        <f t="shared" si="1007"/>
        <v>0</v>
      </c>
      <c r="AN1001" s="78" t="b">
        <f t="shared" si="1008"/>
        <v>0</v>
      </c>
      <c r="AO1001" s="78" t="b">
        <f t="shared" si="1009"/>
        <v>0</v>
      </c>
    </row>
    <row r="1002" spans="7:41" x14ac:dyDescent="0.35">
      <c r="G1002" s="77">
        <f t="shared" si="979"/>
        <v>0</v>
      </c>
      <c r="H1002" s="78">
        <f t="shared" si="980"/>
        <v>0</v>
      </c>
      <c r="I1002" s="77">
        <f t="shared" si="981"/>
        <v>0</v>
      </c>
      <c r="J1002" s="78">
        <f t="shared" si="982"/>
        <v>0</v>
      </c>
      <c r="K1002" s="78" t="str">
        <f t="shared" si="983"/>
        <v>1900-01-00 00:0:00</v>
      </c>
      <c r="L1002" s="78" t="str">
        <f t="shared" si="984"/>
        <v>1900-01-00 00:0:00</v>
      </c>
      <c r="M1002" s="79">
        <f t="shared" si="985"/>
        <v>0</v>
      </c>
      <c r="N1002">
        <f t="shared" si="1010"/>
        <v>1</v>
      </c>
      <c r="O1002" t="str">
        <f>IFERROR(_xlfn.XLOOKUP(A1002,HC!A:A,HC!C:C),"")</f>
        <v>Workforce</v>
      </c>
      <c r="R1002" s="78" t="b">
        <f t="shared" si="986"/>
        <v>0</v>
      </c>
      <c r="S1002" s="78" t="b">
        <f t="shared" si="987"/>
        <v>0</v>
      </c>
      <c r="T1002" s="78" t="b">
        <f t="shared" si="988"/>
        <v>0</v>
      </c>
      <c r="U1002" s="78" t="b">
        <f t="shared" si="989"/>
        <v>0</v>
      </c>
      <c r="V1002" s="78" t="b">
        <f t="shared" si="990"/>
        <v>0</v>
      </c>
      <c r="W1002" s="78" t="b">
        <f t="shared" si="991"/>
        <v>0</v>
      </c>
      <c r="X1002" s="78" t="b">
        <f t="shared" si="992"/>
        <v>0</v>
      </c>
      <c r="Y1002" s="78" t="b">
        <f t="shared" si="993"/>
        <v>0</v>
      </c>
      <c r="Z1002" s="78" t="b">
        <f t="shared" si="994"/>
        <v>0</v>
      </c>
      <c r="AA1002" s="78" t="b">
        <f t="shared" si="995"/>
        <v>0</v>
      </c>
      <c r="AB1002" s="78" t="b">
        <f t="shared" si="996"/>
        <v>0</v>
      </c>
      <c r="AC1002" s="78" t="b">
        <f t="shared" si="997"/>
        <v>0</v>
      </c>
      <c r="AD1002" s="78" t="b">
        <f t="shared" si="998"/>
        <v>0</v>
      </c>
      <c r="AE1002" s="78" t="b">
        <f t="shared" si="999"/>
        <v>0</v>
      </c>
      <c r="AF1002" s="78" t="b">
        <f t="shared" si="1000"/>
        <v>0</v>
      </c>
      <c r="AG1002" s="78" t="b">
        <f t="shared" si="1001"/>
        <v>0</v>
      </c>
      <c r="AH1002" s="78" t="b">
        <f t="shared" si="1002"/>
        <v>0</v>
      </c>
      <c r="AI1002" s="78" t="b">
        <f t="shared" si="1003"/>
        <v>0</v>
      </c>
      <c r="AJ1002" s="78" t="b">
        <f t="shared" si="1004"/>
        <v>0</v>
      </c>
      <c r="AK1002" s="78" t="b">
        <f t="shared" si="1005"/>
        <v>0</v>
      </c>
      <c r="AL1002" s="78" t="b">
        <f t="shared" si="1006"/>
        <v>0</v>
      </c>
      <c r="AM1002" s="78" t="b">
        <f t="shared" si="1007"/>
        <v>0</v>
      </c>
      <c r="AN1002" s="78" t="b">
        <f t="shared" si="1008"/>
        <v>0</v>
      </c>
      <c r="AO1002" s="78" t="b">
        <f t="shared" si="1009"/>
        <v>0</v>
      </c>
    </row>
    <row r="1003" spans="7:41" x14ac:dyDescent="0.35">
      <c r="G1003" s="77">
        <f t="shared" si="979"/>
        <v>0</v>
      </c>
      <c r="H1003" s="78">
        <f t="shared" si="980"/>
        <v>0</v>
      </c>
      <c r="I1003" s="77">
        <f t="shared" si="981"/>
        <v>0</v>
      </c>
      <c r="J1003" s="78">
        <f t="shared" si="982"/>
        <v>0</v>
      </c>
      <c r="K1003" s="78" t="str">
        <f t="shared" si="983"/>
        <v>1900-01-00 00:0:00</v>
      </c>
      <c r="L1003" s="78" t="str">
        <f t="shared" si="984"/>
        <v>1900-01-00 00:0:00</v>
      </c>
      <c r="M1003" s="79">
        <f t="shared" si="985"/>
        <v>0</v>
      </c>
      <c r="N1003">
        <f t="shared" si="1010"/>
        <v>1</v>
      </c>
      <c r="O1003" t="str">
        <f>IFERROR(_xlfn.XLOOKUP(A1003,HC!A:A,HC!C:C),"")</f>
        <v>Workforce</v>
      </c>
      <c r="R1003" s="78" t="b">
        <f t="shared" si="986"/>
        <v>0</v>
      </c>
      <c r="S1003" s="78" t="b">
        <f t="shared" si="987"/>
        <v>0</v>
      </c>
      <c r="T1003" s="78" t="b">
        <f t="shared" si="988"/>
        <v>0</v>
      </c>
      <c r="U1003" s="78" t="b">
        <f t="shared" si="989"/>
        <v>0</v>
      </c>
      <c r="V1003" s="78" t="b">
        <f t="shared" si="990"/>
        <v>0</v>
      </c>
      <c r="W1003" s="78" t="b">
        <f t="shared" si="991"/>
        <v>0</v>
      </c>
      <c r="X1003" s="78" t="b">
        <f t="shared" si="992"/>
        <v>0</v>
      </c>
      <c r="Y1003" s="78" t="b">
        <f t="shared" si="993"/>
        <v>0</v>
      </c>
      <c r="Z1003" s="78" t="b">
        <f t="shared" si="994"/>
        <v>0</v>
      </c>
      <c r="AA1003" s="78" t="b">
        <f t="shared" si="995"/>
        <v>0</v>
      </c>
      <c r="AB1003" s="78" t="b">
        <f t="shared" si="996"/>
        <v>0</v>
      </c>
      <c r="AC1003" s="78" t="b">
        <f t="shared" si="997"/>
        <v>0</v>
      </c>
      <c r="AD1003" s="78" t="b">
        <f t="shared" si="998"/>
        <v>0</v>
      </c>
      <c r="AE1003" s="78" t="b">
        <f t="shared" si="999"/>
        <v>0</v>
      </c>
      <c r="AF1003" s="78" t="b">
        <f t="shared" si="1000"/>
        <v>0</v>
      </c>
      <c r="AG1003" s="78" t="b">
        <f t="shared" si="1001"/>
        <v>0</v>
      </c>
      <c r="AH1003" s="78" t="b">
        <f t="shared" si="1002"/>
        <v>0</v>
      </c>
      <c r="AI1003" s="78" t="b">
        <f t="shared" si="1003"/>
        <v>0</v>
      </c>
      <c r="AJ1003" s="78" t="b">
        <f t="shared" si="1004"/>
        <v>0</v>
      </c>
      <c r="AK1003" s="78" t="b">
        <f t="shared" si="1005"/>
        <v>0</v>
      </c>
      <c r="AL1003" s="78" t="b">
        <f t="shared" si="1006"/>
        <v>0</v>
      </c>
      <c r="AM1003" s="78" t="b">
        <f t="shared" si="1007"/>
        <v>0</v>
      </c>
      <c r="AN1003" s="78" t="b">
        <f t="shared" si="1008"/>
        <v>0</v>
      </c>
      <c r="AO1003" s="78" t="b">
        <f t="shared" si="1009"/>
        <v>0</v>
      </c>
    </row>
    <row r="1004" spans="7:41" x14ac:dyDescent="0.35">
      <c r="G1004" s="77">
        <f t="shared" si="979"/>
        <v>0</v>
      </c>
      <c r="H1004" s="78">
        <f t="shared" si="980"/>
        <v>0</v>
      </c>
      <c r="I1004" s="77">
        <f t="shared" si="981"/>
        <v>0</v>
      </c>
      <c r="J1004" s="78">
        <f t="shared" si="982"/>
        <v>0</v>
      </c>
      <c r="K1004" s="78" t="str">
        <f t="shared" si="983"/>
        <v>1900-01-00 00:0:00</v>
      </c>
      <c r="L1004" s="78" t="str">
        <f t="shared" si="984"/>
        <v>1900-01-00 00:0:00</v>
      </c>
      <c r="M1004" s="79">
        <f t="shared" si="985"/>
        <v>0</v>
      </c>
      <c r="N1004">
        <f t="shared" si="1010"/>
        <v>1</v>
      </c>
      <c r="O1004" t="str">
        <f>IFERROR(_xlfn.XLOOKUP(A1004,HC!A:A,HC!C:C),"")</f>
        <v>Workforce</v>
      </c>
      <c r="R1004" s="78" t="b">
        <f t="shared" si="986"/>
        <v>0</v>
      </c>
      <c r="S1004" s="78" t="b">
        <f t="shared" si="987"/>
        <v>0</v>
      </c>
      <c r="T1004" s="78" t="b">
        <f t="shared" si="988"/>
        <v>0</v>
      </c>
      <c r="U1004" s="78" t="b">
        <f t="shared" si="989"/>
        <v>0</v>
      </c>
      <c r="V1004" s="78" t="b">
        <f t="shared" si="990"/>
        <v>0</v>
      </c>
      <c r="W1004" s="78" t="b">
        <f t="shared" si="991"/>
        <v>0</v>
      </c>
      <c r="X1004" s="78" t="b">
        <f t="shared" si="992"/>
        <v>0</v>
      </c>
      <c r="Y1004" s="78" t="b">
        <f t="shared" si="993"/>
        <v>0</v>
      </c>
      <c r="Z1004" s="78" t="b">
        <f t="shared" si="994"/>
        <v>0</v>
      </c>
      <c r="AA1004" s="78" t="b">
        <f t="shared" si="995"/>
        <v>0</v>
      </c>
      <c r="AB1004" s="78" t="b">
        <f t="shared" si="996"/>
        <v>0</v>
      </c>
      <c r="AC1004" s="78" t="b">
        <f t="shared" si="997"/>
        <v>0</v>
      </c>
      <c r="AD1004" s="78" t="b">
        <f t="shared" si="998"/>
        <v>0</v>
      </c>
      <c r="AE1004" s="78" t="b">
        <f t="shared" si="999"/>
        <v>0</v>
      </c>
      <c r="AF1004" s="78" t="b">
        <f t="shared" si="1000"/>
        <v>0</v>
      </c>
      <c r="AG1004" s="78" t="b">
        <f t="shared" si="1001"/>
        <v>0</v>
      </c>
      <c r="AH1004" s="78" t="b">
        <f t="shared" si="1002"/>
        <v>0</v>
      </c>
      <c r="AI1004" s="78" t="b">
        <f t="shared" si="1003"/>
        <v>0</v>
      </c>
      <c r="AJ1004" s="78" t="b">
        <f t="shared" si="1004"/>
        <v>0</v>
      </c>
      <c r="AK1004" s="78" t="b">
        <f t="shared" si="1005"/>
        <v>0</v>
      </c>
      <c r="AL1004" s="78" t="b">
        <f t="shared" si="1006"/>
        <v>0</v>
      </c>
      <c r="AM1004" s="78" t="b">
        <f t="shared" si="1007"/>
        <v>0</v>
      </c>
      <c r="AN1004" s="78" t="b">
        <f t="shared" si="1008"/>
        <v>0</v>
      </c>
      <c r="AO1004" s="78" t="b">
        <f t="shared" si="1009"/>
        <v>0</v>
      </c>
    </row>
    <row r="1005" spans="7:41" x14ac:dyDescent="0.35">
      <c r="G1005" s="77">
        <f t="shared" si="979"/>
        <v>0</v>
      </c>
      <c r="H1005" s="78">
        <f t="shared" si="980"/>
        <v>0</v>
      </c>
      <c r="I1005" s="77">
        <f t="shared" si="981"/>
        <v>0</v>
      </c>
      <c r="J1005" s="78">
        <f t="shared" si="982"/>
        <v>0</v>
      </c>
      <c r="K1005" s="78" t="str">
        <f t="shared" si="983"/>
        <v>1900-01-00 00:0:00</v>
      </c>
      <c r="L1005" s="78" t="str">
        <f t="shared" si="984"/>
        <v>1900-01-00 00:0:00</v>
      </c>
      <c r="M1005" s="79">
        <f t="shared" si="985"/>
        <v>0</v>
      </c>
      <c r="N1005">
        <f t="shared" si="1010"/>
        <v>1</v>
      </c>
      <c r="O1005" t="str">
        <f>IFERROR(_xlfn.XLOOKUP(A1005,HC!A:A,HC!C:C),"")</f>
        <v>Workforce</v>
      </c>
      <c r="R1005" s="78" t="b">
        <f t="shared" si="986"/>
        <v>0</v>
      </c>
      <c r="S1005" s="78" t="b">
        <f t="shared" si="987"/>
        <v>0</v>
      </c>
      <c r="T1005" s="78" t="b">
        <f t="shared" si="988"/>
        <v>0</v>
      </c>
      <c r="U1005" s="78" t="b">
        <f t="shared" si="989"/>
        <v>0</v>
      </c>
      <c r="V1005" s="78" t="b">
        <f t="shared" si="990"/>
        <v>0</v>
      </c>
      <c r="W1005" s="78" t="b">
        <f t="shared" si="991"/>
        <v>0</v>
      </c>
      <c r="X1005" s="78" t="b">
        <f t="shared" si="992"/>
        <v>0</v>
      </c>
      <c r="Y1005" s="78" t="b">
        <f t="shared" si="993"/>
        <v>0</v>
      </c>
      <c r="Z1005" s="78" t="b">
        <f t="shared" si="994"/>
        <v>0</v>
      </c>
      <c r="AA1005" s="78" t="b">
        <f t="shared" si="995"/>
        <v>0</v>
      </c>
      <c r="AB1005" s="78" t="b">
        <f t="shared" si="996"/>
        <v>0</v>
      </c>
      <c r="AC1005" s="78" t="b">
        <f t="shared" si="997"/>
        <v>0</v>
      </c>
      <c r="AD1005" s="78" t="b">
        <f t="shared" si="998"/>
        <v>0</v>
      </c>
      <c r="AE1005" s="78" t="b">
        <f t="shared" si="999"/>
        <v>0</v>
      </c>
      <c r="AF1005" s="78" t="b">
        <f t="shared" si="1000"/>
        <v>0</v>
      </c>
      <c r="AG1005" s="78" t="b">
        <f t="shared" si="1001"/>
        <v>0</v>
      </c>
      <c r="AH1005" s="78" t="b">
        <f t="shared" si="1002"/>
        <v>0</v>
      </c>
      <c r="AI1005" s="78" t="b">
        <f t="shared" si="1003"/>
        <v>0</v>
      </c>
      <c r="AJ1005" s="78" t="b">
        <f t="shared" si="1004"/>
        <v>0</v>
      </c>
      <c r="AK1005" s="78" t="b">
        <f t="shared" si="1005"/>
        <v>0</v>
      </c>
      <c r="AL1005" s="78" t="b">
        <f t="shared" si="1006"/>
        <v>0</v>
      </c>
      <c r="AM1005" s="78" t="b">
        <f t="shared" si="1007"/>
        <v>0</v>
      </c>
      <c r="AN1005" s="78" t="b">
        <f t="shared" si="1008"/>
        <v>0</v>
      </c>
      <c r="AO1005" s="78" t="b">
        <f t="shared" si="1009"/>
        <v>0</v>
      </c>
    </row>
    <row r="1006" spans="7:41" x14ac:dyDescent="0.35">
      <c r="G1006" s="77">
        <f t="shared" si="979"/>
        <v>0</v>
      </c>
      <c r="H1006" s="78">
        <f t="shared" si="980"/>
        <v>0</v>
      </c>
      <c r="I1006" s="77">
        <f t="shared" si="981"/>
        <v>0</v>
      </c>
      <c r="J1006" s="78">
        <f t="shared" si="982"/>
        <v>0</v>
      </c>
      <c r="K1006" s="78" t="str">
        <f t="shared" si="983"/>
        <v>1900-01-00 00:0:00</v>
      </c>
      <c r="L1006" s="78" t="str">
        <f t="shared" si="984"/>
        <v>1900-01-00 00:0:00</v>
      </c>
      <c r="M1006" s="79">
        <f t="shared" si="985"/>
        <v>0</v>
      </c>
      <c r="N1006">
        <f t="shared" si="1010"/>
        <v>1</v>
      </c>
      <c r="O1006" t="str">
        <f>IFERROR(_xlfn.XLOOKUP(A1006,HC!A:A,HC!C:C),"")</f>
        <v>Workforce</v>
      </c>
      <c r="R1006" s="78" t="b">
        <f t="shared" si="986"/>
        <v>0</v>
      </c>
      <c r="S1006" s="78" t="b">
        <f t="shared" si="987"/>
        <v>0</v>
      </c>
      <c r="T1006" s="78" t="b">
        <f t="shared" si="988"/>
        <v>0</v>
      </c>
      <c r="U1006" s="78" t="b">
        <f t="shared" si="989"/>
        <v>0</v>
      </c>
      <c r="V1006" s="78" t="b">
        <f t="shared" si="990"/>
        <v>0</v>
      </c>
      <c r="W1006" s="78" t="b">
        <f t="shared" si="991"/>
        <v>0</v>
      </c>
      <c r="X1006" s="78" t="b">
        <f t="shared" si="992"/>
        <v>0</v>
      </c>
      <c r="Y1006" s="78" t="b">
        <f t="shared" si="993"/>
        <v>0</v>
      </c>
      <c r="Z1006" s="78" t="b">
        <f t="shared" si="994"/>
        <v>0</v>
      </c>
      <c r="AA1006" s="78" t="b">
        <f t="shared" si="995"/>
        <v>0</v>
      </c>
      <c r="AB1006" s="78" t="b">
        <f t="shared" si="996"/>
        <v>0</v>
      </c>
      <c r="AC1006" s="78" t="b">
        <f t="shared" si="997"/>
        <v>0</v>
      </c>
      <c r="AD1006" s="78" t="b">
        <f t="shared" si="998"/>
        <v>0</v>
      </c>
      <c r="AE1006" s="78" t="b">
        <f t="shared" si="999"/>
        <v>0</v>
      </c>
      <c r="AF1006" s="78" t="b">
        <f t="shared" si="1000"/>
        <v>0</v>
      </c>
      <c r="AG1006" s="78" t="b">
        <f t="shared" si="1001"/>
        <v>0</v>
      </c>
      <c r="AH1006" s="78" t="b">
        <f t="shared" si="1002"/>
        <v>0</v>
      </c>
      <c r="AI1006" s="78" t="b">
        <f t="shared" si="1003"/>
        <v>0</v>
      </c>
      <c r="AJ1006" s="78" t="b">
        <f t="shared" si="1004"/>
        <v>0</v>
      </c>
      <c r="AK1006" s="78" t="b">
        <f t="shared" si="1005"/>
        <v>0</v>
      </c>
      <c r="AL1006" s="78" t="b">
        <f t="shared" si="1006"/>
        <v>0</v>
      </c>
      <c r="AM1006" s="78" t="b">
        <f t="shared" si="1007"/>
        <v>0</v>
      </c>
      <c r="AN1006" s="78" t="b">
        <f t="shared" si="1008"/>
        <v>0</v>
      </c>
      <c r="AO1006" s="78" t="b">
        <f t="shared" si="1009"/>
        <v>0</v>
      </c>
    </row>
    <row r="1007" spans="7:41" x14ac:dyDescent="0.35">
      <c r="G1007" s="77">
        <f t="shared" si="979"/>
        <v>0</v>
      </c>
      <c r="H1007" s="78">
        <f t="shared" si="980"/>
        <v>0</v>
      </c>
      <c r="I1007" s="77">
        <f t="shared" si="981"/>
        <v>0</v>
      </c>
      <c r="J1007" s="78">
        <f t="shared" si="982"/>
        <v>0</v>
      </c>
      <c r="K1007" s="78" t="str">
        <f t="shared" si="983"/>
        <v>1900-01-00 00:0:00</v>
      </c>
      <c r="L1007" s="78" t="str">
        <f t="shared" si="984"/>
        <v>1900-01-00 00:0:00</v>
      </c>
      <c r="M1007" s="79">
        <f t="shared" si="985"/>
        <v>0</v>
      </c>
      <c r="N1007">
        <f t="shared" si="1010"/>
        <v>1</v>
      </c>
      <c r="O1007" t="str">
        <f>IFERROR(_xlfn.XLOOKUP(A1007,HC!A:A,HC!C:C),"")</f>
        <v>Workforce</v>
      </c>
      <c r="R1007" s="78" t="b">
        <f t="shared" si="986"/>
        <v>0</v>
      </c>
      <c r="S1007" s="78" t="b">
        <f t="shared" si="987"/>
        <v>0</v>
      </c>
      <c r="T1007" s="78" t="b">
        <f t="shared" si="988"/>
        <v>0</v>
      </c>
      <c r="U1007" s="78" t="b">
        <f t="shared" si="989"/>
        <v>0</v>
      </c>
      <c r="V1007" s="78" t="b">
        <f t="shared" si="990"/>
        <v>0</v>
      </c>
      <c r="W1007" s="78" t="b">
        <f t="shared" si="991"/>
        <v>0</v>
      </c>
      <c r="X1007" s="78" t="b">
        <f t="shared" si="992"/>
        <v>0</v>
      </c>
      <c r="Y1007" s="78" t="b">
        <f t="shared" si="993"/>
        <v>0</v>
      </c>
      <c r="Z1007" s="78" t="b">
        <f t="shared" si="994"/>
        <v>0</v>
      </c>
      <c r="AA1007" s="78" t="b">
        <f t="shared" si="995"/>
        <v>0</v>
      </c>
      <c r="AB1007" s="78" t="b">
        <f t="shared" si="996"/>
        <v>0</v>
      </c>
      <c r="AC1007" s="78" t="b">
        <f t="shared" si="997"/>
        <v>0</v>
      </c>
      <c r="AD1007" s="78" t="b">
        <f t="shared" si="998"/>
        <v>0</v>
      </c>
      <c r="AE1007" s="78" t="b">
        <f t="shared" si="999"/>
        <v>0</v>
      </c>
      <c r="AF1007" s="78" t="b">
        <f t="shared" si="1000"/>
        <v>0</v>
      </c>
      <c r="AG1007" s="78" t="b">
        <f t="shared" si="1001"/>
        <v>0</v>
      </c>
      <c r="AH1007" s="78" t="b">
        <f t="shared" si="1002"/>
        <v>0</v>
      </c>
      <c r="AI1007" s="78" t="b">
        <f t="shared" si="1003"/>
        <v>0</v>
      </c>
      <c r="AJ1007" s="78" t="b">
        <f t="shared" si="1004"/>
        <v>0</v>
      </c>
      <c r="AK1007" s="78" t="b">
        <f t="shared" si="1005"/>
        <v>0</v>
      </c>
      <c r="AL1007" s="78" t="b">
        <f t="shared" si="1006"/>
        <v>0</v>
      </c>
      <c r="AM1007" s="78" t="b">
        <f t="shared" si="1007"/>
        <v>0</v>
      </c>
      <c r="AN1007" s="78" t="b">
        <f t="shared" si="1008"/>
        <v>0</v>
      </c>
      <c r="AO1007" s="78" t="b">
        <f t="shared" si="1009"/>
        <v>0</v>
      </c>
    </row>
    <row r="1008" spans="7:41" x14ac:dyDescent="0.35">
      <c r="G1008" s="77">
        <f t="shared" si="979"/>
        <v>0</v>
      </c>
      <c r="H1008" s="78">
        <f t="shared" si="980"/>
        <v>0</v>
      </c>
      <c r="I1008" s="77">
        <f t="shared" si="981"/>
        <v>0</v>
      </c>
      <c r="J1008" s="78">
        <f t="shared" si="982"/>
        <v>0</v>
      </c>
      <c r="K1008" s="78" t="str">
        <f t="shared" si="983"/>
        <v>1900-01-00 00:0:00</v>
      </c>
      <c r="L1008" s="78" t="str">
        <f t="shared" si="984"/>
        <v>1900-01-00 00:0:00</v>
      </c>
      <c r="M1008" s="79">
        <f t="shared" si="985"/>
        <v>0</v>
      </c>
      <c r="N1008">
        <f t="shared" si="1010"/>
        <v>1</v>
      </c>
      <c r="O1008" t="str">
        <f>IFERROR(_xlfn.XLOOKUP(A1008,HC!A:A,HC!C:C),"")</f>
        <v>Workforce</v>
      </c>
      <c r="R1008" s="78" t="b">
        <f t="shared" si="986"/>
        <v>0</v>
      </c>
      <c r="S1008" s="78" t="b">
        <f t="shared" si="987"/>
        <v>0</v>
      </c>
      <c r="T1008" s="78" t="b">
        <f t="shared" si="988"/>
        <v>0</v>
      </c>
      <c r="U1008" s="78" t="b">
        <f t="shared" si="989"/>
        <v>0</v>
      </c>
      <c r="V1008" s="78" t="b">
        <f t="shared" si="990"/>
        <v>0</v>
      </c>
      <c r="W1008" s="78" t="b">
        <f t="shared" si="991"/>
        <v>0</v>
      </c>
      <c r="X1008" s="78" t="b">
        <f t="shared" si="992"/>
        <v>0</v>
      </c>
      <c r="Y1008" s="78" t="b">
        <f t="shared" si="993"/>
        <v>0</v>
      </c>
      <c r="Z1008" s="78" t="b">
        <f t="shared" si="994"/>
        <v>0</v>
      </c>
      <c r="AA1008" s="78" t="b">
        <f t="shared" si="995"/>
        <v>0</v>
      </c>
      <c r="AB1008" s="78" t="b">
        <f t="shared" si="996"/>
        <v>0</v>
      </c>
      <c r="AC1008" s="78" t="b">
        <f t="shared" si="997"/>
        <v>0</v>
      </c>
      <c r="AD1008" s="78" t="b">
        <f t="shared" si="998"/>
        <v>0</v>
      </c>
      <c r="AE1008" s="78" t="b">
        <f t="shared" si="999"/>
        <v>0</v>
      </c>
      <c r="AF1008" s="78" t="b">
        <f t="shared" si="1000"/>
        <v>0</v>
      </c>
      <c r="AG1008" s="78" t="b">
        <f t="shared" si="1001"/>
        <v>0</v>
      </c>
      <c r="AH1008" s="78" t="b">
        <f t="shared" si="1002"/>
        <v>0</v>
      </c>
      <c r="AI1008" s="78" t="b">
        <f t="shared" si="1003"/>
        <v>0</v>
      </c>
      <c r="AJ1008" s="78" t="b">
        <f t="shared" si="1004"/>
        <v>0</v>
      </c>
      <c r="AK1008" s="78" t="b">
        <f t="shared" si="1005"/>
        <v>0</v>
      </c>
      <c r="AL1008" s="78" t="b">
        <f t="shared" si="1006"/>
        <v>0</v>
      </c>
      <c r="AM1008" s="78" t="b">
        <f t="shared" si="1007"/>
        <v>0</v>
      </c>
      <c r="AN1008" s="78" t="b">
        <f t="shared" si="1008"/>
        <v>0</v>
      </c>
      <c r="AO1008" s="78" t="b">
        <f t="shared" si="1009"/>
        <v>0</v>
      </c>
    </row>
    <row r="1009" spans="7:41" x14ac:dyDescent="0.35">
      <c r="G1009" s="77">
        <f t="shared" si="979"/>
        <v>0</v>
      </c>
      <c r="H1009" s="78">
        <f t="shared" si="980"/>
        <v>0</v>
      </c>
      <c r="I1009" s="77">
        <f t="shared" si="981"/>
        <v>0</v>
      </c>
      <c r="J1009" s="78">
        <f t="shared" si="982"/>
        <v>0</v>
      </c>
      <c r="K1009" s="78" t="str">
        <f t="shared" si="983"/>
        <v>1900-01-00 00:0:00</v>
      </c>
      <c r="L1009" s="78" t="str">
        <f t="shared" si="984"/>
        <v>1900-01-00 00:0:00</v>
      </c>
      <c r="M1009" s="79">
        <f t="shared" si="985"/>
        <v>0</v>
      </c>
      <c r="N1009">
        <f t="shared" si="1010"/>
        <v>1</v>
      </c>
      <c r="O1009" t="str">
        <f>IFERROR(_xlfn.XLOOKUP(A1009,HC!A:A,HC!C:C),"")</f>
        <v>Workforce</v>
      </c>
      <c r="R1009" s="78" t="b">
        <f t="shared" si="986"/>
        <v>0</v>
      </c>
      <c r="S1009" s="78" t="b">
        <f t="shared" si="987"/>
        <v>0</v>
      </c>
      <c r="T1009" s="78" t="b">
        <f t="shared" si="988"/>
        <v>0</v>
      </c>
      <c r="U1009" s="78" t="b">
        <f t="shared" si="989"/>
        <v>0</v>
      </c>
      <c r="V1009" s="78" t="b">
        <f t="shared" si="990"/>
        <v>0</v>
      </c>
      <c r="W1009" s="78" t="b">
        <f t="shared" si="991"/>
        <v>0</v>
      </c>
      <c r="X1009" s="78" t="b">
        <f t="shared" si="992"/>
        <v>0</v>
      </c>
      <c r="Y1009" s="78" t="b">
        <f t="shared" si="993"/>
        <v>0</v>
      </c>
      <c r="Z1009" s="78" t="b">
        <f t="shared" si="994"/>
        <v>0</v>
      </c>
      <c r="AA1009" s="78" t="b">
        <f t="shared" si="995"/>
        <v>0</v>
      </c>
      <c r="AB1009" s="78" t="b">
        <f t="shared" si="996"/>
        <v>0</v>
      </c>
      <c r="AC1009" s="78" t="b">
        <f t="shared" si="997"/>
        <v>0</v>
      </c>
      <c r="AD1009" s="78" t="b">
        <f t="shared" si="998"/>
        <v>0</v>
      </c>
      <c r="AE1009" s="78" t="b">
        <f t="shared" si="999"/>
        <v>0</v>
      </c>
      <c r="AF1009" s="78" t="b">
        <f t="shared" si="1000"/>
        <v>0</v>
      </c>
      <c r="AG1009" s="78" t="b">
        <f t="shared" si="1001"/>
        <v>0</v>
      </c>
      <c r="AH1009" s="78" t="b">
        <f t="shared" si="1002"/>
        <v>0</v>
      </c>
      <c r="AI1009" s="78" t="b">
        <f t="shared" si="1003"/>
        <v>0</v>
      </c>
      <c r="AJ1009" s="78" t="b">
        <f t="shared" si="1004"/>
        <v>0</v>
      </c>
      <c r="AK1009" s="78" t="b">
        <f t="shared" si="1005"/>
        <v>0</v>
      </c>
      <c r="AL1009" s="78" t="b">
        <f t="shared" si="1006"/>
        <v>0</v>
      </c>
      <c r="AM1009" s="78" t="b">
        <f t="shared" si="1007"/>
        <v>0</v>
      </c>
      <c r="AN1009" s="78" t="b">
        <f t="shared" si="1008"/>
        <v>0</v>
      </c>
      <c r="AO1009" s="78" t="b">
        <f t="shared" si="1009"/>
        <v>0</v>
      </c>
    </row>
    <row r="1010" spans="7:41" x14ac:dyDescent="0.35">
      <c r="G1010" s="77">
        <f t="shared" si="979"/>
        <v>0</v>
      </c>
      <c r="H1010" s="78">
        <f t="shared" si="980"/>
        <v>0</v>
      </c>
      <c r="I1010" s="77">
        <f t="shared" si="981"/>
        <v>0</v>
      </c>
      <c r="J1010" s="78">
        <f t="shared" si="982"/>
        <v>0</v>
      </c>
      <c r="K1010" s="78" t="str">
        <f t="shared" si="983"/>
        <v>1900-01-00 00:0:00</v>
      </c>
      <c r="L1010" s="78" t="str">
        <f t="shared" si="984"/>
        <v>1900-01-00 00:0:00</v>
      </c>
      <c r="M1010" s="79">
        <f t="shared" si="985"/>
        <v>0</v>
      </c>
      <c r="N1010">
        <f t="shared" si="1010"/>
        <v>1</v>
      </c>
      <c r="O1010" t="str">
        <f>IFERROR(_xlfn.XLOOKUP(A1010,HC!A:A,HC!C:C),"")</f>
        <v>Workforce</v>
      </c>
      <c r="R1010" s="78" t="b">
        <f t="shared" si="986"/>
        <v>0</v>
      </c>
      <c r="S1010" s="78" t="b">
        <f t="shared" si="987"/>
        <v>0</v>
      </c>
      <c r="T1010" s="78" t="b">
        <f t="shared" si="988"/>
        <v>0</v>
      </c>
      <c r="U1010" s="78" t="b">
        <f t="shared" si="989"/>
        <v>0</v>
      </c>
      <c r="V1010" s="78" t="b">
        <f t="shared" si="990"/>
        <v>0</v>
      </c>
      <c r="W1010" s="78" t="b">
        <f t="shared" si="991"/>
        <v>0</v>
      </c>
      <c r="X1010" s="78" t="b">
        <f t="shared" si="992"/>
        <v>0</v>
      </c>
      <c r="Y1010" s="78" t="b">
        <f t="shared" si="993"/>
        <v>0</v>
      </c>
      <c r="Z1010" s="78" t="b">
        <f t="shared" si="994"/>
        <v>0</v>
      </c>
      <c r="AA1010" s="78" t="b">
        <f t="shared" si="995"/>
        <v>0</v>
      </c>
      <c r="AB1010" s="78" t="b">
        <f t="shared" si="996"/>
        <v>0</v>
      </c>
      <c r="AC1010" s="78" t="b">
        <f t="shared" si="997"/>
        <v>0</v>
      </c>
      <c r="AD1010" s="78" t="b">
        <f t="shared" si="998"/>
        <v>0</v>
      </c>
      <c r="AE1010" s="78" t="b">
        <f t="shared" si="999"/>
        <v>0</v>
      </c>
      <c r="AF1010" s="78" t="b">
        <f t="shared" si="1000"/>
        <v>0</v>
      </c>
      <c r="AG1010" s="78" t="b">
        <f t="shared" si="1001"/>
        <v>0</v>
      </c>
      <c r="AH1010" s="78" t="b">
        <f t="shared" si="1002"/>
        <v>0</v>
      </c>
      <c r="AI1010" s="78" t="b">
        <f t="shared" si="1003"/>
        <v>0</v>
      </c>
      <c r="AJ1010" s="78" t="b">
        <f t="shared" si="1004"/>
        <v>0</v>
      </c>
      <c r="AK1010" s="78" t="b">
        <f t="shared" si="1005"/>
        <v>0</v>
      </c>
      <c r="AL1010" s="78" t="b">
        <f t="shared" si="1006"/>
        <v>0</v>
      </c>
      <c r="AM1010" s="78" t="b">
        <f t="shared" si="1007"/>
        <v>0</v>
      </c>
      <c r="AN1010" s="78" t="b">
        <f t="shared" si="1008"/>
        <v>0</v>
      </c>
      <c r="AO1010" s="78" t="b">
        <f t="shared" si="1009"/>
        <v>0</v>
      </c>
    </row>
    <row r="1011" spans="7:41" x14ac:dyDescent="0.35">
      <c r="G1011" s="77">
        <f t="shared" si="979"/>
        <v>0</v>
      </c>
      <c r="H1011" s="78">
        <f t="shared" si="980"/>
        <v>0</v>
      </c>
      <c r="I1011" s="77">
        <f t="shared" si="981"/>
        <v>0</v>
      </c>
      <c r="J1011" s="78">
        <f t="shared" si="982"/>
        <v>0</v>
      </c>
      <c r="K1011" s="78" t="str">
        <f t="shared" si="983"/>
        <v>1900-01-00 00:0:00</v>
      </c>
      <c r="L1011" s="78" t="str">
        <f t="shared" si="984"/>
        <v>1900-01-00 00:0:00</v>
      </c>
      <c r="M1011" s="79">
        <f t="shared" si="985"/>
        <v>0</v>
      </c>
      <c r="N1011">
        <f t="shared" si="1010"/>
        <v>1</v>
      </c>
      <c r="O1011" t="str">
        <f>IFERROR(_xlfn.XLOOKUP(A1011,HC!A:A,HC!C:C),"")</f>
        <v>Workforce</v>
      </c>
      <c r="R1011" s="78" t="b">
        <f t="shared" si="986"/>
        <v>0</v>
      </c>
      <c r="S1011" s="78" t="b">
        <f t="shared" si="987"/>
        <v>0</v>
      </c>
      <c r="T1011" s="78" t="b">
        <f t="shared" si="988"/>
        <v>0</v>
      </c>
      <c r="U1011" s="78" t="b">
        <f t="shared" si="989"/>
        <v>0</v>
      </c>
      <c r="V1011" s="78" t="b">
        <f t="shared" si="990"/>
        <v>0</v>
      </c>
      <c r="W1011" s="78" t="b">
        <f t="shared" si="991"/>
        <v>0</v>
      </c>
      <c r="X1011" s="78" t="b">
        <f t="shared" si="992"/>
        <v>0</v>
      </c>
      <c r="Y1011" s="78" t="b">
        <f t="shared" si="993"/>
        <v>0</v>
      </c>
      <c r="Z1011" s="78" t="b">
        <f t="shared" si="994"/>
        <v>0</v>
      </c>
      <c r="AA1011" s="78" t="b">
        <f t="shared" si="995"/>
        <v>0</v>
      </c>
      <c r="AB1011" s="78" t="b">
        <f t="shared" si="996"/>
        <v>0</v>
      </c>
      <c r="AC1011" s="78" t="b">
        <f t="shared" si="997"/>
        <v>0</v>
      </c>
      <c r="AD1011" s="78" t="b">
        <f t="shared" si="998"/>
        <v>0</v>
      </c>
      <c r="AE1011" s="78" t="b">
        <f t="shared" si="999"/>
        <v>0</v>
      </c>
      <c r="AF1011" s="78" t="b">
        <f t="shared" si="1000"/>
        <v>0</v>
      </c>
      <c r="AG1011" s="78" t="b">
        <f t="shared" si="1001"/>
        <v>0</v>
      </c>
      <c r="AH1011" s="78" t="b">
        <f t="shared" si="1002"/>
        <v>0</v>
      </c>
      <c r="AI1011" s="78" t="b">
        <f t="shared" si="1003"/>
        <v>0</v>
      </c>
      <c r="AJ1011" s="78" t="b">
        <f t="shared" si="1004"/>
        <v>0</v>
      </c>
      <c r="AK1011" s="78" t="b">
        <f t="shared" si="1005"/>
        <v>0</v>
      </c>
      <c r="AL1011" s="78" t="b">
        <f t="shared" si="1006"/>
        <v>0</v>
      </c>
      <c r="AM1011" s="78" t="b">
        <f t="shared" si="1007"/>
        <v>0</v>
      </c>
      <c r="AN1011" s="78" t="b">
        <f t="shared" si="1008"/>
        <v>0</v>
      </c>
      <c r="AO1011" s="78" t="b">
        <f t="shared" si="1009"/>
        <v>0</v>
      </c>
    </row>
    <row r="1012" spans="7:41" x14ac:dyDescent="0.35">
      <c r="G1012" s="77">
        <f t="shared" si="979"/>
        <v>0</v>
      </c>
      <c r="H1012" s="78">
        <f t="shared" si="980"/>
        <v>0</v>
      </c>
      <c r="I1012" s="77">
        <f t="shared" si="981"/>
        <v>0</v>
      </c>
      <c r="J1012" s="78">
        <f t="shared" si="982"/>
        <v>0</v>
      </c>
      <c r="K1012" s="78" t="str">
        <f t="shared" si="983"/>
        <v>1900-01-00 00:0:00</v>
      </c>
      <c r="L1012" s="78" t="str">
        <f t="shared" si="984"/>
        <v>1900-01-00 00:0:00</v>
      </c>
      <c r="M1012" s="79">
        <f t="shared" si="985"/>
        <v>0</v>
      </c>
      <c r="N1012">
        <f t="shared" si="1010"/>
        <v>1</v>
      </c>
      <c r="O1012" t="str">
        <f>IFERROR(_xlfn.XLOOKUP(A1012,HC!A:A,HC!C:C),"")</f>
        <v>Workforce</v>
      </c>
      <c r="R1012" s="78" t="b">
        <f t="shared" si="986"/>
        <v>0</v>
      </c>
      <c r="S1012" s="78" t="b">
        <f t="shared" si="987"/>
        <v>0</v>
      </c>
      <c r="T1012" s="78" t="b">
        <f t="shared" si="988"/>
        <v>0</v>
      </c>
      <c r="U1012" s="78" t="b">
        <f t="shared" si="989"/>
        <v>0</v>
      </c>
      <c r="V1012" s="78" t="b">
        <f t="shared" si="990"/>
        <v>0</v>
      </c>
      <c r="W1012" s="78" t="b">
        <f t="shared" si="991"/>
        <v>0</v>
      </c>
      <c r="X1012" s="78" t="b">
        <f t="shared" si="992"/>
        <v>0</v>
      </c>
      <c r="Y1012" s="78" t="b">
        <f t="shared" si="993"/>
        <v>0</v>
      </c>
      <c r="Z1012" s="78" t="b">
        <f t="shared" si="994"/>
        <v>0</v>
      </c>
      <c r="AA1012" s="78" t="b">
        <f t="shared" si="995"/>
        <v>0</v>
      </c>
      <c r="AB1012" s="78" t="b">
        <f t="shared" si="996"/>
        <v>0</v>
      </c>
      <c r="AC1012" s="78" t="b">
        <f t="shared" si="997"/>
        <v>0</v>
      </c>
      <c r="AD1012" s="78" t="b">
        <f t="shared" si="998"/>
        <v>0</v>
      </c>
      <c r="AE1012" s="78" t="b">
        <f t="shared" si="999"/>
        <v>0</v>
      </c>
      <c r="AF1012" s="78" t="b">
        <f t="shared" si="1000"/>
        <v>0</v>
      </c>
      <c r="AG1012" s="78" t="b">
        <f t="shared" si="1001"/>
        <v>0</v>
      </c>
      <c r="AH1012" s="78" t="b">
        <f t="shared" si="1002"/>
        <v>0</v>
      </c>
      <c r="AI1012" s="78" t="b">
        <f t="shared" si="1003"/>
        <v>0</v>
      </c>
      <c r="AJ1012" s="78" t="b">
        <f t="shared" si="1004"/>
        <v>0</v>
      </c>
      <c r="AK1012" s="78" t="b">
        <f t="shared" si="1005"/>
        <v>0</v>
      </c>
      <c r="AL1012" s="78" t="b">
        <f t="shared" si="1006"/>
        <v>0</v>
      </c>
      <c r="AM1012" s="78" t="b">
        <f t="shared" si="1007"/>
        <v>0</v>
      </c>
      <c r="AN1012" s="78" t="b">
        <f t="shared" si="1008"/>
        <v>0</v>
      </c>
      <c r="AO1012" s="78" t="b">
        <f t="shared" si="1009"/>
        <v>0</v>
      </c>
    </row>
    <row r="1013" spans="7:41" x14ac:dyDescent="0.35">
      <c r="G1013" s="77">
        <f t="shared" si="979"/>
        <v>0</v>
      </c>
      <c r="H1013" s="78">
        <f t="shared" si="980"/>
        <v>0</v>
      </c>
      <c r="I1013" s="77">
        <f t="shared" si="981"/>
        <v>0</v>
      </c>
      <c r="J1013" s="78">
        <f t="shared" si="982"/>
        <v>0</v>
      </c>
      <c r="K1013" s="78" t="str">
        <f t="shared" si="983"/>
        <v>1900-01-00 00:0:00</v>
      </c>
      <c r="L1013" s="78" t="str">
        <f t="shared" si="984"/>
        <v>1900-01-00 00:0:00</v>
      </c>
      <c r="M1013" s="79">
        <f t="shared" si="985"/>
        <v>0</v>
      </c>
      <c r="N1013">
        <f t="shared" si="1010"/>
        <v>1</v>
      </c>
      <c r="O1013" t="str">
        <f>IFERROR(_xlfn.XLOOKUP(A1013,HC!A:A,HC!C:C),"")</f>
        <v>Workforce</v>
      </c>
      <c r="R1013" s="78" t="b">
        <f t="shared" si="986"/>
        <v>0</v>
      </c>
      <c r="S1013" s="78" t="b">
        <f t="shared" si="987"/>
        <v>0</v>
      </c>
      <c r="T1013" s="78" t="b">
        <f t="shared" si="988"/>
        <v>0</v>
      </c>
      <c r="U1013" s="78" t="b">
        <f t="shared" si="989"/>
        <v>0</v>
      </c>
      <c r="V1013" s="78" t="b">
        <f t="shared" si="990"/>
        <v>0</v>
      </c>
      <c r="W1013" s="78" t="b">
        <f t="shared" si="991"/>
        <v>0</v>
      </c>
      <c r="X1013" s="78" t="b">
        <f t="shared" si="992"/>
        <v>0</v>
      </c>
      <c r="Y1013" s="78" t="b">
        <f t="shared" si="993"/>
        <v>0</v>
      </c>
      <c r="Z1013" s="78" t="b">
        <f t="shared" si="994"/>
        <v>0</v>
      </c>
      <c r="AA1013" s="78" t="b">
        <f t="shared" si="995"/>
        <v>0</v>
      </c>
      <c r="AB1013" s="78" t="b">
        <f t="shared" si="996"/>
        <v>0</v>
      </c>
      <c r="AC1013" s="78" t="b">
        <f t="shared" si="997"/>
        <v>0</v>
      </c>
      <c r="AD1013" s="78" t="b">
        <f t="shared" si="998"/>
        <v>0</v>
      </c>
      <c r="AE1013" s="78" t="b">
        <f t="shared" si="999"/>
        <v>0</v>
      </c>
      <c r="AF1013" s="78" t="b">
        <f t="shared" si="1000"/>
        <v>0</v>
      </c>
      <c r="AG1013" s="78" t="b">
        <f t="shared" si="1001"/>
        <v>0</v>
      </c>
      <c r="AH1013" s="78" t="b">
        <f t="shared" si="1002"/>
        <v>0</v>
      </c>
      <c r="AI1013" s="78" t="b">
        <f t="shared" si="1003"/>
        <v>0</v>
      </c>
      <c r="AJ1013" s="78" t="b">
        <f t="shared" si="1004"/>
        <v>0</v>
      </c>
      <c r="AK1013" s="78" t="b">
        <f t="shared" si="1005"/>
        <v>0</v>
      </c>
      <c r="AL1013" s="78" t="b">
        <f t="shared" si="1006"/>
        <v>0</v>
      </c>
      <c r="AM1013" s="78" t="b">
        <f t="shared" si="1007"/>
        <v>0</v>
      </c>
      <c r="AN1013" s="78" t="b">
        <f t="shared" si="1008"/>
        <v>0</v>
      </c>
      <c r="AO1013" s="78" t="b">
        <f t="shared" si="1009"/>
        <v>0</v>
      </c>
    </row>
    <row r="1014" spans="7:41" x14ac:dyDescent="0.35">
      <c r="G1014" s="77">
        <f t="shared" si="979"/>
        <v>0</v>
      </c>
      <c r="H1014" s="78">
        <f t="shared" si="980"/>
        <v>0</v>
      </c>
      <c r="I1014" s="77">
        <f t="shared" si="981"/>
        <v>0</v>
      </c>
      <c r="J1014" s="78">
        <f t="shared" si="982"/>
        <v>0</v>
      </c>
      <c r="K1014" s="78" t="str">
        <f t="shared" si="983"/>
        <v>1900-01-00 00:0:00</v>
      </c>
      <c r="L1014" s="78" t="str">
        <f t="shared" si="984"/>
        <v>1900-01-00 00:0:00</v>
      </c>
      <c r="M1014" s="79">
        <f t="shared" si="985"/>
        <v>0</v>
      </c>
      <c r="N1014">
        <f t="shared" si="1010"/>
        <v>1</v>
      </c>
      <c r="O1014" t="str">
        <f>IFERROR(_xlfn.XLOOKUP(A1014,HC!A:A,HC!C:C),"")</f>
        <v>Workforce</v>
      </c>
      <c r="R1014" s="78" t="b">
        <f t="shared" si="986"/>
        <v>0</v>
      </c>
      <c r="S1014" s="78" t="b">
        <f t="shared" si="987"/>
        <v>0</v>
      </c>
      <c r="T1014" s="78" t="b">
        <f t="shared" si="988"/>
        <v>0</v>
      </c>
      <c r="U1014" s="78" t="b">
        <f t="shared" si="989"/>
        <v>0</v>
      </c>
      <c r="V1014" s="78" t="b">
        <f t="shared" si="990"/>
        <v>0</v>
      </c>
      <c r="W1014" s="78" t="b">
        <f t="shared" si="991"/>
        <v>0</v>
      </c>
      <c r="X1014" s="78" t="b">
        <f t="shared" si="992"/>
        <v>0</v>
      </c>
      <c r="Y1014" s="78" t="b">
        <f t="shared" si="993"/>
        <v>0</v>
      </c>
      <c r="Z1014" s="78" t="b">
        <f t="shared" si="994"/>
        <v>0</v>
      </c>
      <c r="AA1014" s="78" t="b">
        <f t="shared" si="995"/>
        <v>0</v>
      </c>
      <c r="AB1014" s="78" t="b">
        <f t="shared" si="996"/>
        <v>0</v>
      </c>
      <c r="AC1014" s="78" t="b">
        <f t="shared" si="997"/>
        <v>0</v>
      </c>
      <c r="AD1014" s="78" t="b">
        <f t="shared" si="998"/>
        <v>0</v>
      </c>
      <c r="AE1014" s="78" t="b">
        <f t="shared" si="999"/>
        <v>0</v>
      </c>
      <c r="AF1014" s="78" t="b">
        <f t="shared" si="1000"/>
        <v>0</v>
      </c>
      <c r="AG1014" s="78" t="b">
        <f t="shared" si="1001"/>
        <v>0</v>
      </c>
      <c r="AH1014" s="78" t="b">
        <f t="shared" si="1002"/>
        <v>0</v>
      </c>
      <c r="AI1014" s="78" t="b">
        <f t="shared" si="1003"/>
        <v>0</v>
      </c>
      <c r="AJ1014" s="78" t="b">
        <f t="shared" si="1004"/>
        <v>0</v>
      </c>
      <c r="AK1014" s="78" t="b">
        <f t="shared" si="1005"/>
        <v>0</v>
      </c>
      <c r="AL1014" s="78" t="b">
        <f t="shared" si="1006"/>
        <v>0</v>
      </c>
      <c r="AM1014" s="78" t="b">
        <f t="shared" si="1007"/>
        <v>0</v>
      </c>
      <c r="AN1014" s="78" t="b">
        <f t="shared" si="1008"/>
        <v>0</v>
      </c>
      <c r="AO1014" s="78" t="b">
        <f t="shared" si="1009"/>
        <v>0</v>
      </c>
    </row>
    <row r="1015" spans="7:41" x14ac:dyDescent="0.35">
      <c r="G1015" s="77">
        <f t="shared" si="979"/>
        <v>0</v>
      </c>
      <c r="H1015" s="78">
        <f t="shared" si="980"/>
        <v>0</v>
      </c>
      <c r="I1015" s="77">
        <f t="shared" si="981"/>
        <v>0</v>
      </c>
      <c r="J1015" s="78">
        <f t="shared" si="982"/>
        <v>0</v>
      </c>
      <c r="K1015" s="78" t="str">
        <f t="shared" si="983"/>
        <v>1900-01-00 00:0:00</v>
      </c>
      <c r="L1015" s="78" t="str">
        <f t="shared" si="984"/>
        <v>1900-01-00 00:0:00</v>
      </c>
      <c r="M1015" s="79">
        <f t="shared" si="985"/>
        <v>0</v>
      </c>
      <c r="N1015">
        <f t="shared" si="1010"/>
        <v>1</v>
      </c>
      <c r="O1015" t="str">
        <f>IFERROR(_xlfn.XLOOKUP(A1015,HC!A:A,HC!C:C),"")</f>
        <v>Workforce</v>
      </c>
      <c r="R1015" s="78" t="b">
        <f t="shared" si="986"/>
        <v>0</v>
      </c>
      <c r="S1015" s="78" t="b">
        <f t="shared" si="987"/>
        <v>0</v>
      </c>
      <c r="T1015" s="78" t="b">
        <f t="shared" si="988"/>
        <v>0</v>
      </c>
      <c r="U1015" s="78" t="b">
        <f t="shared" si="989"/>
        <v>0</v>
      </c>
      <c r="V1015" s="78" t="b">
        <f t="shared" si="990"/>
        <v>0</v>
      </c>
      <c r="W1015" s="78" t="b">
        <f t="shared" si="991"/>
        <v>0</v>
      </c>
      <c r="X1015" s="78" t="b">
        <f t="shared" si="992"/>
        <v>0</v>
      </c>
      <c r="Y1015" s="78" t="b">
        <f t="shared" si="993"/>
        <v>0</v>
      </c>
      <c r="Z1015" s="78" t="b">
        <f t="shared" si="994"/>
        <v>0</v>
      </c>
      <c r="AA1015" s="78" t="b">
        <f t="shared" si="995"/>
        <v>0</v>
      </c>
      <c r="AB1015" s="78" t="b">
        <f t="shared" si="996"/>
        <v>0</v>
      </c>
      <c r="AC1015" s="78" t="b">
        <f t="shared" si="997"/>
        <v>0</v>
      </c>
      <c r="AD1015" s="78" t="b">
        <f t="shared" si="998"/>
        <v>0</v>
      </c>
      <c r="AE1015" s="78" t="b">
        <f t="shared" si="999"/>
        <v>0</v>
      </c>
      <c r="AF1015" s="78" t="b">
        <f t="shared" si="1000"/>
        <v>0</v>
      </c>
      <c r="AG1015" s="78" t="b">
        <f t="shared" si="1001"/>
        <v>0</v>
      </c>
      <c r="AH1015" s="78" t="b">
        <f t="shared" si="1002"/>
        <v>0</v>
      </c>
      <c r="AI1015" s="78" t="b">
        <f t="shared" si="1003"/>
        <v>0</v>
      </c>
      <c r="AJ1015" s="78" t="b">
        <f t="shared" si="1004"/>
        <v>0</v>
      </c>
      <c r="AK1015" s="78" t="b">
        <f t="shared" si="1005"/>
        <v>0</v>
      </c>
      <c r="AL1015" s="78" t="b">
        <f t="shared" si="1006"/>
        <v>0</v>
      </c>
      <c r="AM1015" s="78" t="b">
        <f t="shared" si="1007"/>
        <v>0</v>
      </c>
      <c r="AN1015" s="78" t="b">
        <f t="shared" si="1008"/>
        <v>0</v>
      </c>
      <c r="AO1015" s="78" t="b">
        <f t="shared" si="1009"/>
        <v>0</v>
      </c>
    </row>
    <row r="1016" spans="7:41" x14ac:dyDescent="0.35">
      <c r="G1016" s="77">
        <f t="shared" si="979"/>
        <v>0</v>
      </c>
      <c r="H1016" s="78">
        <f t="shared" si="980"/>
        <v>0</v>
      </c>
      <c r="I1016" s="77">
        <f t="shared" si="981"/>
        <v>0</v>
      </c>
      <c r="J1016" s="78">
        <f t="shared" si="982"/>
        <v>0</v>
      </c>
      <c r="K1016" s="78" t="str">
        <f t="shared" si="983"/>
        <v>1900-01-00 00:0:00</v>
      </c>
      <c r="L1016" s="78" t="str">
        <f t="shared" si="984"/>
        <v>1900-01-00 00:0:00</v>
      </c>
      <c r="M1016" s="79">
        <f t="shared" si="985"/>
        <v>0</v>
      </c>
      <c r="N1016">
        <f t="shared" si="1010"/>
        <v>1</v>
      </c>
      <c r="O1016" t="str">
        <f>IFERROR(_xlfn.XLOOKUP(A1016,HC!A:A,HC!C:C),"")</f>
        <v>Workforce</v>
      </c>
      <c r="R1016" s="78" t="b">
        <f t="shared" si="986"/>
        <v>0</v>
      </c>
      <c r="S1016" s="78" t="b">
        <f t="shared" si="987"/>
        <v>0</v>
      </c>
      <c r="T1016" s="78" t="b">
        <f t="shared" si="988"/>
        <v>0</v>
      </c>
      <c r="U1016" s="78" t="b">
        <f t="shared" si="989"/>
        <v>0</v>
      </c>
      <c r="V1016" s="78" t="b">
        <f t="shared" si="990"/>
        <v>0</v>
      </c>
      <c r="W1016" s="78" t="b">
        <f t="shared" si="991"/>
        <v>0</v>
      </c>
      <c r="X1016" s="78" t="b">
        <f t="shared" si="992"/>
        <v>0</v>
      </c>
      <c r="Y1016" s="78" t="b">
        <f t="shared" si="993"/>
        <v>0</v>
      </c>
      <c r="Z1016" s="78" t="b">
        <f t="shared" si="994"/>
        <v>0</v>
      </c>
      <c r="AA1016" s="78" t="b">
        <f t="shared" si="995"/>
        <v>0</v>
      </c>
      <c r="AB1016" s="78" t="b">
        <f t="shared" si="996"/>
        <v>0</v>
      </c>
      <c r="AC1016" s="78" t="b">
        <f t="shared" si="997"/>
        <v>0</v>
      </c>
      <c r="AD1016" s="78" t="b">
        <f t="shared" si="998"/>
        <v>0</v>
      </c>
      <c r="AE1016" s="78" t="b">
        <f t="shared" si="999"/>
        <v>0</v>
      </c>
      <c r="AF1016" s="78" t="b">
        <f t="shared" si="1000"/>
        <v>0</v>
      </c>
      <c r="AG1016" s="78" t="b">
        <f t="shared" si="1001"/>
        <v>0</v>
      </c>
      <c r="AH1016" s="78" t="b">
        <f t="shared" si="1002"/>
        <v>0</v>
      </c>
      <c r="AI1016" s="78" t="b">
        <f t="shared" si="1003"/>
        <v>0</v>
      </c>
      <c r="AJ1016" s="78" t="b">
        <f t="shared" si="1004"/>
        <v>0</v>
      </c>
      <c r="AK1016" s="78" t="b">
        <f t="shared" si="1005"/>
        <v>0</v>
      </c>
      <c r="AL1016" s="78" t="b">
        <f t="shared" si="1006"/>
        <v>0</v>
      </c>
      <c r="AM1016" s="78" t="b">
        <f t="shared" si="1007"/>
        <v>0</v>
      </c>
      <c r="AN1016" s="78" t="b">
        <f t="shared" si="1008"/>
        <v>0</v>
      </c>
      <c r="AO1016" s="78" t="b">
        <f t="shared" si="1009"/>
        <v>0</v>
      </c>
    </row>
    <row r="1017" spans="7:41" x14ac:dyDescent="0.35">
      <c r="G1017" s="77">
        <f t="shared" si="979"/>
        <v>0</v>
      </c>
      <c r="H1017" s="78">
        <f t="shared" si="980"/>
        <v>0</v>
      </c>
      <c r="I1017" s="77">
        <f t="shared" si="981"/>
        <v>0</v>
      </c>
      <c r="J1017" s="78">
        <f t="shared" si="982"/>
        <v>0</v>
      </c>
      <c r="K1017" s="78" t="str">
        <f t="shared" si="983"/>
        <v>1900-01-00 00:0:00</v>
      </c>
      <c r="L1017" s="78" t="str">
        <f t="shared" si="984"/>
        <v>1900-01-00 00:0:00</v>
      </c>
      <c r="M1017" s="79">
        <f t="shared" si="985"/>
        <v>0</v>
      </c>
      <c r="N1017">
        <f t="shared" si="1010"/>
        <v>1</v>
      </c>
      <c r="O1017" t="str">
        <f>IFERROR(_xlfn.XLOOKUP(A1017,HC!A:A,HC!C:C),"")</f>
        <v>Workforce</v>
      </c>
      <c r="R1017" s="78" t="b">
        <f t="shared" si="986"/>
        <v>0</v>
      </c>
      <c r="S1017" s="78" t="b">
        <f t="shared" si="987"/>
        <v>0</v>
      </c>
      <c r="T1017" s="78" t="b">
        <f t="shared" si="988"/>
        <v>0</v>
      </c>
      <c r="U1017" s="78" t="b">
        <f t="shared" si="989"/>
        <v>0</v>
      </c>
      <c r="V1017" s="78" t="b">
        <f t="shared" si="990"/>
        <v>0</v>
      </c>
      <c r="W1017" s="78" t="b">
        <f t="shared" si="991"/>
        <v>0</v>
      </c>
      <c r="X1017" s="78" t="b">
        <f t="shared" si="992"/>
        <v>0</v>
      </c>
      <c r="Y1017" s="78" t="b">
        <f t="shared" si="993"/>
        <v>0</v>
      </c>
      <c r="Z1017" s="78" t="b">
        <f t="shared" si="994"/>
        <v>0</v>
      </c>
      <c r="AA1017" s="78" t="b">
        <f t="shared" si="995"/>
        <v>0</v>
      </c>
      <c r="AB1017" s="78" t="b">
        <f t="shared" si="996"/>
        <v>0</v>
      </c>
      <c r="AC1017" s="78" t="b">
        <f t="shared" si="997"/>
        <v>0</v>
      </c>
      <c r="AD1017" s="78" t="b">
        <f t="shared" si="998"/>
        <v>0</v>
      </c>
      <c r="AE1017" s="78" t="b">
        <f t="shared" si="999"/>
        <v>0</v>
      </c>
      <c r="AF1017" s="78" t="b">
        <f t="shared" si="1000"/>
        <v>0</v>
      </c>
      <c r="AG1017" s="78" t="b">
        <f t="shared" si="1001"/>
        <v>0</v>
      </c>
      <c r="AH1017" s="78" t="b">
        <f t="shared" si="1002"/>
        <v>0</v>
      </c>
      <c r="AI1017" s="78" t="b">
        <f t="shared" si="1003"/>
        <v>0</v>
      </c>
      <c r="AJ1017" s="78" t="b">
        <f t="shared" si="1004"/>
        <v>0</v>
      </c>
      <c r="AK1017" s="78" t="b">
        <f t="shared" si="1005"/>
        <v>0</v>
      </c>
      <c r="AL1017" s="78" t="b">
        <f t="shared" si="1006"/>
        <v>0</v>
      </c>
      <c r="AM1017" s="78" t="b">
        <f t="shared" si="1007"/>
        <v>0</v>
      </c>
      <c r="AN1017" s="78" t="b">
        <f t="shared" si="1008"/>
        <v>0</v>
      </c>
      <c r="AO1017" s="78" t="b">
        <f t="shared" si="1009"/>
        <v>0</v>
      </c>
    </row>
    <row r="1018" spans="7:41" x14ac:dyDescent="0.35">
      <c r="G1018" s="77">
        <f t="shared" ref="G1018:G1081" si="1011">INT(D1018)</f>
        <v>0</v>
      </c>
      <c r="H1018" s="78">
        <f t="shared" ref="H1018:H1081" si="1012">D1018-G1018</f>
        <v>0</v>
      </c>
      <c r="I1018" s="77">
        <f t="shared" ref="I1018:I1081" si="1013">INT(E1018)</f>
        <v>0</v>
      </c>
      <c r="J1018" s="78">
        <f t="shared" ref="J1018:J1081" si="1014">E1018-I1018</f>
        <v>0</v>
      </c>
      <c r="K1018" s="78" t="str">
        <f t="shared" ref="K1018:K1081" si="1015">TEXT(G1018+H1018,"yyyy-mm-dd hh:m:ss")</f>
        <v>1900-01-00 00:0:00</v>
      </c>
      <c r="L1018" s="78" t="str">
        <f t="shared" ref="L1018:L1081" si="1016">TEXT(I1018+J1018,"yyyy-mm-dd hh:m:ss")</f>
        <v>1900-01-00 00:0:00</v>
      </c>
      <c r="M1018" s="79">
        <f t="shared" ref="M1018:M1081" si="1017">E1018-D1018</f>
        <v>0</v>
      </c>
      <c r="N1018">
        <f t="shared" si="1010"/>
        <v>1</v>
      </c>
      <c r="O1018" t="str">
        <f>IFERROR(_xlfn.XLOOKUP(A1018,HC!A:A,HC!C:C),"")</f>
        <v>Workforce</v>
      </c>
      <c r="R1018" s="78" t="b">
        <f t="shared" si="986"/>
        <v>0</v>
      </c>
      <c r="S1018" s="78" t="b">
        <f t="shared" si="987"/>
        <v>0</v>
      </c>
      <c r="T1018" s="78" t="b">
        <f t="shared" si="988"/>
        <v>0</v>
      </c>
      <c r="U1018" s="78" t="b">
        <f t="shared" si="989"/>
        <v>0</v>
      </c>
      <c r="V1018" s="78" t="b">
        <f t="shared" si="990"/>
        <v>0</v>
      </c>
      <c r="W1018" s="78" t="b">
        <f t="shared" si="991"/>
        <v>0</v>
      </c>
      <c r="X1018" s="78" t="b">
        <f t="shared" si="992"/>
        <v>0</v>
      </c>
      <c r="Y1018" s="78" t="b">
        <f t="shared" si="993"/>
        <v>0</v>
      </c>
      <c r="Z1018" s="78" t="b">
        <f t="shared" si="994"/>
        <v>0</v>
      </c>
      <c r="AA1018" s="78" t="b">
        <f t="shared" si="995"/>
        <v>0</v>
      </c>
      <c r="AB1018" s="78" t="b">
        <f t="shared" si="996"/>
        <v>0</v>
      </c>
      <c r="AC1018" s="78" t="b">
        <f t="shared" si="997"/>
        <v>0</v>
      </c>
      <c r="AD1018" s="78" t="b">
        <f t="shared" si="998"/>
        <v>0</v>
      </c>
      <c r="AE1018" s="78" t="b">
        <f t="shared" si="999"/>
        <v>0</v>
      </c>
      <c r="AF1018" s="78" t="b">
        <f t="shared" si="1000"/>
        <v>0</v>
      </c>
      <c r="AG1018" s="78" t="b">
        <f t="shared" si="1001"/>
        <v>0</v>
      </c>
      <c r="AH1018" s="78" t="b">
        <f t="shared" si="1002"/>
        <v>0</v>
      </c>
      <c r="AI1018" s="78" t="b">
        <f t="shared" si="1003"/>
        <v>0</v>
      </c>
      <c r="AJ1018" s="78" t="b">
        <f t="shared" si="1004"/>
        <v>0</v>
      </c>
      <c r="AK1018" s="78" t="b">
        <f t="shared" si="1005"/>
        <v>0</v>
      </c>
      <c r="AL1018" s="78" t="b">
        <f t="shared" si="1006"/>
        <v>0</v>
      </c>
      <c r="AM1018" s="78" t="b">
        <f t="shared" si="1007"/>
        <v>0</v>
      </c>
      <c r="AN1018" s="78" t="b">
        <f t="shared" si="1008"/>
        <v>0</v>
      </c>
      <c r="AO1018" s="78" t="b">
        <f t="shared" si="1009"/>
        <v>0</v>
      </c>
    </row>
    <row r="1019" spans="7:41" x14ac:dyDescent="0.35">
      <c r="G1019" s="77">
        <f t="shared" si="1011"/>
        <v>0</v>
      </c>
      <c r="H1019" s="78">
        <f t="shared" si="1012"/>
        <v>0</v>
      </c>
      <c r="I1019" s="77">
        <f t="shared" si="1013"/>
        <v>0</v>
      </c>
      <c r="J1019" s="78">
        <f t="shared" si="1014"/>
        <v>0</v>
      </c>
      <c r="K1019" s="78" t="str">
        <f t="shared" si="1015"/>
        <v>1900-01-00 00:0:00</v>
      </c>
      <c r="L1019" s="78" t="str">
        <f t="shared" si="1016"/>
        <v>1900-01-00 00:0:00</v>
      </c>
      <c r="M1019" s="79">
        <f t="shared" si="1017"/>
        <v>0</v>
      </c>
      <c r="N1019">
        <f t="shared" si="1010"/>
        <v>1</v>
      </c>
      <c r="O1019" t="str">
        <f>IFERROR(_xlfn.XLOOKUP(A1019,HC!A:A,HC!C:C),"")</f>
        <v>Workforce</v>
      </c>
      <c r="R1019" s="78" t="b">
        <f t="shared" si="986"/>
        <v>0</v>
      </c>
      <c r="S1019" s="78" t="b">
        <f t="shared" si="987"/>
        <v>0</v>
      </c>
      <c r="T1019" s="78" t="b">
        <f t="shared" si="988"/>
        <v>0</v>
      </c>
      <c r="U1019" s="78" t="b">
        <f t="shared" si="989"/>
        <v>0</v>
      </c>
      <c r="V1019" s="78" t="b">
        <f t="shared" si="990"/>
        <v>0</v>
      </c>
      <c r="W1019" s="78" t="b">
        <f t="shared" si="991"/>
        <v>0</v>
      </c>
      <c r="X1019" s="78" t="b">
        <f t="shared" si="992"/>
        <v>0</v>
      </c>
      <c r="Y1019" s="78" t="b">
        <f t="shared" si="993"/>
        <v>0</v>
      </c>
      <c r="Z1019" s="78" t="b">
        <f t="shared" si="994"/>
        <v>0</v>
      </c>
      <c r="AA1019" s="78" t="b">
        <f t="shared" si="995"/>
        <v>0</v>
      </c>
      <c r="AB1019" s="78" t="b">
        <f t="shared" si="996"/>
        <v>0</v>
      </c>
      <c r="AC1019" s="78" t="b">
        <f t="shared" si="997"/>
        <v>0</v>
      </c>
      <c r="AD1019" s="78" t="b">
        <f t="shared" si="998"/>
        <v>0</v>
      </c>
      <c r="AE1019" s="78" t="b">
        <f t="shared" si="999"/>
        <v>0</v>
      </c>
      <c r="AF1019" s="78" t="b">
        <f t="shared" si="1000"/>
        <v>0</v>
      </c>
      <c r="AG1019" s="78" t="b">
        <f t="shared" si="1001"/>
        <v>0</v>
      </c>
      <c r="AH1019" s="78" t="b">
        <f t="shared" si="1002"/>
        <v>0</v>
      </c>
      <c r="AI1019" s="78" t="b">
        <f t="shared" si="1003"/>
        <v>0</v>
      </c>
      <c r="AJ1019" s="78" t="b">
        <f t="shared" si="1004"/>
        <v>0</v>
      </c>
      <c r="AK1019" s="78" t="b">
        <f t="shared" si="1005"/>
        <v>0</v>
      </c>
      <c r="AL1019" s="78" t="b">
        <f t="shared" si="1006"/>
        <v>0</v>
      </c>
      <c r="AM1019" s="78" t="b">
        <f t="shared" si="1007"/>
        <v>0</v>
      </c>
      <c r="AN1019" s="78" t="b">
        <f t="shared" si="1008"/>
        <v>0</v>
      </c>
      <c r="AO1019" s="78" t="b">
        <f t="shared" si="1009"/>
        <v>0</v>
      </c>
    </row>
    <row r="1020" spans="7:41" x14ac:dyDescent="0.35">
      <c r="G1020" s="77">
        <f t="shared" si="1011"/>
        <v>0</v>
      </c>
      <c r="H1020" s="78">
        <f t="shared" si="1012"/>
        <v>0</v>
      </c>
      <c r="I1020" s="77">
        <f t="shared" si="1013"/>
        <v>0</v>
      </c>
      <c r="J1020" s="78">
        <f t="shared" si="1014"/>
        <v>0</v>
      </c>
      <c r="K1020" s="78" t="str">
        <f t="shared" si="1015"/>
        <v>1900-01-00 00:0:00</v>
      </c>
      <c r="L1020" s="78" t="str">
        <f t="shared" si="1016"/>
        <v>1900-01-00 00:0:00</v>
      </c>
      <c r="M1020" s="79">
        <f t="shared" si="1017"/>
        <v>0</v>
      </c>
      <c r="N1020">
        <f t="shared" si="1010"/>
        <v>1</v>
      </c>
      <c r="O1020" t="str">
        <f>IFERROR(_xlfn.XLOOKUP(A1020,HC!A:A,HC!C:C),"")</f>
        <v>Workforce</v>
      </c>
      <c r="R1020" s="78" t="b">
        <f t="shared" ref="R1020:R1083" si="1018">IFERROR(IF($B1020=$D$1,IF(AND($K1020&lt;R$1,$L1020&lt;R$1),"",IF(AND($K1020&gt;S$1,$L1020&gt;S$1),"",IF(AND($K1020&lt;R$1,$L1020&lt;=S$1),$L1020-R$1,IF(AND($K1020&gt;=R$1,$L1020&gt;S$1),S$1-$K1020,IF(AND($K1020&gt;=R$1,$L1020&lt;=S$1),$L1020-$K1020,IF(AND($K1020&lt;R$1,$L1020&gt;S$1),S$1-R$1,""))))))),"")</f>
        <v>0</v>
      </c>
      <c r="S1020" s="78" t="b">
        <f t="shared" ref="S1020:S1083" si="1019">IFERROR(IF($B1020=$D$1,IF(AND($K1020&lt;S$1,$L1020&lt;S$1),"",IF(AND($K1020&gt;T$1,$L1020&gt;T$1),"",IF(AND($K1020&lt;S$1,$L1020&lt;=T$1),$L1020-S$1,IF(AND($K1020&gt;=S$1,$L1020&gt;T$1),T$1-$K1020,IF(AND($K1020&gt;=S$1,$L1020&lt;=T$1),$L1020-$K1020,IF(AND($K1020&lt;S$1,$L1020&gt;T$1),T$1-S$1,""))))))),"")</f>
        <v>0</v>
      </c>
      <c r="T1020" s="78" t="b">
        <f t="shared" ref="T1020:T1083" si="1020">IFERROR(IF($B1020=$D$1,IF(AND($K1020&lt;T$1,$L1020&lt;T$1),"",IF(AND($K1020&gt;U$1,$L1020&gt;U$1),"",IF(AND($K1020&lt;T$1,$L1020&lt;=U$1),$L1020-T$1,IF(AND($K1020&gt;=T$1,$L1020&gt;U$1),U$1-$K1020,IF(AND($K1020&gt;=T$1,$L1020&lt;=U$1),$L1020-$K1020,IF(AND($K1020&lt;T$1,$L1020&gt;U$1),U$1-T$1,""))))))),"")</f>
        <v>0</v>
      </c>
      <c r="U1020" s="78" t="b">
        <f t="shared" ref="U1020:U1083" si="1021">IFERROR(IF($B1020=$D$1,IF(AND($K1020&lt;U$1,$L1020&lt;U$1),"",IF(AND($K1020&gt;V$1,$L1020&gt;V$1),"",IF(AND($K1020&lt;U$1,$L1020&lt;=V$1),$L1020-U$1,IF(AND($K1020&gt;=U$1,$L1020&gt;V$1),V$1-$K1020,IF(AND($K1020&gt;=U$1,$L1020&lt;=V$1),$L1020-$K1020,IF(AND($K1020&lt;U$1,$L1020&gt;V$1),V$1-U$1,""))))))),"")</f>
        <v>0</v>
      </c>
      <c r="V1020" s="78" t="b">
        <f t="shared" ref="V1020:V1083" si="1022">IFERROR(IF($B1020=$D$1,IF(AND($K1020&lt;V$1,$L1020&lt;V$1),"",IF(AND($K1020&gt;W$1,$L1020&gt;W$1),"",IF(AND($K1020&lt;V$1,$L1020&lt;=W$1),$L1020-V$1,IF(AND($K1020&gt;=V$1,$L1020&gt;W$1),W$1-$K1020,IF(AND($K1020&gt;=V$1,$L1020&lt;=W$1),$L1020-$K1020,IF(AND($K1020&lt;V$1,$L1020&gt;W$1),W$1-V$1,""))))))),"")</f>
        <v>0</v>
      </c>
      <c r="W1020" s="78" t="b">
        <f t="shared" ref="W1020:W1083" si="1023">IFERROR(IF($B1020=$D$1,IF(AND($K1020&lt;W$1,$L1020&lt;W$1),"",IF(AND($K1020&gt;X$1,$L1020&gt;X$1),"",IF(AND($K1020&lt;W$1,$L1020&lt;=X$1),$L1020-W$1,IF(AND($K1020&gt;=W$1,$L1020&gt;X$1),X$1-$K1020,IF(AND($K1020&gt;=W$1,$L1020&lt;=X$1),$L1020-$K1020,IF(AND($K1020&lt;W$1,$L1020&gt;X$1),X$1-W$1,""))))))),"")</f>
        <v>0</v>
      </c>
      <c r="X1020" s="78" t="b">
        <f t="shared" ref="X1020:X1083" si="1024">IFERROR(IF($B1020=$D$1,IF(AND($K1020&lt;X$1,$L1020&lt;X$1),"",IF(AND($K1020&gt;Y$1,$L1020&gt;Y$1),"",IF(AND($K1020&lt;X$1,$L1020&lt;=Y$1),$L1020-X$1,IF(AND($K1020&gt;=X$1,$L1020&gt;Y$1),Y$1-$K1020,IF(AND($K1020&gt;=X$1,$L1020&lt;=Y$1),$L1020-$K1020,IF(AND($K1020&lt;X$1,$L1020&gt;Y$1),Y$1-X$1,""))))))),"")</f>
        <v>0</v>
      </c>
      <c r="Y1020" s="78" t="b">
        <f t="shared" ref="Y1020:Y1083" si="1025">IFERROR(IF($B1020=$D$1,IF(AND($K1020&lt;Y$1,$L1020&lt;Y$1),"",IF(AND($K1020&gt;Z$1,$L1020&gt;Z$1),"",IF(AND($K1020&lt;Y$1,$L1020&lt;=Z$1),$L1020-Y$1,IF(AND($K1020&gt;=Y$1,$L1020&gt;Z$1),Z$1-$K1020,IF(AND($K1020&gt;=Y$1,$L1020&lt;=Z$1),$L1020-$K1020,IF(AND($K1020&lt;Y$1,$L1020&gt;Z$1),Z$1-Y$1,""))))))),"")</f>
        <v>0</v>
      </c>
      <c r="Z1020" s="78" t="b">
        <f t="shared" ref="Z1020:Z1083" si="1026">IFERROR(IF($B1020=$D$1,IF(AND($K1020&lt;Z$1,$L1020&lt;Z$1),"",IF(AND($K1020&gt;AA$1,$L1020&gt;AA$1),"",IF(AND($K1020&lt;Z$1,$L1020&lt;=AA$1),$L1020-Z$1,IF(AND($K1020&gt;=Z$1,$L1020&gt;AA$1),AA$1-$K1020,IF(AND($K1020&gt;=Z$1,$L1020&lt;=AA$1),$L1020-$K1020,IF(AND($K1020&lt;Z$1,$L1020&gt;AA$1),AA$1-Z$1,""))))))),"")</f>
        <v>0</v>
      </c>
      <c r="AA1020" s="78" t="b">
        <f t="shared" ref="AA1020:AA1083" si="1027">IFERROR(IF($B1020=$D$1,IF(AND($K1020&lt;AA$1,$L1020&lt;AA$1),"",IF(AND($K1020&gt;AB$1,$L1020&gt;AB$1),"",IF(AND($K1020&lt;AA$1,$L1020&lt;=AB$1),$L1020-AA$1,IF(AND($K1020&gt;=AA$1,$L1020&gt;AB$1),AB$1-$K1020,IF(AND($K1020&gt;=AA$1,$L1020&lt;=AB$1),$L1020-$K1020,IF(AND($K1020&lt;AA$1,$L1020&gt;AB$1),AB$1-AA$1,""))))))),"")</f>
        <v>0</v>
      </c>
      <c r="AB1020" s="78" t="b">
        <f t="shared" ref="AB1020:AB1083" si="1028">IFERROR(IF($B1020=$D$1,IF(AND($K1020&lt;AB$1,$L1020&lt;AB$1),"",IF(AND($K1020&gt;AC$1,$L1020&gt;AC$1),"",IF(AND($K1020&lt;AB$1,$L1020&lt;=AC$1),$L1020-AB$1,IF(AND($K1020&gt;=AB$1,$L1020&gt;AC$1),AC$1-$K1020,IF(AND($K1020&gt;=AB$1,$L1020&lt;=AC$1),$L1020-$K1020,IF(AND($K1020&lt;AB$1,$L1020&gt;AC$1),AC$1-AB$1,""))))))),"")</f>
        <v>0</v>
      </c>
      <c r="AC1020" s="78" t="b">
        <f t="shared" ref="AC1020:AC1083" si="1029">IFERROR(IF($B1020=$D$1,IF(AND($K1020&lt;AC$1,$L1020&lt;AC$1),"",IF(AND($K1020&gt;AD$1,$L1020&gt;AD$1),"",IF(AND($K1020&lt;AC$1,$L1020&lt;=AD$1),$L1020-AC$1,IF(AND($K1020&gt;=AC$1,$L1020&gt;AD$1),AD$1-$K1020,IF(AND($K1020&gt;=AC$1,$L1020&lt;=AD$1),$L1020-$K1020,IF(AND($K1020&lt;AC$1,$L1020&gt;AD$1),AD$1-AC$1,""))))))),"")</f>
        <v>0</v>
      </c>
      <c r="AD1020" s="78" t="b">
        <f t="shared" ref="AD1020:AD1083" si="1030">IFERROR(IF($B1020=$D$1,IF(AND($K1020&lt;AD$1,$L1020&lt;AD$1),"",IF(AND($K1020&gt;AE$1,$L1020&gt;AE$1),"",IF(AND($K1020&lt;AD$1,$L1020&lt;=AE$1),$L1020-AD$1,IF(AND($K1020&gt;=AD$1,$L1020&gt;AE$1),AE$1-$K1020,IF(AND($K1020&gt;=AD$1,$L1020&lt;=AE$1),$L1020-$K1020,IF(AND($K1020&lt;AD$1,$L1020&gt;AE$1),AE$1-AD$1,""))))))),"")</f>
        <v>0</v>
      </c>
      <c r="AE1020" s="78" t="b">
        <f t="shared" ref="AE1020:AE1083" si="1031">IFERROR(IF($B1020=$D$1,IF(AND($K1020&lt;AE$1,$L1020&lt;AE$1),"",IF(AND($K1020&gt;AF$1,$L1020&gt;AF$1),"",IF(AND($K1020&lt;AE$1,$L1020&lt;=AF$1),$L1020-AE$1,IF(AND($K1020&gt;=AE$1,$L1020&gt;AF$1),AF$1-$K1020,IF(AND($K1020&gt;=AE$1,$L1020&lt;=AF$1),$L1020-$K1020,IF(AND($K1020&lt;AE$1,$L1020&gt;AF$1),AF$1-AE$1,""))))))),"")</f>
        <v>0</v>
      </c>
      <c r="AF1020" s="78" t="b">
        <f t="shared" ref="AF1020:AF1083" si="1032">IFERROR(IF($B1020=$D$1,IF(AND($K1020&lt;AF$1,$L1020&lt;AF$1),"",IF(AND($K1020&gt;AG$1,$L1020&gt;AG$1),"",IF(AND($K1020&lt;AF$1,$L1020&lt;=AG$1),$L1020-AF$1,IF(AND($K1020&gt;=AF$1,$L1020&gt;AG$1),AG$1-$K1020,IF(AND($K1020&gt;=AF$1,$L1020&lt;=AG$1),$L1020-$K1020,IF(AND($K1020&lt;AF$1,$L1020&gt;AG$1),AG$1-AF$1,""))))))),"")</f>
        <v>0</v>
      </c>
      <c r="AG1020" s="78" t="b">
        <f t="shared" ref="AG1020:AG1083" si="1033">IFERROR(IF($B1020=$D$1,IF(AND($K1020&lt;AG$1,$L1020&lt;AG$1),"",IF(AND($K1020&gt;AH$1,$L1020&gt;AH$1),"",IF(AND($K1020&lt;AG$1,$L1020&lt;=AH$1),$L1020-AG$1,IF(AND($K1020&gt;=AG$1,$L1020&gt;AH$1),AH$1-$K1020,IF(AND($K1020&gt;=AG$1,$L1020&lt;=AH$1),$L1020-$K1020,IF(AND($K1020&lt;AG$1,$L1020&gt;AH$1),AH$1-AG$1,""))))))),"")</f>
        <v>0</v>
      </c>
      <c r="AH1020" s="78" t="b">
        <f t="shared" ref="AH1020:AH1083" si="1034">IFERROR(IF($B1020=$D$1,IF(AND($K1020&lt;AH$1,$L1020&lt;AH$1),"",IF(AND($K1020&gt;AI$1,$L1020&gt;AI$1),"",IF(AND($K1020&lt;AH$1,$L1020&lt;=AI$1),$L1020-AH$1,IF(AND($K1020&gt;=AH$1,$L1020&gt;AI$1),AI$1-$K1020,IF(AND($K1020&gt;=AH$1,$L1020&lt;=AI$1),$L1020-$K1020,IF(AND($K1020&lt;AH$1,$L1020&gt;AI$1),AI$1-AH$1,""))))))),"")</f>
        <v>0</v>
      </c>
      <c r="AI1020" s="78" t="b">
        <f t="shared" ref="AI1020:AI1083" si="1035">IFERROR(IF($B1020=$D$1,IF(AND($K1020&lt;AI$1,$L1020&lt;AI$1),"",IF(AND($K1020&gt;AJ$1,$L1020&gt;AJ$1),"",IF(AND($K1020&lt;AI$1,$L1020&lt;=AJ$1),$L1020-AI$1,IF(AND($K1020&gt;=AI$1,$L1020&gt;AJ$1),AJ$1-$K1020,IF(AND($K1020&gt;=AI$1,$L1020&lt;=AJ$1),$L1020-$K1020,IF(AND($K1020&lt;AI$1,$L1020&gt;AJ$1),AJ$1-AI$1,""))))))),"")</f>
        <v>0</v>
      </c>
      <c r="AJ1020" s="78" t="b">
        <f t="shared" ref="AJ1020:AJ1083" si="1036">IFERROR(IF($B1020=$D$1,IF(AND($K1020&lt;AJ$1,$L1020&lt;AJ$1),"",IF(AND($K1020&gt;AK$1,$L1020&gt;AK$1),"",IF(AND($K1020&lt;AJ$1,$L1020&lt;=AK$1),$L1020-AJ$1,IF(AND($K1020&gt;=AJ$1,$L1020&gt;AK$1),AK$1-$K1020,IF(AND($K1020&gt;=AJ$1,$L1020&lt;=AK$1),$L1020-$K1020,IF(AND($K1020&lt;AJ$1,$L1020&gt;AK$1),AK$1-AJ$1,""))))))),"")</f>
        <v>0</v>
      </c>
      <c r="AK1020" s="78" t="b">
        <f t="shared" ref="AK1020:AK1083" si="1037">IFERROR(IF($B1020=$D$1,IF(AND($K1020&lt;AK$1,$L1020&lt;AK$1),"",IF(AND($K1020&gt;AL$1,$L1020&gt;AL$1),"",IF(AND($K1020&lt;AK$1,$L1020&lt;=AL$1),$L1020-AK$1,IF(AND($K1020&gt;=AK$1,$L1020&gt;AL$1),AL$1-$K1020,IF(AND($K1020&gt;=AK$1,$L1020&lt;=AL$1),$L1020-$K1020,IF(AND($K1020&lt;AK$1,$L1020&gt;AL$1),AL$1-AK$1,""))))))),"")</f>
        <v>0</v>
      </c>
      <c r="AL1020" s="78" t="b">
        <f t="shared" ref="AL1020:AL1083" si="1038">IFERROR(IF($B1020=$D$1,IF(AND($K1020&lt;AL$1,$L1020&lt;AL$1),"",IF(AND($K1020&gt;AM$1,$L1020&gt;AM$1),"",IF(AND($K1020&lt;AL$1,$L1020&lt;=AM$1),$L1020-AL$1,IF(AND($K1020&gt;=AL$1,$L1020&gt;AM$1),AM$1-$K1020,IF(AND($K1020&gt;=AL$1,$L1020&lt;=AM$1),$L1020-$K1020,IF(AND($K1020&lt;AL$1,$L1020&gt;AM$1),AM$1-AL$1,""))))))),"")</f>
        <v>0</v>
      </c>
      <c r="AM1020" s="78" t="b">
        <f t="shared" ref="AM1020:AM1083" si="1039">IFERROR(IF($B1020=$D$1,IF(AND($K1020&lt;AM$1,$L1020&lt;AM$1),"",IF(AND($K1020&gt;AN$1,$L1020&gt;AN$1),"",IF(AND($K1020&lt;AM$1,$L1020&lt;=AN$1),$L1020-AM$1,IF(AND($K1020&gt;=AM$1,$L1020&gt;AN$1),AN$1-$K1020,IF(AND($K1020&gt;=AM$1,$L1020&lt;=AN$1),$L1020-$K1020,IF(AND($K1020&lt;AM$1,$L1020&gt;AN$1),AN$1-AM$1,""))))))),"")</f>
        <v>0</v>
      </c>
      <c r="AN1020" s="78" t="b">
        <f t="shared" ref="AN1020:AN1083" si="1040">IFERROR(IF($B1020=$D$1,IF(AND($K1020&lt;AN$1,$L1020&lt;AN$1),"",IF(AND($K1020&gt;AO$1,$L1020&gt;AO$1),"",IF(AND($K1020&lt;AN$1,$L1020&lt;=AO$1),$L1020-AN$1,IF(AND($K1020&gt;=AN$1,$L1020&gt;AO$1),AO$1-$K1020,IF(AND($K1020&gt;=AN$1,$L1020&lt;=AO$1),$L1020-$K1020,IF(AND($K1020&lt;AN$1,$L1020&gt;AO$1),AO$1-AN$1,""))))))),"")</f>
        <v>0</v>
      </c>
      <c r="AO1020" s="78" t="b">
        <f t="shared" ref="AO1020:AO1083" si="1041">IFERROR(IF($B1020=$D$1,IF(AND($K1020&lt;AO$1,$L1020&lt;AO$1),"",IF(AND($K1020&gt;AP$1,$L1020&gt;AP$1),"",IF(AND($K1020&lt;AO$1,$L1020&lt;=AP$1),$L1020-AO$1,IF(AND($K1020&gt;=AO$1,$L1020&gt;AP$1),AP$1-$K1020,IF(AND($K1020&gt;=AO$1,$L1020&lt;=AP$1),$L1020-$K1020,IF(AND($K1020&lt;AO$1,$L1020&gt;AP$1),AP$1-AO$1,""))))))),"")</f>
        <v>0</v>
      </c>
    </row>
    <row r="1021" spans="7:41" x14ac:dyDescent="0.35">
      <c r="G1021" s="77">
        <f t="shared" si="1011"/>
        <v>0</v>
      </c>
      <c r="H1021" s="78">
        <f t="shared" si="1012"/>
        <v>0</v>
      </c>
      <c r="I1021" s="77">
        <f t="shared" si="1013"/>
        <v>0</v>
      </c>
      <c r="J1021" s="78">
        <f t="shared" si="1014"/>
        <v>0</v>
      </c>
      <c r="K1021" s="78" t="str">
        <f t="shared" si="1015"/>
        <v>1900-01-00 00:0:00</v>
      </c>
      <c r="L1021" s="78" t="str">
        <f t="shared" si="1016"/>
        <v>1900-01-00 00:0:00</v>
      </c>
      <c r="M1021" s="79">
        <f t="shared" si="1017"/>
        <v>0</v>
      </c>
      <c r="N1021">
        <f t="shared" si="1010"/>
        <v>1</v>
      </c>
      <c r="O1021" t="str">
        <f>IFERROR(_xlfn.XLOOKUP(A1021,HC!A:A,HC!C:C),"")</f>
        <v>Workforce</v>
      </c>
      <c r="R1021" s="78" t="b">
        <f t="shared" si="1018"/>
        <v>0</v>
      </c>
      <c r="S1021" s="78" t="b">
        <f t="shared" si="1019"/>
        <v>0</v>
      </c>
      <c r="T1021" s="78" t="b">
        <f t="shared" si="1020"/>
        <v>0</v>
      </c>
      <c r="U1021" s="78" t="b">
        <f t="shared" si="1021"/>
        <v>0</v>
      </c>
      <c r="V1021" s="78" t="b">
        <f t="shared" si="1022"/>
        <v>0</v>
      </c>
      <c r="W1021" s="78" t="b">
        <f t="shared" si="1023"/>
        <v>0</v>
      </c>
      <c r="X1021" s="78" t="b">
        <f t="shared" si="1024"/>
        <v>0</v>
      </c>
      <c r="Y1021" s="78" t="b">
        <f t="shared" si="1025"/>
        <v>0</v>
      </c>
      <c r="Z1021" s="78" t="b">
        <f t="shared" si="1026"/>
        <v>0</v>
      </c>
      <c r="AA1021" s="78" t="b">
        <f t="shared" si="1027"/>
        <v>0</v>
      </c>
      <c r="AB1021" s="78" t="b">
        <f t="shared" si="1028"/>
        <v>0</v>
      </c>
      <c r="AC1021" s="78" t="b">
        <f t="shared" si="1029"/>
        <v>0</v>
      </c>
      <c r="AD1021" s="78" t="b">
        <f t="shared" si="1030"/>
        <v>0</v>
      </c>
      <c r="AE1021" s="78" t="b">
        <f t="shared" si="1031"/>
        <v>0</v>
      </c>
      <c r="AF1021" s="78" t="b">
        <f t="shared" si="1032"/>
        <v>0</v>
      </c>
      <c r="AG1021" s="78" t="b">
        <f t="shared" si="1033"/>
        <v>0</v>
      </c>
      <c r="AH1021" s="78" t="b">
        <f t="shared" si="1034"/>
        <v>0</v>
      </c>
      <c r="AI1021" s="78" t="b">
        <f t="shared" si="1035"/>
        <v>0</v>
      </c>
      <c r="AJ1021" s="78" t="b">
        <f t="shared" si="1036"/>
        <v>0</v>
      </c>
      <c r="AK1021" s="78" t="b">
        <f t="shared" si="1037"/>
        <v>0</v>
      </c>
      <c r="AL1021" s="78" t="b">
        <f t="shared" si="1038"/>
        <v>0</v>
      </c>
      <c r="AM1021" s="78" t="b">
        <f t="shared" si="1039"/>
        <v>0</v>
      </c>
      <c r="AN1021" s="78" t="b">
        <f t="shared" si="1040"/>
        <v>0</v>
      </c>
      <c r="AO1021" s="78" t="b">
        <f t="shared" si="1041"/>
        <v>0</v>
      </c>
    </row>
    <row r="1022" spans="7:41" x14ac:dyDescent="0.35">
      <c r="G1022" s="77">
        <f t="shared" si="1011"/>
        <v>0</v>
      </c>
      <c r="H1022" s="78">
        <f t="shared" si="1012"/>
        <v>0</v>
      </c>
      <c r="I1022" s="77">
        <f t="shared" si="1013"/>
        <v>0</v>
      </c>
      <c r="J1022" s="78">
        <f t="shared" si="1014"/>
        <v>0</v>
      </c>
      <c r="K1022" s="78" t="str">
        <f t="shared" si="1015"/>
        <v>1900-01-00 00:0:00</v>
      </c>
      <c r="L1022" s="78" t="str">
        <f t="shared" si="1016"/>
        <v>1900-01-00 00:0:00</v>
      </c>
      <c r="M1022" s="79">
        <f t="shared" si="1017"/>
        <v>0</v>
      </c>
      <c r="N1022">
        <f t="shared" si="1010"/>
        <v>1</v>
      </c>
      <c r="O1022" t="str">
        <f>IFERROR(_xlfn.XLOOKUP(A1022,HC!A:A,HC!C:C),"")</f>
        <v>Workforce</v>
      </c>
      <c r="R1022" s="78" t="b">
        <f t="shared" si="1018"/>
        <v>0</v>
      </c>
      <c r="S1022" s="78" t="b">
        <f t="shared" si="1019"/>
        <v>0</v>
      </c>
      <c r="T1022" s="78" t="b">
        <f t="shared" si="1020"/>
        <v>0</v>
      </c>
      <c r="U1022" s="78" t="b">
        <f t="shared" si="1021"/>
        <v>0</v>
      </c>
      <c r="V1022" s="78" t="b">
        <f t="shared" si="1022"/>
        <v>0</v>
      </c>
      <c r="W1022" s="78" t="b">
        <f t="shared" si="1023"/>
        <v>0</v>
      </c>
      <c r="X1022" s="78" t="b">
        <f t="shared" si="1024"/>
        <v>0</v>
      </c>
      <c r="Y1022" s="78" t="b">
        <f t="shared" si="1025"/>
        <v>0</v>
      </c>
      <c r="Z1022" s="78" t="b">
        <f t="shared" si="1026"/>
        <v>0</v>
      </c>
      <c r="AA1022" s="78" t="b">
        <f t="shared" si="1027"/>
        <v>0</v>
      </c>
      <c r="AB1022" s="78" t="b">
        <f t="shared" si="1028"/>
        <v>0</v>
      </c>
      <c r="AC1022" s="78" t="b">
        <f t="shared" si="1029"/>
        <v>0</v>
      </c>
      <c r="AD1022" s="78" t="b">
        <f t="shared" si="1030"/>
        <v>0</v>
      </c>
      <c r="AE1022" s="78" t="b">
        <f t="shared" si="1031"/>
        <v>0</v>
      </c>
      <c r="AF1022" s="78" t="b">
        <f t="shared" si="1032"/>
        <v>0</v>
      </c>
      <c r="AG1022" s="78" t="b">
        <f t="shared" si="1033"/>
        <v>0</v>
      </c>
      <c r="AH1022" s="78" t="b">
        <f t="shared" si="1034"/>
        <v>0</v>
      </c>
      <c r="AI1022" s="78" t="b">
        <f t="shared" si="1035"/>
        <v>0</v>
      </c>
      <c r="AJ1022" s="78" t="b">
        <f t="shared" si="1036"/>
        <v>0</v>
      </c>
      <c r="AK1022" s="78" t="b">
        <f t="shared" si="1037"/>
        <v>0</v>
      </c>
      <c r="AL1022" s="78" t="b">
        <f t="shared" si="1038"/>
        <v>0</v>
      </c>
      <c r="AM1022" s="78" t="b">
        <f t="shared" si="1039"/>
        <v>0</v>
      </c>
      <c r="AN1022" s="78" t="b">
        <f t="shared" si="1040"/>
        <v>0</v>
      </c>
      <c r="AO1022" s="78" t="b">
        <f t="shared" si="1041"/>
        <v>0</v>
      </c>
    </row>
    <row r="1023" spans="7:41" x14ac:dyDescent="0.35">
      <c r="G1023" s="77">
        <f t="shared" si="1011"/>
        <v>0</v>
      </c>
      <c r="H1023" s="78">
        <f t="shared" si="1012"/>
        <v>0</v>
      </c>
      <c r="I1023" s="77">
        <f t="shared" si="1013"/>
        <v>0</v>
      </c>
      <c r="J1023" s="78">
        <f t="shared" si="1014"/>
        <v>0</v>
      </c>
      <c r="K1023" s="78" t="str">
        <f t="shared" si="1015"/>
        <v>1900-01-00 00:0:00</v>
      </c>
      <c r="L1023" s="78" t="str">
        <f t="shared" si="1016"/>
        <v>1900-01-00 00:0:00</v>
      </c>
      <c r="M1023" s="79">
        <f t="shared" si="1017"/>
        <v>0</v>
      </c>
      <c r="N1023">
        <f t="shared" si="1010"/>
        <v>1</v>
      </c>
      <c r="O1023" t="str">
        <f>IFERROR(_xlfn.XLOOKUP(A1023,HC!A:A,HC!C:C),"")</f>
        <v>Workforce</v>
      </c>
      <c r="R1023" s="78" t="b">
        <f t="shared" si="1018"/>
        <v>0</v>
      </c>
      <c r="S1023" s="78" t="b">
        <f t="shared" si="1019"/>
        <v>0</v>
      </c>
      <c r="T1023" s="78" t="b">
        <f t="shared" si="1020"/>
        <v>0</v>
      </c>
      <c r="U1023" s="78" t="b">
        <f t="shared" si="1021"/>
        <v>0</v>
      </c>
      <c r="V1023" s="78" t="b">
        <f t="shared" si="1022"/>
        <v>0</v>
      </c>
      <c r="W1023" s="78" t="b">
        <f t="shared" si="1023"/>
        <v>0</v>
      </c>
      <c r="X1023" s="78" t="b">
        <f t="shared" si="1024"/>
        <v>0</v>
      </c>
      <c r="Y1023" s="78" t="b">
        <f t="shared" si="1025"/>
        <v>0</v>
      </c>
      <c r="Z1023" s="78" t="b">
        <f t="shared" si="1026"/>
        <v>0</v>
      </c>
      <c r="AA1023" s="78" t="b">
        <f t="shared" si="1027"/>
        <v>0</v>
      </c>
      <c r="AB1023" s="78" t="b">
        <f t="shared" si="1028"/>
        <v>0</v>
      </c>
      <c r="AC1023" s="78" t="b">
        <f t="shared" si="1029"/>
        <v>0</v>
      </c>
      <c r="AD1023" s="78" t="b">
        <f t="shared" si="1030"/>
        <v>0</v>
      </c>
      <c r="AE1023" s="78" t="b">
        <f t="shared" si="1031"/>
        <v>0</v>
      </c>
      <c r="AF1023" s="78" t="b">
        <f t="shared" si="1032"/>
        <v>0</v>
      </c>
      <c r="AG1023" s="78" t="b">
        <f t="shared" si="1033"/>
        <v>0</v>
      </c>
      <c r="AH1023" s="78" t="b">
        <f t="shared" si="1034"/>
        <v>0</v>
      </c>
      <c r="AI1023" s="78" t="b">
        <f t="shared" si="1035"/>
        <v>0</v>
      </c>
      <c r="AJ1023" s="78" t="b">
        <f t="shared" si="1036"/>
        <v>0</v>
      </c>
      <c r="AK1023" s="78" t="b">
        <f t="shared" si="1037"/>
        <v>0</v>
      </c>
      <c r="AL1023" s="78" t="b">
        <f t="shared" si="1038"/>
        <v>0</v>
      </c>
      <c r="AM1023" s="78" t="b">
        <f t="shared" si="1039"/>
        <v>0</v>
      </c>
      <c r="AN1023" s="78" t="b">
        <f t="shared" si="1040"/>
        <v>0</v>
      </c>
      <c r="AO1023" s="78" t="b">
        <f t="shared" si="1041"/>
        <v>0</v>
      </c>
    </row>
    <row r="1024" spans="7:41" x14ac:dyDescent="0.35">
      <c r="G1024" s="77">
        <f t="shared" si="1011"/>
        <v>0</v>
      </c>
      <c r="H1024" s="78">
        <f t="shared" si="1012"/>
        <v>0</v>
      </c>
      <c r="I1024" s="77">
        <f t="shared" si="1013"/>
        <v>0</v>
      </c>
      <c r="J1024" s="78">
        <f t="shared" si="1014"/>
        <v>0</v>
      </c>
      <c r="K1024" s="78" t="str">
        <f t="shared" si="1015"/>
        <v>1900-01-00 00:0:00</v>
      </c>
      <c r="L1024" s="78" t="str">
        <f t="shared" si="1016"/>
        <v>1900-01-00 00:0:00</v>
      </c>
      <c r="M1024" s="79">
        <f t="shared" si="1017"/>
        <v>0</v>
      </c>
      <c r="N1024">
        <f t="shared" si="1010"/>
        <v>1</v>
      </c>
      <c r="O1024" t="str">
        <f>IFERROR(_xlfn.XLOOKUP(A1024,HC!A:A,HC!C:C),"")</f>
        <v>Workforce</v>
      </c>
      <c r="R1024" s="78" t="b">
        <f t="shared" si="1018"/>
        <v>0</v>
      </c>
      <c r="S1024" s="78" t="b">
        <f t="shared" si="1019"/>
        <v>0</v>
      </c>
      <c r="T1024" s="78" t="b">
        <f t="shared" si="1020"/>
        <v>0</v>
      </c>
      <c r="U1024" s="78" t="b">
        <f t="shared" si="1021"/>
        <v>0</v>
      </c>
      <c r="V1024" s="78" t="b">
        <f t="shared" si="1022"/>
        <v>0</v>
      </c>
      <c r="W1024" s="78" t="b">
        <f t="shared" si="1023"/>
        <v>0</v>
      </c>
      <c r="X1024" s="78" t="b">
        <f t="shared" si="1024"/>
        <v>0</v>
      </c>
      <c r="Y1024" s="78" t="b">
        <f t="shared" si="1025"/>
        <v>0</v>
      </c>
      <c r="Z1024" s="78" t="b">
        <f t="shared" si="1026"/>
        <v>0</v>
      </c>
      <c r="AA1024" s="78" t="b">
        <f t="shared" si="1027"/>
        <v>0</v>
      </c>
      <c r="AB1024" s="78" t="b">
        <f t="shared" si="1028"/>
        <v>0</v>
      </c>
      <c r="AC1024" s="78" t="b">
        <f t="shared" si="1029"/>
        <v>0</v>
      </c>
      <c r="AD1024" s="78" t="b">
        <f t="shared" si="1030"/>
        <v>0</v>
      </c>
      <c r="AE1024" s="78" t="b">
        <f t="shared" si="1031"/>
        <v>0</v>
      </c>
      <c r="AF1024" s="78" t="b">
        <f t="shared" si="1032"/>
        <v>0</v>
      </c>
      <c r="AG1024" s="78" t="b">
        <f t="shared" si="1033"/>
        <v>0</v>
      </c>
      <c r="AH1024" s="78" t="b">
        <f t="shared" si="1034"/>
        <v>0</v>
      </c>
      <c r="AI1024" s="78" t="b">
        <f t="shared" si="1035"/>
        <v>0</v>
      </c>
      <c r="AJ1024" s="78" t="b">
        <f t="shared" si="1036"/>
        <v>0</v>
      </c>
      <c r="AK1024" s="78" t="b">
        <f t="shared" si="1037"/>
        <v>0</v>
      </c>
      <c r="AL1024" s="78" t="b">
        <f t="shared" si="1038"/>
        <v>0</v>
      </c>
      <c r="AM1024" s="78" t="b">
        <f t="shared" si="1039"/>
        <v>0</v>
      </c>
      <c r="AN1024" s="78" t="b">
        <f t="shared" si="1040"/>
        <v>0</v>
      </c>
      <c r="AO1024" s="78" t="b">
        <f t="shared" si="1041"/>
        <v>0</v>
      </c>
    </row>
    <row r="1025" spans="7:41" x14ac:dyDescent="0.35">
      <c r="G1025" s="77">
        <f t="shared" si="1011"/>
        <v>0</v>
      </c>
      <c r="H1025" s="78">
        <f t="shared" si="1012"/>
        <v>0</v>
      </c>
      <c r="I1025" s="77">
        <f t="shared" si="1013"/>
        <v>0</v>
      </c>
      <c r="J1025" s="78">
        <f t="shared" si="1014"/>
        <v>0</v>
      </c>
      <c r="K1025" s="78" t="str">
        <f t="shared" si="1015"/>
        <v>1900-01-00 00:0:00</v>
      </c>
      <c r="L1025" s="78" t="str">
        <f t="shared" si="1016"/>
        <v>1900-01-00 00:0:00</v>
      </c>
      <c r="M1025" s="79">
        <f t="shared" si="1017"/>
        <v>0</v>
      </c>
      <c r="N1025">
        <f t="shared" si="1010"/>
        <v>1</v>
      </c>
      <c r="O1025" t="str">
        <f>IFERROR(_xlfn.XLOOKUP(A1025,HC!A:A,HC!C:C),"")</f>
        <v>Workforce</v>
      </c>
      <c r="R1025" s="78" t="b">
        <f t="shared" si="1018"/>
        <v>0</v>
      </c>
      <c r="S1025" s="78" t="b">
        <f t="shared" si="1019"/>
        <v>0</v>
      </c>
      <c r="T1025" s="78" t="b">
        <f t="shared" si="1020"/>
        <v>0</v>
      </c>
      <c r="U1025" s="78" t="b">
        <f t="shared" si="1021"/>
        <v>0</v>
      </c>
      <c r="V1025" s="78" t="b">
        <f t="shared" si="1022"/>
        <v>0</v>
      </c>
      <c r="W1025" s="78" t="b">
        <f t="shared" si="1023"/>
        <v>0</v>
      </c>
      <c r="X1025" s="78" t="b">
        <f t="shared" si="1024"/>
        <v>0</v>
      </c>
      <c r="Y1025" s="78" t="b">
        <f t="shared" si="1025"/>
        <v>0</v>
      </c>
      <c r="Z1025" s="78" t="b">
        <f t="shared" si="1026"/>
        <v>0</v>
      </c>
      <c r="AA1025" s="78" t="b">
        <f t="shared" si="1027"/>
        <v>0</v>
      </c>
      <c r="AB1025" s="78" t="b">
        <f t="shared" si="1028"/>
        <v>0</v>
      </c>
      <c r="AC1025" s="78" t="b">
        <f t="shared" si="1029"/>
        <v>0</v>
      </c>
      <c r="AD1025" s="78" t="b">
        <f t="shared" si="1030"/>
        <v>0</v>
      </c>
      <c r="AE1025" s="78" t="b">
        <f t="shared" si="1031"/>
        <v>0</v>
      </c>
      <c r="AF1025" s="78" t="b">
        <f t="shared" si="1032"/>
        <v>0</v>
      </c>
      <c r="AG1025" s="78" t="b">
        <f t="shared" si="1033"/>
        <v>0</v>
      </c>
      <c r="AH1025" s="78" t="b">
        <f t="shared" si="1034"/>
        <v>0</v>
      </c>
      <c r="AI1025" s="78" t="b">
        <f t="shared" si="1035"/>
        <v>0</v>
      </c>
      <c r="AJ1025" s="78" t="b">
        <f t="shared" si="1036"/>
        <v>0</v>
      </c>
      <c r="AK1025" s="78" t="b">
        <f t="shared" si="1037"/>
        <v>0</v>
      </c>
      <c r="AL1025" s="78" t="b">
        <f t="shared" si="1038"/>
        <v>0</v>
      </c>
      <c r="AM1025" s="78" t="b">
        <f t="shared" si="1039"/>
        <v>0</v>
      </c>
      <c r="AN1025" s="78" t="b">
        <f t="shared" si="1040"/>
        <v>0</v>
      </c>
      <c r="AO1025" s="78" t="b">
        <f t="shared" si="1041"/>
        <v>0</v>
      </c>
    </row>
    <row r="1026" spans="7:41" x14ac:dyDescent="0.35">
      <c r="G1026" s="77">
        <f t="shared" si="1011"/>
        <v>0</v>
      </c>
      <c r="H1026" s="78">
        <f t="shared" si="1012"/>
        <v>0</v>
      </c>
      <c r="I1026" s="77">
        <f t="shared" si="1013"/>
        <v>0</v>
      </c>
      <c r="J1026" s="78">
        <f t="shared" si="1014"/>
        <v>0</v>
      </c>
      <c r="K1026" s="78" t="str">
        <f t="shared" si="1015"/>
        <v>1900-01-00 00:0:00</v>
      </c>
      <c r="L1026" s="78" t="str">
        <f t="shared" si="1016"/>
        <v>1900-01-00 00:0:00</v>
      </c>
      <c r="M1026" s="79">
        <f t="shared" si="1017"/>
        <v>0</v>
      </c>
      <c r="N1026">
        <f t="shared" si="1010"/>
        <v>1</v>
      </c>
      <c r="O1026" t="str">
        <f>IFERROR(_xlfn.XLOOKUP(A1026,HC!A:A,HC!C:C),"")</f>
        <v>Workforce</v>
      </c>
      <c r="R1026" s="78" t="b">
        <f t="shared" si="1018"/>
        <v>0</v>
      </c>
      <c r="S1026" s="78" t="b">
        <f t="shared" si="1019"/>
        <v>0</v>
      </c>
      <c r="T1026" s="78" t="b">
        <f t="shared" si="1020"/>
        <v>0</v>
      </c>
      <c r="U1026" s="78" t="b">
        <f t="shared" si="1021"/>
        <v>0</v>
      </c>
      <c r="V1026" s="78" t="b">
        <f t="shared" si="1022"/>
        <v>0</v>
      </c>
      <c r="W1026" s="78" t="b">
        <f t="shared" si="1023"/>
        <v>0</v>
      </c>
      <c r="X1026" s="78" t="b">
        <f t="shared" si="1024"/>
        <v>0</v>
      </c>
      <c r="Y1026" s="78" t="b">
        <f t="shared" si="1025"/>
        <v>0</v>
      </c>
      <c r="Z1026" s="78" t="b">
        <f t="shared" si="1026"/>
        <v>0</v>
      </c>
      <c r="AA1026" s="78" t="b">
        <f t="shared" si="1027"/>
        <v>0</v>
      </c>
      <c r="AB1026" s="78" t="b">
        <f t="shared" si="1028"/>
        <v>0</v>
      </c>
      <c r="AC1026" s="78" t="b">
        <f t="shared" si="1029"/>
        <v>0</v>
      </c>
      <c r="AD1026" s="78" t="b">
        <f t="shared" si="1030"/>
        <v>0</v>
      </c>
      <c r="AE1026" s="78" t="b">
        <f t="shared" si="1031"/>
        <v>0</v>
      </c>
      <c r="AF1026" s="78" t="b">
        <f t="shared" si="1032"/>
        <v>0</v>
      </c>
      <c r="AG1026" s="78" t="b">
        <f t="shared" si="1033"/>
        <v>0</v>
      </c>
      <c r="AH1026" s="78" t="b">
        <f t="shared" si="1034"/>
        <v>0</v>
      </c>
      <c r="AI1026" s="78" t="b">
        <f t="shared" si="1035"/>
        <v>0</v>
      </c>
      <c r="AJ1026" s="78" t="b">
        <f t="shared" si="1036"/>
        <v>0</v>
      </c>
      <c r="AK1026" s="78" t="b">
        <f t="shared" si="1037"/>
        <v>0</v>
      </c>
      <c r="AL1026" s="78" t="b">
        <f t="shared" si="1038"/>
        <v>0</v>
      </c>
      <c r="AM1026" s="78" t="b">
        <f t="shared" si="1039"/>
        <v>0</v>
      </c>
      <c r="AN1026" s="78" t="b">
        <f t="shared" si="1040"/>
        <v>0</v>
      </c>
      <c r="AO1026" s="78" t="b">
        <f t="shared" si="1041"/>
        <v>0</v>
      </c>
    </row>
    <row r="1027" spans="7:41" x14ac:dyDescent="0.35">
      <c r="G1027" s="77">
        <f t="shared" si="1011"/>
        <v>0</v>
      </c>
      <c r="H1027" s="78">
        <f t="shared" si="1012"/>
        <v>0</v>
      </c>
      <c r="I1027" s="77">
        <f t="shared" si="1013"/>
        <v>0</v>
      </c>
      <c r="J1027" s="78">
        <f t="shared" si="1014"/>
        <v>0</v>
      </c>
      <c r="K1027" s="78" t="str">
        <f t="shared" si="1015"/>
        <v>1900-01-00 00:0:00</v>
      </c>
      <c r="L1027" s="78" t="str">
        <f t="shared" si="1016"/>
        <v>1900-01-00 00:0:00</v>
      </c>
      <c r="M1027" s="79">
        <f t="shared" si="1017"/>
        <v>0</v>
      </c>
      <c r="N1027">
        <f t="shared" si="1010"/>
        <v>1</v>
      </c>
      <c r="O1027" t="str">
        <f>IFERROR(_xlfn.XLOOKUP(A1027,HC!A:A,HC!C:C),"")</f>
        <v>Workforce</v>
      </c>
      <c r="R1027" s="78" t="b">
        <f t="shared" si="1018"/>
        <v>0</v>
      </c>
      <c r="S1027" s="78" t="b">
        <f t="shared" si="1019"/>
        <v>0</v>
      </c>
      <c r="T1027" s="78" t="b">
        <f t="shared" si="1020"/>
        <v>0</v>
      </c>
      <c r="U1027" s="78" t="b">
        <f t="shared" si="1021"/>
        <v>0</v>
      </c>
      <c r="V1027" s="78" t="b">
        <f t="shared" si="1022"/>
        <v>0</v>
      </c>
      <c r="W1027" s="78" t="b">
        <f t="shared" si="1023"/>
        <v>0</v>
      </c>
      <c r="X1027" s="78" t="b">
        <f t="shared" si="1024"/>
        <v>0</v>
      </c>
      <c r="Y1027" s="78" t="b">
        <f t="shared" si="1025"/>
        <v>0</v>
      </c>
      <c r="Z1027" s="78" t="b">
        <f t="shared" si="1026"/>
        <v>0</v>
      </c>
      <c r="AA1027" s="78" t="b">
        <f t="shared" si="1027"/>
        <v>0</v>
      </c>
      <c r="AB1027" s="78" t="b">
        <f t="shared" si="1028"/>
        <v>0</v>
      </c>
      <c r="AC1027" s="78" t="b">
        <f t="shared" si="1029"/>
        <v>0</v>
      </c>
      <c r="AD1027" s="78" t="b">
        <f t="shared" si="1030"/>
        <v>0</v>
      </c>
      <c r="AE1027" s="78" t="b">
        <f t="shared" si="1031"/>
        <v>0</v>
      </c>
      <c r="AF1027" s="78" t="b">
        <f t="shared" si="1032"/>
        <v>0</v>
      </c>
      <c r="AG1027" s="78" t="b">
        <f t="shared" si="1033"/>
        <v>0</v>
      </c>
      <c r="AH1027" s="78" t="b">
        <f t="shared" si="1034"/>
        <v>0</v>
      </c>
      <c r="AI1027" s="78" t="b">
        <f t="shared" si="1035"/>
        <v>0</v>
      </c>
      <c r="AJ1027" s="78" t="b">
        <f t="shared" si="1036"/>
        <v>0</v>
      </c>
      <c r="AK1027" s="78" t="b">
        <f t="shared" si="1037"/>
        <v>0</v>
      </c>
      <c r="AL1027" s="78" t="b">
        <f t="shared" si="1038"/>
        <v>0</v>
      </c>
      <c r="AM1027" s="78" t="b">
        <f t="shared" si="1039"/>
        <v>0</v>
      </c>
      <c r="AN1027" s="78" t="b">
        <f t="shared" si="1040"/>
        <v>0</v>
      </c>
      <c r="AO1027" s="78" t="b">
        <f t="shared" si="1041"/>
        <v>0</v>
      </c>
    </row>
    <row r="1028" spans="7:41" x14ac:dyDescent="0.35">
      <c r="G1028" s="77">
        <f t="shared" si="1011"/>
        <v>0</v>
      </c>
      <c r="H1028" s="78">
        <f t="shared" si="1012"/>
        <v>0</v>
      </c>
      <c r="I1028" s="77">
        <f t="shared" si="1013"/>
        <v>0</v>
      </c>
      <c r="J1028" s="78">
        <f t="shared" si="1014"/>
        <v>0</v>
      </c>
      <c r="K1028" s="78" t="str">
        <f t="shared" si="1015"/>
        <v>1900-01-00 00:0:00</v>
      </c>
      <c r="L1028" s="78" t="str">
        <f t="shared" si="1016"/>
        <v>1900-01-00 00:0:00</v>
      </c>
      <c r="M1028" s="79">
        <f t="shared" si="1017"/>
        <v>0</v>
      </c>
      <c r="N1028">
        <f t="shared" ref="N1028:N1091" si="1042">IF(M1028&lt;$BA$1,1,0)</f>
        <v>1</v>
      </c>
      <c r="O1028" t="str">
        <f>IFERROR(_xlfn.XLOOKUP(A1028,HC!A:A,HC!C:C),"")</f>
        <v>Workforce</v>
      </c>
      <c r="R1028" s="78" t="b">
        <f t="shared" si="1018"/>
        <v>0</v>
      </c>
      <c r="S1028" s="78" t="b">
        <f t="shared" si="1019"/>
        <v>0</v>
      </c>
      <c r="T1028" s="78" t="b">
        <f t="shared" si="1020"/>
        <v>0</v>
      </c>
      <c r="U1028" s="78" t="b">
        <f t="shared" si="1021"/>
        <v>0</v>
      </c>
      <c r="V1028" s="78" t="b">
        <f t="shared" si="1022"/>
        <v>0</v>
      </c>
      <c r="W1028" s="78" t="b">
        <f t="shared" si="1023"/>
        <v>0</v>
      </c>
      <c r="X1028" s="78" t="b">
        <f t="shared" si="1024"/>
        <v>0</v>
      </c>
      <c r="Y1028" s="78" t="b">
        <f t="shared" si="1025"/>
        <v>0</v>
      </c>
      <c r="Z1028" s="78" t="b">
        <f t="shared" si="1026"/>
        <v>0</v>
      </c>
      <c r="AA1028" s="78" t="b">
        <f t="shared" si="1027"/>
        <v>0</v>
      </c>
      <c r="AB1028" s="78" t="b">
        <f t="shared" si="1028"/>
        <v>0</v>
      </c>
      <c r="AC1028" s="78" t="b">
        <f t="shared" si="1029"/>
        <v>0</v>
      </c>
      <c r="AD1028" s="78" t="b">
        <f t="shared" si="1030"/>
        <v>0</v>
      </c>
      <c r="AE1028" s="78" t="b">
        <f t="shared" si="1031"/>
        <v>0</v>
      </c>
      <c r="AF1028" s="78" t="b">
        <f t="shared" si="1032"/>
        <v>0</v>
      </c>
      <c r="AG1028" s="78" t="b">
        <f t="shared" si="1033"/>
        <v>0</v>
      </c>
      <c r="AH1028" s="78" t="b">
        <f t="shared" si="1034"/>
        <v>0</v>
      </c>
      <c r="AI1028" s="78" t="b">
        <f t="shared" si="1035"/>
        <v>0</v>
      </c>
      <c r="AJ1028" s="78" t="b">
        <f t="shared" si="1036"/>
        <v>0</v>
      </c>
      <c r="AK1028" s="78" t="b">
        <f t="shared" si="1037"/>
        <v>0</v>
      </c>
      <c r="AL1028" s="78" t="b">
        <f t="shared" si="1038"/>
        <v>0</v>
      </c>
      <c r="AM1028" s="78" t="b">
        <f t="shared" si="1039"/>
        <v>0</v>
      </c>
      <c r="AN1028" s="78" t="b">
        <f t="shared" si="1040"/>
        <v>0</v>
      </c>
      <c r="AO1028" s="78" t="b">
        <f t="shared" si="1041"/>
        <v>0</v>
      </c>
    </row>
    <row r="1029" spans="7:41" x14ac:dyDescent="0.35">
      <c r="G1029" s="77">
        <f t="shared" si="1011"/>
        <v>0</v>
      </c>
      <c r="H1029" s="78">
        <f t="shared" si="1012"/>
        <v>0</v>
      </c>
      <c r="I1029" s="77">
        <f t="shared" si="1013"/>
        <v>0</v>
      </c>
      <c r="J1029" s="78">
        <f t="shared" si="1014"/>
        <v>0</v>
      </c>
      <c r="K1029" s="78" t="str">
        <f t="shared" si="1015"/>
        <v>1900-01-00 00:0:00</v>
      </c>
      <c r="L1029" s="78" t="str">
        <f t="shared" si="1016"/>
        <v>1900-01-00 00:0:00</v>
      </c>
      <c r="M1029" s="79">
        <f t="shared" si="1017"/>
        <v>0</v>
      </c>
      <c r="N1029">
        <f t="shared" si="1042"/>
        <v>1</v>
      </c>
      <c r="O1029" t="str">
        <f>IFERROR(_xlfn.XLOOKUP(A1029,HC!A:A,HC!C:C),"")</f>
        <v>Workforce</v>
      </c>
      <c r="R1029" s="78" t="b">
        <f t="shared" si="1018"/>
        <v>0</v>
      </c>
      <c r="S1029" s="78" t="b">
        <f t="shared" si="1019"/>
        <v>0</v>
      </c>
      <c r="T1029" s="78" t="b">
        <f t="shared" si="1020"/>
        <v>0</v>
      </c>
      <c r="U1029" s="78" t="b">
        <f t="shared" si="1021"/>
        <v>0</v>
      </c>
      <c r="V1029" s="78" t="b">
        <f t="shared" si="1022"/>
        <v>0</v>
      </c>
      <c r="W1029" s="78" t="b">
        <f t="shared" si="1023"/>
        <v>0</v>
      </c>
      <c r="X1029" s="78" t="b">
        <f t="shared" si="1024"/>
        <v>0</v>
      </c>
      <c r="Y1029" s="78" t="b">
        <f t="shared" si="1025"/>
        <v>0</v>
      </c>
      <c r="Z1029" s="78" t="b">
        <f t="shared" si="1026"/>
        <v>0</v>
      </c>
      <c r="AA1029" s="78" t="b">
        <f t="shared" si="1027"/>
        <v>0</v>
      </c>
      <c r="AB1029" s="78" t="b">
        <f t="shared" si="1028"/>
        <v>0</v>
      </c>
      <c r="AC1029" s="78" t="b">
        <f t="shared" si="1029"/>
        <v>0</v>
      </c>
      <c r="AD1029" s="78" t="b">
        <f t="shared" si="1030"/>
        <v>0</v>
      </c>
      <c r="AE1029" s="78" t="b">
        <f t="shared" si="1031"/>
        <v>0</v>
      </c>
      <c r="AF1029" s="78" t="b">
        <f t="shared" si="1032"/>
        <v>0</v>
      </c>
      <c r="AG1029" s="78" t="b">
        <f t="shared" si="1033"/>
        <v>0</v>
      </c>
      <c r="AH1029" s="78" t="b">
        <f t="shared" si="1034"/>
        <v>0</v>
      </c>
      <c r="AI1029" s="78" t="b">
        <f t="shared" si="1035"/>
        <v>0</v>
      </c>
      <c r="AJ1029" s="78" t="b">
        <f t="shared" si="1036"/>
        <v>0</v>
      </c>
      <c r="AK1029" s="78" t="b">
        <f t="shared" si="1037"/>
        <v>0</v>
      </c>
      <c r="AL1029" s="78" t="b">
        <f t="shared" si="1038"/>
        <v>0</v>
      </c>
      <c r="AM1029" s="78" t="b">
        <f t="shared" si="1039"/>
        <v>0</v>
      </c>
      <c r="AN1029" s="78" t="b">
        <f t="shared" si="1040"/>
        <v>0</v>
      </c>
      <c r="AO1029" s="78" t="b">
        <f t="shared" si="1041"/>
        <v>0</v>
      </c>
    </row>
    <row r="1030" spans="7:41" x14ac:dyDescent="0.35">
      <c r="G1030" s="77">
        <f t="shared" si="1011"/>
        <v>0</v>
      </c>
      <c r="H1030" s="78">
        <f t="shared" si="1012"/>
        <v>0</v>
      </c>
      <c r="I1030" s="77">
        <f t="shared" si="1013"/>
        <v>0</v>
      </c>
      <c r="J1030" s="78">
        <f t="shared" si="1014"/>
        <v>0</v>
      </c>
      <c r="K1030" s="78" t="str">
        <f t="shared" si="1015"/>
        <v>1900-01-00 00:0:00</v>
      </c>
      <c r="L1030" s="78" t="str">
        <f t="shared" si="1016"/>
        <v>1900-01-00 00:0:00</v>
      </c>
      <c r="M1030" s="79">
        <f t="shared" si="1017"/>
        <v>0</v>
      </c>
      <c r="N1030">
        <f t="shared" si="1042"/>
        <v>1</v>
      </c>
      <c r="O1030" t="str">
        <f>IFERROR(_xlfn.XLOOKUP(A1030,HC!A:A,HC!C:C),"")</f>
        <v>Workforce</v>
      </c>
      <c r="R1030" s="78" t="b">
        <f t="shared" si="1018"/>
        <v>0</v>
      </c>
      <c r="S1030" s="78" t="b">
        <f t="shared" si="1019"/>
        <v>0</v>
      </c>
      <c r="T1030" s="78" t="b">
        <f t="shared" si="1020"/>
        <v>0</v>
      </c>
      <c r="U1030" s="78" t="b">
        <f t="shared" si="1021"/>
        <v>0</v>
      </c>
      <c r="V1030" s="78" t="b">
        <f t="shared" si="1022"/>
        <v>0</v>
      </c>
      <c r="W1030" s="78" t="b">
        <f t="shared" si="1023"/>
        <v>0</v>
      </c>
      <c r="X1030" s="78" t="b">
        <f t="shared" si="1024"/>
        <v>0</v>
      </c>
      <c r="Y1030" s="78" t="b">
        <f t="shared" si="1025"/>
        <v>0</v>
      </c>
      <c r="Z1030" s="78" t="b">
        <f t="shared" si="1026"/>
        <v>0</v>
      </c>
      <c r="AA1030" s="78" t="b">
        <f t="shared" si="1027"/>
        <v>0</v>
      </c>
      <c r="AB1030" s="78" t="b">
        <f t="shared" si="1028"/>
        <v>0</v>
      </c>
      <c r="AC1030" s="78" t="b">
        <f t="shared" si="1029"/>
        <v>0</v>
      </c>
      <c r="AD1030" s="78" t="b">
        <f t="shared" si="1030"/>
        <v>0</v>
      </c>
      <c r="AE1030" s="78" t="b">
        <f t="shared" si="1031"/>
        <v>0</v>
      </c>
      <c r="AF1030" s="78" t="b">
        <f t="shared" si="1032"/>
        <v>0</v>
      </c>
      <c r="AG1030" s="78" t="b">
        <f t="shared" si="1033"/>
        <v>0</v>
      </c>
      <c r="AH1030" s="78" t="b">
        <f t="shared" si="1034"/>
        <v>0</v>
      </c>
      <c r="AI1030" s="78" t="b">
        <f t="shared" si="1035"/>
        <v>0</v>
      </c>
      <c r="AJ1030" s="78" t="b">
        <f t="shared" si="1036"/>
        <v>0</v>
      </c>
      <c r="AK1030" s="78" t="b">
        <f t="shared" si="1037"/>
        <v>0</v>
      </c>
      <c r="AL1030" s="78" t="b">
        <f t="shared" si="1038"/>
        <v>0</v>
      </c>
      <c r="AM1030" s="78" t="b">
        <f t="shared" si="1039"/>
        <v>0</v>
      </c>
      <c r="AN1030" s="78" t="b">
        <f t="shared" si="1040"/>
        <v>0</v>
      </c>
      <c r="AO1030" s="78" t="b">
        <f t="shared" si="1041"/>
        <v>0</v>
      </c>
    </row>
    <row r="1031" spans="7:41" x14ac:dyDescent="0.35">
      <c r="G1031" s="77">
        <f t="shared" si="1011"/>
        <v>0</v>
      </c>
      <c r="H1031" s="78">
        <f t="shared" si="1012"/>
        <v>0</v>
      </c>
      <c r="I1031" s="77">
        <f t="shared" si="1013"/>
        <v>0</v>
      </c>
      <c r="J1031" s="78">
        <f t="shared" si="1014"/>
        <v>0</v>
      </c>
      <c r="K1031" s="78" t="str">
        <f t="shared" si="1015"/>
        <v>1900-01-00 00:0:00</v>
      </c>
      <c r="L1031" s="78" t="str">
        <f t="shared" si="1016"/>
        <v>1900-01-00 00:0:00</v>
      </c>
      <c r="M1031" s="79">
        <f t="shared" si="1017"/>
        <v>0</v>
      </c>
      <c r="N1031">
        <f t="shared" si="1042"/>
        <v>1</v>
      </c>
      <c r="O1031" t="str">
        <f>IFERROR(_xlfn.XLOOKUP(A1031,HC!A:A,HC!C:C),"")</f>
        <v>Workforce</v>
      </c>
      <c r="R1031" s="78" t="b">
        <f t="shared" si="1018"/>
        <v>0</v>
      </c>
      <c r="S1031" s="78" t="b">
        <f t="shared" si="1019"/>
        <v>0</v>
      </c>
      <c r="T1031" s="78" t="b">
        <f t="shared" si="1020"/>
        <v>0</v>
      </c>
      <c r="U1031" s="78" t="b">
        <f t="shared" si="1021"/>
        <v>0</v>
      </c>
      <c r="V1031" s="78" t="b">
        <f t="shared" si="1022"/>
        <v>0</v>
      </c>
      <c r="W1031" s="78" t="b">
        <f t="shared" si="1023"/>
        <v>0</v>
      </c>
      <c r="X1031" s="78" t="b">
        <f t="shared" si="1024"/>
        <v>0</v>
      </c>
      <c r="Y1031" s="78" t="b">
        <f t="shared" si="1025"/>
        <v>0</v>
      </c>
      <c r="Z1031" s="78" t="b">
        <f t="shared" si="1026"/>
        <v>0</v>
      </c>
      <c r="AA1031" s="78" t="b">
        <f t="shared" si="1027"/>
        <v>0</v>
      </c>
      <c r="AB1031" s="78" t="b">
        <f t="shared" si="1028"/>
        <v>0</v>
      </c>
      <c r="AC1031" s="78" t="b">
        <f t="shared" si="1029"/>
        <v>0</v>
      </c>
      <c r="AD1031" s="78" t="b">
        <f t="shared" si="1030"/>
        <v>0</v>
      </c>
      <c r="AE1031" s="78" t="b">
        <f t="shared" si="1031"/>
        <v>0</v>
      </c>
      <c r="AF1031" s="78" t="b">
        <f t="shared" si="1032"/>
        <v>0</v>
      </c>
      <c r="AG1031" s="78" t="b">
        <f t="shared" si="1033"/>
        <v>0</v>
      </c>
      <c r="AH1031" s="78" t="b">
        <f t="shared" si="1034"/>
        <v>0</v>
      </c>
      <c r="AI1031" s="78" t="b">
        <f t="shared" si="1035"/>
        <v>0</v>
      </c>
      <c r="AJ1031" s="78" t="b">
        <f t="shared" si="1036"/>
        <v>0</v>
      </c>
      <c r="AK1031" s="78" t="b">
        <f t="shared" si="1037"/>
        <v>0</v>
      </c>
      <c r="AL1031" s="78" t="b">
        <f t="shared" si="1038"/>
        <v>0</v>
      </c>
      <c r="AM1031" s="78" t="b">
        <f t="shared" si="1039"/>
        <v>0</v>
      </c>
      <c r="AN1031" s="78" t="b">
        <f t="shared" si="1040"/>
        <v>0</v>
      </c>
      <c r="AO1031" s="78" t="b">
        <f t="shared" si="1041"/>
        <v>0</v>
      </c>
    </row>
    <row r="1032" spans="7:41" x14ac:dyDescent="0.35">
      <c r="G1032" s="77">
        <f t="shared" si="1011"/>
        <v>0</v>
      </c>
      <c r="H1032" s="78">
        <f t="shared" si="1012"/>
        <v>0</v>
      </c>
      <c r="I1032" s="77">
        <f t="shared" si="1013"/>
        <v>0</v>
      </c>
      <c r="J1032" s="78">
        <f t="shared" si="1014"/>
        <v>0</v>
      </c>
      <c r="K1032" s="78" t="str">
        <f t="shared" si="1015"/>
        <v>1900-01-00 00:0:00</v>
      </c>
      <c r="L1032" s="78" t="str">
        <f t="shared" si="1016"/>
        <v>1900-01-00 00:0:00</v>
      </c>
      <c r="M1032" s="79">
        <f t="shared" si="1017"/>
        <v>0</v>
      </c>
      <c r="N1032">
        <f t="shared" si="1042"/>
        <v>1</v>
      </c>
      <c r="O1032" t="str">
        <f>IFERROR(_xlfn.XLOOKUP(A1032,HC!A:A,HC!C:C),"")</f>
        <v>Workforce</v>
      </c>
      <c r="R1032" s="78" t="b">
        <f t="shared" si="1018"/>
        <v>0</v>
      </c>
      <c r="S1032" s="78" t="b">
        <f t="shared" si="1019"/>
        <v>0</v>
      </c>
      <c r="T1032" s="78" t="b">
        <f t="shared" si="1020"/>
        <v>0</v>
      </c>
      <c r="U1032" s="78" t="b">
        <f t="shared" si="1021"/>
        <v>0</v>
      </c>
      <c r="V1032" s="78" t="b">
        <f t="shared" si="1022"/>
        <v>0</v>
      </c>
      <c r="W1032" s="78" t="b">
        <f t="shared" si="1023"/>
        <v>0</v>
      </c>
      <c r="X1032" s="78" t="b">
        <f t="shared" si="1024"/>
        <v>0</v>
      </c>
      <c r="Y1032" s="78" t="b">
        <f t="shared" si="1025"/>
        <v>0</v>
      </c>
      <c r="Z1032" s="78" t="b">
        <f t="shared" si="1026"/>
        <v>0</v>
      </c>
      <c r="AA1032" s="78" t="b">
        <f t="shared" si="1027"/>
        <v>0</v>
      </c>
      <c r="AB1032" s="78" t="b">
        <f t="shared" si="1028"/>
        <v>0</v>
      </c>
      <c r="AC1032" s="78" t="b">
        <f t="shared" si="1029"/>
        <v>0</v>
      </c>
      <c r="AD1032" s="78" t="b">
        <f t="shared" si="1030"/>
        <v>0</v>
      </c>
      <c r="AE1032" s="78" t="b">
        <f t="shared" si="1031"/>
        <v>0</v>
      </c>
      <c r="AF1032" s="78" t="b">
        <f t="shared" si="1032"/>
        <v>0</v>
      </c>
      <c r="AG1032" s="78" t="b">
        <f t="shared" si="1033"/>
        <v>0</v>
      </c>
      <c r="AH1032" s="78" t="b">
        <f t="shared" si="1034"/>
        <v>0</v>
      </c>
      <c r="AI1032" s="78" t="b">
        <f t="shared" si="1035"/>
        <v>0</v>
      </c>
      <c r="AJ1032" s="78" t="b">
        <f t="shared" si="1036"/>
        <v>0</v>
      </c>
      <c r="AK1032" s="78" t="b">
        <f t="shared" si="1037"/>
        <v>0</v>
      </c>
      <c r="AL1032" s="78" t="b">
        <f t="shared" si="1038"/>
        <v>0</v>
      </c>
      <c r="AM1032" s="78" t="b">
        <f t="shared" si="1039"/>
        <v>0</v>
      </c>
      <c r="AN1032" s="78" t="b">
        <f t="shared" si="1040"/>
        <v>0</v>
      </c>
      <c r="AO1032" s="78" t="b">
        <f t="shared" si="1041"/>
        <v>0</v>
      </c>
    </row>
    <row r="1033" spans="7:41" x14ac:dyDescent="0.35">
      <c r="G1033" s="77">
        <f t="shared" si="1011"/>
        <v>0</v>
      </c>
      <c r="H1033" s="78">
        <f t="shared" si="1012"/>
        <v>0</v>
      </c>
      <c r="I1033" s="77">
        <f t="shared" si="1013"/>
        <v>0</v>
      </c>
      <c r="J1033" s="78">
        <f t="shared" si="1014"/>
        <v>0</v>
      </c>
      <c r="K1033" s="78" t="str">
        <f t="shared" si="1015"/>
        <v>1900-01-00 00:0:00</v>
      </c>
      <c r="L1033" s="78" t="str">
        <f t="shared" si="1016"/>
        <v>1900-01-00 00:0:00</v>
      </c>
      <c r="M1033" s="79">
        <f t="shared" si="1017"/>
        <v>0</v>
      </c>
      <c r="N1033">
        <f t="shared" si="1042"/>
        <v>1</v>
      </c>
      <c r="O1033" t="str">
        <f>IFERROR(_xlfn.XLOOKUP(A1033,HC!A:A,HC!C:C),"")</f>
        <v>Workforce</v>
      </c>
      <c r="R1033" s="78" t="b">
        <f t="shared" si="1018"/>
        <v>0</v>
      </c>
      <c r="S1033" s="78" t="b">
        <f t="shared" si="1019"/>
        <v>0</v>
      </c>
      <c r="T1033" s="78" t="b">
        <f t="shared" si="1020"/>
        <v>0</v>
      </c>
      <c r="U1033" s="78" t="b">
        <f t="shared" si="1021"/>
        <v>0</v>
      </c>
      <c r="V1033" s="78" t="b">
        <f t="shared" si="1022"/>
        <v>0</v>
      </c>
      <c r="W1033" s="78" t="b">
        <f t="shared" si="1023"/>
        <v>0</v>
      </c>
      <c r="X1033" s="78" t="b">
        <f t="shared" si="1024"/>
        <v>0</v>
      </c>
      <c r="Y1033" s="78" t="b">
        <f t="shared" si="1025"/>
        <v>0</v>
      </c>
      <c r="Z1033" s="78" t="b">
        <f t="shared" si="1026"/>
        <v>0</v>
      </c>
      <c r="AA1033" s="78" t="b">
        <f t="shared" si="1027"/>
        <v>0</v>
      </c>
      <c r="AB1033" s="78" t="b">
        <f t="shared" si="1028"/>
        <v>0</v>
      </c>
      <c r="AC1033" s="78" t="b">
        <f t="shared" si="1029"/>
        <v>0</v>
      </c>
      <c r="AD1033" s="78" t="b">
        <f t="shared" si="1030"/>
        <v>0</v>
      </c>
      <c r="AE1033" s="78" t="b">
        <f t="shared" si="1031"/>
        <v>0</v>
      </c>
      <c r="AF1033" s="78" t="b">
        <f t="shared" si="1032"/>
        <v>0</v>
      </c>
      <c r="AG1033" s="78" t="b">
        <f t="shared" si="1033"/>
        <v>0</v>
      </c>
      <c r="AH1033" s="78" t="b">
        <f t="shared" si="1034"/>
        <v>0</v>
      </c>
      <c r="AI1033" s="78" t="b">
        <f t="shared" si="1035"/>
        <v>0</v>
      </c>
      <c r="AJ1033" s="78" t="b">
        <f t="shared" si="1036"/>
        <v>0</v>
      </c>
      <c r="AK1033" s="78" t="b">
        <f t="shared" si="1037"/>
        <v>0</v>
      </c>
      <c r="AL1033" s="78" t="b">
        <f t="shared" si="1038"/>
        <v>0</v>
      </c>
      <c r="AM1033" s="78" t="b">
        <f t="shared" si="1039"/>
        <v>0</v>
      </c>
      <c r="AN1033" s="78" t="b">
        <f t="shared" si="1040"/>
        <v>0</v>
      </c>
      <c r="AO1033" s="78" t="b">
        <f t="shared" si="1041"/>
        <v>0</v>
      </c>
    </row>
    <row r="1034" spans="7:41" x14ac:dyDescent="0.35">
      <c r="G1034" s="77">
        <f t="shared" si="1011"/>
        <v>0</v>
      </c>
      <c r="H1034" s="78">
        <f t="shared" si="1012"/>
        <v>0</v>
      </c>
      <c r="I1034" s="77">
        <f t="shared" si="1013"/>
        <v>0</v>
      </c>
      <c r="J1034" s="78">
        <f t="shared" si="1014"/>
        <v>0</v>
      </c>
      <c r="K1034" s="78" t="str">
        <f t="shared" si="1015"/>
        <v>1900-01-00 00:0:00</v>
      </c>
      <c r="L1034" s="78" t="str">
        <f t="shared" si="1016"/>
        <v>1900-01-00 00:0:00</v>
      </c>
      <c r="M1034" s="79">
        <f t="shared" si="1017"/>
        <v>0</v>
      </c>
      <c r="N1034">
        <f t="shared" si="1042"/>
        <v>1</v>
      </c>
      <c r="O1034" t="str">
        <f>IFERROR(_xlfn.XLOOKUP(A1034,HC!A:A,HC!C:C),"")</f>
        <v>Workforce</v>
      </c>
      <c r="R1034" s="78" t="b">
        <f t="shared" si="1018"/>
        <v>0</v>
      </c>
      <c r="S1034" s="78" t="b">
        <f t="shared" si="1019"/>
        <v>0</v>
      </c>
      <c r="T1034" s="78" t="b">
        <f t="shared" si="1020"/>
        <v>0</v>
      </c>
      <c r="U1034" s="78" t="b">
        <f t="shared" si="1021"/>
        <v>0</v>
      </c>
      <c r="V1034" s="78" t="b">
        <f t="shared" si="1022"/>
        <v>0</v>
      </c>
      <c r="W1034" s="78" t="b">
        <f t="shared" si="1023"/>
        <v>0</v>
      </c>
      <c r="X1034" s="78" t="b">
        <f t="shared" si="1024"/>
        <v>0</v>
      </c>
      <c r="Y1034" s="78" t="b">
        <f t="shared" si="1025"/>
        <v>0</v>
      </c>
      <c r="Z1034" s="78" t="b">
        <f t="shared" si="1026"/>
        <v>0</v>
      </c>
      <c r="AA1034" s="78" t="b">
        <f t="shared" si="1027"/>
        <v>0</v>
      </c>
      <c r="AB1034" s="78" t="b">
        <f t="shared" si="1028"/>
        <v>0</v>
      </c>
      <c r="AC1034" s="78" t="b">
        <f t="shared" si="1029"/>
        <v>0</v>
      </c>
      <c r="AD1034" s="78" t="b">
        <f t="shared" si="1030"/>
        <v>0</v>
      </c>
      <c r="AE1034" s="78" t="b">
        <f t="shared" si="1031"/>
        <v>0</v>
      </c>
      <c r="AF1034" s="78" t="b">
        <f t="shared" si="1032"/>
        <v>0</v>
      </c>
      <c r="AG1034" s="78" t="b">
        <f t="shared" si="1033"/>
        <v>0</v>
      </c>
      <c r="AH1034" s="78" t="b">
        <f t="shared" si="1034"/>
        <v>0</v>
      </c>
      <c r="AI1034" s="78" t="b">
        <f t="shared" si="1035"/>
        <v>0</v>
      </c>
      <c r="AJ1034" s="78" t="b">
        <f t="shared" si="1036"/>
        <v>0</v>
      </c>
      <c r="AK1034" s="78" t="b">
        <f t="shared" si="1037"/>
        <v>0</v>
      </c>
      <c r="AL1034" s="78" t="b">
        <f t="shared" si="1038"/>
        <v>0</v>
      </c>
      <c r="AM1034" s="78" t="b">
        <f t="shared" si="1039"/>
        <v>0</v>
      </c>
      <c r="AN1034" s="78" t="b">
        <f t="shared" si="1040"/>
        <v>0</v>
      </c>
      <c r="AO1034" s="78" t="b">
        <f t="shared" si="1041"/>
        <v>0</v>
      </c>
    </row>
    <row r="1035" spans="7:41" x14ac:dyDescent="0.35">
      <c r="G1035" s="77">
        <f t="shared" si="1011"/>
        <v>0</v>
      </c>
      <c r="H1035" s="78">
        <f t="shared" si="1012"/>
        <v>0</v>
      </c>
      <c r="I1035" s="77">
        <f t="shared" si="1013"/>
        <v>0</v>
      </c>
      <c r="J1035" s="78">
        <f t="shared" si="1014"/>
        <v>0</v>
      </c>
      <c r="K1035" s="78" t="str">
        <f t="shared" si="1015"/>
        <v>1900-01-00 00:0:00</v>
      </c>
      <c r="L1035" s="78" t="str">
        <f t="shared" si="1016"/>
        <v>1900-01-00 00:0:00</v>
      </c>
      <c r="M1035" s="79">
        <f t="shared" si="1017"/>
        <v>0</v>
      </c>
      <c r="N1035">
        <f t="shared" si="1042"/>
        <v>1</v>
      </c>
      <c r="O1035" t="str">
        <f>IFERROR(_xlfn.XLOOKUP(A1035,HC!A:A,HC!C:C),"")</f>
        <v>Workforce</v>
      </c>
      <c r="R1035" s="78" t="b">
        <f t="shared" si="1018"/>
        <v>0</v>
      </c>
      <c r="S1035" s="78" t="b">
        <f t="shared" si="1019"/>
        <v>0</v>
      </c>
      <c r="T1035" s="78" t="b">
        <f t="shared" si="1020"/>
        <v>0</v>
      </c>
      <c r="U1035" s="78" t="b">
        <f t="shared" si="1021"/>
        <v>0</v>
      </c>
      <c r="V1035" s="78" t="b">
        <f t="shared" si="1022"/>
        <v>0</v>
      </c>
      <c r="W1035" s="78" t="b">
        <f t="shared" si="1023"/>
        <v>0</v>
      </c>
      <c r="X1035" s="78" t="b">
        <f t="shared" si="1024"/>
        <v>0</v>
      </c>
      <c r="Y1035" s="78" t="b">
        <f t="shared" si="1025"/>
        <v>0</v>
      </c>
      <c r="Z1035" s="78" t="b">
        <f t="shared" si="1026"/>
        <v>0</v>
      </c>
      <c r="AA1035" s="78" t="b">
        <f t="shared" si="1027"/>
        <v>0</v>
      </c>
      <c r="AB1035" s="78" t="b">
        <f t="shared" si="1028"/>
        <v>0</v>
      </c>
      <c r="AC1035" s="78" t="b">
        <f t="shared" si="1029"/>
        <v>0</v>
      </c>
      <c r="AD1035" s="78" t="b">
        <f t="shared" si="1030"/>
        <v>0</v>
      </c>
      <c r="AE1035" s="78" t="b">
        <f t="shared" si="1031"/>
        <v>0</v>
      </c>
      <c r="AF1035" s="78" t="b">
        <f t="shared" si="1032"/>
        <v>0</v>
      </c>
      <c r="AG1035" s="78" t="b">
        <f t="shared" si="1033"/>
        <v>0</v>
      </c>
      <c r="AH1035" s="78" t="b">
        <f t="shared" si="1034"/>
        <v>0</v>
      </c>
      <c r="AI1035" s="78" t="b">
        <f t="shared" si="1035"/>
        <v>0</v>
      </c>
      <c r="AJ1035" s="78" t="b">
        <f t="shared" si="1036"/>
        <v>0</v>
      </c>
      <c r="AK1035" s="78" t="b">
        <f t="shared" si="1037"/>
        <v>0</v>
      </c>
      <c r="AL1035" s="78" t="b">
        <f t="shared" si="1038"/>
        <v>0</v>
      </c>
      <c r="AM1035" s="78" t="b">
        <f t="shared" si="1039"/>
        <v>0</v>
      </c>
      <c r="AN1035" s="78" t="b">
        <f t="shared" si="1040"/>
        <v>0</v>
      </c>
      <c r="AO1035" s="78" t="b">
        <f t="shared" si="1041"/>
        <v>0</v>
      </c>
    </row>
    <row r="1036" spans="7:41" x14ac:dyDescent="0.35">
      <c r="G1036" s="77">
        <f t="shared" si="1011"/>
        <v>0</v>
      </c>
      <c r="H1036" s="78">
        <f t="shared" si="1012"/>
        <v>0</v>
      </c>
      <c r="I1036" s="77">
        <f t="shared" si="1013"/>
        <v>0</v>
      </c>
      <c r="J1036" s="78">
        <f t="shared" si="1014"/>
        <v>0</v>
      </c>
      <c r="K1036" s="78" t="str">
        <f t="shared" si="1015"/>
        <v>1900-01-00 00:0:00</v>
      </c>
      <c r="L1036" s="78" t="str">
        <f t="shared" si="1016"/>
        <v>1900-01-00 00:0:00</v>
      </c>
      <c r="M1036" s="79">
        <f t="shared" si="1017"/>
        <v>0</v>
      </c>
      <c r="N1036">
        <f t="shared" si="1042"/>
        <v>1</v>
      </c>
      <c r="O1036" t="str">
        <f>IFERROR(_xlfn.XLOOKUP(A1036,HC!A:A,HC!C:C),"")</f>
        <v>Workforce</v>
      </c>
      <c r="R1036" s="78" t="b">
        <f t="shared" si="1018"/>
        <v>0</v>
      </c>
      <c r="S1036" s="78" t="b">
        <f t="shared" si="1019"/>
        <v>0</v>
      </c>
      <c r="T1036" s="78" t="b">
        <f t="shared" si="1020"/>
        <v>0</v>
      </c>
      <c r="U1036" s="78" t="b">
        <f t="shared" si="1021"/>
        <v>0</v>
      </c>
      <c r="V1036" s="78" t="b">
        <f t="shared" si="1022"/>
        <v>0</v>
      </c>
      <c r="W1036" s="78" t="b">
        <f t="shared" si="1023"/>
        <v>0</v>
      </c>
      <c r="X1036" s="78" t="b">
        <f t="shared" si="1024"/>
        <v>0</v>
      </c>
      <c r="Y1036" s="78" t="b">
        <f t="shared" si="1025"/>
        <v>0</v>
      </c>
      <c r="Z1036" s="78" t="b">
        <f t="shared" si="1026"/>
        <v>0</v>
      </c>
      <c r="AA1036" s="78" t="b">
        <f t="shared" si="1027"/>
        <v>0</v>
      </c>
      <c r="AB1036" s="78" t="b">
        <f t="shared" si="1028"/>
        <v>0</v>
      </c>
      <c r="AC1036" s="78" t="b">
        <f t="shared" si="1029"/>
        <v>0</v>
      </c>
      <c r="AD1036" s="78" t="b">
        <f t="shared" si="1030"/>
        <v>0</v>
      </c>
      <c r="AE1036" s="78" t="b">
        <f t="shared" si="1031"/>
        <v>0</v>
      </c>
      <c r="AF1036" s="78" t="b">
        <f t="shared" si="1032"/>
        <v>0</v>
      </c>
      <c r="AG1036" s="78" t="b">
        <f t="shared" si="1033"/>
        <v>0</v>
      </c>
      <c r="AH1036" s="78" t="b">
        <f t="shared" si="1034"/>
        <v>0</v>
      </c>
      <c r="AI1036" s="78" t="b">
        <f t="shared" si="1035"/>
        <v>0</v>
      </c>
      <c r="AJ1036" s="78" t="b">
        <f t="shared" si="1036"/>
        <v>0</v>
      </c>
      <c r="AK1036" s="78" t="b">
        <f t="shared" si="1037"/>
        <v>0</v>
      </c>
      <c r="AL1036" s="78" t="b">
        <f t="shared" si="1038"/>
        <v>0</v>
      </c>
      <c r="AM1036" s="78" t="b">
        <f t="shared" si="1039"/>
        <v>0</v>
      </c>
      <c r="AN1036" s="78" t="b">
        <f t="shared" si="1040"/>
        <v>0</v>
      </c>
      <c r="AO1036" s="78" t="b">
        <f t="shared" si="1041"/>
        <v>0</v>
      </c>
    </row>
    <row r="1037" spans="7:41" x14ac:dyDescent="0.35">
      <c r="G1037" s="77">
        <f t="shared" si="1011"/>
        <v>0</v>
      </c>
      <c r="H1037" s="78">
        <f t="shared" si="1012"/>
        <v>0</v>
      </c>
      <c r="I1037" s="77">
        <f t="shared" si="1013"/>
        <v>0</v>
      </c>
      <c r="J1037" s="78">
        <f t="shared" si="1014"/>
        <v>0</v>
      </c>
      <c r="K1037" s="78" t="str">
        <f t="shared" si="1015"/>
        <v>1900-01-00 00:0:00</v>
      </c>
      <c r="L1037" s="78" t="str">
        <f t="shared" si="1016"/>
        <v>1900-01-00 00:0:00</v>
      </c>
      <c r="M1037" s="79">
        <f t="shared" si="1017"/>
        <v>0</v>
      </c>
      <c r="N1037">
        <f t="shared" si="1042"/>
        <v>1</v>
      </c>
      <c r="O1037" t="str">
        <f>IFERROR(_xlfn.XLOOKUP(A1037,HC!A:A,HC!C:C),"")</f>
        <v>Workforce</v>
      </c>
      <c r="R1037" s="78" t="b">
        <f t="shared" si="1018"/>
        <v>0</v>
      </c>
      <c r="S1037" s="78" t="b">
        <f t="shared" si="1019"/>
        <v>0</v>
      </c>
      <c r="T1037" s="78" t="b">
        <f t="shared" si="1020"/>
        <v>0</v>
      </c>
      <c r="U1037" s="78" t="b">
        <f t="shared" si="1021"/>
        <v>0</v>
      </c>
      <c r="V1037" s="78" t="b">
        <f t="shared" si="1022"/>
        <v>0</v>
      </c>
      <c r="W1037" s="78" t="b">
        <f t="shared" si="1023"/>
        <v>0</v>
      </c>
      <c r="X1037" s="78" t="b">
        <f t="shared" si="1024"/>
        <v>0</v>
      </c>
      <c r="Y1037" s="78" t="b">
        <f t="shared" si="1025"/>
        <v>0</v>
      </c>
      <c r="Z1037" s="78" t="b">
        <f t="shared" si="1026"/>
        <v>0</v>
      </c>
      <c r="AA1037" s="78" t="b">
        <f t="shared" si="1027"/>
        <v>0</v>
      </c>
      <c r="AB1037" s="78" t="b">
        <f t="shared" si="1028"/>
        <v>0</v>
      </c>
      <c r="AC1037" s="78" t="b">
        <f t="shared" si="1029"/>
        <v>0</v>
      </c>
      <c r="AD1037" s="78" t="b">
        <f t="shared" si="1030"/>
        <v>0</v>
      </c>
      <c r="AE1037" s="78" t="b">
        <f t="shared" si="1031"/>
        <v>0</v>
      </c>
      <c r="AF1037" s="78" t="b">
        <f t="shared" si="1032"/>
        <v>0</v>
      </c>
      <c r="AG1037" s="78" t="b">
        <f t="shared" si="1033"/>
        <v>0</v>
      </c>
      <c r="AH1037" s="78" t="b">
        <f t="shared" si="1034"/>
        <v>0</v>
      </c>
      <c r="AI1037" s="78" t="b">
        <f t="shared" si="1035"/>
        <v>0</v>
      </c>
      <c r="AJ1037" s="78" t="b">
        <f t="shared" si="1036"/>
        <v>0</v>
      </c>
      <c r="AK1037" s="78" t="b">
        <f t="shared" si="1037"/>
        <v>0</v>
      </c>
      <c r="AL1037" s="78" t="b">
        <f t="shared" si="1038"/>
        <v>0</v>
      </c>
      <c r="AM1037" s="78" t="b">
        <f t="shared" si="1039"/>
        <v>0</v>
      </c>
      <c r="AN1037" s="78" t="b">
        <f t="shared" si="1040"/>
        <v>0</v>
      </c>
      <c r="AO1037" s="78" t="b">
        <f t="shared" si="1041"/>
        <v>0</v>
      </c>
    </row>
    <row r="1038" spans="7:41" x14ac:dyDescent="0.35">
      <c r="G1038" s="77">
        <f t="shared" si="1011"/>
        <v>0</v>
      </c>
      <c r="H1038" s="78">
        <f t="shared" si="1012"/>
        <v>0</v>
      </c>
      <c r="I1038" s="77">
        <f t="shared" si="1013"/>
        <v>0</v>
      </c>
      <c r="J1038" s="78">
        <f t="shared" si="1014"/>
        <v>0</v>
      </c>
      <c r="K1038" s="78" t="str">
        <f t="shared" si="1015"/>
        <v>1900-01-00 00:0:00</v>
      </c>
      <c r="L1038" s="78" t="str">
        <f t="shared" si="1016"/>
        <v>1900-01-00 00:0:00</v>
      </c>
      <c r="M1038" s="79">
        <f t="shared" si="1017"/>
        <v>0</v>
      </c>
      <c r="N1038">
        <f t="shared" si="1042"/>
        <v>1</v>
      </c>
      <c r="O1038" t="str">
        <f>IFERROR(_xlfn.XLOOKUP(A1038,HC!A:A,HC!C:C),"")</f>
        <v>Workforce</v>
      </c>
      <c r="R1038" s="78" t="b">
        <f t="shared" si="1018"/>
        <v>0</v>
      </c>
      <c r="S1038" s="78" t="b">
        <f t="shared" si="1019"/>
        <v>0</v>
      </c>
      <c r="T1038" s="78" t="b">
        <f t="shared" si="1020"/>
        <v>0</v>
      </c>
      <c r="U1038" s="78" t="b">
        <f t="shared" si="1021"/>
        <v>0</v>
      </c>
      <c r="V1038" s="78" t="b">
        <f t="shared" si="1022"/>
        <v>0</v>
      </c>
      <c r="W1038" s="78" t="b">
        <f t="shared" si="1023"/>
        <v>0</v>
      </c>
      <c r="X1038" s="78" t="b">
        <f t="shared" si="1024"/>
        <v>0</v>
      </c>
      <c r="Y1038" s="78" t="b">
        <f t="shared" si="1025"/>
        <v>0</v>
      </c>
      <c r="Z1038" s="78" t="b">
        <f t="shared" si="1026"/>
        <v>0</v>
      </c>
      <c r="AA1038" s="78" t="b">
        <f t="shared" si="1027"/>
        <v>0</v>
      </c>
      <c r="AB1038" s="78" t="b">
        <f t="shared" si="1028"/>
        <v>0</v>
      </c>
      <c r="AC1038" s="78" t="b">
        <f t="shared" si="1029"/>
        <v>0</v>
      </c>
      <c r="AD1038" s="78" t="b">
        <f t="shared" si="1030"/>
        <v>0</v>
      </c>
      <c r="AE1038" s="78" t="b">
        <f t="shared" si="1031"/>
        <v>0</v>
      </c>
      <c r="AF1038" s="78" t="b">
        <f t="shared" si="1032"/>
        <v>0</v>
      </c>
      <c r="AG1038" s="78" t="b">
        <f t="shared" si="1033"/>
        <v>0</v>
      </c>
      <c r="AH1038" s="78" t="b">
        <f t="shared" si="1034"/>
        <v>0</v>
      </c>
      <c r="AI1038" s="78" t="b">
        <f t="shared" si="1035"/>
        <v>0</v>
      </c>
      <c r="AJ1038" s="78" t="b">
        <f t="shared" si="1036"/>
        <v>0</v>
      </c>
      <c r="AK1038" s="78" t="b">
        <f t="shared" si="1037"/>
        <v>0</v>
      </c>
      <c r="AL1038" s="78" t="b">
        <f t="shared" si="1038"/>
        <v>0</v>
      </c>
      <c r="AM1038" s="78" t="b">
        <f t="shared" si="1039"/>
        <v>0</v>
      </c>
      <c r="AN1038" s="78" t="b">
        <f t="shared" si="1040"/>
        <v>0</v>
      </c>
      <c r="AO1038" s="78" t="b">
        <f t="shared" si="1041"/>
        <v>0</v>
      </c>
    </row>
    <row r="1039" spans="7:41" x14ac:dyDescent="0.35">
      <c r="G1039" s="77">
        <f t="shared" si="1011"/>
        <v>0</v>
      </c>
      <c r="H1039" s="78">
        <f t="shared" si="1012"/>
        <v>0</v>
      </c>
      <c r="I1039" s="77">
        <f t="shared" si="1013"/>
        <v>0</v>
      </c>
      <c r="J1039" s="78">
        <f t="shared" si="1014"/>
        <v>0</v>
      </c>
      <c r="K1039" s="78" t="str">
        <f t="shared" si="1015"/>
        <v>1900-01-00 00:0:00</v>
      </c>
      <c r="L1039" s="78" t="str">
        <f t="shared" si="1016"/>
        <v>1900-01-00 00:0:00</v>
      </c>
      <c r="M1039" s="79">
        <f t="shared" si="1017"/>
        <v>0</v>
      </c>
      <c r="N1039">
        <f t="shared" si="1042"/>
        <v>1</v>
      </c>
      <c r="O1039" t="str">
        <f>IFERROR(_xlfn.XLOOKUP(A1039,HC!A:A,HC!C:C),"")</f>
        <v>Workforce</v>
      </c>
      <c r="R1039" s="78" t="b">
        <f t="shared" si="1018"/>
        <v>0</v>
      </c>
      <c r="S1039" s="78" t="b">
        <f t="shared" si="1019"/>
        <v>0</v>
      </c>
      <c r="T1039" s="78" t="b">
        <f t="shared" si="1020"/>
        <v>0</v>
      </c>
      <c r="U1039" s="78" t="b">
        <f t="shared" si="1021"/>
        <v>0</v>
      </c>
      <c r="V1039" s="78" t="b">
        <f t="shared" si="1022"/>
        <v>0</v>
      </c>
      <c r="W1039" s="78" t="b">
        <f t="shared" si="1023"/>
        <v>0</v>
      </c>
      <c r="X1039" s="78" t="b">
        <f t="shared" si="1024"/>
        <v>0</v>
      </c>
      <c r="Y1039" s="78" t="b">
        <f t="shared" si="1025"/>
        <v>0</v>
      </c>
      <c r="Z1039" s="78" t="b">
        <f t="shared" si="1026"/>
        <v>0</v>
      </c>
      <c r="AA1039" s="78" t="b">
        <f t="shared" si="1027"/>
        <v>0</v>
      </c>
      <c r="AB1039" s="78" t="b">
        <f t="shared" si="1028"/>
        <v>0</v>
      </c>
      <c r="AC1039" s="78" t="b">
        <f t="shared" si="1029"/>
        <v>0</v>
      </c>
      <c r="AD1039" s="78" t="b">
        <f t="shared" si="1030"/>
        <v>0</v>
      </c>
      <c r="AE1039" s="78" t="b">
        <f t="shared" si="1031"/>
        <v>0</v>
      </c>
      <c r="AF1039" s="78" t="b">
        <f t="shared" si="1032"/>
        <v>0</v>
      </c>
      <c r="AG1039" s="78" t="b">
        <f t="shared" si="1033"/>
        <v>0</v>
      </c>
      <c r="AH1039" s="78" t="b">
        <f t="shared" si="1034"/>
        <v>0</v>
      </c>
      <c r="AI1039" s="78" t="b">
        <f t="shared" si="1035"/>
        <v>0</v>
      </c>
      <c r="AJ1039" s="78" t="b">
        <f t="shared" si="1036"/>
        <v>0</v>
      </c>
      <c r="AK1039" s="78" t="b">
        <f t="shared" si="1037"/>
        <v>0</v>
      </c>
      <c r="AL1039" s="78" t="b">
        <f t="shared" si="1038"/>
        <v>0</v>
      </c>
      <c r="AM1039" s="78" t="b">
        <f t="shared" si="1039"/>
        <v>0</v>
      </c>
      <c r="AN1039" s="78" t="b">
        <f t="shared" si="1040"/>
        <v>0</v>
      </c>
      <c r="AO1039" s="78" t="b">
        <f t="shared" si="1041"/>
        <v>0</v>
      </c>
    </row>
    <row r="1040" spans="7:41" x14ac:dyDescent="0.35">
      <c r="G1040" s="77">
        <f t="shared" si="1011"/>
        <v>0</v>
      </c>
      <c r="H1040" s="78">
        <f t="shared" si="1012"/>
        <v>0</v>
      </c>
      <c r="I1040" s="77">
        <f t="shared" si="1013"/>
        <v>0</v>
      </c>
      <c r="J1040" s="78">
        <f t="shared" si="1014"/>
        <v>0</v>
      </c>
      <c r="K1040" s="78" t="str">
        <f t="shared" si="1015"/>
        <v>1900-01-00 00:0:00</v>
      </c>
      <c r="L1040" s="78" t="str">
        <f t="shared" si="1016"/>
        <v>1900-01-00 00:0:00</v>
      </c>
      <c r="M1040" s="79">
        <f t="shared" si="1017"/>
        <v>0</v>
      </c>
      <c r="N1040">
        <f t="shared" si="1042"/>
        <v>1</v>
      </c>
      <c r="O1040" t="str">
        <f>IFERROR(_xlfn.XLOOKUP(A1040,HC!A:A,HC!C:C),"")</f>
        <v>Workforce</v>
      </c>
      <c r="R1040" s="78" t="b">
        <f t="shared" si="1018"/>
        <v>0</v>
      </c>
      <c r="S1040" s="78" t="b">
        <f t="shared" si="1019"/>
        <v>0</v>
      </c>
      <c r="T1040" s="78" t="b">
        <f t="shared" si="1020"/>
        <v>0</v>
      </c>
      <c r="U1040" s="78" t="b">
        <f t="shared" si="1021"/>
        <v>0</v>
      </c>
      <c r="V1040" s="78" t="b">
        <f t="shared" si="1022"/>
        <v>0</v>
      </c>
      <c r="W1040" s="78" t="b">
        <f t="shared" si="1023"/>
        <v>0</v>
      </c>
      <c r="X1040" s="78" t="b">
        <f t="shared" si="1024"/>
        <v>0</v>
      </c>
      <c r="Y1040" s="78" t="b">
        <f t="shared" si="1025"/>
        <v>0</v>
      </c>
      <c r="Z1040" s="78" t="b">
        <f t="shared" si="1026"/>
        <v>0</v>
      </c>
      <c r="AA1040" s="78" t="b">
        <f t="shared" si="1027"/>
        <v>0</v>
      </c>
      <c r="AB1040" s="78" t="b">
        <f t="shared" si="1028"/>
        <v>0</v>
      </c>
      <c r="AC1040" s="78" t="b">
        <f t="shared" si="1029"/>
        <v>0</v>
      </c>
      <c r="AD1040" s="78" t="b">
        <f t="shared" si="1030"/>
        <v>0</v>
      </c>
      <c r="AE1040" s="78" t="b">
        <f t="shared" si="1031"/>
        <v>0</v>
      </c>
      <c r="AF1040" s="78" t="b">
        <f t="shared" si="1032"/>
        <v>0</v>
      </c>
      <c r="AG1040" s="78" t="b">
        <f t="shared" si="1033"/>
        <v>0</v>
      </c>
      <c r="AH1040" s="78" t="b">
        <f t="shared" si="1034"/>
        <v>0</v>
      </c>
      <c r="AI1040" s="78" t="b">
        <f t="shared" si="1035"/>
        <v>0</v>
      </c>
      <c r="AJ1040" s="78" t="b">
        <f t="shared" si="1036"/>
        <v>0</v>
      </c>
      <c r="AK1040" s="78" t="b">
        <f t="shared" si="1037"/>
        <v>0</v>
      </c>
      <c r="AL1040" s="78" t="b">
        <f t="shared" si="1038"/>
        <v>0</v>
      </c>
      <c r="AM1040" s="78" t="b">
        <f t="shared" si="1039"/>
        <v>0</v>
      </c>
      <c r="AN1040" s="78" t="b">
        <f t="shared" si="1040"/>
        <v>0</v>
      </c>
      <c r="AO1040" s="78" t="b">
        <f t="shared" si="1041"/>
        <v>0</v>
      </c>
    </row>
    <row r="1041" spans="7:41" x14ac:dyDescent="0.35">
      <c r="G1041" s="77">
        <f t="shared" si="1011"/>
        <v>0</v>
      </c>
      <c r="H1041" s="78">
        <f t="shared" si="1012"/>
        <v>0</v>
      </c>
      <c r="I1041" s="77">
        <f t="shared" si="1013"/>
        <v>0</v>
      </c>
      <c r="J1041" s="78">
        <f t="shared" si="1014"/>
        <v>0</v>
      </c>
      <c r="K1041" s="78" t="str">
        <f t="shared" si="1015"/>
        <v>1900-01-00 00:0:00</v>
      </c>
      <c r="L1041" s="78" t="str">
        <f t="shared" si="1016"/>
        <v>1900-01-00 00:0:00</v>
      </c>
      <c r="M1041" s="79">
        <f t="shared" si="1017"/>
        <v>0</v>
      </c>
      <c r="N1041">
        <f t="shared" si="1042"/>
        <v>1</v>
      </c>
      <c r="O1041" t="str">
        <f>IFERROR(_xlfn.XLOOKUP(A1041,HC!A:A,HC!C:C),"")</f>
        <v>Workforce</v>
      </c>
      <c r="R1041" s="78" t="b">
        <f t="shared" si="1018"/>
        <v>0</v>
      </c>
      <c r="S1041" s="78" t="b">
        <f t="shared" si="1019"/>
        <v>0</v>
      </c>
      <c r="T1041" s="78" t="b">
        <f t="shared" si="1020"/>
        <v>0</v>
      </c>
      <c r="U1041" s="78" t="b">
        <f t="shared" si="1021"/>
        <v>0</v>
      </c>
      <c r="V1041" s="78" t="b">
        <f t="shared" si="1022"/>
        <v>0</v>
      </c>
      <c r="W1041" s="78" t="b">
        <f t="shared" si="1023"/>
        <v>0</v>
      </c>
      <c r="X1041" s="78" t="b">
        <f t="shared" si="1024"/>
        <v>0</v>
      </c>
      <c r="Y1041" s="78" t="b">
        <f t="shared" si="1025"/>
        <v>0</v>
      </c>
      <c r="Z1041" s="78" t="b">
        <f t="shared" si="1026"/>
        <v>0</v>
      </c>
      <c r="AA1041" s="78" t="b">
        <f t="shared" si="1027"/>
        <v>0</v>
      </c>
      <c r="AB1041" s="78" t="b">
        <f t="shared" si="1028"/>
        <v>0</v>
      </c>
      <c r="AC1041" s="78" t="b">
        <f t="shared" si="1029"/>
        <v>0</v>
      </c>
      <c r="AD1041" s="78" t="b">
        <f t="shared" si="1030"/>
        <v>0</v>
      </c>
      <c r="AE1041" s="78" t="b">
        <f t="shared" si="1031"/>
        <v>0</v>
      </c>
      <c r="AF1041" s="78" t="b">
        <f t="shared" si="1032"/>
        <v>0</v>
      </c>
      <c r="AG1041" s="78" t="b">
        <f t="shared" si="1033"/>
        <v>0</v>
      </c>
      <c r="AH1041" s="78" t="b">
        <f t="shared" si="1034"/>
        <v>0</v>
      </c>
      <c r="AI1041" s="78" t="b">
        <f t="shared" si="1035"/>
        <v>0</v>
      </c>
      <c r="AJ1041" s="78" t="b">
        <f t="shared" si="1036"/>
        <v>0</v>
      </c>
      <c r="AK1041" s="78" t="b">
        <f t="shared" si="1037"/>
        <v>0</v>
      </c>
      <c r="AL1041" s="78" t="b">
        <f t="shared" si="1038"/>
        <v>0</v>
      </c>
      <c r="AM1041" s="78" t="b">
        <f t="shared" si="1039"/>
        <v>0</v>
      </c>
      <c r="AN1041" s="78" t="b">
        <f t="shared" si="1040"/>
        <v>0</v>
      </c>
      <c r="AO1041" s="78" t="b">
        <f t="shared" si="1041"/>
        <v>0</v>
      </c>
    </row>
    <row r="1042" spans="7:41" x14ac:dyDescent="0.35">
      <c r="G1042" s="77">
        <f t="shared" si="1011"/>
        <v>0</v>
      </c>
      <c r="H1042" s="78">
        <f t="shared" si="1012"/>
        <v>0</v>
      </c>
      <c r="I1042" s="77">
        <f t="shared" si="1013"/>
        <v>0</v>
      </c>
      <c r="J1042" s="78">
        <f t="shared" si="1014"/>
        <v>0</v>
      </c>
      <c r="K1042" s="78" t="str">
        <f t="shared" si="1015"/>
        <v>1900-01-00 00:0:00</v>
      </c>
      <c r="L1042" s="78" t="str">
        <f t="shared" si="1016"/>
        <v>1900-01-00 00:0:00</v>
      </c>
      <c r="M1042" s="79">
        <f t="shared" si="1017"/>
        <v>0</v>
      </c>
      <c r="N1042">
        <f t="shared" si="1042"/>
        <v>1</v>
      </c>
      <c r="O1042" t="str">
        <f>IFERROR(_xlfn.XLOOKUP(A1042,HC!A:A,HC!C:C),"")</f>
        <v>Workforce</v>
      </c>
      <c r="R1042" s="78" t="b">
        <f t="shared" si="1018"/>
        <v>0</v>
      </c>
      <c r="S1042" s="78" t="b">
        <f t="shared" si="1019"/>
        <v>0</v>
      </c>
      <c r="T1042" s="78" t="b">
        <f t="shared" si="1020"/>
        <v>0</v>
      </c>
      <c r="U1042" s="78" t="b">
        <f t="shared" si="1021"/>
        <v>0</v>
      </c>
      <c r="V1042" s="78" t="b">
        <f t="shared" si="1022"/>
        <v>0</v>
      </c>
      <c r="W1042" s="78" t="b">
        <f t="shared" si="1023"/>
        <v>0</v>
      </c>
      <c r="X1042" s="78" t="b">
        <f t="shared" si="1024"/>
        <v>0</v>
      </c>
      <c r="Y1042" s="78" t="b">
        <f t="shared" si="1025"/>
        <v>0</v>
      </c>
      <c r="Z1042" s="78" t="b">
        <f t="shared" si="1026"/>
        <v>0</v>
      </c>
      <c r="AA1042" s="78" t="b">
        <f t="shared" si="1027"/>
        <v>0</v>
      </c>
      <c r="AB1042" s="78" t="b">
        <f t="shared" si="1028"/>
        <v>0</v>
      </c>
      <c r="AC1042" s="78" t="b">
        <f t="shared" si="1029"/>
        <v>0</v>
      </c>
      <c r="AD1042" s="78" t="b">
        <f t="shared" si="1030"/>
        <v>0</v>
      </c>
      <c r="AE1042" s="78" t="b">
        <f t="shared" si="1031"/>
        <v>0</v>
      </c>
      <c r="AF1042" s="78" t="b">
        <f t="shared" si="1032"/>
        <v>0</v>
      </c>
      <c r="AG1042" s="78" t="b">
        <f t="shared" si="1033"/>
        <v>0</v>
      </c>
      <c r="AH1042" s="78" t="b">
        <f t="shared" si="1034"/>
        <v>0</v>
      </c>
      <c r="AI1042" s="78" t="b">
        <f t="shared" si="1035"/>
        <v>0</v>
      </c>
      <c r="AJ1042" s="78" t="b">
        <f t="shared" si="1036"/>
        <v>0</v>
      </c>
      <c r="AK1042" s="78" t="b">
        <f t="shared" si="1037"/>
        <v>0</v>
      </c>
      <c r="AL1042" s="78" t="b">
        <f t="shared" si="1038"/>
        <v>0</v>
      </c>
      <c r="AM1042" s="78" t="b">
        <f t="shared" si="1039"/>
        <v>0</v>
      </c>
      <c r="AN1042" s="78" t="b">
        <f t="shared" si="1040"/>
        <v>0</v>
      </c>
      <c r="AO1042" s="78" t="b">
        <f t="shared" si="1041"/>
        <v>0</v>
      </c>
    </row>
    <row r="1043" spans="7:41" x14ac:dyDescent="0.35">
      <c r="G1043" s="77">
        <f t="shared" si="1011"/>
        <v>0</v>
      </c>
      <c r="H1043" s="78">
        <f t="shared" si="1012"/>
        <v>0</v>
      </c>
      <c r="I1043" s="77">
        <f t="shared" si="1013"/>
        <v>0</v>
      </c>
      <c r="J1043" s="78">
        <f t="shared" si="1014"/>
        <v>0</v>
      </c>
      <c r="K1043" s="78" t="str">
        <f t="shared" si="1015"/>
        <v>1900-01-00 00:0:00</v>
      </c>
      <c r="L1043" s="78" t="str">
        <f t="shared" si="1016"/>
        <v>1900-01-00 00:0:00</v>
      </c>
      <c r="M1043" s="79">
        <f t="shared" si="1017"/>
        <v>0</v>
      </c>
      <c r="N1043">
        <f t="shared" si="1042"/>
        <v>1</v>
      </c>
      <c r="O1043" t="str">
        <f>IFERROR(_xlfn.XLOOKUP(A1043,HC!A:A,HC!C:C),"")</f>
        <v>Workforce</v>
      </c>
      <c r="R1043" s="78" t="b">
        <f t="shared" si="1018"/>
        <v>0</v>
      </c>
      <c r="S1043" s="78" t="b">
        <f t="shared" si="1019"/>
        <v>0</v>
      </c>
      <c r="T1043" s="78" t="b">
        <f t="shared" si="1020"/>
        <v>0</v>
      </c>
      <c r="U1043" s="78" t="b">
        <f t="shared" si="1021"/>
        <v>0</v>
      </c>
      <c r="V1043" s="78" t="b">
        <f t="shared" si="1022"/>
        <v>0</v>
      </c>
      <c r="W1043" s="78" t="b">
        <f t="shared" si="1023"/>
        <v>0</v>
      </c>
      <c r="X1043" s="78" t="b">
        <f t="shared" si="1024"/>
        <v>0</v>
      </c>
      <c r="Y1043" s="78" t="b">
        <f t="shared" si="1025"/>
        <v>0</v>
      </c>
      <c r="Z1043" s="78" t="b">
        <f t="shared" si="1026"/>
        <v>0</v>
      </c>
      <c r="AA1043" s="78" t="b">
        <f t="shared" si="1027"/>
        <v>0</v>
      </c>
      <c r="AB1043" s="78" t="b">
        <f t="shared" si="1028"/>
        <v>0</v>
      </c>
      <c r="AC1043" s="78" t="b">
        <f t="shared" si="1029"/>
        <v>0</v>
      </c>
      <c r="AD1043" s="78" t="b">
        <f t="shared" si="1030"/>
        <v>0</v>
      </c>
      <c r="AE1043" s="78" t="b">
        <f t="shared" si="1031"/>
        <v>0</v>
      </c>
      <c r="AF1043" s="78" t="b">
        <f t="shared" si="1032"/>
        <v>0</v>
      </c>
      <c r="AG1043" s="78" t="b">
        <f t="shared" si="1033"/>
        <v>0</v>
      </c>
      <c r="AH1043" s="78" t="b">
        <f t="shared" si="1034"/>
        <v>0</v>
      </c>
      <c r="AI1043" s="78" t="b">
        <f t="shared" si="1035"/>
        <v>0</v>
      </c>
      <c r="AJ1043" s="78" t="b">
        <f t="shared" si="1036"/>
        <v>0</v>
      </c>
      <c r="AK1043" s="78" t="b">
        <f t="shared" si="1037"/>
        <v>0</v>
      </c>
      <c r="AL1043" s="78" t="b">
        <f t="shared" si="1038"/>
        <v>0</v>
      </c>
      <c r="AM1043" s="78" t="b">
        <f t="shared" si="1039"/>
        <v>0</v>
      </c>
      <c r="AN1043" s="78" t="b">
        <f t="shared" si="1040"/>
        <v>0</v>
      </c>
      <c r="AO1043" s="78" t="b">
        <f t="shared" si="1041"/>
        <v>0</v>
      </c>
    </row>
    <row r="1044" spans="7:41" x14ac:dyDescent="0.35">
      <c r="G1044" s="77">
        <f t="shared" si="1011"/>
        <v>0</v>
      </c>
      <c r="H1044" s="78">
        <f t="shared" si="1012"/>
        <v>0</v>
      </c>
      <c r="I1044" s="77">
        <f t="shared" si="1013"/>
        <v>0</v>
      </c>
      <c r="J1044" s="78">
        <f t="shared" si="1014"/>
        <v>0</v>
      </c>
      <c r="K1044" s="78" t="str">
        <f t="shared" si="1015"/>
        <v>1900-01-00 00:0:00</v>
      </c>
      <c r="L1044" s="78" t="str">
        <f t="shared" si="1016"/>
        <v>1900-01-00 00:0:00</v>
      </c>
      <c r="M1044" s="79">
        <f t="shared" si="1017"/>
        <v>0</v>
      </c>
      <c r="N1044">
        <f t="shared" si="1042"/>
        <v>1</v>
      </c>
      <c r="O1044" t="str">
        <f>IFERROR(_xlfn.XLOOKUP(A1044,HC!A:A,HC!C:C),"")</f>
        <v>Workforce</v>
      </c>
      <c r="R1044" s="78" t="b">
        <f t="shared" si="1018"/>
        <v>0</v>
      </c>
      <c r="S1044" s="78" t="b">
        <f t="shared" si="1019"/>
        <v>0</v>
      </c>
      <c r="T1044" s="78" t="b">
        <f t="shared" si="1020"/>
        <v>0</v>
      </c>
      <c r="U1044" s="78" t="b">
        <f t="shared" si="1021"/>
        <v>0</v>
      </c>
      <c r="V1044" s="78" t="b">
        <f t="shared" si="1022"/>
        <v>0</v>
      </c>
      <c r="W1044" s="78" t="b">
        <f t="shared" si="1023"/>
        <v>0</v>
      </c>
      <c r="X1044" s="78" t="b">
        <f t="shared" si="1024"/>
        <v>0</v>
      </c>
      <c r="Y1044" s="78" t="b">
        <f t="shared" si="1025"/>
        <v>0</v>
      </c>
      <c r="Z1044" s="78" t="b">
        <f t="shared" si="1026"/>
        <v>0</v>
      </c>
      <c r="AA1044" s="78" t="b">
        <f t="shared" si="1027"/>
        <v>0</v>
      </c>
      <c r="AB1044" s="78" t="b">
        <f t="shared" si="1028"/>
        <v>0</v>
      </c>
      <c r="AC1044" s="78" t="b">
        <f t="shared" si="1029"/>
        <v>0</v>
      </c>
      <c r="AD1044" s="78" t="b">
        <f t="shared" si="1030"/>
        <v>0</v>
      </c>
      <c r="AE1044" s="78" t="b">
        <f t="shared" si="1031"/>
        <v>0</v>
      </c>
      <c r="AF1044" s="78" t="b">
        <f t="shared" si="1032"/>
        <v>0</v>
      </c>
      <c r="AG1044" s="78" t="b">
        <f t="shared" si="1033"/>
        <v>0</v>
      </c>
      <c r="AH1044" s="78" t="b">
        <f t="shared" si="1034"/>
        <v>0</v>
      </c>
      <c r="AI1044" s="78" t="b">
        <f t="shared" si="1035"/>
        <v>0</v>
      </c>
      <c r="AJ1044" s="78" t="b">
        <f t="shared" si="1036"/>
        <v>0</v>
      </c>
      <c r="AK1044" s="78" t="b">
        <f t="shared" si="1037"/>
        <v>0</v>
      </c>
      <c r="AL1044" s="78" t="b">
        <f t="shared" si="1038"/>
        <v>0</v>
      </c>
      <c r="AM1044" s="78" t="b">
        <f t="shared" si="1039"/>
        <v>0</v>
      </c>
      <c r="AN1044" s="78" t="b">
        <f t="shared" si="1040"/>
        <v>0</v>
      </c>
      <c r="AO1044" s="78" t="b">
        <f t="shared" si="1041"/>
        <v>0</v>
      </c>
    </row>
    <row r="1045" spans="7:41" x14ac:dyDescent="0.35">
      <c r="G1045" s="77">
        <f t="shared" si="1011"/>
        <v>0</v>
      </c>
      <c r="H1045" s="78">
        <f t="shared" si="1012"/>
        <v>0</v>
      </c>
      <c r="I1045" s="77">
        <f t="shared" si="1013"/>
        <v>0</v>
      </c>
      <c r="J1045" s="78">
        <f t="shared" si="1014"/>
        <v>0</v>
      </c>
      <c r="K1045" s="78" t="str">
        <f t="shared" si="1015"/>
        <v>1900-01-00 00:0:00</v>
      </c>
      <c r="L1045" s="78" t="str">
        <f t="shared" si="1016"/>
        <v>1900-01-00 00:0:00</v>
      </c>
      <c r="M1045" s="79">
        <f t="shared" si="1017"/>
        <v>0</v>
      </c>
      <c r="N1045">
        <f t="shared" si="1042"/>
        <v>1</v>
      </c>
      <c r="O1045" t="str">
        <f>IFERROR(_xlfn.XLOOKUP(A1045,HC!A:A,HC!C:C),"")</f>
        <v>Workforce</v>
      </c>
      <c r="R1045" s="78" t="b">
        <f t="shared" si="1018"/>
        <v>0</v>
      </c>
      <c r="S1045" s="78" t="b">
        <f t="shared" si="1019"/>
        <v>0</v>
      </c>
      <c r="T1045" s="78" t="b">
        <f t="shared" si="1020"/>
        <v>0</v>
      </c>
      <c r="U1045" s="78" t="b">
        <f t="shared" si="1021"/>
        <v>0</v>
      </c>
      <c r="V1045" s="78" t="b">
        <f t="shared" si="1022"/>
        <v>0</v>
      </c>
      <c r="W1045" s="78" t="b">
        <f t="shared" si="1023"/>
        <v>0</v>
      </c>
      <c r="X1045" s="78" t="b">
        <f t="shared" si="1024"/>
        <v>0</v>
      </c>
      <c r="Y1045" s="78" t="b">
        <f t="shared" si="1025"/>
        <v>0</v>
      </c>
      <c r="Z1045" s="78" t="b">
        <f t="shared" si="1026"/>
        <v>0</v>
      </c>
      <c r="AA1045" s="78" t="b">
        <f t="shared" si="1027"/>
        <v>0</v>
      </c>
      <c r="AB1045" s="78" t="b">
        <f t="shared" si="1028"/>
        <v>0</v>
      </c>
      <c r="AC1045" s="78" t="b">
        <f t="shared" si="1029"/>
        <v>0</v>
      </c>
      <c r="AD1045" s="78" t="b">
        <f t="shared" si="1030"/>
        <v>0</v>
      </c>
      <c r="AE1045" s="78" t="b">
        <f t="shared" si="1031"/>
        <v>0</v>
      </c>
      <c r="AF1045" s="78" t="b">
        <f t="shared" si="1032"/>
        <v>0</v>
      </c>
      <c r="AG1045" s="78" t="b">
        <f t="shared" si="1033"/>
        <v>0</v>
      </c>
      <c r="AH1045" s="78" t="b">
        <f t="shared" si="1034"/>
        <v>0</v>
      </c>
      <c r="AI1045" s="78" t="b">
        <f t="shared" si="1035"/>
        <v>0</v>
      </c>
      <c r="AJ1045" s="78" t="b">
        <f t="shared" si="1036"/>
        <v>0</v>
      </c>
      <c r="AK1045" s="78" t="b">
        <f t="shared" si="1037"/>
        <v>0</v>
      </c>
      <c r="AL1045" s="78" t="b">
        <f t="shared" si="1038"/>
        <v>0</v>
      </c>
      <c r="AM1045" s="78" t="b">
        <f t="shared" si="1039"/>
        <v>0</v>
      </c>
      <c r="AN1045" s="78" t="b">
        <f t="shared" si="1040"/>
        <v>0</v>
      </c>
      <c r="AO1045" s="78" t="b">
        <f t="shared" si="1041"/>
        <v>0</v>
      </c>
    </row>
    <row r="1046" spans="7:41" x14ac:dyDescent="0.35">
      <c r="G1046" s="77">
        <f t="shared" si="1011"/>
        <v>0</v>
      </c>
      <c r="H1046" s="78">
        <f t="shared" si="1012"/>
        <v>0</v>
      </c>
      <c r="I1046" s="77">
        <f t="shared" si="1013"/>
        <v>0</v>
      </c>
      <c r="J1046" s="78">
        <f t="shared" si="1014"/>
        <v>0</v>
      </c>
      <c r="K1046" s="78" t="str">
        <f t="shared" si="1015"/>
        <v>1900-01-00 00:0:00</v>
      </c>
      <c r="L1046" s="78" t="str">
        <f t="shared" si="1016"/>
        <v>1900-01-00 00:0:00</v>
      </c>
      <c r="M1046" s="79">
        <f t="shared" si="1017"/>
        <v>0</v>
      </c>
      <c r="N1046">
        <f t="shared" si="1042"/>
        <v>1</v>
      </c>
      <c r="O1046" t="str">
        <f>IFERROR(_xlfn.XLOOKUP(A1046,HC!A:A,HC!C:C),"")</f>
        <v>Workforce</v>
      </c>
      <c r="R1046" s="78" t="b">
        <f t="shared" si="1018"/>
        <v>0</v>
      </c>
      <c r="S1046" s="78" t="b">
        <f t="shared" si="1019"/>
        <v>0</v>
      </c>
      <c r="T1046" s="78" t="b">
        <f t="shared" si="1020"/>
        <v>0</v>
      </c>
      <c r="U1046" s="78" t="b">
        <f t="shared" si="1021"/>
        <v>0</v>
      </c>
      <c r="V1046" s="78" t="b">
        <f t="shared" si="1022"/>
        <v>0</v>
      </c>
      <c r="W1046" s="78" t="b">
        <f t="shared" si="1023"/>
        <v>0</v>
      </c>
      <c r="X1046" s="78" t="b">
        <f t="shared" si="1024"/>
        <v>0</v>
      </c>
      <c r="Y1046" s="78" t="b">
        <f t="shared" si="1025"/>
        <v>0</v>
      </c>
      <c r="Z1046" s="78" t="b">
        <f t="shared" si="1026"/>
        <v>0</v>
      </c>
      <c r="AA1046" s="78" t="b">
        <f t="shared" si="1027"/>
        <v>0</v>
      </c>
      <c r="AB1046" s="78" t="b">
        <f t="shared" si="1028"/>
        <v>0</v>
      </c>
      <c r="AC1046" s="78" t="b">
        <f t="shared" si="1029"/>
        <v>0</v>
      </c>
      <c r="AD1046" s="78" t="b">
        <f t="shared" si="1030"/>
        <v>0</v>
      </c>
      <c r="AE1046" s="78" t="b">
        <f t="shared" si="1031"/>
        <v>0</v>
      </c>
      <c r="AF1046" s="78" t="b">
        <f t="shared" si="1032"/>
        <v>0</v>
      </c>
      <c r="AG1046" s="78" t="b">
        <f t="shared" si="1033"/>
        <v>0</v>
      </c>
      <c r="AH1046" s="78" t="b">
        <f t="shared" si="1034"/>
        <v>0</v>
      </c>
      <c r="AI1046" s="78" t="b">
        <f t="shared" si="1035"/>
        <v>0</v>
      </c>
      <c r="AJ1046" s="78" t="b">
        <f t="shared" si="1036"/>
        <v>0</v>
      </c>
      <c r="AK1046" s="78" t="b">
        <f t="shared" si="1037"/>
        <v>0</v>
      </c>
      <c r="AL1046" s="78" t="b">
        <f t="shared" si="1038"/>
        <v>0</v>
      </c>
      <c r="AM1046" s="78" t="b">
        <f t="shared" si="1039"/>
        <v>0</v>
      </c>
      <c r="AN1046" s="78" t="b">
        <f t="shared" si="1040"/>
        <v>0</v>
      </c>
      <c r="AO1046" s="78" t="b">
        <f t="shared" si="1041"/>
        <v>0</v>
      </c>
    </row>
    <row r="1047" spans="7:41" x14ac:dyDescent="0.35">
      <c r="G1047" s="77">
        <f t="shared" si="1011"/>
        <v>0</v>
      </c>
      <c r="H1047" s="78">
        <f t="shared" si="1012"/>
        <v>0</v>
      </c>
      <c r="I1047" s="77">
        <f t="shared" si="1013"/>
        <v>0</v>
      </c>
      <c r="J1047" s="78">
        <f t="shared" si="1014"/>
        <v>0</v>
      </c>
      <c r="K1047" s="78" t="str">
        <f t="shared" si="1015"/>
        <v>1900-01-00 00:0:00</v>
      </c>
      <c r="L1047" s="78" t="str">
        <f t="shared" si="1016"/>
        <v>1900-01-00 00:0:00</v>
      </c>
      <c r="M1047" s="79">
        <f t="shared" si="1017"/>
        <v>0</v>
      </c>
      <c r="N1047">
        <f t="shared" si="1042"/>
        <v>1</v>
      </c>
      <c r="O1047" t="str">
        <f>IFERROR(_xlfn.XLOOKUP(A1047,HC!A:A,HC!C:C),"")</f>
        <v>Workforce</v>
      </c>
      <c r="R1047" s="78" t="b">
        <f t="shared" si="1018"/>
        <v>0</v>
      </c>
      <c r="S1047" s="78" t="b">
        <f t="shared" si="1019"/>
        <v>0</v>
      </c>
      <c r="T1047" s="78" t="b">
        <f t="shared" si="1020"/>
        <v>0</v>
      </c>
      <c r="U1047" s="78" t="b">
        <f t="shared" si="1021"/>
        <v>0</v>
      </c>
      <c r="V1047" s="78" t="b">
        <f t="shared" si="1022"/>
        <v>0</v>
      </c>
      <c r="W1047" s="78" t="b">
        <f t="shared" si="1023"/>
        <v>0</v>
      </c>
      <c r="X1047" s="78" t="b">
        <f t="shared" si="1024"/>
        <v>0</v>
      </c>
      <c r="Y1047" s="78" t="b">
        <f t="shared" si="1025"/>
        <v>0</v>
      </c>
      <c r="Z1047" s="78" t="b">
        <f t="shared" si="1026"/>
        <v>0</v>
      </c>
      <c r="AA1047" s="78" t="b">
        <f t="shared" si="1027"/>
        <v>0</v>
      </c>
      <c r="AB1047" s="78" t="b">
        <f t="shared" si="1028"/>
        <v>0</v>
      </c>
      <c r="AC1047" s="78" t="b">
        <f t="shared" si="1029"/>
        <v>0</v>
      </c>
      <c r="AD1047" s="78" t="b">
        <f t="shared" si="1030"/>
        <v>0</v>
      </c>
      <c r="AE1047" s="78" t="b">
        <f t="shared" si="1031"/>
        <v>0</v>
      </c>
      <c r="AF1047" s="78" t="b">
        <f t="shared" si="1032"/>
        <v>0</v>
      </c>
      <c r="AG1047" s="78" t="b">
        <f t="shared" si="1033"/>
        <v>0</v>
      </c>
      <c r="AH1047" s="78" t="b">
        <f t="shared" si="1034"/>
        <v>0</v>
      </c>
      <c r="AI1047" s="78" t="b">
        <f t="shared" si="1035"/>
        <v>0</v>
      </c>
      <c r="AJ1047" s="78" t="b">
        <f t="shared" si="1036"/>
        <v>0</v>
      </c>
      <c r="AK1047" s="78" t="b">
        <f t="shared" si="1037"/>
        <v>0</v>
      </c>
      <c r="AL1047" s="78" t="b">
        <f t="shared" si="1038"/>
        <v>0</v>
      </c>
      <c r="AM1047" s="78" t="b">
        <f t="shared" si="1039"/>
        <v>0</v>
      </c>
      <c r="AN1047" s="78" t="b">
        <f t="shared" si="1040"/>
        <v>0</v>
      </c>
      <c r="AO1047" s="78" t="b">
        <f t="shared" si="1041"/>
        <v>0</v>
      </c>
    </row>
    <row r="1048" spans="7:41" x14ac:dyDescent="0.35">
      <c r="G1048" s="77">
        <f t="shared" si="1011"/>
        <v>0</v>
      </c>
      <c r="H1048" s="78">
        <f t="shared" si="1012"/>
        <v>0</v>
      </c>
      <c r="I1048" s="77">
        <f t="shared" si="1013"/>
        <v>0</v>
      </c>
      <c r="J1048" s="78">
        <f t="shared" si="1014"/>
        <v>0</v>
      </c>
      <c r="K1048" s="78" t="str">
        <f t="shared" si="1015"/>
        <v>1900-01-00 00:0:00</v>
      </c>
      <c r="L1048" s="78" t="str">
        <f t="shared" si="1016"/>
        <v>1900-01-00 00:0:00</v>
      </c>
      <c r="M1048" s="79">
        <f t="shared" si="1017"/>
        <v>0</v>
      </c>
      <c r="N1048">
        <f t="shared" si="1042"/>
        <v>1</v>
      </c>
      <c r="O1048" t="str">
        <f>IFERROR(_xlfn.XLOOKUP(A1048,HC!A:A,HC!C:C),"")</f>
        <v>Workforce</v>
      </c>
      <c r="R1048" s="78" t="b">
        <f t="shared" si="1018"/>
        <v>0</v>
      </c>
      <c r="S1048" s="78" t="b">
        <f t="shared" si="1019"/>
        <v>0</v>
      </c>
      <c r="T1048" s="78" t="b">
        <f t="shared" si="1020"/>
        <v>0</v>
      </c>
      <c r="U1048" s="78" t="b">
        <f t="shared" si="1021"/>
        <v>0</v>
      </c>
      <c r="V1048" s="78" t="b">
        <f t="shared" si="1022"/>
        <v>0</v>
      </c>
      <c r="W1048" s="78" t="b">
        <f t="shared" si="1023"/>
        <v>0</v>
      </c>
      <c r="X1048" s="78" t="b">
        <f t="shared" si="1024"/>
        <v>0</v>
      </c>
      <c r="Y1048" s="78" t="b">
        <f t="shared" si="1025"/>
        <v>0</v>
      </c>
      <c r="Z1048" s="78" t="b">
        <f t="shared" si="1026"/>
        <v>0</v>
      </c>
      <c r="AA1048" s="78" t="b">
        <f t="shared" si="1027"/>
        <v>0</v>
      </c>
      <c r="AB1048" s="78" t="b">
        <f t="shared" si="1028"/>
        <v>0</v>
      </c>
      <c r="AC1048" s="78" t="b">
        <f t="shared" si="1029"/>
        <v>0</v>
      </c>
      <c r="AD1048" s="78" t="b">
        <f t="shared" si="1030"/>
        <v>0</v>
      </c>
      <c r="AE1048" s="78" t="b">
        <f t="shared" si="1031"/>
        <v>0</v>
      </c>
      <c r="AF1048" s="78" t="b">
        <f t="shared" si="1032"/>
        <v>0</v>
      </c>
      <c r="AG1048" s="78" t="b">
        <f t="shared" si="1033"/>
        <v>0</v>
      </c>
      <c r="AH1048" s="78" t="b">
        <f t="shared" si="1034"/>
        <v>0</v>
      </c>
      <c r="AI1048" s="78" t="b">
        <f t="shared" si="1035"/>
        <v>0</v>
      </c>
      <c r="AJ1048" s="78" t="b">
        <f t="shared" si="1036"/>
        <v>0</v>
      </c>
      <c r="AK1048" s="78" t="b">
        <f t="shared" si="1037"/>
        <v>0</v>
      </c>
      <c r="AL1048" s="78" t="b">
        <f t="shared" si="1038"/>
        <v>0</v>
      </c>
      <c r="AM1048" s="78" t="b">
        <f t="shared" si="1039"/>
        <v>0</v>
      </c>
      <c r="AN1048" s="78" t="b">
        <f t="shared" si="1040"/>
        <v>0</v>
      </c>
      <c r="AO1048" s="78" t="b">
        <f t="shared" si="1041"/>
        <v>0</v>
      </c>
    </row>
    <row r="1049" spans="7:41" x14ac:dyDescent="0.35">
      <c r="G1049" s="77">
        <f t="shared" si="1011"/>
        <v>0</v>
      </c>
      <c r="H1049" s="78">
        <f t="shared" si="1012"/>
        <v>0</v>
      </c>
      <c r="I1049" s="77">
        <f t="shared" si="1013"/>
        <v>0</v>
      </c>
      <c r="J1049" s="78">
        <f t="shared" si="1014"/>
        <v>0</v>
      </c>
      <c r="K1049" s="78" t="str">
        <f t="shared" si="1015"/>
        <v>1900-01-00 00:0:00</v>
      </c>
      <c r="L1049" s="78" t="str">
        <f t="shared" si="1016"/>
        <v>1900-01-00 00:0:00</v>
      </c>
      <c r="M1049" s="79">
        <f t="shared" si="1017"/>
        <v>0</v>
      </c>
      <c r="N1049">
        <f t="shared" si="1042"/>
        <v>1</v>
      </c>
      <c r="O1049" t="str">
        <f>IFERROR(_xlfn.XLOOKUP(A1049,HC!A:A,HC!C:C),"")</f>
        <v>Workforce</v>
      </c>
      <c r="R1049" s="78" t="b">
        <f t="shared" si="1018"/>
        <v>0</v>
      </c>
      <c r="S1049" s="78" t="b">
        <f t="shared" si="1019"/>
        <v>0</v>
      </c>
      <c r="T1049" s="78" t="b">
        <f t="shared" si="1020"/>
        <v>0</v>
      </c>
      <c r="U1049" s="78" t="b">
        <f t="shared" si="1021"/>
        <v>0</v>
      </c>
      <c r="V1049" s="78" t="b">
        <f t="shared" si="1022"/>
        <v>0</v>
      </c>
      <c r="W1049" s="78" t="b">
        <f t="shared" si="1023"/>
        <v>0</v>
      </c>
      <c r="X1049" s="78" t="b">
        <f t="shared" si="1024"/>
        <v>0</v>
      </c>
      <c r="Y1049" s="78" t="b">
        <f t="shared" si="1025"/>
        <v>0</v>
      </c>
      <c r="Z1049" s="78" t="b">
        <f t="shared" si="1026"/>
        <v>0</v>
      </c>
      <c r="AA1049" s="78" t="b">
        <f t="shared" si="1027"/>
        <v>0</v>
      </c>
      <c r="AB1049" s="78" t="b">
        <f t="shared" si="1028"/>
        <v>0</v>
      </c>
      <c r="AC1049" s="78" t="b">
        <f t="shared" si="1029"/>
        <v>0</v>
      </c>
      <c r="AD1049" s="78" t="b">
        <f t="shared" si="1030"/>
        <v>0</v>
      </c>
      <c r="AE1049" s="78" t="b">
        <f t="shared" si="1031"/>
        <v>0</v>
      </c>
      <c r="AF1049" s="78" t="b">
        <f t="shared" si="1032"/>
        <v>0</v>
      </c>
      <c r="AG1049" s="78" t="b">
        <f t="shared" si="1033"/>
        <v>0</v>
      </c>
      <c r="AH1049" s="78" t="b">
        <f t="shared" si="1034"/>
        <v>0</v>
      </c>
      <c r="AI1049" s="78" t="b">
        <f t="shared" si="1035"/>
        <v>0</v>
      </c>
      <c r="AJ1049" s="78" t="b">
        <f t="shared" si="1036"/>
        <v>0</v>
      </c>
      <c r="AK1049" s="78" t="b">
        <f t="shared" si="1037"/>
        <v>0</v>
      </c>
      <c r="AL1049" s="78" t="b">
        <f t="shared" si="1038"/>
        <v>0</v>
      </c>
      <c r="AM1049" s="78" t="b">
        <f t="shared" si="1039"/>
        <v>0</v>
      </c>
      <c r="AN1049" s="78" t="b">
        <f t="shared" si="1040"/>
        <v>0</v>
      </c>
      <c r="AO1049" s="78" t="b">
        <f t="shared" si="1041"/>
        <v>0</v>
      </c>
    </row>
    <row r="1050" spans="7:41" x14ac:dyDescent="0.35">
      <c r="G1050" s="77">
        <f t="shared" si="1011"/>
        <v>0</v>
      </c>
      <c r="H1050" s="78">
        <f t="shared" si="1012"/>
        <v>0</v>
      </c>
      <c r="I1050" s="77">
        <f t="shared" si="1013"/>
        <v>0</v>
      </c>
      <c r="J1050" s="78">
        <f t="shared" si="1014"/>
        <v>0</v>
      </c>
      <c r="K1050" s="78" t="str">
        <f t="shared" si="1015"/>
        <v>1900-01-00 00:0:00</v>
      </c>
      <c r="L1050" s="78" t="str">
        <f t="shared" si="1016"/>
        <v>1900-01-00 00:0:00</v>
      </c>
      <c r="M1050" s="79">
        <f t="shared" si="1017"/>
        <v>0</v>
      </c>
      <c r="N1050">
        <f t="shared" si="1042"/>
        <v>1</v>
      </c>
      <c r="O1050" t="str">
        <f>IFERROR(_xlfn.XLOOKUP(A1050,HC!A:A,HC!C:C),"")</f>
        <v>Workforce</v>
      </c>
      <c r="R1050" s="78" t="b">
        <f t="shared" si="1018"/>
        <v>0</v>
      </c>
      <c r="S1050" s="78" t="b">
        <f t="shared" si="1019"/>
        <v>0</v>
      </c>
      <c r="T1050" s="78" t="b">
        <f t="shared" si="1020"/>
        <v>0</v>
      </c>
      <c r="U1050" s="78" t="b">
        <f t="shared" si="1021"/>
        <v>0</v>
      </c>
      <c r="V1050" s="78" t="b">
        <f t="shared" si="1022"/>
        <v>0</v>
      </c>
      <c r="W1050" s="78" t="b">
        <f t="shared" si="1023"/>
        <v>0</v>
      </c>
      <c r="X1050" s="78" t="b">
        <f t="shared" si="1024"/>
        <v>0</v>
      </c>
      <c r="Y1050" s="78" t="b">
        <f t="shared" si="1025"/>
        <v>0</v>
      </c>
      <c r="Z1050" s="78" t="b">
        <f t="shared" si="1026"/>
        <v>0</v>
      </c>
      <c r="AA1050" s="78" t="b">
        <f t="shared" si="1027"/>
        <v>0</v>
      </c>
      <c r="AB1050" s="78" t="b">
        <f t="shared" si="1028"/>
        <v>0</v>
      </c>
      <c r="AC1050" s="78" t="b">
        <f t="shared" si="1029"/>
        <v>0</v>
      </c>
      <c r="AD1050" s="78" t="b">
        <f t="shared" si="1030"/>
        <v>0</v>
      </c>
      <c r="AE1050" s="78" t="b">
        <f t="shared" si="1031"/>
        <v>0</v>
      </c>
      <c r="AF1050" s="78" t="b">
        <f t="shared" si="1032"/>
        <v>0</v>
      </c>
      <c r="AG1050" s="78" t="b">
        <f t="shared" si="1033"/>
        <v>0</v>
      </c>
      <c r="AH1050" s="78" t="b">
        <f t="shared" si="1034"/>
        <v>0</v>
      </c>
      <c r="AI1050" s="78" t="b">
        <f t="shared" si="1035"/>
        <v>0</v>
      </c>
      <c r="AJ1050" s="78" t="b">
        <f t="shared" si="1036"/>
        <v>0</v>
      </c>
      <c r="AK1050" s="78" t="b">
        <f t="shared" si="1037"/>
        <v>0</v>
      </c>
      <c r="AL1050" s="78" t="b">
        <f t="shared" si="1038"/>
        <v>0</v>
      </c>
      <c r="AM1050" s="78" t="b">
        <f t="shared" si="1039"/>
        <v>0</v>
      </c>
      <c r="AN1050" s="78" t="b">
        <f t="shared" si="1040"/>
        <v>0</v>
      </c>
      <c r="AO1050" s="78" t="b">
        <f t="shared" si="1041"/>
        <v>0</v>
      </c>
    </row>
    <row r="1051" spans="7:41" x14ac:dyDescent="0.35">
      <c r="G1051" s="77">
        <f t="shared" si="1011"/>
        <v>0</v>
      </c>
      <c r="H1051" s="78">
        <f t="shared" si="1012"/>
        <v>0</v>
      </c>
      <c r="I1051" s="77">
        <f t="shared" si="1013"/>
        <v>0</v>
      </c>
      <c r="J1051" s="78">
        <f t="shared" si="1014"/>
        <v>0</v>
      </c>
      <c r="K1051" s="78" t="str">
        <f t="shared" si="1015"/>
        <v>1900-01-00 00:0:00</v>
      </c>
      <c r="L1051" s="78" t="str">
        <f t="shared" si="1016"/>
        <v>1900-01-00 00:0:00</v>
      </c>
      <c r="M1051" s="79">
        <f t="shared" si="1017"/>
        <v>0</v>
      </c>
      <c r="N1051">
        <f t="shared" si="1042"/>
        <v>1</v>
      </c>
      <c r="O1051" t="str">
        <f>IFERROR(_xlfn.XLOOKUP(A1051,HC!A:A,HC!C:C),"")</f>
        <v>Workforce</v>
      </c>
      <c r="R1051" s="78" t="b">
        <f t="shared" si="1018"/>
        <v>0</v>
      </c>
      <c r="S1051" s="78" t="b">
        <f t="shared" si="1019"/>
        <v>0</v>
      </c>
      <c r="T1051" s="78" t="b">
        <f t="shared" si="1020"/>
        <v>0</v>
      </c>
      <c r="U1051" s="78" t="b">
        <f t="shared" si="1021"/>
        <v>0</v>
      </c>
      <c r="V1051" s="78" t="b">
        <f t="shared" si="1022"/>
        <v>0</v>
      </c>
      <c r="W1051" s="78" t="b">
        <f t="shared" si="1023"/>
        <v>0</v>
      </c>
      <c r="X1051" s="78" t="b">
        <f t="shared" si="1024"/>
        <v>0</v>
      </c>
      <c r="Y1051" s="78" t="b">
        <f t="shared" si="1025"/>
        <v>0</v>
      </c>
      <c r="Z1051" s="78" t="b">
        <f t="shared" si="1026"/>
        <v>0</v>
      </c>
      <c r="AA1051" s="78" t="b">
        <f t="shared" si="1027"/>
        <v>0</v>
      </c>
      <c r="AB1051" s="78" t="b">
        <f t="shared" si="1028"/>
        <v>0</v>
      </c>
      <c r="AC1051" s="78" t="b">
        <f t="shared" si="1029"/>
        <v>0</v>
      </c>
      <c r="AD1051" s="78" t="b">
        <f t="shared" si="1030"/>
        <v>0</v>
      </c>
      <c r="AE1051" s="78" t="b">
        <f t="shared" si="1031"/>
        <v>0</v>
      </c>
      <c r="AF1051" s="78" t="b">
        <f t="shared" si="1032"/>
        <v>0</v>
      </c>
      <c r="AG1051" s="78" t="b">
        <f t="shared" si="1033"/>
        <v>0</v>
      </c>
      <c r="AH1051" s="78" t="b">
        <f t="shared" si="1034"/>
        <v>0</v>
      </c>
      <c r="AI1051" s="78" t="b">
        <f t="shared" si="1035"/>
        <v>0</v>
      </c>
      <c r="AJ1051" s="78" t="b">
        <f t="shared" si="1036"/>
        <v>0</v>
      </c>
      <c r="AK1051" s="78" t="b">
        <f t="shared" si="1037"/>
        <v>0</v>
      </c>
      <c r="AL1051" s="78" t="b">
        <f t="shared" si="1038"/>
        <v>0</v>
      </c>
      <c r="AM1051" s="78" t="b">
        <f t="shared" si="1039"/>
        <v>0</v>
      </c>
      <c r="AN1051" s="78" t="b">
        <f t="shared" si="1040"/>
        <v>0</v>
      </c>
      <c r="AO1051" s="78" t="b">
        <f t="shared" si="1041"/>
        <v>0</v>
      </c>
    </row>
    <row r="1052" spans="7:41" x14ac:dyDescent="0.35">
      <c r="G1052" s="77">
        <f t="shared" si="1011"/>
        <v>0</v>
      </c>
      <c r="H1052" s="78">
        <f t="shared" si="1012"/>
        <v>0</v>
      </c>
      <c r="I1052" s="77">
        <f t="shared" si="1013"/>
        <v>0</v>
      </c>
      <c r="J1052" s="78">
        <f t="shared" si="1014"/>
        <v>0</v>
      </c>
      <c r="K1052" s="78" t="str">
        <f t="shared" si="1015"/>
        <v>1900-01-00 00:0:00</v>
      </c>
      <c r="L1052" s="78" t="str">
        <f t="shared" si="1016"/>
        <v>1900-01-00 00:0:00</v>
      </c>
      <c r="M1052" s="79">
        <f t="shared" si="1017"/>
        <v>0</v>
      </c>
      <c r="N1052">
        <f t="shared" si="1042"/>
        <v>1</v>
      </c>
      <c r="O1052" t="str">
        <f>IFERROR(_xlfn.XLOOKUP(A1052,HC!A:A,HC!C:C),"")</f>
        <v>Workforce</v>
      </c>
      <c r="R1052" s="78" t="b">
        <f t="shared" si="1018"/>
        <v>0</v>
      </c>
      <c r="S1052" s="78" t="b">
        <f t="shared" si="1019"/>
        <v>0</v>
      </c>
      <c r="T1052" s="78" t="b">
        <f t="shared" si="1020"/>
        <v>0</v>
      </c>
      <c r="U1052" s="78" t="b">
        <f t="shared" si="1021"/>
        <v>0</v>
      </c>
      <c r="V1052" s="78" t="b">
        <f t="shared" si="1022"/>
        <v>0</v>
      </c>
      <c r="W1052" s="78" t="b">
        <f t="shared" si="1023"/>
        <v>0</v>
      </c>
      <c r="X1052" s="78" t="b">
        <f t="shared" si="1024"/>
        <v>0</v>
      </c>
      <c r="Y1052" s="78" t="b">
        <f t="shared" si="1025"/>
        <v>0</v>
      </c>
      <c r="Z1052" s="78" t="b">
        <f t="shared" si="1026"/>
        <v>0</v>
      </c>
      <c r="AA1052" s="78" t="b">
        <f t="shared" si="1027"/>
        <v>0</v>
      </c>
      <c r="AB1052" s="78" t="b">
        <f t="shared" si="1028"/>
        <v>0</v>
      </c>
      <c r="AC1052" s="78" t="b">
        <f t="shared" si="1029"/>
        <v>0</v>
      </c>
      <c r="AD1052" s="78" t="b">
        <f t="shared" si="1030"/>
        <v>0</v>
      </c>
      <c r="AE1052" s="78" t="b">
        <f t="shared" si="1031"/>
        <v>0</v>
      </c>
      <c r="AF1052" s="78" t="b">
        <f t="shared" si="1032"/>
        <v>0</v>
      </c>
      <c r="AG1052" s="78" t="b">
        <f t="shared" si="1033"/>
        <v>0</v>
      </c>
      <c r="AH1052" s="78" t="b">
        <f t="shared" si="1034"/>
        <v>0</v>
      </c>
      <c r="AI1052" s="78" t="b">
        <f t="shared" si="1035"/>
        <v>0</v>
      </c>
      <c r="AJ1052" s="78" t="b">
        <f t="shared" si="1036"/>
        <v>0</v>
      </c>
      <c r="AK1052" s="78" t="b">
        <f t="shared" si="1037"/>
        <v>0</v>
      </c>
      <c r="AL1052" s="78" t="b">
        <f t="shared" si="1038"/>
        <v>0</v>
      </c>
      <c r="AM1052" s="78" t="b">
        <f t="shared" si="1039"/>
        <v>0</v>
      </c>
      <c r="AN1052" s="78" t="b">
        <f t="shared" si="1040"/>
        <v>0</v>
      </c>
      <c r="AO1052" s="78" t="b">
        <f t="shared" si="1041"/>
        <v>0</v>
      </c>
    </row>
    <row r="1053" spans="7:41" x14ac:dyDescent="0.35">
      <c r="G1053" s="77">
        <f t="shared" si="1011"/>
        <v>0</v>
      </c>
      <c r="H1053" s="78">
        <f t="shared" si="1012"/>
        <v>0</v>
      </c>
      <c r="I1053" s="77">
        <f t="shared" si="1013"/>
        <v>0</v>
      </c>
      <c r="J1053" s="78">
        <f t="shared" si="1014"/>
        <v>0</v>
      </c>
      <c r="K1053" s="78" t="str">
        <f t="shared" si="1015"/>
        <v>1900-01-00 00:0:00</v>
      </c>
      <c r="L1053" s="78" t="str">
        <f t="shared" si="1016"/>
        <v>1900-01-00 00:0:00</v>
      </c>
      <c r="M1053" s="79">
        <f t="shared" si="1017"/>
        <v>0</v>
      </c>
      <c r="N1053">
        <f t="shared" si="1042"/>
        <v>1</v>
      </c>
      <c r="O1053" t="str">
        <f>IFERROR(_xlfn.XLOOKUP(A1053,HC!A:A,HC!C:C),"")</f>
        <v>Workforce</v>
      </c>
      <c r="R1053" s="78" t="b">
        <f t="shared" si="1018"/>
        <v>0</v>
      </c>
      <c r="S1053" s="78" t="b">
        <f t="shared" si="1019"/>
        <v>0</v>
      </c>
      <c r="T1053" s="78" t="b">
        <f t="shared" si="1020"/>
        <v>0</v>
      </c>
      <c r="U1053" s="78" t="b">
        <f t="shared" si="1021"/>
        <v>0</v>
      </c>
      <c r="V1053" s="78" t="b">
        <f t="shared" si="1022"/>
        <v>0</v>
      </c>
      <c r="W1053" s="78" t="b">
        <f t="shared" si="1023"/>
        <v>0</v>
      </c>
      <c r="X1053" s="78" t="b">
        <f t="shared" si="1024"/>
        <v>0</v>
      </c>
      <c r="Y1053" s="78" t="b">
        <f t="shared" si="1025"/>
        <v>0</v>
      </c>
      <c r="Z1053" s="78" t="b">
        <f t="shared" si="1026"/>
        <v>0</v>
      </c>
      <c r="AA1053" s="78" t="b">
        <f t="shared" si="1027"/>
        <v>0</v>
      </c>
      <c r="AB1053" s="78" t="b">
        <f t="shared" si="1028"/>
        <v>0</v>
      </c>
      <c r="AC1053" s="78" t="b">
        <f t="shared" si="1029"/>
        <v>0</v>
      </c>
      <c r="AD1053" s="78" t="b">
        <f t="shared" si="1030"/>
        <v>0</v>
      </c>
      <c r="AE1053" s="78" t="b">
        <f t="shared" si="1031"/>
        <v>0</v>
      </c>
      <c r="AF1053" s="78" t="b">
        <f t="shared" si="1032"/>
        <v>0</v>
      </c>
      <c r="AG1053" s="78" t="b">
        <f t="shared" si="1033"/>
        <v>0</v>
      </c>
      <c r="AH1053" s="78" t="b">
        <f t="shared" si="1034"/>
        <v>0</v>
      </c>
      <c r="AI1053" s="78" t="b">
        <f t="shared" si="1035"/>
        <v>0</v>
      </c>
      <c r="AJ1053" s="78" t="b">
        <f t="shared" si="1036"/>
        <v>0</v>
      </c>
      <c r="AK1053" s="78" t="b">
        <f t="shared" si="1037"/>
        <v>0</v>
      </c>
      <c r="AL1053" s="78" t="b">
        <f t="shared" si="1038"/>
        <v>0</v>
      </c>
      <c r="AM1053" s="78" t="b">
        <f t="shared" si="1039"/>
        <v>0</v>
      </c>
      <c r="AN1053" s="78" t="b">
        <f t="shared" si="1040"/>
        <v>0</v>
      </c>
      <c r="AO1053" s="78" t="b">
        <f t="shared" si="1041"/>
        <v>0</v>
      </c>
    </row>
    <row r="1054" spans="7:41" x14ac:dyDescent="0.35">
      <c r="G1054" s="77">
        <f t="shared" si="1011"/>
        <v>0</v>
      </c>
      <c r="H1054" s="78">
        <f t="shared" si="1012"/>
        <v>0</v>
      </c>
      <c r="I1054" s="77">
        <f t="shared" si="1013"/>
        <v>0</v>
      </c>
      <c r="J1054" s="78">
        <f t="shared" si="1014"/>
        <v>0</v>
      </c>
      <c r="K1054" s="78" t="str">
        <f t="shared" si="1015"/>
        <v>1900-01-00 00:0:00</v>
      </c>
      <c r="L1054" s="78" t="str">
        <f t="shared" si="1016"/>
        <v>1900-01-00 00:0:00</v>
      </c>
      <c r="M1054" s="79">
        <f t="shared" si="1017"/>
        <v>0</v>
      </c>
      <c r="N1054">
        <f t="shared" si="1042"/>
        <v>1</v>
      </c>
      <c r="O1054" t="str">
        <f>IFERROR(_xlfn.XLOOKUP(A1054,HC!A:A,HC!C:C),"")</f>
        <v>Workforce</v>
      </c>
      <c r="R1054" s="78" t="b">
        <f t="shared" si="1018"/>
        <v>0</v>
      </c>
      <c r="S1054" s="78" t="b">
        <f t="shared" si="1019"/>
        <v>0</v>
      </c>
      <c r="T1054" s="78" t="b">
        <f t="shared" si="1020"/>
        <v>0</v>
      </c>
      <c r="U1054" s="78" t="b">
        <f t="shared" si="1021"/>
        <v>0</v>
      </c>
      <c r="V1054" s="78" t="b">
        <f t="shared" si="1022"/>
        <v>0</v>
      </c>
      <c r="W1054" s="78" t="b">
        <f t="shared" si="1023"/>
        <v>0</v>
      </c>
      <c r="X1054" s="78" t="b">
        <f t="shared" si="1024"/>
        <v>0</v>
      </c>
      <c r="Y1054" s="78" t="b">
        <f t="shared" si="1025"/>
        <v>0</v>
      </c>
      <c r="Z1054" s="78" t="b">
        <f t="shared" si="1026"/>
        <v>0</v>
      </c>
      <c r="AA1054" s="78" t="b">
        <f t="shared" si="1027"/>
        <v>0</v>
      </c>
      <c r="AB1054" s="78" t="b">
        <f t="shared" si="1028"/>
        <v>0</v>
      </c>
      <c r="AC1054" s="78" t="b">
        <f t="shared" si="1029"/>
        <v>0</v>
      </c>
      <c r="AD1054" s="78" t="b">
        <f t="shared" si="1030"/>
        <v>0</v>
      </c>
      <c r="AE1054" s="78" t="b">
        <f t="shared" si="1031"/>
        <v>0</v>
      </c>
      <c r="AF1054" s="78" t="b">
        <f t="shared" si="1032"/>
        <v>0</v>
      </c>
      <c r="AG1054" s="78" t="b">
        <f t="shared" si="1033"/>
        <v>0</v>
      </c>
      <c r="AH1054" s="78" t="b">
        <f t="shared" si="1034"/>
        <v>0</v>
      </c>
      <c r="AI1054" s="78" t="b">
        <f t="shared" si="1035"/>
        <v>0</v>
      </c>
      <c r="AJ1054" s="78" t="b">
        <f t="shared" si="1036"/>
        <v>0</v>
      </c>
      <c r="AK1054" s="78" t="b">
        <f t="shared" si="1037"/>
        <v>0</v>
      </c>
      <c r="AL1054" s="78" t="b">
        <f t="shared" si="1038"/>
        <v>0</v>
      </c>
      <c r="AM1054" s="78" t="b">
        <f t="shared" si="1039"/>
        <v>0</v>
      </c>
      <c r="AN1054" s="78" t="b">
        <f t="shared" si="1040"/>
        <v>0</v>
      </c>
      <c r="AO1054" s="78" t="b">
        <f t="shared" si="1041"/>
        <v>0</v>
      </c>
    </row>
    <row r="1055" spans="7:41" x14ac:dyDescent="0.35">
      <c r="G1055" s="77">
        <f t="shared" si="1011"/>
        <v>0</v>
      </c>
      <c r="H1055" s="78">
        <f t="shared" si="1012"/>
        <v>0</v>
      </c>
      <c r="I1055" s="77">
        <f t="shared" si="1013"/>
        <v>0</v>
      </c>
      <c r="J1055" s="78">
        <f t="shared" si="1014"/>
        <v>0</v>
      </c>
      <c r="K1055" s="78" t="str">
        <f t="shared" si="1015"/>
        <v>1900-01-00 00:0:00</v>
      </c>
      <c r="L1055" s="78" t="str">
        <f t="shared" si="1016"/>
        <v>1900-01-00 00:0:00</v>
      </c>
      <c r="M1055" s="79">
        <f t="shared" si="1017"/>
        <v>0</v>
      </c>
      <c r="N1055">
        <f t="shared" si="1042"/>
        <v>1</v>
      </c>
      <c r="O1055" t="str">
        <f>IFERROR(_xlfn.XLOOKUP(A1055,HC!A:A,HC!C:C),"")</f>
        <v>Workforce</v>
      </c>
      <c r="R1055" s="78" t="b">
        <f t="shared" si="1018"/>
        <v>0</v>
      </c>
      <c r="S1055" s="78" t="b">
        <f t="shared" si="1019"/>
        <v>0</v>
      </c>
      <c r="T1055" s="78" t="b">
        <f t="shared" si="1020"/>
        <v>0</v>
      </c>
      <c r="U1055" s="78" t="b">
        <f t="shared" si="1021"/>
        <v>0</v>
      </c>
      <c r="V1055" s="78" t="b">
        <f t="shared" si="1022"/>
        <v>0</v>
      </c>
      <c r="W1055" s="78" t="b">
        <f t="shared" si="1023"/>
        <v>0</v>
      </c>
      <c r="X1055" s="78" t="b">
        <f t="shared" si="1024"/>
        <v>0</v>
      </c>
      <c r="Y1055" s="78" t="b">
        <f t="shared" si="1025"/>
        <v>0</v>
      </c>
      <c r="Z1055" s="78" t="b">
        <f t="shared" si="1026"/>
        <v>0</v>
      </c>
      <c r="AA1055" s="78" t="b">
        <f t="shared" si="1027"/>
        <v>0</v>
      </c>
      <c r="AB1055" s="78" t="b">
        <f t="shared" si="1028"/>
        <v>0</v>
      </c>
      <c r="AC1055" s="78" t="b">
        <f t="shared" si="1029"/>
        <v>0</v>
      </c>
      <c r="AD1055" s="78" t="b">
        <f t="shared" si="1030"/>
        <v>0</v>
      </c>
      <c r="AE1055" s="78" t="b">
        <f t="shared" si="1031"/>
        <v>0</v>
      </c>
      <c r="AF1055" s="78" t="b">
        <f t="shared" si="1032"/>
        <v>0</v>
      </c>
      <c r="AG1055" s="78" t="b">
        <f t="shared" si="1033"/>
        <v>0</v>
      </c>
      <c r="AH1055" s="78" t="b">
        <f t="shared" si="1034"/>
        <v>0</v>
      </c>
      <c r="AI1055" s="78" t="b">
        <f t="shared" si="1035"/>
        <v>0</v>
      </c>
      <c r="AJ1055" s="78" t="b">
        <f t="shared" si="1036"/>
        <v>0</v>
      </c>
      <c r="AK1055" s="78" t="b">
        <f t="shared" si="1037"/>
        <v>0</v>
      </c>
      <c r="AL1055" s="78" t="b">
        <f t="shared" si="1038"/>
        <v>0</v>
      </c>
      <c r="AM1055" s="78" t="b">
        <f t="shared" si="1039"/>
        <v>0</v>
      </c>
      <c r="AN1055" s="78" t="b">
        <f t="shared" si="1040"/>
        <v>0</v>
      </c>
      <c r="AO1055" s="78" t="b">
        <f t="shared" si="1041"/>
        <v>0</v>
      </c>
    </row>
    <row r="1056" spans="7:41" x14ac:dyDescent="0.35">
      <c r="G1056" s="77">
        <f t="shared" si="1011"/>
        <v>0</v>
      </c>
      <c r="H1056" s="78">
        <f t="shared" si="1012"/>
        <v>0</v>
      </c>
      <c r="I1056" s="77">
        <f t="shared" si="1013"/>
        <v>0</v>
      </c>
      <c r="J1056" s="78">
        <f t="shared" si="1014"/>
        <v>0</v>
      </c>
      <c r="K1056" s="78" t="str">
        <f t="shared" si="1015"/>
        <v>1900-01-00 00:0:00</v>
      </c>
      <c r="L1056" s="78" t="str">
        <f t="shared" si="1016"/>
        <v>1900-01-00 00:0:00</v>
      </c>
      <c r="M1056" s="79">
        <f t="shared" si="1017"/>
        <v>0</v>
      </c>
      <c r="N1056">
        <f t="shared" si="1042"/>
        <v>1</v>
      </c>
      <c r="O1056" t="str">
        <f>IFERROR(_xlfn.XLOOKUP(A1056,HC!A:A,HC!C:C),"")</f>
        <v>Workforce</v>
      </c>
      <c r="R1056" s="78" t="b">
        <f t="shared" si="1018"/>
        <v>0</v>
      </c>
      <c r="S1056" s="78" t="b">
        <f t="shared" si="1019"/>
        <v>0</v>
      </c>
      <c r="T1056" s="78" t="b">
        <f t="shared" si="1020"/>
        <v>0</v>
      </c>
      <c r="U1056" s="78" t="b">
        <f t="shared" si="1021"/>
        <v>0</v>
      </c>
      <c r="V1056" s="78" t="b">
        <f t="shared" si="1022"/>
        <v>0</v>
      </c>
      <c r="W1056" s="78" t="b">
        <f t="shared" si="1023"/>
        <v>0</v>
      </c>
      <c r="X1056" s="78" t="b">
        <f t="shared" si="1024"/>
        <v>0</v>
      </c>
      <c r="Y1056" s="78" t="b">
        <f t="shared" si="1025"/>
        <v>0</v>
      </c>
      <c r="Z1056" s="78" t="b">
        <f t="shared" si="1026"/>
        <v>0</v>
      </c>
      <c r="AA1056" s="78" t="b">
        <f t="shared" si="1027"/>
        <v>0</v>
      </c>
      <c r="AB1056" s="78" t="b">
        <f t="shared" si="1028"/>
        <v>0</v>
      </c>
      <c r="AC1056" s="78" t="b">
        <f t="shared" si="1029"/>
        <v>0</v>
      </c>
      <c r="AD1056" s="78" t="b">
        <f t="shared" si="1030"/>
        <v>0</v>
      </c>
      <c r="AE1056" s="78" t="b">
        <f t="shared" si="1031"/>
        <v>0</v>
      </c>
      <c r="AF1056" s="78" t="b">
        <f t="shared" si="1032"/>
        <v>0</v>
      </c>
      <c r="AG1056" s="78" t="b">
        <f t="shared" si="1033"/>
        <v>0</v>
      </c>
      <c r="AH1056" s="78" t="b">
        <f t="shared" si="1034"/>
        <v>0</v>
      </c>
      <c r="AI1056" s="78" t="b">
        <f t="shared" si="1035"/>
        <v>0</v>
      </c>
      <c r="AJ1056" s="78" t="b">
        <f t="shared" si="1036"/>
        <v>0</v>
      </c>
      <c r="AK1056" s="78" t="b">
        <f t="shared" si="1037"/>
        <v>0</v>
      </c>
      <c r="AL1056" s="78" t="b">
        <f t="shared" si="1038"/>
        <v>0</v>
      </c>
      <c r="AM1056" s="78" t="b">
        <f t="shared" si="1039"/>
        <v>0</v>
      </c>
      <c r="AN1056" s="78" t="b">
        <f t="shared" si="1040"/>
        <v>0</v>
      </c>
      <c r="AO1056" s="78" t="b">
        <f t="shared" si="1041"/>
        <v>0</v>
      </c>
    </row>
    <row r="1057" spans="7:41" x14ac:dyDescent="0.35">
      <c r="G1057" s="77">
        <f t="shared" si="1011"/>
        <v>0</v>
      </c>
      <c r="H1057" s="78">
        <f t="shared" si="1012"/>
        <v>0</v>
      </c>
      <c r="I1057" s="77">
        <f t="shared" si="1013"/>
        <v>0</v>
      </c>
      <c r="J1057" s="78">
        <f t="shared" si="1014"/>
        <v>0</v>
      </c>
      <c r="K1057" s="78" t="str">
        <f t="shared" si="1015"/>
        <v>1900-01-00 00:0:00</v>
      </c>
      <c r="L1057" s="78" t="str">
        <f t="shared" si="1016"/>
        <v>1900-01-00 00:0:00</v>
      </c>
      <c r="M1057" s="79">
        <f t="shared" si="1017"/>
        <v>0</v>
      </c>
      <c r="N1057">
        <f t="shared" si="1042"/>
        <v>1</v>
      </c>
      <c r="O1057" t="str">
        <f>IFERROR(_xlfn.XLOOKUP(A1057,HC!A:A,HC!C:C),"")</f>
        <v>Workforce</v>
      </c>
      <c r="R1057" s="78" t="b">
        <f t="shared" si="1018"/>
        <v>0</v>
      </c>
      <c r="S1057" s="78" t="b">
        <f t="shared" si="1019"/>
        <v>0</v>
      </c>
      <c r="T1057" s="78" t="b">
        <f t="shared" si="1020"/>
        <v>0</v>
      </c>
      <c r="U1057" s="78" t="b">
        <f t="shared" si="1021"/>
        <v>0</v>
      </c>
      <c r="V1057" s="78" t="b">
        <f t="shared" si="1022"/>
        <v>0</v>
      </c>
      <c r="W1057" s="78" t="b">
        <f t="shared" si="1023"/>
        <v>0</v>
      </c>
      <c r="X1057" s="78" t="b">
        <f t="shared" si="1024"/>
        <v>0</v>
      </c>
      <c r="Y1057" s="78" t="b">
        <f t="shared" si="1025"/>
        <v>0</v>
      </c>
      <c r="Z1057" s="78" t="b">
        <f t="shared" si="1026"/>
        <v>0</v>
      </c>
      <c r="AA1057" s="78" t="b">
        <f t="shared" si="1027"/>
        <v>0</v>
      </c>
      <c r="AB1057" s="78" t="b">
        <f t="shared" si="1028"/>
        <v>0</v>
      </c>
      <c r="AC1057" s="78" t="b">
        <f t="shared" si="1029"/>
        <v>0</v>
      </c>
      <c r="AD1057" s="78" t="b">
        <f t="shared" si="1030"/>
        <v>0</v>
      </c>
      <c r="AE1057" s="78" t="b">
        <f t="shared" si="1031"/>
        <v>0</v>
      </c>
      <c r="AF1057" s="78" t="b">
        <f t="shared" si="1032"/>
        <v>0</v>
      </c>
      <c r="AG1057" s="78" t="b">
        <f t="shared" si="1033"/>
        <v>0</v>
      </c>
      <c r="AH1057" s="78" t="b">
        <f t="shared" si="1034"/>
        <v>0</v>
      </c>
      <c r="AI1057" s="78" t="b">
        <f t="shared" si="1035"/>
        <v>0</v>
      </c>
      <c r="AJ1057" s="78" t="b">
        <f t="shared" si="1036"/>
        <v>0</v>
      </c>
      <c r="AK1057" s="78" t="b">
        <f t="shared" si="1037"/>
        <v>0</v>
      </c>
      <c r="AL1057" s="78" t="b">
        <f t="shared" si="1038"/>
        <v>0</v>
      </c>
      <c r="AM1057" s="78" t="b">
        <f t="shared" si="1039"/>
        <v>0</v>
      </c>
      <c r="AN1057" s="78" t="b">
        <f t="shared" si="1040"/>
        <v>0</v>
      </c>
      <c r="AO1057" s="78" t="b">
        <f t="shared" si="1041"/>
        <v>0</v>
      </c>
    </row>
    <row r="1058" spans="7:41" x14ac:dyDescent="0.35">
      <c r="G1058" s="77">
        <f t="shared" si="1011"/>
        <v>0</v>
      </c>
      <c r="H1058" s="78">
        <f t="shared" si="1012"/>
        <v>0</v>
      </c>
      <c r="I1058" s="77">
        <f t="shared" si="1013"/>
        <v>0</v>
      </c>
      <c r="J1058" s="78">
        <f t="shared" si="1014"/>
        <v>0</v>
      </c>
      <c r="K1058" s="78" t="str">
        <f t="shared" si="1015"/>
        <v>1900-01-00 00:0:00</v>
      </c>
      <c r="L1058" s="78" t="str">
        <f t="shared" si="1016"/>
        <v>1900-01-00 00:0:00</v>
      </c>
      <c r="M1058" s="79">
        <f t="shared" si="1017"/>
        <v>0</v>
      </c>
      <c r="N1058">
        <f t="shared" si="1042"/>
        <v>1</v>
      </c>
      <c r="O1058" t="str">
        <f>IFERROR(_xlfn.XLOOKUP(A1058,HC!A:A,HC!C:C),"")</f>
        <v>Workforce</v>
      </c>
      <c r="R1058" s="78" t="b">
        <f t="shared" si="1018"/>
        <v>0</v>
      </c>
      <c r="S1058" s="78" t="b">
        <f t="shared" si="1019"/>
        <v>0</v>
      </c>
      <c r="T1058" s="78" t="b">
        <f t="shared" si="1020"/>
        <v>0</v>
      </c>
      <c r="U1058" s="78" t="b">
        <f t="shared" si="1021"/>
        <v>0</v>
      </c>
      <c r="V1058" s="78" t="b">
        <f t="shared" si="1022"/>
        <v>0</v>
      </c>
      <c r="W1058" s="78" t="b">
        <f t="shared" si="1023"/>
        <v>0</v>
      </c>
      <c r="X1058" s="78" t="b">
        <f t="shared" si="1024"/>
        <v>0</v>
      </c>
      <c r="Y1058" s="78" t="b">
        <f t="shared" si="1025"/>
        <v>0</v>
      </c>
      <c r="Z1058" s="78" t="b">
        <f t="shared" si="1026"/>
        <v>0</v>
      </c>
      <c r="AA1058" s="78" t="b">
        <f t="shared" si="1027"/>
        <v>0</v>
      </c>
      <c r="AB1058" s="78" t="b">
        <f t="shared" si="1028"/>
        <v>0</v>
      </c>
      <c r="AC1058" s="78" t="b">
        <f t="shared" si="1029"/>
        <v>0</v>
      </c>
      <c r="AD1058" s="78" t="b">
        <f t="shared" si="1030"/>
        <v>0</v>
      </c>
      <c r="AE1058" s="78" t="b">
        <f t="shared" si="1031"/>
        <v>0</v>
      </c>
      <c r="AF1058" s="78" t="b">
        <f t="shared" si="1032"/>
        <v>0</v>
      </c>
      <c r="AG1058" s="78" t="b">
        <f t="shared" si="1033"/>
        <v>0</v>
      </c>
      <c r="AH1058" s="78" t="b">
        <f t="shared" si="1034"/>
        <v>0</v>
      </c>
      <c r="AI1058" s="78" t="b">
        <f t="shared" si="1035"/>
        <v>0</v>
      </c>
      <c r="AJ1058" s="78" t="b">
        <f t="shared" si="1036"/>
        <v>0</v>
      </c>
      <c r="AK1058" s="78" t="b">
        <f t="shared" si="1037"/>
        <v>0</v>
      </c>
      <c r="AL1058" s="78" t="b">
        <f t="shared" si="1038"/>
        <v>0</v>
      </c>
      <c r="AM1058" s="78" t="b">
        <f t="shared" si="1039"/>
        <v>0</v>
      </c>
      <c r="AN1058" s="78" t="b">
        <f t="shared" si="1040"/>
        <v>0</v>
      </c>
      <c r="AO1058" s="78" t="b">
        <f t="shared" si="1041"/>
        <v>0</v>
      </c>
    </row>
    <row r="1059" spans="7:41" x14ac:dyDescent="0.35">
      <c r="G1059" s="77">
        <f t="shared" si="1011"/>
        <v>0</v>
      </c>
      <c r="H1059" s="78">
        <f t="shared" si="1012"/>
        <v>0</v>
      </c>
      <c r="I1059" s="77">
        <f t="shared" si="1013"/>
        <v>0</v>
      </c>
      <c r="J1059" s="78">
        <f t="shared" si="1014"/>
        <v>0</v>
      </c>
      <c r="K1059" s="78" t="str">
        <f t="shared" si="1015"/>
        <v>1900-01-00 00:0:00</v>
      </c>
      <c r="L1059" s="78" t="str">
        <f t="shared" si="1016"/>
        <v>1900-01-00 00:0:00</v>
      </c>
      <c r="M1059" s="79">
        <f t="shared" si="1017"/>
        <v>0</v>
      </c>
      <c r="N1059">
        <f t="shared" si="1042"/>
        <v>1</v>
      </c>
      <c r="O1059" t="str">
        <f>IFERROR(_xlfn.XLOOKUP(A1059,HC!A:A,HC!C:C),"")</f>
        <v>Workforce</v>
      </c>
      <c r="R1059" s="78" t="b">
        <f t="shared" si="1018"/>
        <v>0</v>
      </c>
      <c r="S1059" s="78" t="b">
        <f t="shared" si="1019"/>
        <v>0</v>
      </c>
      <c r="T1059" s="78" t="b">
        <f t="shared" si="1020"/>
        <v>0</v>
      </c>
      <c r="U1059" s="78" t="b">
        <f t="shared" si="1021"/>
        <v>0</v>
      </c>
      <c r="V1059" s="78" t="b">
        <f t="shared" si="1022"/>
        <v>0</v>
      </c>
      <c r="W1059" s="78" t="b">
        <f t="shared" si="1023"/>
        <v>0</v>
      </c>
      <c r="X1059" s="78" t="b">
        <f t="shared" si="1024"/>
        <v>0</v>
      </c>
      <c r="Y1059" s="78" t="b">
        <f t="shared" si="1025"/>
        <v>0</v>
      </c>
      <c r="Z1059" s="78" t="b">
        <f t="shared" si="1026"/>
        <v>0</v>
      </c>
      <c r="AA1059" s="78" t="b">
        <f t="shared" si="1027"/>
        <v>0</v>
      </c>
      <c r="AB1059" s="78" t="b">
        <f t="shared" si="1028"/>
        <v>0</v>
      </c>
      <c r="AC1059" s="78" t="b">
        <f t="shared" si="1029"/>
        <v>0</v>
      </c>
      <c r="AD1059" s="78" t="b">
        <f t="shared" si="1030"/>
        <v>0</v>
      </c>
      <c r="AE1059" s="78" t="b">
        <f t="shared" si="1031"/>
        <v>0</v>
      </c>
      <c r="AF1059" s="78" t="b">
        <f t="shared" si="1032"/>
        <v>0</v>
      </c>
      <c r="AG1059" s="78" t="b">
        <f t="shared" si="1033"/>
        <v>0</v>
      </c>
      <c r="AH1059" s="78" t="b">
        <f t="shared" si="1034"/>
        <v>0</v>
      </c>
      <c r="AI1059" s="78" t="b">
        <f t="shared" si="1035"/>
        <v>0</v>
      </c>
      <c r="AJ1059" s="78" t="b">
        <f t="shared" si="1036"/>
        <v>0</v>
      </c>
      <c r="AK1059" s="78" t="b">
        <f t="shared" si="1037"/>
        <v>0</v>
      </c>
      <c r="AL1059" s="78" t="b">
        <f t="shared" si="1038"/>
        <v>0</v>
      </c>
      <c r="AM1059" s="78" t="b">
        <f t="shared" si="1039"/>
        <v>0</v>
      </c>
      <c r="AN1059" s="78" t="b">
        <f t="shared" si="1040"/>
        <v>0</v>
      </c>
      <c r="AO1059" s="78" t="b">
        <f t="shared" si="1041"/>
        <v>0</v>
      </c>
    </row>
    <row r="1060" spans="7:41" x14ac:dyDescent="0.35">
      <c r="G1060" s="77">
        <f t="shared" si="1011"/>
        <v>0</v>
      </c>
      <c r="H1060" s="78">
        <f t="shared" si="1012"/>
        <v>0</v>
      </c>
      <c r="I1060" s="77">
        <f t="shared" si="1013"/>
        <v>0</v>
      </c>
      <c r="J1060" s="78">
        <f t="shared" si="1014"/>
        <v>0</v>
      </c>
      <c r="K1060" s="78" t="str">
        <f t="shared" si="1015"/>
        <v>1900-01-00 00:0:00</v>
      </c>
      <c r="L1060" s="78" t="str">
        <f t="shared" si="1016"/>
        <v>1900-01-00 00:0:00</v>
      </c>
      <c r="M1060" s="79">
        <f t="shared" si="1017"/>
        <v>0</v>
      </c>
      <c r="N1060">
        <f t="shared" si="1042"/>
        <v>1</v>
      </c>
      <c r="O1060" t="str">
        <f>IFERROR(_xlfn.XLOOKUP(A1060,HC!A:A,HC!C:C),"")</f>
        <v>Workforce</v>
      </c>
      <c r="R1060" s="78" t="b">
        <f t="shared" si="1018"/>
        <v>0</v>
      </c>
      <c r="S1060" s="78" t="b">
        <f t="shared" si="1019"/>
        <v>0</v>
      </c>
      <c r="T1060" s="78" t="b">
        <f t="shared" si="1020"/>
        <v>0</v>
      </c>
      <c r="U1060" s="78" t="b">
        <f t="shared" si="1021"/>
        <v>0</v>
      </c>
      <c r="V1060" s="78" t="b">
        <f t="shared" si="1022"/>
        <v>0</v>
      </c>
      <c r="W1060" s="78" t="b">
        <f t="shared" si="1023"/>
        <v>0</v>
      </c>
      <c r="X1060" s="78" t="b">
        <f t="shared" si="1024"/>
        <v>0</v>
      </c>
      <c r="Y1060" s="78" t="b">
        <f t="shared" si="1025"/>
        <v>0</v>
      </c>
      <c r="Z1060" s="78" t="b">
        <f t="shared" si="1026"/>
        <v>0</v>
      </c>
      <c r="AA1060" s="78" t="b">
        <f t="shared" si="1027"/>
        <v>0</v>
      </c>
      <c r="AB1060" s="78" t="b">
        <f t="shared" si="1028"/>
        <v>0</v>
      </c>
      <c r="AC1060" s="78" t="b">
        <f t="shared" si="1029"/>
        <v>0</v>
      </c>
      <c r="AD1060" s="78" t="b">
        <f t="shared" si="1030"/>
        <v>0</v>
      </c>
      <c r="AE1060" s="78" t="b">
        <f t="shared" si="1031"/>
        <v>0</v>
      </c>
      <c r="AF1060" s="78" t="b">
        <f t="shared" si="1032"/>
        <v>0</v>
      </c>
      <c r="AG1060" s="78" t="b">
        <f t="shared" si="1033"/>
        <v>0</v>
      </c>
      <c r="AH1060" s="78" t="b">
        <f t="shared" si="1034"/>
        <v>0</v>
      </c>
      <c r="AI1060" s="78" t="b">
        <f t="shared" si="1035"/>
        <v>0</v>
      </c>
      <c r="AJ1060" s="78" t="b">
        <f t="shared" si="1036"/>
        <v>0</v>
      </c>
      <c r="AK1060" s="78" t="b">
        <f t="shared" si="1037"/>
        <v>0</v>
      </c>
      <c r="AL1060" s="78" t="b">
        <f t="shared" si="1038"/>
        <v>0</v>
      </c>
      <c r="AM1060" s="78" t="b">
        <f t="shared" si="1039"/>
        <v>0</v>
      </c>
      <c r="AN1060" s="78" t="b">
        <f t="shared" si="1040"/>
        <v>0</v>
      </c>
      <c r="AO1060" s="78" t="b">
        <f t="shared" si="1041"/>
        <v>0</v>
      </c>
    </row>
    <row r="1061" spans="7:41" x14ac:dyDescent="0.35">
      <c r="G1061" s="77">
        <f t="shared" si="1011"/>
        <v>0</v>
      </c>
      <c r="H1061" s="78">
        <f t="shared" si="1012"/>
        <v>0</v>
      </c>
      <c r="I1061" s="77">
        <f t="shared" si="1013"/>
        <v>0</v>
      </c>
      <c r="J1061" s="78">
        <f t="shared" si="1014"/>
        <v>0</v>
      </c>
      <c r="K1061" s="78" t="str">
        <f t="shared" si="1015"/>
        <v>1900-01-00 00:0:00</v>
      </c>
      <c r="L1061" s="78" t="str">
        <f t="shared" si="1016"/>
        <v>1900-01-00 00:0:00</v>
      </c>
      <c r="M1061" s="79">
        <f t="shared" si="1017"/>
        <v>0</v>
      </c>
      <c r="N1061">
        <f t="shared" si="1042"/>
        <v>1</v>
      </c>
      <c r="O1061" t="str">
        <f>IFERROR(_xlfn.XLOOKUP(A1061,HC!A:A,HC!C:C),"")</f>
        <v>Workforce</v>
      </c>
      <c r="R1061" s="78" t="b">
        <f t="shared" si="1018"/>
        <v>0</v>
      </c>
      <c r="S1061" s="78" t="b">
        <f t="shared" si="1019"/>
        <v>0</v>
      </c>
      <c r="T1061" s="78" t="b">
        <f t="shared" si="1020"/>
        <v>0</v>
      </c>
      <c r="U1061" s="78" t="b">
        <f t="shared" si="1021"/>
        <v>0</v>
      </c>
      <c r="V1061" s="78" t="b">
        <f t="shared" si="1022"/>
        <v>0</v>
      </c>
      <c r="W1061" s="78" t="b">
        <f t="shared" si="1023"/>
        <v>0</v>
      </c>
      <c r="X1061" s="78" t="b">
        <f t="shared" si="1024"/>
        <v>0</v>
      </c>
      <c r="Y1061" s="78" t="b">
        <f t="shared" si="1025"/>
        <v>0</v>
      </c>
      <c r="Z1061" s="78" t="b">
        <f t="shared" si="1026"/>
        <v>0</v>
      </c>
      <c r="AA1061" s="78" t="b">
        <f t="shared" si="1027"/>
        <v>0</v>
      </c>
      <c r="AB1061" s="78" t="b">
        <f t="shared" si="1028"/>
        <v>0</v>
      </c>
      <c r="AC1061" s="78" t="b">
        <f t="shared" si="1029"/>
        <v>0</v>
      </c>
      <c r="AD1061" s="78" t="b">
        <f t="shared" si="1030"/>
        <v>0</v>
      </c>
      <c r="AE1061" s="78" t="b">
        <f t="shared" si="1031"/>
        <v>0</v>
      </c>
      <c r="AF1061" s="78" t="b">
        <f t="shared" si="1032"/>
        <v>0</v>
      </c>
      <c r="AG1061" s="78" t="b">
        <f t="shared" si="1033"/>
        <v>0</v>
      </c>
      <c r="AH1061" s="78" t="b">
        <f t="shared" si="1034"/>
        <v>0</v>
      </c>
      <c r="AI1061" s="78" t="b">
        <f t="shared" si="1035"/>
        <v>0</v>
      </c>
      <c r="AJ1061" s="78" t="b">
        <f t="shared" si="1036"/>
        <v>0</v>
      </c>
      <c r="AK1061" s="78" t="b">
        <f t="shared" si="1037"/>
        <v>0</v>
      </c>
      <c r="AL1061" s="78" t="b">
        <f t="shared" si="1038"/>
        <v>0</v>
      </c>
      <c r="AM1061" s="78" t="b">
        <f t="shared" si="1039"/>
        <v>0</v>
      </c>
      <c r="AN1061" s="78" t="b">
        <f t="shared" si="1040"/>
        <v>0</v>
      </c>
      <c r="AO1061" s="78" t="b">
        <f t="shared" si="1041"/>
        <v>0</v>
      </c>
    </row>
    <row r="1062" spans="7:41" x14ac:dyDescent="0.35">
      <c r="G1062" s="77">
        <f t="shared" si="1011"/>
        <v>0</v>
      </c>
      <c r="H1062" s="78">
        <f t="shared" si="1012"/>
        <v>0</v>
      </c>
      <c r="I1062" s="77">
        <f t="shared" si="1013"/>
        <v>0</v>
      </c>
      <c r="J1062" s="78">
        <f t="shared" si="1014"/>
        <v>0</v>
      </c>
      <c r="K1062" s="78" t="str">
        <f t="shared" si="1015"/>
        <v>1900-01-00 00:0:00</v>
      </c>
      <c r="L1062" s="78" t="str">
        <f t="shared" si="1016"/>
        <v>1900-01-00 00:0:00</v>
      </c>
      <c r="M1062" s="79">
        <f t="shared" si="1017"/>
        <v>0</v>
      </c>
      <c r="N1062">
        <f t="shared" si="1042"/>
        <v>1</v>
      </c>
      <c r="O1062" t="str">
        <f>IFERROR(_xlfn.XLOOKUP(A1062,HC!A:A,HC!C:C),"")</f>
        <v>Workforce</v>
      </c>
      <c r="R1062" s="78" t="b">
        <f t="shared" si="1018"/>
        <v>0</v>
      </c>
      <c r="S1062" s="78" t="b">
        <f t="shared" si="1019"/>
        <v>0</v>
      </c>
      <c r="T1062" s="78" t="b">
        <f t="shared" si="1020"/>
        <v>0</v>
      </c>
      <c r="U1062" s="78" t="b">
        <f t="shared" si="1021"/>
        <v>0</v>
      </c>
      <c r="V1062" s="78" t="b">
        <f t="shared" si="1022"/>
        <v>0</v>
      </c>
      <c r="W1062" s="78" t="b">
        <f t="shared" si="1023"/>
        <v>0</v>
      </c>
      <c r="X1062" s="78" t="b">
        <f t="shared" si="1024"/>
        <v>0</v>
      </c>
      <c r="Y1062" s="78" t="b">
        <f t="shared" si="1025"/>
        <v>0</v>
      </c>
      <c r="Z1062" s="78" t="b">
        <f t="shared" si="1026"/>
        <v>0</v>
      </c>
      <c r="AA1062" s="78" t="b">
        <f t="shared" si="1027"/>
        <v>0</v>
      </c>
      <c r="AB1062" s="78" t="b">
        <f t="shared" si="1028"/>
        <v>0</v>
      </c>
      <c r="AC1062" s="78" t="b">
        <f t="shared" si="1029"/>
        <v>0</v>
      </c>
      <c r="AD1062" s="78" t="b">
        <f t="shared" si="1030"/>
        <v>0</v>
      </c>
      <c r="AE1062" s="78" t="b">
        <f t="shared" si="1031"/>
        <v>0</v>
      </c>
      <c r="AF1062" s="78" t="b">
        <f t="shared" si="1032"/>
        <v>0</v>
      </c>
      <c r="AG1062" s="78" t="b">
        <f t="shared" si="1033"/>
        <v>0</v>
      </c>
      <c r="AH1062" s="78" t="b">
        <f t="shared" si="1034"/>
        <v>0</v>
      </c>
      <c r="AI1062" s="78" t="b">
        <f t="shared" si="1035"/>
        <v>0</v>
      </c>
      <c r="AJ1062" s="78" t="b">
        <f t="shared" si="1036"/>
        <v>0</v>
      </c>
      <c r="AK1062" s="78" t="b">
        <f t="shared" si="1037"/>
        <v>0</v>
      </c>
      <c r="AL1062" s="78" t="b">
        <f t="shared" si="1038"/>
        <v>0</v>
      </c>
      <c r="AM1062" s="78" t="b">
        <f t="shared" si="1039"/>
        <v>0</v>
      </c>
      <c r="AN1062" s="78" t="b">
        <f t="shared" si="1040"/>
        <v>0</v>
      </c>
      <c r="AO1062" s="78" t="b">
        <f t="shared" si="1041"/>
        <v>0</v>
      </c>
    </row>
    <row r="1063" spans="7:41" x14ac:dyDescent="0.35">
      <c r="G1063" s="77">
        <f t="shared" si="1011"/>
        <v>0</v>
      </c>
      <c r="H1063" s="78">
        <f t="shared" si="1012"/>
        <v>0</v>
      </c>
      <c r="I1063" s="77">
        <f t="shared" si="1013"/>
        <v>0</v>
      </c>
      <c r="J1063" s="78">
        <f t="shared" si="1014"/>
        <v>0</v>
      </c>
      <c r="K1063" s="78" t="str">
        <f t="shared" si="1015"/>
        <v>1900-01-00 00:0:00</v>
      </c>
      <c r="L1063" s="78" t="str">
        <f t="shared" si="1016"/>
        <v>1900-01-00 00:0:00</v>
      </c>
      <c r="M1063" s="79">
        <f t="shared" si="1017"/>
        <v>0</v>
      </c>
      <c r="N1063">
        <f t="shared" si="1042"/>
        <v>1</v>
      </c>
      <c r="O1063" t="str">
        <f>IFERROR(_xlfn.XLOOKUP(A1063,HC!A:A,HC!C:C),"")</f>
        <v>Workforce</v>
      </c>
      <c r="R1063" s="78" t="b">
        <f t="shared" si="1018"/>
        <v>0</v>
      </c>
      <c r="S1063" s="78" t="b">
        <f t="shared" si="1019"/>
        <v>0</v>
      </c>
      <c r="T1063" s="78" t="b">
        <f t="shared" si="1020"/>
        <v>0</v>
      </c>
      <c r="U1063" s="78" t="b">
        <f t="shared" si="1021"/>
        <v>0</v>
      </c>
      <c r="V1063" s="78" t="b">
        <f t="shared" si="1022"/>
        <v>0</v>
      </c>
      <c r="W1063" s="78" t="b">
        <f t="shared" si="1023"/>
        <v>0</v>
      </c>
      <c r="X1063" s="78" t="b">
        <f t="shared" si="1024"/>
        <v>0</v>
      </c>
      <c r="Y1063" s="78" t="b">
        <f t="shared" si="1025"/>
        <v>0</v>
      </c>
      <c r="Z1063" s="78" t="b">
        <f t="shared" si="1026"/>
        <v>0</v>
      </c>
      <c r="AA1063" s="78" t="b">
        <f t="shared" si="1027"/>
        <v>0</v>
      </c>
      <c r="AB1063" s="78" t="b">
        <f t="shared" si="1028"/>
        <v>0</v>
      </c>
      <c r="AC1063" s="78" t="b">
        <f t="shared" si="1029"/>
        <v>0</v>
      </c>
      <c r="AD1063" s="78" t="b">
        <f t="shared" si="1030"/>
        <v>0</v>
      </c>
      <c r="AE1063" s="78" t="b">
        <f t="shared" si="1031"/>
        <v>0</v>
      </c>
      <c r="AF1063" s="78" t="b">
        <f t="shared" si="1032"/>
        <v>0</v>
      </c>
      <c r="AG1063" s="78" t="b">
        <f t="shared" si="1033"/>
        <v>0</v>
      </c>
      <c r="AH1063" s="78" t="b">
        <f t="shared" si="1034"/>
        <v>0</v>
      </c>
      <c r="AI1063" s="78" t="b">
        <f t="shared" si="1035"/>
        <v>0</v>
      </c>
      <c r="AJ1063" s="78" t="b">
        <f t="shared" si="1036"/>
        <v>0</v>
      </c>
      <c r="AK1063" s="78" t="b">
        <f t="shared" si="1037"/>
        <v>0</v>
      </c>
      <c r="AL1063" s="78" t="b">
        <f t="shared" si="1038"/>
        <v>0</v>
      </c>
      <c r="AM1063" s="78" t="b">
        <f t="shared" si="1039"/>
        <v>0</v>
      </c>
      <c r="AN1063" s="78" t="b">
        <f t="shared" si="1040"/>
        <v>0</v>
      </c>
      <c r="AO1063" s="78" t="b">
        <f t="shared" si="1041"/>
        <v>0</v>
      </c>
    </row>
    <row r="1064" spans="7:41" x14ac:dyDescent="0.35">
      <c r="G1064" s="77">
        <f t="shared" si="1011"/>
        <v>0</v>
      </c>
      <c r="H1064" s="78">
        <f t="shared" si="1012"/>
        <v>0</v>
      </c>
      <c r="I1064" s="77">
        <f t="shared" si="1013"/>
        <v>0</v>
      </c>
      <c r="J1064" s="78">
        <f t="shared" si="1014"/>
        <v>0</v>
      </c>
      <c r="K1064" s="78" t="str">
        <f t="shared" si="1015"/>
        <v>1900-01-00 00:0:00</v>
      </c>
      <c r="L1064" s="78" t="str">
        <f t="shared" si="1016"/>
        <v>1900-01-00 00:0:00</v>
      </c>
      <c r="M1064" s="79">
        <f t="shared" si="1017"/>
        <v>0</v>
      </c>
      <c r="N1064">
        <f t="shared" si="1042"/>
        <v>1</v>
      </c>
      <c r="O1064" t="str">
        <f>IFERROR(_xlfn.XLOOKUP(A1064,HC!A:A,HC!C:C),"")</f>
        <v>Workforce</v>
      </c>
      <c r="R1064" s="78" t="b">
        <f t="shared" si="1018"/>
        <v>0</v>
      </c>
      <c r="S1064" s="78" t="b">
        <f t="shared" si="1019"/>
        <v>0</v>
      </c>
      <c r="T1064" s="78" t="b">
        <f t="shared" si="1020"/>
        <v>0</v>
      </c>
      <c r="U1064" s="78" t="b">
        <f t="shared" si="1021"/>
        <v>0</v>
      </c>
      <c r="V1064" s="78" t="b">
        <f t="shared" si="1022"/>
        <v>0</v>
      </c>
      <c r="W1064" s="78" t="b">
        <f t="shared" si="1023"/>
        <v>0</v>
      </c>
      <c r="X1064" s="78" t="b">
        <f t="shared" si="1024"/>
        <v>0</v>
      </c>
      <c r="Y1064" s="78" t="b">
        <f t="shared" si="1025"/>
        <v>0</v>
      </c>
      <c r="Z1064" s="78" t="b">
        <f t="shared" si="1026"/>
        <v>0</v>
      </c>
      <c r="AA1064" s="78" t="b">
        <f t="shared" si="1027"/>
        <v>0</v>
      </c>
      <c r="AB1064" s="78" t="b">
        <f t="shared" si="1028"/>
        <v>0</v>
      </c>
      <c r="AC1064" s="78" t="b">
        <f t="shared" si="1029"/>
        <v>0</v>
      </c>
      <c r="AD1064" s="78" t="b">
        <f t="shared" si="1030"/>
        <v>0</v>
      </c>
      <c r="AE1064" s="78" t="b">
        <f t="shared" si="1031"/>
        <v>0</v>
      </c>
      <c r="AF1064" s="78" t="b">
        <f t="shared" si="1032"/>
        <v>0</v>
      </c>
      <c r="AG1064" s="78" t="b">
        <f t="shared" si="1033"/>
        <v>0</v>
      </c>
      <c r="AH1064" s="78" t="b">
        <f t="shared" si="1034"/>
        <v>0</v>
      </c>
      <c r="AI1064" s="78" t="b">
        <f t="shared" si="1035"/>
        <v>0</v>
      </c>
      <c r="AJ1064" s="78" t="b">
        <f t="shared" si="1036"/>
        <v>0</v>
      </c>
      <c r="AK1064" s="78" t="b">
        <f t="shared" si="1037"/>
        <v>0</v>
      </c>
      <c r="AL1064" s="78" t="b">
        <f t="shared" si="1038"/>
        <v>0</v>
      </c>
      <c r="AM1064" s="78" t="b">
        <f t="shared" si="1039"/>
        <v>0</v>
      </c>
      <c r="AN1064" s="78" t="b">
        <f t="shared" si="1040"/>
        <v>0</v>
      </c>
      <c r="AO1064" s="78" t="b">
        <f t="shared" si="1041"/>
        <v>0</v>
      </c>
    </row>
    <row r="1065" spans="7:41" x14ac:dyDescent="0.35">
      <c r="G1065" s="77">
        <f t="shared" si="1011"/>
        <v>0</v>
      </c>
      <c r="H1065" s="78">
        <f t="shared" si="1012"/>
        <v>0</v>
      </c>
      <c r="I1065" s="77">
        <f t="shared" si="1013"/>
        <v>0</v>
      </c>
      <c r="J1065" s="78">
        <f t="shared" si="1014"/>
        <v>0</v>
      </c>
      <c r="K1065" s="78" t="str">
        <f t="shared" si="1015"/>
        <v>1900-01-00 00:0:00</v>
      </c>
      <c r="L1065" s="78" t="str">
        <f t="shared" si="1016"/>
        <v>1900-01-00 00:0:00</v>
      </c>
      <c r="M1065" s="79">
        <f t="shared" si="1017"/>
        <v>0</v>
      </c>
      <c r="N1065">
        <f t="shared" si="1042"/>
        <v>1</v>
      </c>
      <c r="O1065" t="str">
        <f>IFERROR(_xlfn.XLOOKUP(A1065,HC!A:A,HC!C:C),"")</f>
        <v>Workforce</v>
      </c>
      <c r="R1065" s="78" t="b">
        <f t="shared" si="1018"/>
        <v>0</v>
      </c>
      <c r="S1065" s="78" t="b">
        <f t="shared" si="1019"/>
        <v>0</v>
      </c>
      <c r="T1065" s="78" t="b">
        <f t="shared" si="1020"/>
        <v>0</v>
      </c>
      <c r="U1065" s="78" t="b">
        <f t="shared" si="1021"/>
        <v>0</v>
      </c>
      <c r="V1065" s="78" t="b">
        <f t="shared" si="1022"/>
        <v>0</v>
      </c>
      <c r="W1065" s="78" t="b">
        <f t="shared" si="1023"/>
        <v>0</v>
      </c>
      <c r="X1065" s="78" t="b">
        <f t="shared" si="1024"/>
        <v>0</v>
      </c>
      <c r="Y1065" s="78" t="b">
        <f t="shared" si="1025"/>
        <v>0</v>
      </c>
      <c r="Z1065" s="78" t="b">
        <f t="shared" si="1026"/>
        <v>0</v>
      </c>
      <c r="AA1065" s="78" t="b">
        <f t="shared" si="1027"/>
        <v>0</v>
      </c>
      <c r="AB1065" s="78" t="b">
        <f t="shared" si="1028"/>
        <v>0</v>
      </c>
      <c r="AC1065" s="78" t="b">
        <f t="shared" si="1029"/>
        <v>0</v>
      </c>
      <c r="AD1065" s="78" t="b">
        <f t="shared" si="1030"/>
        <v>0</v>
      </c>
      <c r="AE1065" s="78" t="b">
        <f t="shared" si="1031"/>
        <v>0</v>
      </c>
      <c r="AF1065" s="78" t="b">
        <f t="shared" si="1032"/>
        <v>0</v>
      </c>
      <c r="AG1065" s="78" t="b">
        <f t="shared" si="1033"/>
        <v>0</v>
      </c>
      <c r="AH1065" s="78" t="b">
        <f t="shared" si="1034"/>
        <v>0</v>
      </c>
      <c r="AI1065" s="78" t="b">
        <f t="shared" si="1035"/>
        <v>0</v>
      </c>
      <c r="AJ1065" s="78" t="b">
        <f t="shared" si="1036"/>
        <v>0</v>
      </c>
      <c r="AK1065" s="78" t="b">
        <f t="shared" si="1037"/>
        <v>0</v>
      </c>
      <c r="AL1065" s="78" t="b">
        <f t="shared" si="1038"/>
        <v>0</v>
      </c>
      <c r="AM1065" s="78" t="b">
        <f t="shared" si="1039"/>
        <v>0</v>
      </c>
      <c r="AN1065" s="78" t="b">
        <f t="shared" si="1040"/>
        <v>0</v>
      </c>
      <c r="AO1065" s="78" t="b">
        <f t="shared" si="1041"/>
        <v>0</v>
      </c>
    </row>
    <row r="1066" spans="7:41" x14ac:dyDescent="0.35">
      <c r="G1066" s="77">
        <f t="shared" si="1011"/>
        <v>0</v>
      </c>
      <c r="H1066" s="78">
        <f t="shared" si="1012"/>
        <v>0</v>
      </c>
      <c r="I1066" s="77">
        <f t="shared" si="1013"/>
        <v>0</v>
      </c>
      <c r="J1066" s="78">
        <f t="shared" si="1014"/>
        <v>0</v>
      </c>
      <c r="K1066" s="78" t="str">
        <f t="shared" si="1015"/>
        <v>1900-01-00 00:0:00</v>
      </c>
      <c r="L1066" s="78" t="str">
        <f t="shared" si="1016"/>
        <v>1900-01-00 00:0:00</v>
      </c>
      <c r="M1066" s="79">
        <f t="shared" si="1017"/>
        <v>0</v>
      </c>
      <c r="N1066">
        <f t="shared" si="1042"/>
        <v>1</v>
      </c>
      <c r="O1066" t="str">
        <f>IFERROR(_xlfn.XLOOKUP(A1066,HC!A:A,HC!C:C),"")</f>
        <v>Workforce</v>
      </c>
      <c r="R1066" s="78" t="b">
        <f t="shared" si="1018"/>
        <v>0</v>
      </c>
      <c r="S1066" s="78" t="b">
        <f t="shared" si="1019"/>
        <v>0</v>
      </c>
      <c r="T1066" s="78" t="b">
        <f t="shared" si="1020"/>
        <v>0</v>
      </c>
      <c r="U1066" s="78" t="b">
        <f t="shared" si="1021"/>
        <v>0</v>
      </c>
      <c r="V1066" s="78" t="b">
        <f t="shared" si="1022"/>
        <v>0</v>
      </c>
      <c r="W1066" s="78" t="b">
        <f t="shared" si="1023"/>
        <v>0</v>
      </c>
      <c r="X1066" s="78" t="b">
        <f t="shared" si="1024"/>
        <v>0</v>
      </c>
      <c r="Y1066" s="78" t="b">
        <f t="shared" si="1025"/>
        <v>0</v>
      </c>
      <c r="Z1066" s="78" t="b">
        <f t="shared" si="1026"/>
        <v>0</v>
      </c>
      <c r="AA1066" s="78" t="b">
        <f t="shared" si="1027"/>
        <v>0</v>
      </c>
      <c r="AB1066" s="78" t="b">
        <f t="shared" si="1028"/>
        <v>0</v>
      </c>
      <c r="AC1066" s="78" t="b">
        <f t="shared" si="1029"/>
        <v>0</v>
      </c>
      <c r="AD1066" s="78" t="b">
        <f t="shared" si="1030"/>
        <v>0</v>
      </c>
      <c r="AE1066" s="78" t="b">
        <f t="shared" si="1031"/>
        <v>0</v>
      </c>
      <c r="AF1066" s="78" t="b">
        <f t="shared" si="1032"/>
        <v>0</v>
      </c>
      <c r="AG1066" s="78" t="b">
        <f t="shared" si="1033"/>
        <v>0</v>
      </c>
      <c r="AH1066" s="78" t="b">
        <f t="shared" si="1034"/>
        <v>0</v>
      </c>
      <c r="AI1066" s="78" t="b">
        <f t="shared" si="1035"/>
        <v>0</v>
      </c>
      <c r="AJ1066" s="78" t="b">
        <f t="shared" si="1036"/>
        <v>0</v>
      </c>
      <c r="AK1066" s="78" t="b">
        <f t="shared" si="1037"/>
        <v>0</v>
      </c>
      <c r="AL1066" s="78" t="b">
        <f t="shared" si="1038"/>
        <v>0</v>
      </c>
      <c r="AM1066" s="78" t="b">
        <f t="shared" si="1039"/>
        <v>0</v>
      </c>
      <c r="AN1066" s="78" t="b">
        <f t="shared" si="1040"/>
        <v>0</v>
      </c>
      <c r="AO1066" s="78" t="b">
        <f t="shared" si="1041"/>
        <v>0</v>
      </c>
    </row>
    <row r="1067" spans="7:41" x14ac:dyDescent="0.35">
      <c r="G1067" s="77">
        <f t="shared" si="1011"/>
        <v>0</v>
      </c>
      <c r="H1067" s="78">
        <f t="shared" si="1012"/>
        <v>0</v>
      </c>
      <c r="I1067" s="77">
        <f t="shared" si="1013"/>
        <v>0</v>
      </c>
      <c r="J1067" s="78">
        <f t="shared" si="1014"/>
        <v>0</v>
      </c>
      <c r="K1067" s="78" t="str">
        <f t="shared" si="1015"/>
        <v>1900-01-00 00:0:00</v>
      </c>
      <c r="L1067" s="78" t="str">
        <f t="shared" si="1016"/>
        <v>1900-01-00 00:0:00</v>
      </c>
      <c r="M1067" s="79">
        <f t="shared" si="1017"/>
        <v>0</v>
      </c>
      <c r="N1067">
        <f t="shared" si="1042"/>
        <v>1</v>
      </c>
      <c r="O1067" t="str">
        <f>IFERROR(_xlfn.XLOOKUP(A1067,HC!A:A,HC!C:C),"")</f>
        <v>Workforce</v>
      </c>
      <c r="R1067" s="78" t="b">
        <f t="shared" si="1018"/>
        <v>0</v>
      </c>
      <c r="S1067" s="78" t="b">
        <f t="shared" si="1019"/>
        <v>0</v>
      </c>
      <c r="T1067" s="78" t="b">
        <f t="shared" si="1020"/>
        <v>0</v>
      </c>
      <c r="U1067" s="78" t="b">
        <f t="shared" si="1021"/>
        <v>0</v>
      </c>
      <c r="V1067" s="78" t="b">
        <f t="shared" si="1022"/>
        <v>0</v>
      </c>
      <c r="W1067" s="78" t="b">
        <f t="shared" si="1023"/>
        <v>0</v>
      </c>
      <c r="X1067" s="78" t="b">
        <f t="shared" si="1024"/>
        <v>0</v>
      </c>
      <c r="Y1067" s="78" t="b">
        <f t="shared" si="1025"/>
        <v>0</v>
      </c>
      <c r="Z1067" s="78" t="b">
        <f t="shared" si="1026"/>
        <v>0</v>
      </c>
      <c r="AA1067" s="78" t="b">
        <f t="shared" si="1027"/>
        <v>0</v>
      </c>
      <c r="AB1067" s="78" t="b">
        <f t="shared" si="1028"/>
        <v>0</v>
      </c>
      <c r="AC1067" s="78" t="b">
        <f t="shared" si="1029"/>
        <v>0</v>
      </c>
      <c r="AD1067" s="78" t="b">
        <f t="shared" si="1030"/>
        <v>0</v>
      </c>
      <c r="AE1067" s="78" t="b">
        <f t="shared" si="1031"/>
        <v>0</v>
      </c>
      <c r="AF1067" s="78" t="b">
        <f t="shared" si="1032"/>
        <v>0</v>
      </c>
      <c r="AG1067" s="78" t="b">
        <f t="shared" si="1033"/>
        <v>0</v>
      </c>
      <c r="AH1067" s="78" t="b">
        <f t="shared" si="1034"/>
        <v>0</v>
      </c>
      <c r="AI1067" s="78" t="b">
        <f t="shared" si="1035"/>
        <v>0</v>
      </c>
      <c r="AJ1067" s="78" t="b">
        <f t="shared" si="1036"/>
        <v>0</v>
      </c>
      <c r="AK1067" s="78" t="b">
        <f t="shared" si="1037"/>
        <v>0</v>
      </c>
      <c r="AL1067" s="78" t="b">
        <f t="shared" si="1038"/>
        <v>0</v>
      </c>
      <c r="AM1067" s="78" t="b">
        <f t="shared" si="1039"/>
        <v>0</v>
      </c>
      <c r="AN1067" s="78" t="b">
        <f t="shared" si="1040"/>
        <v>0</v>
      </c>
      <c r="AO1067" s="78" t="b">
        <f t="shared" si="1041"/>
        <v>0</v>
      </c>
    </row>
    <row r="1068" spans="7:41" x14ac:dyDescent="0.35">
      <c r="G1068" s="77">
        <f t="shared" si="1011"/>
        <v>0</v>
      </c>
      <c r="H1068" s="78">
        <f t="shared" si="1012"/>
        <v>0</v>
      </c>
      <c r="I1068" s="77">
        <f t="shared" si="1013"/>
        <v>0</v>
      </c>
      <c r="J1068" s="78">
        <f t="shared" si="1014"/>
        <v>0</v>
      </c>
      <c r="K1068" s="78" t="str">
        <f t="shared" si="1015"/>
        <v>1900-01-00 00:0:00</v>
      </c>
      <c r="L1068" s="78" t="str">
        <f t="shared" si="1016"/>
        <v>1900-01-00 00:0:00</v>
      </c>
      <c r="M1068" s="79">
        <f t="shared" si="1017"/>
        <v>0</v>
      </c>
      <c r="N1068">
        <f t="shared" si="1042"/>
        <v>1</v>
      </c>
      <c r="O1068" t="str">
        <f>IFERROR(_xlfn.XLOOKUP(A1068,HC!A:A,HC!C:C),"")</f>
        <v>Workforce</v>
      </c>
      <c r="R1068" s="78" t="b">
        <f t="shared" si="1018"/>
        <v>0</v>
      </c>
      <c r="S1068" s="78" t="b">
        <f t="shared" si="1019"/>
        <v>0</v>
      </c>
      <c r="T1068" s="78" t="b">
        <f t="shared" si="1020"/>
        <v>0</v>
      </c>
      <c r="U1068" s="78" t="b">
        <f t="shared" si="1021"/>
        <v>0</v>
      </c>
      <c r="V1068" s="78" t="b">
        <f t="shared" si="1022"/>
        <v>0</v>
      </c>
      <c r="W1068" s="78" t="b">
        <f t="shared" si="1023"/>
        <v>0</v>
      </c>
      <c r="X1068" s="78" t="b">
        <f t="shared" si="1024"/>
        <v>0</v>
      </c>
      <c r="Y1068" s="78" t="b">
        <f t="shared" si="1025"/>
        <v>0</v>
      </c>
      <c r="Z1068" s="78" t="b">
        <f t="shared" si="1026"/>
        <v>0</v>
      </c>
      <c r="AA1068" s="78" t="b">
        <f t="shared" si="1027"/>
        <v>0</v>
      </c>
      <c r="AB1068" s="78" t="b">
        <f t="shared" si="1028"/>
        <v>0</v>
      </c>
      <c r="AC1068" s="78" t="b">
        <f t="shared" si="1029"/>
        <v>0</v>
      </c>
      <c r="AD1068" s="78" t="b">
        <f t="shared" si="1030"/>
        <v>0</v>
      </c>
      <c r="AE1068" s="78" t="b">
        <f t="shared" si="1031"/>
        <v>0</v>
      </c>
      <c r="AF1068" s="78" t="b">
        <f t="shared" si="1032"/>
        <v>0</v>
      </c>
      <c r="AG1068" s="78" t="b">
        <f t="shared" si="1033"/>
        <v>0</v>
      </c>
      <c r="AH1068" s="78" t="b">
        <f t="shared" si="1034"/>
        <v>0</v>
      </c>
      <c r="AI1068" s="78" t="b">
        <f t="shared" si="1035"/>
        <v>0</v>
      </c>
      <c r="AJ1068" s="78" t="b">
        <f t="shared" si="1036"/>
        <v>0</v>
      </c>
      <c r="AK1068" s="78" t="b">
        <f t="shared" si="1037"/>
        <v>0</v>
      </c>
      <c r="AL1068" s="78" t="b">
        <f t="shared" si="1038"/>
        <v>0</v>
      </c>
      <c r="AM1068" s="78" t="b">
        <f t="shared" si="1039"/>
        <v>0</v>
      </c>
      <c r="AN1068" s="78" t="b">
        <f t="shared" si="1040"/>
        <v>0</v>
      </c>
      <c r="AO1068" s="78" t="b">
        <f t="shared" si="1041"/>
        <v>0</v>
      </c>
    </row>
    <row r="1069" spans="7:41" x14ac:dyDescent="0.35">
      <c r="G1069" s="77">
        <f t="shared" si="1011"/>
        <v>0</v>
      </c>
      <c r="H1069" s="78">
        <f t="shared" si="1012"/>
        <v>0</v>
      </c>
      <c r="I1069" s="77">
        <f t="shared" si="1013"/>
        <v>0</v>
      </c>
      <c r="J1069" s="78">
        <f t="shared" si="1014"/>
        <v>0</v>
      </c>
      <c r="K1069" s="78" t="str">
        <f t="shared" si="1015"/>
        <v>1900-01-00 00:0:00</v>
      </c>
      <c r="L1069" s="78" t="str">
        <f t="shared" si="1016"/>
        <v>1900-01-00 00:0:00</v>
      </c>
      <c r="M1069" s="79">
        <f t="shared" si="1017"/>
        <v>0</v>
      </c>
      <c r="N1069">
        <f t="shared" si="1042"/>
        <v>1</v>
      </c>
      <c r="O1069" t="str">
        <f>IFERROR(_xlfn.XLOOKUP(A1069,HC!A:A,HC!C:C),"")</f>
        <v>Workforce</v>
      </c>
      <c r="R1069" s="78" t="b">
        <f t="shared" si="1018"/>
        <v>0</v>
      </c>
      <c r="S1069" s="78" t="b">
        <f t="shared" si="1019"/>
        <v>0</v>
      </c>
      <c r="T1069" s="78" t="b">
        <f t="shared" si="1020"/>
        <v>0</v>
      </c>
      <c r="U1069" s="78" t="b">
        <f t="shared" si="1021"/>
        <v>0</v>
      </c>
      <c r="V1069" s="78" t="b">
        <f t="shared" si="1022"/>
        <v>0</v>
      </c>
      <c r="W1069" s="78" t="b">
        <f t="shared" si="1023"/>
        <v>0</v>
      </c>
      <c r="X1069" s="78" t="b">
        <f t="shared" si="1024"/>
        <v>0</v>
      </c>
      <c r="Y1069" s="78" t="b">
        <f t="shared" si="1025"/>
        <v>0</v>
      </c>
      <c r="Z1069" s="78" t="b">
        <f t="shared" si="1026"/>
        <v>0</v>
      </c>
      <c r="AA1069" s="78" t="b">
        <f t="shared" si="1027"/>
        <v>0</v>
      </c>
      <c r="AB1069" s="78" t="b">
        <f t="shared" si="1028"/>
        <v>0</v>
      </c>
      <c r="AC1069" s="78" t="b">
        <f t="shared" si="1029"/>
        <v>0</v>
      </c>
      <c r="AD1069" s="78" t="b">
        <f t="shared" si="1030"/>
        <v>0</v>
      </c>
      <c r="AE1069" s="78" t="b">
        <f t="shared" si="1031"/>
        <v>0</v>
      </c>
      <c r="AF1069" s="78" t="b">
        <f t="shared" si="1032"/>
        <v>0</v>
      </c>
      <c r="AG1069" s="78" t="b">
        <f t="shared" si="1033"/>
        <v>0</v>
      </c>
      <c r="AH1069" s="78" t="b">
        <f t="shared" si="1034"/>
        <v>0</v>
      </c>
      <c r="AI1069" s="78" t="b">
        <f t="shared" si="1035"/>
        <v>0</v>
      </c>
      <c r="AJ1069" s="78" t="b">
        <f t="shared" si="1036"/>
        <v>0</v>
      </c>
      <c r="AK1069" s="78" t="b">
        <f t="shared" si="1037"/>
        <v>0</v>
      </c>
      <c r="AL1069" s="78" t="b">
        <f t="shared" si="1038"/>
        <v>0</v>
      </c>
      <c r="AM1069" s="78" t="b">
        <f t="shared" si="1039"/>
        <v>0</v>
      </c>
      <c r="AN1069" s="78" t="b">
        <f t="shared" si="1040"/>
        <v>0</v>
      </c>
      <c r="AO1069" s="78" t="b">
        <f t="shared" si="1041"/>
        <v>0</v>
      </c>
    </row>
    <row r="1070" spans="7:41" x14ac:dyDescent="0.35">
      <c r="G1070" s="77">
        <f t="shared" si="1011"/>
        <v>0</v>
      </c>
      <c r="H1070" s="78">
        <f t="shared" si="1012"/>
        <v>0</v>
      </c>
      <c r="I1070" s="77">
        <f t="shared" si="1013"/>
        <v>0</v>
      </c>
      <c r="J1070" s="78">
        <f t="shared" si="1014"/>
        <v>0</v>
      </c>
      <c r="K1070" s="78" t="str">
        <f t="shared" si="1015"/>
        <v>1900-01-00 00:0:00</v>
      </c>
      <c r="L1070" s="78" t="str">
        <f t="shared" si="1016"/>
        <v>1900-01-00 00:0:00</v>
      </c>
      <c r="M1070" s="79">
        <f t="shared" si="1017"/>
        <v>0</v>
      </c>
      <c r="N1070">
        <f t="shared" si="1042"/>
        <v>1</v>
      </c>
      <c r="O1070" t="str">
        <f>IFERROR(_xlfn.XLOOKUP(A1070,HC!A:A,HC!C:C),"")</f>
        <v>Workforce</v>
      </c>
      <c r="R1070" s="78" t="b">
        <f t="shared" si="1018"/>
        <v>0</v>
      </c>
      <c r="S1070" s="78" t="b">
        <f t="shared" si="1019"/>
        <v>0</v>
      </c>
      <c r="T1070" s="78" t="b">
        <f t="shared" si="1020"/>
        <v>0</v>
      </c>
      <c r="U1070" s="78" t="b">
        <f t="shared" si="1021"/>
        <v>0</v>
      </c>
      <c r="V1070" s="78" t="b">
        <f t="shared" si="1022"/>
        <v>0</v>
      </c>
      <c r="W1070" s="78" t="b">
        <f t="shared" si="1023"/>
        <v>0</v>
      </c>
      <c r="X1070" s="78" t="b">
        <f t="shared" si="1024"/>
        <v>0</v>
      </c>
      <c r="Y1070" s="78" t="b">
        <f t="shared" si="1025"/>
        <v>0</v>
      </c>
      <c r="Z1070" s="78" t="b">
        <f t="shared" si="1026"/>
        <v>0</v>
      </c>
      <c r="AA1070" s="78" t="b">
        <f t="shared" si="1027"/>
        <v>0</v>
      </c>
      <c r="AB1070" s="78" t="b">
        <f t="shared" si="1028"/>
        <v>0</v>
      </c>
      <c r="AC1070" s="78" t="b">
        <f t="shared" si="1029"/>
        <v>0</v>
      </c>
      <c r="AD1070" s="78" t="b">
        <f t="shared" si="1030"/>
        <v>0</v>
      </c>
      <c r="AE1070" s="78" t="b">
        <f t="shared" si="1031"/>
        <v>0</v>
      </c>
      <c r="AF1070" s="78" t="b">
        <f t="shared" si="1032"/>
        <v>0</v>
      </c>
      <c r="AG1070" s="78" t="b">
        <f t="shared" si="1033"/>
        <v>0</v>
      </c>
      <c r="AH1070" s="78" t="b">
        <f t="shared" si="1034"/>
        <v>0</v>
      </c>
      <c r="AI1070" s="78" t="b">
        <f t="shared" si="1035"/>
        <v>0</v>
      </c>
      <c r="AJ1070" s="78" t="b">
        <f t="shared" si="1036"/>
        <v>0</v>
      </c>
      <c r="AK1070" s="78" t="b">
        <f t="shared" si="1037"/>
        <v>0</v>
      </c>
      <c r="AL1070" s="78" t="b">
        <f t="shared" si="1038"/>
        <v>0</v>
      </c>
      <c r="AM1070" s="78" t="b">
        <f t="shared" si="1039"/>
        <v>0</v>
      </c>
      <c r="AN1070" s="78" t="b">
        <f t="shared" si="1040"/>
        <v>0</v>
      </c>
      <c r="AO1070" s="78" t="b">
        <f t="shared" si="1041"/>
        <v>0</v>
      </c>
    </row>
    <row r="1071" spans="7:41" x14ac:dyDescent="0.35">
      <c r="G1071" s="77">
        <f t="shared" si="1011"/>
        <v>0</v>
      </c>
      <c r="H1071" s="78">
        <f t="shared" si="1012"/>
        <v>0</v>
      </c>
      <c r="I1071" s="77">
        <f t="shared" si="1013"/>
        <v>0</v>
      </c>
      <c r="J1071" s="78">
        <f t="shared" si="1014"/>
        <v>0</v>
      </c>
      <c r="K1071" s="78" t="str">
        <f t="shared" si="1015"/>
        <v>1900-01-00 00:0:00</v>
      </c>
      <c r="L1071" s="78" t="str">
        <f t="shared" si="1016"/>
        <v>1900-01-00 00:0:00</v>
      </c>
      <c r="M1071" s="79">
        <f t="shared" si="1017"/>
        <v>0</v>
      </c>
      <c r="N1071">
        <f t="shared" si="1042"/>
        <v>1</v>
      </c>
      <c r="O1071" t="str">
        <f>IFERROR(_xlfn.XLOOKUP(A1071,HC!A:A,HC!C:C),"")</f>
        <v>Workforce</v>
      </c>
      <c r="R1071" s="78" t="b">
        <f t="shared" si="1018"/>
        <v>0</v>
      </c>
      <c r="S1071" s="78" t="b">
        <f t="shared" si="1019"/>
        <v>0</v>
      </c>
      <c r="T1071" s="78" t="b">
        <f t="shared" si="1020"/>
        <v>0</v>
      </c>
      <c r="U1071" s="78" t="b">
        <f t="shared" si="1021"/>
        <v>0</v>
      </c>
      <c r="V1071" s="78" t="b">
        <f t="shared" si="1022"/>
        <v>0</v>
      </c>
      <c r="W1071" s="78" t="b">
        <f t="shared" si="1023"/>
        <v>0</v>
      </c>
      <c r="X1071" s="78" t="b">
        <f t="shared" si="1024"/>
        <v>0</v>
      </c>
      <c r="Y1071" s="78" t="b">
        <f t="shared" si="1025"/>
        <v>0</v>
      </c>
      <c r="Z1071" s="78" t="b">
        <f t="shared" si="1026"/>
        <v>0</v>
      </c>
      <c r="AA1071" s="78" t="b">
        <f t="shared" si="1027"/>
        <v>0</v>
      </c>
      <c r="AB1071" s="78" t="b">
        <f t="shared" si="1028"/>
        <v>0</v>
      </c>
      <c r="AC1071" s="78" t="b">
        <f t="shared" si="1029"/>
        <v>0</v>
      </c>
      <c r="AD1071" s="78" t="b">
        <f t="shared" si="1030"/>
        <v>0</v>
      </c>
      <c r="AE1071" s="78" t="b">
        <f t="shared" si="1031"/>
        <v>0</v>
      </c>
      <c r="AF1071" s="78" t="b">
        <f t="shared" si="1032"/>
        <v>0</v>
      </c>
      <c r="AG1071" s="78" t="b">
        <f t="shared" si="1033"/>
        <v>0</v>
      </c>
      <c r="AH1071" s="78" t="b">
        <f t="shared" si="1034"/>
        <v>0</v>
      </c>
      <c r="AI1071" s="78" t="b">
        <f t="shared" si="1035"/>
        <v>0</v>
      </c>
      <c r="AJ1071" s="78" t="b">
        <f t="shared" si="1036"/>
        <v>0</v>
      </c>
      <c r="AK1071" s="78" t="b">
        <f t="shared" si="1037"/>
        <v>0</v>
      </c>
      <c r="AL1071" s="78" t="b">
        <f t="shared" si="1038"/>
        <v>0</v>
      </c>
      <c r="AM1071" s="78" t="b">
        <f t="shared" si="1039"/>
        <v>0</v>
      </c>
      <c r="AN1071" s="78" t="b">
        <f t="shared" si="1040"/>
        <v>0</v>
      </c>
      <c r="AO1071" s="78" t="b">
        <f t="shared" si="1041"/>
        <v>0</v>
      </c>
    </row>
    <row r="1072" spans="7:41" x14ac:dyDescent="0.35">
      <c r="G1072" s="77">
        <f t="shared" si="1011"/>
        <v>0</v>
      </c>
      <c r="H1072" s="78">
        <f t="shared" si="1012"/>
        <v>0</v>
      </c>
      <c r="I1072" s="77">
        <f t="shared" si="1013"/>
        <v>0</v>
      </c>
      <c r="J1072" s="78">
        <f t="shared" si="1014"/>
        <v>0</v>
      </c>
      <c r="K1072" s="78" t="str">
        <f t="shared" si="1015"/>
        <v>1900-01-00 00:0:00</v>
      </c>
      <c r="L1072" s="78" t="str">
        <f t="shared" si="1016"/>
        <v>1900-01-00 00:0:00</v>
      </c>
      <c r="M1072" s="79">
        <f t="shared" si="1017"/>
        <v>0</v>
      </c>
      <c r="N1072">
        <f t="shared" si="1042"/>
        <v>1</v>
      </c>
      <c r="O1072" t="str">
        <f>IFERROR(_xlfn.XLOOKUP(A1072,HC!A:A,HC!C:C),"")</f>
        <v>Workforce</v>
      </c>
      <c r="R1072" s="78" t="b">
        <f t="shared" si="1018"/>
        <v>0</v>
      </c>
      <c r="S1072" s="78" t="b">
        <f t="shared" si="1019"/>
        <v>0</v>
      </c>
      <c r="T1072" s="78" t="b">
        <f t="shared" si="1020"/>
        <v>0</v>
      </c>
      <c r="U1072" s="78" t="b">
        <f t="shared" si="1021"/>
        <v>0</v>
      </c>
      <c r="V1072" s="78" t="b">
        <f t="shared" si="1022"/>
        <v>0</v>
      </c>
      <c r="W1072" s="78" t="b">
        <f t="shared" si="1023"/>
        <v>0</v>
      </c>
      <c r="X1072" s="78" t="b">
        <f t="shared" si="1024"/>
        <v>0</v>
      </c>
      <c r="Y1072" s="78" t="b">
        <f t="shared" si="1025"/>
        <v>0</v>
      </c>
      <c r="Z1072" s="78" t="b">
        <f t="shared" si="1026"/>
        <v>0</v>
      </c>
      <c r="AA1072" s="78" t="b">
        <f t="shared" si="1027"/>
        <v>0</v>
      </c>
      <c r="AB1072" s="78" t="b">
        <f t="shared" si="1028"/>
        <v>0</v>
      </c>
      <c r="AC1072" s="78" t="b">
        <f t="shared" si="1029"/>
        <v>0</v>
      </c>
      <c r="AD1072" s="78" t="b">
        <f t="shared" si="1030"/>
        <v>0</v>
      </c>
      <c r="AE1072" s="78" t="b">
        <f t="shared" si="1031"/>
        <v>0</v>
      </c>
      <c r="AF1072" s="78" t="b">
        <f t="shared" si="1032"/>
        <v>0</v>
      </c>
      <c r="AG1072" s="78" t="b">
        <f t="shared" si="1033"/>
        <v>0</v>
      </c>
      <c r="AH1072" s="78" t="b">
        <f t="shared" si="1034"/>
        <v>0</v>
      </c>
      <c r="AI1072" s="78" t="b">
        <f t="shared" si="1035"/>
        <v>0</v>
      </c>
      <c r="AJ1072" s="78" t="b">
        <f t="shared" si="1036"/>
        <v>0</v>
      </c>
      <c r="AK1072" s="78" t="b">
        <f t="shared" si="1037"/>
        <v>0</v>
      </c>
      <c r="AL1072" s="78" t="b">
        <f t="shared" si="1038"/>
        <v>0</v>
      </c>
      <c r="AM1072" s="78" t="b">
        <f t="shared" si="1039"/>
        <v>0</v>
      </c>
      <c r="AN1072" s="78" t="b">
        <f t="shared" si="1040"/>
        <v>0</v>
      </c>
      <c r="AO1072" s="78" t="b">
        <f t="shared" si="1041"/>
        <v>0</v>
      </c>
    </row>
    <row r="1073" spans="7:41" x14ac:dyDescent="0.35">
      <c r="G1073" s="77">
        <f t="shared" si="1011"/>
        <v>0</v>
      </c>
      <c r="H1073" s="78">
        <f t="shared" si="1012"/>
        <v>0</v>
      </c>
      <c r="I1073" s="77">
        <f t="shared" si="1013"/>
        <v>0</v>
      </c>
      <c r="J1073" s="78">
        <f t="shared" si="1014"/>
        <v>0</v>
      </c>
      <c r="K1073" s="78" t="str">
        <f t="shared" si="1015"/>
        <v>1900-01-00 00:0:00</v>
      </c>
      <c r="L1073" s="78" t="str">
        <f t="shared" si="1016"/>
        <v>1900-01-00 00:0:00</v>
      </c>
      <c r="M1073" s="79">
        <f t="shared" si="1017"/>
        <v>0</v>
      </c>
      <c r="N1073">
        <f t="shared" si="1042"/>
        <v>1</v>
      </c>
      <c r="O1073" t="str">
        <f>IFERROR(_xlfn.XLOOKUP(A1073,HC!A:A,HC!C:C),"")</f>
        <v>Workforce</v>
      </c>
      <c r="R1073" s="78" t="b">
        <f t="shared" si="1018"/>
        <v>0</v>
      </c>
      <c r="S1073" s="78" t="b">
        <f t="shared" si="1019"/>
        <v>0</v>
      </c>
      <c r="T1073" s="78" t="b">
        <f t="shared" si="1020"/>
        <v>0</v>
      </c>
      <c r="U1073" s="78" t="b">
        <f t="shared" si="1021"/>
        <v>0</v>
      </c>
      <c r="V1073" s="78" t="b">
        <f t="shared" si="1022"/>
        <v>0</v>
      </c>
      <c r="W1073" s="78" t="b">
        <f t="shared" si="1023"/>
        <v>0</v>
      </c>
      <c r="X1073" s="78" t="b">
        <f t="shared" si="1024"/>
        <v>0</v>
      </c>
      <c r="Y1073" s="78" t="b">
        <f t="shared" si="1025"/>
        <v>0</v>
      </c>
      <c r="Z1073" s="78" t="b">
        <f t="shared" si="1026"/>
        <v>0</v>
      </c>
      <c r="AA1073" s="78" t="b">
        <f t="shared" si="1027"/>
        <v>0</v>
      </c>
      <c r="AB1073" s="78" t="b">
        <f t="shared" si="1028"/>
        <v>0</v>
      </c>
      <c r="AC1073" s="78" t="b">
        <f t="shared" si="1029"/>
        <v>0</v>
      </c>
      <c r="AD1073" s="78" t="b">
        <f t="shared" si="1030"/>
        <v>0</v>
      </c>
      <c r="AE1073" s="78" t="b">
        <f t="shared" si="1031"/>
        <v>0</v>
      </c>
      <c r="AF1073" s="78" t="b">
        <f t="shared" si="1032"/>
        <v>0</v>
      </c>
      <c r="AG1073" s="78" t="b">
        <f t="shared" si="1033"/>
        <v>0</v>
      </c>
      <c r="AH1073" s="78" t="b">
        <f t="shared" si="1034"/>
        <v>0</v>
      </c>
      <c r="AI1073" s="78" t="b">
        <f t="shared" si="1035"/>
        <v>0</v>
      </c>
      <c r="AJ1073" s="78" t="b">
        <f t="shared" si="1036"/>
        <v>0</v>
      </c>
      <c r="AK1073" s="78" t="b">
        <f t="shared" si="1037"/>
        <v>0</v>
      </c>
      <c r="AL1073" s="78" t="b">
        <f t="shared" si="1038"/>
        <v>0</v>
      </c>
      <c r="AM1073" s="78" t="b">
        <f t="shared" si="1039"/>
        <v>0</v>
      </c>
      <c r="AN1073" s="78" t="b">
        <f t="shared" si="1040"/>
        <v>0</v>
      </c>
      <c r="AO1073" s="78" t="b">
        <f t="shared" si="1041"/>
        <v>0</v>
      </c>
    </row>
    <row r="1074" spans="7:41" x14ac:dyDescent="0.35">
      <c r="G1074" s="77">
        <f t="shared" si="1011"/>
        <v>0</v>
      </c>
      <c r="H1074" s="78">
        <f t="shared" si="1012"/>
        <v>0</v>
      </c>
      <c r="I1074" s="77">
        <f t="shared" si="1013"/>
        <v>0</v>
      </c>
      <c r="J1074" s="78">
        <f t="shared" si="1014"/>
        <v>0</v>
      </c>
      <c r="K1074" s="78" t="str">
        <f t="shared" si="1015"/>
        <v>1900-01-00 00:0:00</v>
      </c>
      <c r="L1074" s="78" t="str">
        <f t="shared" si="1016"/>
        <v>1900-01-00 00:0:00</v>
      </c>
      <c r="M1074" s="79">
        <f t="shared" si="1017"/>
        <v>0</v>
      </c>
      <c r="N1074">
        <f t="shared" si="1042"/>
        <v>1</v>
      </c>
      <c r="O1074" t="str">
        <f>IFERROR(_xlfn.XLOOKUP(A1074,HC!A:A,HC!C:C),"")</f>
        <v>Workforce</v>
      </c>
      <c r="R1074" s="78" t="b">
        <f t="shared" si="1018"/>
        <v>0</v>
      </c>
      <c r="S1074" s="78" t="b">
        <f t="shared" si="1019"/>
        <v>0</v>
      </c>
      <c r="T1074" s="78" t="b">
        <f t="shared" si="1020"/>
        <v>0</v>
      </c>
      <c r="U1074" s="78" t="b">
        <f t="shared" si="1021"/>
        <v>0</v>
      </c>
      <c r="V1074" s="78" t="b">
        <f t="shared" si="1022"/>
        <v>0</v>
      </c>
      <c r="W1074" s="78" t="b">
        <f t="shared" si="1023"/>
        <v>0</v>
      </c>
      <c r="X1074" s="78" t="b">
        <f t="shared" si="1024"/>
        <v>0</v>
      </c>
      <c r="Y1074" s="78" t="b">
        <f t="shared" si="1025"/>
        <v>0</v>
      </c>
      <c r="Z1074" s="78" t="b">
        <f t="shared" si="1026"/>
        <v>0</v>
      </c>
      <c r="AA1074" s="78" t="b">
        <f t="shared" si="1027"/>
        <v>0</v>
      </c>
      <c r="AB1074" s="78" t="b">
        <f t="shared" si="1028"/>
        <v>0</v>
      </c>
      <c r="AC1074" s="78" t="b">
        <f t="shared" si="1029"/>
        <v>0</v>
      </c>
      <c r="AD1074" s="78" t="b">
        <f t="shared" si="1030"/>
        <v>0</v>
      </c>
      <c r="AE1074" s="78" t="b">
        <f t="shared" si="1031"/>
        <v>0</v>
      </c>
      <c r="AF1074" s="78" t="b">
        <f t="shared" si="1032"/>
        <v>0</v>
      </c>
      <c r="AG1074" s="78" t="b">
        <f t="shared" si="1033"/>
        <v>0</v>
      </c>
      <c r="AH1074" s="78" t="b">
        <f t="shared" si="1034"/>
        <v>0</v>
      </c>
      <c r="AI1074" s="78" t="b">
        <f t="shared" si="1035"/>
        <v>0</v>
      </c>
      <c r="AJ1074" s="78" t="b">
        <f t="shared" si="1036"/>
        <v>0</v>
      </c>
      <c r="AK1074" s="78" t="b">
        <f t="shared" si="1037"/>
        <v>0</v>
      </c>
      <c r="AL1074" s="78" t="b">
        <f t="shared" si="1038"/>
        <v>0</v>
      </c>
      <c r="AM1074" s="78" t="b">
        <f t="shared" si="1039"/>
        <v>0</v>
      </c>
      <c r="AN1074" s="78" t="b">
        <f t="shared" si="1040"/>
        <v>0</v>
      </c>
      <c r="AO1074" s="78" t="b">
        <f t="shared" si="1041"/>
        <v>0</v>
      </c>
    </row>
    <row r="1075" spans="7:41" x14ac:dyDescent="0.35">
      <c r="G1075" s="77">
        <f t="shared" si="1011"/>
        <v>0</v>
      </c>
      <c r="H1075" s="78">
        <f t="shared" si="1012"/>
        <v>0</v>
      </c>
      <c r="I1075" s="77">
        <f t="shared" si="1013"/>
        <v>0</v>
      </c>
      <c r="J1075" s="78">
        <f t="shared" si="1014"/>
        <v>0</v>
      </c>
      <c r="K1075" s="78" t="str">
        <f t="shared" si="1015"/>
        <v>1900-01-00 00:0:00</v>
      </c>
      <c r="L1075" s="78" t="str">
        <f t="shared" si="1016"/>
        <v>1900-01-00 00:0:00</v>
      </c>
      <c r="M1075" s="79">
        <f t="shared" si="1017"/>
        <v>0</v>
      </c>
      <c r="N1075">
        <f t="shared" si="1042"/>
        <v>1</v>
      </c>
      <c r="O1075" t="str">
        <f>IFERROR(_xlfn.XLOOKUP(A1075,HC!A:A,HC!C:C),"")</f>
        <v>Workforce</v>
      </c>
      <c r="R1075" s="78" t="b">
        <f t="shared" si="1018"/>
        <v>0</v>
      </c>
      <c r="S1075" s="78" t="b">
        <f t="shared" si="1019"/>
        <v>0</v>
      </c>
      <c r="T1075" s="78" t="b">
        <f t="shared" si="1020"/>
        <v>0</v>
      </c>
      <c r="U1075" s="78" t="b">
        <f t="shared" si="1021"/>
        <v>0</v>
      </c>
      <c r="V1075" s="78" t="b">
        <f t="shared" si="1022"/>
        <v>0</v>
      </c>
      <c r="W1075" s="78" t="b">
        <f t="shared" si="1023"/>
        <v>0</v>
      </c>
      <c r="X1075" s="78" t="b">
        <f t="shared" si="1024"/>
        <v>0</v>
      </c>
      <c r="Y1075" s="78" t="b">
        <f t="shared" si="1025"/>
        <v>0</v>
      </c>
      <c r="Z1075" s="78" t="b">
        <f t="shared" si="1026"/>
        <v>0</v>
      </c>
      <c r="AA1075" s="78" t="b">
        <f t="shared" si="1027"/>
        <v>0</v>
      </c>
      <c r="AB1075" s="78" t="b">
        <f t="shared" si="1028"/>
        <v>0</v>
      </c>
      <c r="AC1075" s="78" t="b">
        <f t="shared" si="1029"/>
        <v>0</v>
      </c>
      <c r="AD1075" s="78" t="b">
        <f t="shared" si="1030"/>
        <v>0</v>
      </c>
      <c r="AE1075" s="78" t="b">
        <f t="shared" si="1031"/>
        <v>0</v>
      </c>
      <c r="AF1075" s="78" t="b">
        <f t="shared" si="1032"/>
        <v>0</v>
      </c>
      <c r="AG1075" s="78" t="b">
        <f t="shared" si="1033"/>
        <v>0</v>
      </c>
      <c r="AH1075" s="78" t="b">
        <f t="shared" si="1034"/>
        <v>0</v>
      </c>
      <c r="AI1075" s="78" t="b">
        <f t="shared" si="1035"/>
        <v>0</v>
      </c>
      <c r="AJ1075" s="78" t="b">
        <f t="shared" si="1036"/>
        <v>0</v>
      </c>
      <c r="AK1075" s="78" t="b">
        <f t="shared" si="1037"/>
        <v>0</v>
      </c>
      <c r="AL1075" s="78" t="b">
        <f t="shared" si="1038"/>
        <v>0</v>
      </c>
      <c r="AM1075" s="78" t="b">
        <f t="shared" si="1039"/>
        <v>0</v>
      </c>
      <c r="AN1075" s="78" t="b">
        <f t="shared" si="1040"/>
        <v>0</v>
      </c>
      <c r="AO1075" s="78" t="b">
        <f t="shared" si="1041"/>
        <v>0</v>
      </c>
    </row>
    <row r="1076" spans="7:41" x14ac:dyDescent="0.35">
      <c r="G1076" s="77">
        <f t="shared" si="1011"/>
        <v>0</v>
      </c>
      <c r="H1076" s="78">
        <f t="shared" si="1012"/>
        <v>0</v>
      </c>
      <c r="I1076" s="77">
        <f t="shared" si="1013"/>
        <v>0</v>
      </c>
      <c r="J1076" s="78">
        <f t="shared" si="1014"/>
        <v>0</v>
      </c>
      <c r="K1076" s="78" t="str">
        <f t="shared" si="1015"/>
        <v>1900-01-00 00:0:00</v>
      </c>
      <c r="L1076" s="78" t="str">
        <f t="shared" si="1016"/>
        <v>1900-01-00 00:0:00</v>
      </c>
      <c r="M1076" s="79">
        <f t="shared" si="1017"/>
        <v>0</v>
      </c>
      <c r="N1076">
        <f t="shared" si="1042"/>
        <v>1</v>
      </c>
      <c r="O1076" t="str">
        <f>IFERROR(_xlfn.XLOOKUP(A1076,HC!A:A,HC!C:C),"")</f>
        <v>Workforce</v>
      </c>
      <c r="R1076" s="78" t="b">
        <f t="shared" si="1018"/>
        <v>0</v>
      </c>
      <c r="S1076" s="78" t="b">
        <f t="shared" si="1019"/>
        <v>0</v>
      </c>
      <c r="T1076" s="78" t="b">
        <f t="shared" si="1020"/>
        <v>0</v>
      </c>
      <c r="U1076" s="78" t="b">
        <f t="shared" si="1021"/>
        <v>0</v>
      </c>
      <c r="V1076" s="78" t="b">
        <f t="shared" si="1022"/>
        <v>0</v>
      </c>
      <c r="W1076" s="78" t="b">
        <f t="shared" si="1023"/>
        <v>0</v>
      </c>
      <c r="X1076" s="78" t="b">
        <f t="shared" si="1024"/>
        <v>0</v>
      </c>
      <c r="Y1076" s="78" t="b">
        <f t="shared" si="1025"/>
        <v>0</v>
      </c>
      <c r="Z1076" s="78" t="b">
        <f t="shared" si="1026"/>
        <v>0</v>
      </c>
      <c r="AA1076" s="78" t="b">
        <f t="shared" si="1027"/>
        <v>0</v>
      </c>
      <c r="AB1076" s="78" t="b">
        <f t="shared" si="1028"/>
        <v>0</v>
      </c>
      <c r="AC1076" s="78" t="b">
        <f t="shared" si="1029"/>
        <v>0</v>
      </c>
      <c r="AD1076" s="78" t="b">
        <f t="shared" si="1030"/>
        <v>0</v>
      </c>
      <c r="AE1076" s="78" t="b">
        <f t="shared" si="1031"/>
        <v>0</v>
      </c>
      <c r="AF1076" s="78" t="b">
        <f t="shared" si="1032"/>
        <v>0</v>
      </c>
      <c r="AG1076" s="78" t="b">
        <f t="shared" si="1033"/>
        <v>0</v>
      </c>
      <c r="AH1076" s="78" t="b">
        <f t="shared" si="1034"/>
        <v>0</v>
      </c>
      <c r="AI1076" s="78" t="b">
        <f t="shared" si="1035"/>
        <v>0</v>
      </c>
      <c r="AJ1076" s="78" t="b">
        <f t="shared" si="1036"/>
        <v>0</v>
      </c>
      <c r="AK1076" s="78" t="b">
        <f t="shared" si="1037"/>
        <v>0</v>
      </c>
      <c r="AL1076" s="78" t="b">
        <f t="shared" si="1038"/>
        <v>0</v>
      </c>
      <c r="AM1076" s="78" t="b">
        <f t="shared" si="1039"/>
        <v>0</v>
      </c>
      <c r="AN1076" s="78" t="b">
        <f t="shared" si="1040"/>
        <v>0</v>
      </c>
      <c r="AO1076" s="78" t="b">
        <f t="shared" si="1041"/>
        <v>0</v>
      </c>
    </row>
    <row r="1077" spans="7:41" x14ac:dyDescent="0.35">
      <c r="G1077" s="77">
        <f t="shared" si="1011"/>
        <v>0</v>
      </c>
      <c r="H1077" s="78">
        <f t="shared" si="1012"/>
        <v>0</v>
      </c>
      <c r="I1077" s="77">
        <f t="shared" si="1013"/>
        <v>0</v>
      </c>
      <c r="J1077" s="78">
        <f t="shared" si="1014"/>
        <v>0</v>
      </c>
      <c r="K1077" s="78" t="str">
        <f t="shared" si="1015"/>
        <v>1900-01-00 00:0:00</v>
      </c>
      <c r="L1077" s="78" t="str">
        <f t="shared" si="1016"/>
        <v>1900-01-00 00:0:00</v>
      </c>
      <c r="M1077" s="79">
        <f t="shared" si="1017"/>
        <v>0</v>
      </c>
      <c r="N1077">
        <f t="shared" si="1042"/>
        <v>1</v>
      </c>
      <c r="O1077" t="str">
        <f>IFERROR(_xlfn.XLOOKUP(A1077,HC!A:A,HC!C:C),"")</f>
        <v>Workforce</v>
      </c>
      <c r="R1077" s="78" t="b">
        <f t="shared" si="1018"/>
        <v>0</v>
      </c>
      <c r="S1077" s="78" t="b">
        <f t="shared" si="1019"/>
        <v>0</v>
      </c>
      <c r="T1077" s="78" t="b">
        <f t="shared" si="1020"/>
        <v>0</v>
      </c>
      <c r="U1077" s="78" t="b">
        <f t="shared" si="1021"/>
        <v>0</v>
      </c>
      <c r="V1077" s="78" t="b">
        <f t="shared" si="1022"/>
        <v>0</v>
      </c>
      <c r="W1077" s="78" t="b">
        <f t="shared" si="1023"/>
        <v>0</v>
      </c>
      <c r="X1077" s="78" t="b">
        <f t="shared" si="1024"/>
        <v>0</v>
      </c>
      <c r="Y1077" s="78" t="b">
        <f t="shared" si="1025"/>
        <v>0</v>
      </c>
      <c r="Z1077" s="78" t="b">
        <f t="shared" si="1026"/>
        <v>0</v>
      </c>
      <c r="AA1077" s="78" t="b">
        <f t="shared" si="1027"/>
        <v>0</v>
      </c>
      <c r="AB1077" s="78" t="b">
        <f t="shared" si="1028"/>
        <v>0</v>
      </c>
      <c r="AC1077" s="78" t="b">
        <f t="shared" si="1029"/>
        <v>0</v>
      </c>
      <c r="AD1077" s="78" t="b">
        <f t="shared" si="1030"/>
        <v>0</v>
      </c>
      <c r="AE1077" s="78" t="b">
        <f t="shared" si="1031"/>
        <v>0</v>
      </c>
      <c r="AF1077" s="78" t="b">
        <f t="shared" si="1032"/>
        <v>0</v>
      </c>
      <c r="AG1077" s="78" t="b">
        <f t="shared" si="1033"/>
        <v>0</v>
      </c>
      <c r="AH1077" s="78" t="b">
        <f t="shared" si="1034"/>
        <v>0</v>
      </c>
      <c r="AI1077" s="78" t="b">
        <f t="shared" si="1035"/>
        <v>0</v>
      </c>
      <c r="AJ1077" s="78" t="b">
        <f t="shared" si="1036"/>
        <v>0</v>
      </c>
      <c r="AK1077" s="78" t="b">
        <f t="shared" si="1037"/>
        <v>0</v>
      </c>
      <c r="AL1077" s="78" t="b">
        <f t="shared" si="1038"/>
        <v>0</v>
      </c>
      <c r="AM1077" s="78" t="b">
        <f t="shared" si="1039"/>
        <v>0</v>
      </c>
      <c r="AN1077" s="78" t="b">
        <f t="shared" si="1040"/>
        <v>0</v>
      </c>
      <c r="AO1077" s="78" t="b">
        <f t="shared" si="1041"/>
        <v>0</v>
      </c>
    </row>
    <row r="1078" spans="7:41" x14ac:dyDescent="0.35">
      <c r="G1078" s="77">
        <f t="shared" si="1011"/>
        <v>0</v>
      </c>
      <c r="H1078" s="78">
        <f t="shared" si="1012"/>
        <v>0</v>
      </c>
      <c r="I1078" s="77">
        <f t="shared" si="1013"/>
        <v>0</v>
      </c>
      <c r="J1078" s="78">
        <f t="shared" si="1014"/>
        <v>0</v>
      </c>
      <c r="K1078" s="78" t="str">
        <f t="shared" si="1015"/>
        <v>1900-01-00 00:0:00</v>
      </c>
      <c r="L1078" s="78" t="str">
        <f t="shared" si="1016"/>
        <v>1900-01-00 00:0:00</v>
      </c>
      <c r="M1078" s="79">
        <f t="shared" si="1017"/>
        <v>0</v>
      </c>
      <c r="N1078">
        <f t="shared" si="1042"/>
        <v>1</v>
      </c>
      <c r="O1078" t="str">
        <f>IFERROR(_xlfn.XLOOKUP(A1078,HC!A:A,HC!C:C),"")</f>
        <v>Workforce</v>
      </c>
      <c r="R1078" s="78" t="b">
        <f t="shared" si="1018"/>
        <v>0</v>
      </c>
      <c r="S1078" s="78" t="b">
        <f t="shared" si="1019"/>
        <v>0</v>
      </c>
      <c r="T1078" s="78" t="b">
        <f t="shared" si="1020"/>
        <v>0</v>
      </c>
      <c r="U1078" s="78" t="b">
        <f t="shared" si="1021"/>
        <v>0</v>
      </c>
      <c r="V1078" s="78" t="b">
        <f t="shared" si="1022"/>
        <v>0</v>
      </c>
      <c r="W1078" s="78" t="b">
        <f t="shared" si="1023"/>
        <v>0</v>
      </c>
      <c r="X1078" s="78" t="b">
        <f t="shared" si="1024"/>
        <v>0</v>
      </c>
      <c r="Y1078" s="78" t="b">
        <f t="shared" si="1025"/>
        <v>0</v>
      </c>
      <c r="Z1078" s="78" t="b">
        <f t="shared" si="1026"/>
        <v>0</v>
      </c>
      <c r="AA1078" s="78" t="b">
        <f t="shared" si="1027"/>
        <v>0</v>
      </c>
      <c r="AB1078" s="78" t="b">
        <f t="shared" si="1028"/>
        <v>0</v>
      </c>
      <c r="AC1078" s="78" t="b">
        <f t="shared" si="1029"/>
        <v>0</v>
      </c>
      <c r="AD1078" s="78" t="b">
        <f t="shared" si="1030"/>
        <v>0</v>
      </c>
      <c r="AE1078" s="78" t="b">
        <f t="shared" si="1031"/>
        <v>0</v>
      </c>
      <c r="AF1078" s="78" t="b">
        <f t="shared" si="1032"/>
        <v>0</v>
      </c>
      <c r="AG1078" s="78" t="b">
        <f t="shared" si="1033"/>
        <v>0</v>
      </c>
      <c r="AH1078" s="78" t="b">
        <f t="shared" si="1034"/>
        <v>0</v>
      </c>
      <c r="AI1078" s="78" t="b">
        <f t="shared" si="1035"/>
        <v>0</v>
      </c>
      <c r="AJ1078" s="78" t="b">
        <f t="shared" si="1036"/>
        <v>0</v>
      </c>
      <c r="AK1078" s="78" t="b">
        <f t="shared" si="1037"/>
        <v>0</v>
      </c>
      <c r="AL1078" s="78" t="b">
        <f t="shared" si="1038"/>
        <v>0</v>
      </c>
      <c r="AM1078" s="78" t="b">
        <f t="shared" si="1039"/>
        <v>0</v>
      </c>
      <c r="AN1078" s="78" t="b">
        <f t="shared" si="1040"/>
        <v>0</v>
      </c>
      <c r="AO1078" s="78" t="b">
        <f t="shared" si="1041"/>
        <v>0</v>
      </c>
    </row>
    <row r="1079" spans="7:41" x14ac:dyDescent="0.35">
      <c r="G1079" s="77">
        <f t="shared" si="1011"/>
        <v>0</v>
      </c>
      <c r="H1079" s="78">
        <f t="shared" si="1012"/>
        <v>0</v>
      </c>
      <c r="I1079" s="77">
        <f t="shared" si="1013"/>
        <v>0</v>
      </c>
      <c r="J1079" s="78">
        <f t="shared" si="1014"/>
        <v>0</v>
      </c>
      <c r="K1079" s="78" t="str">
        <f t="shared" si="1015"/>
        <v>1900-01-00 00:0:00</v>
      </c>
      <c r="L1079" s="78" t="str">
        <f t="shared" si="1016"/>
        <v>1900-01-00 00:0:00</v>
      </c>
      <c r="M1079" s="79">
        <f t="shared" si="1017"/>
        <v>0</v>
      </c>
      <c r="N1079">
        <f t="shared" si="1042"/>
        <v>1</v>
      </c>
      <c r="O1079" t="str">
        <f>IFERROR(_xlfn.XLOOKUP(A1079,HC!A:A,HC!C:C),"")</f>
        <v>Workforce</v>
      </c>
      <c r="R1079" s="78" t="b">
        <f t="shared" si="1018"/>
        <v>0</v>
      </c>
      <c r="S1079" s="78" t="b">
        <f t="shared" si="1019"/>
        <v>0</v>
      </c>
      <c r="T1079" s="78" t="b">
        <f t="shared" si="1020"/>
        <v>0</v>
      </c>
      <c r="U1079" s="78" t="b">
        <f t="shared" si="1021"/>
        <v>0</v>
      </c>
      <c r="V1079" s="78" t="b">
        <f t="shared" si="1022"/>
        <v>0</v>
      </c>
      <c r="W1079" s="78" t="b">
        <f t="shared" si="1023"/>
        <v>0</v>
      </c>
      <c r="X1079" s="78" t="b">
        <f t="shared" si="1024"/>
        <v>0</v>
      </c>
      <c r="Y1079" s="78" t="b">
        <f t="shared" si="1025"/>
        <v>0</v>
      </c>
      <c r="Z1079" s="78" t="b">
        <f t="shared" si="1026"/>
        <v>0</v>
      </c>
      <c r="AA1079" s="78" t="b">
        <f t="shared" si="1027"/>
        <v>0</v>
      </c>
      <c r="AB1079" s="78" t="b">
        <f t="shared" si="1028"/>
        <v>0</v>
      </c>
      <c r="AC1079" s="78" t="b">
        <f t="shared" si="1029"/>
        <v>0</v>
      </c>
      <c r="AD1079" s="78" t="b">
        <f t="shared" si="1030"/>
        <v>0</v>
      </c>
      <c r="AE1079" s="78" t="b">
        <f t="shared" si="1031"/>
        <v>0</v>
      </c>
      <c r="AF1079" s="78" t="b">
        <f t="shared" si="1032"/>
        <v>0</v>
      </c>
      <c r="AG1079" s="78" t="b">
        <f t="shared" si="1033"/>
        <v>0</v>
      </c>
      <c r="AH1079" s="78" t="b">
        <f t="shared" si="1034"/>
        <v>0</v>
      </c>
      <c r="AI1079" s="78" t="b">
        <f t="shared" si="1035"/>
        <v>0</v>
      </c>
      <c r="AJ1079" s="78" t="b">
        <f t="shared" si="1036"/>
        <v>0</v>
      </c>
      <c r="AK1079" s="78" t="b">
        <f t="shared" si="1037"/>
        <v>0</v>
      </c>
      <c r="AL1079" s="78" t="b">
        <f t="shared" si="1038"/>
        <v>0</v>
      </c>
      <c r="AM1079" s="78" t="b">
        <f t="shared" si="1039"/>
        <v>0</v>
      </c>
      <c r="AN1079" s="78" t="b">
        <f t="shared" si="1040"/>
        <v>0</v>
      </c>
      <c r="AO1079" s="78" t="b">
        <f t="shared" si="1041"/>
        <v>0</v>
      </c>
    </row>
    <row r="1080" spans="7:41" x14ac:dyDescent="0.35">
      <c r="G1080" s="77">
        <f t="shared" si="1011"/>
        <v>0</v>
      </c>
      <c r="H1080" s="78">
        <f t="shared" si="1012"/>
        <v>0</v>
      </c>
      <c r="I1080" s="77">
        <f t="shared" si="1013"/>
        <v>0</v>
      </c>
      <c r="J1080" s="78">
        <f t="shared" si="1014"/>
        <v>0</v>
      </c>
      <c r="K1080" s="78" t="str">
        <f t="shared" si="1015"/>
        <v>1900-01-00 00:0:00</v>
      </c>
      <c r="L1080" s="78" t="str">
        <f t="shared" si="1016"/>
        <v>1900-01-00 00:0:00</v>
      </c>
      <c r="M1080" s="79">
        <f t="shared" si="1017"/>
        <v>0</v>
      </c>
      <c r="N1080">
        <f t="shared" si="1042"/>
        <v>1</v>
      </c>
      <c r="O1080" t="str">
        <f>IFERROR(_xlfn.XLOOKUP(A1080,HC!A:A,HC!C:C),"")</f>
        <v>Workforce</v>
      </c>
      <c r="R1080" s="78" t="b">
        <f t="shared" si="1018"/>
        <v>0</v>
      </c>
      <c r="S1080" s="78" t="b">
        <f t="shared" si="1019"/>
        <v>0</v>
      </c>
      <c r="T1080" s="78" t="b">
        <f t="shared" si="1020"/>
        <v>0</v>
      </c>
      <c r="U1080" s="78" t="b">
        <f t="shared" si="1021"/>
        <v>0</v>
      </c>
      <c r="V1080" s="78" t="b">
        <f t="shared" si="1022"/>
        <v>0</v>
      </c>
      <c r="W1080" s="78" t="b">
        <f t="shared" si="1023"/>
        <v>0</v>
      </c>
      <c r="X1080" s="78" t="b">
        <f t="shared" si="1024"/>
        <v>0</v>
      </c>
      <c r="Y1080" s="78" t="b">
        <f t="shared" si="1025"/>
        <v>0</v>
      </c>
      <c r="Z1080" s="78" t="b">
        <f t="shared" si="1026"/>
        <v>0</v>
      </c>
      <c r="AA1080" s="78" t="b">
        <f t="shared" si="1027"/>
        <v>0</v>
      </c>
      <c r="AB1080" s="78" t="b">
        <f t="shared" si="1028"/>
        <v>0</v>
      </c>
      <c r="AC1080" s="78" t="b">
        <f t="shared" si="1029"/>
        <v>0</v>
      </c>
      <c r="AD1080" s="78" t="b">
        <f t="shared" si="1030"/>
        <v>0</v>
      </c>
      <c r="AE1080" s="78" t="b">
        <f t="shared" si="1031"/>
        <v>0</v>
      </c>
      <c r="AF1080" s="78" t="b">
        <f t="shared" si="1032"/>
        <v>0</v>
      </c>
      <c r="AG1080" s="78" t="b">
        <f t="shared" si="1033"/>
        <v>0</v>
      </c>
      <c r="AH1080" s="78" t="b">
        <f t="shared" si="1034"/>
        <v>0</v>
      </c>
      <c r="AI1080" s="78" t="b">
        <f t="shared" si="1035"/>
        <v>0</v>
      </c>
      <c r="AJ1080" s="78" t="b">
        <f t="shared" si="1036"/>
        <v>0</v>
      </c>
      <c r="AK1080" s="78" t="b">
        <f t="shared" si="1037"/>
        <v>0</v>
      </c>
      <c r="AL1080" s="78" t="b">
        <f t="shared" si="1038"/>
        <v>0</v>
      </c>
      <c r="AM1080" s="78" t="b">
        <f t="shared" si="1039"/>
        <v>0</v>
      </c>
      <c r="AN1080" s="78" t="b">
        <f t="shared" si="1040"/>
        <v>0</v>
      </c>
      <c r="AO1080" s="78" t="b">
        <f t="shared" si="1041"/>
        <v>0</v>
      </c>
    </row>
    <row r="1081" spans="7:41" x14ac:dyDescent="0.35">
      <c r="G1081" s="77">
        <f t="shared" si="1011"/>
        <v>0</v>
      </c>
      <c r="H1081" s="78">
        <f t="shared" si="1012"/>
        <v>0</v>
      </c>
      <c r="I1081" s="77">
        <f t="shared" si="1013"/>
        <v>0</v>
      </c>
      <c r="J1081" s="78">
        <f t="shared" si="1014"/>
        <v>0</v>
      </c>
      <c r="K1081" s="78" t="str">
        <f t="shared" si="1015"/>
        <v>1900-01-00 00:0:00</v>
      </c>
      <c r="L1081" s="78" t="str">
        <f t="shared" si="1016"/>
        <v>1900-01-00 00:0:00</v>
      </c>
      <c r="M1081" s="79">
        <f t="shared" si="1017"/>
        <v>0</v>
      </c>
      <c r="N1081">
        <f t="shared" si="1042"/>
        <v>1</v>
      </c>
      <c r="O1081" t="str">
        <f>IFERROR(_xlfn.XLOOKUP(A1081,HC!A:A,HC!C:C),"")</f>
        <v>Workforce</v>
      </c>
      <c r="R1081" s="78" t="b">
        <f t="shared" si="1018"/>
        <v>0</v>
      </c>
      <c r="S1081" s="78" t="b">
        <f t="shared" si="1019"/>
        <v>0</v>
      </c>
      <c r="T1081" s="78" t="b">
        <f t="shared" si="1020"/>
        <v>0</v>
      </c>
      <c r="U1081" s="78" t="b">
        <f t="shared" si="1021"/>
        <v>0</v>
      </c>
      <c r="V1081" s="78" t="b">
        <f t="shared" si="1022"/>
        <v>0</v>
      </c>
      <c r="W1081" s="78" t="b">
        <f t="shared" si="1023"/>
        <v>0</v>
      </c>
      <c r="X1081" s="78" t="b">
        <f t="shared" si="1024"/>
        <v>0</v>
      </c>
      <c r="Y1081" s="78" t="b">
        <f t="shared" si="1025"/>
        <v>0</v>
      </c>
      <c r="Z1081" s="78" t="b">
        <f t="shared" si="1026"/>
        <v>0</v>
      </c>
      <c r="AA1081" s="78" t="b">
        <f t="shared" si="1027"/>
        <v>0</v>
      </c>
      <c r="AB1081" s="78" t="b">
        <f t="shared" si="1028"/>
        <v>0</v>
      </c>
      <c r="AC1081" s="78" t="b">
        <f t="shared" si="1029"/>
        <v>0</v>
      </c>
      <c r="AD1081" s="78" t="b">
        <f t="shared" si="1030"/>
        <v>0</v>
      </c>
      <c r="AE1081" s="78" t="b">
        <f t="shared" si="1031"/>
        <v>0</v>
      </c>
      <c r="AF1081" s="78" t="b">
        <f t="shared" si="1032"/>
        <v>0</v>
      </c>
      <c r="AG1081" s="78" t="b">
        <f t="shared" si="1033"/>
        <v>0</v>
      </c>
      <c r="AH1081" s="78" t="b">
        <f t="shared" si="1034"/>
        <v>0</v>
      </c>
      <c r="AI1081" s="78" t="b">
        <f t="shared" si="1035"/>
        <v>0</v>
      </c>
      <c r="AJ1081" s="78" t="b">
        <f t="shared" si="1036"/>
        <v>0</v>
      </c>
      <c r="AK1081" s="78" t="b">
        <f t="shared" si="1037"/>
        <v>0</v>
      </c>
      <c r="AL1081" s="78" t="b">
        <f t="shared" si="1038"/>
        <v>0</v>
      </c>
      <c r="AM1081" s="78" t="b">
        <f t="shared" si="1039"/>
        <v>0</v>
      </c>
      <c r="AN1081" s="78" t="b">
        <f t="shared" si="1040"/>
        <v>0</v>
      </c>
      <c r="AO1081" s="78" t="b">
        <f t="shared" si="1041"/>
        <v>0</v>
      </c>
    </row>
    <row r="1082" spans="7:41" x14ac:dyDescent="0.35">
      <c r="G1082" s="77">
        <f t="shared" ref="G1082:G1145" si="1043">INT(D1082)</f>
        <v>0</v>
      </c>
      <c r="H1082" s="78">
        <f t="shared" ref="H1082:H1145" si="1044">D1082-G1082</f>
        <v>0</v>
      </c>
      <c r="I1082" s="77">
        <f t="shared" ref="I1082:I1145" si="1045">INT(E1082)</f>
        <v>0</v>
      </c>
      <c r="J1082" s="78">
        <f t="shared" ref="J1082:J1145" si="1046">E1082-I1082</f>
        <v>0</v>
      </c>
      <c r="K1082" s="78" t="str">
        <f t="shared" ref="K1082:K1145" si="1047">TEXT(G1082+H1082,"yyyy-mm-dd hh:m:ss")</f>
        <v>1900-01-00 00:0:00</v>
      </c>
      <c r="L1082" s="78" t="str">
        <f t="shared" ref="L1082:L1145" si="1048">TEXT(I1082+J1082,"yyyy-mm-dd hh:m:ss")</f>
        <v>1900-01-00 00:0:00</v>
      </c>
      <c r="M1082" s="79">
        <f t="shared" ref="M1082:M1145" si="1049">E1082-D1082</f>
        <v>0</v>
      </c>
      <c r="N1082">
        <f t="shared" si="1042"/>
        <v>1</v>
      </c>
      <c r="O1082" t="str">
        <f>IFERROR(_xlfn.XLOOKUP(A1082,HC!A:A,HC!C:C),"")</f>
        <v>Workforce</v>
      </c>
      <c r="R1082" s="78" t="b">
        <f t="shared" si="1018"/>
        <v>0</v>
      </c>
      <c r="S1082" s="78" t="b">
        <f t="shared" si="1019"/>
        <v>0</v>
      </c>
      <c r="T1082" s="78" t="b">
        <f t="shared" si="1020"/>
        <v>0</v>
      </c>
      <c r="U1082" s="78" t="b">
        <f t="shared" si="1021"/>
        <v>0</v>
      </c>
      <c r="V1082" s="78" t="b">
        <f t="shared" si="1022"/>
        <v>0</v>
      </c>
      <c r="W1082" s="78" t="b">
        <f t="shared" si="1023"/>
        <v>0</v>
      </c>
      <c r="X1082" s="78" t="b">
        <f t="shared" si="1024"/>
        <v>0</v>
      </c>
      <c r="Y1082" s="78" t="b">
        <f t="shared" si="1025"/>
        <v>0</v>
      </c>
      <c r="Z1082" s="78" t="b">
        <f t="shared" si="1026"/>
        <v>0</v>
      </c>
      <c r="AA1082" s="78" t="b">
        <f t="shared" si="1027"/>
        <v>0</v>
      </c>
      <c r="AB1082" s="78" t="b">
        <f t="shared" si="1028"/>
        <v>0</v>
      </c>
      <c r="AC1082" s="78" t="b">
        <f t="shared" si="1029"/>
        <v>0</v>
      </c>
      <c r="AD1082" s="78" t="b">
        <f t="shared" si="1030"/>
        <v>0</v>
      </c>
      <c r="AE1082" s="78" t="b">
        <f t="shared" si="1031"/>
        <v>0</v>
      </c>
      <c r="AF1082" s="78" t="b">
        <f t="shared" si="1032"/>
        <v>0</v>
      </c>
      <c r="AG1082" s="78" t="b">
        <f t="shared" si="1033"/>
        <v>0</v>
      </c>
      <c r="AH1082" s="78" t="b">
        <f t="shared" si="1034"/>
        <v>0</v>
      </c>
      <c r="AI1082" s="78" t="b">
        <f t="shared" si="1035"/>
        <v>0</v>
      </c>
      <c r="AJ1082" s="78" t="b">
        <f t="shared" si="1036"/>
        <v>0</v>
      </c>
      <c r="AK1082" s="78" t="b">
        <f t="shared" si="1037"/>
        <v>0</v>
      </c>
      <c r="AL1082" s="78" t="b">
        <f t="shared" si="1038"/>
        <v>0</v>
      </c>
      <c r="AM1082" s="78" t="b">
        <f t="shared" si="1039"/>
        <v>0</v>
      </c>
      <c r="AN1082" s="78" t="b">
        <f t="shared" si="1040"/>
        <v>0</v>
      </c>
      <c r="AO1082" s="78" t="b">
        <f t="shared" si="1041"/>
        <v>0</v>
      </c>
    </row>
    <row r="1083" spans="7:41" x14ac:dyDescent="0.35">
      <c r="G1083" s="77">
        <f t="shared" si="1043"/>
        <v>0</v>
      </c>
      <c r="H1083" s="78">
        <f t="shared" si="1044"/>
        <v>0</v>
      </c>
      <c r="I1083" s="77">
        <f t="shared" si="1045"/>
        <v>0</v>
      </c>
      <c r="J1083" s="78">
        <f t="shared" si="1046"/>
        <v>0</v>
      </c>
      <c r="K1083" s="78" t="str">
        <f t="shared" si="1047"/>
        <v>1900-01-00 00:0:00</v>
      </c>
      <c r="L1083" s="78" t="str">
        <f t="shared" si="1048"/>
        <v>1900-01-00 00:0:00</v>
      </c>
      <c r="M1083" s="79">
        <f t="shared" si="1049"/>
        <v>0</v>
      </c>
      <c r="N1083">
        <f t="shared" si="1042"/>
        <v>1</v>
      </c>
      <c r="O1083" t="str">
        <f>IFERROR(_xlfn.XLOOKUP(A1083,HC!A:A,HC!C:C),"")</f>
        <v>Workforce</v>
      </c>
      <c r="R1083" s="78" t="b">
        <f t="shared" si="1018"/>
        <v>0</v>
      </c>
      <c r="S1083" s="78" t="b">
        <f t="shared" si="1019"/>
        <v>0</v>
      </c>
      <c r="T1083" s="78" t="b">
        <f t="shared" si="1020"/>
        <v>0</v>
      </c>
      <c r="U1083" s="78" t="b">
        <f t="shared" si="1021"/>
        <v>0</v>
      </c>
      <c r="V1083" s="78" t="b">
        <f t="shared" si="1022"/>
        <v>0</v>
      </c>
      <c r="W1083" s="78" t="b">
        <f t="shared" si="1023"/>
        <v>0</v>
      </c>
      <c r="X1083" s="78" t="b">
        <f t="shared" si="1024"/>
        <v>0</v>
      </c>
      <c r="Y1083" s="78" t="b">
        <f t="shared" si="1025"/>
        <v>0</v>
      </c>
      <c r="Z1083" s="78" t="b">
        <f t="shared" si="1026"/>
        <v>0</v>
      </c>
      <c r="AA1083" s="78" t="b">
        <f t="shared" si="1027"/>
        <v>0</v>
      </c>
      <c r="AB1083" s="78" t="b">
        <f t="shared" si="1028"/>
        <v>0</v>
      </c>
      <c r="AC1083" s="78" t="b">
        <f t="shared" si="1029"/>
        <v>0</v>
      </c>
      <c r="AD1083" s="78" t="b">
        <f t="shared" si="1030"/>
        <v>0</v>
      </c>
      <c r="AE1083" s="78" t="b">
        <f t="shared" si="1031"/>
        <v>0</v>
      </c>
      <c r="AF1083" s="78" t="b">
        <f t="shared" si="1032"/>
        <v>0</v>
      </c>
      <c r="AG1083" s="78" t="b">
        <f t="shared" si="1033"/>
        <v>0</v>
      </c>
      <c r="AH1083" s="78" t="b">
        <f t="shared" si="1034"/>
        <v>0</v>
      </c>
      <c r="AI1083" s="78" t="b">
        <f t="shared" si="1035"/>
        <v>0</v>
      </c>
      <c r="AJ1083" s="78" t="b">
        <f t="shared" si="1036"/>
        <v>0</v>
      </c>
      <c r="AK1083" s="78" t="b">
        <f t="shared" si="1037"/>
        <v>0</v>
      </c>
      <c r="AL1083" s="78" t="b">
        <f t="shared" si="1038"/>
        <v>0</v>
      </c>
      <c r="AM1083" s="78" t="b">
        <f t="shared" si="1039"/>
        <v>0</v>
      </c>
      <c r="AN1083" s="78" t="b">
        <f t="shared" si="1040"/>
        <v>0</v>
      </c>
      <c r="AO1083" s="78" t="b">
        <f t="shared" si="1041"/>
        <v>0</v>
      </c>
    </row>
    <row r="1084" spans="7:41" x14ac:dyDescent="0.35">
      <c r="G1084" s="77">
        <f t="shared" si="1043"/>
        <v>0</v>
      </c>
      <c r="H1084" s="78">
        <f t="shared" si="1044"/>
        <v>0</v>
      </c>
      <c r="I1084" s="77">
        <f t="shared" si="1045"/>
        <v>0</v>
      </c>
      <c r="J1084" s="78">
        <f t="shared" si="1046"/>
        <v>0</v>
      </c>
      <c r="K1084" s="78" t="str">
        <f t="shared" si="1047"/>
        <v>1900-01-00 00:0:00</v>
      </c>
      <c r="L1084" s="78" t="str">
        <f t="shared" si="1048"/>
        <v>1900-01-00 00:0:00</v>
      </c>
      <c r="M1084" s="79">
        <f t="shared" si="1049"/>
        <v>0</v>
      </c>
      <c r="N1084">
        <f t="shared" si="1042"/>
        <v>1</v>
      </c>
      <c r="O1084" t="str">
        <f>IFERROR(_xlfn.XLOOKUP(A1084,HC!A:A,HC!C:C),"")</f>
        <v>Workforce</v>
      </c>
      <c r="R1084" s="78" t="b">
        <f t="shared" ref="R1084:R1147" si="1050">IFERROR(IF($B1084=$D$1,IF(AND($K1084&lt;R$1,$L1084&lt;R$1),"",IF(AND($K1084&gt;S$1,$L1084&gt;S$1),"",IF(AND($K1084&lt;R$1,$L1084&lt;=S$1),$L1084-R$1,IF(AND($K1084&gt;=R$1,$L1084&gt;S$1),S$1-$K1084,IF(AND($K1084&gt;=R$1,$L1084&lt;=S$1),$L1084-$K1084,IF(AND($K1084&lt;R$1,$L1084&gt;S$1),S$1-R$1,""))))))),"")</f>
        <v>0</v>
      </c>
      <c r="S1084" s="78" t="b">
        <f t="shared" ref="S1084:S1147" si="1051">IFERROR(IF($B1084=$D$1,IF(AND($K1084&lt;S$1,$L1084&lt;S$1),"",IF(AND($K1084&gt;T$1,$L1084&gt;T$1),"",IF(AND($K1084&lt;S$1,$L1084&lt;=T$1),$L1084-S$1,IF(AND($K1084&gt;=S$1,$L1084&gt;T$1),T$1-$K1084,IF(AND($K1084&gt;=S$1,$L1084&lt;=T$1),$L1084-$K1084,IF(AND($K1084&lt;S$1,$L1084&gt;T$1),T$1-S$1,""))))))),"")</f>
        <v>0</v>
      </c>
      <c r="T1084" s="78" t="b">
        <f t="shared" ref="T1084:T1147" si="1052">IFERROR(IF($B1084=$D$1,IF(AND($K1084&lt;T$1,$L1084&lt;T$1),"",IF(AND($K1084&gt;U$1,$L1084&gt;U$1),"",IF(AND($K1084&lt;T$1,$L1084&lt;=U$1),$L1084-T$1,IF(AND($K1084&gt;=T$1,$L1084&gt;U$1),U$1-$K1084,IF(AND($K1084&gt;=T$1,$L1084&lt;=U$1),$L1084-$K1084,IF(AND($K1084&lt;T$1,$L1084&gt;U$1),U$1-T$1,""))))))),"")</f>
        <v>0</v>
      </c>
      <c r="U1084" s="78" t="b">
        <f t="shared" ref="U1084:U1147" si="1053">IFERROR(IF($B1084=$D$1,IF(AND($K1084&lt;U$1,$L1084&lt;U$1),"",IF(AND($K1084&gt;V$1,$L1084&gt;V$1),"",IF(AND($K1084&lt;U$1,$L1084&lt;=V$1),$L1084-U$1,IF(AND($K1084&gt;=U$1,$L1084&gt;V$1),V$1-$K1084,IF(AND($K1084&gt;=U$1,$L1084&lt;=V$1),$L1084-$K1084,IF(AND($K1084&lt;U$1,$L1084&gt;V$1),V$1-U$1,""))))))),"")</f>
        <v>0</v>
      </c>
      <c r="V1084" s="78" t="b">
        <f t="shared" ref="V1084:V1147" si="1054">IFERROR(IF($B1084=$D$1,IF(AND($K1084&lt;V$1,$L1084&lt;V$1),"",IF(AND($K1084&gt;W$1,$L1084&gt;W$1),"",IF(AND($K1084&lt;V$1,$L1084&lt;=W$1),$L1084-V$1,IF(AND($K1084&gt;=V$1,$L1084&gt;W$1),W$1-$K1084,IF(AND($K1084&gt;=V$1,$L1084&lt;=W$1),$L1084-$K1084,IF(AND($K1084&lt;V$1,$L1084&gt;W$1),W$1-V$1,""))))))),"")</f>
        <v>0</v>
      </c>
      <c r="W1084" s="78" t="b">
        <f t="shared" ref="W1084:W1147" si="1055">IFERROR(IF($B1084=$D$1,IF(AND($K1084&lt;W$1,$L1084&lt;W$1),"",IF(AND($K1084&gt;X$1,$L1084&gt;X$1),"",IF(AND($K1084&lt;W$1,$L1084&lt;=X$1),$L1084-W$1,IF(AND($K1084&gt;=W$1,$L1084&gt;X$1),X$1-$K1084,IF(AND($K1084&gt;=W$1,$L1084&lt;=X$1),$L1084-$K1084,IF(AND($K1084&lt;W$1,$L1084&gt;X$1),X$1-W$1,""))))))),"")</f>
        <v>0</v>
      </c>
      <c r="X1084" s="78" t="b">
        <f t="shared" ref="X1084:X1147" si="1056">IFERROR(IF($B1084=$D$1,IF(AND($K1084&lt;X$1,$L1084&lt;X$1),"",IF(AND($K1084&gt;Y$1,$L1084&gt;Y$1),"",IF(AND($K1084&lt;X$1,$L1084&lt;=Y$1),$L1084-X$1,IF(AND($K1084&gt;=X$1,$L1084&gt;Y$1),Y$1-$K1084,IF(AND($K1084&gt;=X$1,$L1084&lt;=Y$1),$L1084-$K1084,IF(AND($K1084&lt;X$1,$L1084&gt;Y$1),Y$1-X$1,""))))))),"")</f>
        <v>0</v>
      </c>
      <c r="Y1084" s="78" t="b">
        <f t="shared" ref="Y1084:Y1147" si="1057">IFERROR(IF($B1084=$D$1,IF(AND($K1084&lt;Y$1,$L1084&lt;Y$1),"",IF(AND($K1084&gt;Z$1,$L1084&gt;Z$1),"",IF(AND($K1084&lt;Y$1,$L1084&lt;=Z$1),$L1084-Y$1,IF(AND($K1084&gt;=Y$1,$L1084&gt;Z$1),Z$1-$K1084,IF(AND($K1084&gt;=Y$1,$L1084&lt;=Z$1),$L1084-$K1084,IF(AND($K1084&lt;Y$1,$L1084&gt;Z$1),Z$1-Y$1,""))))))),"")</f>
        <v>0</v>
      </c>
      <c r="Z1084" s="78" t="b">
        <f t="shared" ref="Z1084:Z1147" si="1058">IFERROR(IF($B1084=$D$1,IF(AND($K1084&lt;Z$1,$L1084&lt;Z$1),"",IF(AND($K1084&gt;AA$1,$L1084&gt;AA$1),"",IF(AND($K1084&lt;Z$1,$L1084&lt;=AA$1),$L1084-Z$1,IF(AND($K1084&gt;=Z$1,$L1084&gt;AA$1),AA$1-$K1084,IF(AND($K1084&gt;=Z$1,$L1084&lt;=AA$1),$L1084-$K1084,IF(AND($K1084&lt;Z$1,$L1084&gt;AA$1),AA$1-Z$1,""))))))),"")</f>
        <v>0</v>
      </c>
      <c r="AA1084" s="78" t="b">
        <f t="shared" ref="AA1084:AA1147" si="1059">IFERROR(IF($B1084=$D$1,IF(AND($K1084&lt;AA$1,$L1084&lt;AA$1),"",IF(AND($K1084&gt;AB$1,$L1084&gt;AB$1),"",IF(AND($K1084&lt;AA$1,$L1084&lt;=AB$1),$L1084-AA$1,IF(AND($K1084&gt;=AA$1,$L1084&gt;AB$1),AB$1-$K1084,IF(AND($K1084&gt;=AA$1,$L1084&lt;=AB$1),$L1084-$K1084,IF(AND($K1084&lt;AA$1,$L1084&gt;AB$1),AB$1-AA$1,""))))))),"")</f>
        <v>0</v>
      </c>
      <c r="AB1084" s="78" t="b">
        <f t="shared" ref="AB1084:AB1147" si="1060">IFERROR(IF($B1084=$D$1,IF(AND($K1084&lt;AB$1,$L1084&lt;AB$1),"",IF(AND($K1084&gt;AC$1,$L1084&gt;AC$1),"",IF(AND($K1084&lt;AB$1,$L1084&lt;=AC$1),$L1084-AB$1,IF(AND($K1084&gt;=AB$1,$L1084&gt;AC$1),AC$1-$K1084,IF(AND($K1084&gt;=AB$1,$L1084&lt;=AC$1),$L1084-$K1084,IF(AND($K1084&lt;AB$1,$L1084&gt;AC$1),AC$1-AB$1,""))))))),"")</f>
        <v>0</v>
      </c>
      <c r="AC1084" s="78" t="b">
        <f t="shared" ref="AC1084:AC1147" si="1061">IFERROR(IF($B1084=$D$1,IF(AND($K1084&lt;AC$1,$L1084&lt;AC$1),"",IF(AND($K1084&gt;AD$1,$L1084&gt;AD$1),"",IF(AND($K1084&lt;AC$1,$L1084&lt;=AD$1),$L1084-AC$1,IF(AND($K1084&gt;=AC$1,$L1084&gt;AD$1),AD$1-$K1084,IF(AND($K1084&gt;=AC$1,$L1084&lt;=AD$1),$L1084-$K1084,IF(AND($K1084&lt;AC$1,$L1084&gt;AD$1),AD$1-AC$1,""))))))),"")</f>
        <v>0</v>
      </c>
      <c r="AD1084" s="78" t="b">
        <f t="shared" ref="AD1084:AD1147" si="1062">IFERROR(IF($B1084=$D$1,IF(AND($K1084&lt;AD$1,$L1084&lt;AD$1),"",IF(AND($K1084&gt;AE$1,$L1084&gt;AE$1),"",IF(AND($K1084&lt;AD$1,$L1084&lt;=AE$1),$L1084-AD$1,IF(AND($K1084&gt;=AD$1,$L1084&gt;AE$1),AE$1-$K1084,IF(AND($K1084&gt;=AD$1,$L1084&lt;=AE$1),$L1084-$K1084,IF(AND($K1084&lt;AD$1,$L1084&gt;AE$1),AE$1-AD$1,""))))))),"")</f>
        <v>0</v>
      </c>
      <c r="AE1084" s="78" t="b">
        <f t="shared" ref="AE1084:AE1147" si="1063">IFERROR(IF($B1084=$D$1,IF(AND($K1084&lt;AE$1,$L1084&lt;AE$1),"",IF(AND($K1084&gt;AF$1,$L1084&gt;AF$1),"",IF(AND($K1084&lt;AE$1,$L1084&lt;=AF$1),$L1084-AE$1,IF(AND($K1084&gt;=AE$1,$L1084&gt;AF$1),AF$1-$K1084,IF(AND($K1084&gt;=AE$1,$L1084&lt;=AF$1),$L1084-$K1084,IF(AND($K1084&lt;AE$1,$L1084&gt;AF$1),AF$1-AE$1,""))))))),"")</f>
        <v>0</v>
      </c>
      <c r="AF1084" s="78" t="b">
        <f t="shared" ref="AF1084:AF1147" si="1064">IFERROR(IF($B1084=$D$1,IF(AND($K1084&lt;AF$1,$L1084&lt;AF$1),"",IF(AND($K1084&gt;AG$1,$L1084&gt;AG$1),"",IF(AND($K1084&lt;AF$1,$L1084&lt;=AG$1),$L1084-AF$1,IF(AND($K1084&gt;=AF$1,$L1084&gt;AG$1),AG$1-$K1084,IF(AND($K1084&gt;=AF$1,$L1084&lt;=AG$1),$L1084-$K1084,IF(AND($K1084&lt;AF$1,$L1084&gt;AG$1),AG$1-AF$1,""))))))),"")</f>
        <v>0</v>
      </c>
      <c r="AG1084" s="78" t="b">
        <f t="shared" ref="AG1084:AG1147" si="1065">IFERROR(IF($B1084=$D$1,IF(AND($K1084&lt;AG$1,$L1084&lt;AG$1),"",IF(AND($K1084&gt;AH$1,$L1084&gt;AH$1),"",IF(AND($K1084&lt;AG$1,$L1084&lt;=AH$1),$L1084-AG$1,IF(AND($K1084&gt;=AG$1,$L1084&gt;AH$1),AH$1-$K1084,IF(AND($K1084&gt;=AG$1,$L1084&lt;=AH$1),$L1084-$K1084,IF(AND($K1084&lt;AG$1,$L1084&gt;AH$1),AH$1-AG$1,""))))))),"")</f>
        <v>0</v>
      </c>
      <c r="AH1084" s="78" t="b">
        <f t="shared" ref="AH1084:AH1147" si="1066">IFERROR(IF($B1084=$D$1,IF(AND($K1084&lt;AH$1,$L1084&lt;AH$1),"",IF(AND($K1084&gt;AI$1,$L1084&gt;AI$1),"",IF(AND($K1084&lt;AH$1,$L1084&lt;=AI$1),$L1084-AH$1,IF(AND($K1084&gt;=AH$1,$L1084&gt;AI$1),AI$1-$K1084,IF(AND($K1084&gt;=AH$1,$L1084&lt;=AI$1),$L1084-$K1084,IF(AND($K1084&lt;AH$1,$L1084&gt;AI$1),AI$1-AH$1,""))))))),"")</f>
        <v>0</v>
      </c>
      <c r="AI1084" s="78" t="b">
        <f t="shared" ref="AI1084:AI1147" si="1067">IFERROR(IF($B1084=$D$1,IF(AND($K1084&lt;AI$1,$L1084&lt;AI$1),"",IF(AND($K1084&gt;AJ$1,$L1084&gt;AJ$1),"",IF(AND($K1084&lt;AI$1,$L1084&lt;=AJ$1),$L1084-AI$1,IF(AND($K1084&gt;=AI$1,$L1084&gt;AJ$1),AJ$1-$K1084,IF(AND($K1084&gt;=AI$1,$L1084&lt;=AJ$1),$L1084-$K1084,IF(AND($K1084&lt;AI$1,$L1084&gt;AJ$1),AJ$1-AI$1,""))))))),"")</f>
        <v>0</v>
      </c>
      <c r="AJ1084" s="78" t="b">
        <f t="shared" ref="AJ1084:AJ1147" si="1068">IFERROR(IF($B1084=$D$1,IF(AND($K1084&lt;AJ$1,$L1084&lt;AJ$1),"",IF(AND($K1084&gt;AK$1,$L1084&gt;AK$1),"",IF(AND($K1084&lt;AJ$1,$L1084&lt;=AK$1),$L1084-AJ$1,IF(AND($K1084&gt;=AJ$1,$L1084&gt;AK$1),AK$1-$K1084,IF(AND($K1084&gt;=AJ$1,$L1084&lt;=AK$1),$L1084-$K1084,IF(AND($K1084&lt;AJ$1,$L1084&gt;AK$1),AK$1-AJ$1,""))))))),"")</f>
        <v>0</v>
      </c>
      <c r="AK1084" s="78" t="b">
        <f t="shared" ref="AK1084:AK1147" si="1069">IFERROR(IF($B1084=$D$1,IF(AND($K1084&lt;AK$1,$L1084&lt;AK$1),"",IF(AND($K1084&gt;AL$1,$L1084&gt;AL$1),"",IF(AND($K1084&lt;AK$1,$L1084&lt;=AL$1),$L1084-AK$1,IF(AND($K1084&gt;=AK$1,$L1084&gt;AL$1),AL$1-$K1084,IF(AND($K1084&gt;=AK$1,$L1084&lt;=AL$1),$L1084-$K1084,IF(AND($K1084&lt;AK$1,$L1084&gt;AL$1),AL$1-AK$1,""))))))),"")</f>
        <v>0</v>
      </c>
      <c r="AL1084" s="78" t="b">
        <f t="shared" ref="AL1084:AL1147" si="1070">IFERROR(IF($B1084=$D$1,IF(AND($K1084&lt;AL$1,$L1084&lt;AL$1),"",IF(AND($K1084&gt;AM$1,$L1084&gt;AM$1),"",IF(AND($K1084&lt;AL$1,$L1084&lt;=AM$1),$L1084-AL$1,IF(AND($K1084&gt;=AL$1,$L1084&gt;AM$1),AM$1-$K1084,IF(AND($K1084&gt;=AL$1,$L1084&lt;=AM$1),$L1084-$K1084,IF(AND($K1084&lt;AL$1,$L1084&gt;AM$1),AM$1-AL$1,""))))))),"")</f>
        <v>0</v>
      </c>
      <c r="AM1084" s="78" t="b">
        <f t="shared" ref="AM1084:AM1147" si="1071">IFERROR(IF($B1084=$D$1,IF(AND($K1084&lt;AM$1,$L1084&lt;AM$1),"",IF(AND($K1084&gt;AN$1,$L1084&gt;AN$1),"",IF(AND($K1084&lt;AM$1,$L1084&lt;=AN$1),$L1084-AM$1,IF(AND($K1084&gt;=AM$1,$L1084&gt;AN$1),AN$1-$K1084,IF(AND($K1084&gt;=AM$1,$L1084&lt;=AN$1),$L1084-$K1084,IF(AND($K1084&lt;AM$1,$L1084&gt;AN$1),AN$1-AM$1,""))))))),"")</f>
        <v>0</v>
      </c>
      <c r="AN1084" s="78" t="b">
        <f t="shared" ref="AN1084:AN1147" si="1072">IFERROR(IF($B1084=$D$1,IF(AND($K1084&lt;AN$1,$L1084&lt;AN$1),"",IF(AND($K1084&gt;AO$1,$L1084&gt;AO$1),"",IF(AND($K1084&lt;AN$1,$L1084&lt;=AO$1),$L1084-AN$1,IF(AND($K1084&gt;=AN$1,$L1084&gt;AO$1),AO$1-$K1084,IF(AND($K1084&gt;=AN$1,$L1084&lt;=AO$1),$L1084-$K1084,IF(AND($K1084&lt;AN$1,$L1084&gt;AO$1),AO$1-AN$1,""))))))),"")</f>
        <v>0</v>
      </c>
      <c r="AO1084" s="78" t="b">
        <f t="shared" ref="AO1084:AO1147" si="1073">IFERROR(IF($B1084=$D$1,IF(AND($K1084&lt;AO$1,$L1084&lt;AO$1),"",IF(AND($K1084&gt;AP$1,$L1084&gt;AP$1),"",IF(AND($K1084&lt;AO$1,$L1084&lt;=AP$1),$L1084-AO$1,IF(AND($K1084&gt;=AO$1,$L1084&gt;AP$1),AP$1-$K1084,IF(AND($K1084&gt;=AO$1,$L1084&lt;=AP$1),$L1084-$K1084,IF(AND($K1084&lt;AO$1,$L1084&gt;AP$1),AP$1-AO$1,""))))))),"")</f>
        <v>0</v>
      </c>
    </row>
    <row r="1085" spans="7:41" x14ac:dyDescent="0.35">
      <c r="G1085" s="77">
        <f t="shared" si="1043"/>
        <v>0</v>
      </c>
      <c r="H1085" s="78">
        <f t="shared" si="1044"/>
        <v>0</v>
      </c>
      <c r="I1085" s="77">
        <f t="shared" si="1045"/>
        <v>0</v>
      </c>
      <c r="J1085" s="78">
        <f t="shared" si="1046"/>
        <v>0</v>
      </c>
      <c r="K1085" s="78" t="str">
        <f t="shared" si="1047"/>
        <v>1900-01-00 00:0:00</v>
      </c>
      <c r="L1085" s="78" t="str">
        <f t="shared" si="1048"/>
        <v>1900-01-00 00:0:00</v>
      </c>
      <c r="M1085" s="79">
        <f t="shared" si="1049"/>
        <v>0</v>
      </c>
      <c r="N1085">
        <f t="shared" si="1042"/>
        <v>1</v>
      </c>
      <c r="O1085" t="str">
        <f>IFERROR(_xlfn.XLOOKUP(A1085,HC!A:A,HC!C:C),"")</f>
        <v>Workforce</v>
      </c>
      <c r="R1085" s="78" t="b">
        <f t="shared" si="1050"/>
        <v>0</v>
      </c>
      <c r="S1085" s="78" t="b">
        <f t="shared" si="1051"/>
        <v>0</v>
      </c>
      <c r="T1085" s="78" t="b">
        <f t="shared" si="1052"/>
        <v>0</v>
      </c>
      <c r="U1085" s="78" t="b">
        <f t="shared" si="1053"/>
        <v>0</v>
      </c>
      <c r="V1085" s="78" t="b">
        <f t="shared" si="1054"/>
        <v>0</v>
      </c>
      <c r="W1085" s="78" t="b">
        <f t="shared" si="1055"/>
        <v>0</v>
      </c>
      <c r="X1085" s="78" t="b">
        <f t="shared" si="1056"/>
        <v>0</v>
      </c>
      <c r="Y1085" s="78" t="b">
        <f t="shared" si="1057"/>
        <v>0</v>
      </c>
      <c r="Z1085" s="78" t="b">
        <f t="shared" si="1058"/>
        <v>0</v>
      </c>
      <c r="AA1085" s="78" t="b">
        <f t="shared" si="1059"/>
        <v>0</v>
      </c>
      <c r="AB1085" s="78" t="b">
        <f t="shared" si="1060"/>
        <v>0</v>
      </c>
      <c r="AC1085" s="78" t="b">
        <f t="shared" si="1061"/>
        <v>0</v>
      </c>
      <c r="AD1085" s="78" t="b">
        <f t="shared" si="1062"/>
        <v>0</v>
      </c>
      <c r="AE1085" s="78" t="b">
        <f t="shared" si="1063"/>
        <v>0</v>
      </c>
      <c r="AF1085" s="78" t="b">
        <f t="shared" si="1064"/>
        <v>0</v>
      </c>
      <c r="AG1085" s="78" t="b">
        <f t="shared" si="1065"/>
        <v>0</v>
      </c>
      <c r="AH1085" s="78" t="b">
        <f t="shared" si="1066"/>
        <v>0</v>
      </c>
      <c r="AI1085" s="78" t="b">
        <f t="shared" si="1067"/>
        <v>0</v>
      </c>
      <c r="AJ1085" s="78" t="b">
        <f t="shared" si="1068"/>
        <v>0</v>
      </c>
      <c r="AK1085" s="78" t="b">
        <f t="shared" si="1069"/>
        <v>0</v>
      </c>
      <c r="AL1085" s="78" t="b">
        <f t="shared" si="1070"/>
        <v>0</v>
      </c>
      <c r="AM1085" s="78" t="b">
        <f t="shared" si="1071"/>
        <v>0</v>
      </c>
      <c r="AN1085" s="78" t="b">
        <f t="shared" si="1072"/>
        <v>0</v>
      </c>
      <c r="AO1085" s="78" t="b">
        <f t="shared" si="1073"/>
        <v>0</v>
      </c>
    </row>
    <row r="1086" spans="7:41" x14ac:dyDescent="0.35">
      <c r="G1086" s="77">
        <f t="shared" si="1043"/>
        <v>0</v>
      </c>
      <c r="H1086" s="78">
        <f t="shared" si="1044"/>
        <v>0</v>
      </c>
      <c r="I1086" s="77">
        <f t="shared" si="1045"/>
        <v>0</v>
      </c>
      <c r="J1086" s="78">
        <f t="shared" si="1046"/>
        <v>0</v>
      </c>
      <c r="K1086" s="78" t="str">
        <f t="shared" si="1047"/>
        <v>1900-01-00 00:0:00</v>
      </c>
      <c r="L1086" s="78" t="str">
        <f t="shared" si="1048"/>
        <v>1900-01-00 00:0:00</v>
      </c>
      <c r="M1086" s="79">
        <f t="shared" si="1049"/>
        <v>0</v>
      </c>
      <c r="N1086">
        <f t="shared" si="1042"/>
        <v>1</v>
      </c>
      <c r="O1086" t="str">
        <f>IFERROR(_xlfn.XLOOKUP(A1086,HC!A:A,HC!C:C),"")</f>
        <v>Workforce</v>
      </c>
      <c r="R1086" s="78" t="b">
        <f t="shared" si="1050"/>
        <v>0</v>
      </c>
      <c r="S1086" s="78" t="b">
        <f t="shared" si="1051"/>
        <v>0</v>
      </c>
      <c r="T1086" s="78" t="b">
        <f t="shared" si="1052"/>
        <v>0</v>
      </c>
      <c r="U1086" s="78" t="b">
        <f t="shared" si="1053"/>
        <v>0</v>
      </c>
      <c r="V1086" s="78" t="b">
        <f t="shared" si="1054"/>
        <v>0</v>
      </c>
      <c r="W1086" s="78" t="b">
        <f t="shared" si="1055"/>
        <v>0</v>
      </c>
      <c r="X1086" s="78" t="b">
        <f t="shared" si="1056"/>
        <v>0</v>
      </c>
      <c r="Y1086" s="78" t="b">
        <f t="shared" si="1057"/>
        <v>0</v>
      </c>
      <c r="Z1086" s="78" t="b">
        <f t="shared" si="1058"/>
        <v>0</v>
      </c>
      <c r="AA1086" s="78" t="b">
        <f t="shared" si="1059"/>
        <v>0</v>
      </c>
      <c r="AB1086" s="78" t="b">
        <f t="shared" si="1060"/>
        <v>0</v>
      </c>
      <c r="AC1086" s="78" t="b">
        <f t="shared" si="1061"/>
        <v>0</v>
      </c>
      <c r="AD1086" s="78" t="b">
        <f t="shared" si="1062"/>
        <v>0</v>
      </c>
      <c r="AE1086" s="78" t="b">
        <f t="shared" si="1063"/>
        <v>0</v>
      </c>
      <c r="AF1086" s="78" t="b">
        <f t="shared" si="1064"/>
        <v>0</v>
      </c>
      <c r="AG1086" s="78" t="b">
        <f t="shared" si="1065"/>
        <v>0</v>
      </c>
      <c r="AH1086" s="78" t="b">
        <f t="shared" si="1066"/>
        <v>0</v>
      </c>
      <c r="AI1086" s="78" t="b">
        <f t="shared" si="1067"/>
        <v>0</v>
      </c>
      <c r="AJ1086" s="78" t="b">
        <f t="shared" si="1068"/>
        <v>0</v>
      </c>
      <c r="AK1086" s="78" t="b">
        <f t="shared" si="1069"/>
        <v>0</v>
      </c>
      <c r="AL1086" s="78" t="b">
        <f t="shared" si="1070"/>
        <v>0</v>
      </c>
      <c r="AM1086" s="78" t="b">
        <f t="shared" si="1071"/>
        <v>0</v>
      </c>
      <c r="AN1086" s="78" t="b">
        <f t="shared" si="1072"/>
        <v>0</v>
      </c>
      <c r="AO1086" s="78" t="b">
        <f t="shared" si="1073"/>
        <v>0</v>
      </c>
    </row>
    <row r="1087" spans="7:41" x14ac:dyDescent="0.35">
      <c r="G1087" s="77">
        <f t="shared" si="1043"/>
        <v>0</v>
      </c>
      <c r="H1087" s="78">
        <f t="shared" si="1044"/>
        <v>0</v>
      </c>
      <c r="I1087" s="77">
        <f t="shared" si="1045"/>
        <v>0</v>
      </c>
      <c r="J1087" s="78">
        <f t="shared" si="1046"/>
        <v>0</v>
      </c>
      <c r="K1087" s="78" t="str">
        <f t="shared" si="1047"/>
        <v>1900-01-00 00:0:00</v>
      </c>
      <c r="L1087" s="78" t="str">
        <f t="shared" si="1048"/>
        <v>1900-01-00 00:0:00</v>
      </c>
      <c r="M1087" s="79">
        <f t="shared" si="1049"/>
        <v>0</v>
      </c>
      <c r="N1087">
        <f t="shared" si="1042"/>
        <v>1</v>
      </c>
      <c r="O1087" t="str">
        <f>IFERROR(_xlfn.XLOOKUP(A1087,HC!A:A,HC!C:C),"")</f>
        <v>Workforce</v>
      </c>
      <c r="R1087" s="78" t="b">
        <f t="shared" si="1050"/>
        <v>0</v>
      </c>
      <c r="S1087" s="78" t="b">
        <f t="shared" si="1051"/>
        <v>0</v>
      </c>
      <c r="T1087" s="78" t="b">
        <f t="shared" si="1052"/>
        <v>0</v>
      </c>
      <c r="U1087" s="78" t="b">
        <f t="shared" si="1053"/>
        <v>0</v>
      </c>
      <c r="V1087" s="78" t="b">
        <f t="shared" si="1054"/>
        <v>0</v>
      </c>
      <c r="W1087" s="78" t="b">
        <f t="shared" si="1055"/>
        <v>0</v>
      </c>
      <c r="X1087" s="78" t="b">
        <f t="shared" si="1056"/>
        <v>0</v>
      </c>
      <c r="Y1087" s="78" t="b">
        <f t="shared" si="1057"/>
        <v>0</v>
      </c>
      <c r="Z1087" s="78" t="b">
        <f t="shared" si="1058"/>
        <v>0</v>
      </c>
      <c r="AA1087" s="78" t="b">
        <f t="shared" si="1059"/>
        <v>0</v>
      </c>
      <c r="AB1087" s="78" t="b">
        <f t="shared" si="1060"/>
        <v>0</v>
      </c>
      <c r="AC1087" s="78" t="b">
        <f t="shared" si="1061"/>
        <v>0</v>
      </c>
      <c r="AD1087" s="78" t="b">
        <f t="shared" si="1062"/>
        <v>0</v>
      </c>
      <c r="AE1087" s="78" t="b">
        <f t="shared" si="1063"/>
        <v>0</v>
      </c>
      <c r="AF1087" s="78" t="b">
        <f t="shared" si="1064"/>
        <v>0</v>
      </c>
      <c r="AG1087" s="78" t="b">
        <f t="shared" si="1065"/>
        <v>0</v>
      </c>
      <c r="AH1087" s="78" t="b">
        <f t="shared" si="1066"/>
        <v>0</v>
      </c>
      <c r="AI1087" s="78" t="b">
        <f t="shared" si="1067"/>
        <v>0</v>
      </c>
      <c r="AJ1087" s="78" t="b">
        <f t="shared" si="1068"/>
        <v>0</v>
      </c>
      <c r="AK1087" s="78" t="b">
        <f t="shared" si="1069"/>
        <v>0</v>
      </c>
      <c r="AL1087" s="78" t="b">
        <f t="shared" si="1070"/>
        <v>0</v>
      </c>
      <c r="AM1087" s="78" t="b">
        <f t="shared" si="1071"/>
        <v>0</v>
      </c>
      <c r="AN1087" s="78" t="b">
        <f t="shared" si="1072"/>
        <v>0</v>
      </c>
      <c r="AO1087" s="78" t="b">
        <f t="shared" si="1073"/>
        <v>0</v>
      </c>
    </row>
    <row r="1088" spans="7:41" x14ac:dyDescent="0.35">
      <c r="G1088" s="77">
        <f t="shared" si="1043"/>
        <v>0</v>
      </c>
      <c r="H1088" s="78">
        <f t="shared" si="1044"/>
        <v>0</v>
      </c>
      <c r="I1088" s="77">
        <f t="shared" si="1045"/>
        <v>0</v>
      </c>
      <c r="J1088" s="78">
        <f t="shared" si="1046"/>
        <v>0</v>
      </c>
      <c r="K1088" s="78" t="str">
        <f t="shared" si="1047"/>
        <v>1900-01-00 00:0:00</v>
      </c>
      <c r="L1088" s="78" t="str">
        <f t="shared" si="1048"/>
        <v>1900-01-00 00:0:00</v>
      </c>
      <c r="M1088" s="79">
        <f t="shared" si="1049"/>
        <v>0</v>
      </c>
      <c r="N1088">
        <f t="shared" si="1042"/>
        <v>1</v>
      </c>
      <c r="O1088" t="str">
        <f>IFERROR(_xlfn.XLOOKUP(A1088,HC!A:A,HC!C:C),"")</f>
        <v>Workforce</v>
      </c>
      <c r="R1088" s="78" t="b">
        <f t="shared" si="1050"/>
        <v>0</v>
      </c>
      <c r="S1088" s="78" t="b">
        <f t="shared" si="1051"/>
        <v>0</v>
      </c>
      <c r="T1088" s="78" t="b">
        <f t="shared" si="1052"/>
        <v>0</v>
      </c>
      <c r="U1088" s="78" t="b">
        <f t="shared" si="1053"/>
        <v>0</v>
      </c>
      <c r="V1088" s="78" t="b">
        <f t="shared" si="1054"/>
        <v>0</v>
      </c>
      <c r="W1088" s="78" t="b">
        <f t="shared" si="1055"/>
        <v>0</v>
      </c>
      <c r="X1088" s="78" t="b">
        <f t="shared" si="1056"/>
        <v>0</v>
      </c>
      <c r="Y1088" s="78" t="b">
        <f t="shared" si="1057"/>
        <v>0</v>
      </c>
      <c r="Z1088" s="78" t="b">
        <f t="shared" si="1058"/>
        <v>0</v>
      </c>
      <c r="AA1088" s="78" t="b">
        <f t="shared" si="1059"/>
        <v>0</v>
      </c>
      <c r="AB1088" s="78" t="b">
        <f t="shared" si="1060"/>
        <v>0</v>
      </c>
      <c r="AC1088" s="78" t="b">
        <f t="shared" si="1061"/>
        <v>0</v>
      </c>
      <c r="AD1088" s="78" t="b">
        <f t="shared" si="1062"/>
        <v>0</v>
      </c>
      <c r="AE1088" s="78" t="b">
        <f t="shared" si="1063"/>
        <v>0</v>
      </c>
      <c r="AF1088" s="78" t="b">
        <f t="shared" si="1064"/>
        <v>0</v>
      </c>
      <c r="AG1088" s="78" t="b">
        <f t="shared" si="1065"/>
        <v>0</v>
      </c>
      <c r="AH1088" s="78" t="b">
        <f t="shared" si="1066"/>
        <v>0</v>
      </c>
      <c r="AI1088" s="78" t="b">
        <f t="shared" si="1067"/>
        <v>0</v>
      </c>
      <c r="AJ1088" s="78" t="b">
        <f t="shared" si="1068"/>
        <v>0</v>
      </c>
      <c r="AK1088" s="78" t="b">
        <f t="shared" si="1069"/>
        <v>0</v>
      </c>
      <c r="AL1088" s="78" t="b">
        <f t="shared" si="1070"/>
        <v>0</v>
      </c>
      <c r="AM1088" s="78" t="b">
        <f t="shared" si="1071"/>
        <v>0</v>
      </c>
      <c r="AN1088" s="78" t="b">
        <f t="shared" si="1072"/>
        <v>0</v>
      </c>
      <c r="AO1088" s="78" t="b">
        <f t="shared" si="1073"/>
        <v>0</v>
      </c>
    </row>
    <row r="1089" spans="7:41" x14ac:dyDescent="0.35">
      <c r="G1089" s="77">
        <f t="shared" si="1043"/>
        <v>0</v>
      </c>
      <c r="H1089" s="78">
        <f t="shared" si="1044"/>
        <v>0</v>
      </c>
      <c r="I1089" s="77">
        <f t="shared" si="1045"/>
        <v>0</v>
      </c>
      <c r="J1089" s="78">
        <f t="shared" si="1046"/>
        <v>0</v>
      </c>
      <c r="K1089" s="78" t="str">
        <f t="shared" si="1047"/>
        <v>1900-01-00 00:0:00</v>
      </c>
      <c r="L1089" s="78" t="str">
        <f t="shared" si="1048"/>
        <v>1900-01-00 00:0:00</v>
      </c>
      <c r="M1089" s="79">
        <f t="shared" si="1049"/>
        <v>0</v>
      </c>
      <c r="N1089">
        <f t="shared" si="1042"/>
        <v>1</v>
      </c>
      <c r="O1089" t="str">
        <f>IFERROR(_xlfn.XLOOKUP(A1089,HC!A:A,HC!C:C),"")</f>
        <v>Workforce</v>
      </c>
      <c r="R1089" s="78" t="b">
        <f t="shared" si="1050"/>
        <v>0</v>
      </c>
      <c r="S1089" s="78" t="b">
        <f t="shared" si="1051"/>
        <v>0</v>
      </c>
      <c r="T1089" s="78" t="b">
        <f t="shared" si="1052"/>
        <v>0</v>
      </c>
      <c r="U1089" s="78" t="b">
        <f t="shared" si="1053"/>
        <v>0</v>
      </c>
      <c r="V1089" s="78" t="b">
        <f t="shared" si="1054"/>
        <v>0</v>
      </c>
      <c r="W1089" s="78" t="b">
        <f t="shared" si="1055"/>
        <v>0</v>
      </c>
      <c r="X1089" s="78" t="b">
        <f t="shared" si="1056"/>
        <v>0</v>
      </c>
      <c r="Y1089" s="78" t="b">
        <f t="shared" si="1057"/>
        <v>0</v>
      </c>
      <c r="Z1089" s="78" t="b">
        <f t="shared" si="1058"/>
        <v>0</v>
      </c>
      <c r="AA1089" s="78" t="b">
        <f t="shared" si="1059"/>
        <v>0</v>
      </c>
      <c r="AB1089" s="78" t="b">
        <f t="shared" si="1060"/>
        <v>0</v>
      </c>
      <c r="AC1089" s="78" t="b">
        <f t="shared" si="1061"/>
        <v>0</v>
      </c>
      <c r="AD1089" s="78" t="b">
        <f t="shared" si="1062"/>
        <v>0</v>
      </c>
      <c r="AE1089" s="78" t="b">
        <f t="shared" si="1063"/>
        <v>0</v>
      </c>
      <c r="AF1089" s="78" t="b">
        <f t="shared" si="1064"/>
        <v>0</v>
      </c>
      <c r="AG1089" s="78" t="b">
        <f t="shared" si="1065"/>
        <v>0</v>
      </c>
      <c r="AH1089" s="78" t="b">
        <f t="shared" si="1066"/>
        <v>0</v>
      </c>
      <c r="AI1089" s="78" t="b">
        <f t="shared" si="1067"/>
        <v>0</v>
      </c>
      <c r="AJ1089" s="78" t="b">
        <f t="shared" si="1068"/>
        <v>0</v>
      </c>
      <c r="AK1089" s="78" t="b">
        <f t="shared" si="1069"/>
        <v>0</v>
      </c>
      <c r="AL1089" s="78" t="b">
        <f t="shared" si="1070"/>
        <v>0</v>
      </c>
      <c r="AM1089" s="78" t="b">
        <f t="shared" si="1071"/>
        <v>0</v>
      </c>
      <c r="AN1089" s="78" t="b">
        <f t="shared" si="1072"/>
        <v>0</v>
      </c>
      <c r="AO1089" s="78" t="b">
        <f t="shared" si="1073"/>
        <v>0</v>
      </c>
    </row>
    <row r="1090" spans="7:41" x14ac:dyDescent="0.35">
      <c r="G1090" s="77">
        <f t="shared" si="1043"/>
        <v>0</v>
      </c>
      <c r="H1090" s="78">
        <f t="shared" si="1044"/>
        <v>0</v>
      </c>
      <c r="I1090" s="77">
        <f t="shared" si="1045"/>
        <v>0</v>
      </c>
      <c r="J1090" s="78">
        <f t="shared" si="1046"/>
        <v>0</v>
      </c>
      <c r="K1090" s="78" t="str">
        <f t="shared" si="1047"/>
        <v>1900-01-00 00:0:00</v>
      </c>
      <c r="L1090" s="78" t="str">
        <f t="shared" si="1048"/>
        <v>1900-01-00 00:0:00</v>
      </c>
      <c r="M1090" s="79">
        <f t="shared" si="1049"/>
        <v>0</v>
      </c>
      <c r="N1090">
        <f t="shared" si="1042"/>
        <v>1</v>
      </c>
      <c r="O1090" t="str">
        <f>IFERROR(_xlfn.XLOOKUP(A1090,HC!A:A,HC!C:C),"")</f>
        <v>Workforce</v>
      </c>
      <c r="R1090" s="78" t="b">
        <f t="shared" si="1050"/>
        <v>0</v>
      </c>
      <c r="S1090" s="78" t="b">
        <f t="shared" si="1051"/>
        <v>0</v>
      </c>
      <c r="T1090" s="78" t="b">
        <f t="shared" si="1052"/>
        <v>0</v>
      </c>
      <c r="U1090" s="78" t="b">
        <f t="shared" si="1053"/>
        <v>0</v>
      </c>
      <c r="V1090" s="78" t="b">
        <f t="shared" si="1054"/>
        <v>0</v>
      </c>
      <c r="W1090" s="78" t="b">
        <f t="shared" si="1055"/>
        <v>0</v>
      </c>
      <c r="X1090" s="78" t="b">
        <f t="shared" si="1056"/>
        <v>0</v>
      </c>
      <c r="Y1090" s="78" t="b">
        <f t="shared" si="1057"/>
        <v>0</v>
      </c>
      <c r="Z1090" s="78" t="b">
        <f t="shared" si="1058"/>
        <v>0</v>
      </c>
      <c r="AA1090" s="78" t="b">
        <f t="shared" si="1059"/>
        <v>0</v>
      </c>
      <c r="AB1090" s="78" t="b">
        <f t="shared" si="1060"/>
        <v>0</v>
      </c>
      <c r="AC1090" s="78" t="b">
        <f t="shared" si="1061"/>
        <v>0</v>
      </c>
      <c r="AD1090" s="78" t="b">
        <f t="shared" si="1062"/>
        <v>0</v>
      </c>
      <c r="AE1090" s="78" t="b">
        <f t="shared" si="1063"/>
        <v>0</v>
      </c>
      <c r="AF1090" s="78" t="b">
        <f t="shared" si="1064"/>
        <v>0</v>
      </c>
      <c r="AG1090" s="78" t="b">
        <f t="shared" si="1065"/>
        <v>0</v>
      </c>
      <c r="AH1090" s="78" t="b">
        <f t="shared" si="1066"/>
        <v>0</v>
      </c>
      <c r="AI1090" s="78" t="b">
        <f t="shared" si="1067"/>
        <v>0</v>
      </c>
      <c r="AJ1090" s="78" t="b">
        <f t="shared" si="1068"/>
        <v>0</v>
      </c>
      <c r="AK1090" s="78" t="b">
        <f t="shared" si="1069"/>
        <v>0</v>
      </c>
      <c r="AL1090" s="78" t="b">
        <f t="shared" si="1070"/>
        <v>0</v>
      </c>
      <c r="AM1090" s="78" t="b">
        <f t="shared" si="1071"/>
        <v>0</v>
      </c>
      <c r="AN1090" s="78" t="b">
        <f t="shared" si="1072"/>
        <v>0</v>
      </c>
      <c r="AO1090" s="78" t="b">
        <f t="shared" si="1073"/>
        <v>0</v>
      </c>
    </row>
    <row r="1091" spans="7:41" x14ac:dyDescent="0.35">
      <c r="G1091" s="77">
        <f t="shared" si="1043"/>
        <v>0</v>
      </c>
      <c r="H1091" s="78">
        <f t="shared" si="1044"/>
        <v>0</v>
      </c>
      <c r="I1091" s="77">
        <f t="shared" si="1045"/>
        <v>0</v>
      </c>
      <c r="J1091" s="78">
        <f t="shared" si="1046"/>
        <v>0</v>
      </c>
      <c r="K1091" s="78" t="str">
        <f t="shared" si="1047"/>
        <v>1900-01-00 00:0:00</v>
      </c>
      <c r="L1091" s="78" t="str">
        <f t="shared" si="1048"/>
        <v>1900-01-00 00:0:00</v>
      </c>
      <c r="M1091" s="79">
        <f t="shared" si="1049"/>
        <v>0</v>
      </c>
      <c r="N1091">
        <f t="shared" si="1042"/>
        <v>1</v>
      </c>
      <c r="O1091" t="str">
        <f>IFERROR(_xlfn.XLOOKUP(A1091,HC!A:A,HC!C:C),"")</f>
        <v>Workforce</v>
      </c>
      <c r="R1091" s="78" t="b">
        <f t="shared" si="1050"/>
        <v>0</v>
      </c>
      <c r="S1091" s="78" t="b">
        <f t="shared" si="1051"/>
        <v>0</v>
      </c>
      <c r="T1091" s="78" t="b">
        <f t="shared" si="1052"/>
        <v>0</v>
      </c>
      <c r="U1091" s="78" t="b">
        <f t="shared" si="1053"/>
        <v>0</v>
      </c>
      <c r="V1091" s="78" t="b">
        <f t="shared" si="1054"/>
        <v>0</v>
      </c>
      <c r="W1091" s="78" t="b">
        <f t="shared" si="1055"/>
        <v>0</v>
      </c>
      <c r="X1091" s="78" t="b">
        <f t="shared" si="1056"/>
        <v>0</v>
      </c>
      <c r="Y1091" s="78" t="b">
        <f t="shared" si="1057"/>
        <v>0</v>
      </c>
      <c r="Z1091" s="78" t="b">
        <f t="shared" si="1058"/>
        <v>0</v>
      </c>
      <c r="AA1091" s="78" t="b">
        <f t="shared" si="1059"/>
        <v>0</v>
      </c>
      <c r="AB1091" s="78" t="b">
        <f t="shared" si="1060"/>
        <v>0</v>
      </c>
      <c r="AC1091" s="78" t="b">
        <f t="shared" si="1061"/>
        <v>0</v>
      </c>
      <c r="AD1091" s="78" t="b">
        <f t="shared" si="1062"/>
        <v>0</v>
      </c>
      <c r="AE1091" s="78" t="b">
        <f t="shared" si="1063"/>
        <v>0</v>
      </c>
      <c r="AF1091" s="78" t="b">
        <f t="shared" si="1064"/>
        <v>0</v>
      </c>
      <c r="AG1091" s="78" t="b">
        <f t="shared" si="1065"/>
        <v>0</v>
      </c>
      <c r="AH1091" s="78" t="b">
        <f t="shared" si="1066"/>
        <v>0</v>
      </c>
      <c r="AI1091" s="78" t="b">
        <f t="shared" si="1067"/>
        <v>0</v>
      </c>
      <c r="AJ1091" s="78" t="b">
        <f t="shared" si="1068"/>
        <v>0</v>
      </c>
      <c r="AK1091" s="78" t="b">
        <f t="shared" si="1069"/>
        <v>0</v>
      </c>
      <c r="AL1091" s="78" t="b">
        <f t="shared" si="1070"/>
        <v>0</v>
      </c>
      <c r="AM1091" s="78" t="b">
        <f t="shared" si="1071"/>
        <v>0</v>
      </c>
      <c r="AN1091" s="78" t="b">
        <f t="shared" si="1072"/>
        <v>0</v>
      </c>
      <c r="AO1091" s="78" t="b">
        <f t="shared" si="1073"/>
        <v>0</v>
      </c>
    </row>
    <row r="1092" spans="7:41" x14ac:dyDescent="0.35">
      <c r="G1092" s="77">
        <f t="shared" si="1043"/>
        <v>0</v>
      </c>
      <c r="H1092" s="78">
        <f t="shared" si="1044"/>
        <v>0</v>
      </c>
      <c r="I1092" s="77">
        <f t="shared" si="1045"/>
        <v>0</v>
      </c>
      <c r="J1092" s="78">
        <f t="shared" si="1046"/>
        <v>0</v>
      </c>
      <c r="K1092" s="78" t="str">
        <f t="shared" si="1047"/>
        <v>1900-01-00 00:0:00</v>
      </c>
      <c r="L1092" s="78" t="str">
        <f t="shared" si="1048"/>
        <v>1900-01-00 00:0:00</v>
      </c>
      <c r="M1092" s="79">
        <f t="shared" si="1049"/>
        <v>0</v>
      </c>
      <c r="N1092">
        <f t="shared" ref="N1092:N1155" si="1074">IF(M1092&lt;$BA$1,1,0)</f>
        <v>1</v>
      </c>
      <c r="O1092" t="str">
        <f>IFERROR(_xlfn.XLOOKUP(A1092,HC!A:A,HC!C:C),"")</f>
        <v>Workforce</v>
      </c>
      <c r="R1092" s="78" t="b">
        <f t="shared" si="1050"/>
        <v>0</v>
      </c>
      <c r="S1092" s="78" t="b">
        <f t="shared" si="1051"/>
        <v>0</v>
      </c>
      <c r="T1092" s="78" t="b">
        <f t="shared" si="1052"/>
        <v>0</v>
      </c>
      <c r="U1092" s="78" t="b">
        <f t="shared" si="1053"/>
        <v>0</v>
      </c>
      <c r="V1092" s="78" t="b">
        <f t="shared" si="1054"/>
        <v>0</v>
      </c>
      <c r="W1092" s="78" t="b">
        <f t="shared" si="1055"/>
        <v>0</v>
      </c>
      <c r="X1092" s="78" t="b">
        <f t="shared" si="1056"/>
        <v>0</v>
      </c>
      <c r="Y1092" s="78" t="b">
        <f t="shared" si="1057"/>
        <v>0</v>
      </c>
      <c r="Z1092" s="78" t="b">
        <f t="shared" si="1058"/>
        <v>0</v>
      </c>
      <c r="AA1092" s="78" t="b">
        <f t="shared" si="1059"/>
        <v>0</v>
      </c>
      <c r="AB1092" s="78" t="b">
        <f t="shared" si="1060"/>
        <v>0</v>
      </c>
      <c r="AC1092" s="78" t="b">
        <f t="shared" si="1061"/>
        <v>0</v>
      </c>
      <c r="AD1092" s="78" t="b">
        <f t="shared" si="1062"/>
        <v>0</v>
      </c>
      <c r="AE1092" s="78" t="b">
        <f t="shared" si="1063"/>
        <v>0</v>
      </c>
      <c r="AF1092" s="78" t="b">
        <f t="shared" si="1064"/>
        <v>0</v>
      </c>
      <c r="AG1092" s="78" t="b">
        <f t="shared" si="1065"/>
        <v>0</v>
      </c>
      <c r="AH1092" s="78" t="b">
        <f t="shared" si="1066"/>
        <v>0</v>
      </c>
      <c r="AI1092" s="78" t="b">
        <f t="shared" si="1067"/>
        <v>0</v>
      </c>
      <c r="AJ1092" s="78" t="b">
        <f t="shared" si="1068"/>
        <v>0</v>
      </c>
      <c r="AK1092" s="78" t="b">
        <f t="shared" si="1069"/>
        <v>0</v>
      </c>
      <c r="AL1092" s="78" t="b">
        <f t="shared" si="1070"/>
        <v>0</v>
      </c>
      <c r="AM1092" s="78" t="b">
        <f t="shared" si="1071"/>
        <v>0</v>
      </c>
      <c r="AN1092" s="78" t="b">
        <f t="shared" si="1072"/>
        <v>0</v>
      </c>
      <c r="AO1092" s="78" t="b">
        <f t="shared" si="1073"/>
        <v>0</v>
      </c>
    </row>
    <row r="1093" spans="7:41" x14ac:dyDescent="0.35">
      <c r="G1093" s="77">
        <f t="shared" si="1043"/>
        <v>0</v>
      </c>
      <c r="H1093" s="78">
        <f t="shared" si="1044"/>
        <v>0</v>
      </c>
      <c r="I1093" s="77">
        <f t="shared" si="1045"/>
        <v>0</v>
      </c>
      <c r="J1093" s="78">
        <f t="shared" si="1046"/>
        <v>0</v>
      </c>
      <c r="K1093" s="78" t="str">
        <f t="shared" si="1047"/>
        <v>1900-01-00 00:0:00</v>
      </c>
      <c r="L1093" s="78" t="str">
        <f t="shared" si="1048"/>
        <v>1900-01-00 00:0:00</v>
      </c>
      <c r="M1093" s="79">
        <f t="shared" si="1049"/>
        <v>0</v>
      </c>
      <c r="N1093">
        <f t="shared" si="1074"/>
        <v>1</v>
      </c>
      <c r="O1093" t="str">
        <f>IFERROR(_xlfn.XLOOKUP(A1093,HC!A:A,HC!C:C),"")</f>
        <v>Workforce</v>
      </c>
      <c r="R1093" s="78" t="b">
        <f t="shared" si="1050"/>
        <v>0</v>
      </c>
      <c r="S1093" s="78" t="b">
        <f t="shared" si="1051"/>
        <v>0</v>
      </c>
      <c r="T1093" s="78" t="b">
        <f t="shared" si="1052"/>
        <v>0</v>
      </c>
      <c r="U1093" s="78" t="b">
        <f t="shared" si="1053"/>
        <v>0</v>
      </c>
      <c r="V1093" s="78" t="b">
        <f t="shared" si="1054"/>
        <v>0</v>
      </c>
      <c r="W1093" s="78" t="b">
        <f t="shared" si="1055"/>
        <v>0</v>
      </c>
      <c r="X1093" s="78" t="b">
        <f t="shared" si="1056"/>
        <v>0</v>
      </c>
      <c r="Y1093" s="78" t="b">
        <f t="shared" si="1057"/>
        <v>0</v>
      </c>
      <c r="Z1093" s="78" t="b">
        <f t="shared" si="1058"/>
        <v>0</v>
      </c>
      <c r="AA1093" s="78" t="b">
        <f t="shared" si="1059"/>
        <v>0</v>
      </c>
      <c r="AB1093" s="78" t="b">
        <f t="shared" si="1060"/>
        <v>0</v>
      </c>
      <c r="AC1093" s="78" t="b">
        <f t="shared" si="1061"/>
        <v>0</v>
      </c>
      <c r="AD1093" s="78" t="b">
        <f t="shared" si="1062"/>
        <v>0</v>
      </c>
      <c r="AE1093" s="78" t="b">
        <f t="shared" si="1063"/>
        <v>0</v>
      </c>
      <c r="AF1093" s="78" t="b">
        <f t="shared" si="1064"/>
        <v>0</v>
      </c>
      <c r="AG1093" s="78" t="b">
        <f t="shared" si="1065"/>
        <v>0</v>
      </c>
      <c r="AH1093" s="78" t="b">
        <f t="shared" si="1066"/>
        <v>0</v>
      </c>
      <c r="AI1093" s="78" t="b">
        <f t="shared" si="1067"/>
        <v>0</v>
      </c>
      <c r="AJ1093" s="78" t="b">
        <f t="shared" si="1068"/>
        <v>0</v>
      </c>
      <c r="AK1093" s="78" t="b">
        <f t="shared" si="1069"/>
        <v>0</v>
      </c>
      <c r="AL1093" s="78" t="b">
        <f t="shared" si="1070"/>
        <v>0</v>
      </c>
      <c r="AM1093" s="78" t="b">
        <f t="shared" si="1071"/>
        <v>0</v>
      </c>
      <c r="AN1093" s="78" t="b">
        <f t="shared" si="1072"/>
        <v>0</v>
      </c>
      <c r="AO1093" s="78" t="b">
        <f t="shared" si="1073"/>
        <v>0</v>
      </c>
    </row>
    <row r="1094" spans="7:41" x14ac:dyDescent="0.35">
      <c r="G1094" s="77">
        <f t="shared" si="1043"/>
        <v>0</v>
      </c>
      <c r="H1094" s="78">
        <f t="shared" si="1044"/>
        <v>0</v>
      </c>
      <c r="I1094" s="77">
        <f t="shared" si="1045"/>
        <v>0</v>
      </c>
      <c r="J1094" s="78">
        <f t="shared" si="1046"/>
        <v>0</v>
      </c>
      <c r="K1094" s="78" t="str">
        <f t="shared" si="1047"/>
        <v>1900-01-00 00:0:00</v>
      </c>
      <c r="L1094" s="78" t="str">
        <f t="shared" si="1048"/>
        <v>1900-01-00 00:0:00</v>
      </c>
      <c r="M1094" s="79">
        <f t="shared" si="1049"/>
        <v>0</v>
      </c>
      <c r="N1094">
        <f t="shared" si="1074"/>
        <v>1</v>
      </c>
      <c r="O1094" t="str">
        <f>IFERROR(_xlfn.XLOOKUP(A1094,HC!A:A,HC!C:C),"")</f>
        <v>Workforce</v>
      </c>
      <c r="R1094" s="78" t="b">
        <f t="shared" si="1050"/>
        <v>0</v>
      </c>
      <c r="S1094" s="78" t="b">
        <f t="shared" si="1051"/>
        <v>0</v>
      </c>
      <c r="T1094" s="78" t="b">
        <f t="shared" si="1052"/>
        <v>0</v>
      </c>
      <c r="U1094" s="78" t="b">
        <f t="shared" si="1053"/>
        <v>0</v>
      </c>
      <c r="V1094" s="78" t="b">
        <f t="shared" si="1054"/>
        <v>0</v>
      </c>
      <c r="W1094" s="78" t="b">
        <f t="shared" si="1055"/>
        <v>0</v>
      </c>
      <c r="X1094" s="78" t="b">
        <f t="shared" si="1056"/>
        <v>0</v>
      </c>
      <c r="Y1094" s="78" t="b">
        <f t="shared" si="1057"/>
        <v>0</v>
      </c>
      <c r="Z1094" s="78" t="b">
        <f t="shared" si="1058"/>
        <v>0</v>
      </c>
      <c r="AA1094" s="78" t="b">
        <f t="shared" si="1059"/>
        <v>0</v>
      </c>
      <c r="AB1094" s="78" t="b">
        <f t="shared" si="1060"/>
        <v>0</v>
      </c>
      <c r="AC1094" s="78" t="b">
        <f t="shared" si="1061"/>
        <v>0</v>
      </c>
      <c r="AD1094" s="78" t="b">
        <f t="shared" si="1062"/>
        <v>0</v>
      </c>
      <c r="AE1094" s="78" t="b">
        <f t="shared" si="1063"/>
        <v>0</v>
      </c>
      <c r="AF1094" s="78" t="b">
        <f t="shared" si="1064"/>
        <v>0</v>
      </c>
      <c r="AG1094" s="78" t="b">
        <f t="shared" si="1065"/>
        <v>0</v>
      </c>
      <c r="AH1094" s="78" t="b">
        <f t="shared" si="1066"/>
        <v>0</v>
      </c>
      <c r="AI1094" s="78" t="b">
        <f t="shared" si="1067"/>
        <v>0</v>
      </c>
      <c r="AJ1094" s="78" t="b">
        <f t="shared" si="1068"/>
        <v>0</v>
      </c>
      <c r="AK1094" s="78" t="b">
        <f t="shared" si="1069"/>
        <v>0</v>
      </c>
      <c r="AL1094" s="78" t="b">
        <f t="shared" si="1070"/>
        <v>0</v>
      </c>
      <c r="AM1094" s="78" t="b">
        <f t="shared" si="1071"/>
        <v>0</v>
      </c>
      <c r="AN1094" s="78" t="b">
        <f t="shared" si="1072"/>
        <v>0</v>
      </c>
      <c r="AO1094" s="78" t="b">
        <f t="shared" si="1073"/>
        <v>0</v>
      </c>
    </row>
    <row r="1095" spans="7:41" x14ac:dyDescent="0.35">
      <c r="G1095" s="77">
        <f t="shared" si="1043"/>
        <v>0</v>
      </c>
      <c r="H1095" s="78">
        <f t="shared" si="1044"/>
        <v>0</v>
      </c>
      <c r="I1095" s="77">
        <f t="shared" si="1045"/>
        <v>0</v>
      </c>
      <c r="J1095" s="78">
        <f t="shared" si="1046"/>
        <v>0</v>
      </c>
      <c r="K1095" s="78" t="str">
        <f t="shared" si="1047"/>
        <v>1900-01-00 00:0:00</v>
      </c>
      <c r="L1095" s="78" t="str">
        <f t="shared" si="1048"/>
        <v>1900-01-00 00:0:00</v>
      </c>
      <c r="M1095" s="79">
        <f t="shared" si="1049"/>
        <v>0</v>
      </c>
      <c r="N1095">
        <f t="shared" si="1074"/>
        <v>1</v>
      </c>
      <c r="O1095" t="str">
        <f>IFERROR(_xlfn.XLOOKUP(A1095,HC!A:A,HC!C:C),"")</f>
        <v>Workforce</v>
      </c>
      <c r="R1095" s="78" t="b">
        <f t="shared" si="1050"/>
        <v>0</v>
      </c>
      <c r="S1095" s="78" t="b">
        <f t="shared" si="1051"/>
        <v>0</v>
      </c>
      <c r="T1095" s="78" t="b">
        <f t="shared" si="1052"/>
        <v>0</v>
      </c>
      <c r="U1095" s="78" t="b">
        <f t="shared" si="1053"/>
        <v>0</v>
      </c>
      <c r="V1095" s="78" t="b">
        <f t="shared" si="1054"/>
        <v>0</v>
      </c>
      <c r="W1095" s="78" t="b">
        <f t="shared" si="1055"/>
        <v>0</v>
      </c>
      <c r="X1095" s="78" t="b">
        <f t="shared" si="1056"/>
        <v>0</v>
      </c>
      <c r="Y1095" s="78" t="b">
        <f t="shared" si="1057"/>
        <v>0</v>
      </c>
      <c r="Z1095" s="78" t="b">
        <f t="shared" si="1058"/>
        <v>0</v>
      </c>
      <c r="AA1095" s="78" t="b">
        <f t="shared" si="1059"/>
        <v>0</v>
      </c>
      <c r="AB1095" s="78" t="b">
        <f t="shared" si="1060"/>
        <v>0</v>
      </c>
      <c r="AC1095" s="78" t="b">
        <f t="shared" si="1061"/>
        <v>0</v>
      </c>
      <c r="AD1095" s="78" t="b">
        <f t="shared" si="1062"/>
        <v>0</v>
      </c>
      <c r="AE1095" s="78" t="b">
        <f t="shared" si="1063"/>
        <v>0</v>
      </c>
      <c r="AF1095" s="78" t="b">
        <f t="shared" si="1064"/>
        <v>0</v>
      </c>
      <c r="AG1095" s="78" t="b">
        <f t="shared" si="1065"/>
        <v>0</v>
      </c>
      <c r="AH1095" s="78" t="b">
        <f t="shared" si="1066"/>
        <v>0</v>
      </c>
      <c r="AI1095" s="78" t="b">
        <f t="shared" si="1067"/>
        <v>0</v>
      </c>
      <c r="AJ1095" s="78" t="b">
        <f t="shared" si="1068"/>
        <v>0</v>
      </c>
      <c r="AK1095" s="78" t="b">
        <f t="shared" si="1069"/>
        <v>0</v>
      </c>
      <c r="AL1095" s="78" t="b">
        <f t="shared" si="1070"/>
        <v>0</v>
      </c>
      <c r="AM1095" s="78" t="b">
        <f t="shared" si="1071"/>
        <v>0</v>
      </c>
      <c r="AN1095" s="78" t="b">
        <f t="shared" si="1072"/>
        <v>0</v>
      </c>
      <c r="AO1095" s="78" t="b">
        <f t="shared" si="1073"/>
        <v>0</v>
      </c>
    </row>
    <row r="1096" spans="7:41" x14ac:dyDescent="0.35">
      <c r="G1096" s="77">
        <f t="shared" si="1043"/>
        <v>0</v>
      </c>
      <c r="H1096" s="78">
        <f t="shared" si="1044"/>
        <v>0</v>
      </c>
      <c r="I1096" s="77">
        <f t="shared" si="1045"/>
        <v>0</v>
      </c>
      <c r="J1096" s="78">
        <f t="shared" si="1046"/>
        <v>0</v>
      </c>
      <c r="K1096" s="78" t="str">
        <f t="shared" si="1047"/>
        <v>1900-01-00 00:0:00</v>
      </c>
      <c r="L1096" s="78" t="str">
        <f t="shared" si="1048"/>
        <v>1900-01-00 00:0:00</v>
      </c>
      <c r="M1096" s="79">
        <f t="shared" si="1049"/>
        <v>0</v>
      </c>
      <c r="N1096">
        <f t="shared" si="1074"/>
        <v>1</v>
      </c>
      <c r="O1096" t="str">
        <f>IFERROR(_xlfn.XLOOKUP(A1096,HC!A:A,HC!C:C),"")</f>
        <v>Workforce</v>
      </c>
      <c r="R1096" s="78" t="b">
        <f t="shared" si="1050"/>
        <v>0</v>
      </c>
      <c r="S1096" s="78" t="b">
        <f t="shared" si="1051"/>
        <v>0</v>
      </c>
      <c r="T1096" s="78" t="b">
        <f t="shared" si="1052"/>
        <v>0</v>
      </c>
      <c r="U1096" s="78" t="b">
        <f t="shared" si="1053"/>
        <v>0</v>
      </c>
      <c r="V1096" s="78" t="b">
        <f t="shared" si="1054"/>
        <v>0</v>
      </c>
      <c r="W1096" s="78" t="b">
        <f t="shared" si="1055"/>
        <v>0</v>
      </c>
      <c r="X1096" s="78" t="b">
        <f t="shared" si="1056"/>
        <v>0</v>
      </c>
      <c r="Y1096" s="78" t="b">
        <f t="shared" si="1057"/>
        <v>0</v>
      </c>
      <c r="Z1096" s="78" t="b">
        <f t="shared" si="1058"/>
        <v>0</v>
      </c>
      <c r="AA1096" s="78" t="b">
        <f t="shared" si="1059"/>
        <v>0</v>
      </c>
      <c r="AB1096" s="78" t="b">
        <f t="shared" si="1060"/>
        <v>0</v>
      </c>
      <c r="AC1096" s="78" t="b">
        <f t="shared" si="1061"/>
        <v>0</v>
      </c>
      <c r="AD1096" s="78" t="b">
        <f t="shared" si="1062"/>
        <v>0</v>
      </c>
      <c r="AE1096" s="78" t="b">
        <f t="shared" si="1063"/>
        <v>0</v>
      </c>
      <c r="AF1096" s="78" t="b">
        <f t="shared" si="1064"/>
        <v>0</v>
      </c>
      <c r="AG1096" s="78" t="b">
        <f t="shared" si="1065"/>
        <v>0</v>
      </c>
      <c r="AH1096" s="78" t="b">
        <f t="shared" si="1066"/>
        <v>0</v>
      </c>
      <c r="AI1096" s="78" t="b">
        <f t="shared" si="1067"/>
        <v>0</v>
      </c>
      <c r="AJ1096" s="78" t="b">
        <f t="shared" si="1068"/>
        <v>0</v>
      </c>
      <c r="AK1096" s="78" t="b">
        <f t="shared" si="1069"/>
        <v>0</v>
      </c>
      <c r="AL1096" s="78" t="b">
        <f t="shared" si="1070"/>
        <v>0</v>
      </c>
      <c r="AM1096" s="78" t="b">
        <f t="shared" si="1071"/>
        <v>0</v>
      </c>
      <c r="AN1096" s="78" t="b">
        <f t="shared" si="1072"/>
        <v>0</v>
      </c>
      <c r="AO1096" s="78" t="b">
        <f t="shared" si="1073"/>
        <v>0</v>
      </c>
    </row>
    <row r="1097" spans="7:41" x14ac:dyDescent="0.35">
      <c r="G1097" s="77">
        <f t="shared" si="1043"/>
        <v>0</v>
      </c>
      <c r="H1097" s="78">
        <f t="shared" si="1044"/>
        <v>0</v>
      </c>
      <c r="I1097" s="77">
        <f t="shared" si="1045"/>
        <v>0</v>
      </c>
      <c r="J1097" s="78">
        <f t="shared" si="1046"/>
        <v>0</v>
      </c>
      <c r="K1097" s="78" t="str">
        <f t="shared" si="1047"/>
        <v>1900-01-00 00:0:00</v>
      </c>
      <c r="L1097" s="78" t="str">
        <f t="shared" si="1048"/>
        <v>1900-01-00 00:0:00</v>
      </c>
      <c r="M1097" s="79">
        <f t="shared" si="1049"/>
        <v>0</v>
      </c>
      <c r="N1097">
        <f t="shared" si="1074"/>
        <v>1</v>
      </c>
      <c r="O1097" t="str">
        <f>IFERROR(_xlfn.XLOOKUP(A1097,HC!A:A,HC!C:C),"")</f>
        <v>Workforce</v>
      </c>
      <c r="R1097" s="78" t="b">
        <f t="shared" si="1050"/>
        <v>0</v>
      </c>
      <c r="S1097" s="78" t="b">
        <f t="shared" si="1051"/>
        <v>0</v>
      </c>
      <c r="T1097" s="78" t="b">
        <f t="shared" si="1052"/>
        <v>0</v>
      </c>
      <c r="U1097" s="78" t="b">
        <f t="shared" si="1053"/>
        <v>0</v>
      </c>
      <c r="V1097" s="78" t="b">
        <f t="shared" si="1054"/>
        <v>0</v>
      </c>
      <c r="W1097" s="78" t="b">
        <f t="shared" si="1055"/>
        <v>0</v>
      </c>
      <c r="X1097" s="78" t="b">
        <f t="shared" si="1056"/>
        <v>0</v>
      </c>
      <c r="Y1097" s="78" t="b">
        <f t="shared" si="1057"/>
        <v>0</v>
      </c>
      <c r="Z1097" s="78" t="b">
        <f t="shared" si="1058"/>
        <v>0</v>
      </c>
      <c r="AA1097" s="78" t="b">
        <f t="shared" si="1059"/>
        <v>0</v>
      </c>
      <c r="AB1097" s="78" t="b">
        <f t="shared" si="1060"/>
        <v>0</v>
      </c>
      <c r="AC1097" s="78" t="b">
        <f t="shared" si="1061"/>
        <v>0</v>
      </c>
      <c r="AD1097" s="78" t="b">
        <f t="shared" si="1062"/>
        <v>0</v>
      </c>
      <c r="AE1097" s="78" t="b">
        <f t="shared" si="1063"/>
        <v>0</v>
      </c>
      <c r="AF1097" s="78" t="b">
        <f t="shared" si="1064"/>
        <v>0</v>
      </c>
      <c r="AG1097" s="78" t="b">
        <f t="shared" si="1065"/>
        <v>0</v>
      </c>
      <c r="AH1097" s="78" t="b">
        <f t="shared" si="1066"/>
        <v>0</v>
      </c>
      <c r="AI1097" s="78" t="b">
        <f t="shared" si="1067"/>
        <v>0</v>
      </c>
      <c r="AJ1097" s="78" t="b">
        <f t="shared" si="1068"/>
        <v>0</v>
      </c>
      <c r="AK1097" s="78" t="b">
        <f t="shared" si="1069"/>
        <v>0</v>
      </c>
      <c r="AL1097" s="78" t="b">
        <f t="shared" si="1070"/>
        <v>0</v>
      </c>
      <c r="AM1097" s="78" t="b">
        <f t="shared" si="1071"/>
        <v>0</v>
      </c>
      <c r="AN1097" s="78" t="b">
        <f t="shared" si="1072"/>
        <v>0</v>
      </c>
      <c r="AO1097" s="78" t="b">
        <f t="shared" si="1073"/>
        <v>0</v>
      </c>
    </row>
    <row r="1098" spans="7:41" x14ac:dyDescent="0.35">
      <c r="G1098" s="77">
        <f t="shared" si="1043"/>
        <v>0</v>
      </c>
      <c r="H1098" s="78">
        <f t="shared" si="1044"/>
        <v>0</v>
      </c>
      <c r="I1098" s="77">
        <f t="shared" si="1045"/>
        <v>0</v>
      </c>
      <c r="J1098" s="78">
        <f t="shared" si="1046"/>
        <v>0</v>
      </c>
      <c r="K1098" s="78" t="str">
        <f t="shared" si="1047"/>
        <v>1900-01-00 00:0:00</v>
      </c>
      <c r="L1098" s="78" t="str">
        <f t="shared" si="1048"/>
        <v>1900-01-00 00:0:00</v>
      </c>
      <c r="M1098" s="79">
        <f t="shared" si="1049"/>
        <v>0</v>
      </c>
      <c r="N1098">
        <f t="shared" si="1074"/>
        <v>1</v>
      </c>
      <c r="O1098" t="str">
        <f>IFERROR(_xlfn.XLOOKUP(A1098,HC!A:A,HC!C:C),"")</f>
        <v>Workforce</v>
      </c>
      <c r="R1098" s="78" t="b">
        <f t="shared" si="1050"/>
        <v>0</v>
      </c>
      <c r="S1098" s="78" t="b">
        <f t="shared" si="1051"/>
        <v>0</v>
      </c>
      <c r="T1098" s="78" t="b">
        <f t="shared" si="1052"/>
        <v>0</v>
      </c>
      <c r="U1098" s="78" t="b">
        <f t="shared" si="1053"/>
        <v>0</v>
      </c>
      <c r="V1098" s="78" t="b">
        <f t="shared" si="1054"/>
        <v>0</v>
      </c>
      <c r="W1098" s="78" t="b">
        <f t="shared" si="1055"/>
        <v>0</v>
      </c>
      <c r="X1098" s="78" t="b">
        <f t="shared" si="1056"/>
        <v>0</v>
      </c>
      <c r="Y1098" s="78" t="b">
        <f t="shared" si="1057"/>
        <v>0</v>
      </c>
      <c r="Z1098" s="78" t="b">
        <f t="shared" si="1058"/>
        <v>0</v>
      </c>
      <c r="AA1098" s="78" t="b">
        <f t="shared" si="1059"/>
        <v>0</v>
      </c>
      <c r="AB1098" s="78" t="b">
        <f t="shared" si="1060"/>
        <v>0</v>
      </c>
      <c r="AC1098" s="78" t="b">
        <f t="shared" si="1061"/>
        <v>0</v>
      </c>
      <c r="AD1098" s="78" t="b">
        <f t="shared" si="1062"/>
        <v>0</v>
      </c>
      <c r="AE1098" s="78" t="b">
        <f t="shared" si="1063"/>
        <v>0</v>
      </c>
      <c r="AF1098" s="78" t="b">
        <f t="shared" si="1064"/>
        <v>0</v>
      </c>
      <c r="AG1098" s="78" t="b">
        <f t="shared" si="1065"/>
        <v>0</v>
      </c>
      <c r="AH1098" s="78" t="b">
        <f t="shared" si="1066"/>
        <v>0</v>
      </c>
      <c r="AI1098" s="78" t="b">
        <f t="shared" si="1067"/>
        <v>0</v>
      </c>
      <c r="AJ1098" s="78" t="b">
        <f t="shared" si="1068"/>
        <v>0</v>
      </c>
      <c r="AK1098" s="78" t="b">
        <f t="shared" si="1069"/>
        <v>0</v>
      </c>
      <c r="AL1098" s="78" t="b">
        <f t="shared" si="1070"/>
        <v>0</v>
      </c>
      <c r="AM1098" s="78" t="b">
        <f t="shared" si="1071"/>
        <v>0</v>
      </c>
      <c r="AN1098" s="78" t="b">
        <f t="shared" si="1072"/>
        <v>0</v>
      </c>
      <c r="AO1098" s="78" t="b">
        <f t="shared" si="1073"/>
        <v>0</v>
      </c>
    </row>
    <row r="1099" spans="7:41" x14ac:dyDescent="0.35">
      <c r="G1099" s="77">
        <f t="shared" si="1043"/>
        <v>0</v>
      </c>
      <c r="H1099" s="78">
        <f t="shared" si="1044"/>
        <v>0</v>
      </c>
      <c r="I1099" s="77">
        <f t="shared" si="1045"/>
        <v>0</v>
      </c>
      <c r="J1099" s="78">
        <f t="shared" si="1046"/>
        <v>0</v>
      </c>
      <c r="K1099" s="78" t="str">
        <f t="shared" si="1047"/>
        <v>1900-01-00 00:0:00</v>
      </c>
      <c r="L1099" s="78" t="str">
        <f t="shared" si="1048"/>
        <v>1900-01-00 00:0:00</v>
      </c>
      <c r="M1099" s="79">
        <f t="shared" si="1049"/>
        <v>0</v>
      </c>
      <c r="N1099">
        <f t="shared" si="1074"/>
        <v>1</v>
      </c>
      <c r="O1099" t="str">
        <f>IFERROR(_xlfn.XLOOKUP(A1099,HC!A:A,HC!C:C),"")</f>
        <v>Workforce</v>
      </c>
      <c r="R1099" s="78" t="b">
        <f t="shared" si="1050"/>
        <v>0</v>
      </c>
      <c r="S1099" s="78" t="b">
        <f t="shared" si="1051"/>
        <v>0</v>
      </c>
      <c r="T1099" s="78" t="b">
        <f t="shared" si="1052"/>
        <v>0</v>
      </c>
      <c r="U1099" s="78" t="b">
        <f t="shared" si="1053"/>
        <v>0</v>
      </c>
      <c r="V1099" s="78" t="b">
        <f t="shared" si="1054"/>
        <v>0</v>
      </c>
      <c r="W1099" s="78" t="b">
        <f t="shared" si="1055"/>
        <v>0</v>
      </c>
      <c r="X1099" s="78" t="b">
        <f t="shared" si="1056"/>
        <v>0</v>
      </c>
      <c r="Y1099" s="78" t="b">
        <f t="shared" si="1057"/>
        <v>0</v>
      </c>
      <c r="Z1099" s="78" t="b">
        <f t="shared" si="1058"/>
        <v>0</v>
      </c>
      <c r="AA1099" s="78" t="b">
        <f t="shared" si="1059"/>
        <v>0</v>
      </c>
      <c r="AB1099" s="78" t="b">
        <f t="shared" si="1060"/>
        <v>0</v>
      </c>
      <c r="AC1099" s="78" t="b">
        <f t="shared" si="1061"/>
        <v>0</v>
      </c>
      <c r="AD1099" s="78" t="b">
        <f t="shared" si="1062"/>
        <v>0</v>
      </c>
      <c r="AE1099" s="78" t="b">
        <f t="shared" si="1063"/>
        <v>0</v>
      </c>
      <c r="AF1099" s="78" t="b">
        <f t="shared" si="1064"/>
        <v>0</v>
      </c>
      <c r="AG1099" s="78" t="b">
        <f t="shared" si="1065"/>
        <v>0</v>
      </c>
      <c r="AH1099" s="78" t="b">
        <f t="shared" si="1066"/>
        <v>0</v>
      </c>
      <c r="AI1099" s="78" t="b">
        <f t="shared" si="1067"/>
        <v>0</v>
      </c>
      <c r="AJ1099" s="78" t="b">
        <f t="shared" si="1068"/>
        <v>0</v>
      </c>
      <c r="AK1099" s="78" t="b">
        <f t="shared" si="1069"/>
        <v>0</v>
      </c>
      <c r="AL1099" s="78" t="b">
        <f t="shared" si="1070"/>
        <v>0</v>
      </c>
      <c r="AM1099" s="78" t="b">
        <f t="shared" si="1071"/>
        <v>0</v>
      </c>
      <c r="AN1099" s="78" t="b">
        <f t="shared" si="1072"/>
        <v>0</v>
      </c>
      <c r="AO1099" s="78" t="b">
        <f t="shared" si="1073"/>
        <v>0</v>
      </c>
    </row>
    <row r="1100" spans="7:41" x14ac:dyDescent="0.35">
      <c r="G1100" s="77">
        <f t="shared" si="1043"/>
        <v>0</v>
      </c>
      <c r="H1100" s="78">
        <f t="shared" si="1044"/>
        <v>0</v>
      </c>
      <c r="I1100" s="77">
        <f t="shared" si="1045"/>
        <v>0</v>
      </c>
      <c r="J1100" s="78">
        <f t="shared" si="1046"/>
        <v>0</v>
      </c>
      <c r="K1100" s="78" t="str">
        <f t="shared" si="1047"/>
        <v>1900-01-00 00:0:00</v>
      </c>
      <c r="L1100" s="78" t="str">
        <f t="shared" si="1048"/>
        <v>1900-01-00 00:0:00</v>
      </c>
      <c r="M1100" s="79">
        <f t="shared" si="1049"/>
        <v>0</v>
      </c>
      <c r="N1100">
        <f t="shared" si="1074"/>
        <v>1</v>
      </c>
      <c r="O1100" t="str">
        <f>IFERROR(_xlfn.XLOOKUP(A1100,HC!A:A,HC!C:C),"")</f>
        <v>Workforce</v>
      </c>
      <c r="R1100" s="78" t="b">
        <f t="shared" si="1050"/>
        <v>0</v>
      </c>
      <c r="S1100" s="78" t="b">
        <f t="shared" si="1051"/>
        <v>0</v>
      </c>
      <c r="T1100" s="78" t="b">
        <f t="shared" si="1052"/>
        <v>0</v>
      </c>
      <c r="U1100" s="78" t="b">
        <f t="shared" si="1053"/>
        <v>0</v>
      </c>
      <c r="V1100" s="78" t="b">
        <f t="shared" si="1054"/>
        <v>0</v>
      </c>
      <c r="W1100" s="78" t="b">
        <f t="shared" si="1055"/>
        <v>0</v>
      </c>
      <c r="X1100" s="78" t="b">
        <f t="shared" si="1056"/>
        <v>0</v>
      </c>
      <c r="Y1100" s="78" t="b">
        <f t="shared" si="1057"/>
        <v>0</v>
      </c>
      <c r="Z1100" s="78" t="b">
        <f t="shared" si="1058"/>
        <v>0</v>
      </c>
      <c r="AA1100" s="78" t="b">
        <f t="shared" si="1059"/>
        <v>0</v>
      </c>
      <c r="AB1100" s="78" t="b">
        <f t="shared" si="1060"/>
        <v>0</v>
      </c>
      <c r="AC1100" s="78" t="b">
        <f t="shared" si="1061"/>
        <v>0</v>
      </c>
      <c r="AD1100" s="78" t="b">
        <f t="shared" si="1062"/>
        <v>0</v>
      </c>
      <c r="AE1100" s="78" t="b">
        <f t="shared" si="1063"/>
        <v>0</v>
      </c>
      <c r="AF1100" s="78" t="b">
        <f t="shared" si="1064"/>
        <v>0</v>
      </c>
      <c r="AG1100" s="78" t="b">
        <f t="shared" si="1065"/>
        <v>0</v>
      </c>
      <c r="AH1100" s="78" t="b">
        <f t="shared" si="1066"/>
        <v>0</v>
      </c>
      <c r="AI1100" s="78" t="b">
        <f t="shared" si="1067"/>
        <v>0</v>
      </c>
      <c r="AJ1100" s="78" t="b">
        <f t="shared" si="1068"/>
        <v>0</v>
      </c>
      <c r="AK1100" s="78" t="b">
        <f t="shared" si="1069"/>
        <v>0</v>
      </c>
      <c r="AL1100" s="78" t="b">
        <f t="shared" si="1070"/>
        <v>0</v>
      </c>
      <c r="AM1100" s="78" t="b">
        <f t="shared" si="1071"/>
        <v>0</v>
      </c>
      <c r="AN1100" s="78" t="b">
        <f t="shared" si="1072"/>
        <v>0</v>
      </c>
      <c r="AO1100" s="78" t="b">
        <f t="shared" si="1073"/>
        <v>0</v>
      </c>
    </row>
    <row r="1101" spans="7:41" x14ac:dyDescent="0.35">
      <c r="G1101" s="77">
        <f t="shared" si="1043"/>
        <v>0</v>
      </c>
      <c r="H1101" s="78">
        <f t="shared" si="1044"/>
        <v>0</v>
      </c>
      <c r="I1101" s="77">
        <f t="shared" si="1045"/>
        <v>0</v>
      </c>
      <c r="J1101" s="78">
        <f t="shared" si="1046"/>
        <v>0</v>
      </c>
      <c r="K1101" s="78" t="str">
        <f t="shared" si="1047"/>
        <v>1900-01-00 00:0:00</v>
      </c>
      <c r="L1101" s="78" t="str">
        <f t="shared" si="1048"/>
        <v>1900-01-00 00:0:00</v>
      </c>
      <c r="M1101" s="79">
        <f t="shared" si="1049"/>
        <v>0</v>
      </c>
      <c r="N1101">
        <f t="shared" si="1074"/>
        <v>1</v>
      </c>
      <c r="O1101" t="str">
        <f>IFERROR(_xlfn.XLOOKUP(A1101,HC!A:A,HC!C:C),"")</f>
        <v>Workforce</v>
      </c>
      <c r="R1101" s="78" t="b">
        <f t="shared" si="1050"/>
        <v>0</v>
      </c>
      <c r="S1101" s="78" t="b">
        <f t="shared" si="1051"/>
        <v>0</v>
      </c>
      <c r="T1101" s="78" t="b">
        <f t="shared" si="1052"/>
        <v>0</v>
      </c>
      <c r="U1101" s="78" t="b">
        <f t="shared" si="1053"/>
        <v>0</v>
      </c>
      <c r="V1101" s="78" t="b">
        <f t="shared" si="1054"/>
        <v>0</v>
      </c>
      <c r="W1101" s="78" t="b">
        <f t="shared" si="1055"/>
        <v>0</v>
      </c>
      <c r="X1101" s="78" t="b">
        <f t="shared" si="1056"/>
        <v>0</v>
      </c>
      <c r="Y1101" s="78" t="b">
        <f t="shared" si="1057"/>
        <v>0</v>
      </c>
      <c r="Z1101" s="78" t="b">
        <f t="shared" si="1058"/>
        <v>0</v>
      </c>
      <c r="AA1101" s="78" t="b">
        <f t="shared" si="1059"/>
        <v>0</v>
      </c>
      <c r="AB1101" s="78" t="b">
        <f t="shared" si="1060"/>
        <v>0</v>
      </c>
      <c r="AC1101" s="78" t="b">
        <f t="shared" si="1061"/>
        <v>0</v>
      </c>
      <c r="AD1101" s="78" t="b">
        <f t="shared" si="1062"/>
        <v>0</v>
      </c>
      <c r="AE1101" s="78" t="b">
        <f t="shared" si="1063"/>
        <v>0</v>
      </c>
      <c r="AF1101" s="78" t="b">
        <f t="shared" si="1064"/>
        <v>0</v>
      </c>
      <c r="AG1101" s="78" t="b">
        <f t="shared" si="1065"/>
        <v>0</v>
      </c>
      <c r="AH1101" s="78" t="b">
        <f t="shared" si="1066"/>
        <v>0</v>
      </c>
      <c r="AI1101" s="78" t="b">
        <f t="shared" si="1067"/>
        <v>0</v>
      </c>
      <c r="AJ1101" s="78" t="b">
        <f t="shared" si="1068"/>
        <v>0</v>
      </c>
      <c r="AK1101" s="78" t="b">
        <f t="shared" si="1069"/>
        <v>0</v>
      </c>
      <c r="AL1101" s="78" t="b">
        <f t="shared" si="1070"/>
        <v>0</v>
      </c>
      <c r="AM1101" s="78" t="b">
        <f t="shared" si="1071"/>
        <v>0</v>
      </c>
      <c r="AN1101" s="78" t="b">
        <f t="shared" si="1072"/>
        <v>0</v>
      </c>
      <c r="AO1101" s="78" t="b">
        <f t="shared" si="1073"/>
        <v>0</v>
      </c>
    </row>
    <row r="1102" spans="7:41" x14ac:dyDescent="0.35">
      <c r="G1102" s="77">
        <f t="shared" si="1043"/>
        <v>0</v>
      </c>
      <c r="H1102" s="78">
        <f t="shared" si="1044"/>
        <v>0</v>
      </c>
      <c r="I1102" s="77">
        <f t="shared" si="1045"/>
        <v>0</v>
      </c>
      <c r="J1102" s="78">
        <f t="shared" si="1046"/>
        <v>0</v>
      </c>
      <c r="K1102" s="78" t="str">
        <f t="shared" si="1047"/>
        <v>1900-01-00 00:0:00</v>
      </c>
      <c r="L1102" s="78" t="str">
        <f t="shared" si="1048"/>
        <v>1900-01-00 00:0:00</v>
      </c>
      <c r="M1102" s="79">
        <f t="shared" si="1049"/>
        <v>0</v>
      </c>
      <c r="N1102">
        <f t="shared" si="1074"/>
        <v>1</v>
      </c>
      <c r="O1102" t="str">
        <f>IFERROR(_xlfn.XLOOKUP(A1102,HC!A:A,HC!C:C),"")</f>
        <v>Workforce</v>
      </c>
      <c r="R1102" s="78" t="b">
        <f t="shared" si="1050"/>
        <v>0</v>
      </c>
      <c r="S1102" s="78" t="b">
        <f t="shared" si="1051"/>
        <v>0</v>
      </c>
      <c r="T1102" s="78" t="b">
        <f t="shared" si="1052"/>
        <v>0</v>
      </c>
      <c r="U1102" s="78" t="b">
        <f t="shared" si="1053"/>
        <v>0</v>
      </c>
      <c r="V1102" s="78" t="b">
        <f t="shared" si="1054"/>
        <v>0</v>
      </c>
      <c r="W1102" s="78" t="b">
        <f t="shared" si="1055"/>
        <v>0</v>
      </c>
      <c r="X1102" s="78" t="b">
        <f t="shared" si="1056"/>
        <v>0</v>
      </c>
      <c r="Y1102" s="78" t="b">
        <f t="shared" si="1057"/>
        <v>0</v>
      </c>
      <c r="Z1102" s="78" t="b">
        <f t="shared" si="1058"/>
        <v>0</v>
      </c>
      <c r="AA1102" s="78" t="b">
        <f t="shared" si="1059"/>
        <v>0</v>
      </c>
      <c r="AB1102" s="78" t="b">
        <f t="shared" si="1060"/>
        <v>0</v>
      </c>
      <c r="AC1102" s="78" t="b">
        <f t="shared" si="1061"/>
        <v>0</v>
      </c>
      <c r="AD1102" s="78" t="b">
        <f t="shared" si="1062"/>
        <v>0</v>
      </c>
      <c r="AE1102" s="78" t="b">
        <f t="shared" si="1063"/>
        <v>0</v>
      </c>
      <c r="AF1102" s="78" t="b">
        <f t="shared" si="1064"/>
        <v>0</v>
      </c>
      <c r="AG1102" s="78" t="b">
        <f t="shared" si="1065"/>
        <v>0</v>
      </c>
      <c r="AH1102" s="78" t="b">
        <f t="shared" si="1066"/>
        <v>0</v>
      </c>
      <c r="AI1102" s="78" t="b">
        <f t="shared" si="1067"/>
        <v>0</v>
      </c>
      <c r="AJ1102" s="78" t="b">
        <f t="shared" si="1068"/>
        <v>0</v>
      </c>
      <c r="AK1102" s="78" t="b">
        <f t="shared" si="1069"/>
        <v>0</v>
      </c>
      <c r="AL1102" s="78" t="b">
        <f t="shared" si="1070"/>
        <v>0</v>
      </c>
      <c r="AM1102" s="78" t="b">
        <f t="shared" si="1071"/>
        <v>0</v>
      </c>
      <c r="AN1102" s="78" t="b">
        <f t="shared" si="1072"/>
        <v>0</v>
      </c>
      <c r="AO1102" s="78" t="b">
        <f t="shared" si="1073"/>
        <v>0</v>
      </c>
    </row>
    <row r="1103" spans="7:41" x14ac:dyDescent="0.35">
      <c r="G1103" s="77">
        <f t="shared" si="1043"/>
        <v>0</v>
      </c>
      <c r="H1103" s="78">
        <f t="shared" si="1044"/>
        <v>0</v>
      </c>
      <c r="I1103" s="77">
        <f t="shared" si="1045"/>
        <v>0</v>
      </c>
      <c r="J1103" s="78">
        <f t="shared" si="1046"/>
        <v>0</v>
      </c>
      <c r="K1103" s="78" t="str">
        <f t="shared" si="1047"/>
        <v>1900-01-00 00:0:00</v>
      </c>
      <c r="L1103" s="78" t="str">
        <f t="shared" si="1048"/>
        <v>1900-01-00 00:0:00</v>
      </c>
      <c r="M1103" s="79">
        <f t="shared" si="1049"/>
        <v>0</v>
      </c>
      <c r="N1103">
        <f t="shared" si="1074"/>
        <v>1</v>
      </c>
      <c r="O1103" t="str">
        <f>IFERROR(_xlfn.XLOOKUP(A1103,HC!A:A,HC!C:C),"")</f>
        <v>Workforce</v>
      </c>
      <c r="R1103" s="78" t="b">
        <f t="shared" si="1050"/>
        <v>0</v>
      </c>
      <c r="S1103" s="78" t="b">
        <f t="shared" si="1051"/>
        <v>0</v>
      </c>
      <c r="T1103" s="78" t="b">
        <f t="shared" si="1052"/>
        <v>0</v>
      </c>
      <c r="U1103" s="78" t="b">
        <f t="shared" si="1053"/>
        <v>0</v>
      </c>
      <c r="V1103" s="78" t="b">
        <f t="shared" si="1054"/>
        <v>0</v>
      </c>
      <c r="W1103" s="78" t="b">
        <f t="shared" si="1055"/>
        <v>0</v>
      </c>
      <c r="X1103" s="78" t="b">
        <f t="shared" si="1056"/>
        <v>0</v>
      </c>
      <c r="Y1103" s="78" t="b">
        <f t="shared" si="1057"/>
        <v>0</v>
      </c>
      <c r="Z1103" s="78" t="b">
        <f t="shared" si="1058"/>
        <v>0</v>
      </c>
      <c r="AA1103" s="78" t="b">
        <f t="shared" si="1059"/>
        <v>0</v>
      </c>
      <c r="AB1103" s="78" t="b">
        <f t="shared" si="1060"/>
        <v>0</v>
      </c>
      <c r="AC1103" s="78" t="b">
        <f t="shared" si="1061"/>
        <v>0</v>
      </c>
      <c r="AD1103" s="78" t="b">
        <f t="shared" si="1062"/>
        <v>0</v>
      </c>
      <c r="AE1103" s="78" t="b">
        <f t="shared" si="1063"/>
        <v>0</v>
      </c>
      <c r="AF1103" s="78" t="b">
        <f t="shared" si="1064"/>
        <v>0</v>
      </c>
      <c r="AG1103" s="78" t="b">
        <f t="shared" si="1065"/>
        <v>0</v>
      </c>
      <c r="AH1103" s="78" t="b">
        <f t="shared" si="1066"/>
        <v>0</v>
      </c>
      <c r="AI1103" s="78" t="b">
        <f t="shared" si="1067"/>
        <v>0</v>
      </c>
      <c r="AJ1103" s="78" t="b">
        <f t="shared" si="1068"/>
        <v>0</v>
      </c>
      <c r="AK1103" s="78" t="b">
        <f t="shared" si="1069"/>
        <v>0</v>
      </c>
      <c r="AL1103" s="78" t="b">
        <f t="shared" si="1070"/>
        <v>0</v>
      </c>
      <c r="AM1103" s="78" t="b">
        <f t="shared" si="1071"/>
        <v>0</v>
      </c>
      <c r="AN1103" s="78" t="b">
        <f t="shared" si="1072"/>
        <v>0</v>
      </c>
      <c r="AO1103" s="78" t="b">
        <f t="shared" si="1073"/>
        <v>0</v>
      </c>
    </row>
    <row r="1104" spans="7:41" x14ac:dyDescent="0.35">
      <c r="G1104" s="77">
        <f t="shared" si="1043"/>
        <v>0</v>
      </c>
      <c r="H1104" s="78">
        <f t="shared" si="1044"/>
        <v>0</v>
      </c>
      <c r="I1104" s="77">
        <f t="shared" si="1045"/>
        <v>0</v>
      </c>
      <c r="J1104" s="78">
        <f t="shared" si="1046"/>
        <v>0</v>
      </c>
      <c r="K1104" s="78" t="str">
        <f t="shared" si="1047"/>
        <v>1900-01-00 00:0:00</v>
      </c>
      <c r="L1104" s="78" t="str">
        <f t="shared" si="1048"/>
        <v>1900-01-00 00:0:00</v>
      </c>
      <c r="M1104" s="79">
        <f t="shared" si="1049"/>
        <v>0</v>
      </c>
      <c r="N1104">
        <f t="shared" si="1074"/>
        <v>1</v>
      </c>
      <c r="O1104" t="str">
        <f>IFERROR(_xlfn.XLOOKUP(A1104,HC!A:A,HC!C:C),"")</f>
        <v>Workforce</v>
      </c>
      <c r="R1104" s="78" t="b">
        <f t="shared" si="1050"/>
        <v>0</v>
      </c>
      <c r="S1104" s="78" t="b">
        <f t="shared" si="1051"/>
        <v>0</v>
      </c>
      <c r="T1104" s="78" t="b">
        <f t="shared" si="1052"/>
        <v>0</v>
      </c>
      <c r="U1104" s="78" t="b">
        <f t="shared" si="1053"/>
        <v>0</v>
      </c>
      <c r="V1104" s="78" t="b">
        <f t="shared" si="1054"/>
        <v>0</v>
      </c>
      <c r="W1104" s="78" t="b">
        <f t="shared" si="1055"/>
        <v>0</v>
      </c>
      <c r="X1104" s="78" t="b">
        <f t="shared" si="1056"/>
        <v>0</v>
      </c>
      <c r="Y1104" s="78" t="b">
        <f t="shared" si="1057"/>
        <v>0</v>
      </c>
      <c r="Z1104" s="78" t="b">
        <f t="shared" si="1058"/>
        <v>0</v>
      </c>
      <c r="AA1104" s="78" t="b">
        <f t="shared" si="1059"/>
        <v>0</v>
      </c>
      <c r="AB1104" s="78" t="b">
        <f t="shared" si="1060"/>
        <v>0</v>
      </c>
      <c r="AC1104" s="78" t="b">
        <f t="shared" si="1061"/>
        <v>0</v>
      </c>
      <c r="AD1104" s="78" t="b">
        <f t="shared" si="1062"/>
        <v>0</v>
      </c>
      <c r="AE1104" s="78" t="b">
        <f t="shared" si="1063"/>
        <v>0</v>
      </c>
      <c r="AF1104" s="78" t="b">
        <f t="shared" si="1064"/>
        <v>0</v>
      </c>
      <c r="AG1104" s="78" t="b">
        <f t="shared" si="1065"/>
        <v>0</v>
      </c>
      <c r="AH1104" s="78" t="b">
        <f t="shared" si="1066"/>
        <v>0</v>
      </c>
      <c r="AI1104" s="78" t="b">
        <f t="shared" si="1067"/>
        <v>0</v>
      </c>
      <c r="AJ1104" s="78" t="b">
        <f t="shared" si="1068"/>
        <v>0</v>
      </c>
      <c r="AK1104" s="78" t="b">
        <f t="shared" si="1069"/>
        <v>0</v>
      </c>
      <c r="AL1104" s="78" t="b">
        <f t="shared" si="1070"/>
        <v>0</v>
      </c>
      <c r="AM1104" s="78" t="b">
        <f t="shared" si="1071"/>
        <v>0</v>
      </c>
      <c r="AN1104" s="78" t="b">
        <f t="shared" si="1072"/>
        <v>0</v>
      </c>
      <c r="AO1104" s="78" t="b">
        <f t="shared" si="1073"/>
        <v>0</v>
      </c>
    </row>
    <row r="1105" spans="7:41" x14ac:dyDescent="0.35">
      <c r="G1105" s="77">
        <f t="shared" si="1043"/>
        <v>0</v>
      </c>
      <c r="H1105" s="78">
        <f t="shared" si="1044"/>
        <v>0</v>
      </c>
      <c r="I1105" s="77">
        <f t="shared" si="1045"/>
        <v>0</v>
      </c>
      <c r="J1105" s="78">
        <f t="shared" si="1046"/>
        <v>0</v>
      </c>
      <c r="K1105" s="78" t="str">
        <f t="shared" si="1047"/>
        <v>1900-01-00 00:0:00</v>
      </c>
      <c r="L1105" s="78" t="str">
        <f t="shared" si="1048"/>
        <v>1900-01-00 00:0:00</v>
      </c>
      <c r="M1105" s="79">
        <f t="shared" si="1049"/>
        <v>0</v>
      </c>
      <c r="N1105">
        <f t="shared" si="1074"/>
        <v>1</v>
      </c>
      <c r="O1105" t="str">
        <f>IFERROR(_xlfn.XLOOKUP(A1105,HC!A:A,HC!C:C),"")</f>
        <v>Workforce</v>
      </c>
      <c r="R1105" s="78" t="b">
        <f t="shared" si="1050"/>
        <v>0</v>
      </c>
      <c r="S1105" s="78" t="b">
        <f t="shared" si="1051"/>
        <v>0</v>
      </c>
      <c r="T1105" s="78" t="b">
        <f t="shared" si="1052"/>
        <v>0</v>
      </c>
      <c r="U1105" s="78" t="b">
        <f t="shared" si="1053"/>
        <v>0</v>
      </c>
      <c r="V1105" s="78" t="b">
        <f t="shared" si="1054"/>
        <v>0</v>
      </c>
      <c r="W1105" s="78" t="b">
        <f t="shared" si="1055"/>
        <v>0</v>
      </c>
      <c r="X1105" s="78" t="b">
        <f t="shared" si="1056"/>
        <v>0</v>
      </c>
      <c r="Y1105" s="78" t="b">
        <f t="shared" si="1057"/>
        <v>0</v>
      </c>
      <c r="Z1105" s="78" t="b">
        <f t="shared" si="1058"/>
        <v>0</v>
      </c>
      <c r="AA1105" s="78" t="b">
        <f t="shared" si="1059"/>
        <v>0</v>
      </c>
      <c r="AB1105" s="78" t="b">
        <f t="shared" si="1060"/>
        <v>0</v>
      </c>
      <c r="AC1105" s="78" t="b">
        <f t="shared" si="1061"/>
        <v>0</v>
      </c>
      <c r="AD1105" s="78" t="b">
        <f t="shared" si="1062"/>
        <v>0</v>
      </c>
      <c r="AE1105" s="78" t="b">
        <f t="shared" si="1063"/>
        <v>0</v>
      </c>
      <c r="AF1105" s="78" t="b">
        <f t="shared" si="1064"/>
        <v>0</v>
      </c>
      <c r="AG1105" s="78" t="b">
        <f t="shared" si="1065"/>
        <v>0</v>
      </c>
      <c r="AH1105" s="78" t="b">
        <f t="shared" si="1066"/>
        <v>0</v>
      </c>
      <c r="AI1105" s="78" t="b">
        <f t="shared" si="1067"/>
        <v>0</v>
      </c>
      <c r="AJ1105" s="78" t="b">
        <f t="shared" si="1068"/>
        <v>0</v>
      </c>
      <c r="AK1105" s="78" t="b">
        <f t="shared" si="1069"/>
        <v>0</v>
      </c>
      <c r="AL1105" s="78" t="b">
        <f t="shared" si="1070"/>
        <v>0</v>
      </c>
      <c r="AM1105" s="78" t="b">
        <f t="shared" si="1071"/>
        <v>0</v>
      </c>
      <c r="AN1105" s="78" t="b">
        <f t="shared" si="1072"/>
        <v>0</v>
      </c>
      <c r="AO1105" s="78" t="b">
        <f t="shared" si="1073"/>
        <v>0</v>
      </c>
    </row>
    <row r="1106" spans="7:41" x14ac:dyDescent="0.35">
      <c r="G1106" s="77">
        <f t="shared" si="1043"/>
        <v>0</v>
      </c>
      <c r="H1106" s="78">
        <f t="shared" si="1044"/>
        <v>0</v>
      </c>
      <c r="I1106" s="77">
        <f t="shared" si="1045"/>
        <v>0</v>
      </c>
      <c r="J1106" s="78">
        <f t="shared" si="1046"/>
        <v>0</v>
      </c>
      <c r="K1106" s="78" t="str">
        <f t="shared" si="1047"/>
        <v>1900-01-00 00:0:00</v>
      </c>
      <c r="L1106" s="78" t="str">
        <f t="shared" si="1048"/>
        <v>1900-01-00 00:0:00</v>
      </c>
      <c r="M1106" s="79">
        <f t="shared" si="1049"/>
        <v>0</v>
      </c>
      <c r="N1106">
        <f t="shared" si="1074"/>
        <v>1</v>
      </c>
      <c r="O1106" t="str">
        <f>IFERROR(_xlfn.XLOOKUP(A1106,HC!A:A,HC!C:C),"")</f>
        <v>Workforce</v>
      </c>
      <c r="R1106" s="78" t="b">
        <f t="shared" si="1050"/>
        <v>0</v>
      </c>
      <c r="S1106" s="78" t="b">
        <f t="shared" si="1051"/>
        <v>0</v>
      </c>
      <c r="T1106" s="78" t="b">
        <f t="shared" si="1052"/>
        <v>0</v>
      </c>
      <c r="U1106" s="78" t="b">
        <f t="shared" si="1053"/>
        <v>0</v>
      </c>
      <c r="V1106" s="78" t="b">
        <f t="shared" si="1054"/>
        <v>0</v>
      </c>
      <c r="W1106" s="78" t="b">
        <f t="shared" si="1055"/>
        <v>0</v>
      </c>
      <c r="X1106" s="78" t="b">
        <f t="shared" si="1056"/>
        <v>0</v>
      </c>
      <c r="Y1106" s="78" t="b">
        <f t="shared" si="1057"/>
        <v>0</v>
      </c>
      <c r="Z1106" s="78" t="b">
        <f t="shared" si="1058"/>
        <v>0</v>
      </c>
      <c r="AA1106" s="78" t="b">
        <f t="shared" si="1059"/>
        <v>0</v>
      </c>
      <c r="AB1106" s="78" t="b">
        <f t="shared" si="1060"/>
        <v>0</v>
      </c>
      <c r="AC1106" s="78" t="b">
        <f t="shared" si="1061"/>
        <v>0</v>
      </c>
      <c r="AD1106" s="78" t="b">
        <f t="shared" si="1062"/>
        <v>0</v>
      </c>
      <c r="AE1106" s="78" t="b">
        <f t="shared" si="1063"/>
        <v>0</v>
      </c>
      <c r="AF1106" s="78" t="b">
        <f t="shared" si="1064"/>
        <v>0</v>
      </c>
      <c r="AG1106" s="78" t="b">
        <f t="shared" si="1065"/>
        <v>0</v>
      </c>
      <c r="AH1106" s="78" t="b">
        <f t="shared" si="1066"/>
        <v>0</v>
      </c>
      <c r="AI1106" s="78" t="b">
        <f t="shared" si="1067"/>
        <v>0</v>
      </c>
      <c r="AJ1106" s="78" t="b">
        <f t="shared" si="1068"/>
        <v>0</v>
      </c>
      <c r="AK1106" s="78" t="b">
        <f t="shared" si="1069"/>
        <v>0</v>
      </c>
      <c r="AL1106" s="78" t="b">
        <f t="shared" si="1070"/>
        <v>0</v>
      </c>
      <c r="AM1106" s="78" t="b">
        <f t="shared" si="1071"/>
        <v>0</v>
      </c>
      <c r="AN1106" s="78" t="b">
        <f t="shared" si="1072"/>
        <v>0</v>
      </c>
      <c r="AO1106" s="78" t="b">
        <f t="shared" si="1073"/>
        <v>0</v>
      </c>
    </row>
    <row r="1107" spans="7:41" x14ac:dyDescent="0.35">
      <c r="G1107" s="77">
        <f t="shared" si="1043"/>
        <v>0</v>
      </c>
      <c r="H1107" s="78">
        <f t="shared" si="1044"/>
        <v>0</v>
      </c>
      <c r="I1107" s="77">
        <f t="shared" si="1045"/>
        <v>0</v>
      </c>
      <c r="J1107" s="78">
        <f t="shared" si="1046"/>
        <v>0</v>
      </c>
      <c r="K1107" s="78" t="str">
        <f t="shared" si="1047"/>
        <v>1900-01-00 00:0:00</v>
      </c>
      <c r="L1107" s="78" t="str">
        <f t="shared" si="1048"/>
        <v>1900-01-00 00:0:00</v>
      </c>
      <c r="M1107" s="79">
        <f t="shared" si="1049"/>
        <v>0</v>
      </c>
      <c r="N1107">
        <f t="shared" si="1074"/>
        <v>1</v>
      </c>
      <c r="O1107" t="str">
        <f>IFERROR(_xlfn.XLOOKUP(A1107,HC!A:A,HC!C:C),"")</f>
        <v>Workforce</v>
      </c>
      <c r="R1107" s="78" t="b">
        <f t="shared" si="1050"/>
        <v>0</v>
      </c>
      <c r="S1107" s="78" t="b">
        <f t="shared" si="1051"/>
        <v>0</v>
      </c>
      <c r="T1107" s="78" t="b">
        <f t="shared" si="1052"/>
        <v>0</v>
      </c>
      <c r="U1107" s="78" t="b">
        <f t="shared" si="1053"/>
        <v>0</v>
      </c>
      <c r="V1107" s="78" t="b">
        <f t="shared" si="1054"/>
        <v>0</v>
      </c>
      <c r="W1107" s="78" t="b">
        <f t="shared" si="1055"/>
        <v>0</v>
      </c>
      <c r="X1107" s="78" t="b">
        <f t="shared" si="1056"/>
        <v>0</v>
      </c>
      <c r="Y1107" s="78" t="b">
        <f t="shared" si="1057"/>
        <v>0</v>
      </c>
      <c r="Z1107" s="78" t="b">
        <f t="shared" si="1058"/>
        <v>0</v>
      </c>
      <c r="AA1107" s="78" t="b">
        <f t="shared" si="1059"/>
        <v>0</v>
      </c>
      <c r="AB1107" s="78" t="b">
        <f t="shared" si="1060"/>
        <v>0</v>
      </c>
      <c r="AC1107" s="78" t="b">
        <f t="shared" si="1061"/>
        <v>0</v>
      </c>
      <c r="AD1107" s="78" t="b">
        <f t="shared" si="1062"/>
        <v>0</v>
      </c>
      <c r="AE1107" s="78" t="b">
        <f t="shared" si="1063"/>
        <v>0</v>
      </c>
      <c r="AF1107" s="78" t="b">
        <f t="shared" si="1064"/>
        <v>0</v>
      </c>
      <c r="AG1107" s="78" t="b">
        <f t="shared" si="1065"/>
        <v>0</v>
      </c>
      <c r="AH1107" s="78" t="b">
        <f t="shared" si="1066"/>
        <v>0</v>
      </c>
      <c r="AI1107" s="78" t="b">
        <f t="shared" si="1067"/>
        <v>0</v>
      </c>
      <c r="AJ1107" s="78" t="b">
        <f t="shared" si="1068"/>
        <v>0</v>
      </c>
      <c r="AK1107" s="78" t="b">
        <f t="shared" si="1069"/>
        <v>0</v>
      </c>
      <c r="AL1107" s="78" t="b">
        <f t="shared" si="1070"/>
        <v>0</v>
      </c>
      <c r="AM1107" s="78" t="b">
        <f t="shared" si="1071"/>
        <v>0</v>
      </c>
      <c r="AN1107" s="78" t="b">
        <f t="shared" si="1072"/>
        <v>0</v>
      </c>
      <c r="AO1107" s="78" t="b">
        <f t="shared" si="1073"/>
        <v>0</v>
      </c>
    </row>
    <row r="1108" spans="7:41" x14ac:dyDescent="0.35">
      <c r="G1108" s="77">
        <f t="shared" si="1043"/>
        <v>0</v>
      </c>
      <c r="H1108" s="78">
        <f t="shared" si="1044"/>
        <v>0</v>
      </c>
      <c r="I1108" s="77">
        <f t="shared" si="1045"/>
        <v>0</v>
      </c>
      <c r="J1108" s="78">
        <f t="shared" si="1046"/>
        <v>0</v>
      </c>
      <c r="K1108" s="78" t="str">
        <f t="shared" si="1047"/>
        <v>1900-01-00 00:0:00</v>
      </c>
      <c r="L1108" s="78" t="str">
        <f t="shared" si="1048"/>
        <v>1900-01-00 00:0:00</v>
      </c>
      <c r="M1108" s="79">
        <f t="shared" si="1049"/>
        <v>0</v>
      </c>
      <c r="N1108">
        <f t="shared" si="1074"/>
        <v>1</v>
      </c>
      <c r="O1108" t="str">
        <f>IFERROR(_xlfn.XLOOKUP(A1108,HC!A:A,HC!C:C),"")</f>
        <v>Workforce</v>
      </c>
      <c r="R1108" s="78" t="b">
        <f t="shared" si="1050"/>
        <v>0</v>
      </c>
      <c r="S1108" s="78" t="b">
        <f t="shared" si="1051"/>
        <v>0</v>
      </c>
      <c r="T1108" s="78" t="b">
        <f t="shared" si="1052"/>
        <v>0</v>
      </c>
      <c r="U1108" s="78" t="b">
        <f t="shared" si="1053"/>
        <v>0</v>
      </c>
      <c r="V1108" s="78" t="b">
        <f t="shared" si="1054"/>
        <v>0</v>
      </c>
      <c r="W1108" s="78" t="b">
        <f t="shared" si="1055"/>
        <v>0</v>
      </c>
      <c r="X1108" s="78" t="b">
        <f t="shared" si="1056"/>
        <v>0</v>
      </c>
      <c r="Y1108" s="78" t="b">
        <f t="shared" si="1057"/>
        <v>0</v>
      </c>
      <c r="Z1108" s="78" t="b">
        <f t="shared" si="1058"/>
        <v>0</v>
      </c>
      <c r="AA1108" s="78" t="b">
        <f t="shared" si="1059"/>
        <v>0</v>
      </c>
      <c r="AB1108" s="78" t="b">
        <f t="shared" si="1060"/>
        <v>0</v>
      </c>
      <c r="AC1108" s="78" t="b">
        <f t="shared" si="1061"/>
        <v>0</v>
      </c>
      <c r="AD1108" s="78" t="b">
        <f t="shared" si="1062"/>
        <v>0</v>
      </c>
      <c r="AE1108" s="78" t="b">
        <f t="shared" si="1063"/>
        <v>0</v>
      </c>
      <c r="AF1108" s="78" t="b">
        <f t="shared" si="1064"/>
        <v>0</v>
      </c>
      <c r="AG1108" s="78" t="b">
        <f t="shared" si="1065"/>
        <v>0</v>
      </c>
      <c r="AH1108" s="78" t="b">
        <f t="shared" si="1066"/>
        <v>0</v>
      </c>
      <c r="AI1108" s="78" t="b">
        <f t="shared" si="1067"/>
        <v>0</v>
      </c>
      <c r="AJ1108" s="78" t="b">
        <f t="shared" si="1068"/>
        <v>0</v>
      </c>
      <c r="AK1108" s="78" t="b">
        <f t="shared" si="1069"/>
        <v>0</v>
      </c>
      <c r="AL1108" s="78" t="b">
        <f t="shared" si="1070"/>
        <v>0</v>
      </c>
      <c r="AM1108" s="78" t="b">
        <f t="shared" si="1071"/>
        <v>0</v>
      </c>
      <c r="AN1108" s="78" t="b">
        <f t="shared" si="1072"/>
        <v>0</v>
      </c>
      <c r="AO1108" s="78" t="b">
        <f t="shared" si="1073"/>
        <v>0</v>
      </c>
    </row>
    <row r="1109" spans="7:41" x14ac:dyDescent="0.35">
      <c r="G1109" s="77">
        <f t="shared" si="1043"/>
        <v>0</v>
      </c>
      <c r="H1109" s="78">
        <f t="shared" si="1044"/>
        <v>0</v>
      </c>
      <c r="I1109" s="77">
        <f t="shared" si="1045"/>
        <v>0</v>
      </c>
      <c r="J1109" s="78">
        <f t="shared" si="1046"/>
        <v>0</v>
      </c>
      <c r="K1109" s="78" t="str">
        <f t="shared" si="1047"/>
        <v>1900-01-00 00:0:00</v>
      </c>
      <c r="L1109" s="78" t="str">
        <f t="shared" si="1048"/>
        <v>1900-01-00 00:0:00</v>
      </c>
      <c r="M1109" s="79">
        <f t="shared" si="1049"/>
        <v>0</v>
      </c>
      <c r="N1109">
        <f t="shared" si="1074"/>
        <v>1</v>
      </c>
      <c r="O1109" t="str">
        <f>IFERROR(_xlfn.XLOOKUP(A1109,HC!A:A,HC!C:C),"")</f>
        <v>Workforce</v>
      </c>
      <c r="R1109" s="78" t="b">
        <f t="shared" si="1050"/>
        <v>0</v>
      </c>
      <c r="S1109" s="78" t="b">
        <f t="shared" si="1051"/>
        <v>0</v>
      </c>
      <c r="T1109" s="78" t="b">
        <f t="shared" si="1052"/>
        <v>0</v>
      </c>
      <c r="U1109" s="78" t="b">
        <f t="shared" si="1053"/>
        <v>0</v>
      </c>
      <c r="V1109" s="78" t="b">
        <f t="shared" si="1054"/>
        <v>0</v>
      </c>
      <c r="W1109" s="78" t="b">
        <f t="shared" si="1055"/>
        <v>0</v>
      </c>
      <c r="X1109" s="78" t="b">
        <f t="shared" si="1056"/>
        <v>0</v>
      </c>
      <c r="Y1109" s="78" t="b">
        <f t="shared" si="1057"/>
        <v>0</v>
      </c>
      <c r="Z1109" s="78" t="b">
        <f t="shared" si="1058"/>
        <v>0</v>
      </c>
      <c r="AA1109" s="78" t="b">
        <f t="shared" si="1059"/>
        <v>0</v>
      </c>
      <c r="AB1109" s="78" t="b">
        <f t="shared" si="1060"/>
        <v>0</v>
      </c>
      <c r="AC1109" s="78" t="b">
        <f t="shared" si="1061"/>
        <v>0</v>
      </c>
      <c r="AD1109" s="78" t="b">
        <f t="shared" si="1062"/>
        <v>0</v>
      </c>
      <c r="AE1109" s="78" t="b">
        <f t="shared" si="1063"/>
        <v>0</v>
      </c>
      <c r="AF1109" s="78" t="b">
        <f t="shared" si="1064"/>
        <v>0</v>
      </c>
      <c r="AG1109" s="78" t="b">
        <f t="shared" si="1065"/>
        <v>0</v>
      </c>
      <c r="AH1109" s="78" t="b">
        <f t="shared" si="1066"/>
        <v>0</v>
      </c>
      <c r="AI1109" s="78" t="b">
        <f t="shared" si="1067"/>
        <v>0</v>
      </c>
      <c r="AJ1109" s="78" t="b">
        <f t="shared" si="1068"/>
        <v>0</v>
      </c>
      <c r="AK1109" s="78" t="b">
        <f t="shared" si="1069"/>
        <v>0</v>
      </c>
      <c r="AL1109" s="78" t="b">
        <f t="shared" si="1070"/>
        <v>0</v>
      </c>
      <c r="AM1109" s="78" t="b">
        <f t="shared" si="1071"/>
        <v>0</v>
      </c>
      <c r="AN1109" s="78" t="b">
        <f t="shared" si="1072"/>
        <v>0</v>
      </c>
      <c r="AO1109" s="78" t="b">
        <f t="shared" si="1073"/>
        <v>0</v>
      </c>
    </row>
    <row r="1110" spans="7:41" x14ac:dyDescent="0.35">
      <c r="G1110" s="77">
        <f t="shared" si="1043"/>
        <v>0</v>
      </c>
      <c r="H1110" s="78">
        <f t="shared" si="1044"/>
        <v>0</v>
      </c>
      <c r="I1110" s="77">
        <f t="shared" si="1045"/>
        <v>0</v>
      </c>
      <c r="J1110" s="78">
        <f t="shared" si="1046"/>
        <v>0</v>
      </c>
      <c r="K1110" s="78" t="str">
        <f t="shared" si="1047"/>
        <v>1900-01-00 00:0:00</v>
      </c>
      <c r="L1110" s="78" t="str">
        <f t="shared" si="1048"/>
        <v>1900-01-00 00:0:00</v>
      </c>
      <c r="M1110" s="79">
        <f t="shared" si="1049"/>
        <v>0</v>
      </c>
      <c r="N1110">
        <f t="shared" si="1074"/>
        <v>1</v>
      </c>
      <c r="O1110" t="str">
        <f>IFERROR(_xlfn.XLOOKUP(A1110,HC!A:A,HC!C:C),"")</f>
        <v>Workforce</v>
      </c>
      <c r="R1110" s="78" t="b">
        <f t="shared" si="1050"/>
        <v>0</v>
      </c>
      <c r="S1110" s="78" t="b">
        <f t="shared" si="1051"/>
        <v>0</v>
      </c>
      <c r="T1110" s="78" t="b">
        <f t="shared" si="1052"/>
        <v>0</v>
      </c>
      <c r="U1110" s="78" t="b">
        <f t="shared" si="1053"/>
        <v>0</v>
      </c>
      <c r="V1110" s="78" t="b">
        <f t="shared" si="1054"/>
        <v>0</v>
      </c>
      <c r="W1110" s="78" t="b">
        <f t="shared" si="1055"/>
        <v>0</v>
      </c>
      <c r="X1110" s="78" t="b">
        <f t="shared" si="1056"/>
        <v>0</v>
      </c>
      <c r="Y1110" s="78" t="b">
        <f t="shared" si="1057"/>
        <v>0</v>
      </c>
      <c r="Z1110" s="78" t="b">
        <f t="shared" si="1058"/>
        <v>0</v>
      </c>
      <c r="AA1110" s="78" t="b">
        <f t="shared" si="1059"/>
        <v>0</v>
      </c>
      <c r="AB1110" s="78" t="b">
        <f t="shared" si="1060"/>
        <v>0</v>
      </c>
      <c r="AC1110" s="78" t="b">
        <f t="shared" si="1061"/>
        <v>0</v>
      </c>
      <c r="AD1110" s="78" t="b">
        <f t="shared" si="1062"/>
        <v>0</v>
      </c>
      <c r="AE1110" s="78" t="b">
        <f t="shared" si="1063"/>
        <v>0</v>
      </c>
      <c r="AF1110" s="78" t="b">
        <f t="shared" si="1064"/>
        <v>0</v>
      </c>
      <c r="AG1110" s="78" t="b">
        <f t="shared" si="1065"/>
        <v>0</v>
      </c>
      <c r="AH1110" s="78" t="b">
        <f t="shared" si="1066"/>
        <v>0</v>
      </c>
      <c r="AI1110" s="78" t="b">
        <f t="shared" si="1067"/>
        <v>0</v>
      </c>
      <c r="AJ1110" s="78" t="b">
        <f t="shared" si="1068"/>
        <v>0</v>
      </c>
      <c r="AK1110" s="78" t="b">
        <f t="shared" si="1069"/>
        <v>0</v>
      </c>
      <c r="AL1110" s="78" t="b">
        <f t="shared" si="1070"/>
        <v>0</v>
      </c>
      <c r="AM1110" s="78" t="b">
        <f t="shared" si="1071"/>
        <v>0</v>
      </c>
      <c r="AN1110" s="78" t="b">
        <f t="shared" si="1072"/>
        <v>0</v>
      </c>
      <c r="AO1110" s="78" t="b">
        <f t="shared" si="1073"/>
        <v>0</v>
      </c>
    </row>
    <row r="1111" spans="7:41" x14ac:dyDescent="0.35">
      <c r="G1111" s="77">
        <f t="shared" si="1043"/>
        <v>0</v>
      </c>
      <c r="H1111" s="78">
        <f t="shared" si="1044"/>
        <v>0</v>
      </c>
      <c r="I1111" s="77">
        <f t="shared" si="1045"/>
        <v>0</v>
      </c>
      <c r="J1111" s="78">
        <f t="shared" si="1046"/>
        <v>0</v>
      </c>
      <c r="K1111" s="78" t="str">
        <f t="shared" si="1047"/>
        <v>1900-01-00 00:0:00</v>
      </c>
      <c r="L1111" s="78" t="str">
        <f t="shared" si="1048"/>
        <v>1900-01-00 00:0:00</v>
      </c>
      <c r="M1111" s="79">
        <f t="shared" si="1049"/>
        <v>0</v>
      </c>
      <c r="N1111">
        <f t="shared" si="1074"/>
        <v>1</v>
      </c>
      <c r="O1111" t="str">
        <f>IFERROR(_xlfn.XLOOKUP(A1111,HC!A:A,HC!C:C),"")</f>
        <v>Workforce</v>
      </c>
      <c r="R1111" s="78" t="b">
        <f t="shared" si="1050"/>
        <v>0</v>
      </c>
      <c r="S1111" s="78" t="b">
        <f t="shared" si="1051"/>
        <v>0</v>
      </c>
      <c r="T1111" s="78" t="b">
        <f t="shared" si="1052"/>
        <v>0</v>
      </c>
      <c r="U1111" s="78" t="b">
        <f t="shared" si="1053"/>
        <v>0</v>
      </c>
      <c r="V1111" s="78" t="b">
        <f t="shared" si="1054"/>
        <v>0</v>
      </c>
      <c r="W1111" s="78" t="b">
        <f t="shared" si="1055"/>
        <v>0</v>
      </c>
      <c r="X1111" s="78" t="b">
        <f t="shared" si="1056"/>
        <v>0</v>
      </c>
      <c r="Y1111" s="78" t="b">
        <f t="shared" si="1057"/>
        <v>0</v>
      </c>
      <c r="Z1111" s="78" t="b">
        <f t="shared" si="1058"/>
        <v>0</v>
      </c>
      <c r="AA1111" s="78" t="b">
        <f t="shared" si="1059"/>
        <v>0</v>
      </c>
      <c r="AB1111" s="78" t="b">
        <f t="shared" si="1060"/>
        <v>0</v>
      </c>
      <c r="AC1111" s="78" t="b">
        <f t="shared" si="1061"/>
        <v>0</v>
      </c>
      <c r="AD1111" s="78" t="b">
        <f t="shared" si="1062"/>
        <v>0</v>
      </c>
      <c r="AE1111" s="78" t="b">
        <f t="shared" si="1063"/>
        <v>0</v>
      </c>
      <c r="AF1111" s="78" t="b">
        <f t="shared" si="1064"/>
        <v>0</v>
      </c>
      <c r="AG1111" s="78" t="b">
        <f t="shared" si="1065"/>
        <v>0</v>
      </c>
      <c r="AH1111" s="78" t="b">
        <f t="shared" si="1066"/>
        <v>0</v>
      </c>
      <c r="AI1111" s="78" t="b">
        <f t="shared" si="1067"/>
        <v>0</v>
      </c>
      <c r="AJ1111" s="78" t="b">
        <f t="shared" si="1068"/>
        <v>0</v>
      </c>
      <c r="AK1111" s="78" t="b">
        <f t="shared" si="1069"/>
        <v>0</v>
      </c>
      <c r="AL1111" s="78" t="b">
        <f t="shared" si="1070"/>
        <v>0</v>
      </c>
      <c r="AM1111" s="78" t="b">
        <f t="shared" si="1071"/>
        <v>0</v>
      </c>
      <c r="AN1111" s="78" t="b">
        <f t="shared" si="1072"/>
        <v>0</v>
      </c>
      <c r="AO1111" s="78" t="b">
        <f t="shared" si="1073"/>
        <v>0</v>
      </c>
    </row>
    <row r="1112" spans="7:41" x14ac:dyDescent="0.35">
      <c r="G1112" s="77">
        <f t="shared" si="1043"/>
        <v>0</v>
      </c>
      <c r="H1112" s="78">
        <f t="shared" si="1044"/>
        <v>0</v>
      </c>
      <c r="I1112" s="77">
        <f t="shared" si="1045"/>
        <v>0</v>
      </c>
      <c r="J1112" s="78">
        <f t="shared" si="1046"/>
        <v>0</v>
      </c>
      <c r="K1112" s="78" t="str">
        <f t="shared" si="1047"/>
        <v>1900-01-00 00:0:00</v>
      </c>
      <c r="L1112" s="78" t="str">
        <f t="shared" si="1048"/>
        <v>1900-01-00 00:0:00</v>
      </c>
      <c r="M1112" s="79">
        <f t="shared" si="1049"/>
        <v>0</v>
      </c>
      <c r="N1112">
        <f t="shared" si="1074"/>
        <v>1</v>
      </c>
      <c r="O1112" t="str">
        <f>IFERROR(_xlfn.XLOOKUP(A1112,HC!A:A,HC!C:C),"")</f>
        <v>Workforce</v>
      </c>
      <c r="R1112" s="78" t="b">
        <f t="shared" si="1050"/>
        <v>0</v>
      </c>
      <c r="S1112" s="78" t="b">
        <f t="shared" si="1051"/>
        <v>0</v>
      </c>
      <c r="T1112" s="78" t="b">
        <f t="shared" si="1052"/>
        <v>0</v>
      </c>
      <c r="U1112" s="78" t="b">
        <f t="shared" si="1053"/>
        <v>0</v>
      </c>
      <c r="V1112" s="78" t="b">
        <f t="shared" si="1054"/>
        <v>0</v>
      </c>
      <c r="W1112" s="78" t="b">
        <f t="shared" si="1055"/>
        <v>0</v>
      </c>
      <c r="X1112" s="78" t="b">
        <f t="shared" si="1056"/>
        <v>0</v>
      </c>
      <c r="Y1112" s="78" t="b">
        <f t="shared" si="1057"/>
        <v>0</v>
      </c>
      <c r="Z1112" s="78" t="b">
        <f t="shared" si="1058"/>
        <v>0</v>
      </c>
      <c r="AA1112" s="78" t="b">
        <f t="shared" si="1059"/>
        <v>0</v>
      </c>
      <c r="AB1112" s="78" t="b">
        <f t="shared" si="1060"/>
        <v>0</v>
      </c>
      <c r="AC1112" s="78" t="b">
        <f t="shared" si="1061"/>
        <v>0</v>
      </c>
      <c r="AD1112" s="78" t="b">
        <f t="shared" si="1062"/>
        <v>0</v>
      </c>
      <c r="AE1112" s="78" t="b">
        <f t="shared" si="1063"/>
        <v>0</v>
      </c>
      <c r="AF1112" s="78" t="b">
        <f t="shared" si="1064"/>
        <v>0</v>
      </c>
      <c r="AG1112" s="78" t="b">
        <f t="shared" si="1065"/>
        <v>0</v>
      </c>
      <c r="AH1112" s="78" t="b">
        <f t="shared" si="1066"/>
        <v>0</v>
      </c>
      <c r="AI1112" s="78" t="b">
        <f t="shared" si="1067"/>
        <v>0</v>
      </c>
      <c r="AJ1112" s="78" t="b">
        <f t="shared" si="1068"/>
        <v>0</v>
      </c>
      <c r="AK1112" s="78" t="b">
        <f t="shared" si="1069"/>
        <v>0</v>
      </c>
      <c r="AL1112" s="78" t="b">
        <f t="shared" si="1070"/>
        <v>0</v>
      </c>
      <c r="AM1112" s="78" t="b">
        <f t="shared" si="1071"/>
        <v>0</v>
      </c>
      <c r="AN1112" s="78" t="b">
        <f t="shared" si="1072"/>
        <v>0</v>
      </c>
      <c r="AO1112" s="78" t="b">
        <f t="shared" si="1073"/>
        <v>0</v>
      </c>
    </row>
    <row r="1113" spans="7:41" x14ac:dyDescent="0.35">
      <c r="G1113" s="77">
        <f t="shared" si="1043"/>
        <v>0</v>
      </c>
      <c r="H1113" s="78">
        <f t="shared" si="1044"/>
        <v>0</v>
      </c>
      <c r="I1113" s="77">
        <f t="shared" si="1045"/>
        <v>0</v>
      </c>
      <c r="J1113" s="78">
        <f t="shared" si="1046"/>
        <v>0</v>
      </c>
      <c r="K1113" s="78" t="str">
        <f t="shared" si="1047"/>
        <v>1900-01-00 00:0:00</v>
      </c>
      <c r="L1113" s="78" t="str">
        <f t="shared" si="1048"/>
        <v>1900-01-00 00:0:00</v>
      </c>
      <c r="M1113" s="79">
        <f t="shared" si="1049"/>
        <v>0</v>
      </c>
      <c r="N1113">
        <f t="shared" si="1074"/>
        <v>1</v>
      </c>
      <c r="O1113" t="str">
        <f>IFERROR(_xlfn.XLOOKUP(A1113,HC!A:A,HC!C:C),"")</f>
        <v>Workforce</v>
      </c>
      <c r="R1113" s="78" t="b">
        <f t="shared" si="1050"/>
        <v>0</v>
      </c>
      <c r="S1113" s="78" t="b">
        <f t="shared" si="1051"/>
        <v>0</v>
      </c>
      <c r="T1113" s="78" t="b">
        <f t="shared" si="1052"/>
        <v>0</v>
      </c>
      <c r="U1113" s="78" t="b">
        <f t="shared" si="1053"/>
        <v>0</v>
      </c>
      <c r="V1113" s="78" t="b">
        <f t="shared" si="1054"/>
        <v>0</v>
      </c>
      <c r="W1113" s="78" t="b">
        <f t="shared" si="1055"/>
        <v>0</v>
      </c>
      <c r="X1113" s="78" t="b">
        <f t="shared" si="1056"/>
        <v>0</v>
      </c>
      <c r="Y1113" s="78" t="b">
        <f t="shared" si="1057"/>
        <v>0</v>
      </c>
      <c r="Z1113" s="78" t="b">
        <f t="shared" si="1058"/>
        <v>0</v>
      </c>
      <c r="AA1113" s="78" t="b">
        <f t="shared" si="1059"/>
        <v>0</v>
      </c>
      <c r="AB1113" s="78" t="b">
        <f t="shared" si="1060"/>
        <v>0</v>
      </c>
      <c r="AC1113" s="78" t="b">
        <f t="shared" si="1061"/>
        <v>0</v>
      </c>
      <c r="AD1113" s="78" t="b">
        <f t="shared" si="1062"/>
        <v>0</v>
      </c>
      <c r="AE1113" s="78" t="b">
        <f t="shared" si="1063"/>
        <v>0</v>
      </c>
      <c r="AF1113" s="78" t="b">
        <f t="shared" si="1064"/>
        <v>0</v>
      </c>
      <c r="AG1113" s="78" t="b">
        <f t="shared" si="1065"/>
        <v>0</v>
      </c>
      <c r="AH1113" s="78" t="b">
        <f t="shared" si="1066"/>
        <v>0</v>
      </c>
      <c r="AI1113" s="78" t="b">
        <f t="shared" si="1067"/>
        <v>0</v>
      </c>
      <c r="AJ1113" s="78" t="b">
        <f t="shared" si="1068"/>
        <v>0</v>
      </c>
      <c r="AK1113" s="78" t="b">
        <f t="shared" si="1069"/>
        <v>0</v>
      </c>
      <c r="AL1113" s="78" t="b">
        <f t="shared" si="1070"/>
        <v>0</v>
      </c>
      <c r="AM1113" s="78" t="b">
        <f t="shared" si="1071"/>
        <v>0</v>
      </c>
      <c r="AN1113" s="78" t="b">
        <f t="shared" si="1072"/>
        <v>0</v>
      </c>
      <c r="AO1113" s="78" t="b">
        <f t="shared" si="1073"/>
        <v>0</v>
      </c>
    </row>
    <row r="1114" spans="7:41" x14ac:dyDescent="0.35">
      <c r="G1114" s="77">
        <f t="shared" si="1043"/>
        <v>0</v>
      </c>
      <c r="H1114" s="78">
        <f t="shared" si="1044"/>
        <v>0</v>
      </c>
      <c r="I1114" s="77">
        <f t="shared" si="1045"/>
        <v>0</v>
      </c>
      <c r="J1114" s="78">
        <f t="shared" si="1046"/>
        <v>0</v>
      </c>
      <c r="K1114" s="78" t="str">
        <f t="shared" si="1047"/>
        <v>1900-01-00 00:0:00</v>
      </c>
      <c r="L1114" s="78" t="str">
        <f t="shared" si="1048"/>
        <v>1900-01-00 00:0:00</v>
      </c>
      <c r="M1114" s="79">
        <f t="shared" si="1049"/>
        <v>0</v>
      </c>
      <c r="N1114">
        <f t="shared" si="1074"/>
        <v>1</v>
      </c>
      <c r="O1114" t="str">
        <f>IFERROR(_xlfn.XLOOKUP(A1114,HC!A:A,HC!C:C),"")</f>
        <v>Workforce</v>
      </c>
      <c r="R1114" s="78" t="b">
        <f t="shared" si="1050"/>
        <v>0</v>
      </c>
      <c r="S1114" s="78" t="b">
        <f t="shared" si="1051"/>
        <v>0</v>
      </c>
      <c r="T1114" s="78" t="b">
        <f t="shared" si="1052"/>
        <v>0</v>
      </c>
      <c r="U1114" s="78" t="b">
        <f t="shared" si="1053"/>
        <v>0</v>
      </c>
      <c r="V1114" s="78" t="b">
        <f t="shared" si="1054"/>
        <v>0</v>
      </c>
      <c r="W1114" s="78" t="b">
        <f t="shared" si="1055"/>
        <v>0</v>
      </c>
      <c r="X1114" s="78" t="b">
        <f t="shared" si="1056"/>
        <v>0</v>
      </c>
      <c r="Y1114" s="78" t="b">
        <f t="shared" si="1057"/>
        <v>0</v>
      </c>
      <c r="Z1114" s="78" t="b">
        <f t="shared" si="1058"/>
        <v>0</v>
      </c>
      <c r="AA1114" s="78" t="b">
        <f t="shared" si="1059"/>
        <v>0</v>
      </c>
      <c r="AB1114" s="78" t="b">
        <f t="shared" si="1060"/>
        <v>0</v>
      </c>
      <c r="AC1114" s="78" t="b">
        <f t="shared" si="1061"/>
        <v>0</v>
      </c>
      <c r="AD1114" s="78" t="b">
        <f t="shared" si="1062"/>
        <v>0</v>
      </c>
      <c r="AE1114" s="78" t="b">
        <f t="shared" si="1063"/>
        <v>0</v>
      </c>
      <c r="AF1114" s="78" t="b">
        <f t="shared" si="1064"/>
        <v>0</v>
      </c>
      <c r="AG1114" s="78" t="b">
        <f t="shared" si="1065"/>
        <v>0</v>
      </c>
      <c r="AH1114" s="78" t="b">
        <f t="shared" si="1066"/>
        <v>0</v>
      </c>
      <c r="AI1114" s="78" t="b">
        <f t="shared" si="1067"/>
        <v>0</v>
      </c>
      <c r="AJ1114" s="78" t="b">
        <f t="shared" si="1068"/>
        <v>0</v>
      </c>
      <c r="AK1114" s="78" t="b">
        <f t="shared" si="1069"/>
        <v>0</v>
      </c>
      <c r="AL1114" s="78" t="b">
        <f t="shared" si="1070"/>
        <v>0</v>
      </c>
      <c r="AM1114" s="78" t="b">
        <f t="shared" si="1071"/>
        <v>0</v>
      </c>
      <c r="AN1114" s="78" t="b">
        <f t="shared" si="1072"/>
        <v>0</v>
      </c>
      <c r="AO1114" s="78" t="b">
        <f t="shared" si="1073"/>
        <v>0</v>
      </c>
    </row>
    <row r="1115" spans="7:41" x14ac:dyDescent="0.35">
      <c r="G1115" s="77">
        <f t="shared" si="1043"/>
        <v>0</v>
      </c>
      <c r="H1115" s="78">
        <f t="shared" si="1044"/>
        <v>0</v>
      </c>
      <c r="I1115" s="77">
        <f t="shared" si="1045"/>
        <v>0</v>
      </c>
      <c r="J1115" s="78">
        <f t="shared" si="1046"/>
        <v>0</v>
      </c>
      <c r="K1115" s="78" t="str">
        <f t="shared" si="1047"/>
        <v>1900-01-00 00:0:00</v>
      </c>
      <c r="L1115" s="78" t="str">
        <f t="shared" si="1048"/>
        <v>1900-01-00 00:0:00</v>
      </c>
      <c r="M1115" s="79">
        <f t="shared" si="1049"/>
        <v>0</v>
      </c>
      <c r="N1115">
        <f t="shared" si="1074"/>
        <v>1</v>
      </c>
      <c r="O1115" t="str">
        <f>IFERROR(_xlfn.XLOOKUP(A1115,HC!A:A,HC!C:C),"")</f>
        <v>Workforce</v>
      </c>
      <c r="R1115" s="78" t="b">
        <f t="shared" si="1050"/>
        <v>0</v>
      </c>
      <c r="S1115" s="78" t="b">
        <f t="shared" si="1051"/>
        <v>0</v>
      </c>
      <c r="T1115" s="78" t="b">
        <f t="shared" si="1052"/>
        <v>0</v>
      </c>
      <c r="U1115" s="78" t="b">
        <f t="shared" si="1053"/>
        <v>0</v>
      </c>
      <c r="V1115" s="78" t="b">
        <f t="shared" si="1054"/>
        <v>0</v>
      </c>
      <c r="W1115" s="78" t="b">
        <f t="shared" si="1055"/>
        <v>0</v>
      </c>
      <c r="X1115" s="78" t="b">
        <f t="shared" si="1056"/>
        <v>0</v>
      </c>
      <c r="Y1115" s="78" t="b">
        <f t="shared" si="1057"/>
        <v>0</v>
      </c>
      <c r="Z1115" s="78" t="b">
        <f t="shared" si="1058"/>
        <v>0</v>
      </c>
      <c r="AA1115" s="78" t="b">
        <f t="shared" si="1059"/>
        <v>0</v>
      </c>
      <c r="AB1115" s="78" t="b">
        <f t="shared" si="1060"/>
        <v>0</v>
      </c>
      <c r="AC1115" s="78" t="b">
        <f t="shared" si="1061"/>
        <v>0</v>
      </c>
      <c r="AD1115" s="78" t="b">
        <f t="shared" si="1062"/>
        <v>0</v>
      </c>
      <c r="AE1115" s="78" t="b">
        <f t="shared" si="1063"/>
        <v>0</v>
      </c>
      <c r="AF1115" s="78" t="b">
        <f t="shared" si="1064"/>
        <v>0</v>
      </c>
      <c r="AG1115" s="78" t="b">
        <f t="shared" si="1065"/>
        <v>0</v>
      </c>
      <c r="AH1115" s="78" t="b">
        <f t="shared" si="1066"/>
        <v>0</v>
      </c>
      <c r="AI1115" s="78" t="b">
        <f t="shared" si="1067"/>
        <v>0</v>
      </c>
      <c r="AJ1115" s="78" t="b">
        <f t="shared" si="1068"/>
        <v>0</v>
      </c>
      <c r="AK1115" s="78" t="b">
        <f t="shared" si="1069"/>
        <v>0</v>
      </c>
      <c r="AL1115" s="78" t="b">
        <f t="shared" si="1070"/>
        <v>0</v>
      </c>
      <c r="AM1115" s="78" t="b">
        <f t="shared" si="1071"/>
        <v>0</v>
      </c>
      <c r="AN1115" s="78" t="b">
        <f t="shared" si="1072"/>
        <v>0</v>
      </c>
      <c r="AO1115" s="78" t="b">
        <f t="shared" si="1073"/>
        <v>0</v>
      </c>
    </row>
    <row r="1116" spans="7:41" x14ac:dyDescent="0.35">
      <c r="G1116" s="77">
        <f t="shared" si="1043"/>
        <v>0</v>
      </c>
      <c r="H1116" s="78">
        <f t="shared" si="1044"/>
        <v>0</v>
      </c>
      <c r="I1116" s="77">
        <f t="shared" si="1045"/>
        <v>0</v>
      </c>
      <c r="J1116" s="78">
        <f t="shared" si="1046"/>
        <v>0</v>
      </c>
      <c r="K1116" s="78" t="str">
        <f t="shared" si="1047"/>
        <v>1900-01-00 00:0:00</v>
      </c>
      <c r="L1116" s="78" t="str">
        <f t="shared" si="1048"/>
        <v>1900-01-00 00:0:00</v>
      </c>
      <c r="M1116" s="79">
        <f t="shared" si="1049"/>
        <v>0</v>
      </c>
      <c r="N1116">
        <f t="shared" si="1074"/>
        <v>1</v>
      </c>
      <c r="O1116" t="str">
        <f>IFERROR(_xlfn.XLOOKUP(A1116,HC!A:A,HC!C:C),"")</f>
        <v>Workforce</v>
      </c>
      <c r="R1116" s="78" t="b">
        <f t="shared" si="1050"/>
        <v>0</v>
      </c>
      <c r="S1116" s="78" t="b">
        <f t="shared" si="1051"/>
        <v>0</v>
      </c>
      <c r="T1116" s="78" t="b">
        <f t="shared" si="1052"/>
        <v>0</v>
      </c>
      <c r="U1116" s="78" t="b">
        <f t="shared" si="1053"/>
        <v>0</v>
      </c>
      <c r="V1116" s="78" t="b">
        <f t="shared" si="1054"/>
        <v>0</v>
      </c>
      <c r="W1116" s="78" t="b">
        <f t="shared" si="1055"/>
        <v>0</v>
      </c>
      <c r="X1116" s="78" t="b">
        <f t="shared" si="1056"/>
        <v>0</v>
      </c>
      <c r="Y1116" s="78" t="b">
        <f t="shared" si="1057"/>
        <v>0</v>
      </c>
      <c r="Z1116" s="78" t="b">
        <f t="shared" si="1058"/>
        <v>0</v>
      </c>
      <c r="AA1116" s="78" t="b">
        <f t="shared" si="1059"/>
        <v>0</v>
      </c>
      <c r="AB1116" s="78" t="b">
        <f t="shared" si="1060"/>
        <v>0</v>
      </c>
      <c r="AC1116" s="78" t="b">
        <f t="shared" si="1061"/>
        <v>0</v>
      </c>
      <c r="AD1116" s="78" t="b">
        <f t="shared" si="1062"/>
        <v>0</v>
      </c>
      <c r="AE1116" s="78" t="b">
        <f t="shared" si="1063"/>
        <v>0</v>
      </c>
      <c r="AF1116" s="78" t="b">
        <f t="shared" si="1064"/>
        <v>0</v>
      </c>
      <c r="AG1116" s="78" t="b">
        <f t="shared" si="1065"/>
        <v>0</v>
      </c>
      <c r="AH1116" s="78" t="b">
        <f t="shared" si="1066"/>
        <v>0</v>
      </c>
      <c r="AI1116" s="78" t="b">
        <f t="shared" si="1067"/>
        <v>0</v>
      </c>
      <c r="AJ1116" s="78" t="b">
        <f t="shared" si="1068"/>
        <v>0</v>
      </c>
      <c r="AK1116" s="78" t="b">
        <f t="shared" si="1069"/>
        <v>0</v>
      </c>
      <c r="AL1116" s="78" t="b">
        <f t="shared" si="1070"/>
        <v>0</v>
      </c>
      <c r="AM1116" s="78" t="b">
        <f t="shared" si="1071"/>
        <v>0</v>
      </c>
      <c r="AN1116" s="78" t="b">
        <f t="shared" si="1072"/>
        <v>0</v>
      </c>
      <c r="AO1116" s="78" t="b">
        <f t="shared" si="1073"/>
        <v>0</v>
      </c>
    </row>
    <row r="1117" spans="7:41" x14ac:dyDescent="0.35">
      <c r="G1117" s="77">
        <f t="shared" si="1043"/>
        <v>0</v>
      </c>
      <c r="H1117" s="78">
        <f t="shared" si="1044"/>
        <v>0</v>
      </c>
      <c r="I1117" s="77">
        <f t="shared" si="1045"/>
        <v>0</v>
      </c>
      <c r="J1117" s="78">
        <f t="shared" si="1046"/>
        <v>0</v>
      </c>
      <c r="K1117" s="78" t="str">
        <f t="shared" si="1047"/>
        <v>1900-01-00 00:0:00</v>
      </c>
      <c r="L1117" s="78" t="str">
        <f t="shared" si="1048"/>
        <v>1900-01-00 00:0:00</v>
      </c>
      <c r="M1117" s="79">
        <f t="shared" si="1049"/>
        <v>0</v>
      </c>
      <c r="N1117">
        <f t="shared" si="1074"/>
        <v>1</v>
      </c>
      <c r="O1117" t="str">
        <f>IFERROR(_xlfn.XLOOKUP(A1117,HC!A:A,HC!C:C),"")</f>
        <v>Workforce</v>
      </c>
      <c r="R1117" s="78" t="b">
        <f t="shared" si="1050"/>
        <v>0</v>
      </c>
      <c r="S1117" s="78" t="b">
        <f t="shared" si="1051"/>
        <v>0</v>
      </c>
      <c r="T1117" s="78" t="b">
        <f t="shared" si="1052"/>
        <v>0</v>
      </c>
      <c r="U1117" s="78" t="b">
        <f t="shared" si="1053"/>
        <v>0</v>
      </c>
      <c r="V1117" s="78" t="b">
        <f t="shared" si="1054"/>
        <v>0</v>
      </c>
      <c r="W1117" s="78" t="b">
        <f t="shared" si="1055"/>
        <v>0</v>
      </c>
      <c r="X1117" s="78" t="b">
        <f t="shared" si="1056"/>
        <v>0</v>
      </c>
      <c r="Y1117" s="78" t="b">
        <f t="shared" si="1057"/>
        <v>0</v>
      </c>
      <c r="Z1117" s="78" t="b">
        <f t="shared" si="1058"/>
        <v>0</v>
      </c>
      <c r="AA1117" s="78" t="b">
        <f t="shared" si="1059"/>
        <v>0</v>
      </c>
      <c r="AB1117" s="78" t="b">
        <f t="shared" si="1060"/>
        <v>0</v>
      </c>
      <c r="AC1117" s="78" t="b">
        <f t="shared" si="1061"/>
        <v>0</v>
      </c>
      <c r="AD1117" s="78" t="b">
        <f t="shared" si="1062"/>
        <v>0</v>
      </c>
      <c r="AE1117" s="78" t="b">
        <f t="shared" si="1063"/>
        <v>0</v>
      </c>
      <c r="AF1117" s="78" t="b">
        <f t="shared" si="1064"/>
        <v>0</v>
      </c>
      <c r="AG1117" s="78" t="b">
        <f t="shared" si="1065"/>
        <v>0</v>
      </c>
      <c r="AH1117" s="78" t="b">
        <f t="shared" si="1066"/>
        <v>0</v>
      </c>
      <c r="AI1117" s="78" t="b">
        <f t="shared" si="1067"/>
        <v>0</v>
      </c>
      <c r="AJ1117" s="78" t="b">
        <f t="shared" si="1068"/>
        <v>0</v>
      </c>
      <c r="AK1117" s="78" t="b">
        <f t="shared" si="1069"/>
        <v>0</v>
      </c>
      <c r="AL1117" s="78" t="b">
        <f t="shared" si="1070"/>
        <v>0</v>
      </c>
      <c r="AM1117" s="78" t="b">
        <f t="shared" si="1071"/>
        <v>0</v>
      </c>
      <c r="AN1117" s="78" t="b">
        <f t="shared" si="1072"/>
        <v>0</v>
      </c>
      <c r="AO1117" s="78" t="b">
        <f t="shared" si="1073"/>
        <v>0</v>
      </c>
    </row>
    <row r="1118" spans="7:41" x14ac:dyDescent="0.35">
      <c r="G1118" s="77">
        <f t="shared" si="1043"/>
        <v>0</v>
      </c>
      <c r="H1118" s="78">
        <f t="shared" si="1044"/>
        <v>0</v>
      </c>
      <c r="I1118" s="77">
        <f t="shared" si="1045"/>
        <v>0</v>
      </c>
      <c r="J1118" s="78">
        <f t="shared" si="1046"/>
        <v>0</v>
      </c>
      <c r="K1118" s="78" t="str">
        <f t="shared" si="1047"/>
        <v>1900-01-00 00:0:00</v>
      </c>
      <c r="L1118" s="78" t="str">
        <f t="shared" si="1048"/>
        <v>1900-01-00 00:0:00</v>
      </c>
      <c r="M1118" s="79">
        <f t="shared" si="1049"/>
        <v>0</v>
      </c>
      <c r="N1118">
        <f t="shared" si="1074"/>
        <v>1</v>
      </c>
      <c r="O1118" t="str">
        <f>IFERROR(_xlfn.XLOOKUP(A1118,HC!A:A,HC!C:C),"")</f>
        <v>Workforce</v>
      </c>
      <c r="R1118" s="78" t="b">
        <f t="shared" si="1050"/>
        <v>0</v>
      </c>
      <c r="S1118" s="78" t="b">
        <f t="shared" si="1051"/>
        <v>0</v>
      </c>
      <c r="T1118" s="78" t="b">
        <f t="shared" si="1052"/>
        <v>0</v>
      </c>
      <c r="U1118" s="78" t="b">
        <f t="shared" si="1053"/>
        <v>0</v>
      </c>
      <c r="V1118" s="78" t="b">
        <f t="shared" si="1054"/>
        <v>0</v>
      </c>
      <c r="W1118" s="78" t="b">
        <f t="shared" si="1055"/>
        <v>0</v>
      </c>
      <c r="X1118" s="78" t="b">
        <f t="shared" si="1056"/>
        <v>0</v>
      </c>
      <c r="Y1118" s="78" t="b">
        <f t="shared" si="1057"/>
        <v>0</v>
      </c>
      <c r="Z1118" s="78" t="b">
        <f t="shared" si="1058"/>
        <v>0</v>
      </c>
      <c r="AA1118" s="78" t="b">
        <f t="shared" si="1059"/>
        <v>0</v>
      </c>
      <c r="AB1118" s="78" t="b">
        <f t="shared" si="1060"/>
        <v>0</v>
      </c>
      <c r="AC1118" s="78" t="b">
        <f t="shared" si="1061"/>
        <v>0</v>
      </c>
      <c r="AD1118" s="78" t="b">
        <f t="shared" si="1062"/>
        <v>0</v>
      </c>
      <c r="AE1118" s="78" t="b">
        <f t="shared" si="1063"/>
        <v>0</v>
      </c>
      <c r="AF1118" s="78" t="b">
        <f t="shared" si="1064"/>
        <v>0</v>
      </c>
      <c r="AG1118" s="78" t="b">
        <f t="shared" si="1065"/>
        <v>0</v>
      </c>
      <c r="AH1118" s="78" t="b">
        <f t="shared" si="1066"/>
        <v>0</v>
      </c>
      <c r="AI1118" s="78" t="b">
        <f t="shared" si="1067"/>
        <v>0</v>
      </c>
      <c r="AJ1118" s="78" t="b">
        <f t="shared" si="1068"/>
        <v>0</v>
      </c>
      <c r="AK1118" s="78" t="b">
        <f t="shared" si="1069"/>
        <v>0</v>
      </c>
      <c r="AL1118" s="78" t="b">
        <f t="shared" si="1070"/>
        <v>0</v>
      </c>
      <c r="AM1118" s="78" t="b">
        <f t="shared" si="1071"/>
        <v>0</v>
      </c>
      <c r="AN1118" s="78" t="b">
        <f t="shared" si="1072"/>
        <v>0</v>
      </c>
      <c r="AO1118" s="78" t="b">
        <f t="shared" si="1073"/>
        <v>0</v>
      </c>
    </row>
    <row r="1119" spans="7:41" x14ac:dyDescent="0.35">
      <c r="G1119" s="77">
        <f t="shared" si="1043"/>
        <v>0</v>
      </c>
      <c r="H1119" s="78">
        <f t="shared" si="1044"/>
        <v>0</v>
      </c>
      <c r="I1119" s="77">
        <f t="shared" si="1045"/>
        <v>0</v>
      </c>
      <c r="J1119" s="78">
        <f t="shared" si="1046"/>
        <v>0</v>
      </c>
      <c r="K1119" s="78" t="str">
        <f t="shared" si="1047"/>
        <v>1900-01-00 00:0:00</v>
      </c>
      <c r="L1119" s="78" t="str">
        <f t="shared" si="1048"/>
        <v>1900-01-00 00:0:00</v>
      </c>
      <c r="M1119" s="79">
        <f t="shared" si="1049"/>
        <v>0</v>
      </c>
      <c r="N1119">
        <f t="shared" si="1074"/>
        <v>1</v>
      </c>
      <c r="O1119" t="str">
        <f>IFERROR(_xlfn.XLOOKUP(A1119,HC!A:A,HC!C:C),"")</f>
        <v>Workforce</v>
      </c>
      <c r="R1119" s="78" t="b">
        <f t="shared" si="1050"/>
        <v>0</v>
      </c>
      <c r="S1119" s="78" t="b">
        <f t="shared" si="1051"/>
        <v>0</v>
      </c>
      <c r="T1119" s="78" t="b">
        <f t="shared" si="1052"/>
        <v>0</v>
      </c>
      <c r="U1119" s="78" t="b">
        <f t="shared" si="1053"/>
        <v>0</v>
      </c>
      <c r="V1119" s="78" t="b">
        <f t="shared" si="1054"/>
        <v>0</v>
      </c>
      <c r="W1119" s="78" t="b">
        <f t="shared" si="1055"/>
        <v>0</v>
      </c>
      <c r="X1119" s="78" t="b">
        <f t="shared" si="1056"/>
        <v>0</v>
      </c>
      <c r="Y1119" s="78" t="b">
        <f t="shared" si="1057"/>
        <v>0</v>
      </c>
      <c r="Z1119" s="78" t="b">
        <f t="shared" si="1058"/>
        <v>0</v>
      </c>
      <c r="AA1119" s="78" t="b">
        <f t="shared" si="1059"/>
        <v>0</v>
      </c>
      <c r="AB1119" s="78" t="b">
        <f t="shared" si="1060"/>
        <v>0</v>
      </c>
      <c r="AC1119" s="78" t="b">
        <f t="shared" si="1061"/>
        <v>0</v>
      </c>
      <c r="AD1119" s="78" t="b">
        <f t="shared" si="1062"/>
        <v>0</v>
      </c>
      <c r="AE1119" s="78" t="b">
        <f t="shared" si="1063"/>
        <v>0</v>
      </c>
      <c r="AF1119" s="78" t="b">
        <f t="shared" si="1064"/>
        <v>0</v>
      </c>
      <c r="AG1119" s="78" t="b">
        <f t="shared" si="1065"/>
        <v>0</v>
      </c>
      <c r="AH1119" s="78" t="b">
        <f t="shared" si="1066"/>
        <v>0</v>
      </c>
      <c r="AI1119" s="78" t="b">
        <f t="shared" si="1067"/>
        <v>0</v>
      </c>
      <c r="AJ1119" s="78" t="b">
        <f t="shared" si="1068"/>
        <v>0</v>
      </c>
      <c r="AK1119" s="78" t="b">
        <f t="shared" si="1069"/>
        <v>0</v>
      </c>
      <c r="AL1119" s="78" t="b">
        <f t="shared" si="1070"/>
        <v>0</v>
      </c>
      <c r="AM1119" s="78" t="b">
        <f t="shared" si="1071"/>
        <v>0</v>
      </c>
      <c r="AN1119" s="78" t="b">
        <f t="shared" si="1072"/>
        <v>0</v>
      </c>
      <c r="AO1119" s="78" t="b">
        <f t="shared" si="1073"/>
        <v>0</v>
      </c>
    </row>
    <row r="1120" spans="7:41" x14ac:dyDescent="0.35">
      <c r="G1120" s="77">
        <f t="shared" si="1043"/>
        <v>0</v>
      </c>
      <c r="H1120" s="78">
        <f t="shared" si="1044"/>
        <v>0</v>
      </c>
      <c r="I1120" s="77">
        <f t="shared" si="1045"/>
        <v>0</v>
      </c>
      <c r="J1120" s="78">
        <f t="shared" si="1046"/>
        <v>0</v>
      </c>
      <c r="K1120" s="78" t="str">
        <f t="shared" si="1047"/>
        <v>1900-01-00 00:0:00</v>
      </c>
      <c r="L1120" s="78" t="str">
        <f t="shared" si="1048"/>
        <v>1900-01-00 00:0:00</v>
      </c>
      <c r="M1120" s="79">
        <f t="shared" si="1049"/>
        <v>0</v>
      </c>
      <c r="N1120">
        <f t="shared" si="1074"/>
        <v>1</v>
      </c>
      <c r="O1120" t="str">
        <f>IFERROR(_xlfn.XLOOKUP(A1120,HC!A:A,HC!C:C),"")</f>
        <v>Workforce</v>
      </c>
      <c r="R1120" s="78" t="b">
        <f t="shared" si="1050"/>
        <v>0</v>
      </c>
      <c r="S1120" s="78" t="b">
        <f t="shared" si="1051"/>
        <v>0</v>
      </c>
      <c r="T1120" s="78" t="b">
        <f t="shared" si="1052"/>
        <v>0</v>
      </c>
      <c r="U1120" s="78" t="b">
        <f t="shared" si="1053"/>
        <v>0</v>
      </c>
      <c r="V1120" s="78" t="b">
        <f t="shared" si="1054"/>
        <v>0</v>
      </c>
      <c r="W1120" s="78" t="b">
        <f t="shared" si="1055"/>
        <v>0</v>
      </c>
      <c r="X1120" s="78" t="b">
        <f t="shared" si="1056"/>
        <v>0</v>
      </c>
      <c r="Y1120" s="78" t="b">
        <f t="shared" si="1057"/>
        <v>0</v>
      </c>
      <c r="Z1120" s="78" t="b">
        <f t="shared" si="1058"/>
        <v>0</v>
      </c>
      <c r="AA1120" s="78" t="b">
        <f t="shared" si="1059"/>
        <v>0</v>
      </c>
      <c r="AB1120" s="78" t="b">
        <f t="shared" si="1060"/>
        <v>0</v>
      </c>
      <c r="AC1120" s="78" t="b">
        <f t="shared" si="1061"/>
        <v>0</v>
      </c>
      <c r="AD1120" s="78" t="b">
        <f t="shared" si="1062"/>
        <v>0</v>
      </c>
      <c r="AE1120" s="78" t="b">
        <f t="shared" si="1063"/>
        <v>0</v>
      </c>
      <c r="AF1120" s="78" t="b">
        <f t="shared" si="1064"/>
        <v>0</v>
      </c>
      <c r="AG1120" s="78" t="b">
        <f t="shared" si="1065"/>
        <v>0</v>
      </c>
      <c r="AH1120" s="78" t="b">
        <f t="shared" si="1066"/>
        <v>0</v>
      </c>
      <c r="AI1120" s="78" t="b">
        <f t="shared" si="1067"/>
        <v>0</v>
      </c>
      <c r="AJ1120" s="78" t="b">
        <f t="shared" si="1068"/>
        <v>0</v>
      </c>
      <c r="AK1120" s="78" t="b">
        <f t="shared" si="1069"/>
        <v>0</v>
      </c>
      <c r="AL1120" s="78" t="b">
        <f t="shared" si="1070"/>
        <v>0</v>
      </c>
      <c r="AM1120" s="78" t="b">
        <f t="shared" si="1071"/>
        <v>0</v>
      </c>
      <c r="AN1120" s="78" t="b">
        <f t="shared" si="1072"/>
        <v>0</v>
      </c>
      <c r="AO1120" s="78" t="b">
        <f t="shared" si="1073"/>
        <v>0</v>
      </c>
    </row>
    <row r="1121" spans="7:41" x14ac:dyDescent="0.35">
      <c r="G1121" s="77">
        <f t="shared" si="1043"/>
        <v>0</v>
      </c>
      <c r="H1121" s="78">
        <f t="shared" si="1044"/>
        <v>0</v>
      </c>
      <c r="I1121" s="77">
        <f t="shared" si="1045"/>
        <v>0</v>
      </c>
      <c r="J1121" s="78">
        <f t="shared" si="1046"/>
        <v>0</v>
      </c>
      <c r="K1121" s="78" t="str">
        <f t="shared" si="1047"/>
        <v>1900-01-00 00:0:00</v>
      </c>
      <c r="L1121" s="78" t="str">
        <f t="shared" si="1048"/>
        <v>1900-01-00 00:0:00</v>
      </c>
      <c r="M1121" s="79">
        <f t="shared" si="1049"/>
        <v>0</v>
      </c>
      <c r="N1121">
        <f t="shared" si="1074"/>
        <v>1</v>
      </c>
      <c r="O1121" t="str">
        <f>IFERROR(_xlfn.XLOOKUP(A1121,HC!A:A,HC!C:C),"")</f>
        <v>Workforce</v>
      </c>
      <c r="R1121" s="78" t="b">
        <f t="shared" si="1050"/>
        <v>0</v>
      </c>
      <c r="S1121" s="78" t="b">
        <f t="shared" si="1051"/>
        <v>0</v>
      </c>
      <c r="T1121" s="78" t="b">
        <f t="shared" si="1052"/>
        <v>0</v>
      </c>
      <c r="U1121" s="78" t="b">
        <f t="shared" si="1053"/>
        <v>0</v>
      </c>
      <c r="V1121" s="78" t="b">
        <f t="shared" si="1054"/>
        <v>0</v>
      </c>
      <c r="W1121" s="78" t="b">
        <f t="shared" si="1055"/>
        <v>0</v>
      </c>
      <c r="X1121" s="78" t="b">
        <f t="shared" si="1056"/>
        <v>0</v>
      </c>
      <c r="Y1121" s="78" t="b">
        <f t="shared" si="1057"/>
        <v>0</v>
      </c>
      <c r="Z1121" s="78" t="b">
        <f t="shared" si="1058"/>
        <v>0</v>
      </c>
      <c r="AA1121" s="78" t="b">
        <f t="shared" si="1059"/>
        <v>0</v>
      </c>
      <c r="AB1121" s="78" t="b">
        <f t="shared" si="1060"/>
        <v>0</v>
      </c>
      <c r="AC1121" s="78" t="b">
        <f t="shared" si="1061"/>
        <v>0</v>
      </c>
      <c r="AD1121" s="78" t="b">
        <f t="shared" si="1062"/>
        <v>0</v>
      </c>
      <c r="AE1121" s="78" t="b">
        <f t="shared" si="1063"/>
        <v>0</v>
      </c>
      <c r="AF1121" s="78" t="b">
        <f t="shared" si="1064"/>
        <v>0</v>
      </c>
      <c r="AG1121" s="78" t="b">
        <f t="shared" si="1065"/>
        <v>0</v>
      </c>
      <c r="AH1121" s="78" t="b">
        <f t="shared" si="1066"/>
        <v>0</v>
      </c>
      <c r="AI1121" s="78" t="b">
        <f t="shared" si="1067"/>
        <v>0</v>
      </c>
      <c r="AJ1121" s="78" t="b">
        <f t="shared" si="1068"/>
        <v>0</v>
      </c>
      <c r="AK1121" s="78" t="b">
        <f t="shared" si="1069"/>
        <v>0</v>
      </c>
      <c r="AL1121" s="78" t="b">
        <f t="shared" si="1070"/>
        <v>0</v>
      </c>
      <c r="AM1121" s="78" t="b">
        <f t="shared" si="1071"/>
        <v>0</v>
      </c>
      <c r="AN1121" s="78" t="b">
        <f t="shared" si="1072"/>
        <v>0</v>
      </c>
      <c r="AO1121" s="78" t="b">
        <f t="shared" si="1073"/>
        <v>0</v>
      </c>
    </row>
    <row r="1122" spans="7:41" x14ac:dyDescent="0.35">
      <c r="G1122" s="77">
        <f t="shared" si="1043"/>
        <v>0</v>
      </c>
      <c r="H1122" s="78">
        <f t="shared" si="1044"/>
        <v>0</v>
      </c>
      <c r="I1122" s="77">
        <f t="shared" si="1045"/>
        <v>0</v>
      </c>
      <c r="J1122" s="78">
        <f t="shared" si="1046"/>
        <v>0</v>
      </c>
      <c r="K1122" s="78" t="str">
        <f t="shared" si="1047"/>
        <v>1900-01-00 00:0:00</v>
      </c>
      <c r="L1122" s="78" t="str">
        <f t="shared" si="1048"/>
        <v>1900-01-00 00:0:00</v>
      </c>
      <c r="M1122" s="79">
        <f t="shared" si="1049"/>
        <v>0</v>
      </c>
      <c r="N1122">
        <f t="shared" si="1074"/>
        <v>1</v>
      </c>
      <c r="O1122" t="str">
        <f>IFERROR(_xlfn.XLOOKUP(A1122,HC!A:A,HC!C:C),"")</f>
        <v>Workforce</v>
      </c>
      <c r="R1122" s="78" t="b">
        <f t="shared" si="1050"/>
        <v>0</v>
      </c>
      <c r="S1122" s="78" t="b">
        <f t="shared" si="1051"/>
        <v>0</v>
      </c>
      <c r="T1122" s="78" t="b">
        <f t="shared" si="1052"/>
        <v>0</v>
      </c>
      <c r="U1122" s="78" t="b">
        <f t="shared" si="1053"/>
        <v>0</v>
      </c>
      <c r="V1122" s="78" t="b">
        <f t="shared" si="1054"/>
        <v>0</v>
      </c>
      <c r="W1122" s="78" t="b">
        <f t="shared" si="1055"/>
        <v>0</v>
      </c>
      <c r="X1122" s="78" t="b">
        <f t="shared" si="1056"/>
        <v>0</v>
      </c>
      <c r="Y1122" s="78" t="b">
        <f t="shared" si="1057"/>
        <v>0</v>
      </c>
      <c r="Z1122" s="78" t="b">
        <f t="shared" si="1058"/>
        <v>0</v>
      </c>
      <c r="AA1122" s="78" t="b">
        <f t="shared" si="1059"/>
        <v>0</v>
      </c>
      <c r="AB1122" s="78" t="b">
        <f t="shared" si="1060"/>
        <v>0</v>
      </c>
      <c r="AC1122" s="78" t="b">
        <f t="shared" si="1061"/>
        <v>0</v>
      </c>
      <c r="AD1122" s="78" t="b">
        <f t="shared" si="1062"/>
        <v>0</v>
      </c>
      <c r="AE1122" s="78" t="b">
        <f t="shared" si="1063"/>
        <v>0</v>
      </c>
      <c r="AF1122" s="78" t="b">
        <f t="shared" si="1064"/>
        <v>0</v>
      </c>
      <c r="AG1122" s="78" t="b">
        <f t="shared" si="1065"/>
        <v>0</v>
      </c>
      <c r="AH1122" s="78" t="b">
        <f t="shared" si="1066"/>
        <v>0</v>
      </c>
      <c r="AI1122" s="78" t="b">
        <f t="shared" si="1067"/>
        <v>0</v>
      </c>
      <c r="AJ1122" s="78" t="b">
        <f t="shared" si="1068"/>
        <v>0</v>
      </c>
      <c r="AK1122" s="78" t="b">
        <f t="shared" si="1069"/>
        <v>0</v>
      </c>
      <c r="AL1122" s="78" t="b">
        <f t="shared" si="1070"/>
        <v>0</v>
      </c>
      <c r="AM1122" s="78" t="b">
        <f t="shared" si="1071"/>
        <v>0</v>
      </c>
      <c r="AN1122" s="78" t="b">
        <f t="shared" si="1072"/>
        <v>0</v>
      </c>
      <c r="AO1122" s="78" t="b">
        <f t="shared" si="1073"/>
        <v>0</v>
      </c>
    </row>
    <row r="1123" spans="7:41" x14ac:dyDescent="0.35">
      <c r="G1123" s="77">
        <f t="shared" si="1043"/>
        <v>0</v>
      </c>
      <c r="H1123" s="78">
        <f t="shared" si="1044"/>
        <v>0</v>
      </c>
      <c r="I1123" s="77">
        <f t="shared" si="1045"/>
        <v>0</v>
      </c>
      <c r="J1123" s="78">
        <f t="shared" si="1046"/>
        <v>0</v>
      </c>
      <c r="K1123" s="78" t="str">
        <f t="shared" si="1047"/>
        <v>1900-01-00 00:0:00</v>
      </c>
      <c r="L1123" s="78" t="str">
        <f t="shared" si="1048"/>
        <v>1900-01-00 00:0:00</v>
      </c>
      <c r="M1123" s="79">
        <f t="shared" si="1049"/>
        <v>0</v>
      </c>
      <c r="N1123">
        <f t="shared" si="1074"/>
        <v>1</v>
      </c>
      <c r="O1123" t="str">
        <f>IFERROR(_xlfn.XLOOKUP(A1123,HC!A:A,HC!C:C),"")</f>
        <v>Workforce</v>
      </c>
      <c r="R1123" s="78" t="b">
        <f t="shared" si="1050"/>
        <v>0</v>
      </c>
      <c r="S1123" s="78" t="b">
        <f t="shared" si="1051"/>
        <v>0</v>
      </c>
      <c r="T1123" s="78" t="b">
        <f t="shared" si="1052"/>
        <v>0</v>
      </c>
      <c r="U1123" s="78" t="b">
        <f t="shared" si="1053"/>
        <v>0</v>
      </c>
      <c r="V1123" s="78" t="b">
        <f t="shared" si="1054"/>
        <v>0</v>
      </c>
      <c r="W1123" s="78" t="b">
        <f t="shared" si="1055"/>
        <v>0</v>
      </c>
      <c r="X1123" s="78" t="b">
        <f t="shared" si="1056"/>
        <v>0</v>
      </c>
      <c r="Y1123" s="78" t="b">
        <f t="shared" si="1057"/>
        <v>0</v>
      </c>
      <c r="Z1123" s="78" t="b">
        <f t="shared" si="1058"/>
        <v>0</v>
      </c>
      <c r="AA1123" s="78" t="b">
        <f t="shared" si="1059"/>
        <v>0</v>
      </c>
      <c r="AB1123" s="78" t="b">
        <f t="shared" si="1060"/>
        <v>0</v>
      </c>
      <c r="AC1123" s="78" t="b">
        <f t="shared" si="1061"/>
        <v>0</v>
      </c>
      <c r="AD1123" s="78" t="b">
        <f t="shared" si="1062"/>
        <v>0</v>
      </c>
      <c r="AE1123" s="78" t="b">
        <f t="shared" si="1063"/>
        <v>0</v>
      </c>
      <c r="AF1123" s="78" t="b">
        <f t="shared" si="1064"/>
        <v>0</v>
      </c>
      <c r="AG1123" s="78" t="b">
        <f t="shared" si="1065"/>
        <v>0</v>
      </c>
      <c r="AH1123" s="78" t="b">
        <f t="shared" si="1066"/>
        <v>0</v>
      </c>
      <c r="AI1123" s="78" t="b">
        <f t="shared" si="1067"/>
        <v>0</v>
      </c>
      <c r="AJ1123" s="78" t="b">
        <f t="shared" si="1068"/>
        <v>0</v>
      </c>
      <c r="AK1123" s="78" t="b">
        <f t="shared" si="1069"/>
        <v>0</v>
      </c>
      <c r="AL1123" s="78" t="b">
        <f t="shared" si="1070"/>
        <v>0</v>
      </c>
      <c r="AM1123" s="78" t="b">
        <f t="shared" si="1071"/>
        <v>0</v>
      </c>
      <c r="AN1123" s="78" t="b">
        <f t="shared" si="1072"/>
        <v>0</v>
      </c>
      <c r="AO1123" s="78" t="b">
        <f t="shared" si="1073"/>
        <v>0</v>
      </c>
    </row>
    <row r="1124" spans="7:41" x14ac:dyDescent="0.35">
      <c r="G1124" s="77">
        <f t="shared" si="1043"/>
        <v>0</v>
      </c>
      <c r="H1124" s="78">
        <f t="shared" si="1044"/>
        <v>0</v>
      </c>
      <c r="I1124" s="77">
        <f t="shared" si="1045"/>
        <v>0</v>
      </c>
      <c r="J1124" s="78">
        <f t="shared" si="1046"/>
        <v>0</v>
      </c>
      <c r="K1124" s="78" t="str">
        <f t="shared" si="1047"/>
        <v>1900-01-00 00:0:00</v>
      </c>
      <c r="L1124" s="78" t="str">
        <f t="shared" si="1048"/>
        <v>1900-01-00 00:0:00</v>
      </c>
      <c r="M1124" s="79">
        <f t="shared" si="1049"/>
        <v>0</v>
      </c>
      <c r="N1124">
        <f t="shared" si="1074"/>
        <v>1</v>
      </c>
      <c r="O1124" t="str">
        <f>IFERROR(_xlfn.XLOOKUP(A1124,HC!A:A,HC!C:C),"")</f>
        <v>Workforce</v>
      </c>
      <c r="R1124" s="78" t="b">
        <f t="shared" si="1050"/>
        <v>0</v>
      </c>
      <c r="S1124" s="78" t="b">
        <f t="shared" si="1051"/>
        <v>0</v>
      </c>
      <c r="T1124" s="78" t="b">
        <f t="shared" si="1052"/>
        <v>0</v>
      </c>
      <c r="U1124" s="78" t="b">
        <f t="shared" si="1053"/>
        <v>0</v>
      </c>
      <c r="V1124" s="78" t="b">
        <f t="shared" si="1054"/>
        <v>0</v>
      </c>
      <c r="W1124" s="78" t="b">
        <f t="shared" si="1055"/>
        <v>0</v>
      </c>
      <c r="X1124" s="78" t="b">
        <f t="shared" si="1056"/>
        <v>0</v>
      </c>
      <c r="Y1124" s="78" t="b">
        <f t="shared" si="1057"/>
        <v>0</v>
      </c>
      <c r="Z1124" s="78" t="b">
        <f t="shared" si="1058"/>
        <v>0</v>
      </c>
      <c r="AA1124" s="78" t="b">
        <f t="shared" si="1059"/>
        <v>0</v>
      </c>
      <c r="AB1124" s="78" t="b">
        <f t="shared" si="1060"/>
        <v>0</v>
      </c>
      <c r="AC1124" s="78" t="b">
        <f t="shared" si="1061"/>
        <v>0</v>
      </c>
      <c r="AD1124" s="78" t="b">
        <f t="shared" si="1062"/>
        <v>0</v>
      </c>
      <c r="AE1124" s="78" t="b">
        <f t="shared" si="1063"/>
        <v>0</v>
      </c>
      <c r="AF1124" s="78" t="b">
        <f t="shared" si="1064"/>
        <v>0</v>
      </c>
      <c r="AG1124" s="78" t="b">
        <f t="shared" si="1065"/>
        <v>0</v>
      </c>
      <c r="AH1124" s="78" t="b">
        <f t="shared" si="1066"/>
        <v>0</v>
      </c>
      <c r="AI1124" s="78" t="b">
        <f t="shared" si="1067"/>
        <v>0</v>
      </c>
      <c r="AJ1124" s="78" t="b">
        <f t="shared" si="1068"/>
        <v>0</v>
      </c>
      <c r="AK1124" s="78" t="b">
        <f t="shared" si="1069"/>
        <v>0</v>
      </c>
      <c r="AL1124" s="78" t="b">
        <f t="shared" si="1070"/>
        <v>0</v>
      </c>
      <c r="AM1124" s="78" t="b">
        <f t="shared" si="1071"/>
        <v>0</v>
      </c>
      <c r="AN1124" s="78" t="b">
        <f t="shared" si="1072"/>
        <v>0</v>
      </c>
      <c r="AO1124" s="78" t="b">
        <f t="shared" si="1073"/>
        <v>0</v>
      </c>
    </row>
    <row r="1125" spans="7:41" x14ac:dyDescent="0.35">
      <c r="G1125" s="77">
        <f t="shared" si="1043"/>
        <v>0</v>
      </c>
      <c r="H1125" s="78">
        <f t="shared" si="1044"/>
        <v>0</v>
      </c>
      <c r="I1125" s="77">
        <f t="shared" si="1045"/>
        <v>0</v>
      </c>
      <c r="J1125" s="78">
        <f t="shared" si="1046"/>
        <v>0</v>
      </c>
      <c r="K1125" s="78" t="str">
        <f t="shared" si="1047"/>
        <v>1900-01-00 00:0:00</v>
      </c>
      <c r="L1125" s="78" t="str">
        <f t="shared" si="1048"/>
        <v>1900-01-00 00:0:00</v>
      </c>
      <c r="M1125" s="79">
        <f t="shared" si="1049"/>
        <v>0</v>
      </c>
      <c r="N1125">
        <f t="shared" si="1074"/>
        <v>1</v>
      </c>
      <c r="O1125" t="str">
        <f>IFERROR(_xlfn.XLOOKUP(A1125,HC!A:A,HC!C:C),"")</f>
        <v>Workforce</v>
      </c>
      <c r="R1125" s="78" t="b">
        <f t="shared" si="1050"/>
        <v>0</v>
      </c>
      <c r="S1125" s="78" t="b">
        <f t="shared" si="1051"/>
        <v>0</v>
      </c>
      <c r="T1125" s="78" t="b">
        <f t="shared" si="1052"/>
        <v>0</v>
      </c>
      <c r="U1125" s="78" t="b">
        <f t="shared" si="1053"/>
        <v>0</v>
      </c>
      <c r="V1125" s="78" t="b">
        <f t="shared" si="1054"/>
        <v>0</v>
      </c>
      <c r="W1125" s="78" t="b">
        <f t="shared" si="1055"/>
        <v>0</v>
      </c>
      <c r="X1125" s="78" t="b">
        <f t="shared" si="1056"/>
        <v>0</v>
      </c>
      <c r="Y1125" s="78" t="b">
        <f t="shared" si="1057"/>
        <v>0</v>
      </c>
      <c r="Z1125" s="78" t="b">
        <f t="shared" si="1058"/>
        <v>0</v>
      </c>
      <c r="AA1125" s="78" t="b">
        <f t="shared" si="1059"/>
        <v>0</v>
      </c>
      <c r="AB1125" s="78" t="b">
        <f t="shared" si="1060"/>
        <v>0</v>
      </c>
      <c r="AC1125" s="78" t="b">
        <f t="shared" si="1061"/>
        <v>0</v>
      </c>
      <c r="AD1125" s="78" t="b">
        <f t="shared" si="1062"/>
        <v>0</v>
      </c>
      <c r="AE1125" s="78" t="b">
        <f t="shared" si="1063"/>
        <v>0</v>
      </c>
      <c r="AF1125" s="78" t="b">
        <f t="shared" si="1064"/>
        <v>0</v>
      </c>
      <c r="AG1125" s="78" t="b">
        <f t="shared" si="1065"/>
        <v>0</v>
      </c>
      <c r="AH1125" s="78" t="b">
        <f t="shared" si="1066"/>
        <v>0</v>
      </c>
      <c r="AI1125" s="78" t="b">
        <f t="shared" si="1067"/>
        <v>0</v>
      </c>
      <c r="AJ1125" s="78" t="b">
        <f t="shared" si="1068"/>
        <v>0</v>
      </c>
      <c r="AK1125" s="78" t="b">
        <f t="shared" si="1069"/>
        <v>0</v>
      </c>
      <c r="AL1125" s="78" t="b">
        <f t="shared" si="1070"/>
        <v>0</v>
      </c>
      <c r="AM1125" s="78" t="b">
        <f t="shared" si="1071"/>
        <v>0</v>
      </c>
      <c r="AN1125" s="78" t="b">
        <f t="shared" si="1072"/>
        <v>0</v>
      </c>
      <c r="AO1125" s="78" t="b">
        <f t="shared" si="1073"/>
        <v>0</v>
      </c>
    </row>
    <row r="1126" spans="7:41" x14ac:dyDescent="0.35">
      <c r="G1126" s="77">
        <f t="shared" si="1043"/>
        <v>0</v>
      </c>
      <c r="H1126" s="78">
        <f t="shared" si="1044"/>
        <v>0</v>
      </c>
      <c r="I1126" s="77">
        <f t="shared" si="1045"/>
        <v>0</v>
      </c>
      <c r="J1126" s="78">
        <f t="shared" si="1046"/>
        <v>0</v>
      </c>
      <c r="K1126" s="78" t="str">
        <f t="shared" si="1047"/>
        <v>1900-01-00 00:0:00</v>
      </c>
      <c r="L1126" s="78" t="str">
        <f t="shared" si="1048"/>
        <v>1900-01-00 00:0:00</v>
      </c>
      <c r="M1126" s="79">
        <f t="shared" si="1049"/>
        <v>0</v>
      </c>
      <c r="N1126">
        <f t="shared" si="1074"/>
        <v>1</v>
      </c>
      <c r="O1126" t="str">
        <f>IFERROR(_xlfn.XLOOKUP(A1126,HC!A:A,HC!C:C),"")</f>
        <v>Workforce</v>
      </c>
      <c r="R1126" s="78" t="b">
        <f t="shared" si="1050"/>
        <v>0</v>
      </c>
      <c r="S1126" s="78" t="b">
        <f t="shared" si="1051"/>
        <v>0</v>
      </c>
      <c r="T1126" s="78" t="b">
        <f t="shared" si="1052"/>
        <v>0</v>
      </c>
      <c r="U1126" s="78" t="b">
        <f t="shared" si="1053"/>
        <v>0</v>
      </c>
      <c r="V1126" s="78" t="b">
        <f t="shared" si="1054"/>
        <v>0</v>
      </c>
      <c r="W1126" s="78" t="b">
        <f t="shared" si="1055"/>
        <v>0</v>
      </c>
      <c r="X1126" s="78" t="b">
        <f t="shared" si="1056"/>
        <v>0</v>
      </c>
      <c r="Y1126" s="78" t="b">
        <f t="shared" si="1057"/>
        <v>0</v>
      </c>
      <c r="Z1126" s="78" t="b">
        <f t="shared" si="1058"/>
        <v>0</v>
      </c>
      <c r="AA1126" s="78" t="b">
        <f t="shared" si="1059"/>
        <v>0</v>
      </c>
      <c r="AB1126" s="78" t="b">
        <f t="shared" si="1060"/>
        <v>0</v>
      </c>
      <c r="AC1126" s="78" t="b">
        <f t="shared" si="1061"/>
        <v>0</v>
      </c>
      <c r="AD1126" s="78" t="b">
        <f t="shared" si="1062"/>
        <v>0</v>
      </c>
      <c r="AE1126" s="78" t="b">
        <f t="shared" si="1063"/>
        <v>0</v>
      </c>
      <c r="AF1126" s="78" t="b">
        <f t="shared" si="1064"/>
        <v>0</v>
      </c>
      <c r="AG1126" s="78" t="b">
        <f t="shared" si="1065"/>
        <v>0</v>
      </c>
      <c r="AH1126" s="78" t="b">
        <f t="shared" si="1066"/>
        <v>0</v>
      </c>
      <c r="AI1126" s="78" t="b">
        <f t="shared" si="1067"/>
        <v>0</v>
      </c>
      <c r="AJ1126" s="78" t="b">
        <f t="shared" si="1068"/>
        <v>0</v>
      </c>
      <c r="AK1126" s="78" t="b">
        <f t="shared" si="1069"/>
        <v>0</v>
      </c>
      <c r="AL1126" s="78" t="b">
        <f t="shared" si="1070"/>
        <v>0</v>
      </c>
      <c r="AM1126" s="78" t="b">
        <f t="shared" si="1071"/>
        <v>0</v>
      </c>
      <c r="AN1126" s="78" t="b">
        <f t="shared" si="1072"/>
        <v>0</v>
      </c>
      <c r="AO1126" s="78" t="b">
        <f t="shared" si="1073"/>
        <v>0</v>
      </c>
    </row>
    <row r="1127" spans="7:41" x14ac:dyDescent="0.35">
      <c r="G1127" s="77">
        <f t="shared" si="1043"/>
        <v>0</v>
      </c>
      <c r="H1127" s="78">
        <f t="shared" si="1044"/>
        <v>0</v>
      </c>
      <c r="I1127" s="77">
        <f t="shared" si="1045"/>
        <v>0</v>
      </c>
      <c r="J1127" s="78">
        <f t="shared" si="1046"/>
        <v>0</v>
      </c>
      <c r="K1127" s="78" t="str">
        <f t="shared" si="1047"/>
        <v>1900-01-00 00:0:00</v>
      </c>
      <c r="L1127" s="78" t="str">
        <f t="shared" si="1048"/>
        <v>1900-01-00 00:0:00</v>
      </c>
      <c r="M1127" s="79">
        <f t="shared" si="1049"/>
        <v>0</v>
      </c>
      <c r="N1127">
        <f t="shared" si="1074"/>
        <v>1</v>
      </c>
      <c r="O1127" t="str">
        <f>IFERROR(_xlfn.XLOOKUP(A1127,HC!A:A,HC!C:C),"")</f>
        <v>Workforce</v>
      </c>
      <c r="R1127" s="78" t="b">
        <f t="shared" si="1050"/>
        <v>0</v>
      </c>
      <c r="S1127" s="78" t="b">
        <f t="shared" si="1051"/>
        <v>0</v>
      </c>
      <c r="T1127" s="78" t="b">
        <f t="shared" si="1052"/>
        <v>0</v>
      </c>
      <c r="U1127" s="78" t="b">
        <f t="shared" si="1053"/>
        <v>0</v>
      </c>
      <c r="V1127" s="78" t="b">
        <f t="shared" si="1054"/>
        <v>0</v>
      </c>
      <c r="W1127" s="78" t="b">
        <f t="shared" si="1055"/>
        <v>0</v>
      </c>
      <c r="X1127" s="78" t="b">
        <f t="shared" si="1056"/>
        <v>0</v>
      </c>
      <c r="Y1127" s="78" t="b">
        <f t="shared" si="1057"/>
        <v>0</v>
      </c>
      <c r="Z1127" s="78" t="b">
        <f t="shared" si="1058"/>
        <v>0</v>
      </c>
      <c r="AA1127" s="78" t="b">
        <f t="shared" si="1059"/>
        <v>0</v>
      </c>
      <c r="AB1127" s="78" t="b">
        <f t="shared" si="1060"/>
        <v>0</v>
      </c>
      <c r="AC1127" s="78" t="b">
        <f t="shared" si="1061"/>
        <v>0</v>
      </c>
      <c r="AD1127" s="78" t="b">
        <f t="shared" si="1062"/>
        <v>0</v>
      </c>
      <c r="AE1127" s="78" t="b">
        <f t="shared" si="1063"/>
        <v>0</v>
      </c>
      <c r="AF1127" s="78" t="b">
        <f t="shared" si="1064"/>
        <v>0</v>
      </c>
      <c r="AG1127" s="78" t="b">
        <f t="shared" si="1065"/>
        <v>0</v>
      </c>
      <c r="AH1127" s="78" t="b">
        <f t="shared" si="1066"/>
        <v>0</v>
      </c>
      <c r="AI1127" s="78" t="b">
        <f t="shared" si="1067"/>
        <v>0</v>
      </c>
      <c r="AJ1127" s="78" t="b">
        <f t="shared" si="1068"/>
        <v>0</v>
      </c>
      <c r="AK1127" s="78" t="b">
        <f t="shared" si="1069"/>
        <v>0</v>
      </c>
      <c r="AL1127" s="78" t="b">
        <f t="shared" si="1070"/>
        <v>0</v>
      </c>
      <c r="AM1127" s="78" t="b">
        <f t="shared" si="1071"/>
        <v>0</v>
      </c>
      <c r="AN1127" s="78" t="b">
        <f t="shared" si="1072"/>
        <v>0</v>
      </c>
      <c r="AO1127" s="78" t="b">
        <f t="shared" si="1073"/>
        <v>0</v>
      </c>
    </row>
    <row r="1128" spans="7:41" x14ac:dyDescent="0.35">
      <c r="G1128" s="77">
        <f t="shared" si="1043"/>
        <v>0</v>
      </c>
      <c r="H1128" s="78">
        <f t="shared" si="1044"/>
        <v>0</v>
      </c>
      <c r="I1128" s="77">
        <f t="shared" si="1045"/>
        <v>0</v>
      </c>
      <c r="J1128" s="78">
        <f t="shared" si="1046"/>
        <v>0</v>
      </c>
      <c r="K1128" s="78" t="str">
        <f t="shared" si="1047"/>
        <v>1900-01-00 00:0:00</v>
      </c>
      <c r="L1128" s="78" t="str">
        <f t="shared" si="1048"/>
        <v>1900-01-00 00:0:00</v>
      </c>
      <c r="M1128" s="79">
        <f t="shared" si="1049"/>
        <v>0</v>
      </c>
      <c r="N1128">
        <f t="shared" si="1074"/>
        <v>1</v>
      </c>
      <c r="O1128" t="str">
        <f>IFERROR(_xlfn.XLOOKUP(A1128,HC!A:A,HC!C:C),"")</f>
        <v>Workforce</v>
      </c>
      <c r="R1128" s="78" t="b">
        <f t="shared" si="1050"/>
        <v>0</v>
      </c>
      <c r="S1128" s="78" t="b">
        <f t="shared" si="1051"/>
        <v>0</v>
      </c>
      <c r="T1128" s="78" t="b">
        <f t="shared" si="1052"/>
        <v>0</v>
      </c>
      <c r="U1128" s="78" t="b">
        <f t="shared" si="1053"/>
        <v>0</v>
      </c>
      <c r="V1128" s="78" t="b">
        <f t="shared" si="1054"/>
        <v>0</v>
      </c>
      <c r="W1128" s="78" t="b">
        <f t="shared" si="1055"/>
        <v>0</v>
      </c>
      <c r="X1128" s="78" t="b">
        <f t="shared" si="1056"/>
        <v>0</v>
      </c>
      <c r="Y1128" s="78" t="b">
        <f t="shared" si="1057"/>
        <v>0</v>
      </c>
      <c r="Z1128" s="78" t="b">
        <f t="shared" si="1058"/>
        <v>0</v>
      </c>
      <c r="AA1128" s="78" t="b">
        <f t="shared" si="1059"/>
        <v>0</v>
      </c>
      <c r="AB1128" s="78" t="b">
        <f t="shared" si="1060"/>
        <v>0</v>
      </c>
      <c r="AC1128" s="78" t="b">
        <f t="shared" si="1061"/>
        <v>0</v>
      </c>
      <c r="AD1128" s="78" t="b">
        <f t="shared" si="1062"/>
        <v>0</v>
      </c>
      <c r="AE1128" s="78" t="b">
        <f t="shared" si="1063"/>
        <v>0</v>
      </c>
      <c r="AF1128" s="78" t="b">
        <f t="shared" si="1064"/>
        <v>0</v>
      </c>
      <c r="AG1128" s="78" t="b">
        <f t="shared" si="1065"/>
        <v>0</v>
      </c>
      <c r="AH1128" s="78" t="b">
        <f t="shared" si="1066"/>
        <v>0</v>
      </c>
      <c r="AI1128" s="78" t="b">
        <f t="shared" si="1067"/>
        <v>0</v>
      </c>
      <c r="AJ1128" s="78" t="b">
        <f t="shared" si="1068"/>
        <v>0</v>
      </c>
      <c r="AK1128" s="78" t="b">
        <f t="shared" si="1069"/>
        <v>0</v>
      </c>
      <c r="AL1128" s="78" t="b">
        <f t="shared" si="1070"/>
        <v>0</v>
      </c>
      <c r="AM1128" s="78" t="b">
        <f t="shared" si="1071"/>
        <v>0</v>
      </c>
      <c r="AN1128" s="78" t="b">
        <f t="shared" si="1072"/>
        <v>0</v>
      </c>
      <c r="AO1128" s="78" t="b">
        <f t="shared" si="1073"/>
        <v>0</v>
      </c>
    </row>
    <row r="1129" spans="7:41" x14ac:dyDescent="0.35">
      <c r="G1129" s="77">
        <f t="shared" si="1043"/>
        <v>0</v>
      </c>
      <c r="H1129" s="78">
        <f t="shared" si="1044"/>
        <v>0</v>
      </c>
      <c r="I1129" s="77">
        <f t="shared" si="1045"/>
        <v>0</v>
      </c>
      <c r="J1129" s="78">
        <f t="shared" si="1046"/>
        <v>0</v>
      </c>
      <c r="K1129" s="78" t="str">
        <f t="shared" si="1047"/>
        <v>1900-01-00 00:0:00</v>
      </c>
      <c r="L1129" s="78" t="str">
        <f t="shared" si="1048"/>
        <v>1900-01-00 00:0:00</v>
      </c>
      <c r="M1129" s="79">
        <f t="shared" si="1049"/>
        <v>0</v>
      </c>
      <c r="N1129">
        <f t="shared" si="1074"/>
        <v>1</v>
      </c>
      <c r="O1129" t="str">
        <f>IFERROR(_xlfn.XLOOKUP(A1129,HC!A:A,HC!C:C),"")</f>
        <v>Workforce</v>
      </c>
      <c r="R1129" s="78" t="b">
        <f t="shared" si="1050"/>
        <v>0</v>
      </c>
      <c r="S1129" s="78" t="b">
        <f t="shared" si="1051"/>
        <v>0</v>
      </c>
      <c r="T1129" s="78" t="b">
        <f t="shared" si="1052"/>
        <v>0</v>
      </c>
      <c r="U1129" s="78" t="b">
        <f t="shared" si="1053"/>
        <v>0</v>
      </c>
      <c r="V1129" s="78" t="b">
        <f t="shared" si="1054"/>
        <v>0</v>
      </c>
      <c r="W1129" s="78" t="b">
        <f t="shared" si="1055"/>
        <v>0</v>
      </c>
      <c r="X1129" s="78" t="b">
        <f t="shared" si="1056"/>
        <v>0</v>
      </c>
      <c r="Y1129" s="78" t="b">
        <f t="shared" si="1057"/>
        <v>0</v>
      </c>
      <c r="Z1129" s="78" t="b">
        <f t="shared" si="1058"/>
        <v>0</v>
      </c>
      <c r="AA1129" s="78" t="b">
        <f t="shared" si="1059"/>
        <v>0</v>
      </c>
      <c r="AB1129" s="78" t="b">
        <f t="shared" si="1060"/>
        <v>0</v>
      </c>
      <c r="AC1129" s="78" t="b">
        <f t="shared" si="1061"/>
        <v>0</v>
      </c>
      <c r="AD1129" s="78" t="b">
        <f t="shared" si="1062"/>
        <v>0</v>
      </c>
      <c r="AE1129" s="78" t="b">
        <f t="shared" si="1063"/>
        <v>0</v>
      </c>
      <c r="AF1129" s="78" t="b">
        <f t="shared" si="1064"/>
        <v>0</v>
      </c>
      <c r="AG1129" s="78" t="b">
        <f t="shared" si="1065"/>
        <v>0</v>
      </c>
      <c r="AH1129" s="78" t="b">
        <f t="shared" si="1066"/>
        <v>0</v>
      </c>
      <c r="AI1129" s="78" t="b">
        <f t="shared" si="1067"/>
        <v>0</v>
      </c>
      <c r="AJ1129" s="78" t="b">
        <f t="shared" si="1068"/>
        <v>0</v>
      </c>
      <c r="AK1129" s="78" t="b">
        <f t="shared" si="1069"/>
        <v>0</v>
      </c>
      <c r="AL1129" s="78" t="b">
        <f t="shared" si="1070"/>
        <v>0</v>
      </c>
      <c r="AM1129" s="78" t="b">
        <f t="shared" si="1071"/>
        <v>0</v>
      </c>
      <c r="AN1129" s="78" t="b">
        <f t="shared" si="1072"/>
        <v>0</v>
      </c>
      <c r="AO1129" s="78" t="b">
        <f t="shared" si="1073"/>
        <v>0</v>
      </c>
    </row>
    <row r="1130" spans="7:41" x14ac:dyDescent="0.35">
      <c r="G1130" s="77">
        <f t="shared" si="1043"/>
        <v>0</v>
      </c>
      <c r="H1130" s="78">
        <f t="shared" si="1044"/>
        <v>0</v>
      </c>
      <c r="I1130" s="77">
        <f t="shared" si="1045"/>
        <v>0</v>
      </c>
      <c r="J1130" s="78">
        <f t="shared" si="1046"/>
        <v>0</v>
      </c>
      <c r="K1130" s="78" t="str">
        <f t="shared" si="1047"/>
        <v>1900-01-00 00:0:00</v>
      </c>
      <c r="L1130" s="78" t="str">
        <f t="shared" si="1048"/>
        <v>1900-01-00 00:0:00</v>
      </c>
      <c r="M1130" s="79">
        <f t="shared" si="1049"/>
        <v>0</v>
      </c>
      <c r="N1130">
        <f t="shared" si="1074"/>
        <v>1</v>
      </c>
      <c r="O1130" t="str">
        <f>IFERROR(_xlfn.XLOOKUP(A1130,HC!A:A,HC!C:C),"")</f>
        <v>Workforce</v>
      </c>
      <c r="R1130" s="78" t="b">
        <f t="shared" si="1050"/>
        <v>0</v>
      </c>
      <c r="S1130" s="78" t="b">
        <f t="shared" si="1051"/>
        <v>0</v>
      </c>
      <c r="T1130" s="78" t="b">
        <f t="shared" si="1052"/>
        <v>0</v>
      </c>
      <c r="U1130" s="78" t="b">
        <f t="shared" si="1053"/>
        <v>0</v>
      </c>
      <c r="V1130" s="78" t="b">
        <f t="shared" si="1054"/>
        <v>0</v>
      </c>
      <c r="W1130" s="78" t="b">
        <f t="shared" si="1055"/>
        <v>0</v>
      </c>
      <c r="X1130" s="78" t="b">
        <f t="shared" si="1056"/>
        <v>0</v>
      </c>
      <c r="Y1130" s="78" t="b">
        <f t="shared" si="1057"/>
        <v>0</v>
      </c>
      <c r="Z1130" s="78" t="b">
        <f t="shared" si="1058"/>
        <v>0</v>
      </c>
      <c r="AA1130" s="78" t="b">
        <f t="shared" si="1059"/>
        <v>0</v>
      </c>
      <c r="AB1130" s="78" t="b">
        <f t="shared" si="1060"/>
        <v>0</v>
      </c>
      <c r="AC1130" s="78" t="b">
        <f t="shared" si="1061"/>
        <v>0</v>
      </c>
      <c r="AD1130" s="78" t="b">
        <f t="shared" si="1062"/>
        <v>0</v>
      </c>
      <c r="AE1130" s="78" t="b">
        <f t="shared" si="1063"/>
        <v>0</v>
      </c>
      <c r="AF1130" s="78" t="b">
        <f t="shared" si="1064"/>
        <v>0</v>
      </c>
      <c r="AG1130" s="78" t="b">
        <f t="shared" si="1065"/>
        <v>0</v>
      </c>
      <c r="AH1130" s="78" t="b">
        <f t="shared" si="1066"/>
        <v>0</v>
      </c>
      <c r="AI1130" s="78" t="b">
        <f t="shared" si="1067"/>
        <v>0</v>
      </c>
      <c r="AJ1130" s="78" t="b">
        <f t="shared" si="1068"/>
        <v>0</v>
      </c>
      <c r="AK1130" s="78" t="b">
        <f t="shared" si="1069"/>
        <v>0</v>
      </c>
      <c r="AL1130" s="78" t="b">
        <f t="shared" si="1070"/>
        <v>0</v>
      </c>
      <c r="AM1130" s="78" t="b">
        <f t="shared" si="1071"/>
        <v>0</v>
      </c>
      <c r="AN1130" s="78" t="b">
        <f t="shared" si="1072"/>
        <v>0</v>
      </c>
      <c r="AO1130" s="78" t="b">
        <f t="shared" si="1073"/>
        <v>0</v>
      </c>
    </row>
    <row r="1131" spans="7:41" x14ac:dyDescent="0.35">
      <c r="G1131" s="77">
        <f t="shared" si="1043"/>
        <v>0</v>
      </c>
      <c r="H1131" s="78">
        <f t="shared" si="1044"/>
        <v>0</v>
      </c>
      <c r="I1131" s="77">
        <f t="shared" si="1045"/>
        <v>0</v>
      </c>
      <c r="J1131" s="78">
        <f t="shared" si="1046"/>
        <v>0</v>
      </c>
      <c r="K1131" s="78" t="str">
        <f t="shared" si="1047"/>
        <v>1900-01-00 00:0:00</v>
      </c>
      <c r="L1131" s="78" t="str">
        <f t="shared" si="1048"/>
        <v>1900-01-00 00:0:00</v>
      </c>
      <c r="M1131" s="79">
        <f t="shared" si="1049"/>
        <v>0</v>
      </c>
      <c r="N1131">
        <f t="shared" si="1074"/>
        <v>1</v>
      </c>
      <c r="O1131" t="str">
        <f>IFERROR(_xlfn.XLOOKUP(A1131,HC!A:A,HC!C:C),"")</f>
        <v>Workforce</v>
      </c>
      <c r="R1131" s="78" t="b">
        <f t="shared" si="1050"/>
        <v>0</v>
      </c>
      <c r="S1131" s="78" t="b">
        <f t="shared" si="1051"/>
        <v>0</v>
      </c>
      <c r="T1131" s="78" t="b">
        <f t="shared" si="1052"/>
        <v>0</v>
      </c>
      <c r="U1131" s="78" t="b">
        <f t="shared" si="1053"/>
        <v>0</v>
      </c>
      <c r="V1131" s="78" t="b">
        <f t="shared" si="1054"/>
        <v>0</v>
      </c>
      <c r="W1131" s="78" t="b">
        <f t="shared" si="1055"/>
        <v>0</v>
      </c>
      <c r="X1131" s="78" t="b">
        <f t="shared" si="1056"/>
        <v>0</v>
      </c>
      <c r="Y1131" s="78" t="b">
        <f t="shared" si="1057"/>
        <v>0</v>
      </c>
      <c r="Z1131" s="78" t="b">
        <f t="shared" si="1058"/>
        <v>0</v>
      </c>
      <c r="AA1131" s="78" t="b">
        <f t="shared" si="1059"/>
        <v>0</v>
      </c>
      <c r="AB1131" s="78" t="b">
        <f t="shared" si="1060"/>
        <v>0</v>
      </c>
      <c r="AC1131" s="78" t="b">
        <f t="shared" si="1061"/>
        <v>0</v>
      </c>
      <c r="AD1131" s="78" t="b">
        <f t="shared" si="1062"/>
        <v>0</v>
      </c>
      <c r="AE1131" s="78" t="b">
        <f t="shared" si="1063"/>
        <v>0</v>
      </c>
      <c r="AF1131" s="78" t="b">
        <f t="shared" si="1064"/>
        <v>0</v>
      </c>
      <c r="AG1131" s="78" t="b">
        <f t="shared" si="1065"/>
        <v>0</v>
      </c>
      <c r="AH1131" s="78" t="b">
        <f t="shared" si="1066"/>
        <v>0</v>
      </c>
      <c r="AI1131" s="78" t="b">
        <f t="shared" si="1067"/>
        <v>0</v>
      </c>
      <c r="AJ1131" s="78" t="b">
        <f t="shared" si="1068"/>
        <v>0</v>
      </c>
      <c r="AK1131" s="78" t="b">
        <f t="shared" si="1069"/>
        <v>0</v>
      </c>
      <c r="AL1131" s="78" t="b">
        <f t="shared" si="1070"/>
        <v>0</v>
      </c>
      <c r="AM1131" s="78" t="b">
        <f t="shared" si="1071"/>
        <v>0</v>
      </c>
      <c r="AN1131" s="78" t="b">
        <f t="shared" si="1072"/>
        <v>0</v>
      </c>
      <c r="AO1131" s="78" t="b">
        <f t="shared" si="1073"/>
        <v>0</v>
      </c>
    </row>
    <row r="1132" spans="7:41" x14ac:dyDescent="0.35">
      <c r="G1132" s="77">
        <f t="shared" si="1043"/>
        <v>0</v>
      </c>
      <c r="H1132" s="78">
        <f t="shared" si="1044"/>
        <v>0</v>
      </c>
      <c r="I1132" s="77">
        <f t="shared" si="1045"/>
        <v>0</v>
      </c>
      <c r="J1132" s="78">
        <f t="shared" si="1046"/>
        <v>0</v>
      </c>
      <c r="K1132" s="78" t="str">
        <f t="shared" si="1047"/>
        <v>1900-01-00 00:0:00</v>
      </c>
      <c r="L1132" s="78" t="str">
        <f t="shared" si="1048"/>
        <v>1900-01-00 00:0:00</v>
      </c>
      <c r="M1132" s="79">
        <f t="shared" si="1049"/>
        <v>0</v>
      </c>
      <c r="N1132">
        <f t="shared" si="1074"/>
        <v>1</v>
      </c>
      <c r="O1132" t="str">
        <f>IFERROR(_xlfn.XLOOKUP(A1132,HC!A:A,HC!C:C),"")</f>
        <v>Workforce</v>
      </c>
      <c r="R1132" s="78" t="b">
        <f t="shared" si="1050"/>
        <v>0</v>
      </c>
      <c r="S1132" s="78" t="b">
        <f t="shared" si="1051"/>
        <v>0</v>
      </c>
      <c r="T1132" s="78" t="b">
        <f t="shared" si="1052"/>
        <v>0</v>
      </c>
      <c r="U1132" s="78" t="b">
        <f t="shared" si="1053"/>
        <v>0</v>
      </c>
      <c r="V1132" s="78" t="b">
        <f t="shared" si="1054"/>
        <v>0</v>
      </c>
      <c r="W1132" s="78" t="b">
        <f t="shared" si="1055"/>
        <v>0</v>
      </c>
      <c r="X1132" s="78" t="b">
        <f t="shared" si="1056"/>
        <v>0</v>
      </c>
      <c r="Y1132" s="78" t="b">
        <f t="shared" si="1057"/>
        <v>0</v>
      </c>
      <c r="Z1132" s="78" t="b">
        <f t="shared" si="1058"/>
        <v>0</v>
      </c>
      <c r="AA1132" s="78" t="b">
        <f t="shared" si="1059"/>
        <v>0</v>
      </c>
      <c r="AB1132" s="78" t="b">
        <f t="shared" si="1060"/>
        <v>0</v>
      </c>
      <c r="AC1132" s="78" t="b">
        <f t="shared" si="1061"/>
        <v>0</v>
      </c>
      <c r="AD1132" s="78" t="b">
        <f t="shared" si="1062"/>
        <v>0</v>
      </c>
      <c r="AE1132" s="78" t="b">
        <f t="shared" si="1063"/>
        <v>0</v>
      </c>
      <c r="AF1132" s="78" t="b">
        <f t="shared" si="1064"/>
        <v>0</v>
      </c>
      <c r="AG1132" s="78" t="b">
        <f t="shared" si="1065"/>
        <v>0</v>
      </c>
      <c r="AH1132" s="78" t="b">
        <f t="shared" si="1066"/>
        <v>0</v>
      </c>
      <c r="AI1132" s="78" t="b">
        <f t="shared" si="1067"/>
        <v>0</v>
      </c>
      <c r="AJ1132" s="78" t="b">
        <f t="shared" si="1068"/>
        <v>0</v>
      </c>
      <c r="AK1132" s="78" t="b">
        <f t="shared" si="1069"/>
        <v>0</v>
      </c>
      <c r="AL1132" s="78" t="b">
        <f t="shared" si="1070"/>
        <v>0</v>
      </c>
      <c r="AM1132" s="78" t="b">
        <f t="shared" si="1071"/>
        <v>0</v>
      </c>
      <c r="AN1132" s="78" t="b">
        <f t="shared" si="1072"/>
        <v>0</v>
      </c>
      <c r="AO1132" s="78" t="b">
        <f t="shared" si="1073"/>
        <v>0</v>
      </c>
    </row>
    <row r="1133" spans="7:41" x14ac:dyDescent="0.35">
      <c r="G1133" s="77">
        <f t="shared" si="1043"/>
        <v>0</v>
      </c>
      <c r="H1133" s="78">
        <f t="shared" si="1044"/>
        <v>0</v>
      </c>
      <c r="I1133" s="77">
        <f t="shared" si="1045"/>
        <v>0</v>
      </c>
      <c r="J1133" s="78">
        <f t="shared" si="1046"/>
        <v>0</v>
      </c>
      <c r="K1133" s="78" t="str">
        <f t="shared" si="1047"/>
        <v>1900-01-00 00:0:00</v>
      </c>
      <c r="L1133" s="78" t="str">
        <f t="shared" si="1048"/>
        <v>1900-01-00 00:0:00</v>
      </c>
      <c r="M1133" s="79">
        <f t="shared" si="1049"/>
        <v>0</v>
      </c>
      <c r="N1133">
        <f t="shared" si="1074"/>
        <v>1</v>
      </c>
      <c r="O1133" t="str">
        <f>IFERROR(_xlfn.XLOOKUP(A1133,HC!A:A,HC!C:C),"")</f>
        <v>Workforce</v>
      </c>
      <c r="R1133" s="78" t="b">
        <f t="shared" si="1050"/>
        <v>0</v>
      </c>
      <c r="S1133" s="78" t="b">
        <f t="shared" si="1051"/>
        <v>0</v>
      </c>
      <c r="T1133" s="78" t="b">
        <f t="shared" si="1052"/>
        <v>0</v>
      </c>
      <c r="U1133" s="78" t="b">
        <f t="shared" si="1053"/>
        <v>0</v>
      </c>
      <c r="V1133" s="78" t="b">
        <f t="shared" si="1054"/>
        <v>0</v>
      </c>
      <c r="W1133" s="78" t="b">
        <f t="shared" si="1055"/>
        <v>0</v>
      </c>
      <c r="X1133" s="78" t="b">
        <f t="shared" si="1056"/>
        <v>0</v>
      </c>
      <c r="Y1133" s="78" t="b">
        <f t="shared" si="1057"/>
        <v>0</v>
      </c>
      <c r="Z1133" s="78" t="b">
        <f t="shared" si="1058"/>
        <v>0</v>
      </c>
      <c r="AA1133" s="78" t="b">
        <f t="shared" si="1059"/>
        <v>0</v>
      </c>
      <c r="AB1133" s="78" t="b">
        <f t="shared" si="1060"/>
        <v>0</v>
      </c>
      <c r="AC1133" s="78" t="b">
        <f t="shared" si="1061"/>
        <v>0</v>
      </c>
      <c r="AD1133" s="78" t="b">
        <f t="shared" si="1062"/>
        <v>0</v>
      </c>
      <c r="AE1133" s="78" t="b">
        <f t="shared" si="1063"/>
        <v>0</v>
      </c>
      <c r="AF1133" s="78" t="b">
        <f t="shared" si="1064"/>
        <v>0</v>
      </c>
      <c r="AG1133" s="78" t="b">
        <f t="shared" si="1065"/>
        <v>0</v>
      </c>
      <c r="AH1133" s="78" t="b">
        <f t="shared" si="1066"/>
        <v>0</v>
      </c>
      <c r="AI1133" s="78" t="b">
        <f t="shared" si="1067"/>
        <v>0</v>
      </c>
      <c r="AJ1133" s="78" t="b">
        <f t="shared" si="1068"/>
        <v>0</v>
      </c>
      <c r="AK1133" s="78" t="b">
        <f t="shared" si="1069"/>
        <v>0</v>
      </c>
      <c r="AL1133" s="78" t="b">
        <f t="shared" si="1070"/>
        <v>0</v>
      </c>
      <c r="AM1133" s="78" t="b">
        <f t="shared" si="1071"/>
        <v>0</v>
      </c>
      <c r="AN1133" s="78" t="b">
        <f t="shared" si="1072"/>
        <v>0</v>
      </c>
      <c r="AO1133" s="78" t="b">
        <f t="shared" si="1073"/>
        <v>0</v>
      </c>
    </row>
    <row r="1134" spans="7:41" x14ac:dyDescent="0.35">
      <c r="G1134" s="77">
        <f t="shared" si="1043"/>
        <v>0</v>
      </c>
      <c r="H1134" s="78">
        <f t="shared" si="1044"/>
        <v>0</v>
      </c>
      <c r="I1134" s="77">
        <f t="shared" si="1045"/>
        <v>0</v>
      </c>
      <c r="J1134" s="78">
        <f t="shared" si="1046"/>
        <v>0</v>
      </c>
      <c r="K1134" s="78" t="str">
        <f t="shared" si="1047"/>
        <v>1900-01-00 00:0:00</v>
      </c>
      <c r="L1134" s="78" t="str">
        <f t="shared" si="1048"/>
        <v>1900-01-00 00:0:00</v>
      </c>
      <c r="M1134" s="79">
        <f t="shared" si="1049"/>
        <v>0</v>
      </c>
      <c r="N1134">
        <f t="shared" si="1074"/>
        <v>1</v>
      </c>
      <c r="O1134" t="str">
        <f>IFERROR(_xlfn.XLOOKUP(A1134,HC!A:A,HC!C:C),"")</f>
        <v>Workforce</v>
      </c>
      <c r="R1134" s="78" t="b">
        <f t="shared" si="1050"/>
        <v>0</v>
      </c>
      <c r="S1134" s="78" t="b">
        <f t="shared" si="1051"/>
        <v>0</v>
      </c>
      <c r="T1134" s="78" t="b">
        <f t="shared" si="1052"/>
        <v>0</v>
      </c>
      <c r="U1134" s="78" t="b">
        <f t="shared" si="1053"/>
        <v>0</v>
      </c>
      <c r="V1134" s="78" t="b">
        <f t="shared" si="1054"/>
        <v>0</v>
      </c>
      <c r="W1134" s="78" t="b">
        <f t="shared" si="1055"/>
        <v>0</v>
      </c>
      <c r="X1134" s="78" t="b">
        <f t="shared" si="1056"/>
        <v>0</v>
      </c>
      <c r="Y1134" s="78" t="b">
        <f t="shared" si="1057"/>
        <v>0</v>
      </c>
      <c r="Z1134" s="78" t="b">
        <f t="shared" si="1058"/>
        <v>0</v>
      </c>
      <c r="AA1134" s="78" t="b">
        <f t="shared" si="1059"/>
        <v>0</v>
      </c>
      <c r="AB1134" s="78" t="b">
        <f t="shared" si="1060"/>
        <v>0</v>
      </c>
      <c r="AC1134" s="78" t="b">
        <f t="shared" si="1061"/>
        <v>0</v>
      </c>
      <c r="AD1134" s="78" t="b">
        <f t="shared" si="1062"/>
        <v>0</v>
      </c>
      <c r="AE1134" s="78" t="b">
        <f t="shared" si="1063"/>
        <v>0</v>
      </c>
      <c r="AF1134" s="78" t="b">
        <f t="shared" si="1064"/>
        <v>0</v>
      </c>
      <c r="AG1134" s="78" t="b">
        <f t="shared" si="1065"/>
        <v>0</v>
      </c>
      <c r="AH1134" s="78" t="b">
        <f t="shared" si="1066"/>
        <v>0</v>
      </c>
      <c r="AI1134" s="78" t="b">
        <f t="shared" si="1067"/>
        <v>0</v>
      </c>
      <c r="AJ1134" s="78" t="b">
        <f t="shared" si="1068"/>
        <v>0</v>
      </c>
      <c r="AK1134" s="78" t="b">
        <f t="shared" si="1069"/>
        <v>0</v>
      </c>
      <c r="AL1134" s="78" t="b">
        <f t="shared" si="1070"/>
        <v>0</v>
      </c>
      <c r="AM1134" s="78" t="b">
        <f t="shared" si="1071"/>
        <v>0</v>
      </c>
      <c r="AN1134" s="78" t="b">
        <f t="shared" si="1072"/>
        <v>0</v>
      </c>
      <c r="AO1134" s="78" t="b">
        <f t="shared" si="1073"/>
        <v>0</v>
      </c>
    </row>
    <row r="1135" spans="7:41" x14ac:dyDescent="0.35">
      <c r="G1135" s="77">
        <f t="shared" si="1043"/>
        <v>0</v>
      </c>
      <c r="H1135" s="78">
        <f t="shared" si="1044"/>
        <v>0</v>
      </c>
      <c r="I1135" s="77">
        <f t="shared" si="1045"/>
        <v>0</v>
      </c>
      <c r="J1135" s="78">
        <f t="shared" si="1046"/>
        <v>0</v>
      </c>
      <c r="K1135" s="78" t="str">
        <f t="shared" si="1047"/>
        <v>1900-01-00 00:0:00</v>
      </c>
      <c r="L1135" s="78" t="str">
        <f t="shared" si="1048"/>
        <v>1900-01-00 00:0:00</v>
      </c>
      <c r="M1135" s="79">
        <f t="shared" si="1049"/>
        <v>0</v>
      </c>
      <c r="N1135">
        <f t="shared" si="1074"/>
        <v>1</v>
      </c>
      <c r="O1135" t="str">
        <f>IFERROR(_xlfn.XLOOKUP(A1135,HC!A:A,HC!C:C),"")</f>
        <v>Workforce</v>
      </c>
      <c r="R1135" s="78" t="b">
        <f t="shared" si="1050"/>
        <v>0</v>
      </c>
      <c r="S1135" s="78" t="b">
        <f t="shared" si="1051"/>
        <v>0</v>
      </c>
      <c r="T1135" s="78" t="b">
        <f t="shared" si="1052"/>
        <v>0</v>
      </c>
      <c r="U1135" s="78" t="b">
        <f t="shared" si="1053"/>
        <v>0</v>
      </c>
      <c r="V1135" s="78" t="b">
        <f t="shared" si="1054"/>
        <v>0</v>
      </c>
      <c r="W1135" s="78" t="b">
        <f t="shared" si="1055"/>
        <v>0</v>
      </c>
      <c r="X1135" s="78" t="b">
        <f t="shared" si="1056"/>
        <v>0</v>
      </c>
      <c r="Y1135" s="78" t="b">
        <f t="shared" si="1057"/>
        <v>0</v>
      </c>
      <c r="Z1135" s="78" t="b">
        <f t="shared" si="1058"/>
        <v>0</v>
      </c>
      <c r="AA1135" s="78" t="b">
        <f t="shared" si="1059"/>
        <v>0</v>
      </c>
      <c r="AB1135" s="78" t="b">
        <f t="shared" si="1060"/>
        <v>0</v>
      </c>
      <c r="AC1135" s="78" t="b">
        <f t="shared" si="1061"/>
        <v>0</v>
      </c>
      <c r="AD1135" s="78" t="b">
        <f t="shared" si="1062"/>
        <v>0</v>
      </c>
      <c r="AE1135" s="78" t="b">
        <f t="shared" si="1063"/>
        <v>0</v>
      </c>
      <c r="AF1135" s="78" t="b">
        <f t="shared" si="1064"/>
        <v>0</v>
      </c>
      <c r="AG1135" s="78" t="b">
        <f t="shared" si="1065"/>
        <v>0</v>
      </c>
      <c r="AH1135" s="78" t="b">
        <f t="shared" si="1066"/>
        <v>0</v>
      </c>
      <c r="AI1135" s="78" t="b">
        <f t="shared" si="1067"/>
        <v>0</v>
      </c>
      <c r="AJ1135" s="78" t="b">
        <f t="shared" si="1068"/>
        <v>0</v>
      </c>
      <c r="AK1135" s="78" t="b">
        <f t="shared" si="1069"/>
        <v>0</v>
      </c>
      <c r="AL1135" s="78" t="b">
        <f t="shared" si="1070"/>
        <v>0</v>
      </c>
      <c r="AM1135" s="78" t="b">
        <f t="shared" si="1071"/>
        <v>0</v>
      </c>
      <c r="AN1135" s="78" t="b">
        <f t="shared" si="1072"/>
        <v>0</v>
      </c>
      <c r="AO1135" s="78" t="b">
        <f t="shared" si="1073"/>
        <v>0</v>
      </c>
    </row>
    <row r="1136" spans="7:41" x14ac:dyDescent="0.35">
      <c r="G1136" s="77">
        <f t="shared" si="1043"/>
        <v>0</v>
      </c>
      <c r="H1136" s="78">
        <f t="shared" si="1044"/>
        <v>0</v>
      </c>
      <c r="I1136" s="77">
        <f t="shared" si="1045"/>
        <v>0</v>
      </c>
      <c r="J1136" s="78">
        <f t="shared" si="1046"/>
        <v>0</v>
      </c>
      <c r="K1136" s="78" t="str">
        <f t="shared" si="1047"/>
        <v>1900-01-00 00:0:00</v>
      </c>
      <c r="L1136" s="78" t="str">
        <f t="shared" si="1048"/>
        <v>1900-01-00 00:0:00</v>
      </c>
      <c r="M1136" s="79">
        <f t="shared" si="1049"/>
        <v>0</v>
      </c>
      <c r="N1136">
        <f t="shared" si="1074"/>
        <v>1</v>
      </c>
      <c r="O1136" t="str">
        <f>IFERROR(_xlfn.XLOOKUP(A1136,HC!A:A,HC!C:C),"")</f>
        <v>Workforce</v>
      </c>
      <c r="R1136" s="78" t="b">
        <f t="shared" si="1050"/>
        <v>0</v>
      </c>
      <c r="S1136" s="78" t="b">
        <f t="shared" si="1051"/>
        <v>0</v>
      </c>
      <c r="T1136" s="78" t="b">
        <f t="shared" si="1052"/>
        <v>0</v>
      </c>
      <c r="U1136" s="78" t="b">
        <f t="shared" si="1053"/>
        <v>0</v>
      </c>
      <c r="V1136" s="78" t="b">
        <f t="shared" si="1054"/>
        <v>0</v>
      </c>
      <c r="W1136" s="78" t="b">
        <f t="shared" si="1055"/>
        <v>0</v>
      </c>
      <c r="X1136" s="78" t="b">
        <f t="shared" si="1056"/>
        <v>0</v>
      </c>
      <c r="Y1136" s="78" t="b">
        <f t="shared" si="1057"/>
        <v>0</v>
      </c>
      <c r="Z1136" s="78" t="b">
        <f t="shared" si="1058"/>
        <v>0</v>
      </c>
      <c r="AA1136" s="78" t="b">
        <f t="shared" si="1059"/>
        <v>0</v>
      </c>
      <c r="AB1136" s="78" t="b">
        <f t="shared" si="1060"/>
        <v>0</v>
      </c>
      <c r="AC1136" s="78" t="b">
        <f t="shared" si="1061"/>
        <v>0</v>
      </c>
      <c r="AD1136" s="78" t="b">
        <f t="shared" si="1062"/>
        <v>0</v>
      </c>
      <c r="AE1136" s="78" t="b">
        <f t="shared" si="1063"/>
        <v>0</v>
      </c>
      <c r="AF1136" s="78" t="b">
        <f t="shared" si="1064"/>
        <v>0</v>
      </c>
      <c r="AG1136" s="78" t="b">
        <f t="shared" si="1065"/>
        <v>0</v>
      </c>
      <c r="AH1136" s="78" t="b">
        <f t="shared" si="1066"/>
        <v>0</v>
      </c>
      <c r="AI1136" s="78" t="b">
        <f t="shared" si="1067"/>
        <v>0</v>
      </c>
      <c r="AJ1136" s="78" t="b">
        <f t="shared" si="1068"/>
        <v>0</v>
      </c>
      <c r="AK1136" s="78" t="b">
        <f t="shared" si="1069"/>
        <v>0</v>
      </c>
      <c r="AL1136" s="78" t="b">
        <f t="shared" si="1070"/>
        <v>0</v>
      </c>
      <c r="AM1136" s="78" t="b">
        <f t="shared" si="1071"/>
        <v>0</v>
      </c>
      <c r="AN1136" s="78" t="b">
        <f t="shared" si="1072"/>
        <v>0</v>
      </c>
      <c r="AO1136" s="78" t="b">
        <f t="shared" si="1073"/>
        <v>0</v>
      </c>
    </row>
    <row r="1137" spans="7:41" x14ac:dyDescent="0.35">
      <c r="G1137" s="77">
        <f t="shared" si="1043"/>
        <v>0</v>
      </c>
      <c r="H1137" s="78">
        <f t="shared" si="1044"/>
        <v>0</v>
      </c>
      <c r="I1137" s="77">
        <f t="shared" si="1045"/>
        <v>0</v>
      </c>
      <c r="J1137" s="78">
        <f t="shared" si="1046"/>
        <v>0</v>
      </c>
      <c r="K1137" s="78" t="str">
        <f t="shared" si="1047"/>
        <v>1900-01-00 00:0:00</v>
      </c>
      <c r="L1137" s="78" t="str">
        <f t="shared" si="1048"/>
        <v>1900-01-00 00:0:00</v>
      </c>
      <c r="M1137" s="79">
        <f t="shared" si="1049"/>
        <v>0</v>
      </c>
      <c r="N1137">
        <f t="shared" si="1074"/>
        <v>1</v>
      </c>
      <c r="O1137" t="str">
        <f>IFERROR(_xlfn.XLOOKUP(A1137,HC!A:A,HC!C:C),"")</f>
        <v>Workforce</v>
      </c>
      <c r="R1137" s="78" t="b">
        <f t="shared" si="1050"/>
        <v>0</v>
      </c>
      <c r="S1137" s="78" t="b">
        <f t="shared" si="1051"/>
        <v>0</v>
      </c>
      <c r="T1137" s="78" t="b">
        <f t="shared" si="1052"/>
        <v>0</v>
      </c>
      <c r="U1137" s="78" t="b">
        <f t="shared" si="1053"/>
        <v>0</v>
      </c>
      <c r="V1137" s="78" t="b">
        <f t="shared" si="1054"/>
        <v>0</v>
      </c>
      <c r="W1137" s="78" t="b">
        <f t="shared" si="1055"/>
        <v>0</v>
      </c>
      <c r="X1137" s="78" t="b">
        <f t="shared" si="1056"/>
        <v>0</v>
      </c>
      <c r="Y1137" s="78" t="b">
        <f t="shared" si="1057"/>
        <v>0</v>
      </c>
      <c r="Z1137" s="78" t="b">
        <f t="shared" si="1058"/>
        <v>0</v>
      </c>
      <c r="AA1137" s="78" t="b">
        <f t="shared" si="1059"/>
        <v>0</v>
      </c>
      <c r="AB1137" s="78" t="b">
        <f t="shared" si="1060"/>
        <v>0</v>
      </c>
      <c r="AC1137" s="78" t="b">
        <f t="shared" si="1061"/>
        <v>0</v>
      </c>
      <c r="AD1137" s="78" t="b">
        <f t="shared" si="1062"/>
        <v>0</v>
      </c>
      <c r="AE1137" s="78" t="b">
        <f t="shared" si="1063"/>
        <v>0</v>
      </c>
      <c r="AF1137" s="78" t="b">
        <f t="shared" si="1064"/>
        <v>0</v>
      </c>
      <c r="AG1137" s="78" t="b">
        <f t="shared" si="1065"/>
        <v>0</v>
      </c>
      <c r="AH1137" s="78" t="b">
        <f t="shared" si="1066"/>
        <v>0</v>
      </c>
      <c r="AI1137" s="78" t="b">
        <f t="shared" si="1067"/>
        <v>0</v>
      </c>
      <c r="AJ1137" s="78" t="b">
        <f t="shared" si="1068"/>
        <v>0</v>
      </c>
      <c r="AK1137" s="78" t="b">
        <f t="shared" si="1069"/>
        <v>0</v>
      </c>
      <c r="AL1137" s="78" t="b">
        <f t="shared" si="1070"/>
        <v>0</v>
      </c>
      <c r="AM1137" s="78" t="b">
        <f t="shared" si="1071"/>
        <v>0</v>
      </c>
      <c r="AN1137" s="78" t="b">
        <f t="shared" si="1072"/>
        <v>0</v>
      </c>
      <c r="AO1137" s="78" t="b">
        <f t="shared" si="1073"/>
        <v>0</v>
      </c>
    </row>
    <row r="1138" spans="7:41" x14ac:dyDescent="0.35">
      <c r="G1138" s="77">
        <f t="shared" si="1043"/>
        <v>0</v>
      </c>
      <c r="H1138" s="78">
        <f t="shared" si="1044"/>
        <v>0</v>
      </c>
      <c r="I1138" s="77">
        <f t="shared" si="1045"/>
        <v>0</v>
      </c>
      <c r="J1138" s="78">
        <f t="shared" si="1046"/>
        <v>0</v>
      </c>
      <c r="K1138" s="78" t="str">
        <f t="shared" si="1047"/>
        <v>1900-01-00 00:0:00</v>
      </c>
      <c r="L1138" s="78" t="str">
        <f t="shared" si="1048"/>
        <v>1900-01-00 00:0:00</v>
      </c>
      <c r="M1138" s="79">
        <f t="shared" si="1049"/>
        <v>0</v>
      </c>
      <c r="N1138">
        <f t="shared" si="1074"/>
        <v>1</v>
      </c>
      <c r="O1138" t="str">
        <f>IFERROR(_xlfn.XLOOKUP(A1138,HC!A:A,HC!C:C),"")</f>
        <v>Workforce</v>
      </c>
      <c r="R1138" s="78" t="b">
        <f t="shared" si="1050"/>
        <v>0</v>
      </c>
      <c r="S1138" s="78" t="b">
        <f t="shared" si="1051"/>
        <v>0</v>
      </c>
      <c r="T1138" s="78" t="b">
        <f t="shared" si="1052"/>
        <v>0</v>
      </c>
      <c r="U1138" s="78" t="b">
        <f t="shared" si="1053"/>
        <v>0</v>
      </c>
      <c r="V1138" s="78" t="b">
        <f t="shared" si="1054"/>
        <v>0</v>
      </c>
      <c r="W1138" s="78" t="b">
        <f t="shared" si="1055"/>
        <v>0</v>
      </c>
      <c r="X1138" s="78" t="b">
        <f t="shared" si="1056"/>
        <v>0</v>
      </c>
      <c r="Y1138" s="78" t="b">
        <f t="shared" si="1057"/>
        <v>0</v>
      </c>
      <c r="Z1138" s="78" t="b">
        <f t="shared" si="1058"/>
        <v>0</v>
      </c>
      <c r="AA1138" s="78" t="b">
        <f t="shared" si="1059"/>
        <v>0</v>
      </c>
      <c r="AB1138" s="78" t="b">
        <f t="shared" si="1060"/>
        <v>0</v>
      </c>
      <c r="AC1138" s="78" t="b">
        <f t="shared" si="1061"/>
        <v>0</v>
      </c>
      <c r="AD1138" s="78" t="b">
        <f t="shared" si="1062"/>
        <v>0</v>
      </c>
      <c r="AE1138" s="78" t="b">
        <f t="shared" si="1063"/>
        <v>0</v>
      </c>
      <c r="AF1138" s="78" t="b">
        <f t="shared" si="1064"/>
        <v>0</v>
      </c>
      <c r="AG1138" s="78" t="b">
        <f t="shared" si="1065"/>
        <v>0</v>
      </c>
      <c r="AH1138" s="78" t="b">
        <f t="shared" si="1066"/>
        <v>0</v>
      </c>
      <c r="AI1138" s="78" t="b">
        <f t="shared" si="1067"/>
        <v>0</v>
      </c>
      <c r="AJ1138" s="78" t="b">
        <f t="shared" si="1068"/>
        <v>0</v>
      </c>
      <c r="AK1138" s="78" t="b">
        <f t="shared" si="1069"/>
        <v>0</v>
      </c>
      <c r="AL1138" s="78" t="b">
        <f t="shared" si="1070"/>
        <v>0</v>
      </c>
      <c r="AM1138" s="78" t="b">
        <f t="shared" si="1071"/>
        <v>0</v>
      </c>
      <c r="AN1138" s="78" t="b">
        <f t="shared" si="1072"/>
        <v>0</v>
      </c>
      <c r="AO1138" s="78" t="b">
        <f t="shared" si="1073"/>
        <v>0</v>
      </c>
    </row>
    <row r="1139" spans="7:41" x14ac:dyDescent="0.35">
      <c r="G1139" s="77">
        <f t="shared" si="1043"/>
        <v>0</v>
      </c>
      <c r="H1139" s="78">
        <f t="shared" si="1044"/>
        <v>0</v>
      </c>
      <c r="I1139" s="77">
        <f t="shared" si="1045"/>
        <v>0</v>
      </c>
      <c r="J1139" s="78">
        <f t="shared" si="1046"/>
        <v>0</v>
      </c>
      <c r="K1139" s="78" t="str">
        <f t="shared" si="1047"/>
        <v>1900-01-00 00:0:00</v>
      </c>
      <c r="L1139" s="78" t="str">
        <f t="shared" si="1048"/>
        <v>1900-01-00 00:0:00</v>
      </c>
      <c r="M1139" s="79">
        <f t="shared" si="1049"/>
        <v>0</v>
      </c>
      <c r="N1139">
        <f t="shared" si="1074"/>
        <v>1</v>
      </c>
      <c r="O1139" t="str">
        <f>IFERROR(_xlfn.XLOOKUP(A1139,HC!A:A,HC!C:C),"")</f>
        <v>Workforce</v>
      </c>
      <c r="R1139" s="78" t="b">
        <f t="shared" si="1050"/>
        <v>0</v>
      </c>
      <c r="S1139" s="78" t="b">
        <f t="shared" si="1051"/>
        <v>0</v>
      </c>
      <c r="T1139" s="78" t="b">
        <f t="shared" si="1052"/>
        <v>0</v>
      </c>
      <c r="U1139" s="78" t="b">
        <f t="shared" si="1053"/>
        <v>0</v>
      </c>
      <c r="V1139" s="78" t="b">
        <f t="shared" si="1054"/>
        <v>0</v>
      </c>
      <c r="W1139" s="78" t="b">
        <f t="shared" si="1055"/>
        <v>0</v>
      </c>
      <c r="X1139" s="78" t="b">
        <f t="shared" si="1056"/>
        <v>0</v>
      </c>
      <c r="Y1139" s="78" t="b">
        <f t="shared" si="1057"/>
        <v>0</v>
      </c>
      <c r="Z1139" s="78" t="b">
        <f t="shared" si="1058"/>
        <v>0</v>
      </c>
      <c r="AA1139" s="78" t="b">
        <f t="shared" si="1059"/>
        <v>0</v>
      </c>
      <c r="AB1139" s="78" t="b">
        <f t="shared" si="1060"/>
        <v>0</v>
      </c>
      <c r="AC1139" s="78" t="b">
        <f t="shared" si="1061"/>
        <v>0</v>
      </c>
      <c r="AD1139" s="78" t="b">
        <f t="shared" si="1062"/>
        <v>0</v>
      </c>
      <c r="AE1139" s="78" t="b">
        <f t="shared" si="1063"/>
        <v>0</v>
      </c>
      <c r="AF1139" s="78" t="b">
        <f t="shared" si="1064"/>
        <v>0</v>
      </c>
      <c r="AG1139" s="78" t="b">
        <f t="shared" si="1065"/>
        <v>0</v>
      </c>
      <c r="AH1139" s="78" t="b">
        <f t="shared" si="1066"/>
        <v>0</v>
      </c>
      <c r="AI1139" s="78" t="b">
        <f t="shared" si="1067"/>
        <v>0</v>
      </c>
      <c r="AJ1139" s="78" t="b">
        <f t="shared" si="1068"/>
        <v>0</v>
      </c>
      <c r="AK1139" s="78" t="b">
        <f t="shared" si="1069"/>
        <v>0</v>
      </c>
      <c r="AL1139" s="78" t="b">
        <f t="shared" si="1070"/>
        <v>0</v>
      </c>
      <c r="AM1139" s="78" t="b">
        <f t="shared" si="1071"/>
        <v>0</v>
      </c>
      <c r="AN1139" s="78" t="b">
        <f t="shared" si="1072"/>
        <v>0</v>
      </c>
      <c r="AO1139" s="78" t="b">
        <f t="shared" si="1073"/>
        <v>0</v>
      </c>
    </row>
    <row r="1140" spans="7:41" x14ac:dyDescent="0.35">
      <c r="G1140" s="77">
        <f t="shared" si="1043"/>
        <v>0</v>
      </c>
      <c r="H1140" s="78">
        <f t="shared" si="1044"/>
        <v>0</v>
      </c>
      <c r="I1140" s="77">
        <f t="shared" si="1045"/>
        <v>0</v>
      </c>
      <c r="J1140" s="78">
        <f t="shared" si="1046"/>
        <v>0</v>
      </c>
      <c r="K1140" s="78" t="str">
        <f t="shared" si="1047"/>
        <v>1900-01-00 00:0:00</v>
      </c>
      <c r="L1140" s="78" t="str">
        <f t="shared" si="1048"/>
        <v>1900-01-00 00:0:00</v>
      </c>
      <c r="M1140" s="79">
        <f t="shared" si="1049"/>
        <v>0</v>
      </c>
      <c r="N1140">
        <f t="shared" si="1074"/>
        <v>1</v>
      </c>
      <c r="O1140" t="str">
        <f>IFERROR(_xlfn.XLOOKUP(A1140,HC!A:A,HC!C:C),"")</f>
        <v>Workforce</v>
      </c>
      <c r="R1140" s="78" t="b">
        <f t="shared" si="1050"/>
        <v>0</v>
      </c>
      <c r="S1140" s="78" t="b">
        <f t="shared" si="1051"/>
        <v>0</v>
      </c>
      <c r="T1140" s="78" t="b">
        <f t="shared" si="1052"/>
        <v>0</v>
      </c>
      <c r="U1140" s="78" t="b">
        <f t="shared" si="1053"/>
        <v>0</v>
      </c>
      <c r="V1140" s="78" t="b">
        <f t="shared" si="1054"/>
        <v>0</v>
      </c>
      <c r="W1140" s="78" t="b">
        <f t="shared" si="1055"/>
        <v>0</v>
      </c>
      <c r="X1140" s="78" t="b">
        <f t="shared" si="1056"/>
        <v>0</v>
      </c>
      <c r="Y1140" s="78" t="b">
        <f t="shared" si="1057"/>
        <v>0</v>
      </c>
      <c r="Z1140" s="78" t="b">
        <f t="shared" si="1058"/>
        <v>0</v>
      </c>
      <c r="AA1140" s="78" t="b">
        <f t="shared" si="1059"/>
        <v>0</v>
      </c>
      <c r="AB1140" s="78" t="b">
        <f t="shared" si="1060"/>
        <v>0</v>
      </c>
      <c r="AC1140" s="78" t="b">
        <f t="shared" si="1061"/>
        <v>0</v>
      </c>
      <c r="AD1140" s="78" t="b">
        <f t="shared" si="1062"/>
        <v>0</v>
      </c>
      <c r="AE1140" s="78" t="b">
        <f t="shared" si="1063"/>
        <v>0</v>
      </c>
      <c r="AF1140" s="78" t="b">
        <f t="shared" si="1064"/>
        <v>0</v>
      </c>
      <c r="AG1140" s="78" t="b">
        <f t="shared" si="1065"/>
        <v>0</v>
      </c>
      <c r="AH1140" s="78" t="b">
        <f t="shared" si="1066"/>
        <v>0</v>
      </c>
      <c r="AI1140" s="78" t="b">
        <f t="shared" si="1067"/>
        <v>0</v>
      </c>
      <c r="AJ1140" s="78" t="b">
        <f t="shared" si="1068"/>
        <v>0</v>
      </c>
      <c r="AK1140" s="78" t="b">
        <f t="shared" si="1069"/>
        <v>0</v>
      </c>
      <c r="AL1140" s="78" t="b">
        <f t="shared" si="1070"/>
        <v>0</v>
      </c>
      <c r="AM1140" s="78" t="b">
        <f t="shared" si="1071"/>
        <v>0</v>
      </c>
      <c r="AN1140" s="78" t="b">
        <f t="shared" si="1072"/>
        <v>0</v>
      </c>
      <c r="AO1140" s="78" t="b">
        <f t="shared" si="1073"/>
        <v>0</v>
      </c>
    </row>
    <row r="1141" spans="7:41" x14ac:dyDescent="0.35">
      <c r="G1141" s="77">
        <f t="shared" si="1043"/>
        <v>0</v>
      </c>
      <c r="H1141" s="78">
        <f t="shared" si="1044"/>
        <v>0</v>
      </c>
      <c r="I1141" s="77">
        <f t="shared" si="1045"/>
        <v>0</v>
      </c>
      <c r="J1141" s="78">
        <f t="shared" si="1046"/>
        <v>0</v>
      </c>
      <c r="K1141" s="78" t="str">
        <f t="shared" si="1047"/>
        <v>1900-01-00 00:0:00</v>
      </c>
      <c r="L1141" s="78" t="str">
        <f t="shared" si="1048"/>
        <v>1900-01-00 00:0:00</v>
      </c>
      <c r="M1141" s="79">
        <f t="shared" si="1049"/>
        <v>0</v>
      </c>
      <c r="N1141">
        <f t="shared" si="1074"/>
        <v>1</v>
      </c>
      <c r="O1141" t="str">
        <f>IFERROR(_xlfn.XLOOKUP(A1141,HC!A:A,HC!C:C),"")</f>
        <v>Workforce</v>
      </c>
      <c r="R1141" s="78" t="b">
        <f t="shared" si="1050"/>
        <v>0</v>
      </c>
      <c r="S1141" s="78" t="b">
        <f t="shared" si="1051"/>
        <v>0</v>
      </c>
      <c r="T1141" s="78" t="b">
        <f t="shared" si="1052"/>
        <v>0</v>
      </c>
      <c r="U1141" s="78" t="b">
        <f t="shared" si="1053"/>
        <v>0</v>
      </c>
      <c r="V1141" s="78" t="b">
        <f t="shared" si="1054"/>
        <v>0</v>
      </c>
      <c r="W1141" s="78" t="b">
        <f t="shared" si="1055"/>
        <v>0</v>
      </c>
      <c r="X1141" s="78" t="b">
        <f t="shared" si="1056"/>
        <v>0</v>
      </c>
      <c r="Y1141" s="78" t="b">
        <f t="shared" si="1057"/>
        <v>0</v>
      </c>
      <c r="Z1141" s="78" t="b">
        <f t="shared" si="1058"/>
        <v>0</v>
      </c>
      <c r="AA1141" s="78" t="b">
        <f t="shared" si="1059"/>
        <v>0</v>
      </c>
      <c r="AB1141" s="78" t="b">
        <f t="shared" si="1060"/>
        <v>0</v>
      </c>
      <c r="AC1141" s="78" t="b">
        <f t="shared" si="1061"/>
        <v>0</v>
      </c>
      <c r="AD1141" s="78" t="b">
        <f t="shared" si="1062"/>
        <v>0</v>
      </c>
      <c r="AE1141" s="78" t="b">
        <f t="shared" si="1063"/>
        <v>0</v>
      </c>
      <c r="AF1141" s="78" t="b">
        <f t="shared" si="1064"/>
        <v>0</v>
      </c>
      <c r="AG1141" s="78" t="b">
        <f t="shared" si="1065"/>
        <v>0</v>
      </c>
      <c r="AH1141" s="78" t="b">
        <f t="shared" si="1066"/>
        <v>0</v>
      </c>
      <c r="AI1141" s="78" t="b">
        <f t="shared" si="1067"/>
        <v>0</v>
      </c>
      <c r="AJ1141" s="78" t="b">
        <f t="shared" si="1068"/>
        <v>0</v>
      </c>
      <c r="AK1141" s="78" t="b">
        <f t="shared" si="1069"/>
        <v>0</v>
      </c>
      <c r="AL1141" s="78" t="b">
        <f t="shared" si="1070"/>
        <v>0</v>
      </c>
      <c r="AM1141" s="78" t="b">
        <f t="shared" si="1071"/>
        <v>0</v>
      </c>
      <c r="AN1141" s="78" t="b">
        <f t="shared" si="1072"/>
        <v>0</v>
      </c>
      <c r="AO1141" s="78" t="b">
        <f t="shared" si="1073"/>
        <v>0</v>
      </c>
    </row>
    <row r="1142" spans="7:41" x14ac:dyDescent="0.35">
      <c r="G1142" s="77">
        <f t="shared" si="1043"/>
        <v>0</v>
      </c>
      <c r="H1142" s="78">
        <f t="shared" si="1044"/>
        <v>0</v>
      </c>
      <c r="I1142" s="77">
        <f t="shared" si="1045"/>
        <v>0</v>
      </c>
      <c r="J1142" s="78">
        <f t="shared" si="1046"/>
        <v>0</v>
      </c>
      <c r="K1142" s="78" t="str">
        <f t="shared" si="1047"/>
        <v>1900-01-00 00:0:00</v>
      </c>
      <c r="L1142" s="78" t="str">
        <f t="shared" si="1048"/>
        <v>1900-01-00 00:0:00</v>
      </c>
      <c r="M1142" s="79">
        <f t="shared" si="1049"/>
        <v>0</v>
      </c>
      <c r="N1142">
        <f t="shared" si="1074"/>
        <v>1</v>
      </c>
      <c r="O1142" t="str">
        <f>IFERROR(_xlfn.XLOOKUP(A1142,HC!A:A,HC!C:C),"")</f>
        <v>Workforce</v>
      </c>
      <c r="R1142" s="78" t="b">
        <f t="shared" si="1050"/>
        <v>0</v>
      </c>
      <c r="S1142" s="78" t="b">
        <f t="shared" si="1051"/>
        <v>0</v>
      </c>
      <c r="T1142" s="78" t="b">
        <f t="shared" si="1052"/>
        <v>0</v>
      </c>
      <c r="U1142" s="78" t="b">
        <f t="shared" si="1053"/>
        <v>0</v>
      </c>
      <c r="V1142" s="78" t="b">
        <f t="shared" si="1054"/>
        <v>0</v>
      </c>
      <c r="W1142" s="78" t="b">
        <f t="shared" si="1055"/>
        <v>0</v>
      </c>
      <c r="X1142" s="78" t="b">
        <f t="shared" si="1056"/>
        <v>0</v>
      </c>
      <c r="Y1142" s="78" t="b">
        <f t="shared" si="1057"/>
        <v>0</v>
      </c>
      <c r="Z1142" s="78" t="b">
        <f t="shared" si="1058"/>
        <v>0</v>
      </c>
      <c r="AA1142" s="78" t="b">
        <f t="shared" si="1059"/>
        <v>0</v>
      </c>
      <c r="AB1142" s="78" t="b">
        <f t="shared" si="1060"/>
        <v>0</v>
      </c>
      <c r="AC1142" s="78" t="b">
        <f t="shared" si="1061"/>
        <v>0</v>
      </c>
      <c r="AD1142" s="78" t="b">
        <f t="shared" si="1062"/>
        <v>0</v>
      </c>
      <c r="AE1142" s="78" t="b">
        <f t="shared" si="1063"/>
        <v>0</v>
      </c>
      <c r="AF1142" s="78" t="b">
        <f t="shared" si="1064"/>
        <v>0</v>
      </c>
      <c r="AG1142" s="78" t="b">
        <f t="shared" si="1065"/>
        <v>0</v>
      </c>
      <c r="AH1142" s="78" t="b">
        <f t="shared" si="1066"/>
        <v>0</v>
      </c>
      <c r="AI1142" s="78" t="b">
        <f t="shared" si="1067"/>
        <v>0</v>
      </c>
      <c r="AJ1142" s="78" t="b">
        <f t="shared" si="1068"/>
        <v>0</v>
      </c>
      <c r="AK1142" s="78" t="b">
        <f t="shared" si="1069"/>
        <v>0</v>
      </c>
      <c r="AL1142" s="78" t="b">
        <f t="shared" si="1070"/>
        <v>0</v>
      </c>
      <c r="AM1142" s="78" t="b">
        <f t="shared" si="1071"/>
        <v>0</v>
      </c>
      <c r="AN1142" s="78" t="b">
        <f t="shared" si="1072"/>
        <v>0</v>
      </c>
      <c r="AO1142" s="78" t="b">
        <f t="shared" si="1073"/>
        <v>0</v>
      </c>
    </row>
    <row r="1143" spans="7:41" x14ac:dyDescent="0.35">
      <c r="G1143" s="77">
        <f t="shared" si="1043"/>
        <v>0</v>
      </c>
      <c r="H1143" s="78">
        <f t="shared" si="1044"/>
        <v>0</v>
      </c>
      <c r="I1143" s="77">
        <f t="shared" si="1045"/>
        <v>0</v>
      </c>
      <c r="J1143" s="78">
        <f t="shared" si="1046"/>
        <v>0</v>
      </c>
      <c r="K1143" s="78" t="str">
        <f t="shared" si="1047"/>
        <v>1900-01-00 00:0:00</v>
      </c>
      <c r="L1143" s="78" t="str">
        <f t="shared" si="1048"/>
        <v>1900-01-00 00:0:00</v>
      </c>
      <c r="M1143" s="79">
        <f t="shared" si="1049"/>
        <v>0</v>
      </c>
      <c r="N1143">
        <f t="shared" si="1074"/>
        <v>1</v>
      </c>
      <c r="O1143" t="str">
        <f>IFERROR(_xlfn.XLOOKUP(A1143,HC!A:A,HC!C:C),"")</f>
        <v>Workforce</v>
      </c>
      <c r="R1143" s="78" t="b">
        <f t="shared" si="1050"/>
        <v>0</v>
      </c>
      <c r="S1143" s="78" t="b">
        <f t="shared" si="1051"/>
        <v>0</v>
      </c>
      <c r="T1143" s="78" t="b">
        <f t="shared" si="1052"/>
        <v>0</v>
      </c>
      <c r="U1143" s="78" t="b">
        <f t="shared" si="1053"/>
        <v>0</v>
      </c>
      <c r="V1143" s="78" t="b">
        <f t="shared" si="1054"/>
        <v>0</v>
      </c>
      <c r="W1143" s="78" t="b">
        <f t="shared" si="1055"/>
        <v>0</v>
      </c>
      <c r="X1143" s="78" t="b">
        <f t="shared" si="1056"/>
        <v>0</v>
      </c>
      <c r="Y1143" s="78" t="b">
        <f t="shared" si="1057"/>
        <v>0</v>
      </c>
      <c r="Z1143" s="78" t="b">
        <f t="shared" si="1058"/>
        <v>0</v>
      </c>
      <c r="AA1143" s="78" t="b">
        <f t="shared" si="1059"/>
        <v>0</v>
      </c>
      <c r="AB1143" s="78" t="b">
        <f t="shared" si="1060"/>
        <v>0</v>
      </c>
      <c r="AC1143" s="78" t="b">
        <f t="shared" si="1061"/>
        <v>0</v>
      </c>
      <c r="AD1143" s="78" t="b">
        <f t="shared" si="1062"/>
        <v>0</v>
      </c>
      <c r="AE1143" s="78" t="b">
        <f t="shared" si="1063"/>
        <v>0</v>
      </c>
      <c r="AF1143" s="78" t="b">
        <f t="shared" si="1064"/>
        <v>0</v>
      </c>
      <c r="AG1143" s="78" t="b">
        <f t="shared" si="1065"/>
        <v>0</v>
      </c>
      <c r="AH1143" s="78" t="b">
        <f t="shared" si="1066"/>
        <v>0</v>
      </c>
      <c r="AI1143" s="78" t="b">
        <f t="shared" si="1067"/>
        <v>0</v>
      </c>
      <c r="AJ1143" s="78" t="b">
        <f t="shared" si="1068"/>
        <v>0</v>
      </c>
      <c r="AK1143" s="78" t="b">
        <f t="shared" si="1069"/>
        <v>0</v>
      </c>
      <c r="AL1143" s="78" t="b">
        <f t="shared" si="1070"/>
        <v>0</v>
      </c>
      <c r="AM1143" s="78" t="b">
        <f t="shared" si="1071"/>
        <v>0</v>
      </c>
      <c r="AN1143" s="78" t="b">
        <f t="shared" si="1072"/>
        <v>0</v>
      </c>
      <c r="AO1143" s="78" t="b">
        <f t="shared" si="1073"/>
        <v>0</v>
      </c>
    </row>
    <row r="1144" spans="7:41" x14ac:dyDescent="0.35">
      <c r="G1144" s="77">
        <f t="shared" si="1043"/>
        <v>0</v>
      </c>
      <c r="H1144" s="78">
        <f t="shared" si="1044"/>
        <v>0</v>
      </c>
      <c r="I1144" s="77">
        <f t="shared" si="1045"/>
        <v>0</v>
      </c>
      <c r="J1144" s="78">
        <f t="shared" si="1046"/>
        <v>0</v>
      </c>
      <c r="K1144" s="78" t="str">
        <f t="shared" si="1047"/>
        <v>1900-01-00 00:0:00</v>
      </c>
      <c r="L1144" s="78" t="str">
        <f t="shared" si="1048"/>
        <v>1900-01-00 00:0:00</v>
      </c>
      <c r="M1144" s="79">
        <f t="shared" si="1049"/>
        <v>0</v>
      </c>
      <c r="N1144">
        <f t="shared" si="1074"/>
        <v>1</v>
      </c>
      <c r="O1144" t="str">
        <f>IFERROR(_xlfn.XLOOKUP(A1144,HC!A:A,HC!C:C),"")</f>
        <v>Workforce</v>
      </c>
      <c r="R1144" s="78" t="b">
        <f t="shared" si="1050"/>
        <v>0</v>
      </c>
      <c r="S1144" s="78" t="b">
        <f t="shared" si="1051"/>
        <v>0</v>
      </c>
      <c r="T1144" s="78" t="b">
        <f t="shared" si="1052"/>
        <v>0</v>
      </c>
      <c r="U1144" s="78" t="b">
        <f t="shared" si="1053"/>
        <v>0</v>
      </c>
      <c r="V1144" s="78" t="b">
        <f t="shared" si="1054"/>
        <v>0</v>
      </c>
      <c r="W1144" s="78" t="b">
        <f t="shared" si="1055"/>
        <v>0</v>
      </c>
      <c r="X1144" s="78" t="b">
        <f t="shared" si="1056"/>
        <v>0</v>
      </c>
      <c r="Y1144" s="78" t="b">
        <f t="shared" si="1057"/>
        <v>0</v>
      </c>
      <c r="Z1144" s="78" t="b">
        <f t="shared" si="1058"/>
        <v>0</v>
      </c>
      <c r="AA1144" s="78" t="b">
        <f t="shared" si="1059"/>
        <v>0</v>
      </c>
      <c r="AB1144" s="78" t="b">
        <f t="shared" si="1060"/>
        <v>0</v>
      </c>
      <c r="AC1144" s="78" t="b">
        <f t="shared" si="1061"/>
        <v>0</v>
      </c>
      <c r="AD1144" s="78" t="b">
        <f t="shared" si="1062"/>
        <v>0</v>
      </c>
      <c r="AE1144" s="78" t="b">
        <f t="shared" si="1063"/>
        <v>0</v>
      </c>
      <c r="AF1144" s="78" t="b">
        <f t="shared" si="1064"/>
        <v>0</v>
      </c>
      <c r="AG1144" s="78" t="b">
        <f t="shared" si="1065"/>
        <v>0</v>
      </c>
      <c r="AH1144" s="78" t="b">
        <f t="shared" si="1066"/>
        <v>0</v>
      </c>
      <c r="AI1144" s="78" t="b">
        <f t="shared" si="1067"/>
        <v>0</v>
      </c>
      <c r="AJ1144" s="78" t="b">
        <f t="shared" si="1068"/>
        <v>0</v>
      </c>
      <c r="AK1144" s="78" t="b">
        <f t="shared" si="1069"/>
        <v>0</v>
      </c>
      <c r="AL1144" s="78" t="b">
        <f t="shared" si="1070"/>
        <v>0</v>
      </c>
      <c r="AM1144" s="78" t="b">
        <f t="shared" si="1071"/>
        <v>0</v>
      </c>
      <c r="AN1144" s="78" t="b">
        <f t="shared" si="1072"/>
        <v>0</v>
      </c>
      <c r="AO1144" s="78" t="b">
        <f t="shared" si="1073"/>
        <v>0</v>
      </c>
    </row>
    <row r="1145" spans="7:41" x14ac:dyDescent="0.35">
      <c r="G1145" s="77">
        <f t="shared" si="1043"/>
        <v>0</v>
      </c>
      <c r="H1145" s="78">
        <f t="shared" si="1044"/>
        <v>0</v>
      </c>
      <c r="I1145" s="77">
        <f t="shared" si="1045"/>
        <v>0</v>
      </c>
      <c r="J1145" s="78">
        <f t="shared" si="1046"/>
        <v>0</v>
      </c>
      <c r="K1145" s="78" t="str">
        <f t="shared" si="1047"/>
        <v>1900-01-00 00:0:00</v>
      </c>
      <c r="L1145" s="78" t="str">
        <f t="shared" si="1048"/>
        <v>1900-01-00 00:0:00</v>
      </c>
      <c r="M1145" s="79">
        <f t="shared" si="1049"/>
        <v>0</v>
      </c>
      <c r="N1145">
        <f t="shared" si="1074"/>
        <v>1</v>
      </c>
      <c r="O1145" t="str">
        <f>IFERROR(_xlfn.XLOOKUP(A1145,HC!A:A,HC!C:C),"")</f>
        <v>Workforce</v>
      </c>
      <c r="R1145" s="78" t="b">
        <f t="shared" si="1050"/>
        <v>0</v>
      </c>
      <c r="S1145" s="78" t="b">
        <f t="shared" si="1051"/>
        <v>0</v>
      </c>
      <c r="T1145" s="78" t="b">
        <f t="shared" si="1052"/>
        <v>0</v>
      </c>
      <c r="U1145" s="78" t="b">
        <f t="shared" si="1053"/>
        <v>0</v>
      </c>
      <c r="V1145" s="78" t="b">
        <f t="shared" si="1054"/>
        <v>0</v>
      </c>
      <c r="W1145" s="78" t="b">
        <f t="shared" si="1055"/>
        <v>0</v>
      </c>
      <c r="X1145" s="78" t="b">
        <f t="shared" si="1056"/>
        <v>0</v>
      </c>
      <c r="Y1145" s="78" t="b">
        <f t="shared" si="1057"/>
        <v>0</v>
      </c>
      <c r="Z1145" s="78" t="b">
        <f t="shared" si="1058"/>
        <v>0</v>
      </c>
      <c r="AA1145" s="78" t="b">
        <f t="shared" si="1059"/>
        <v>0</v>
      </c>
      <c r="AB1145" s="78" t="b">
        <f t="shared" si="1060"/>
        <v>0</v>
      </c>
      <c r="AC1145" s="78" t="b">
        <f t="shared" si="1061"/>
        <v>0</v>
      </c>
      <c r="AD1145" s="78" t="b">
        <f t="shared" si="1062"/>
        <v>0</v>
      </c>
      <c r="AE1145" s="78" t="b">
        <f t="shared" si="1063"/>
        <v>0</v>
      </c>
      <c r="AF1145" s="78" t="b">
        <f t="shared" si="1064"/>
        <v>0</v>
      </c>
      <c r="AG1145" s="78" t="b">
        <f t="shared" si="1065"/>
        <v>0</v>
      </c>
      <c r="AH1145" s="78" t="b">
        <f t="shared" si="1066"/>
        <v>0</v>
      </c>
      <c r="AI1145" s="78" t="b">
        <f t="shared" si="1067"/>
        <v>0</v>
      </c>
      <c r="AJ1145" s="78" t="b">
        <f t="shared" si="1068"/>
        <v>0</v>
      </c>
      <c r="AK1145" s="78" t="b">
        <f t="shared" si="1069"/>
        <v>0</v>
      </c>
      <c r="AL1145" s="78" t="b">
        <f t="shared" si="1070"/>
        <v>0</v>
      </c>
      <c r="AM1145" s="78" t="b">
        <f t="shared" si="1071"/>
        <v>0</v>
      </c>
      <c r="AN1145" s="78" t="b">
        <f t="shared" si="1072"/>
        <v>0</v>
      </c>
      <c r="AO1145" s="78" t="b">
        <f t="shared" si="1073"/>
        <v>0</v>
      </c>
    </row>
    <row r="1146" spans="7:41" x14ac:dyDescent="0.35">
      <c r="G1146" s="77">
        <f t="shared" ref="G1146:G1209" si="1075">INT(D1146)</f>
        <v>0</v>
      </c>
      <c r="H1146" s="78">
        <f t="shared" ref="H1146:H1209" si="1076">D1146-G1146</f>
        <v>0</v>
      </c>
      <c r="I1146" s="77">
        <f t="shared" ref="I1146:I1209" si="1077">INT(E1146)</f>
        <v>0</v>
      </c>
      <c r="J1146" s="78">
        <f t="shared" ref="J1146:J1209" si="1078">E1146-I1146</f>
        <v>0</v>
      </c>
      <c r="K1146" s="78" t="str">
        <f t="shared" ref="K1146:K1209" si="1079">TEXT(G1146+H1146,"yyyy-mm-dd hh:m:ss")</f>
        <v>1900-01-00 00:0:00</v>
      </c>
      <c r="L1146" s="78" t="str">
        <f t="shared" ref="L1146:L1209" si="1080">TEXT(I1146+J1146,"yyyy-mm-dd hh:m:ss")</f>
        <v>1900-01-00 00:0:00</v>
      </c>
      <c r="M1146" s="79">
        <f t="shared" ref="M1146:M1209" si="1081">E1146-D1146</f>
        <v>0</v>
      </c>
      <c r="N1146">
        <f t="shared" si="1074"/>
        <v>1</v>
      </c>
      <c r="O1146" t="str">
        <f>IFERROR(_xlfn.XLOOKUP(A1146,HC!A:A,HC!C:C),"")</f>
        <v>Workforce</v>
      </c>
      <c r="R1146" s="78" t="b">
        <f t="shared" si="1050"/>
        <v>0</v>
      </c>
      <c r="S1146" s="78" t="b">
        <f t="shared" si="1051"/>
        <v>0</v>
      </c>
      <c r="T1146" s="78" t="b">
        <f t="shared" si="1052"/>
        <v>0</v>
      </c>
      <c r="U1146" s="78" t="b">
        <f t="shared" si="1053"/>
        <v>0</v>
      </c>
      <c r="V1146" s="78" t="b">
        <f t="shared" si="1054"/>
        <v>0</v>
      </c>
      <c r="W1146" s="78" t="b">
        <f t="shared" si="1055"/>
        <v>0</v>
      </c>
      <c r="X1146" s="78" t="b">
        <f t="shared" si="1056"/>
        <v>0</v>
      </c>
      <c r="Y1146" s="78" t="b">
        <f t="shared" si="1057"/>
        <v>0</v>
      </c>
      <c r="Z1146" s="78" t="b">
        <f t="shared" si="1058"/>
        <v>0</v>
      </c>
      <c r="AA1146" s="78" t="b">
        <f t="shared" si="1059"/>
        <v>0</v>
      </c>
      <c r="AB1146" s="78" t="b">
        <f t="shared" si="1060"/>
        <v>0</v>
      </c>
      <c r="AC1146" s="78" t="b">
        <f t="shared" si="1061"/>
        <v>0</v>
      </c>
      <c r="AD1146" s="78" t="b">
        <f t="shared" si="1062"/>
        <v>0</v>
      </c>
      <c r="AE1146" s="78" t="b">
        <f t="shared" si="1063"/>
        <v>0</v>
      </c>
      <c r="AF1146" s="78" t="b">
        <f t="shared" si="1064"/>
        <v>0</v>
      </c>
      <c r="AG1146" s="78" t="b">
        <f t="shared" si="1065"/>
        <v>0</v>
      </c>
      <c r="AH1146" s="78" t="b">
        <f t="shared" si="1066"/>
        <v>0</v>
      </c>
      <c r="AI1146" s="78" t="b">
        <f t="shared" si="1067"/>
        <v>0</v>
      </c>
      <c r="AJ1146" s="78" t="b">
        <f t="shared" si="1068"/>
        <v>0</v>
      </c>
      <c r="AK1146" s="78" t="b">
        <f t="shared" si="1069"/>
        <v>0</v>
      </c>
      <c r="AL1146" s="78" t="b">
        <f t="shared" si="1070"/>
        <v>0</v>
      </c>
      <c r="AM1146" s="78" t="b">
        <f t="shared" si="1071"/>
        <v>0</v>
      </c>
      <c r="AN1146" s="78" t="b">
        <f t="shared" si="1072"/>
        <v>0</v>
      </c>
      <c r="AO1146" s="78" t="b">
        <f t="shared" si="1073"/>
        <v>0</v>
      </c>
    </row>
    <row r="1147" spans="7:41" x14ac:dyDescent="0.35">
      <c r="G1147" s="77">
        <f t="shared" si="1075"/>
        <v>0</v>
      </c>
      <c r="H1147" s="78">
        <f t="shared" si="1076"/>
        <v>0</v>
      </c>
      <c r="I1147" s="77">
        <f t="shared" si="1077"/>
        <v>0</v>
      </c>
      <c r="J1147" s="78">
        <f t="shared" si="1078"/>
        <v>0</v>
      </c>
      <c r="K1147" s="78" t="str">
        <f t="shared" si="1079"/>
        <v>1900-01-00 00:0:00</v>
      </c>
      <c r="L1147" s="78" t="str">
        <f t="shared" si="1080"/>
        <v>1900-01-00 00:0:00</v>
      </c>
      <c r="M1147" s="79">
        <f t="shared" si="1081"/>
        <v>0</v>
      </c>
      <c r="N1147">
        <f t="shared" si="1074"/>
        <v>1</v>
      </c>
      <c r="O1147" t="str">
        <f>IFERROR(_xlfn.XLOOKUP(A1147,HC!A:A,HC!C:C),"")</f>
        <v>Workforce</v>
      </c>
      <c r="R1147" s="78" t="b">
        <f t="shared" si="1050"/>
        <v>0</v>
      </c>
      <c r="S1147" s="78" t="b">
        <f t="shared" si="1051"/>
        <v>0</v>
      </c>
      <c r="T1147" s="78" t="b">
        <f t="shared" si="1052"/>
        <v>0</v>
      </c>
      <c r="U1147" s="78" t="b">
        <f t="shared" si="1053"/>
        <v>0</v>
      </c>
      <c r="V1147" s="78" t="b">
        <f t="shared" si="1054"/>
        <v>0</v>
      </c>
      <c r="W1147" s="78" t="b">
        <f t="shared" si="1055"/>
        <v>0</v>
      </c>
      <c r="X1147" s="78" t="b">
        <f t="shared" si="1056"/>
        <v>0</v>
      </c>
      <c r="Y1147" s="78" t="b">
        <f t="shared" si="1057"/>
        <v>0</v>
      </c>
      <c r="Z1147" s="78" t="b">
        <f t="shared" si="1058"/>
        <v>0</v>
      </c>
      <c r="AA1147" s="78" t="b">
        <f t="shared" si="1059"/>
        <v>0</v>
      </c>
      <c r="AB1147" s="78" t="b">
        <f t="shared" si="1060"/>
        <v>0</v>
      </c>
      <c r="AC1147" s="78" t="b">
        <f t="shared" si="1061"/>
        <v>0</v>
      </c>
      <c r="AD1147" s="78" t="b">
        <f t="shared" si="1062"/>
        <v>0</v>
      </c>
      <c r="AE1147" s="78" t="b">
        <f t="shared" si="1063"/>
        <v>0</v>
      </c>
      <c r="AF1147" s="78" t="b">
        <f t="shared" si="1064"/>
        <v>0</v>
      </c>
      <c r="AG1147" s="78" t="b">
        <f t="shared" si="1065"/>
        <v>0</v>
      </c>
      <c r="AH1147" s="78" t="b">
        <f t="shared" si="1066"/>
        <v>0</v>
      </c>
      <c r="AI1147" s="78" t="b">
        <f t="shared" si="1067"/>
        <v>0</v>
      </c>
      <c r="AJ1147" s="78" t="b">
        <f t="shared" si="1068"/>
        <v>0</v>
      </c>
      <c r="AK1147" s="78" t="b">
        <f t="shared" si="1069"/>
        <v>0</v>
      </c>
      <c r="AL1147" s="78" t="b">
        <f t="shared" si="1070"/>
        <v>0</v>
      </c>
      <c r="AM1147" s="78" t="b">
        <f t="shared" si="1071"/>
        <v>0</v>
      </c>
      <c r="AN1147" s="78" t="b">
        <f t="shared" si="1072"/>
        <v>0</v>
      </c>
      <c r="AO1147" s="78" t="b">
        <f t="shared" si="1073"/>
        <v>0</v>
      </c>
    </row>
    <row r="1148" spans="7:41" x14ac:dyDescent="0.35">
      <c r="G1148" s="77">
        <f t="shared" si="1075"/>
        <v>0</v>
      </c>
      <c r="H1148" s="78">
        <f t="shared" si="1076"/>
        <v>0</v>
      </c>
      <c r="I1148" s="77">
        <f t="shared" si="1077"/>
        <v>0</v>
      </c>
      <c r="J1148" s="78">
        <f t="shared" si="1078"/>
        <v>0</v>
      </c>
      <c r="K1148" s="78" t="str">
        <f t="shared" si="1079"/>
        <v>1900-01-00 00:0:00</v>
      </c>
      <c r="L1148" s="78" t="str">
        <f t="shared" si="1080"/>
        <v>1900-01-00 00:0:00</v>
      </c>
      <c r="M1148" s="79">
        <f t="shared" si="1081"/>
        <v>0</v>
      </c>
      <c r="N1148">
        <f t="shared" si="1074"/>
        <v>1</v>
      </c>
      <c r="O1148" t="str">
        <f>IFERROR(_xlfn.XLOOKUP(A1148,HC!A:A,HC!C:C),"")</f>
        <v>Workforce</v>
      </c>
      <c r="R1148" s="78" t="b">
        <f t="shared" ref="R1148:R1211" si="1082">IFERROR(IF($B1148=$D$1,IF(AND($K1148&lt;R$1,$L1148&lt;R$1),"",IF(AND($K1148&gt;S$1,$L1148&gt;S$1),"",IF(AND($K1148&lt;R$1,$L1148&lt;=S$1),$L1148-R$1,IF(AND($K1148&gt;=R$1,$L1148&gt;S$1),S$1-$K1148,IF(AND($K1148&gt;=R$1,$L1148&lt;=S$1),$L1148-$K1148,IF(AND($K1148&lt;R$1,$L1148&gt;S$1),S$1-R$1,""))))))),"")</f>
        <v>0</v>
      </c>
      <c r="S1148" s="78" t="b">
        <f t="shared" ref="S1148:S1211" si="1083">IFERROR(IF($B1148=$D$1,IF(AND($K1148&lt;S$1,$L1148&lt;S$1),"",IF(AND($K1148&gt;T$1,$L1148&gt;T$1),"",IF(AND($K1148&lt;S$1,$L1148&lt;=T$1),$L1148-S$1,IF(AND($K1148&gt;=S$1,$L1148&gt;T$1),T$1-$K1148,IF(AND($K1148&gt;=S$1,$L1148&lt;=T$1),$L1148-$K1148,IF(AND($K1148&lt;S$1,$L1148&gt;T$1),T$1-S$1,""))))))),"")</f>
        <v>0</v>
      </c>
      <c r="T1148" s="78" t="b">
        <f t="shared" ref="T1148:T1211" si="1084">IFERROR(IF($B1148=$D$1,IF(AND($K1148&lt;T$1,$L1148&lt;T$1),"",IF(AND($K1148&gt;U$1,$L1148&gt;U$1),"",IF(AND($K1148&lt;T$1,$L1148&lt;=U$1),$L1148-T$1,IF(AND($K1148&gt;=T$1,$L1148&gt;U$1),U$1-$K1148,IF(AND($K1148&gt;=T$1,$L1148&lt;=U$1),$L1148-$K1148,IF(AND($K1148&lt;T$1,$L1148&gt;U$1),U$1-T$1,""))))))),"")</f>
        <v>0</v>
      </c>
      <c r="U1148" s="78" t="b">
        <f t="shared" ref="U1148:U1211" si="1085">IFERROR(IF($B1148=$D$1,IF(AND($K1148&lt;U$1,$L1148&lt;U$1),"",IF(AND($K1148&gt;V$1,$L1148&gt;V$1),"",IF(AND($K1148&lt;U$1,$L1148&lt;=V$1),$L1148-U$1,IF(AND($K1148&gt;=U$1,$L1148&gt;V$1),V$1-$K1148,IF(AND($K1148&gt;=U$1,$L1148&lt;=V$1),$L1148-$K1148,IF(AND($K1148&lt;U$1,$L1148&gt;V$1),V$1-U$1,""))))))),"")</f>
        <v>0</v>
      </c>
      <c r="V1148" s="78" t="b">
        <f t="shared" ref="V1148:V1211" si="1086">IFERROR(IF($B1148=$D$1,IF(AND($K1148&lt;V$1,$L1148&lt;V$1),"",IF(AND($K1148&gt;W$1,$L1148&gt;W$1),"",IF(AND($K1148&lt;V$1,$L1148&lt;=W$1),$L1148-V$1,IF(AND($K1148&gt;=V$1,$L1148&gt;W$1),W$1-$K1148,IF(AND($K1148&gt;=V$1,$L1148&lt;=W$1),$L1148-$K1148,IF(AND($K1148&lt;V$1,$L1148&gt;W$1),W$1-V$1,""))))))),"")</f>
        <v>0</v>
      </c>
      <c r="W1148" s="78" t="b">
        <f t="shared" ref="W1148:W1211" si="1087">IFERROR(IF($B1148=$D$1,IF(AND($K1148&lt;W$1,$L1148&lt;W$1),"",IF(AND($K1148&gt;X$1,$L1148&gt;X$1),"",IF(AND($K1148&lt;W$1,$L1148&lt;=X$1),$L1148-W$1,IF(AND($K1148&gt;=W$1,$L1148&gt;X$1),X$1-$K1148,IF(AND($K1148&gt;=W$1,$L1148&lt;=X$1),$L1148-$K1148,IF(AND($K1148&lt;W$1,$L1148&gt;X$1),X$1-W$1,""))))))),"")</f>
        <v>0</v>
      </c>
      <c r="X1148" s="78" t="b">
        <f t="shared" ref="X1148:X1211" si="1088">IFERROR(IF($B1148=$D$1,IF(AND($K1148&lt;X$1,$L1148&lt;X$1),"",IF(AND($K1148&gt;Y$1,$L1148&gt;Y$1),"",IF(AND($K1148&lt;X$1,$L1148&lt;=Y$1),$L1148-X$1,IF(AND($K1148&gt;=X$1,$L1148&gt;Y$1),Y$1-$K1148,IF(AND($K1148&gt;=X$1,$L1148&lt;=Y$1),$L1148-$K1148,IF(AND($K1148&lt;X$1,$L1148&gt;Y$1),Y$1-X$1,""))))))),"")</f>
        <v>0</v>
      </c>
      <c r="Y1148" s="78" t="b">
        <f t="shared" ref="Y1148:Y1211" si="1089">IFERROR(IF($B1148=$D$1,IF(AND($K1148&lt;Y$1,$L1148&lt;Y$1),"",IF(AND($K1148&gt;Z$1,$L1148&gt;Z$1),"",IF(AND($K1148&lt;Y$1,$L1148&lt;=Z$1),$L1148-Y$1,IF(AND($K1148&gt;=Y$1,$L1148&gt;Z$1),Z$1-$K1148,IF(AND($K1148&gt;=Y$1,$L1148&lt;=Z$1),$L1148-$K1148,IF(AND($K1148&lt;Y$1,$L1148&gt;Z$1),Z$1-Y$1,""))))))),"")</f>
        <v>0</v>
      </c>
      <c r="Z1148" s="78" t="b">
        <f t="shared" ref="Z1148:Z1211" si="1090">IFERROR(IF($B1148=$D$1,IF(AND($K1148&lt;Z$1,$L1148&lt;Z$1),"",IF(AND($K1148&gt;AA$1,$L1148&gt;AA$1),"",IF(AND($K1148&lt;Z$1,$L1148&lt;=AA$1),$L1148-Z$1,IF(AND($K1148&gt;=Z$1,$L1148&gt;AA$1),AA$1-$K1148,IF(AND($K1148&gt;=Z$1,$L1148&lt;=AA$1),$L1148-$K1148,IF(AND($K1148&lt;Z$1,$L1148&gt;AA$1),AA$1-Z$1,""))))))),"")</f>
        <v>0</v>
      </c>
      <c r="AA1148" s="78" t="b">
        <f t="shared" ref="AA1148:AA1211" si="1091">IFERROR(IF($B1148=$D$1,IF(AND($K1148&lt;AA$1,$L1148&lt;AA$1),"",IF(AND($K1148&gt;AB$1,$L1148&gt;AB$1),"",IF(AND($K1148&lt;AA$1,$L1148&lt;=AB$1),$L1148-AA$1,IF(AND($K1148&gt;=AA$1,$L1148&gt;AB$1),AB$1-$K1148,IF(AND($K1148&gt;=AA$1,$L1148&lt;=AB$1),$L1148-$K1148,IF(AND($K1148&lt;AA$1,$L1148&gt;AB$1),AB$1-AA$1,""))))))),"")</f>
        <v>0</v>
      </c>
      <c r="AB1148" s="78" t="b">
        <f t="shared" ref="AB1148:AB1211" si="1092">IFERROR(IF($B1148=$D$1,IF(AND($K1148&lt;AB$1,$L1148&lt;AB$1),"",IF(AND($K1148&gt;AC$1,$L1148&gt;AC$1),"",IF(AND($K1148&lt;AB$1,$L1148&lt;=AC$1),$L1148-AB$1,IF(AND($K1148&gt;=AB$1,$L1148&gt;AC$1),AC$1-$K1148,IF(AND($K1148&gt;=AB$1,$L1148&lt;=AC$1),$L1148-$K1148,IF(AND($K1148&lt;AB$1,$L1148&gt;AC$1),AC$1-AB$1,""))))))),"")</f>
        <v>0</v>
      </c>
      <c r="AC1148" s="78" t="b">
        <f t="shared" ref="AC1148:AC1211" si="1093">IFERROR(IF($B1148=$D$1,IF(AND($K1148&lt;AC$1,$L1148&lt;AC$1),"",IF(AND($K1148&gt;AD$1,$L1148&gt;AD$1),"",IF(AND($K1148&lt;AC$1,$L1148&lt;=AD$1),$L1148-AC$1,IF(AND($K1148&gt;=AC$1,$L1148&gt;AD$1),AD$1-$K1148,IF(AND($K1148&gt;=AC$1,$L1148&lt;=AD$1),$L1148-$K1148,IF(AND($K1148&lt;AC$1,$L1148&gt;AD$1),AD$1-AC$1,""))))))),"")</f>
        <v>0</v>
      </c>
      <c r="AD1148" s="78" t="b">
        <f t="shared" ref="AD1148:AD1211" si="1094">IFERROR(IF($B1148=$D$1,IF(AND($K1148&lt;AD$1,$L1148&lt;AD$1),"",IF(AND($K1148&gt;AE$1,$L1148&gt;AE$1),"",IF(AND($K1148&lt;AD$1,$L1148&lt;=AE$1),$L1148-AD$1,IF(AND($K1148&gt;=AD$1,$L1148&gt;AE$1),AE$1-$K1148,IF(AND($K1148&gt;=AD$1,$L1148&lt;=AE$1),$L1148-$K1148,IF(AND($K1148&lt;AD$1,$L1148&gt;AE$1),AE$1-AD$1,""))))))),"")</f>
        <v>0</v>
      </c>
      <c r="AE1148" s="78" t="b">
        <f t="shared" ref="AE1148:AE1211" si="1095">IFERROR(IF($B1148=$D$1,IF(AND($K1148&lt;AE$1,$L1148&lt;AE$1),"",IF(AND($K1148&gt;AF$1,$L1148&gt;AF$1),"",IF(AND($K1148&lt;AE$1,$L1148&lt;=AF$1),$L1148-AE$1,IF(AND($K1148&gt;=AE$1,$L1148&gt;AF$1),AF$1-$K1148,IF(AND($K1148&gt;=AE$1,$L1148&lt;=AF$1),$L1148-$K1148,IF(AND($K1148&lt;AE$1,$L1148&gt;AF$1),AF$1-AE$1,""))))))),"")</f>
        <v>0</v>
      </c>
      <c r="AF1148" s="78" t="b">
        <f t="shared" ref="AF1148:AF1211" si="1096">IFERROR(IF($B1148=$D$1,IF(AND($K1148&lt;AF$1,$L1148&lt;AF$1),"",IF(AND($K1148&gt;AG$1,$L1148&gt;AG$1),"",IF(AND($K1148&lt;AF$1,$L1148&lt;=AG$1),$L1148-AF$1,IF(AND($K1148&gt;=AF$1,$L1148&gt;AG$1),AG$1-$K1148,IF(AND($K1148&gt;=AF$1,$L1148&lt;=AG$1),$L1148-$K1148,IF(AND($K1148&lt;AF$1,$L1148&gt;AG$1),AG$1-AF$1,""))))))),"")</f>
        <v>0</v>
      </c>
      <c r="AG1148" s="78" t="b">
        <f t="shared" ref="AG1148:AG1211" si="1097">IFERROR(IF($B1148=$D$1,IF(AND($K1148&lt;AG$1,$L1148&lt;AG$1),"",IF(AND($K1148&gt;AH$1,$L1148&gt;AH$1),"",IF(AND($K1148&lt;AG$1,$L1148&lt;=AH$1),$L1148-AG$1,IF(AND($K1148&gt;=AG$1,$L1148&gt;AH$1),AH$1-$K1148,IF(AND($K1148&gt;=AG$1,$L1148&lt;=AH$1),$L1148-$K1148,IF(AND($K1148&lt;AG$1,$L1148&gt;AH$1),AH$1-AG$1,""))))))),"")</f>
        <v>0</v>
      </c>
      <c r="AH1148" s="78" t="b">
        <f t="shared" ref="AH1148:AH1211" si="1098">IFERROR(IF($B1148=$D$1,IF(AND($K1148&lt;AH$1,$L1148&lt;AH$1),"",IF(AND($K1148&gt;AI$1,$L1148&gt;AI$1),"",IF(AND($K1148&lt;AH$1,$L1148&lt;=AI$1),$L1148-AH$1,IF(AND($K1148&gt;=AH$1,$L1148&gt;AI$1),AI$1-$K1148,IF(AND($K1148&gt;=AH$1,$L1148&lt;=AI$1),$L1148-$K1148,IF(AND($K1148&lt;AH$1,$L1148&gt;AI$1),AI$1-AH$1,""))))))),"")</f>
        <v>0</v>
      </c>
      <c r="AI1148" s="78" t="b">
        <f t="shared" ref="AI1148:AI1211" si="1099">IFERROR(IF($B1148=$D$1,IF(AND($K1148&lt;AI$1,$L1148&lt;AI$1),"",IF(AND($K1148&gt;AJ$1,$L1148&gt;AJ$1),"",IF(AND($K1148&lt;AI$1,$L1148&lt;=AJ$1),$L1148-AI$1,IF(AND($K1148&gt;=AI$1,$L1148&gt;AJ$1),AJ$1-$K1148,IF(AND($K1148&gt;=AI$1,$L1148&lt;=AJ$1),$L1148-$K1148,IF(AND($K1148&lt;AI$1,$L1148&gt;AJ$1),AJ$1-AI$1,""))))))),"")</f>
        <v>0</v>
      </c>
      <c r="AJ1148" s="78" t="b">
        <f t="shared" ref="AJ1148:AJ1211" si="1100">IFERROR(IF($B1148=$D$1,IF(AND($K1148&lt;AJ$1,$L1148&lt;AJ$1),"",IF(AND($K1148&gt;AK$1,$L1148&gt;AK$1),"",IF(AND($K1148&lt;AJ$1,$L1148&lt;=AK$1),$L1148-AJ$1,IF(AND($K1148&gt;=AJ$1,$L1148&gt;AK$1),AK$1-$K1148,IF(AND($K1148&gt;=AJ$1,$L1148&lt;=AK$1),$L1148-$K1148,IF(AND($K1148&lt;AJ$1,$L1148&gt;AK$1),AK$1-AJ$1,""))))))),"")</f>
        <v>0</v>
      </c>
      <c r="AK1148" s="78" t="b">
        <f t="shared" ref="AK1148:AK1211" si="1101">IFERROR(IF($B1148=$D$1,IF(AND($K1148&lt;AK$1,$L1148&lt;AK$1),"",IF(AND($K1148&gt;AL$1,$L1148&gt;AL$1),"",IF(AND($K1148&lt;AK$1,$L1148&lt;=AL$1),$L1148-AK$1,IF(AND($K1148&gt;=AK$1,$L1148&gt;AL$1),AL$1-$K1148,IF(AND($K1148&gt;=AK$1,$L1148&lt;=AL$1),$L1148-$K1148,IF(AND($K1148&lt;AK$1,$L1148&gt;AL$1),AL$1-AK$1,""))))))),"")</f>
        <v>0</v>
      </c>
      <c r="AL1148" s="78" t="b">
        <f t="shared" ref="AL1148:AL1211" si="1102">IFERROR(IF($B1148=$D$1,IF(AND($K1148&lt;AL$1,$L1148&lt;AL$1),"",IF(AND($K1148&gt;AM$1,$L1148&gt;AM$1),"",IF(AND($K1148&lt;AL$1,$L1148&lt;=AM$1),$L1148-AL$1,IF(AND($K1148&gt;=AL$1,$L1148&gt;AM$1),AM$1-$K1148,IF(AND($K1148&gt;=AL$1,$L1148&lt;=AM$1),$L1148-$K1148,IF(AND($K1148&lt;AL$1,$L1148&gt;AM$1),AM$1-AL$1,""))))))),"")</f>
        <v>0</v>
      </c>
      <c r="AM1148" s="78" t="b">
        <f t="shared" ref="AM1148:AM1211" si="1103">IFERROR(IF($B1148=$D$1,IF(AND($K1148&lt;AM$1,$L1148&lt;AM$1),"",IF(AND($K1148&gt;AN$1,$L1148&gt;AN$1),"",IF(AND($K1148&lt;AM$1,$L1148&lt;=AN$1),$L1148-AM$1,IF(AND($K1148&gt;=AM$1,$L1148&gt;AN$1),AN$1-$K1148,IF(AND($K1148&gt;=AM$1,$L1148&lt;=AN$1),$L1148-$K1148,IF(AND($K1148&lt;AM$1,$L1148&gt;AN$1),AN$1-AM$1,""))))))),"")</f>
        <v>0</v>
      </c>
      <c r="AN1148" s="78" t="b">
        <f t="shared" ref="AN1148:AN1211" si="1104">IFERROR(IF($B1148=$D$1,IF(AND($K1148&lt;AN$1,$L1148&lt;AN$1),"",IF(AND($K1148&gt;AO$1,$L1148&gt;AO$1),"",IF(AND($K1148&lt;AN$1,$L1148&lt;=AO$1),$L1148-AN$1,IF(AND($K1148&gt;=AN$1,$L1148&gt;AO$1),AO$1-$K1148,IF(AND($K1148&gt;=AN$1,$L1148&lt;=AO$1),$L1148-$K1148,IF(AND($K1148&lt;AN$1,$L1148&gt;AO$1),AO$1-AN$1,""))))))),"")</f>
        <v>0</v>
      </c>
      <c r="AO1148" s="78" t="b">
        <f t="shared" ref="AO1148:AO1211" si="1105">IFERROR(IF($B1148=$D$1,IF(AND($K1148&lt;AO$1,$L1148&lt;AO$1),"",IF(AND($K1148&gt;AP$1,$L1148&gt;AP$1),"",IF(AND($K1148&lt;AO$1,$L1148&lt;=AP$1),$L1148-AO$1,IF(AND($K1148&gt;=AO$1,$L1148&gt;AP$1),AP$1-$K1148,IF(AND($K1148&gt;=AO$1,$L1148&lt;=AP$1),$L1148-$K1148,IF(AND($K1148&lt;AO$1,$L1148&gt;AP$1),AP$1-AO$1,""))))))),"")</f>
        <v>0</v>
      </c>
    </row>
    <row r="1149" spans="7:41" x14ac:dyDescent="0.35">
      <c r="G1149" s="77">
        <f t="shared" si="1075"/>
        <v>0</v>
      </c>
      <c r="H1149" s="78">
        <f t="shared" si="1076"/>
        <v>0</v>
      </c>
      <c r="I1149" s="77">
        <f t="shared" si="1077"/>
        <v>0</v>
      </c>
      <c r="J1149" s="78">
        <f t="shared" si="1078"/>
        <v>0</v>
      </c>
      <c r="K1149" s="78" t="str">
        <f t="shared" si="1079"/>
        <v>1900-01-00 00:0:00</v>
      </c>
      <c r="L1149" s="78" t="str">
        <f t="shared" si="1080"/>
        <v>1900-01-00 00:0:00</v>
      </c>
      <c r="M1149" s="79">
        <f t="shared" si="1081"/>
        <v>0</v>
      </c>
      <c r="N1149">
        <f t="shared" si="1074"/>
        <v>1</v>
      </c>
      <c r="O1149" t="str">
        <f>IFERROR(_xlfn.XLOOKUP(A1149,HC!A:A,HC!C:C),"")</f>
        <v>Workforce</v>
      </c>
      <c r="R1149" s="78" t="b">
        <f t="shared" si="1082"/>
        <v>0</v>
      </c>
      <c r="S1149" s="78" t="b">
        <f t="shared" si="1083"/>
        <v>0</v>
      </c>
      <c r="T1149" s="78" t="b">
        <f t="shared" si="1084"/>
        <v>0</v>
      </c>
      <c r="U1149" s="78" t="b">
        <f t="shared" si="1085"/>
        <v>0</v>
      </c>
      <c r="V1149" s="78" t="b">
        <f t="shared" si="1086"/>
        <v>0</v>
      </c>
      <c r="W1149" s="78" t="b">
        <f t="shared" si="1087"/>
        <v>0</v>
      </c>
      <c r="X1149" s="78" t="b">
        <f t="shared" si="1088"/>
        <v>0</v>
      </c>
      <c r="Y1149" s="78" t="b">
        <f t="shared" si="1089"/>
        <v>0</v>
      </c>
      <c r="Z1149" s="78" t="b">
        <f t="shared" si="1090"/>
        <v>0</v>
      </c>
      <c r="AA1149" s="78" t="b">
        <f t="shared" si="1091"/>
        <v>0</v>
      </c>
      <c r="AB1149" s="78" t="b">
        <f t="shared" si="1092"/>
        <v>0</v>
      </c>
      <c r="AC1149" s="78" t="b">
        <f t="shared" si="1093"/>
        <v>0</v>
      </c>
      <c r="AD1149" s="78" t="b">
        <f t="shared" si="1094"/>
        <v>0</v>
      </c>
      <c r="AE1149" s="78" t="b">
        <f t="shared" si="1095"/>
        <v>0</v>
      </c>
      <c r="AF1149" s="78" t="b">
        <f t="shared" si="1096"/>
        <v>0</v>
      </c>
      <c r="AG1149" s="78" t="b">
        <f t="shared" si="1097"/>
        <v>0</v>
      </c>
      <c r="AH1149" s="78" t="b">
        <f t="shared" si="1098"/>
        <v>0</v>
      </c>
      <c r="AI1149" s="78" t="b">
        <f t="shared" si="1099"/>
        <v>0</v>
      </c>
      <c r="AJ1149" s="78" t="b">
        <f t="shared" si="1100"/>
        <v>0</v>
      </c>
      <c r="AK1149" s="78" t="b">
        <f t="shared" si="1101"/>
        <v>0</v>
      </c>
      <c r="AL1149" s="78" t="b">
        <f t="shared" si="1102"/>
        <v>0</v>
      </c>
      <c r="AM1149" s="78" t="b">
        <f t="shared" si="1103"/>
        <v>0</v>
      </c>
      <c r="AN1149" s="78" t="b">
        <f t="shared" si="1104"/>
        <v>0</v>
      </c>
      <c r="AO1149" s="78" t="b">
        <f t="shared" si="1105"/>
        <v>0</v>
      </c>
    </row>
    <row r="1150" spans="7:41" x14ac:dyDescent="0.35">
      <c r="G1150" s="77">
        <f t="shared" si="1075"/>
        <v>0</v>
      </c>
      <c r="H1150" s="78">
        <f t="shared" si="1076"/>
        <v>0</v>
      </c>
      <c r="I1150" s="77">
        <f t="shared" si="1077"/>
        <v>0</v>
      </c>
      <c r="J1150" s="78">
        <f t="shared" si="1078"/>
        <v>0</v>
      </c>
      <c r="K1150" s="78" t="str">
        <f t="shared" si="1079"/>
        <v>1900-01-00 00:0:00</v>
      </c>
      <c r="L1150" s="78" t="str">
        <f t="shared" si="1080"/>
        <v>1900-01-00 00:0:00</v>
      </c>
      <c r="M1150" s="79">
        <f t="shared" si="1081"/>
        <v>0</v>
      </c>
      <c r="N1150">
        <f t="shared" si="1074"/>
        <v>1</v>
      </c>
      <c r="O1150" t="str">
        <f>IFERROR(_xlfn.XLOOKUP(A1150,HC!A:A,HC!C:C),"")</f>
        <v>Workforce</v>
      </c>
      <c r="R1150" s="78" t="b">
        <f t="shared" si="1082"/>
        <v>0</v>
      </c>
      <c r="S1150" s="78" t="b">
        <f t="shared" si="1083"/>
        <v>0</v>
      </c>
      <c r="T1150" s="78" t="b">
        <f t="shared" si="1084"/>
        <v>0</v>
      </c>
      <c r="U1150" s="78" t="b">
        <f t="shared" si="1085"/>
        <v>0</v>
      </c>
      <c r="V1150" s="78" t="b">
        <f t="shared" si="1086"/>
        <v>0</v>
      </c>
      <c r="W1150" s="78" t="b">
        <f t="shared" si="1087"/>
        <v>0</v>
      </c>
      <c r="X1150" s="78" t="b">
        <f t="shared" si="1088"/>
        <v>0</v>
      </c>
      <c r="Y1150" s="78" t="b">
        <f t="shared" si="1089"/>
        <v>0</v>
      </c>
      <c r="Z1150" s="78" t="b">
        <f t="shared" si="1090"/>
        <v>0</v>
      </c>
      <c r="AA1150" s="78" t="b">
        <f t="shared" si="1091"/>
        <v>0</v>
      </c>
      <c r="AB1150" s="78" t="b">
        <f t="shared" si="1092"/>
        <v>0</v>
      </c>
      <c r="AC1150" s="78" t="b">
        <f t="shared" si="1093"/>
        <v>0</v>
      </c>
      <c r="AD1150" s="78" t="b">
        <f t="shared" si="1094"/>
        <v>0</v>
      </c>
      <c r="AE1150" s="78" t="b">
        <f t="shared" si="1095"/>
        <v>0</v>
      </c>
      <c r="AF1150" s="78" t="b">
        <f t="shared" si="1096"/>
        <v>0</v>
      </c>
      <c r="AG1150" s="78" t="b">
        <f t="shared" si="1097"/>
        <v>0</v>
      </c>
      <c r="AH1150" s="78" t="b">
        <f t="shared" si="1098"/>
        <v>0</v>
      </c>
      <c r="AI1150" s="78" t="b">
        <f t="shared" si="1099"/>
        <v>0</v>
      </c>
      <c r="AJ1150" s="78" t="b">
        <f t="shared" si="1100"/>
        <v>0</v>
      </c>
      <c r="AK1150" s="78" t="b">
        <f t="shared" si="1101"/>
        <v>0</v>
      </c>
      <c r="AL1150" s="78" t="b">
        <f t="shared" si="1102"/>
        <v>0</v>
      </c>
      <c r="AM1150" s="78" t="b">
        <f t="shared" si="1103"/>
        <v>0</v>
      </c>
      <c r="AN1150" s="78" t="b">
        <f t="shared" si="1104"/>
        <v>0</v>
      </c>
      <c r="AO1150" s="78" t="b">
        <f t="shared" si="1105"/>
        <v>0</v>
      </c>
    </row>
    <row r="1151" spans="7:41" x14ac:dyDescent="0.35">
      <c r="G1151" s="77">
        <f t="shared" si="1075"/>
        <v>0</v>
      </c>
      <c r="H1151" s="78">
        <f t="shared" si="1076"/>
        <v>0</v>
      </c>
      <c r="I1151" s="77">
        <f t="shared" si="1077"/>
        <v>0</v>
      </c>
      <c r="J1151" s="78">
        <f t="shared" si="1078"/>
        <v>0</v>
      </c>
      <c r="K1151" s="78" t="str">
        <f t="shared" si="1079"/>
        <v>1900-01-00 00:0:00</v>
      </c>
      <c r="L1151" s="78" t="str">
        <f t="shared" si="1080"/>
        <v>1900-01-00 00:0:00</v>
      </c>
      <c r="M1151" s="79">
        <f t="shared" si="1081"/>
        <v>0</v>
      </c>
      <c r="N1151">
        <f t="shared" si="1074"/>
        <v>1</v>
      </c>
      <c r="O1151" t="str">
        <f>IFERROR(_xlfn.XLOOKUP(A1151,HC!A:A,HC!C:C),"")</f>
        <v>Workforce</v>
      </c>
      <c r="R1151" s="78" t="b">
        <f t="shared" si="1082"/>
        <v>0</v>
      </c>
      <c r="S1151" s="78" t="b">
        <f t="shared" si="1083"/>
        <v>0</v>
      </c>
      <c r="T1151" s="78" t="b">
        <f t="shared" si="1084"/>
        <v>0</v>
      </c>
      <c r="U1151" s="78" t="b">
        <f t="shared" si="1085"/>
        <v>0</v>
      </c>
      <c r="V1151" s="78" t="b">
        <f t="shared" si="1086"/>
        <v>0</v>
      </c>
      <c r="W1151" s="78" t="b">
        <f t="shared" si="1087"/>
        <v>0</v>
      </c>
      <c r="X1151" s="78" t="b">
        <f t="shared" si="1088"/>
        <v>0</v>
      </c>
      <c r="Y1151" s="78" t="b">
        <f t="shared" si="1089"/>
        <v>0</v>
      </c>
      <c r="Z1151" s="78" t="b">
        <f t="shared" si="1090"/>
        <v>0</v>
      </c>
      <c r="AA1151" s="78" t="b">
        <f t="shared" si="1091"/>
        <v>0</v>
      </c>
      <c r="AB1151" s="78" t="b">
        <f t="shared" si="1092"/>
        <v>0</v>
      </c>
      <c r="AC1151" s="78" t="b">
        <f t="shared" si="1093"/>
        <v>0</v>
      </c>
      <c r="AD1151" s="78" t="b">
        <f t="shared" si="1094"/>
        <v>0</v>
      </c>
      <c r="AE1151" s="78" t="b">
        <f t="shared" si="1095"/>
        <v>0</v>
      </c>
      <c r="AF1151" s="78" t="b">
        <f t="shared" si="1096"/>
        <v>0</v>
      </c>
      <c r="AG1151" s="78" t="b">
        <f t="shared" si="1097"/>
        <v>0</v>
      </c>
      <c r="AH1151" s="78" t="b">
        <f t="shared" si="1098"/>
        <v>0</v>
      </c>
      <c r="AI1151" s="78" t="b">
        <f t="shared" si="1099"/>
        <v>0</v>
      </c>
      <c r="AJ1151" s="78" t="b">
        <f t="shared" si="1100"/>
        <v>0</v>
      </c>
      <c r="AK1151" s="78" t="b">
        <f t="shared" si="1101"/>
        <v>0</v>
      </c>
      <c r="AL1151" s="78" t="b">
        <f t="shared" si="1102"/>
        <v>0</v>
      </c>
      <c r="AM1151" s="78" t="b">
        <f t="shared" si="1103"/>
        <v>0</v>
      </c>
      <c r="AN1151" s="78" t="b">
        <f t="shared" si="1104"/>
        <v>0</v>
      </c>
      <c r="AO1151" s="78" t="b">
        <f t="shared" si="1105"/>
        <v>0</v>
      </c>
    </row>
    <row r="1152" spans="7:41" x14ac:dyDescent="0.35">
      <c r="G1152" s="77">
        <f t="shared" si="1075"/>
        <v>0</v>
      </c>
      <c r="H1152" s="78">
        <f t="shared" si="1076"/>
        <v>0</v>
      </c>
      <c r="I1152" s="77">
        <f t="shared" si="1077"/>
        <v>0</v>
      </c>
      <c r="J1152" s="78">
        <f t="shared" si="1078"/>
        <v>0</v>
      </c>
      <c r="K1152" s="78" t="str">
        <f t="shared" si="1079"/>
        <v>1900-01-00 00:0:00</v>
      </c>
      <c r="L1152" s="78" t="str">
        <f t="shared" si="1080"/>
        <v>1900-01-00 00:0:00</v>
      </c>
      <c r="M1152" s="79">
        <f t="shared" si="1081"/>
        <v>0</v>
      </c>
      <c r="N1152">
        <f t="shared" si="1074"/>
        <v>1</v>
      </c>
      <c r="O1152" t="str">
        <f>IFERROR(_xlfn.XLOOKUP(A1152,HC!A:A,HC!C:C),"")</f>
        <v>Workforce</v>
      </c>
      <c r="R1152" s="78" t="b">
        <f t="shared" si="1082"/>
        <v>0</v>
      </c>
      <c r="S1152" s="78" t="b">
        <f t="shared" si="1083"/>
        <v>0</v>
      </c>
      <c r="T1152" s="78" t="b">
        <f t="shared" si="1084"/>
        <v>0</v>
      </c>
      <c r="U1152" s="78" t="b">
        <f t="shared" si="1085"/>
        <v>0</v>
      </c>
      <c r="V1152" s="78" t="b">
        <f t="shared" si="1086"/>
        <v>0</v>
      </c>
      <c r="W1152" s="78" t="b">
        <f t="shared" si="1087"/>
        <v>0</v>
      </c>
      <c r="X1152" s="78" t="b">
        <f t="shared" si="1088"/>
        <v>0</v>
      </c>
      <c r="Y1152" s="78" t="b">
        <f t="shared" si="1089"/>
        <v>0</v>
      </c>
      <c r="Z1152" s="78" t="b">
        <f t="shared" si="1090"/>
        <v>0</v>
      </c>
      <c r="AA1152" s="78" t="b">
        <f t="shared" si="1091"/>
        <v>0</v>
      </c>
      <c r="AB1152" s="78" t="b">
        <f t="shared" si="1092"/>
        <v>0</v>
      </c>
      <c r="AC1152" s="78" t="b">
        <f t="shared" si="1093"/>
        <v>0</v>
      </c>
      <c r="AD1152" s="78" t="b">
        <f t="shared" si="1094"/>
        <v>0</v>
      </c>
      <c r="AE1152" s="78" t="b">
        <f t="shared" si="1095"/>
        <v>0</v>
      </c>
      <c r="AF1152" s="78" t="b">
        <f t="shared" si="1096"/>
        <v>0</v>
      </c>
      <c r="AG1152" s="78" t="b">
        <f t="shared" si="1097"/>
        <v>0</v>
      </c>
      <c r="AH1152" s="78" t="b">
        <f t="shared" si="1098"/>
        <v>0</v>
      </c>
      <c r="AI1152" s="78" t="b">
        <f t="shared" si="1099"/>
        <v>0</v>
      </c>
      <c r="AJ1152" s="78" t="b">
        <f t="shared" si="1100"/>
        <v>0</v>
      </c>
      <c r="AK1152" s="78" t="b">
        <f t="shared" si="1101"/>
        <v>0</v>
      </c>
      <c r="AL1152" s="78" t="b">
        <f t="shared" si="1102"/>
        <v>0</v>
      </c>
      <c r="AM1152" s="78" t="b">
        <f t="shared" si="1103"/>
        <v>0</v>
      </c>
      <c r="AN1152" s="78" t="b">
        <f t="shared" si="1104"/>
        <v>0</v>
      </c>
      <c r="AO1152" s="78" t="b">
        <f t="shared" si="1105"/>
        <v>0</v>
      </c>
    </row>
    <row r="1153" spans="7:41" x14ac:dyDescent="0.35">
      <c r="G1153" s="77">
        <f t="shared" si="1075"/>
        <v>0</v>
      </c>
      <c r="H1153" s="78">
        <f t="shared" si="1076"/>
        <v>0</v>
      </c>
      <c r="I1153" s="77">
        <f t="shared" si="1077"/>
        <v>0</v>
      </c>
      <c r="J1153" s="78">
        <f t="shared" si="1078"/>
        <v>0</v>
      </c>
      <c r="K1153" s="78" t="str">
        <f t="shared" si="1079"/>
        <v>1900-01-00 00:0:00</v>
      </c>
      <c r="L1153" s="78" t="str">
        <f t="shared" si="1080"/>
        <v>1900-01-00 00:0:00</v>
      </c>
      <c r="M1153" s="79">
        <f t="shared" si="1081"/>
        <v>0</v>
      </c>
      <c r="N1153">
        <f t="shared" si="1074"/>
        <v>1</v>
      </c>
      <c r="O1153" t="str">
        <f>IFERROR(_xlfn.XLOOKUP(A1153,HC!A:A,HC!C:C),"")</f>
        <v>Workforce</v>
      </c>
      <c r="R1153" s="78" t="b">
        <f t="shared" si="1082"/>
        <v>0</v>
      </c>
      <c r="S1153" s="78" t="b">
        <f t="shared" si="1083"/>
        <v>0</v>
      </c>
      <c r="T1153" s="78" t="b">
        <f t="shared" si="1084"/>
        <v>0</v>
      </c>
      <c r="U1153" s="78" t="b">
        <f t="shared" si="1085"/>
        <v>0</v>
      </c>
      <c r="V1153" s="78" t="b">
        <f t="shared" si="1086"/>
        <v>0</v>
      </c>
      <c r="W1153" s="78" t="b">
        <f t="shared" si="1087"/>
        <v>0</v>
      </c>
      <c r="X1153" s="78" t="b">
        <f t="shared" si="1088"/>
        <v>0</v>
      </c>
      <c r="Y1153" s="78" t="b">
        <f t="shared" si="1089"/>
        <v>0</v>
      </c>
      <c r="Z1153" s="78" t="b">
        <f t="shared" si="1090"/>
        <v>0</v>
      </c>
      <c r="AA1153" s="78" t="b">
        <f t="shared" si="1091"/>
        <v>0</v>
      </c>
      <c r="AB1153" s="78" t="b">
        <f t="shared" si="1092"/>
        <v>0</v>
      </c>
      <c r="AC1153" s="78" t="b">
        <f t="shared" si="1093"/>
        <v>0</v>
      </c>
      <c r="AD1153" s="78" t="b">
        <f t="shared" si="1094"/>
        <v>0</v>
      </c>
      <c r="AE1153" s="78" t="b">
        <f t="shared" si="1095"/>
        <v>0</v>
      </c>
      <c r="AF1153" s="78" t="b">
        <f t="shared" si="1096"/>
        <v>0</v>
      </c>
      <c r="AG1153" s="78" t="b">
        <f t="shared" si="1097"/>
        <v>0</v>
      </c>
      <c r="AH1153" s="78" t="b">
        <f t="shared" si="1098"/>
        <v>0</v>
      </c>
      <c r="AI1153" s="78" t="b">
        <f t="shared" si="1099"/>
        <v>0</v>
      </c>
      <c r="AJ1153" s="78" t="b">
        <f t="shared" si="1100"/>
        <v>0</v>
      </c>
      <c r="AK1153" s="78" t="b">
        <f t="shared" si="1101"/>
        <v>0</v>
      </c>
      <c r="AL1153" s="78" t="b">
        <f t="shared" si="1102"/>
        <v>0</v>
      </c>
      <c r="AM1153" s="78" t="b">
        <f t="shared" si="1103"/>
        <v>0</v>
      </c>
      <c r="AN1153" s="78" t="b">
        <f t="shared" si="1104"/>
        <v>0</v>
      </c>
      <c r="AO1153" s="78" t="b">
        <f t="shared" si="1105"/>
        <v>0</v>
      </c>
    </row>
    <row r="1154" spans="7:41" x14ac:dyDescent="0.35">
      <c r="G1154" s="77">
        <f t="shared" si="1075"/>
        <v>0</v>
      </c>
      <c r="H1154" s="78">
        <f t="shared" si="1076"/>
        <v>0</v>
      </c>
      <c r="I1154" s="77">
        <f t="shared" si="1077"/>
        <v>0</v>
      </c>
      <c r="J1154" s="78">
        <f t="shared" si="1078"/>
        <v>0</v>
      </c>
      <c r="K1154" s="78" t="str">
        <f t="shared" si="1079"/>
        <v>1900-01-00 00:0:00</v>
      </c>
      <c r="L1154" s="78" t="str">
        <f t="shared" si="1080"/>
        <v>1900-01-00 00:0:00</v>
      </c>
      <c r="M1154" s="79">
        <f t="shared" si="1081"/>
        <v>0</v>
      </c>
      <c r="N1154">
        <f t="shared" si="1074"/>
        <v>1</v>
      </c>
      <c r="O1154" t="str">
        <f>IFERROR(_xlfn.XLOOKUP(A1154,HC!A:A,HC!C:C),"")</f>
        <v>Workforce</v>
      </c>
      <c r="R1154" s="78" t="b">
        <f t="shared" si="1082"/>
        <v>0</v>
      </c>
      <c r="S1154" s="78" t="b">
        <f t="shared" si="1083"/>
        <v>0</v>
      </c>
      <c r="T1154" s="78" t="b">
        <f t="shared" si="1084"/>
        <v>0</v>
      </c>
      <c r="U1154" s="78" t="b">
        <f t="shared" si="1085"/>
        <v>0</v>
      </c>
      <c r="V1154" s="78" t="b">
        <f t="shared" si="1086"/>
        <v>0</v>
      </c>
      <c r="W1154" s="78" t="b">
        <f t="shared" si="1087"/>
        <v>0</v>
      </c>
      <c r="X1154" s="78" t="b">
        <f t="shared" si="1088"/>
        <v>0</v>
      </c>
      <c r="Y1154" s="78" t="b">
        <f t="shared" si="1089"/>
        <v>0</v>
      </c>
      <c r="Z1154" s="78" t="b">
        <f t="shared" si="1090"/>
        <v>0</v>
      </c>
      <c r="AA1154" s="78" t="b">
        <f t="shared" si="1091"/>
        <v>0</v>
      </c>
      <c r="AB1154" s="78" t="b">
        <f t="shared" si="1092"/>
        <v>0</v>
      </c>
      <c r="AC1154" s="78" t="b">
        <f t="shared" si="1093"/>
        <v>0</v>
      </c>
      <c r="AD1154" s="78" t="b">
        <f t="shared" si="1094"/>
        <v>0</v>
      </c>
      <c r="AE1154" s="78" t="b">
        <f t="shared" si="1095"/>
        <v>0</v>
      </c>
      <c r="AF1154" s="78" t="b">
        <f t="shared" si="1096"/>
        <v>0</v>
      </c>
      <c r="AG1154" s="78" t="b">
        <f t="shared" si="1097"/>
        <v>0</v>
      </c>
      <c r="AH1154" s="78" t="b">
        <f t="shared" si="1098"/>
        <v>0</v>
      </c>
      <c r="AI1154" s="78" t="b">
        <f t="shared" si="1099"/>
        <v>0</v>
      </c>
      <c r="AJ1154" s="78" t="b">
        <f t="shared" si="1100"/>
        <v>0</v>
      </c>
      <c r="AK1154" s="78" t="b">
        <f t="shared" si="1101"/>
        <v>0</v>
      </c>
      <c r="AL1154" s="78" t="b">
        <f t="shared" si="1102"/>
        <v>0</v>
      </c>
      <c r="AM1154" s="78" t="b">
        <f t="shared" si="1103"/>
        <v>0</v>
      </c>
      <c r="AN1154" s="78" t="b">
        <f t="shared" si="1104"/>
        <v>0</v>
      </c>
      <c r="AO1154" s="78" t="b">
        <f t="shared" si="1105"/>
        <v>0</v>
      </c>
    </row>
    <row r="1155" spans="7:41" x14ac:dyDescent="0.35">
      <c r="G1155" s="77">
        <f t="shared" si="1075"/>
        <v>0</v>
      </c>
      <c r="H1155" s="78">
        <f t="shared" si="1076"/>
        <v>0</v>
      </c>
      <c r="I1155" s="77">
        <f t="shared" si="1077"/>
        <v>0</v>
      </c>
      <c r="J1155" s="78">
        <f t="shared" si="1078"/>
        <v>0</v>
      </c>
      <c r="K1155" s="78" t="str">
        <f t="shared" si="1079"/>
        <v>1900-01-00 00:0:00</v>
      </c>
      <c r="L1155" s="78" t="str">
        <f t="shared" si="1080"/>
        <v>1900-01-00 00:0:00</v>
      </c>
      <c r="M1155" s="79">
        <f t="shared" si="1081"/>
        <v>0</v>
      </c>
      <c r="N1155">
        <f t="shared" si="1074"/>
        <v>1</v>
      </c>
      <c r="O1155" t="str">
        <f>IFERROR(_xlfn.XLOOKUP(A1155,HC!A:A,HC!C:C),"")</f>
        <v>Workforce</v>
      </c>
      <c r="R1155" s="78" t="b">
        <f t="shared" si="1082"/>
        <v>0</v>
      </c>
      <c r="S1155" s="78" t="b">
        <f t="shared" si="1083"/>
        <v>0</v>
      </c>
      <c r="T1155" s="78" t="b">
        <f t="shared" si="1084"/>
        <v>0</v>
      </c>
      <c r="U1155" s="78" t="b">
        <f t="shared" si="1085"/>
        <v>0</v>
      </c>
      <c r="V1155" s="78" t="b">
        <f t="shared" si="1086"/>
        <v>0</v>
      </c>
      <c r="W1155" s="78" t="b">
        <f t="shared" si="1087"/>
        <v>0</v>
      </c>
      <c r="X1155" s="78" t="b">
        <f t="shared" si="1088"/>
        <v>0</v>
      </c>
      <c r="Y1155" s="78" t="b">
        <f t="shared" si="1089"/>
        <v>0</v>
      </c>
      <c r="Z1155" s="78" t="b">
        <f t="shared" si="1090"/>
        <v>0</v>
      </c>
      <c r="AA1155" s="78" t="b">
        <f t="shared" si="1091"/>
        <v>0</v>
      </c>
      <c r="AB1155" s="78" t="b">
        <f t="shared" si="1092"/>
        <v>0</v>
      </c>
      <c r="AC1155" s="78" t="b">
        <f t="shared" si="1093"/>
        <v>0</v>
      </c>
      <c r="AD1155" s="78" t="b">
        <f t="shared" si="1094"/>
        <v>0</v>
      </c>
      <c r="AE1155" s="78" t="b">
        <f t="shared" si="1095"/>
        <v>0</v>
      </c>
      <c r="AF1155" s="78" t="b">
        <f t="shared" si="1096"/>
        <v>0</v>
      </c>
      <c r="AG1155" s="78" t="b">
        <f t="shared" si="1097"/>
        <v>0</v>
      </c>
      <c r="AH1155" s="78" t="b">
        <f t="shared" si="1098"/>
        <v>0</v>
      </c>
      <c r="AI1155" s="78" t="b">
        <f t="shared" si="1099"/>
        <v>0</v>
      </c>
      <c r="AJ1155" s="78" t="b">
        <f t="shared" si="1100"/>
        <v>0</v>
      </c>
      <c r="AK1155" s="78" t="b">
        <f t="shared" si="1101"/>
        <v>0</v>
      </c>
      <c r="AL1155" s="78" t="b">
        <f t="shared" si="1102"/>
        <v>0</v>
      </c>
      <c r="AM1155" s="78" t="b">
        <f t="shared" si="1103"/>
        <v>0</v>
      </c>
      <c r="AN1155" s="78" t="b">
        <f t="shared" si="1104"/>
        <v>0</v>
      </c>
      <c r="AO1155" s="78" t="b">
        <f t="shared" si="1105"/>
        <v>0</v>
      </c>
    </row>
    <row r="1156" spans="7:41" x14ac:dyDescent="0.35">
      <c r="G1156" s="77">
        <f t="shared" si="1075"/>
        <v>0</v>
      </c>
      <c r="H1156" s="78">
        <f t="shared" si="1076"/>
        <v>0</v>
      </c>
      <c r="I1156" s="77">
        <f t="shared" si="1077"/>
        <v>0</v>
      </c>
      <c r="J1156" s="78">
        <f t="shared" si="1078"/>
        <v>0</v>
      </c>
      <c r="K1156" s="78" t="str">
        <f t="shared" si="1079"/>
        <v>1900-01-00 00:0:00</v>
      </c>
      <c r="L1156" s="78" t="str">
        <f t="shared" si="1080"/>
        <v>1900-01-00 00:0:00</v>
      </c>
      <c r="M1156" s="79">
        <f t="shared" si="1081"/>
        <v>0</v>
      </c>
      <c r="N1156">
        <f t="shared" ref="N1156:N1219" si="1106">IF(M1156&lt;$BA$1,1,0)</f>
        <v>1</v>
      </c>
      <c r="O1156" t="str">
        <f>IFERROR(_xlfn.XLOOKUP(A1156,HC!A:A,HC!C:C),"")</f>
        <v>Workforce</v>
      </c>
      <c r="R1156" s="78" t="b">
        <f t="shared" si="1082"/>
        <v>0</v>
      </c>
      <c r="S1156" s="78" t="b">
        <f t="shared" si="1083"/>
        <v>0</v>
      </c>
      <c r="T1156" s="78" t="b">
        <f t="shared" si="1084"/>
        <v>0</v>
      </c>
      <c r="U1156" s="78" t="b">
        <f t="shared" si="1085"/>
        <v>0</v>
      </c>
      <c r="V1156" s="78" t="b">
        <f t="shared" si="1086"/>
        <v>0</v>
      </c>
      <c r="W1156" s="78" t="b">
        <f t="shared" si="1087"/>
        <v>0</v>
      </c>
      <c r="X1156" s="78" t="b">
        <f t="shared" si="1088"/>
        <v>0</v>
      </c>
      <c r="Y1156" s="78" t="b">
        <f t="shared" si="1089"/>
        <v>0</v>
      </c>
      <c r="Z1156" s="78" t="b">
        <f t="shared" si="1090"/>
        <v>0</v>
      </c>
      <c r="AA1156" s="78" t="b">
        <f t="shared" si="1091"/>
        <v>0</v>
      </c>
      <c r="AB1156" s="78" t="b">
        <f t="shared" si="1092"/>
        <v>0</v>
      </c>
      <c r="AC1156" s="78" t="b">
        <f t="shared" si="1093"/>
        <v>0</v>
      </c>
      <c r="AD1156" s="78" t="b">
        <f t="shared" si="1094"/>
        <v>0</v>
      </c>
      <c r="AE1156" s="78" t="b">
        <f t="shared" si="1095"/>
        <v>0</v>
      </c>
      <c r="AF1156" s="78" t="b">
        <f t="shared" si="1096"/>
        <v>0</v>
      </c>
      <c r="AG1156" s="78" t="b">
        <f t="shared" si="1097"/>
        <v>0</v>
      </c>
      <c r="AH1156" s="78" t="b">
        <f t="shared" si="1098"/>
        <v>0</v>
      </c>
      <c r="AI1156" s="78" t="b">
        <f t="shared" si="1099"/>
        <v>0</v>
      </c>
      <c r="AJ1156" s="78" t="b">
        <f t="shared" si="1100"/>
        <v>0</v>
      </c>
      <c r="AK1156" s="78" t="b">
        <f t="shared" si="1101"/>
        <v>0</v>
      </c>
      <c r="AL1156" s="78" t="b">
        <f t="shared" si="1102"/>
        <v>0</v>
      </c>
      <c r="AM1156" s="78" t="b">
        <f t="shared" si="1103"/>
        <v>0</v>
      </c>
      <c r="AN1156" s="78" t="b">
        <f t="shared" si="1104"/>
        <v>0</v>
      </c>
      <c r="AO1156" s="78" t="b">
        <f t="shared" si="1105"/>
        <v>0</v>
      </c>
    </row>
    <row r="1157" spans="7:41" x14ac:dyDescent="0.35">
      <c r="G1157" s="77">
        <f t="shared" si="1075"/>
        <v>0</v>
      </c>
      <c r="H1157" s="78">
        <f t="shared" si="1076"/>
        <v>0</v>
      </c>
      <c r="I1157" s="77">
        <f t="shared" si="1077"/>
        <v>0</v>
      </c>
      <c r="J1157" s="78">
        <f t="shared" si="1078"/>
        <v>0</v>
      </c>
      <c r="K1157" s="78" t="str">
        <f t="shared" si="1079"/>
        <v>1900-01-00 00:0:00</v>
      </c>
      <c r="L1157" s="78" t="str">
        <f t="shared" si="1080"/>
        <v>1900-01-00 00:0:00</v>
      </c>
      <c r="M1157" s="79">
        <f t="shared" si="1081"/>
        <v>0</v>
      </c>
      <c r="N1157">
        <f t="shared" si="1106"/>
        <v>1</v>
      </c>
      <c r="O1157" t="str">
        <f>IFERROR(_xlfn.XLOOKUP(A1157,HC!A:A,HC!C:C),"")</f>
        <v>Workforce</v>
      </c>
      <c r="R1157" s="78" t="b">
        <f t="shared" si="1082"/>
        <v>0</v>
      </c>
      <c r="S1157" s="78" t="b">
        <f t="shared" si="1083"/>
        <v>0</v>
      </c>
      <c r="T1157" s="78" t="b">
        <f t="shared" si="1084"/>
        <v>0</v>
      </c>
      <c r="U1157" s="78" t="b">
        <f t="shared" si="1085"/>
        <v>0</v>
      </c>
      <c r="V1157" s="78" t="b">
        <f t="shared" si="1086"/>
        <v>0</v>
      </c>
      <c r="W1157" s="78" t="b">
        <f t="shared" si="1087"/>
        <v>0</v>
      </c>
      <c r="X1157" s="78" t="b">
        <f t="shared" si="1088"/>
        <v>0</v>
      </c>
      <c r="Y1157" s="78" t="b">
        <f t="shared" si="1089"/>
        <v>0</v>
      </c>
      <c r="Z1157" s="78" t="b">
        <f t="shared" si="1090"/>
        <v>0</v>
      </c>
      <c r="AA1157" s="78" t="b">
        <f t="shared" si="1091"/>
        <v>0</v>
      </c>
      <c r="AB1157" s="78" t="b">
        <f t="shared" si="1092"/>
        <v>0</v>
      </c>
      <c r="AC1157" s="78" t="b">
        <f t="shared" si="1093"/>
        <v>0</v>
      </c>
      <c r="AD1157" s="78" t="b">
        <f t="shared" si="1094"/>
        <v>0</v>
      </c>
      <c r="AE1157" s="78" t="b">
        <f t="shared" si="1095"/>
        <v>0</v>
      </c>
      <c r="AF1157" s="78" t="b">
        <f t="shared" si="1096"/>
        <v>0</v>
      </c>
      <c r="AG1157" s="78" t="b">
        <f t="shared" si="1097"/>
        <v>0</v>
      </c>
      <c r="AH1157" s="78" t="b">
        <f t="shared" si="1098"/>
        <v>0</v>
      </c>
      <c r="AI1157" s="78" t="b">
        <f t="shared" si="1099"/>
        <v>0</v>
      </c>
      <c r="AJ1157" s="78" t="b">
        <f t="shared" si="1100"/>
        <v>0</v>
      </c>
      <c r="AK1157" s="78" t="b">
        <f t="shared" si="1101"/>
        <v>0</v>
      </c>
      <c r="AL1157" s="78" t="b">
        <f t="shared" si="1102"/>
        <v>0</v>
      </c>
      <c r="AM1157" s="78" t="b">
        <f t="shared" si="1103"/>
        <v>0</v>
      </c>
      <c r="AN1157" s="78" t="b">
        <f t="shared" si="1104"/>
        <v>0</v>
      </c>
      <c r="AO1157" s="78" t="b">
        <f t="shared" si="1105"/>
        <v>0</v>
      </c>
    </row>
    <row r="1158" spans="7:41" x14ac:dyDescent="0.35">
      <c r="G1158" s="77">
        <f t="shared" si="1075"/>
        <v>0</v>
      </c>
      <c r="H1158" s="78">
        <f t="shared" si="1076"/>
        <v>0</v>
      </c>
      <c r="I1158" s="77">
        <f t="shared" si="1077"/>
        <v>0</v>
      </c>
      <c r="J1158" s="78">
        <f t="shared" si="1078"/>
        <v>0</v>
      </c>
      <c r="K1158" s="78" t="str">
        <f t="shared" si="1079"/>
        <v>1900-01-00 00:0:00</v>
      </c>
      <c r="L1158" s="78" t="str">
        <f t="shared" si="1080"/>
        <v>1900-01-00 00:0:00</v>
      </c>
      <c r="M1158" s="79">
        <f t="shared" si="1081"/>
        <v>0</v>
      </c>
      <c r="N1158">
        <f t="shared" si="1106"/>
        <v>1</v>
      </c>
      <c r="O1158" t="str">
        <f>IFERROR(_xlfn.XLOOKUP(A1158,HC!A:A,HC!C:C),"")</f>
        <v>Workforce</v>
      </c>
      <c r="R1158" s="78" t="b">
        <f t="shared" si="1082"/>
        <v>0</v>
      </c>
      <c r="S1158" s="78" t="b">
        <f t="shared" si="1083"/>
        <v>0</v>
      </c>
      <c r="T1158" s="78" t="b">
        <f t="shared" si="1084"/>
        <v>0</v>
      </c>
      <c r="U1158" s="78" t="b">
        <f t="shared" si="1085"/>
        <v>0</v>
      </c>
      <c r="V1158" s="78" t="b">
        <f t="shared" si="1086"/>
        <v>0</v>
      </c>
      <c r="W1158" s="78" t="b">
        <f t="shared" si="1087"/>
        <v>0</v>
      </c>
      <c r="X1158" s="78" t="b">
        <f t="shared" si="1088"/>
        <v>0</v>
      </c>
      <c r="Y1158" s="78" t="b">
        <f t="shared" si="1089"/>
        <v>0</v>
      </c>
      <c r="Z1158" s="78" t="b">
        <f t="shared" si="1090"/>
        <v>0</v>
      </c>
      <c r="AA1158" s="78" t="b">
        <f t="shared" si="1091"/>
        <v>0</v>
      </c>
      <c r="AB1158" s="78" t="b">
        <f t="shared" si="1092"/>
        <v>0</v>
      </c>
      <c r="AC1158" s="78" t="b">
        <f t="shared" si="1093"/>
        <v>0</v>
      </c>
      <c r="AD1158" s="78" t="b">
        <f t="shared" si="1094"/>
        <v>0</v>
      </c>
      <c r="AE1158" s="78" t="b">
        <f t="shared" si="1095"/>
        <v>0</v>
      </c>
      <c r="AF1158" s="78" t="b">
        <f t="shared" si="1096"/>
        <v>0</v>
      </c>
      <c r="AG1158" s="78" t="b">
        <f t="shared" si="1097"/>
        <v>0</v>
      </c>
      <c r="AH1158" s="78" t="b">
        <f t="shared" si="1098"/>
        <v>0</v>
      </c>
      <c r="AI1158" s="78" t="b">
        <f t="shared" si="1099"/>
        <v>0</v>
      </c>
      <c r="AJ1158" s="78" t="b">
        <f t="shared" si="1100"/>
        <v>0</v>
      </c>
      <c r="AK1158" s="78" t="b">
        <f t="shared" si="1101"/>
        <v>0</v>
      </c>
      <c r="AL1158" s="78" t="b">
        <f t="shared" si="1102"/>
        <v>0</v>
      </c>
      <c r="AM1158" s="78" t="b">
        <f t="shared" si="1103"/>
        <v>0</v>
      </c>
      <c r="AN1158" s="78" t="b">
        <f t="shared" si="1104"/>
        <v>0</v>
      </c>
      <c r="AO1158" s="78" t="b">
        <f t="shared" si="1105"/>
        <v>0</v>
      </c>
    </row>
    <row r="1159" spans="7:41" x14ac:dyDescent="0.35">
      <c r="G1159" s="77">
        <f t="shared" si="1075"/>
        <v>0</v>
      </c>
      <c r="H1159" s="78">
        <f t="shared" si="1076"/>
        <v>0</v>
      </c>
      <c r="I1159" s="77">
        <f t="shared" si="1077"/>
        <v>0</v>
      </c>
      <c r="J1159" s="78">
        <f t="shared" si="1078"/>
        <v>0</v>
      </c>
      <c r="K1159" s="78" t="str">
        <f t="shared" si="1079"/>
        <v>1900-01-00 00:0:00</v>
      </c>
      <c r="L1159" s="78" t="str">
        <f t="shared" si="1080"/>
        <v>1900-01-00 00:0:00</v>
      </c>
      <c r="M1159" s="79">
        <f t="shared" si="1081"/>
        <v>0</v>
      </c>
      <c r="N1159">
        <f t="shared" si="1106"/>
        <v>1</v>
      </c>
      <c r="O1159" t="str">
        <f>IFERROR(_xlfn.XLOOKUP(A1159,HC!A:A,HC!C:C),"")</f>
        <v>Workforce</v>
      </c>
      <c r="R1159" s="78" t="b">
        <f t="shared" si="1082"/>
        <v>0</v>
      </c>
      <c r="S1159" s="78" t="b">
        <f t="shared" si="1083"/>
        <v>0</v>
      </c>
      <c r="T1159" s="78" t="b">
        <f t="shared" si="1084"/>
        <v>0</v>
      </c>
      <c r="U1159" s="78" t="b">
        <f t="shared" si="1085"/>
        <v>0</v>
      </c>
      <c r="V1159" s="78" t="b">
        <f t="shared" si="1086"/>
        <v>0</v>
      </c>
      <c r="W1159" s="78" t="b">
        <f t="shared" si="1087"/>
        <v>0</v>
      </c>
      <c r="X1159" s="78" t="b">
        <f t="shared" si="1088"/>
        <v>0</v>
      </c>
      <c r="Y1159" s="78" t="b">
        <f t="shared" si="1089"/>
        <v>0</v>
      </c>
      <c r="Z1159" s="78" t="b">
        <f t="shared" si="1090"/>
        <v>0</v>
      </c>
      <c r="AA1159" s="78" t="b">
        <f t="shared" si="1091"/>
        <v>0</v>
      </c>
      <c r="AB1159" s="78" t="b">
        <f t="shared" si="1092"/>
        <v>0</v>
      </c>
      <c r="AC1159" s="78" t="b">
        <f t="shared" si="1093"/>
        <v>0</v>
      </c>
      <c r="AD1159" s="78" t="b">
        <f t="shared" si="1094"/>
        <v>0</v>
      </c>
      <c r="AE1159" s="78" t="b">
        <f t="shared" si="1095"/>
        <v>0</v>
      </c>
      <c r="AF1159" s="78" t="b">
        <f t="shared" si="1096"/>
        <v>0</v>
      </c>
      <c r="AG1159" s="78" t="b">
        <f t="shared" si="1097"/>
        <v>0</v>
      </c>
      <c r="AH1159" s="78" t="b">
        <f t="shared" si="1098"/>
        <v>0</v>
      </c>
      <c r="AI1159" s="78" t="b">
        <f t="shared" si="1099"/>
        <v>0</v>
      </c>
      <c r="AJ1159" s="78" t="b">
        <f t="shared" si="1100"/>
        <v>0</v>
      </c>
      <c r="AK1159" s="78" t="b">
        <f t="shared" si="1101"/>
        <v>0</v>
      </c>
      <c r="AL1159" s="78" t="b">
        <f t="shared" si="1102"/>
        <v>0</v>
      </c>
      <c r="AM1159" s="78" t="b">
        <f t="shared" si="1103"/>
        <v>0</v>
      </c>
      <c r="AN1159" s="78" t="b">
        <f t="shared" si="1104"/>
        <v>0</v>
      </c>
      <c r="AO1159" s="78" t="b">
        <f t="shared" si="1105"/>
        <v>0</v>
      </c>
    </row>
    <row r="1160" spans="7:41" x14ac:dyDescent="0.35">
      <c r="G1160" s="77">
        <f t="shared" si="1075"/>
        <v>0</v>
      </c>
      <c r="H1160" s="78">
        <f t="shared" si="1076"/>
        <v>0</v>
      </c>
      <c r="I1160" s="77">
        <f t="shared" si="1077"/>
        <v>0</v>
      </c>
      <c r="J1160" s="78">
        <f t="shared" si="1078"/>
        <v>0</v>
      </c>
      <c r="K1160" s="78" t="str">
        <f t="shared" si="1079"/>
        <v>1900-01-00 00:0:00</v>
      </c>
      <c r="L1160" s="78" t="str">
        <f t="shared" si="1080"/>
        <v>1900-01-00 00:0:00</v>
      </c>
      <c r="M1160" s="79">
        <f t="shared" si="1081"/>
        <v>0</v>
      </c>
      <c r="N1160">
        <f t="shared" si="1106"/>
        <v>1</v>
      </c>
      <c r="O1160" t="str">
        <f>IFERROR(_xlfn.XLOOKUP(A1160,HC!A:A,HC!C:C),"")</f>
        <v>Workforce</v>
      </c>
      <c r="R1160" s="78" t="b">
        <f t="shared" si="1082"/>
        <v>0</v>
      </c>
      <c r="S1160" s="78" t="b">
        <f t="shared" si="1083"/>
        <v>0</v>
      </c>
      <c r="T1160" s="78" t="b">
        <f t="shared" si="1084"/>
        <v>0</v>
      </c>
      <c r="U1160" s="78" t="b">
        <f t="shared" si="1085"/>
        <v>0</v>
      </c>
      <c r="V1160" s="78" t="b">
        <f t="shared" si="1086"/>
        <v>0</v>
      </c>
      <c r="W1160" s="78" t="b">
        <f t="shared" si="1087"/>
        <v>0</v>
      </c>
      <c r="X1160" s="78" t="b">
        <f t="shared" si="1088"/>
        <v>0</v>
      </c>
      <c r="Y1160" s="78" t="b">
        <f t="shared" si="1089"/>
        <v>0</v>
      </c>
      <c r="Z1160" s="78" t="b">
        <f t="shared" si="1090"/>
        <v>0</v>
      </c>
      <c r="AA1160" s="78" t="b">
        <f t="shared" si="1091"/>
        <v>0</v>
      </c>
      <c r="AB1160" s="78" t="b">
        <f t="shared" si="1092"/>
        <v>0</v>
      </c>
      <c r="AC1160" s="78" t="b">
        <f t="shared" si="1093"/>
        <v>0</v>
      </c>
      <c r="AD1160" s="78" t="b">
        <f t="shared" si="1094"/>
        <v>0</v>
      </c>
      <c r="AE1160" s="78" t="b">
        <f t="shared" si="1095"/>
        <v>0</v>
      </c>
      <c r="AF1160" s="78" t="b">
        <f t="shared" si="1096"/>
        <v>0</v>
      </c>
      <c r="AG1160" s="78" t="b">
        <f t="shared" si="1097"/>
        <v>0</v>
      </c>
      <c r="AH1160" s="78" t="b">
        <f t="shared" si="1098"/>
        <v>0</v>
      </c>
      <c r="AI1160" s="78" t="b">
        <f t="shared" si="1099"/>
        <v>0</v>
      </c>
      <c r="AJ1160" s="78" t="b">
        <f t="shared" si="1100"/>
        <v>0</v>
      </c>
      <c r="AK1160" s="78" t="b">
        <f t="shared" si="1101"/>
        <v>0</v>
      </c>
      <c r="AL1160" s="78" t="b">
        <f t="shared" si="1102"/>
        <v>0</v>
      </c>
      <c r="AM1160" s="78" t="b">
        <f t="shared" si="1103"/>
        <v>0</v>
      </c>
      <c r="AN1160" s="78" t="b">
        <f t="shared" si="1104"/>
        <v>0</v>
      </c>
      <c r="AO1160" s="78" t="b">
        <f t="shared" si="1105"/>
        <v>0</v>
      </c>
    </row>
    <row r="1161" spans="7:41" x14ac:dyDescent="0.35">
      <c r="G1161" s="77">
        <f t="shared" si="1075"/>
        <v>0</v>
      </c>
      <c r="H1161" s="78">
        <f t="shared" si="1076"/>
        <v>0</v>
      </c>
      <c r="I1161" s="77">
        <f t="shared" si="1077"/>
        <v>0</v>
      </c>
      <c r="J1161" s="78">
        <f t="shared" si="1078"/>
        <v>0</v>
      </c>
      <c r="K1161" s="78" t="str">
        <f t="shared" si="1079"/>
        <v>1900-01-00 00:0:00</v>
      </c>
      <c r="L1161" s="78" t="str">
        <f t="shared" si="1080"/>
        <v>1900-01-00 00:0:00</v>
      </c>
      <c r="M1161" s="79">
        <f t="shared" si="1081"/>
        <v>0</v>
      </c>
      <c r="N1161">
        <f t="shared" si="1106"/>
        <v>1</v>
      </c>
      <c r="O1161" t="str">
        <f>IFERROR(_xlfn.XLOOKUP(A1161,HC!A:A,HC!C:C),"")</f>
        <v>Workforce</v>
      </c>
      <c r="R1161" s="78" t="b">
        <f t="shared" si="1082"/>
        <v>0</v>
      </c>
      <c r="S1161" s="78" t="b">
        <f t="shared" si="1083"/>
        <v>0</v>
      </c>
      <c r="T1161" s="78" t="b">
        <f t="shared" si="1084"/>
        <v>0</v>
      </c>
      <c r="U1161" s="78" t="b">
        <f t="shared" si="1085"/>
        <v>0</v>
      </c>
      <c r="V1161" s="78" t="b">
        <f t="shared" si="1086"/>
        <v>0</v>
      </c>
      <c r="W1161" s="78" t="b">
        <f t="shared" si="1087"/>
        <v>0</v>
      </c>
      <c r="X1161" s="78" t="b">
        <f t="shared" si="1088"/>
        <v>0</v>
      </c>
      <c r="Y1161" s="78" t="b">
        <f t="shared" si="1089"/>
        <v>0</v>
      </c>
      <c r="Z1161" s="78" t="b">
        <f t="shared" si="1090"/>
        <v>0</v>
      </c>
      <c r="AA1161" s="78" t="b">
        <f t="shared" si="1091"/>
        <v>0</v>
      </c>
      <c r="AB1161" s="78" t="b">
        <f t="shared" si="1092"/>
        <v>0</v>
      </c>
      <c r="AC1161" s="78" t="b">
        <f t="shared" si="1093"/>
        <v>0</v>
      </c>
      <c r="AD1161" s="78" t="b">
        <f t="shared" si="1094"/>
        <v>0</v>
      </c>
      <c r="AE1161" s="78" t="b">
        <f t="shared" si="1095"/>
        <v>0</v>
      </c>
      <c r="AF1161" s="78" t="b">
        <f t="shared" si="1096"/>
        <v>0</v>
      </c>
      <c r="AG1161" s="78" t="b">
        <f t="shared" si="1097"/>
        <v>0</v>
      </c>
      <c r="AH1161" s="78" t="b">
        <f t="shared" si="1098"/>
        <v>0</v>
      </c>
      <c r="AI1161" s="78" t="b">
        <f t="shared" si="1099"/>
        <v>0</v>
      </c>
      <c r="AJ1161" s="78" t="b">
        <f t="shared" si="1100"/>
        <v>0</v>
      </c>
      <c r="AK1161" s="78" t="b">
        <f t="shared" si="1101"/>
        <v>0</v>
      </c>
      <c r="AL1161" s="78" t="b">
        <f t="shared" si="1102"/>
        <v>0</v>
      </c>
      <c r="AM1161" s="78" t="b">
        <f t="shared" si="1103"/>
        <v>0</v>
      </c>
      <c r="AN1161" s="78" t="b">
        <f t="shared" si="1104"/>
        <v>0</v>
      </c>
      <c r="AO1161" s="78" t="b">
        <f t="shared" si="1105"/>
        <v>0</v>
      </c>
    </row>
    <row r="1162" spans="7:41" x14ac:dyDescent="0.35">
      <c r="G1162" s="77">
        <f t="shared" si="1075"/>
        <v>0</v>
      </c>
      <c r="H1162" s="78">
        <f t="shared" si="1076"/>
        <v>0</v>
      </c>
      <c r="I1162" s="77">
        <f t="shared" si="1077"/>
        <v>0</v>
      </c>
      <c r="J1162" s="78">
        <f t="shared" si="1078"/>
        <v>0</v>
      </c>
      <c r="K1162" s="78" t="str">
        <f t="shared" si="1079"/>
        <v>1900-01-00 00:0:00</v>
      </c>
      <c r="L1162" s="78" t="str">
        <f t="shared" si="1080"/>
        <v>1900-01-00 00:0:00</v>
      </c>
      <c r="M1162" s="79">
        <f t="shared" si="1081"/>
        <v>0</v>
      </c>
      <c r="N1162">
        <f t="shared" si="1106"/>
        <v>1</v>
      </c>
      <c r="O1162" t="str">
        <f>IFERROR(_xlfn.XLOOKUP(A1162,HC!A:A,HC!C:C),"")</f>
        <v>Workforce</v>
      </c>
      <c r="R1162" s="78" t="b">
        <f t="shared" si="1082"/>
        <v>0</v>
      </c>
      <c r="S1162" s="78" t="b">
        <f t="shared" si="1083"/>
        <v>0</v>
      </c>
      <c r="T1162" s="78" t="b">
        <f t="shared" si="1084"/>
        <v>0</v>
      </c>
      <c r="U1162" s="78" t="b">
        <f t="shared" si="1085"/>
        <v>0</v>
      </c>
      <c r="V1162" s="78" t="b">
        <f t="shared" si="1086"/>
        <v>0</v>
      </c>
      <c r="W1162" s="78" t="b">
        <f t="shared" si="1087"/>
        <v>0</v>
      </c>
      <c r="X1162" s="78" t="b">
        <f t="shared" si="1088"/>
        <v>0</v>
      </c>
      <c r="Y1162" s="78" t="b">
        <f t="shared" si="1089"/>
        <v>0</v>
      </c>
      <c r="Z1162" s="78" t="b">
        <f t="shared" si="1090"/>
        <v>0</v>
      </c>
      <c r="AA1162" s="78" t="b">
        <f t="shared" si="1091"/>
        <v>0</v>
      </c>
      <c r="AB1162" s="78" t="b">
        <f t="shared" si="1092"/>
        <v>0</v>
      </c>
      <c r="AC1162" s="78" t="b">
        <f t="shared" si="1093"/>
        <v>0</v>
      </c>
      <c r="AD1162" s="78" t="b">
        <f t="shared" si="1094"/>
        <v>0</v>
      </c>
      <c r="AE1162" s="78" t="b">
        <f t="shared" si="1095"/>
        <v>0</v>
      </c>
      <c r="AF1162" s="78" t="b">
        <f t="shared" si="1096"/>
        <v>0</v>
      </c>
      <c r="AG1162" s="78" t="b">
        <f t="shared" si="1097"/>
        <v>0</v>
      </c>
      <c r="AH1162" s="78" t="b">
        <f t="shared" si="1098"/>
        <v>0</v>
      </c>
      <c r="AI1162" s="78" t="b">
        <f t="shared" si="1099"/>
        <v>0</v>
      </c>
      <c r="AJ1162" s="78" t="b">
        <f t="shared" si="1100"/>
        <v>0</v>
      </c>
      <c r="AK1162" s="78" t="b">
        <f t="shared" si="1101"/>
        <v>0</v>
      </c>
      <c r="AL1162" s="78" t="b">
        <f t="shared" si="1102"/>
        <v>0</v>
      </c>
      <c r="AM1162" s="78" t="b">
        <f t="shared" si="1103"/>
        <v>0</v>
      </c>
      <c r="AN1162" s="78" t="b">
        <f t="shared" si="1104"/>
        <v>0</v>
      </c>
      <c r="AO1162" s="78" t="b">
        <f t="shared" si="1105"/>
        <v>0</v>
      </c>
    </row>
    <row r="1163" spans="7:41" x14ac:dyDescent="0.35">
      <c r="G1163" s="77">
        <f t="shared" si="1075"/>
        <v>0</v>
      </c>
      <c r="H1163" s="78">
        <f t="shared" si="1076"/>
        <v>0</v>
      </c>
      <c r="I1163" s="77">
        <f t="shared" si="1077"/>
        <v>0</v>
      </c>
      <c r="J1163" s="78">
        <f t="shared" si="1078"/>
        <v>0</v>
      </c>
      <c r="K1163" s="78" t="str">
        <f t="shared" si="1079"/>
        <v>1900-01-00 00:0:00</v>
      </c>
      <c r="L1163" s="78" t="str">
        <f t="shared" si="1080"/>
        <v>1900-01-00 00:0:00</v>
      </c>
      <c r="M1163" s="79">
        <f t="shared" si="1081"/>
        <v>0</v>
      </c>
      <c r="N1163">
        <f t="shared" si="1106"/>
        <v>1</v>
      </c>
      <c r="O1163" t="str">
        <f>IFERROR(_xlfn.XLOOKUP(A1163,HC!A:A,HC!C:C),"")</f>
        <v>Workforce</v>
      </c>
      <c r="R1163" s="78" t="b">
        <f t="shared" si="1082"/>
        <v>0</v>
      </c>
      <c r="S1163" s="78" t="b">
        <f t="shared" si="1083"/>
        <v>0</v>
      </c>
      <c r="T1163" s="78" t="b">
        <f t="shared" si="1084"/>
        <v>0</v>
      </c>
      <c r="U1163" s="78" t="b">
        <f t="shared" si="1085"/>
        <v>0</v>
      </c>
      <c r="V1163" s="78" t="b">
        <f t="shared" si="1086"/>
        <v>0</v>
      </c>
      <c r="W1163" s="78" t="b">
        <f t="shared" si="1087"/>
        <v>0</v>
      </c>
      <c r="X1163" s="78" t="b">
        <f t="shared" si="1088"/>
        <v>0</v>
      </c>
      <c r="Y1163" s="78" t="b">
        <f t="shared" si="1089"/>
        <v>0</v>
      </c>
      <c r="Z1163" s="78" t="b">
        <f t="shared" si="1090"/>
        <v>0</v>
      </c>
      <c r="AA1163" s="78" t="b">
        <f t="shared" si="1091"/>
        <v>0</v>
      </c>
      <c r="AB1163" s="78" t="b">
        <f t="shared" si="1092"/>
        <v>0</v>
      </c>
      <c r="AC1163" s="78" t="b">
        <f t="shared" si="1093"/>
        <v>0</v>
      </c>
      <c r="AD1163" s="78" t="b">
        <f t="shared" si="1094"/>
        <v>0</v>
      </c>
      <c r="AE1163" s="78" t="b">
        <f t="shared" si="1095"/>
        <v>0</v>
      </c>
      <c r="AF1163" s="78" t="b">
        <f t="shared" si="1096"/>
        <v>0</v>
      </c>
      <c r="AG1163" s="78" t="b">
        <f t="shared" si="1097"/>
        <v>0</v>
      </c>
      <c r="AH1163" s="78" t="b">
        <f t="shared" si="1098"/>
        <v>0</v>
      </c>
      <c r="AI1163" s="78" t="b">
        <f t="shared" si="1099"/>
        <v>0</v>
      </c>
      <c r="AJ1163" s="78" t="b">
        <f t="shared" si="1100"/>
        <v>0</v>
      </c>
      <c r="AK1163" s="78" t="b">
        <f t="shared" si="1101"/>
        <v>0</v>
      </c>
      <c r="AL1163" s="78" t="b">
        <f t="shared" si="1102"/>
        <v>0</v>
      </c>
      <c r="AM1163" s="78" t="b">
        <f t="shared" si="1103"/>
        <v>0</v>
      </c>
      <c r="AN1163" s="78" t="b">
        <f t="shared" si="1104"/>
        <v>0</v>
      </c>
      <c r="AO1163" s="78" t="b">
        <f t="shared" si="1105"/>
        <v>0</v>
      </c>
    </row>
    <row r="1164" spans="7:41" x14ac:dyDescent="0.35">
      <c r="G1164" s="77">
        <f t="shared" si="1075"/>
        <v>0</v>
      </c>
      <c r="H1164" s="78">
        <f t="shared" si="1076"/>
        <v>0</v>
      </c>
      <c r="I1164" s="77">
        <f t="shared" si="1077"/>
        <v>0</v>
      </c>
      <c r="J1164" s="78">
        <f t="shared" si="1078"/>
        <v>0</v>
      </c>
      <c r="K1164" s="78" t="str">
        <f t="shared" si="1079"/>
        <v>1900-01-00 00:0:00</v>
      </c>
      <c r="L1164" s="78" t="str">
        <f t="shared" si="1080"/>
        <v>1900-01-00 00:0:00</v>
      </c>
      <c r="M1164" s="79">
        <f t="shared" si="1081"/>
        <v>0</v>
      </c>
      <c r="N1164">
        <f t="shared" si="1106"/>
        <v>1</v>
      </c>
      <c r="O1164" t="str">
        <f>IFERROR(_xlfn.XLOOKUP(A1164,HC!A:A,HC!C:C),"")</f>
        <v>Workforce</v>
      </c>
      <c r="R1164" s="78" t="b">
        <f t="shared" si="1082"/>
        <v>0</v>
      </c>
      <c r="S1164" s="78" t="b">
        <f t="shared" si="1083"/>
        <v>0</v>
      </c>
      <c r="T1164" s="78" t="b">
        <f t="shared" si="1084"/>
        <v>0</v>
      </c>
      <c r="U1164" s="78" t="b">
        <f t="shared" si="1085"/>
        <v>0</v>
      </c>
      <c r="V1164" s="78" t="b">
        <f t="shared" si="1086"/>
        <v>0</v>
      </c>
      <c r="W1164" s="78" t="b">
        <f t="shared" si="1087"/>
        <v>0</v>
      </c>
      <c r="X1164" s="78" t="b">
        <f t="shared" si="1088"/>
        <v>0</v>
      </c>
      <c r="Y1164" s="78" t="b">
        <f t="shared" si="1089"/>
        <v>0</v>
      </c>
      <c r="Z1164" s="78" t="b">
        <f t="shared" si="1090"/>
        <v>0</v>
      </c>
      <c r="AA1164" s="78" t="b">
        <f t="shared" si="1091"/>
        <v>0</v>
      </c>
      <c r="AB1164" s="78" t="b">
        <f t="shared" si="1092"/>
        <v>0</v>
      </c>
      <c r="AC1164" s="78" t="b">
        <f t="shared" si="1093"/>
        <v>0</v>
      </c>
      <c r="AD1164" s="78" t="b">
        <f t="shared" si="1094"/>
        <v>0</v>
      </c>
      <c r="AE1164" s="78" t="b">
        <f t="shared" si="1095"/>
        <v>0</v>
      </c>
      <c r="AF1164" s="78" t="b">
        <f t="shared" si="1096"/>
        <v>0</v>
      </c>
      <c r="AG1164" s="78" t="b">
        <f t="shared" si="1097"/>
        <v>0</v>
      </c>
      <c r="AH1164" s="78" t="b">
        <f t="shared" si="1098"/>
        <v>0</v>
      </c>
      <c r="AI1164" s="78" t="b">
        <f t="shared" si="1099"/>
        <v>0</v>
      </c>
      <c r="AJ1164" s="78" t="b">
        <f t="shared" si="1100"/>
        <v>0</v>
      </c>
      <c r="AK1164" s="78" t="b">
        <f t="shared" si="1101"/>
        <v>0</v>
      </c>
      <c r="AL1164" s="78" t="b">
        <f t="shared" si="1102"/>
        <v>0</v>
      </c>
      <c r="AM1164" s="78" t="b">
        <f t="shared" si="1103"/>
        <v>0</v>
      </c>
      <c r="AN1164" s="78" t="b">
        <f t="shared" si="1104"/>
        <v>0</v>
      </c>
      <c r="AO1164" s="78" t="b">
        <f t="shared" si="1105"/>
        <v>0</v>
      </c>
    </row>
    <row r="1165" spans="7:41" x14ac:dyDescent="0.35">
      <c r="G1165" s="77">
        <f t="shared" si="1075"/>
        <v>0</v>
      </c>
      <c r="H1165" s="78">
        <f t="shared" si="1076"/>
        <v>0</v>
      </c>
      <c r="I1165" s="77">
        <f t="shared" si="1077"/>
        <v>0</v>
      </c>
      <c r="J1165" s="78">
        <f t="shared" si="1078"/>
        <v>0</v>
      </c>
      <c r="K1165" s="78" t="str">
        <f t="shared" si="1079"/>
        <v>1900-01-00 00:0:00</v>
      </c>
      <c r="L1165" s="78" t="str">
        <f t="shared" si="1080"/>
        <v>1900-01-00 00:0:00</v>
      </c>
      <c r="M1165" s="79">
        <f t="shared" si="1081"/>
        <v>0</v>
      </c>
      <c r="N1165">
        <f t="shared" si="1106"/>
        <v>1</v>
      </c>
      <c r="O1165" t="str">
        <f>IFERROR(_xlfn.XLOOKUP(A1165,HC!A:A,HC!C:C),"")</f>
        <v>Workforce</v>
      </c>
      <c r="R1165" s="78" t="b">
        <f t="shared" si="1082"/>
        <v>0</v>
      </c>
      <c r="S1165" s="78" t="b">
        <f t="shared" si="1083"/>
        <v>0</v>
      </c>
      <c r="T1165" s="78" t="b">
        <f t="shared" si="1084"/>
        <v>0</v>
      </c>
      <c r="U1165" s="78" t="b">
        <f t="shared" si="1085"/>
        <v>0</v>
      </c>
      <c r="V1165" s="78" t="b">
        <f t="shared" si="1086"/>
        <v>0</v>
      </c>
      <c r="W1165" s="78" t="b">
        <f t="shared" si="1087"/>
        <v>0</v>
      </c>
      <c r="X1165" s="78" t="b">
        <f t="shared" si="1088"/>
        <v>0</v>
      </c>
      <c r="Y1165" s="78" t="b">
        <f t="shared" si="1089"/>
        <v>0</v>
      </c>
      <c r="Z1165" s="78" t="b">
        <f t="shared" si="1090"/>
        <v>0</v>
      </c>
      <c r="AA1165" s="78" t="b">
        <f t="shared" si="1091"/>
        <v>0</v>
      </c>
      <c r="AB1165" s="78" t="b">
        <f t="shared" si="1092"/>
        <v>0</v>
      </c>
      <c r="AC1165" s="78" t="b">
        <f t="shared" si="1093"/>
        <v>0</v>
      </c>
      <c r="AD1165" s="78" t="b">
        <f t="shared" si="1094"/>
        <v>0</v>
      </c>
      <c r="AE1165" s="78" t="b">
        <f t="shared" si="1095"/>
        <v>0</v>
      </c>
      <c r="AF1165" s="78" t="b">
        <f t="shared" si="1096"/>
        <v>0</v>
      </c>
      <c r="AG1165" s="78" t="b">
        <f t="shared" si="1097"/>
        <v>0</v>
      </c>
      <c r="AH1165" s="78" t="b">
        <f t="shared" si="1098"/>
        <v>0</v>
      </c>
      <c r="AI1165" s="78" t="b">
        <f t="shared" si="1099"/>
        <v>0</v>
      </c>
      <c r="AJ1165" s="78" t="b">
        <f t="shared" si="1100"/>
        <v>0</v>
      </c>
      <c r="AK1165" s="78" t="b">
        <f t="shared" si="1101"/>
        <v>0</v>
      </c>
      <c r="AL1165" s="78" t="b">
        <f t="shared" si="1102"/>
        <v>0</v>
      </c>
      <c r="AM1165" s="78" t="b">
        <f t="shared" si="1103"/>
        <v>0</v>
      </c>
      <c r="AN1165" s="78" t="b">
        <f t="shared" si="1104"/>
        <v>0</v>
      </c>
      <c r="AO1165" s="78" t="b">
        <f t="shared" si="1105"/>
        <v>0</v>
      </c>
    </row>
    <row r="1166" spans="7:41" x14ac:dyDescent="0.35">
      <c r="G1166" s="77">
        <f t="shared" si="1075"/>
        <v>0</v>
      </c>
      <c r="H1166" s="78">
        <f t="shared" si="1076"/>
        <v>0</v>
      </c>
      <c r="I1166" s="77">
        <f t="shared" si="1077"/>
        <v>0</v>
      </c>
      <c r="J1166" s="78">
        <f t="shared" si="1078"/>
        <v>0</v>
      </c>
      <c r="K1166" s="78" t="str">
        <f t="shared" si="1079"/>
        <v>1900-01-00 00:0:00</v>
      </c>
      <c r="L1166" s="78" t="str">
        <f t="shared" si="1080"/>
        <v>1900-01-00 00:0:00</v>
      </c>
      <c r="M1166" s="79">
        <f t="shared" si="1081"/>
        <v>0</v>
      </c>
      <c r="N1166">
        <f t="shared" si="1106"/>
        <v>1</v>
      </c>
      <c r="O1166" t="str">
        <f>IFERROR(_xlfn.XLOOKUP(A1166,HC!A:A,HC!C:C),"")</f>
        <v>Workforce</v>
      </c>
      <c r="R1166" s="78" t="b">
        <f t="shared" si="1082"/>
        <v>0</v>
      </c>
      <c r="S1166" s="78" t="b">
        <f t="shared" si="1083"/>
        <v>0</v>
      </c>
      <c r="T1166" s="78" t="b">
        <f t="shared" si="1084"/>
        <v>0</v>
      </c>
      <c r="U1166" s="78" t="b">
        <f t="shared" si="1085"/>
        <v>0</v>
      </c>
      <c r="V1166" s="78" t="b">
        <f t="shared" si="1086"/>
        <v>0</v>
      </c>
      <c r="W1166" s="78" t="b">
        <f t="shared" si="1087"/>
        <v>0</v>
      </c>
      <c r="X1166" s="78" t="b">
        <f t="shared" si="1088"/>
        <v>0</v>
      </c>
      <c r="Y1166" s="78" t="b">
        <f t="shared" si="1089"/>
        <v>0</v>
      </c>
      <c r="Z1166" s="78" t="b">
        <f t="shared" si="1090"/>
        <v>0</v>
      </c>
      <c r="AA1166" s="78" t="b">
        <f t="shared" si="1091"/>
        <v>0</v>
      </c>
      <c r="AB1166" s="78" t="b">
        <f t="shared" si="1092"/>
        <v>0</v>
      </c>
      <c r="AC1166" s="78" t="b">
        <f t="shared" si="1093"/>
        <v>0</v>
      </c>
      <c r="AD1166" s="78" t="b">
        <f t="shared" si="1094"/>
        <v>0</v>
      </c>
      <c r="AE1166" s="78" t="b">
        <f t="shared" si="1095"/>
        <v>0</v>
      </c>
      <c r="AF1166" s="78" t="b">
        <f t="shared" si="1096"/>
        <v>0</v>
      </c>
      <c r="AG1166" s="78" t="b">
        <f t="shared" si="1097"/>
        <v>0</v>
      </c>
      <c r="AH1166" s="78" t="b">
        <f t="shared" si="1098"/>
        <v>0</v>
      </c>
      <c r="AI1166" s="78" t="b">
        <f t="shared" si="1099"/>
        <v>0</v>
      </c>
      <c r="AJ1166" s="78" t="b">
        <f t="shared" si="1100"/>
        <v>0</v>
      </c>
      <c r="AK1166" s="78" t="b">
        <f t="shared" si="1101"/>
        <v>0</v>
      </c>
      <c r="AL1166" s="78" t="b">
        <f t="shared" si="1102"/>
        <v>0</v>
      </c>
      <c r="AM1166" s="78" t="b">
        <f t="shared" si="1103"/>
        <v>0</v>
      </c>
      <c r="AN1166" s="78" t="b">
        <f t="shared" si="1104"/>
        <v>0</v>
      </c>
      <c r="AO1166" s="78" t="b">
        <f t="shared" si="1105"/>
        <v>0</v>
      </c>
    </row>
    <row r="1167" spans="7:41" x14ac:dyDescent="0.35">
      <c r="G1167" s="77">
        <f t="shared" si="1075"/>
        <v>0</v>
      </c>
      <c r="H1167" s="78">
        <f t="shared" si="1076"/>
        <v>0</v>
      </c>
      <c r="I1167" s="77">
        <f t="shared" si="1077"/>
        <v>0</v>
      </c>
      <c r="J1167" s="78">
        <f t="shared" si="1078"/>
        <v>0</v>
      </c>
      <c r="K1167" s="78" t="str">
        <f t="shared" si="1079"/>
        <v>1900-01-00 00:0:00</v>
      </c>
      <c r="L1167" s="78" t="str">
        <f t="shared" si="1080"/>
        <v>1900-01-00 00:0:00</v>
      </c>
      <c r="M1167" s="79">
        <f t="shared" si="1081"/>
        <v>0</v>
      </c>
      <c r="N1167">
        <f t="shared" si="1106"/>
        <v>1</v>
      </c>
      <c r="O1167" t="str">
        <f>IFERROR(_xlfn.XLOOKUP(A1167,HC!A:A,HC!C:C),"")</f>
        <v>Workforce</v>
      </c>
      <c r="R1167" s="78" t="b">
        <f t="shared" si="1082"/>
        <v>0</v>
      </c>
      <c r="S1167" s="78" t="b">
        <f t="shared" si="1083"/>
        <v>0</v>
      </c>
      <c r="T1167" s="78" t="b">
        <f t="shared" si="1084"/>
        <v>0</v>
      </c>
      <c r="U1167" s="78" t="b">
        <f t="shared" si="1085"/>
        <v>0</v>
      </c>
      <c r="V1167" s="78" t="b">
        <f t="shared" si="1086"/>
        <v>0</v>
      </c>
      <c r="W1167" s="78" t="b">
        <f t="shared" si="1087"/>
        <v>0</v>
      </c>
      <c r="X1167" s="78" t="b">
        <f t="shared" si="1088"/>
        <v>0</v>
      </c>
      <c r="Y1167" s="78" t="b">
        <f t="shared" si="1089"/>
        <v>0</v>
      </c>
      <c r="Z1167" s="78" t="b">
        <f t="shared" si="1090"/>
        <v>0</v>
      </c>
      <c r="AA1167" s="78" t="b">
        <f t="shared" si="1091"/>
        <v>0</v>
      </c>
      <c r="AB1167" s="78" t="b">
        <f t="shared" si="1092"/>
        <v>0</v>
      </c>
      <c r="AC1167" s="78" t="b">
        <f t="shared" si="1093"/>
        <v>0</v>
      </c>
      <c r="AD1167" s="78" t="b">
        <f t="shared" si="1094"/>
        <v>0</v>
      </c>
      <c r="AE1167" s="78" t="b">
        <f t="shared" si="1095"/>
        <v>0</v>
      </c>
      <c r="AF1167" s="78" t="b">
        <f t="shared" si="1096"/>
        <v>0</v>
      </c>
      <c r="AG1167" s="78" t="b">
        <f t="shared" si="1097"/>
        <v>0</v>
      </c>
      <c r="AH1167" s="78" t="b">
        <f t="shared" si="1098"/>
        <v>0</v>
      </c>
      <c r="AI1167" s="78" t="b">
        <f t="shared" si="1099"/>
        <v>0</v>
      </c>
      <c r="AJ1167" s="78" t="b">
        <f t="shared" si="1100"/>
        <v>0</v>
      </c>
      <c r="AK1167" s="78" t="b">
        <f t="shared" si="1101"/>
        <v>0</v>
      </c>
      <c r="AL1167" s="78" t="b">
        <f t="shared" si="1102"/>
        <v>0</v>
      </c>
      <c r="AM1167" s="78" t="b">
        <f t="shared" si="1103"/>
        <v>0</v>
      </c>
      <c r="AN1167" s="78" t="b">
        <f t="shared" si="1104"/>
        <v>0</v>
      </c>
      <c r="AO1167" s="78" t="b">
        <f t="shared" si="1105"/>
        <v>0</v>
      </c>
    </row>
    <row r="1168" spans="7:41" x14ac:dyDescent="0.35">
      <c r="G1168" s="77">
        <f t="shared" si="1075"/>
        <v>0</v>
      </c>
      <c r="H1168" s="78">
        <f t="shared" si="1076"/>
        <v>0</v>
      </c>
      <c r="I1168" s="77">
        <f t="shared" si="1077"/>
        <v>0</v>
      </c>
      <c r="J1168" s="78">
        <f t="shared" si="1078"/>
        <v>0</v>
      </c>
      <c r="K1168" s="78" t="str">
        <f t="shared" si="1079"/>
        <v>1900-01-00 00:0:00</v>
      </c>
      <c r="L1168" s="78" t="str">
        <f t="shared" si="1080"/>
        <v>1900-01-00 00:0:00</v>
      </c>
      <c r="M1168" s="79">
        <f t="shared" si="1081"/>
        <v>0</v>
      </c>
      <c r="N1168">
        <f t="shared" si="1106"/>
        <v>1</v>
      </c>
      <c r="O1168" t="str">
        <f>IFERROR(_xlfn.XLOOKUP(A1168,HC!A:A,HC!C:C),"")</f>
        <v>Workforce</v>
      </c>
      <c r="R1168" s="78" t="b">
        <f t="shared" si="1082"/>
        <v>0</v>
      </c>
      <c r="S1168" s="78" t="b">
        <f t="shared" si="1083"/>
        <v>0</v>
      </c>
      <c r="T1168" s="78" t="b">
        <f t="shared" si="1084"/>
        <v>0</v>
      </c>
      <c r="U1168" s="78" t="b">
        <f t="shared" si="1085"/>
        <v>0</v>
      </c>
      <c r="V1168" s="78" t="b">
        <f t="shared" si="1086"/>
        <v>0</v>
      </c>
      <c r="W1168" s="78" t="b">
        <f t="shared" si="1087"/>
        <v>0</v>
      </c>
      <c r="X1168" s="78" t="b">
        <f t="shared" si="1088"/>
        <v>0</v>
      </c>
      <c r="Y1168" s="78" t="b">
        <f t="shared" si="1089"/>
        <v>0</v>
      </c>
      <c r="Z1168" s="78" t="b">
        <f t="shared" si="1090"/>
        <v>0</v>
      </c>
      <c r="AA1168" s="78" t="b">
        <f t="shared" si="1091"/>
        <v>0</v>
      </c>
      <c r="AB1168" s="78" t="b">
        <f t="shared" si="1092"/>
        <v>0</v>
      </c>
      <c r="AC1168" s="78" t="b">
        <f t="shared" si="1093"/>
        <v>0</v>
      </c>
      <c r="AD1168" s="78" t="b">
        <f t="shared" si="1094"/>
        <v>0</v>
      </c>
      <c r="AE1168" s="78" t="b">
        <f t="shared" si="1095"/>
        <v>0</v>
      </c>
      <c r="AF1168" s="78" t="b">
        <f t="shared" si="1096"/>
        <v>0</v>
      </c>
      <c r="AG1168" s="78" t="b">
        <f t="shared" si="1097"/>
        <v>0</v>
      </c>
      <c r="AH1168" s="78" t="b">
        <f t="shared" si="1098"/>
        <v>0</v>
      </c>
      <c r="AI1168" s="78" t="b">
        <f t="shared" si="1099"/>
        <v>0</v>
      </c>
      <c r="AJ1168" s="78" t="b">
        <f t="shared" si="1100"/>
        <v>0</v>
      </c>
      <c r="AK1168" s="78" t="b">
        <f t="shared" si="1101"/>
        <v>0</v>
      </c>
      <c r="AL1168" s="78" t="b">
        <f t="shared" si="1102"/>
        <v>0</v>
      </c>
      <c r="AM1168" s="78" t="b">
        <f t="shared" si="1103"/>
        <v>0</v>
      </c>
      <c r="AN1168" s="78" t="b">
        <f t="shared" si="1104"/>
        <v>0</v>
      </c>
      <c r="AO1168" s="78" t="b">
        <f t="shared" si="1105"/>
        <v>0</v>
      </c>
    </row>
    <row r="1169" spans="7:41" x14ac:dyDescent="0.35">
      <c r="G1169" s="77">
        <f t="shared" si="1075"/>
        <v>0</v>
      </c>
      <c r="H1169" s="78">
        <f t="shared" si="1076"/>
        <v>0</v>
      </c>
      <c r="I1169" s="77">
        <f t="shared" si="1077"/>
        <v>0</v>
      </c>
      <c r="J1169" s="78">
        <f t="shared" si="1078"/>
        <v>0</v>
      </c>
      <c r="K1169" s="78" t="str">
        <f t="shared" si="1079"/>
        <v>1900-01-00 00:0:00</v>
      </c>
      <c r="L1169" s="78" t="str">
        <f t="shared" si="1080"/>
        <v>1900-01-00 00:0:00</v>
      </c>
      <c r="M1169" s="79">
        <f t="shared" si="1081"/>
        <v>0</v>
      </c>
      <c r="N1169">
        <f t="shared" si="1106"/>
        <v>1</v>
      </c>
      <c r="O1169" t="str">
        <f>IFERROR(_xlfn.XLOOKUP(A1169,HC!A:A,HC!C:C),"")</f>
        <v>Workforce</v>
      </c>
      <c r="R1169" s="78" t="b">
        <f t="shared" si="1082"/>
        <v>0</v>
      </c>
      <c r="S1169" s="78" t="b">
        <f t="shared" si="1083"/>
        <v>0</v>
      </c>
      <c r="T1169" s="78" t="b">
        <f t="shared" si="1084"/>
        <v>0</v>
      </c>
      <c r="U1169" s="78" t="b">
        <f t="shared" si="1085"/>
        <v>0</v>
      </c>
      <c r="V1169" s="78" t="b">
        <f t="shared" si="1086"/>
        <v>0</v>
      </c>
      <c r="W1169" s="78" t="b">
        <f t="shared" si="1087"/>
        <v>0</v>
      </c>
      <c r="X1169" s="78" t="b">
        <f t="shared" si="1088"/>
        <v>0</v>
      </c>
      <c r="Y1169" s="78" t="b">
        <f t="shared" si="1089"/>
        <v>0</v>
      </c>
      <c r="Z1169" s="78" t="b">
        <f t="shared" si="1090"/>
        <v>0</v>
      </c>
      <c r="AA1169" s="78" t="b">
        <f t="shared" si="1091"/>
        <v>0</v>
      </c>
      <c r="AB1169" s="78" t="b">
        <f t="shared" si="1092"/>
        <v>0</v>
      </c>
      <c r="AC1169" s="78" t="b">
        <f t="shared" si="1093"/>
        <v>0</v>
      </c>
      <c r="AD1169" s="78" t="b">
        <f t="shared" si="1094"/>
        <v>0</v>
      </c>
      <c r="AE1169" s="78" t="b">
        <f t="shared" si="1095"/>
        <v>0</v>
      </c>
      <c r="AF1169" s="78" t="b">
        <f t="shared" si="1096"/>
        <v>0</v>
      </c>
      <c r="AG1169" s="78" t="b">
        <f t="shared" si="1097"/>
        <v>0</v>
      </c>
      <c r="AH1169" s="78" t="b">
        <f t="shared" si="1098"/>
        <v>0</v>
      </c>
      <c r="AI1169" s="78" t="b">
        <f t="shared" si="1099"/>
        <v>0</v>
      </c>
      <c r="AJ1169" s="78" t="b">
        <f t="shared" si="1100"/>
        <v>0</v>
      </c>
      <c r="AK1169" s="78" t="b">
        <f t="shared" si="1101"/>
        <v>0</v>
      </c>
      <c r="AL1169" s="78" t="b">
        <f t="shared" si="1102"/>
        <v>0</v>
      </c>
      <c r="AM1169" s="78" t="b">
        <f t="shared" si="1103"/>
        <v>0</v>
      </c>
      <c r="AN1169" s="78" t="b">
        <f t="shared" si="1104"/>
        <v>0</v>
      </c>
      <c r="AO1169" s="78" t="b">
        <f t="shared" si="1105"/>
        <v>0</v>
      </c>
    </row>
    <row r="1170" spans="7:41" x14ac:dyDescent="0.35">
      <c r="G1170" s="77">
        <f t="shared" si="1075"/>
        <v>0</v>
      </c>
      <c r="H1170" s="78">
        <f t="shared" si="1076"/>
        <v>0</v>
      </c>
      <c r="I1170" s="77">
        <f t="shared" si="1077"/>
        <v>0</v>
      </c>
      <c r="J1170" s="78">
        <f t="shared" si="1078"/>
        <v>0</v>
      </c>
      <c r="K1170" s="78" t="str">
        <f t="shared" si="1079"/>
        <v>1900-01-00 00:0:00</v>
      </c>
      <c r="L1170" s="78" t="str">
        <f t="shared" si="1080"/>
        <v>1900-01-00 00:0:00</v>
      </c>
      <c r="M1170" s="79">
        <f t="shared" si="1081"/>
        <v>0</v>
      </c>
      <c r="N1170">
        <f t="shared" si="1106"/>
        <v>1</v>
      </c>
      <c r="O1170" t="str">
        <f>IFERROR(_xlfn.XLOOKUP(A1170,HC!A:A,HC!C:C),"")</f>
        <v>Workforce</v>
      </c>
      <c r="R1170" s="78" t="b">
        <f t="shared" si="1082"/>
        <v>0</v>
      </c>
      <c r="S1170" s="78" t="b">
        <f t="shared" si="1083"/>
        <v>0</v>
      </c>
      <c r="T1170" s="78" t="b">
        <f t="shared" si="1084"/>
        <v>0</v>
      </c>
      <c r="U1170" s="78" t="b">
        <f t="shared" si="1085"/>
        <v>0</v>
      </c>
      <c r="V1170" s="78" t="b">
        <f t="shared" si="1086"/>
        <v>0</v>
      </c>
      <c r="W1170" s="78" t="b">
        <f t="shared" si="1087"/>
        <v>0</v>
      </c>
      <c r="X1170" s="78" t="b">
        <f t="shared" si="1088"/>
        <v>0</v>
      </c>
      <c r="Y1170" s="78" t="b">
        <f t="shared" si="1089"/>
        <v>0</v>
      </c>
      <c r="Z1170" s="78" t="b">
        <f t="shared" si="1090"/>
        <v>0</v>
      </c>
      <c r="AA1170" s="78" t="b">
        <f t="shared" si="1091"/>
        <v>0</v>
      </c>
      <c r="AB1170" s="78" t="b">
        <f t="shared" si="1092"/>
        <v>0</v>
      </c>
      <c r="AC1170" s="78" t="b">
        <f t="shared" si="1093"/>
        <v>0</v>
      </c>
      <c r="AD1170" s="78" t="b">
        <f t="shared" si="1094"/>
        <v>0</v>
      </c>
      <c r="AE1170" s="78" t="b">
        <f t="shared" si="1095"/>
        <v>0</v>
      </c>
      <c r="AF1170" s="78" t="b">
        <f t="shared" si="1096"/>
        <v>0</v>
      </c>
      <c r="AG1170" s="78" t="b">
        <f t="shared" si="1097"/>
        <v>0</v>
      </c>
      <c r="AH1170" s="78" t="b">
        <f t="shared" si="1098"/>
        <v>0</v>
      </c>
      <c r="AI1170" s="78" t="b">
        <f t="shared" si="1099"/>
        <v>0</v>
      </c>
      <c r="AJ1170" s="78" t="b">
        <f t="shared" si="1100"/>
        <v>0</v>
      </c>
      <c r="AK1170" s="78" t="b">
        <f t="shared" si="1101"/>
        <v>0</v>
      </c>
      <c r="AL1170" s="78" t="b">
        <f t="shared" si="1102"/>
        <v>0</v>
      </c>
      <c r="AM1170" s="78" t="b">
        <f t="shared" si="1103"/>
        <v>0</v>
      </c>
      <c r="AN1170" s="78" t="b">
        <f t="shared" si="1104"/>
        <v>0</v>
      </c>
      <c r="AO1170" s="78" t="b">
        <f t="shared" si="1105"/>
        <v>0</v>
      </c>
    </row>
    <row r="1171" spans="7:41" x14ac:dyDescent="0.35">
      <c r="G1171" s="77">
        <f t="shared" si="1075"/>
        <v>0</v>
      </c>
      <c r="H1171" s="78">
        <f t="shared" si="1076"/>
        <v>0</v>
      </c>
      <c r="I1171" s="77">
        <f t="shared" si="1077"/>
        <v>0</v>
      </c>
      <c r="J1171" s="78">
        <f t="shared" si="1078"/>
        <v>0</v>
      </c>
      <c r="K1171" s="78" t="str">
        <f t="shared" si="1079"/>
        <v>1900-01-00 00:0:00</v>
      </c>
      <c r="L1171" s="78" t="str">
        <f t="shared" si="1080"/>
        <v>1900-01-00 00:0:00</v>
      </c>
      <c r="M1171" s="79">
        <f t="shared" si="1081"/>
        <v>0</v>
      </c>
      <c r="N1171">
        <f t="shared" si="1106"/>
        <v>1</v>
      </c>
      <c r="O1171" t="str">
        <f>IFERROR(_xlfn.XLOOKUP(A1171,HC!A:A,HC!C:C),"")</f>
        <v>Workforce</v>
      </c>
      <c r="R1171" s="78" t="b">
        <f t="shared" si="1082"/>
        <v>0</v>
      </c>
      <c r="S1171" s="78" t="b">
        <f t="shared" si="1083"/>
        <v>0</v>
      </c>
      <c r="T1171" s="78" t="b">
        <f t="shared" si="1084"/>
        <v>0</v>
      </c>
      <c r="U1171" s="78" t="b">
        <f t="shared" si="1085"/>
        <v>0</v>
      </c>
      <c r="V1171" s="78" t="b">
        <f t="shared" si="1086"/>
        <v>0</v>
      </c>
      <c r="W1171" s="78" t="b">
        <f t="shared" si="1087"/>
        <v>0</v>
      </c>
      <c r="X1171" s="78" t="b">
        <f t="shared" si="1088"/>
        <v>0</v>
      </c>
      <c r="Y1171" s="78" t="b">
        <f t="shared" si="1089"/>
        <v>0</v>
      </c>
      <c r="Z1171" s="78" t="b">
        <f t="shared" si="1090"/>
        <v>0</v>
      </c>
      <c r="AA1171" s="78" t="b">
        <f t="shared" si="1091"/>
        <v>0</v>
      </c>
      <c r="AB1171" s="78" t="b">
        <f t="shared" si="1092"/>
        <v>0</v>
      </c>
      <c r="AC1171" s="78" t="b">
        <f t="shared" si="1093"/>
        <v>0</v>
      </c>
      <c r="AD1171" s="78" t="b">
        <f t="shared" si="1094"/>
        <v>0</v>
      </c>
      <c r="AE1171" s="78" t="b">
        <f t="shared" si="1095"/>
        <v>0</v>
      </c>
      <c r="AF1171" s="78" t="b">
        <f t="shared" si="1096"/>
        <v>0</v>
      </c>
      <c r="AG1171" s="78" t="b">
        <f t="shared" si="1097"/>
        <v>0</v>
      </c>
      <c r="AH1171" s="78" t="b">
        <f t="shared" si="1098"/>
        <v>0</v>
      </c>
      <c r="AI1171" s="78" t="b">
        <f t="shared" si="1099"/>
        <v>0</v>
      </c>
      <c r="AJ1171" s="78" t="b">
        <f t="shared" si="1100"/>
        <v>0</v>
      </c>
      <c r="AK1171" s="78" t="b">
        <f t="shared" si="1101"/>
        <v>0</v>
      </c>
      <c r="AL1171" s="78" t="b">
        <f t="shared" si="1102"/>
        <v>0</v>
      </c>
      <c r="AM1171" s="78" t="b">
        <f t="shared" si="1103"/>
        <v>0</v>
      </c>
      <c r="AN1171" s="78" t="b">
        <f t="shared" si="1104"/>
        <v>0</v>
      </c>
      <c r="AO1171" s="78" t="b">
        <f t="shared" si="1105"/>
        <v>0</v>
      </c>
    </row>
    <row r="1172" spans="7:41" x14ac:dyDescent="0.35">
      <c r="G1172" s="77">
        <f t="shared" si="1075"/>
        <v>0</v>
      </c>
      <c r="H1172" s="78">
        <f t="shared" si="1076"/>
        <v>0</v>
      </c>
      <c r="I1172" s="77">
        <f t="shared" si="1077"/>
        <v>0</v>
      </c>
      <c r="J1172" s="78">
        <f t="shared" si="1078"/>
        <v>0</v>
      </c>
      <c r="K1172" s="78" t="str">
        <f t="shared" si="1079"/>
        <v>1900-01-00 00:0:00</v>
      </c>
      <c r="L1172" s="78" t="str">
        <f t="shared" si="1080"/>
        <v>1900-01-00 00:0:00</v>
      </c>
      <c r="M1172" s="79">
        <f t="shared" si="1081"/>
        <v>0</v>
      </c>
      <c r="N1172">
        <f t="shared" si="1106"/>
        <v>1</v>
      </c>
      <c r="O1172" t="str">
        <f>IFERROR(_xlfn.XLOOKUP(A1172,HC!A:A,HC!C:C),"")</f>
        <v>Workforce</v>
      </c>
      <c r="R1172" s="78" t="b">
        <f t="shared" si="1082"/>
        <v>0</v>
      </c>
      <c r="S1172" s="78" t="b">
        <f t="shared" si="1083"/>
        <v>0</v>
      </c>
      <c r="T1172" s="78" t="b">
        <f t="shared" si="1084"/>
        <v>0</v>
      </c>
      <c r="U1172" s="78" t="b">
        <f t="shared" si="1085"/>
        <v>0</v>
      </c>
      <c r="V1172" s="78" t="b">
        <f t="shared" si="1086"/>
        <v>0</v>
      </c>
      <c r="W1172" s="78" t="b">
        <f t="shared" si="1087"/>
        <v>0</v>
      </c>
      <c r="X1172" s="78" t="b">
        <f t="shared" si="1088"/>
        <v>0</v>
      </c>
      <c r="Y1172" s="78" t="b">
        <f t="shared" si="1089"/>
        <v>0</v>
      </c>
      <c r="Z1172" s="78" t="b">
        <f t="shared" si="1090"/>
        <v>0</v>
      </c>
      <c r="AA1172" s="78" t="b">
        <f t="shared" si="1091"/>
        <v>0</v>
      </c>
      <c r="AB1172" s="78" t="b">
        <f t="shared" si="1092"/>
        <v>0</v>
      </c>
      <c r="AC1172" s="78" t="b">
        <f t="shared" si="1093"/>
        <v>0</v>
      </c>
      <c r="AD1172" s="78" t="b">
        <f t="shared" si="1094"/>
        <v>0</v>
      </c>
      <c r="AE1172" s="78" t="b">
        <f t="shared" si="1095"/>
        <v>0</v>
      </c>
      <c r="AF1172" s="78" t="b">
        <f t="shared" si="1096"/>
        <v>0</v>
      </c>
      <c r="AG1172" s="78" t="b">
        <f t="shared" si="1097"/>
        <v>0</v>
      </c>
      <c r="AH1172" s="78" t="b">
        <f t="shared" si="1098"/>
        <v>0</v>
      </c>
      <c r="AI1172" s="78" t="b">
        <f t="shared" si="1099"/>
        <v>0</v>
      </c>
      <c r="AJ1172" s="78" t="b">
        <f t="shared" si="1100"/>
        <v>0</v>
      </c>
      <c r="AK1172" s="78" t="b">
        <f t="shared" si="1101"/>
        <v>0</v>
      </c>
      <c r="AL1172" s="78" t="b">
        <f t="shared" si="1102"/>
        <v>0</v>
      </c>
      <c r="AM1172" s="78" t="b">
        <f t="shared" si="1103"/>
        <v>0</v>
      </c>
      <c r="AN1172" s="78" t="b">
        <f t="shared" si="1104"/>
        <v>0</v>
      </c>
      <c r="AO1172" s="78" t="b">
        <f t="shared" si="1105"/>
        <v>0</v>
      </c>
    </row>
    <row r="1173" spans="7:41" x14ac:dyDescent="0.35">
      <c r="G1173" s="77">
        <f t="shared" si="1075"/>
        <v>0</v>
      </c>
      <c r="H1173" s="78">
        <f t="shared" si="1076"/>
        <v>0</v>
      </c>
      <c r="I1173" s="77">
        <f t="shared" si="1077"/>
        <v>0</v>
      </c>
      <c r="J1173" s="78">
        <f t="shared" si="1078"/>
        <v>0</v>
      </c>
      <c r="K1173" s="78" t="str">
        <f t="shared" si="1079"/>
        <v>1900-01-00 00:0:00</v>
      </c>
      <c r="L1173" s="78" t="str">
        <f t="shared" si="1080"/>
        <v>1900-01-00 00:0:00</v>
      </c>
      <c r="M1173" s="79">
        <f t="shared" si="1081"/>
        <v>0</v>
      </c>
      <c r="N1173">
        <f t="shared" si="1106"/>
        <v>1</v>
      </c>
      <c r="O1173" t="str">
        <f>IFERROR(_xlfn.XLOOKUP(A1173,HC!A:A,HC!C:C),"")</f>
        <v>Workforce</v>
      </c>
      <c r="R1173" s="78" t="b">
        <f t="shared" si="1082"/>
        <v>0</v>
      </c>
      <c r="S1173" s="78" t="b">
        <f t="shared" si="1083"/>
        <v>0</v>
      </c>
      <c r="T1173" s="78" t="b">
        <f t="shared" si="1084"/>
        <v>0</v>
      </c>
      <c r="U1173" s="78" t="b">
        <f t="shared" si="1085"/>
        <v>0</v>
      </c>
      <c r="V1173" s="78" t="b">
        <f t="shared" si="1086"/>
        <v>0</v>
      </c>
      <c r="W1173" s="78" t="b">
        <f t="shared" si="1087"/>
        <v>0</v>
      </c>
      <c r="X1173" s="78" t="b">
        <f t="shared" si="1088"/>
        <v>0</v>
      </c>
      <c r="Y1173" s="78" t="b">
        <f t="shared" si="1089"/>
        <v>0</v>
      </c>
      <c r="Z1173" s="78" t="b">
        <f t="shared" si="1090"/>
        <v>0</v>
      </c>
      <c r="AA1173" s="78" t="b">
        <f t="shared" si="1091"/>
        <v>0</v>
      </c>
      <c r="AB1173" s="78" t="b">
        <f t="shared" si="1092"/>
        <v>0</v>
      </c>
      <c r="AC1173" s="78" t="b">
        <f t="shared" si="1093"/>
        <v>0</v>
      </c>
      <c r="AD1173" s="78" t="b">
        <f t="shared" si="1094"/>
        <v>0</v>
      </c>
      <c r="AE1173" s="78" t="b">
        <f t="shared" si="1095"/>
        <v>0</v>
      </c>
      <c r="AF1173" s="78" t="b">
        <f t="shared" si="1096"/>
        <v>0</v>
      </c>
      <c r="AG1173" s="78" t="b">
        <f t="shared" si="1097"/>
        <v>0</v>
      </c>
      <c r="AH1173" s="78" t="b">
        <f t="shared" si="1098"/>
        <v>0</v>
      </c>
      <c r="AI1173" s="78" t="b">
        <f t="shared" si="1099"/>
        <v>0</v>
      </c>
      <c r="AJ1173" s="78" t="b">
        <f t="shared" si="1100"/>
        <v>0</v>
      </c>
      <c r="AK1173" s="78" t="b">
        <f t="shared" si="1101"/>
        <v>0</v>
      </c>
      <c r="AL1173" s="78" t="b">
        <f t="shared" si="1102"/>
        <v>0</v>
      </c>
      <c r="AM1173" s="78" t="b">
        <f t="shared" si="1103"/>
        <v>0</v>
      </c>
      <c r="AN1173" s="78" t="b">
        <f t="shared" si="1104"/>
        <v>0</v>
      </c>
      <c r="AO1173" s="78" t="b">
        <f t="shared" si="1105"/>
        <v>0</v>
      </c>
    </row>
    <row r="1174" spans="7:41" x14ac:dyDescent="0.35">
      <c r="G1174" s="77">
        <f t="shared" si="1075"/>
        <v>0</v>
      </c>
      <c r="H1174" s="78">
        <f t="shared" si="1076"/>
        <v>0</v>
      </c>
      <c r="I1174" s="77">
        <f t="shared" si="1077"/>
        <v>0</v>
      </c>
      <c r="J1174" s="78">
        <f t="shared" si="1078"/>
        <v>0</v>
      </c>
      <c r="K1174" s="78" t="str">
        <f t="shared" si="1079"/>
        <v>1900-01-00 00:0:00</v>
      </c>
      <c r="L1174" s="78" t="str">
        <f t="shared" si="1080"/>
        <v>1900-01-00 00:0:00</v>
      </c>
      <c r="M1174" s="79">
        <f t="shared" si="1081"/>
        <v>0</v>
      </c>
      <c r="N1174">
        <f t="shared" si="1106"/>
        <v>1</v>
      </c>
      <c r="O1174" t="str">
        <f>IFERROR(_xlfn.XLOOKUP(A1174,HC!A:A,HC!C:C),"")</f>
        <v>Workforce</v>
      </c>
      <c r="R1174" s="78" t="b">
        <f t="shared" si="1082"/>
        <v>0</v>
      </c>
      <c r="S1174" s="78" t="b">
        <f t="shared" si="1083"/>
        <v>0</v>
      </c>
      <c r="T1174" s="78" t="b">
        <f t="shared" si="1084"/>
        <v>0</v>
      </c>
      <c r="U1174" s="78" t="b">
        <f t="shared" si="1085"/>
        <v>0</v>
      </c>
      <c r="V1174" s="78" t="b">
        <f t="shared" si="1086"/>
        <v>0</v>
      </c>
      <c r="W1174" s="78" t="b">
        <f t="shared" si="1087"/>
        <v>0</v>
      </c>
      <c r="X1174" s="78" t="b">
        <f t="shared" si="1088"/>
        <v>0</v>
      </c>
      <c r="Y1174" s="78" t="b">
        <f t="shared" si="1089"/>
        <v>0</v>
      </c>
      <c r="Z1174" s="78" t="b">
        <f t="shared" si="1090"/>
        <v>0</v>
      </c>
      <c r="AA1174" s="78" t="b">
        <f t="shared" si="1091"/>
        <v>0</v>
      </c>
      <c r="AB1174" s="78" t="b">
        <f t="shared" si="1092"/>
        <v>0</v>
      </c>
      <c r="AC1174" s="78" t="b">
        <f t="shared" si="1093"/>
        <v>0</v>
      </c>
      <c r="AD1174" s="78" t="b">
        <f t="shared" si="1094"/>
        <v>0</v>
      </c>
      <c r="AE1174" s="78" t="b">
        <f t="shared" si="1095"/>
        <v>0</v>
      </c>
      <c r="AF1174" s="78" t="b">
        <f t="shared" si="1096"/>
        <v>0</v>
      </c>
      <c r="AG1174" s="78" t="b">
        <f t="shared" si="1097"/>
        <v>0</v>
      </c>
      <c r="AH1174" s="78" t="b">
        <f t="shared" si="1098"/>
        <v>0</v>
      </c>
      <c r="AI1174" s="78" t="b">
        <f t="shared" si="1099"/>
        <v>0</v>
      </c>
      <c r="AJ1174" s="78" t="b">
        <f t="shared" si="1100"/>
        <v>0</v>
      </c>
      <c r="AK1174" s="78" t="b">
        <f t="shared" si="1101"/>
        <v>0</v>
      </c>
      <c r="AL1174" s="78" t="b">
        <f t="shared" si="1102"/>
        <v>0</v>
      </c>
      <c r="AM1174" s="78" t="b">
        <f t="shared" si="1103"/>
        <v>0</v>
      </c>
      <c r="AN1174" s="78" t="b">
        <f t="shared" si="1104"/>
        <v>0</v>
      </c>
      <c r="AO1174" s="78" t="b">
        <f t="shared" si="1105"/>
        <v>0</v>
      </c>
    </row>
    <row r="1175" spans="7:41" x14ac:dyDescent="0.35">
      <c r="G1175" s="77">
        <f t="shared" si="1075"/>
        <v>0</v>
      </c>
      <c r="H1175" s="78">
        <f t="shared" si="1076"/>
        <v>0</v>
      </c>
      <c r="I1175" s="77">
        <f t="shared" si="1077"/>
        <v>0</v>
      </c>
      <c r="J1175" s="78">
        <f t="shared" si="1078"/>
        <v>0</v>
      </c>
      <c r="K1175" s="78" t="str">
        <f t="shared" si="1079"/>
        <v>1900-01-00 00:0:00</v>
      </c>
      <c r="L1175" s="78" t="str">
        <f t="shared" si="1080"/>
        <v>1900-01-00 00:0:00</v>
      </c>
      <c r="M1175" s="79">
        <f t="shared" si="1081"/>
        <v>0</v>
      </c>
      <c r="N1175">
        <f t="shared" si="1106"/>
        <v>1</v>
      </c>
      <c r="O1175" t="str">
        <f>IFERROR(_xlfn.XLOOKUP(A1175,HC!A:A,HC!C:C),"")</f>
        <v>Workforce</v>
      </c>
      <c r="R1175" s="78" t="b">
        <f t="shared" si="1082"/>
        <v>0</v>
      </c>
      <c r="S1175" s="78" t="b">
        <f t="shared" si="1083"/>
        <v>0</v>
      </c>
      <c r="T1175" s="78" t="b">
        <f t="shared" si="1084"/>
        <v>0</v>
      </c>
      <c r="U1175" s="78" t="b">
        <f t="shared" si="1085"/>
        <v>0</v>
      </c>
      <c r="V1175" s="78" t="b">
        <f t="shared" si="1086"/>
        <v>0</v>
      </c>
      <c r="W1175" s="78" t="b">
        <f t="shared" si="1087"/>
        <v>0</v>
      </c>
      <c r="X1175" s="78" t="b">
        <f t="shared" si="1088"/>
        <v>0</v>
      </c>
      <c r="Y1175" s="78" t="b">
        <f t="shared" si="1089"/>
        <v>0</v>
      </c>
      <c r="Z1175" s="78" t="b">
        <f t="shared" si="1090"/>
        <v>0</v>
      </c>
      <c r="AA1175" s="78" t="b">
        <f t="shared" si="1091"/>
        <v>0</v>
      </c>
      <c r="AB1175" s="78" t="b">
        <f t="shared" si="1092"/>
        <v>0</v>
      </c>
      <c r="AC1175" s="78" t="b">
        <f t="shared" si="1093"/>
        <v>0</v>
      </c>
      <c r="AD1175" s="78" t="b">
        <f t="shared" si="1094"/>
        <v>0</v>
      </c>
      <c r="AE1175" s="78" t="b">
        <f t="shared" si="1095"/>
        <v>0</v>
      </c>
      <c r="AF1175" s="78" t="b">
        <f t="shared" si="1096"/>
        <v>0</v>
      </c>
      <c r="AG1175" s="78" t="b">
        <f t="shared" si="1097"/>
        <v>0</v>
      </c>
      <c r="AH1175" s="78" t="b">
        <f t="shared" si="1098"/>
        <v>0</v>
      </c>
      <c r="AI1175" s="78" t="b">
        <f t="shared" si="1099"/>
        <v>0</v>
      </c>
      <c r="AJ1175" s="78" t="b">
        <f t="shared" si="1100"/>
        <v>0</v>
      </c>
      <c r="AK1175" s="78" t="b">
        <f t="shared" si="1101"/>
        <v>0</v>
      </c>
      <c r="AL1175" s="78" t="b">
        <f t="shared" si="1102"/>
        <v>0</v>
      </c>
      <c r="AM1175" s="78" t="b">
        <f t="shared" si="1103"/>
        <v>0</v>
      </c>
      <c r="AN1175" s="78" t="b">
        <f t="shared" si="1104"/>
        <v>0</v>
      </c>
      <c r="AO1175" s="78" t="b">
        <f t="shared" si="1105"/>
        <v>0</v>
      </c>
    </row>
    <row r="1176" spans="7:41" x14ac:dyDescent="0.35">
      <c r="G1176" s="77">
        <f t="shared" si="1075"/>
        <v>0</v>
      </c>
      <c r="H1176" s="78">
        <f t="shared" si="1076"/>
        <v>0</v>
      </c>
      <c r="I1176" s="77">
        <f t="shared" si="1077"/>
        <v>0</v>
      </c>
      <c r="J1176" s="78">
        <f t="shared" si="1078"/>
        <v>0</v>
      </c>
      <c r="K1176" s="78" t="str">
        <f t="shared" si="1079"/>
        <v>1900-01-00 00:0:00</v>
      </c>
      <c r="L1176" s="78" t="str">
        <f t="shared" si="1080"/>
        <v>1900-01-00 00:0:00</v>
      </c>
      <c r="M1176" s="79">
        <f t="shared" si="1081"/>
        <v>0</v>
      </c>
      <c r="N1176">
        <f t="shared" si="1106"/>
        <v>1</v>
      </c>
      <c r="O1176" t="str">
        <f>IFERROR(_xlfn.XLOOKUP(A1176,HC!A:A,HC!C:C),"")</f>
        <v>Workforce</v>
      </c>
      <c r="R1176" s="78" t="b">
        <f t="shared" si="1082"/>
        <v>0</v>
      </c>
      <c r="S1176" s="78" t="b">
        <f t="shared" si="1083"/>
        <v>0</v>
      </c>
      <c r="T1176" s="78" t="b">
        <f t="shared" si="1084"/>
        <v>0</v>
      </c>
      <c r="U1176" s="78" t="b">
        <f t="shared" si="1085"/>
        <v>0</v>
      </c>
      <c r="V1176" s="78" t="b">
        <f t="shared" si="1086"/>
        <v>0</v>
      </c>
      <c r="W1176" s="78" t="b">
        <f t="shared" si="1087"/>
        <v>0</v>
      </c>
      <c r="X1176" s="78" t="b">
        <f t="shared" si="1088"/>
        <v>0</v>
      </c>
      <c r="Y1176" s="78" t="b">
        <f t="shared" si="1089"/>
        <v>0</v>
      </c>
      <c r="Z1176" s="78" t="b">
        <f t="shared" si="1090"/>
        <v>0</v>
      </c>
      <c r="AA1176" s="78" t="b">
        <f t="shared" si="1091"/>
        <v>0</v>
      </c>
      <c r="AB1176" s="78" t="b">
        <f t="shared" si="1092"/>
        <v>0</v>
      </c>
      <c r="AC1176" s="78" t="b">
        <f t="shared" si="1093"/>
        <v>0</v>
      </c>
      <c r="AD1176" s="78" t="b">
        <f t="shared" si="1094"/>
        <v>0</v>
      </c>
      <c r="AE1176" s="78" t="b">
        <f t="shared" si="1095"/>
        <v>0</v>
      </c>
      <c r="AF1176" s="78" t="b">
        <f t="shared" si="1096"/>
        <v>0</v>
      </c>
      <c r="AG1176" s="78" t="b">
        <f t="shared" si="1097"/>
        <v>0</v>
      </c>
      <c r="AH1176" s="78" t="b">
        <f t="shared" si="1098"/>
        <v>0</v>
      </c>
      <c r="AI1176" s="78" t="b">
        <f t="shared" si="1099"/>
        <v>0</v>
      </c>
      <c r="AJ1176" s="78" t="b">
        <f t="shared" si="1100"/>
        <v>0</v>
      </c>
      <c r="AK1176" s="78" t="b">
        <f t="shared" si="1101"/>
        <v>0</v>
      </c>
      <c r="AL1176" s="78" t="b">
        <f t="shared" si="1102"/>
        <v>0</v>
      </c>
      <c r="AM1176" s="78" t="b">
        <f t="shared" si="1103"/>
        <v>0</v>
      </c>
      <c r="AN1176" s="78" t="b">
        <f t="shared" si="1104"/>
        <v>0</v>
      </c>
      <c r="AO1176" s="78" t="b">
        <f t="shared" si="1105"/>
        <v>0</v>
      </c>
    </row>
    <row r="1177" spans="7:41" x14ac:dyDescent="0.35">
      <c r="G1177" s="77">
        <f t="shared" si="1075"/>
        <v>0</v>
      </c>
      <c r="H1177" s="78">
        <f t="shared" si="1076"/>
        <v>0</v>
      </c>
      <c r="I1177" s="77">
        <f t="shared" si="1077"/>
        <v>0</v>
      </c>
      <c r="J1177" s="78">
        <f t="shared" si="1078"/>
        <v>0</v>
      </c>
      <c r="K1177" s="78" t="str">
        <f t="shared" si="1079"/>
        <v>1900-01-00 00:0:00</v>
      </c>
      <c r="L1177" s="78" t="str">
        <f t="shared" si="1080"/>
        <v>1900-01-00 00:0:00</v>
      </c>
      <c r="M1177" s="79">
        <f t="shared" si="1081"/>
        <v>0</v>
      </c>
      <c r="N1177">
        <f t="shared" si="1106"/>
        <v>1</v>
      </c>
      <c r="O1177" t="str">
        <f>IFERROR(_xlfn.XLOOKUP(A1177,HC!A:A,HC!C:C),"")</f>
        <v>Workforce</v>
      </c>
      <c r="R1177" s="78" t="b">
        <f t="shared" si="1082"/>
        <v>0</v>
      </c>
      <c r="S1177" s="78" t="b">
        <f t="shared" si="1083"/>
        <v>0</v>
      </c>
      <c r="T1177" s="78" t="b">
        <f t="shared" si="1084"/>
        <v>0</v>
      </c>
      <c r="U1177" s="78" t="b">
        <f t="shared" si="1085"/>
        <v>0</v>
      </c>
      <c r="V1177" s="78" t="b">
        <f t="shared" si="1086"/>
        <v>0</v>
      </c>
      <c r="W1177" s="78" t="b">
        <f t="shared" si="1087"/>
        <v>0</v>
      </c>
      <c r="X1177" s="78" t="b">
        <f t="shared" si="1088"/>
        <v>0</v>
      </c>
      <c r="Y1177" s="78" t="b">
        <f t="shared" si="1089"/>
        <v>0</v>
      </c>
      <c r="Z1177" s="78" t="b">
        <f t="shared" si="1090"/>
        <v>0</v>
      </c>
      <c r="AA1177" s="78" t="b">
        <f t="shared" si="1091"/>
        <v>0</v>
      </c>
      <c r="AB1177" s="78" t="b">
        <f t="shared" si="1092"/>
        <v>0</v>
      </c>
      <c r="AC1177" s="78" t="b">
        <f t="shared" si="1093"/>
        <v>0</v>
      </c>
      <c r="AD1177" s="78" t="b">
        <f t="shared" si="1094"/>
        <v>0</v>
      </c>
      <c r="AE1177" s="78" t="b">
        <f t="shared" si="1095"/>
        <v>0</v>
      </c>
      <c r="AF1177" s="78" t="b">
        <f t="shared" si="1096"/>
        <v>0</v>
      </c>
      <c r="AG1177" s="78" t="b">
        <f t="shared" si="1097"/>
        <v>0</v>
      </c>
      <c r="AH1177" s="78" t="b">
        <f t="shared" si="1098"/>
        <v>0</v>
      </c>
      <c r="AI1177" s="78" t="b">
        <f t="shared" si="1099"/>
        <v>0</v>
      </c>
      <c r="AJ1177" s="78" t="b">
        <f t="shared" si="1100"/>
        <v>0</v>
      </c>
      <c r="AK1177" s="78" t="b">
        <f t="shared" si="1101"/>
        <v>0</v>
      </c>
      <c r="AL1177" s="78" t="b">
        <f t="shared" si="1102"/>
        <v>0</v>
      </c>
      <c r="AM1177" s="78" t="b">
        <f t="shared" si="1103"/>
        <v>0</v>
      </c>
      <c r="AN1177" s="78" t="b">
        <f t="shared" si="1104"/>
        <v>0</v>
      </c>
      <c r="AO1177" s="78" t="b">
        <f t="shared" si="1105"/>
        <v>0</v>
      </c>
    </row>
    <row r="1178" spans="7:41" x14ac:dyDescent="0.35">
      <c r="G1178" s="77">
        <f t="shared" si="1075"/>
        <v>0</v>
      </c>
      <c r="H1178" s="78">
        <f t="shared" si="1076"/>
        <v>0</v>
      </c>
      <c r="I1178" s="77">
        <f t="shared" si="1077"/>
        <v>0</v>
      </c>
      <c r="J1178" s="78">
        <f t="shared" si="1078"/>
        <v>0</v>
      </c>
      <c r="K1178" s="78" t="str">
        <f t="shared" si="1079"/>
        <v>1900-01-00 00:0:00</v>
      </c>
      <c r="L1178" s="78" t="str">
        <f t="shared" si="1080"/>
        <v>1900-01-00 00:0:00</v>
      </c>
      <c r="M1178" s="79">
        <f t="shared" si="1081"/>
        <v>0</v>
      </c>
      <c r="N1178">
        <f t="shared" si="1106"/>
        <v>1</v>
      </c>
      <c r="O1178" t="str">
        <f>IFERROR(_xlfn.XLOOKUP(A1178,HC!A:A,HC!C:C),"")</f>
        <v>Workforce</v>
      </c>
      <c r="R1178" s="78" t="b">
        <f t="shared" si="1082"/>
        <v>0</v>
      </c>
      <c r="S1178" s="78" t="b">
        <f t="shared" si="1083"/>
        <v>0</v>
      </c>
      <c r="T1178" s="78" t="b">
        <f t="shared" si="1084"/>
        <v>0</v>
      </c>
      <c r="U1178" s="78" t="b">
        <f t="shared" si="1085"/>
        <v>0</v>
      </c>
      <c r="V1178" s="78" t="b">
        <f t="shared" si="1086"/>
        <v>0</v>
      </c>
      <c r="W1178" s="78" t="b">
        <f t="shared" si="1087"/>
        <v>0</v>
      </c>
      <c r="X1178" s="78" t="b">
        <f t="shared" si="1088"/>
        <v>0</v>
      </c>
      <c r="Y1178" s="78" t="b">
        <f t="shared" si="1089"/>
        <v>0</v>
      </c>
      <c r="Z1178" s="78" t="b">
        <f t="shared" si="1090"/>
        <v>0</v>
      </c>
      <c r="AA1178" s="78" t="b">
        <f t="shared" si="1091"/>
        <v>0</v>
      </c>
      <c r="AB1178" s="78" t="b">
        <f t="shared" si="1092"/>
        <v>0</v>
      </c>
      <c r="AC1178" s="78" t="b">
        <f t="shared" si="1093"/>
        <v>0</v>
      </c>
      <c r="AD1178" s="78" t="b">
        <f t="shared" si="1094"/>
        <v>0</v>
      </c>
      <c r="AE1178" s="78" t="b">
        <f t="shared" si="1095"/>
        <v>0</v>
      </c>
      <c r="AF1178" s="78" t="b">
        <f t="shared" si="1096"/>
        <v>0</v>
      </c>
      <c r="AG1178" s="78" t="b">
        <f t="shared" si="1097"/>
        <v>0</v>
      </c>
      <c r="AH1178" s="78" t="b">
        <f t="shared" si="1098"/>
        <v>0</v>
      </c>
      <c r="AI1178" s="78" t="b">
        <f t="shared" si="1099"/>
        <v>0</v>
      </c>
      <c r="AJ1178" s="78" t="b">
        <f t="shared" si="1100"/>
        <v>0</v>
      </c>
      <c r="AK1178" s="78" t="b">
        <f t="shared" si="1101"/>
        <v>0</v>
      </c>
      <c r="AL1178" s="78" t="b">
        <f t="shared" si="1102"/>
        <v>0</v>
      </c>
      <c r="AM1178" s="78" t="b">
        <f t="shared" si="1103"/>
        <v>0</v>
      </c>
      <c r="AN1178" s="78" t="b">
        <f t="shared" si="1104"/>
        <v>0</v>
      </c>
      <c r="AO1178" s="78" t="b">
        <f t="shared" si="1105"/>
        <v>0</v>
      </c>
    </row>
    <row r="1179" spans="7:41" x14ac:dyDescent="0.35">
      <c r="G1179" s="77">
        <f t="shared" si="1075"/>
        <v>0</v>
      </c>
      <c r="H1179" s="78">
        <f t="shared" si="1076"/>
        <v>0</v>
      </c>
      <c r="I1179" s="77">
        <f t="shared" si="1077"/>
        <v>0</v>
      </c>
      <c r="J1179" s="78">
        <f t="shared" si="1078"/>
        <v>0</v>
      </c>
      <c r="K1179" s="78" t="str">
        <f t="shared" si="1079"/>
        <v>1900-01-00 00:0:00</v>
      </c>
      <c r="L1179" s="78" t="str">
        <f t="shared" si="1080"/>
        <v>1900-01-00 00:0:00</v>
      </c>
      <c r="M1179" s="79">
        <f t="shared" si="1081"/>
        <v>0</v>
      </c>
      <c r="N1179">
        <f t="shared" si="1106"/>
        <v>1</v>
      </c>
      <c r="O1179" t="str">
        <f>IFERROR(_xlfn.XLOOKUP(A1179,HC!A:A,HC!C:C),"")</f>
        <v>Workforce</v>
      </c>
      <c r="R1179" s="78" t="b">
        <f t="shared" si="1082"/>
        <v>0</v>
      </c>
      <c r="S1179" s="78" t="b">
        <f t="shared" si="1083"/>
        <v>0</v>
      </c>
      <c r="T1179" s="78" t="b">
        <f t="shared" si="1084"/>
        <v>0</v>
      </c>
      <c r="U1179" s="78" t="b">
        <f t="shared" si="1085"/>
        <v>0</v>
      </c>
      <c r="V1179" s="78" t="b">
        <f t="shared" si="1086"/>
        <v>0</v>
      </c>
      <c r="W1179" s="78" t="b">
        <f t="shared" si="1087"/>
        <v>0</v>
      </c>
      <c r="X1179" s="78" t="b">
        <f t="shared" si="1088"/>
        <v>0</v>
      </c>
      <c r="Y1179" s="78" t="b">
        <f t="shared" si="1089"/>
        <v>0</v>
      </c>
      <c r="Z1179" s="78" t="b">
        <f t="shared" si="1090"/>
        <v>0</v>
      </c>
      <c r="AA1179" s="78" t="b">
        <f t="shared" si="1091"/>
        <v>0</v>
      </c>
      <c r="AB1179" s="78" t="b">
        <f t="shared" si="1092"/>
        <v>0</v>
      </c>
      <c r="AC1179" s="78" t="b">
        <f t="shared" si="1093"/>
        <v>0</v>
      </c>
      <c r="AD1179" s="78" t="b">
        <f t="shared" si="1094"/>
        <v>0</v>
      </c>
      <c r="AE1179" s="78" t="b">
        <f t="shared" si="1095"/>
        <v>0</v>
      </c>
      <c r="AF1179" s="78" t="b">
        <f t="shared" si="1096"/>
        <v>0</v>
      </c>
      <c r="AG1179" s="78" t="b">
        <f t="shared" si="1097"/>
        <v>0</v>
      </c>
      <c r="AH1179" s="78" t="b">
        <f t="shared" si="1098"/>
        <v>0</v>
      </c>
      <c r="AI1179" s="78" t="b">
        <f t="shared" si="1099"/>
        <v>0</v>
      </c>
      <c r="AJ1179" s="78" t="b">
        <f t="shared" si="1100"/>
        <v>0</v>
      </c>
      <c r="AK1179" s="78" t="b">
        <f t="shared" si="1101"/>
        <v>0</v>
      </c>
      <c r="AL1179" s="78" t="b">
        <f t="shared" si="1102"/>
        <v>0</v>
      </c>
      <c r="AM1179" s="78" t="b">
        <f t="shared" si="1103"/>
        <v>0</v>
      </c>
      <c r="AN1179" s="78" t="b">
        <f t="shared" si="1104"/>
        <v>0</v>
      </c>
      <c r="AO1179" s="78" t="b">
        <f t="shared" si="1105"/>
        <v>0</v>
      </c>
    </row>
    <row r="1180" spans="7:41" x14ac:dyDescent="0.35">
      <c r="G1180" s="77">
        <f t="shared" si="1075"/>
        <v>0</v>
      </c>
      <c r="H1180" s="78">
        <f t="shared" si="1076"/>
        <v>0</v>
      </c>
      <c r="I1180" s="77">
        <f t="shared" si="1077"/>
        <v>0</v>
      </c>
      <c r="J1180" s="78">
        <f t="shared" si="1078"/>
        <v>0</v>
      </c>
      <c r="K1180" s="78" t="str">
        <f t="shared" si="1079"/>
        <v>1900-01-00 00:0:00</v>
      </c>
      <c r="L1180" s="78" t="str">
        <f t="shared" si="1080"/>
        <v>1900-01-00 00:0:00</v>
      </c>
      <c r="M1180" s="79">
        <f t="shared" si="1081"/>
        <v>0</v>
      </c>
      <c r="N1180">
        <f t="shared" si="1106"/>
        <v>1</v>
      </c>
      <c r="O1180" t="str">
        <f>IFERROR(_xlfn.XLOOKUP(A1180,HC!A:A,HC!C:C),"")</f>
        <v>Workforce</v>
      </c>
      <c r="R1180" s="78" t="b">
        <f t="shared" si="1082"/>
        <v>0</v>
      </c>
      <c r="S1180" s="78" t="b">
        <f t="shared" si="1083"/>
        <v>0</v>
      </c>
      <c r="T1180" s="78" t="b">
        <f t="shared" si="1084"/>
        <v>0</v>
      </c>
      <c r="U1180" s="78" t="b">
        <f t="shared" si="1085"/>
        <v>0</v>
      </c>
      <c r="V1180" s="78" t="b">
        <f t="shared" si="1086"/>
        <v>0</v>
      </c>
      <c r="W1180" s="78" t="b">
        <f t="shared" si="1087"/>
        <v>0</v>
      </c>
      <c r="X1180" s="78" t="b">
        <f t="shared" si="1088"/>
        <v>0</v>
      </c>
      <c r="Y1180" s="78" t="b">
        <f t="shared" si="1089"/>
        <v>0</v>
      </c>
      <c r="Z1180" s="78" t="b">
        <f t="shared" si="1090"/>
        <v>0</v>
      </c>
      <c r="AA1180" s="78" t="b">
        <f t="shared" si="1091"/>
        <v>0</v>
      </c>
      <c r="AB1180" s="78" t="b">
        <f t="shared" si="1092"/>
        <v>0</v>
      </c>
      <c r="AC1180" s="78" t="b">
        <f t="shared" si="1093"/>
        <v>0</v>
      </c>
      <c r="AD1180" s="78" t="b">
        <f t="shared" si="1094"/>
        <v>0</v>
      </c>
      <c r="AE1180" s="78" t="b">
        <f t="shared" si="1095"/>
        <v>0</v>
      </c>
      <c r="AF1180" s="78" t="b">
        <f t="shared" si="1096"/>
        <v>0</v>
      </c>
      <c r="AG1180" s="78" t="b">
        <f t="shared" si="1097"/>
        <v>0</v>
      </c>
      <c r="AH1180" s="78" t="b">
        <f t="shared" si="1098"/>
        <v>0</v>
      </c>
      <c r="AI1180" s="78" t="b">
        <f t="shared" si="1099"/>
        <v>0</v>
      </c>
      <c r="AJ1180" s="78" t="b">
        <f t="shared" si="1100"/>
        <v>0</v>
      </c>
      <c r="AK1180" s="78" t="b">
        <f t="shared" si="1101"/>
        <v>0</v>
      </c>
      <c r="AL1180" s="78" t="b">
        <f t="shared" si="1102"/>
        <v>0</v>
      </c>
      <c r="AM1180" s="78" t="b">
        <f t="shared" si="1103"/>
        <v>0</v>
      </c>
      <c r="AN1180" s="78" t="b">
        <f t="shared" si="1104"/>
        <v>0</v>
      </c>
      <c r="AO1180" s="78" t="b">
        <f t="shared" si="1105"/>
        <v>0</v>
      </c>
    </row>
    <row r="1181" spans="7:41" x14ac:dyDescent="0.35">
      <c r="G1181" s="77">
        <f t="shared" si="1075"/>
        <v>0</v>
      </c>
      <c r="H1181" s="78">
        <f t="shared" si="1076"/>
        <v>0</v>
      </c>
      <c r="I1181" s="77">
        <f t="shared" si="1077"/>
        <v>0</v>
      </c>
      <c r="J1181" s="78">
        <f t="shared" si="1078"/>
        <v>0</v>
      </c>
      <c r="K1181" s="78" t="str">
        <f t="shared" si="1079"/>
        <v>1900-01-00 00:0:00</v>
      </c>
      <c r="L1181" s="78" t="str">
        <f t="shared" si="1080"/>
        <v>1900-01-00 00:0:00</v>
      </c>
      <c r="M1181" s="79">
        <f t="shared" si="1081"/>
        <v>0</v>
      </c>
      <c r="N1181">
        <f t="shared" si="1106"/>
        <v>1</v>
      </c>
      <c r="O1181" t="str">
        <f>IFERROR(_xlfn.XLOOKUP(A1181,HC!A:A,HC!C:C),"")</f>
        <v>Workforce</v>
      </c>
      <c r="R1181" s="78" t="b">
        <f t="shared" si="1082"/>
        <v>0</v>
      </c>
      <c r="S1181" s="78" t="b">
        <f t="shared" si="1083"/>
        <v>0</v>
      </c>
      <c r="T1181" s="78" t="b">
        <f t="shared" si="1084"/>
        <v>0</v>
      </c>
      <c r="U1181" s="78" t="b">
        <f t="shared" si="1085"/>
        <v>0</v>
      </c>
      <c r="V1181" s="78" t="b">
        <f t="shared" si="1086"/>
        <v>0</v>
      </c>
      <c r="W1181" s="78" t="b">
        <f t="shared" si="1087"/>
        <v>0</v>
      </c>
      <c r="X1181" s="78" t="b">
        <f t="shared" si="1088"/>
        <v>0</v>
      </c>
      <c r="Y1181" s="78" t="b">
        <f t="shared" si="1089"/>
        <v>0</v>
      </c>
      <c r="Z1181" s="78" t="b">
        <f t="shared" si="1090"/>
        <v>0</v>
      </c>
      <c r="AA1181" s="78" t="b">
        <f t="shared" si="1091"/>
        <v>0</v>
      </c>
      <c r="AB1181" s="78" t="b">
        <f t="shared" si="1092"/>
        <v>0</v>
      </c>
      <c r="AC1181" s="78" t="b">
        <f t="shared" si="1093"/>
        <v>0</v>
      </c>
      <c r="AD1181" s="78" t="b">
        <f t="shared" si="1094"/>
        <v>0</v>
      </c>
      <c r="AE1181" s="78" t="b">
        <f t="shared" si="1095"/>
        <v>0</v>
      </c>
      <c r="AF1181" s="78" t="b">
        <f t="shared" si="1096"/>
        <v>0</v>
      </c>
      <c r="AG1181" s="78" t="b">
        <f t="shared" si="1097"/>
        <v>0</v>
      </c>
      <c r="AH1181" s="78" t="b">
        <f t="shared" si="1098"/>
        <v>0</v>
      </c>
      <c r="AI1181" s="78" t="b">
        <f t="shared" si="1099"/>
        <v>0</v>
      </c>
      <c r="AJ1181" s="78" t="b">
        <f t="shared" si="1100"/>
        <v>0</v>
      </c>
      <c r="AK1181" s="78" t="b">
        <f t="shared" si="1101"/>
        <v>0</v>
      </c>
      <c r="AL1181" s="78" t="b">
        <f t="shared" si="1102"/>
        <v>0</v>
      </c>
      <c r="AM1181" s="78" t="b">
        <f t="shared" si="1103"/>
        <v>0</v>
      </c>
      <c r="AN1181" s="78" t="b">
        <f t="shared" si="1104"/>
        <v>0</v>
      </c>
      <c r="AO1181" s="78" t="b">
        <f t="shared" si="1105"/>
        <v>0</v>
      </c>
    </row>
    <row r="1182" spans="7:41" x14ac:dyDescent="0.35">
      <c r="G1182" s="77">
        <f t="shared" si="1075"/>
        <v>0</v>
      </c>
      <c r="H1182" s="78">
        <f t="shared" si="1076"/>
        <v>0</v>
      </c>
      <c r="I1182" s="77">
        <f t="shared" si="1077"/>
        <v>0</v>
      </c>
      <c r="J1182" s="78">
        <f t="shared" si="1078"/>
        <v>0</v>
      </c>
      <c r="K1182" s="78" t="str">
        <f t="shared" si="1079"/>
        <v>1900-01-00 00:0:00</v>
      </c>
      <c r="L1182" s="78" t="str">
        <f t="shared" si="1080"/>
        <v>1900-01-00 00:0:00</v>
      </c>
      <c r="M1182" s="79">
        <f t="shared" si="1081"/>
        <v>0</v>
      </c>
      <c r="N1182">
        <f t="shared" si="1106"/>
        <v>1</v>
      </c>
      <c r="O1182" t="str">
        <f>IFERROR(_xlfn.XLOOKUP(A1182,HC!A:A,HC!C:C),"")</f>
        <v>Workforce</v>
      </c>
      <c r="R1182" s="78" t="b">
        <f t="shared" si="1082"/>
        <v>0</v>
      </c>
      <c r="S1182" s="78" t="b">
        <f t="shared" si="1083"/>
        <v>0</v>
      </c>
      <c r="T1182" s="78" t="b">
        <f t="shared" si="1084"/>
        <v>0</v>
      </c>
      <c r="U1182" s="78" t="b">
        <f t="shared" si="1085"/>
        <v>0</v>
      </c>
      <c r="V1182" s="78" t="b">
        <f t="shared" si="1086"/>
        <v>0</v>
      </c>
      <c r="W1182" s="78" t="b">
        <f t="shared" si="1087"/>
        <v>0</v>
      </c>
      <c r="X1182" s="78" t="b">
        <f t="shared" si="1088"/>
        <v>0</v>
      </c>
      <c r="Y1182" s="78" t="b">
        <f t="shared" si="1089"/>
        <v>0</v>
      </c>
      <c r="Z1182" s="78" t="b">
        <f t="shared" si="1090"/>
        <v>0</v>
      </c>
      <c r="AA1182" s="78" t="b">
        <f t="shared" si="1091"/>
        <v>0</v>
      </c>
      <c r="AB1182" s="78" t="b">
        <f t="shared" si="1092"/>
        <v>0</v>
      </c>
      <c r="AC1182" s="78" t="b">
        <f t="shared" si="1093"/>
        <v>0</v>
      </c>
      <c r="AD1182" s="78" t="b">
        <f t="shared" si="1094"/>
        <v>0</v>
      </c>
      <c r="AE1182" s="78" t="b">
        <f t="shared" si="1095"/>
        <v>0</v>
      </c>
      <c r="AF1182" s="78" t="b">
        <f t="shared" si="1096"/>
        <v>0</v>
      </c>
      <c r="AG1182" s="78" t="b">
        <f t="shared" si="1097"/>
        <v>0</v>
      </c>
      <c r="AH1182" s="78" t="b">
        <f t="shared" si="1098"/>
        <v>0</v>
      </c>
      <c r="AI1182" s="78" t="b">
        <f t="shared" si="1099"/>
        <v>0</v>
      </c>
      <c r="AJ1182" s="78" t="b">
        <f t="shared" si="1100"/>
        <v>0</v>
      </c>
      <c r="AK1182" s="78" t="b">
        <f t="shared" si="1101"/>
        <v>0</v>
      </c>
      <c r="AL1182" s="78" t="b">
        <f t="shared" si="1102"/>
        <v>0</v>
      </c>
      <c r="AM1182" s="78" t="b">
        <f t="shared" si="1103"/>
        <v>0</v>
      </c>
      <c r="AN1182" s="78" t="b">
        <f t="shared" si="1104"/>
        <v>0</v>
      </c>
      <c r="AO1182" s="78" t="b">
        <f t="shared" si="1105"/>
        <v>0</v>
      </c>
    </row>
    <row r="1183" spans="7:41" x14ac:dyDescent="0.35">
      <c r="G1183" s="77">
        <f t="shared" si="1075"/>
        <v>0</v>
      </c>
      <c r="H1183" s="78">
        <f t="shared" si="1076"/>
        <v>0</v>
      </c>
      <c r="I1183" s="77">
        <f t="shared" si="1077"/>
        <v>0</v>
      </c>
      <c r="J1183" s="78">
        <f t="shared" si="1078"/>
        <v>0</v>
      </c>
      <c r="K1183" s="78" t="str">
        <f t="shared" si="1079"/>
        <v>1900-01-00 00:0:00</v>
      </c>
      <c r="L1183" s="78" t="str">
        <f t="shared" si="1080"/>
        <v>1900-01-00 00:0:00</v>
      </c>
      <c r="M1183" s="79">
        <f t="shared" si="1081"/>
        <v>0</v>
      </c>
      <c r="N1183">
        <f t="shared" si="1106"/>
        <v>1</v>
      </c>
      <c r="O1183" t="str">
        <f>IFERROR(_xlfn.XLOOKUP(A1183,HC!A:A,HC!C:C),"")</f>
        <v>Workforce</v>
      </c>
      <c r="R1183" s="78" t="b">
        <f t="shared" si="1082"/>
        <v>0</v>
      </c>
      <c r="S1183" s="78" t="b">
        <f t="shared" si="1083"/>
        <v>0</v>
      </c>
      <c r="T1183" s="78" t="b">
        <f t="shared" si="1084"/>
        <v>0</v>
      </c>
      <c r="U1183" s="78" t="b">
        <f t="shared" si="1085"/>
        <v>0</v>
      </c>
      <c r="V1183" s="78" t="b">
        <f t="shared" si="1086"/>
        <v>0</v>
      </c>
      <c r="W1183" s="78" t="b">
        <f t="shared" si="1087"/>
        <v>0</v>
      </c>
      <c r="X1183" s="78" t="b">
        <f t="shared" si="1088"/>
        <v>0</v>
      </c>
      <c r="Y1183" s="78" t="b">
        <f t="shared" si="1089"/>
        <v>0</v>
      </c>
      <c r="Z1183" s="78" t="b">
        <f t="shared" si="1090"/>
        <v>0</v>
      </c>
      <c r="AA1183" s="78" t="b">
        <f t="shared" si="1091"/>
        <v>0</v>
      </c>
      <c r="AB1183" s="78" t="b">
        <f t="shared" si="1092"/>
        <v>0</v>
      </c>
      <c r="AC1183" s="78" t="b">
        <f t="shared" si="1093"/>
        <v>0</v>
      </c>
      <c r="AD1183" s="78" t="b">
        <f t="shared" si="1094"/>
        <v>0</v>
      </c>
      <c r="AE1183" s="78" t="b">
        <f t="shared" si="1095"/>
        <v>0</v>
      </c>
      <c r="AF1183" s="78" t="b">
        <f t="shared" si="1096"/>
        <v>0</v>
      </c>
      <c r="AG1183" s="78" t="b">
        <f t="shared" si="1097"/>
        <v>0</v>
      </c>
      <c r="AH1183" s="78" t="b">
        <f t="shared" si="1098"/>
        <v>0</v>
      </c>
      <c r="AI1183" s="78" t="b">
        <f t="shared" si="1099"/>
        <v>0</v>
      </c>
      <c r="AJ1183" s="78" t="b">
        <f t="shared" si="1100"/>
        <v>0</v>
      </c>
      <c r="AK1183" s="78" t="b">
        <f t="shared" si="1101"/>
        <v>0</v>
      </c>
      <c r="AL1183" s="78" t="b">
        <f t="shared" si="1102"/>
        <v>0</v>
      </c>
      <c r="AM1183" s="78" t="b">
        <f t="shared" si="1103"/>
        <v>0</v>
      </c>
      <c r="AN1183" s="78" t="b">
        <f t="shared" si="1104"/>
        <v>0</v>
      </c>
      <c r="AO1183" s="78" t="b">
        <f t="shared" si="1105"/>
        <v>0</v>
      </c>
    </row>
    <row r="1184" spans="7:41" x14ac:dyDescent="0.35">
      <c r="G1184" s="77">
        <f t="shared" si="1075"/>
        <v>0</v>
      </c>
      <c r="H1184" s="78">
        <f t="shared" si="1076"/>
        <v>0</v>
      </c>
      <c r="I1184" s="77">
        <f t="shared" si="1077"/>
        <v>0</v>
      </c>
      <c r="J1184" s="78">
        <f t="shared" si="1078"/>
        <v>0</v>
      </c>
      <c r="K1184" s="78" t="str">
        <f t="shared" si="1079"/>
        <v>1900-01-00 00:0:00</v>
      </c>
      <c r="L1184" s="78" t="str">
        <f t="shared" si="1080"/>
        <v>1900-01-00 00:0:00</v>
      </c>
      <c r="M1184" s="79">
        <f t="shared" si="1081"/>
        <v>0</v>
      </c>
      <c r="N1184">
        <f t="shared" si="1106"/>
        <v>1</v>
      </c>
      <c r="O1184" t="str">
        <f>IFERROR(_xlfn.XLOOKUP(A1184,HC!A:A,HC!C:C),"")</f>
        <v>Workforce</v>
      </c>
      <c r="R1184" s="78" t="b">
        <f t="shared" si="1082"/>
        <v>0</v>
      </c>
      <c r="S1184" s="78" t="b">
        <f t="shared" si="1083"/>
        <v>0</v>
      </c>
      <c r="T1184" s="78" t="b">
        <f t="shared" si="1084"/>
        <v>0</v>
      </c>
      <c r="U1184" s="78" t="b">
        <f t="shared" si="1085"/>
        <v>0</v>
      </c>
      <c r="V1184" s="78" t="b">
        <f t="shared" si="1086"/>
        <v>0</v>
      </c>
      <c r="W1184" s="78" t="b">
        <f t="shared" si="1087"/>
        <v>0</v>
      </c>
      <c r="X1184" s="78" t="b">
        <f t="shared" si="1088"/>
        <v>0</v>
      </c>
      <c r="Y1184" s="78" t="b">
        <f t="shared" si="1089"/>
        <v>0</v>
      </c>
      <c r="Z1184" s="78" t="b">
        <f t="shared" si="1090"/>
        <v>0</v>
      </c>
      <c r="AA1184" s="78" t="b">
        <f t="shared" si="1091"/>
        <v>0</v>
      </c>
      <c r="AB1184" s="78" t="b">
        <f t="shared" si="1092"/>
        <v>0</v>
      </c>
      <c r="AC1184" s="78" t="b">
        <f t="shared" si="1093"/>
        <v>0</v>
      </c>
      <c r="AD1184" s="78" t="b">
        <f t="shared" si="1094"/>
        <v>0</v>
      </c>
      <c r="AE1184" s="78" t="b">
        <f t="shared" si="1095"/>
        <v>0</v>
      </c>
      <c r="AF1184" s="78" t="b">
        <f t="shared" si="1096"/>
        <v>0</v>
      </c>
      <c r="AG1184" s="78" t="b">
        <f t="shared" si="1097"/>
        <v>0</v>
      </c>
      <c r="AH1184" s="78" t="b">
        <f t="shared" si="1098"/>
        <v>0</v>
      </c>
      <c r="AI1184" s="78" t="b">
        <f t="shared" si="1099"/>
        <v>0</v>
      </c>
      <c r="AJ1184" s="78" t="b">
        <f t="shared" si="1100"/>
        <v>0</v>
      </c>
      <c r="AK1184" s="78" t="b">
        <f t="shared" si="1101"/>
        <v>0</v>
      </c>
      <c r="AL1184" s="78" t="b">
        <f t="shared" si="1102"/>
        <v>0</v>
      </c>
      <c r="AM1184" s="78" t="b">
        <f t="shared" si="1103"/>
        <v>0</v>
      </c>
      <c r="AN1184" s="78" t="b">
        <f t="shared" si="1104"/>
        <v>0</v>
      </c>
      <c r="AO1184" s="78" t="b">
        <f t="shared" si="1105"/>
        <v>0</v>
      </c>
    </row>
    <row r="1185" spans="7:41" x14ac:dyDescent="0.35">
      <c r="G1185" s="77">
        <f t="shared" si="1075"/>
        <v>0</v>
      </c>
      <c r="H1185" s="78">
        <f t="shared" si="1076"/>
        <v>0</v>
      </c>
      <c r="I1185" s="77">
        <f t="shared" si="1077"/>
        <v>0</v>
      </c>
      <c r="J1185" s="78">
        <f t="shared" si="1078"/>
        <v>0</v>
      </c>
      <c r="K1185" s="78" t="str">
        <f t="shared" si="1079"/>
        <v>1900-01-00 00:0:00</v>
      </c>
      <c r="L1185" s="78" t="str">
        <f t="shared" si="1080"/>
        <v>1900-01-00 00:0:00</v>
      </c>
      <c r="M1185" s="79">
        <f t="shared" si="1081"/>
        <v>0</v>
      </c>
      <c r="N1185">
        <f t="shared" si="1106"/>
        <v>1</v>
      </c>
      <c r="O1185" t="str">
        <f>IFERROR(_xlfn.XLOOKUP(A1185,HC!A:A,HC!C:C),"")</f>
        <v>Workforce</v>
      </c>
      <c r="R1185" s="78" t="b">
        <f t="shared" si="1082"/>
        <v>0</v>
      </c>
      <c r="S1185" s="78" t="b">
        <f t="shared" si="1083"/>
        <v>0</v>
      </c>
      <c r="T1185" s="78" t="b">
        <f t="shared" si="1084"/>
        <v>0</v>
      </c>
      <c r="U1185" s="78" t="b">
        <f t="shared" si="1085"/>
        <v>0</v>
      </c>
      <c r="V1185" s="78" t="b">
        <f t="shared" si="1086"/>
        <v>0</v>
      </c>
      <c r="W1185" s="78" t="b">
        <f t="shared" si="1087"/>
        <v>0</v>
      </c>
      <c r="X1185" s="78" t="b">
        <f t="shared" si="1088"/>
        <v>0</v>
      </c>
      <c r="Y1185" s="78" t="b">
        <f t="shared" si="1089"/>
        <v>0</v>
      </c>
      <c r="Z1185" s="78" t="b">
        <f t="shared" si="1090"/>
        <v>0</v>
      </c>
      <c r="AA1185" s="78" t="b">
        <f t="shared" si="1091"/>
        <v>0</v>
      </c>
      <c r="AB1185" s="78" t="b">
        <f t="shared" si="1092"/>
        <v>0</v>
      </c>
      <c r="AC1185" s="78" t="b">
        <f t="shared" si="1093"/>
        <v>0</v>
      </c>
      <c r="AD1185" s="78" t="b">
        <f t="shared" si="1094"/>
        <v>0</v>
      </c>
      <c r="AE1185" s="78" t="b">
        <f t="shared" si="1095"/>
        <v>0</v>
      </c>
      <c r="AF1185" s="78" t="b">
        <f t="shared" si="1096"/>
        <v>0</v>
      </c>
      <c r="AG1185" s="78" t="b">
        <f t="shared" si="1097"/>
        <v>0</v>
      </c>
      <c r="AH1185" s="78" t="b">
        <f t="shared" si="1098"/>
        <v>0</v>
      </c>
      <c r="AI1185" s="78" t="b">
        <f t="shared" si="1099"/>
        <v>0</v>
      </c>
      <c r="AJ1185" s="78" t="b">
        <f t="shared" si="1100"/>
        <v>0</v>
      </c>
      <c r="AK1185" s="78" t="b">
        <f t="shared" si="1101"/>
        <v>0</v>
      </c>
      <c r="AL1185" s="78" t="b">
        <f t="shared" si="1102"/>
        <v>0</v>
      </c>
      <c r="AM1185" s="78" t="b">
        <f t="shared" si="1103"/>
        <v>0</v>
      </c>
      <c r="AN1185" s="78" t="b">
        <f t="shared" si="1104"/>
        <v>0</v>
      </c>
      <c r="AO1185" s="78" t="b">
        <f t="shared" si="1105"/>
        <v>0</v>
      </c>
    </row>
    <row r="1186" spans="7:41" x14ac:dyDescent="0.35">
      <c r="G1186" s="77">
        <f t="shared" si="1075"/>
        <v>0</v>
      </c>
      <c r="H1186" s="78">
        <f t="shared" si="1076"/>
        <v>0</v>
      </c>
      <c r="I1186" s="77">
        <f t="shared" si="1077"/>
        <v>0</v>
      </c>
      <c r="J1186" s="78">
        <f t="shared" si="1078"/>
        <v>0</v>
      </c>
      <c r="K1186" s="78" t="str">
        <f t="shared" si="1079"/>
        <v>1900-01-00 00:0:00</v>
      </c>
      <c r="L1186" s="78" t="str">
        <f t="shared" si="1080"/>
        <v>1900-01-00 00:0:00</v>
      </c>
      <c r="M1186" s="79">
        <f t="shared" si="1081"/>
        <v>0</v>
      </c>
      <c r="N1186">
        <f t="shared" si="1106"/>
        <v>1</v>
      </c>
      <c r="O1186" t="str">
        <f>IFERROR(_xlfn.XLOOKUP(A1186,HC!A:A,HC!C:C),"")</f>
        <v>Workforce</v>
      </c>
      <c r="R1186" s="78" t="b">
        <f t="shared" si="1082"/>
        <v>0</v>
      </c>
      <c r="S1186" s="78" t="b">
        <f t="shared" si="1083"/>
        <v>0</v>
      </c>
      <c r="T1186" s="78" t="b">
        <f t="shared" si="1084"/>
        <v>0</v>
      </c>
      <c r="U1186" s="78" t="b">
        <f t="shared" si="1085"/>
        <v>0</v>
      </c>
      <c r="V1186" s="78" t="b">
        <f t="shared" si="1086"/>
        <v>0</v>
      </c>
      <c r="W1186" s="78" t="b">
        <f t="shared" si="1087"/>
        <v>0</v>
      </c>
      <c r="X1186" s="78" t="b">
        <f t="shared" si="1088"/>
        <v>0</v>
      </c>
      <c r="Y1186" s="78" t="b">
        <f t="shared" si="1089"/>
        <v>0</v>
      </c>
      <c r="Z1186" s="78" t="b">
        <f t="shared" si="1090"/>
        <v>0</v>
      </c>
      <c r="AA1186" s="78" t="b">
        <f t="shared" si="1091"/>
        <v>0</v>
      </c>
      <c r="AB1186" s="78" t="b">
        <f t="shared" si="1092"/>
        <v>0</v>
      </c>
      <c r="AC1186" s="78" t="b">
        <f t="shared" si="1093"/>
        <v>0</v>
      </c>
      <c r="AD1186" s="78" t="b">
        <f t="shared" si="1094"/>
        <v>0</v>
      </c>
      <c r="AE1186" s="78" t="b">
        <f t="shared" si="1095"/>
        <v>0</v>
      </c>
      <c r="AF1186" s="78" t="b">
        <f t="shared" si="1096"/>
        <v>0</v>
      </c>
      <c r="AG1186" s="78" t="b">
        <f t="shared" si="1097"/>
        <v>0</v>
      </c>
      <c r="AH1186" s="78" t="b">
        <f t="shared" si="1098"/>
        <v>0</v>
      </c>
      <c r="AI1186" s="78" t="b">
        <f t="shared" si="1099"/>
        <v>0</v>
      </c>
      <c r="AJ1186" s="78" t="b">
        <f t="shared" si="1100"/>
        <v>0</v>
      </c>
      <c r="AK1186" s="78" t="b">
        <f t="shared" si="1101"/>
        <v>0</v>
      </c>
      <c r="AL1186" s="78" t="b">
        <f t="shared" si="1102"/>
        <v>0</v>
      </c>
      <c r="AM1186" s="78" t="b">
        <f t="shared" si="1103"/>
        <v>0</v>
      </c>
      <c r="AN1186" s="78" t="b">
        <f t="shared" si="1104"/>
        <v>0</v>
      </c>
      <c r="AO1186" s="78" t="b">
        <f t="shared" si="1105"/>
        <v>0</v>
      </c>
    </row>
    <row r="1187" spans="7:41" x14ac:dyDescent="0.35">
      <c r="G1187" s="77">
        <f t="shared" si="1075"/>
        <v>0</v>
      </c>
      <c r="H1187" s="78">
        <f t="shared" si="1076"/>
        <v>0</v>
      </c>
      <c r="I1187" s="77">
        <f t="shared" si="1077"/>
        <v>0</v>
      </c>
      <c r="J1187" s="78">
        <f t="shared" si="1078"/>
        <v>0</v>
      </c>
      <c r="K1187" s="78" t="str">
        <f t="shared" si="1079"/>
        <v>1900-01-00 00:0:00</v>
      </c>
      <c r="L1187" s="78" t="str">
        <f t="shared" si="1080"/>
        <v>1900-01-00 00:0:00</v>
      </c>
      <c r="M1187" s="79">
        <f t="shared" si="1081"/>
        <v>0</v>
      </c>
      <c r="N1187">
        <f t="shared" si="1106"/>
        <v>1</v>
      </c>
      <c r="O1187" t="str">
        <f>IFERROR(_xlfn.XLOOKUP(A1187,HC!A:A,HC!C:C),"")</f>
        <v>Workforce</v>
      </c>
      <c r="R1187" s="78" t="b">
        <f t="shared" si="1082"/>
        <v>0</v>
      </c>
      <c r="S1187" s="78" t="b">
        <f t="shared" si="1083"/>
        <v>0</v>
      </c>
      <c r="T1187" s="78" t="b">
        <f t="shared" si="1084"/>
        <v>0</v>
      </c>
      <c r="U1187" s="78" t="b">
        <f t="shared" si="1085"/>
        <v>0</v>
      </c>
      <c r="V1187" s="78" t="b">
        <f t="shared" si="1086"/>
        <v>0</v>
      </c>
      <c r="W1187" s="78" t="b">
        <f t="shared" si="1087"/>
        <v>0</v>
      </c>
      <c r="X1187" s="78" t="b">
        <f t="shared" si="1088"/>
        <v>0</v>
      </c>
      <c r="Y1187" s="78" t="b">
        <f t="shared" si="1089"/>
        <v>0</v>
      </c>
      <c r="Z1187" s="78" t="b">
        <f t="shared" si="1090"/>
        <v>0</v>
      </c>
      <c r="AA1187" s="78" t="b">
        <f t="shared" si="1091"/>
        <v>0</v>
      </c>
      <c r="AB1187" s="78" t="b">
        <f t="shared" si="1092"/>
        <v>0</v>
      </c>
      <c r="AC1187" s="78" t="b">
        <f t="shared" si="1093"/>
        <v>0</v>
      </c>
      <c r="AD1187" s="78" t="b">
        <f t="shared" si="1094"/>
        <v>0</v>
      </c>
      <c r="AE1187" s="78" t="b">
        <f t="shared" si="1095"/>
        <v>0</v>
      </c>
      <c r="AF1187" s="78" t="b">
        <f t="shared" si="1096"/>
        <v>0</v>
      </c>
      <c r="AG1187" s="78" t="b">
        <f t="shared" si="1097"/>
        <v>0</v>
      </c>
      <c r="AH1187" s="78" t="b">
        <f t="shared" si="1098"/>
        <v>0</v>
      </c>
      <c r="AI1187" s="78" t="b">
        <f t="shared" si="1099"/>
        <v>0</v>
      </c>
      <c r="AJ1187" s="78" t="b">
        <f t="shared" si="1100"/>
        <v>0</v>
      </c>
      <c r="AK1187" s="78" t="b">
        <f t="shared" si="1101"/>
        <v>0</v>
      </c>
      <c r="AL1187" s="78" t="b">
        <f t="shared" si="1102"/>
        <v>0</v>
      </c>
      <c r="AM1187" s="78" t="b">
        <f t="shared" si="1103"/>
        <v>0</v>
      </c>
      <c r="AN1187" s="78" t="b">
        <f t="shared" si="1104"/>
        <v>0</v>
      </c>
      <c r="AO1187" s="78" t="b">
        <f t="shared" si="1105"/>
        <v>0</v>
      </c>
    </row>
    <row r="1188" spans="7:41" x14ac:dyDescent="0.35">
      <c r="G1188" s="77">
        <f t="shared" si="1075"/>
        <v>0</v>
      </c>
      <c r="H1188" s="78">
        <f t="shared" si="1076"/>
        <v>0</v>
      </c>
      <c r="I1188" s="77">
        <f t="shared" si="1077"/>
        <v>0</v>
      </c>
      <c r="J1188" s="78">
        <f t="shared" si="1078"/>
        <v>0</v>
      </c>
      <c r="K1188" s="78" t="str">
        <f t="shared" si="1079"/>
        <v>1900-01-00 00:0:00</v>
      </c>
      <c r="L1188" s="78" t="str">
        <f t="shared" si="1080"/>
        <v>1900-01-00 00:0:00</v>
      </c>
      <c r="M1188" s="79">
        <f t="shared" si="1081"/>
        <v>0</v>
      </c>
      <c r="N1188">
        <f t="shared" si="1106"/>
        <v>1</v>
      </c>
      <c r="O1188" t="str">
        <f>IFERROR(_xlfn.XLOOKUP(A1188,HC!A:A,HC!C:C),"")</f>
        <v>Workforce</v>
      </c>
      <c r="R1188" s="78" t="b">
        <f t="shared" si="1082"/>
        <v>0</v>
      </c>
      <c r="S1188" s="78" t="b">
        <f t="shared" si="1083"/>
        <v>0</v>
      </c>
      <c r="T1188" s="78" t="b">
        <f t="shared" si="1084"/>
        <v>0</v>
      </c>
      <c r="U1188" s="78" t="b">
        <f t="shared" si="1085"/>
        <v>0</v>
      </c>
      <c r="V1188" s="78" t="b">
        <f t="shared" si="1086"/>
        <v>0</v>
      </c>
      <c r="W1188" s="78" t="b">
        <f t="shared" si="1087"/>
        <v>0</v>
      </c>
      <c r="X1188" s="78" t="b">
        <f t="shared" si="1088"/>
        <v>0</v>
      </c>
      <c r="Y1188" s="78" t="b">
        <f t="shared" si="1089"/>
        <v>0</v>
      </c>
      <c r="Z1188" s="78" t="b">
        <f t="shared" si="1090"/>
        <v>0</v>
      </c>
      <c r="AA1188" s="78" t="b">
        <f t="shared" si="1091"/>
        <v>0</v>
      </c>
      <c r="AB1188" s="78" t="b">
        <f t="shared" si="1092"/>
        <v>0</v>
      </c>
      <c r="AC1188" s="78" t="b">
        <f t="shared" si="1093"/>
        <v>0</v>
      </c>
      <c r="AD1188" s="78" t="b">
        <f t="shared" si="1094"/>
        <v>0</v>
      </c>
      <c r="AE1188" s="78" t="b">
        <f t="shared" si="1095"/>
        <v>0</v>
      </c>
      <c r="AF1188" s="78" t="b">
        <f t="shared" si="1096"/>
        <v>0</v>
      </c>
      <c r="AG1188" s="78" t="b">
        <f t="shared" si="1097"/>
        <v>0</v>
      </c>
      <c r="AH1188" s="78" t="b">
        <f t="shared" si="1098"/>
        <v>0</v>
      </c>
      <c r="AI1188" s="78" t="b">
        <f t="shared" si="1099"/>
        <v>0</v>
      </c>
      <c r="AJ1188" s="78" t="b">
        <f t="shared" si="1100"/>
        <v>0</v>
      </c>
      <c r="AK1188" s="78" t="b">
        <f t="shared" si="1101"/>
        <v>0</v>
      </c>
      <c r="AL1188" s="78" t="b">
        <f t="shared" si="1102"/>
        <v>0</v>
      </c>
      <c r="AM1188" s="78" t="b">
        <f t="shared" si="1103"/>
        <v>0</v>
      </c>
      <c r="AN1188" s="78" t="b">
        <f t="shared" si="1104"/>
        <v>0</v>
      </c>
      <c r="AO1188" s="78" t="b">
        <f t="shared" si="1105"/>
        <v>0</v>
      </c>
    </row>
    <row r="1189" spans="7:41" x14ac:dyDescent="0.35">
      <c r="G1189" s="77">
        <f t="shared" si="1075"/>
        <v>0</v>
      </c>
      <c r="H1189" s="78">
        <f t="shared" si="1076"/>
        <v>0</v>
      </c>
      <c r="I1189" s="77">
        <f t="shared" si="1077"/>
        <v>0</v>
      </c>
      <c r="J1189" s="78">
        <f t="shared" si="1078"/>
        <v>0</v>
      </c>
      <c r="K1189" s="78" t="str">
        <f t="shared" si="1079"/>
        <v>1900-01-00 00:0:00</v>
      </c>
      <c r="L1189" s="78" t="str">
        <f t="shared" si="1080"/>
        <v>1900-01-00 00:0:00</v>
      </c>
      <c r="M1189" s="79">
        <f t="shared" si="1081"/>
        <v>0</v>
      </c>
      <c r="N1189">
        <f t="shared" si="1106"/>
        <v>1</v>
      </c>
      <c r="O1189" t="str">
        <f>IFERROR(_xlfn.XLOOKUP(A1189,HC!A:A,HC!C:C),"")</f>
        <v>Workforce</v>
      </c>
      <c r="R1189" s="78" t="b">
        <f t="shared" si="1082"/>
        <v>0</v>
      </c>
      <c r="S1189" s="78" t="b">
        <f t="shared" si="1083"/>
        <v>0</v>
      </c>
      <c r="T1189" s="78" t="b">
        <f t="shared" si="1084"/>
        <v>0</v>
      </c>
      <c r="U1189" s="78" t="b">
        <f t="shared" si="1085"/>
        <v>0</v>
      </c>
      <c r="V1189" s="78" t="b">
        <f t="shared" si="1086"/>
        <v>0</v>
      </c>
      <c r="W1189" s="78" t="b">
        <f t="shared" si="1087"/>
        <v>0</v>
      </c>
      <c r="X1189" s="78" t="b">
        <f t="shared" si="1088"/>
        <v>0</v>
      </c>
      <c r="Y1189" s="78" t="b">
        <f t="shared" si="1089"/>
        <v>0</v>
      </c>
      <c r="Z1189" s="78" t="b">
        <f t="shared" si="1090"/>
        <v>0</v>
      </c>
      <c r="AA1189" s="78" t="b">
        <f t="shared" si="1091"/>
        <v>0</v>
      </c>
      <c r="AB1189" s="78" t="b">
        <f t="shared" si="1092"/>
        <v>0</v>
      </c>
      <c r="AC1189" s="78" t="b">
        <f t="shared" si="1093"/>
        <v>0</v>
      </c>
      <c r="AD1189" s="78" t="b">
        <f t="shared" si="1094"/>
        <v>0</v>
      </c>
      <c r="AE1189" s="78" t="b">
        <f t="shared" si="1095"/>
        <v>0</v>
      </c>
      <c r="AF1189" s="78" t="b">
        <f t="shared" si="1096"/>
        <v>0</v>
      </c>
      <c r="AG1189" s="78" t="b">
        <f t="shared" si="1097"/>
        <v>0</v>
      </c>
      <c r="AH1189" s="78" t="b">
        <f t="shared" si="1098"/>
        <v>0</v>
      </c>
      <c r="AI1189" s="78" t="b">
        <f t="shared" si="1099"/>
        <v>0</v>
      </c>
      <c r="AJ1189" s="78" t="b">
        <f t="shared" si="1100"/>
        <v>0</v>
      </c>
      <c r="AK1189" s="78" t="b">
        <f t="shared" si="1101"/>
        <v>0</v>
      </c>
      <c r="AL1189" s="78" t="b">
        <f t="shared" si="1102"/>
        <v>0</v>
      </c>
      <c r="AM1189" s="78" t="b">
        <f t="shared" si="1103"/>
        <v>0</v>
      </c>
      <c r="AN1189" s="78" t="b">
        <f t="shared" si="1104"/>
        <v>0</v>
      </c>
      <c r="AO1189" s="78" t="b">
        <f t="shared" si="1105"/>
        <v>0</v>
      </c>
    </row>
    <row r="1190" spans="7:41" x14ac:dyDescent="0.35">
      <c r="G1190" s="77">
        <f t="shared" si="1075"/>
        <v>0</v>
      </c>
      <c r="H1190" s="78">
        <f t="shared" si="1076"/>
        <v>0</v>
      </c>
      <c r="I1190" s="77">
        <f t="shared" si="1077"/>
        <v>0</v>
      </c>
      <c r="J1190" s="78">
        <f t="shared" si="1078"/>
        <v>0</v>
      </c>
      <c r="K1190" s="78" t="str">
        <f t="shared" si="1079"/>
        <v>1900-01-00 00:0:00</v>
      </c>
      <c r="L1190" s="78" t="str">
        <f t="shared" si="1080"/>
        <v>1900-01-00 00:0:00</v>
      </c>
      <c r="M1190" s="79">
        <f t="shared" si="1081"/>
        <v>0</v>
      </c>
      <c r="N1190">
        <f t="shared" si="1106"/>
        <v>1</v>
      </c>
      <c r="O1190" t="str">
        <f>IFERROR(_xlfn.XLOOKUP(A1190,HC!A:A,HC!C:C),"")</f>
        <v>Workforce</v>
      </c>
      <c r="R1190" s="78" t="b">
        <f t="shared" si="1082"/>
        <v>0</v>
      </c>
      <c r="S1190" s="78" t="b">
        <f t="shared" si="1083"/>
        <v>0</v>
      </c>
      <c r="T1190" s="78" t="b">
        <f t="shared" si="1084"/>
        <v>0</v>
      </c>
      <c r="U1190" s="78" t="b">
        <f t="shared" si="1085"/>
        <v>0</v>
      </c>
      <c r="V1190" s="78" t="b">
        <f t="shared" si="1086"/>
        <v>0</v>
      </c>
      <c r="W1190" s="78" t="b">
        <f t="shared" si="1087"/>
        <v>0</v>
      </c>
      <c r="X1190" s="78" t="b">
        <f t="shared" si="1088"/>
        <v>0</v>
      </c>
      <c r="Y1190" s="78" t="b">
        <f t="shared" si="1089"/>
        <v>0</v>
      </c>
      <c r="Z1190" s="78" t="b">
        <f t="shared" si="1090"/>
        <v>0</v>
      </c>
      <c r="AA1190" s="78" t="b">
        <f t="shared" si="1091"/>
        <v>0</v>
      </c>
      <c r="AB1190" s="78" t="b">
        <f t="shared" si="1092"/>
        <v>0</v>
      </c>
      <c r="AC1190" s="78" t="b">
        <f t="shared" si="1093"/>
        <v>0</v>
      </c>
      <c r="AD1190" s="78" t="b">
        <f t="shared" si="1094"/>
        <v>0</v>
      </c>
      <c r="AE1190" s="78" t="b">
        <f t="shared" si="1095"/>
        <v>0</v>
      </c>
      <c r="AF1190" s="78" t="b">
        <f t="shared" si="1096"/>
        <v>0</v>
      </c>
      <c r="AG1190" s="78" t="b">
        <f t="shared" si="1097"/>
        <v>0</v>
      </c>
      <c r="AH1190" s="78" t="b">
        <f t="shared" si="1098"/>
        <v>0</v>
      </c>
      <c r="AI1190" s="78" t="b">
        <f t="shared" si="1099"/>
        <v>0</v>
      </c>
      <c r="AJ1190" s="78" t="b">
        <f t="shared" si="1100"/>
        <v>0</v>
      </c>
      <c r="AK1190" s="78" t="b">
        <f t="shared" si="1101"/>
        <v>0</v>
      </c>
      <c r="AL1190" s="78" t="b">
        <f t="shared" si="1102"/>
        <v>0</v>
      </c>
      <c r="AM1190" s="78" t="b">
        <f t="shared" si="1103"/>
        <v>0</v>
      </c>
      <c r="AN1190" s="78" t="b">
        <f t="shared" si="1104"/>
        <v>0</v>
      </c>
      <c r="AO1190" s="78" t="b">
        <f t="shared" si="1105"/>
        <v>0</v>
      </c>
    </row>
    <row r="1191" spans="7:41" x14ac:dyDescent="0.35">
      <c r="G1191" s="77">
        <f t="shared" si="1075"/>
        <v>0</v>
      </c>
      <c r="H1191" s="78">
        <f t="shared" si="1076"/>
        <v>0</v>
      </c>
      <c r="I1191" s="77">
        <f t="shared" si="1077"/>
        <v>0</v>
      </c>
      <c r="J1191" s="78">
        <f t="shared" si="1078"/>
        <v>0</v>
      </c>
      <c r="K1191" s="78" t="str">
        <f t="shared" si="1079"/>
        <v>1900-01-00 00:0:00</v>
      </c>
      <c r="L1191" s="78" t="str">
        <f t="shared" si="1080"/>
        <v>1900-01-00 00:0:00</v>
      </c>
      <c r="M1191" s="79">
        <f t="shared" si="1081"/>
        <v>0</v>
      </c>
      <c r="N1191">
        <f t="shared" si="1106"/>
        <v>1</v>
      </c>
      <c r="O1191" t="str">
        <f>IFERROR(_xlfn.XLOOKUP(A1191,HC!A:A,HC!C:C),"")</f>
        <v>Workforce</v>
      </c>
      <c r="R1191" s="78" t="b">
        <f t="shared" si="1082"/>
        <v>0</v>
      </c>
      <c r="S1191" s="78" t="b">
        <f t="shared" si="1083"/>
        <v>0</v>
      </c>
      <c r="T1191" s="78" t="b">
        <f t="shared" si="1084"/>
        <v>0</v>
      </c>
      <c r="U1191" s="78" t="b">
        <f t="shared" si="1085"/>
        <v>0</v>
      </c>
      <c r="V1191" s="78" t="b">
        <f t="shared" si="1086"/>
        <v>0</v>
      </c>
      <c r="W1191" s="78" t="b">
        <f t="shared" si="1087"/>
        <v>0</v>
      </c>
      <c r="X1191" s="78" t="b">
        <f t="shared" si="1088"/>
        <v>0</v>
      </c>
      <c r="Y1191" s="78" t="b">
        <f t="shared" si="1089"/>
        <v>0</v>
      </c>
      <c r="Z1191" s="78" t="b">
        <f t="shared" si="1090"/>
        <v>0</v>
      </c>
      <c r="AA1191" s="78" t="b">
        <f t="shared" si="1091"/>
        <v>0</v>
      </c>
      <c r="AB1191" s="78" t="b">
        <f t="shared" si="1092"/>
        <v>0</v>
      </c>
      <c r="AC1191" s="78" t="b">
        <f t="shared" si="1093"/>
        <v>0</v>
      </c>
      <c r="AD1191" s="78" t="b">
        <f t="shared" si="1094"/>
        <v>0</v>
      </c>
      <c r="AE1191" s="78" t="b">
        <f t="shared" si="1095"/>
        <v>0</v>
      </c>
      <c r="AF1191" s="78" t="b">
        <f t="shared" si="1096"/>
        <v>0</v>
      </c>
      <c r="AG1191" s="78" t="b">
        <f t="shared" si="1097"/>
        <v>0</v>
      </c>
      <c r="AH1191" s="78" t="b">
        <f t="shared" si="1098"/>
        <v>0</v>
      </c>
      <c r="AI1191" s="78" t="b">
        <f t="shared" si="1099"/>
        <v>0</v>
      </c>
      <c r="AJ1191" s="78" t="b">
        <f t="shared" si="1100"/>
        <v>0</v>
      </c>
      <c r="AK1191" s="78" t="b">
        <f t="shared" si="1101"/>
        <v>0</v>
      </c>
      <c r="AL1191" s="78" t="b">
        <f t="shared" si="1102"/>
        <v>0</v>
      </c>
      <c r="AM1191" s="78" t="b">
        <f t="shared" si="1103"/>
        <v>0</v>
      </c>
      <c r="AN1191" s="78" t="b">
        <f t="shared" si="1104"/>
        <v>0</v>
      </c>
      <c r="AO1191" s="78" t="b">
        <f t="shared" si="1105"/>
        <v>0</v>
      </c>
    </row>
    <row r="1192" spans="7:41" x14ac:dyDescent="0.35">
      <c r="G1192" s="77">
        <f t="shared" si="1075"/>
        <v>0</v>
      </c>
      <c r="H1192" s="78">
        <f t="shared" si="1076"/>
        <v>0</v>
      </c>
      <c r="I1192" s="77">
        <f t="shared" si="1077"/>
        <v>0</v>
      </c>
      <c r="J1192" s="78">
        <f t="shared" si="1078"/>
        <v>0</v>
      </c>
      <c r="K1192" s="78" t="str">
        <f t="shared" si="1079"/>
        <v>1900-01-00 00:0:00</v>
      </c>
      <c r="L1192" s="78" t="str">
        <f t="shared" si="1080"/>
        <v>1900-01-00 00:0:00</v>
      </c>
      <c r="M1192" s="79">
        <f t="shared" si="1081"/>
        <v>0</v>
      </c>
      <c r="N1192">
        <f t="shared" si="1106"/>
        <v>1</v>
      </c>
      <c r="O1192" t="str">
        <f>IFERROR(_xlfn.XLOOKUP(A1192,HC!A:A,HC!C:C),"")</f>
        <v>Workforce</v>
      </c>
      <c r="R1192" s="78" t="b">
        <f t="shared" si="1082"/>
        <v>0</v>
      </c>
      <c r="S1192" s="78" t="b">
        <f t="shared" si="1083"/>
        <v>0</v>
      </c>
      <c r="T1192" s="78" t="b">
        <f t="shared" si="1084"/>
        <v>0</v>
      </c>
      <c r="U1192" s="78" t="b">
        <f t="shared" si="1085"/>
        <v>0</v>
      </c>
      <c r="V1192" s="78" t="b">
        <f t="shared" si="1086"/>
        <v>0</v>
      </c>
      <c r="W1192" s="78" t="b">
        <f t="shared" si="1087"/>
        <v>0</v>
      </c>
      <c r="X1192" s="78" t="b">
        <f t="shared" si="1088"/>
        <v>0</v>
      </c>
      <c r="Y1192" s="78" t="b">
        <f t="shared" si="1089"/>
        <v>0</v>
      </c>
      <c r="Z1192" s="78" t="b">
        <f t="shared" si="1090"/>
        <v>0</v>
      </c>
      <c r="AA1192" s="78" t="b">
        <f t="shared" si="1091"/>
        <v>0</v>
      </c>
      <c r="AB1192" s="78" t="b">
        <f t="shared" si="1092"/>
        <v>0</v>
      </c>
      <c r="AC1192" s="78" t="b">
        <f t="shared" si="1093"/>
        <v>0</v>
      </c>
      <c r="AD1192" s="78" t="b">
        <f t="shared" si="1094"/>
        <v>0</v>
      </c>
      <c r="AE1192" s="78" t="b">
        <f t="shared" si="1095"/>
        <v>0</v>
      </c>
      <c r="AF1192" s="78" t="b">
        <f t="shared" si="1096"/>
        <v>0</v>
      </c>
      <c r="AG1192" s="78" t="b">
        <f t="shared" si="1097"/>
        <v>0</v>
      </c>
      <c r="AH1192" s="78" t="b">
        <f t="shared" si="1098"/>
        <v>0</v>
      </c>
      <c r="AI1192" s="78" t="b">
        <f t="shared" si="1099"/>
        <v>0</v>
      </c>
      <c r="AJ1192" s="78" t="b">
        <f t="shared" si="1100"/>
        <v>0</v>
      </c>
      <c r="AK1192" s="78" t="b">
        <f t="shared" si="1101"/>
        <v>0</v>
      </c>
      <c r="AL1192" s="78" t="b">
        <f t="shared" si="1102"/>
        <v>0</v>
      </c>
      <c r="AM1192" s="78" t="b">
        <f t="shared" si="1103"/>
        <v>0</v>
      </c>
      <c r="AN1192" s="78" t="b">
        <f t="shared" si="1104"/>
        <v>0</v>
      </c>
      <c r="AO1192" s="78" t="b">
        <f t="shared" si="1105"/>
        <v>0</v>
      </c>
    </row>
    <row r="1193" spans="7:41" x14ac:dyDescent="0.35">
      <c r="G1193" s="77">
        <f t="shared" si="1075"/>
        <v>0</v>
      </c>
      <c r="H1193" s="78">
        <f t="shared" si="1076"/>
        <v>0</v>
      </c>
      <c r="I1193" s="77">
        <f t="shared" si="1077"/>
        <v>0</v>
      </c>
      <c r="J1193" s="78">
        <f t="shared" si="1078"/>
        <v>0</v>
      </c>
      <c r="K1193" s="78" t="str">
        <f t="shared" si="1079"/>
        <v>1900-01-00 00:0:00</v>
      </c>
      <c r="L1193" s="78" t="str">
        <f t="shared" si="1080"/>
        <v>1900-01-00 00:0:00</v>
      </c>
      <c r="M1193" s="79">
        <f t="shared" si="1081"/>
        <v>0</v>
      </c>
      <c r="N1193">
        <f t="shared" si="1106"/>
        <v>1</v>
      </c>
      <c r="O1193" t="str">
        <f>IFERROR(_xlfn.XLOOKUP(A1193,HC!A:A,HC!C:C),"")</f>
        <v>Workforce</v>
      </c>
      <c r="R1193" s="78" t="b">
        <f t="shared" si="1082"/>
        <v>0</v>
      </c>
      <c r="S1193" s="78" t="b">
        <f t="shared" si="1083"/>
        <v>0</v>
      </c>
      <c r="T1193" s="78" t="b">
        <f t="shared" si="1084"/>
        <v>0</v>
      </c>
      <c r="U1193" s="78" t="b">
        <f t="shared" si="1085"/>
        <v>0</v>
      </c>
      <c r="V1193" s="78" t="b">
        <f t="shared" si="1086"/>
        <v>0</v>
      </c>
      <c r="W1193" s="78" t="b">
        <f t="shared" si="1087"/>
        <v>0</v>
      </c>
      <c r="X1193" s="78" t="b">
        <f t="shared" si="1088"/>
        <v>0</v>
      </c>
      <c r="Y1193" s="78" t="b">
        <f t="shared" si="1089"/>
        <v>0</v>
      </c>
      <c r="Z1193" s="78" t="b">
        <f t="shared" si="1090"/>
        <v>0</v>
      </c>
      <c r="AA1193" s="78" t="b">
        <f t="shared" si="1091"/>
        <v>0</v>
      </c>
      <c r="AB1193" s="78" t="b">
        <f t="shared" si="1092"/>
        <v>0</v>
      </c>
      <c r="AC1193" s="78" t="b">
        <f t="shared" si="1093"/>
        <v>0</v>
      </c>
      <c r="AD1193" s="78" t="b">
        <f t="shared" si="1094"/>
        <v>0</v>
      </c>
      <c r="AE1193" s="78" t="b">
        <f t="shared" si="1095"/>
        <v>0</v>
      </c>
      <c r="AF1193" s="78" t="b">
        <f t="shared" si="1096"/>
        <v>0</v>
      </c>
      <c r="AG1193" s="78" t="b">
        <f t="shared" si="1097"/>
        <v>0</v>
      </c>
      <c r="AH1193" s="78" t="b">
        <f t="shared" si="1098"/>
        <v>0</v>
      </c>
      <c r="AI1193" s="78" t="b">
        <f t="shared" si="1099"/>
        <v>0</v>
      </c>
      <c r="AJ1193" s="78" t="b">
        <f t="shared" si="1100"/>
        <v>0</v>
      </c>
      <c r="AK1193" s="78" t="b">
        <f t="shared" si="1101"/>
        <v>0</v>
      </c>
      <c r="AL1193" s="78" t="b">
        <f t="shared" si="1102"/>
        <v>0</v>
      </c>
      <c r="AM1193" s="78" t="b">
        <f t="shared" si="1103"/>
        <v>0</v>
      </c>
      <c r="AN1193" s="78" t="b">
        <f t="shared" si="1104"/>
        <v>0</v>
      </c>
      <c r="AO1193" s="78" t="b">
        <f t="shared" si="1105"/>
        <v>0</v>
      </c>
    </row>
    <row r="1194" spans="7:41" x14ac:dyDescent="0.35">
      <c r="G1194" s="77">
        <f t="shared" si="1075"/>
        <v>0</v>
      </c>
      <c r="H1194" s="78">
        <f t="shared" si="1076"/>
        <v>0</v>
      </c>
      <c r="I1194" s="77">
        <f t="shared" si="1077"/>
        <v>0</v>
      </c>
      <c r="J1194" s="78">
        <f t="shared" si="1078"/>
        <v>0</v>
      </c>
      <c r="K1194" s="78" t="str">
        <f t="shared" si="1079"/>
        <v>1900-01-00 00:0:00</v>
      </c>
      <c r="L1194" s="78" t="str">
        <f t="shared" si="1080"/>
        <v>1900-01-00 00:0:00</v>
      </c>
      <c r="M1194" s="79">
        <f t="shared" si="1081"/>
        <v>0</v>
      </c>
      <c r="N1194">
        <f t="shared" si="1106"/>
        <v>1</v>
      </c>
      <c r="O1194" t="str">
        <f>IFERROR(_xlfn.XLOOKUP(A1194,HC!A:A,HC!C:C),"")</f>
        <v>Workforce</v>
      </c>
      <c r="R1194" s="78" t="b">
        <f t="shared" si="1082"/>
        <v>0</v>
      </c>
      <c r="S1194" s="78" t="b">
        <f t="shared" si="1083"/>
        <v>0</v>
      </c>
      <c r="T1194" s="78" t="b">
        <f t="shared" si="1084"/>
        <v>0</v>
      </c>
      <c r="U1194" s="78" t="b">
        <f t="shared" si="1085"/>
        <v>0</v>
      </c>
      <c r="V1194" s="78" t="b">
        <f t="shared" si="1086"/>
        <v>0</v>
      </c>
      <c r="W1194" s="78" t="b">
        <f t="shared" si="1087"/>
        <v>0</v>
      </c>
      <c r="X1194" s="78" t="b">
        <f t="shared" si="1088"/>
        <v>0</v>
      </c>
      <c r="Y1194" s="78" t="b">
        <f t="shared" si="1089"/>
        <v>0</v>
      </c>
      <c r="Z1194" s="78" t="b">
        <f t="shared" si="1090"/>
        <v>0</v>
      </c>
      <c r="AA1194" s="78" t="b">
        <f t="shared" si="1091"/>
        <v>0</v>
      </c>
      <c r="AB1194" s="78" t="b">
        <f t="shared" si="1092"/>
        <v>0</v>
      </c>
      <c r="AC1194" s="78" t="b">
        <f t="shared" si="1093"/>
        <v>0</v>
      </c>
      <c r="AD1194" s="78" t="b">
        <f t="shared" si="1094"/>
        <v>0</v>
      </c>
      <c r="AE1194" s="78" t="b">
        <f t="shared" si="1095"/>
        <v>0</v>
      </c>
      <c r="AF1194" s="78" t="b">
        <f t="shared" si="1096"/>
        <v>0</v>
      </c>
      <c r="AG1194" s="78" t="b">
        <f t="shared" si="1097"/>
        <v>0</v>
      </c>
      <c r="AH1194" s="78" t="b">
        <f t="shared" si="1098"/>
        <v>0</v>
      </c>
      <c r="AI1194" s="78" t="b">
        <f t="shared" si="1099"/>
        <v>0</v>
      </c>
      <c r="AJ1194" s="78" t="b">
        <f t="shared" si="1100"/>
        <v>0</v>
      </c>
      <c r="AK1194" s="78" t="b">
        <f t="shared" si="1101"/>
        <v>0</v>
      </c>
      <c r="AL1194" s="78" t="b">
        <f t="shared" si="1102"/>
        <v>0</v>
      </c>
      <c r="AM1194" s="78" t="b">
        <f t="shared" si="1103"/>
        <v>0</v>
      </c>
      <c r="AN1194" s="78" t="b">
        <f t="shared" si="1104"/>
        <v>0</v>
      </c>
      <c r="AO1194" s="78" t="b">
        <f t="shared" si="1105"/>
        <v>0</v>
      </c>
    </row>
    <row r="1195" spans="7:41" x14ac:dyDescent="0.35">
      <c r="G1195" s="77">
        <f t="shared" si="1075"/>
        <v>0</v>
      </c>
      <c r="H1195" s="78">
        <f t="shared" si="1076"/>
        <v>0</v>
      </c>
      <c r="I1195" s="77">
        <f t="shared" si="1077"/>
        <v>0</v>
      </c>
      <c r="J1195" s="78">
        <f t="shared" si="1078"/>
        <v>0</v>
      </c>
      <c r="K1195" s="78" t="str">
        <f t="shared" si="1079"/>
        <v>1900-01-00 00:0:00</v>
      </c>
      <c r="L1195" s="78" t="str">
        <f t="shared" si="1080"/>
        <v>1900-01-00 00:0:00</v>
      </c>
      <c r="M1195" s="79">
        <f t="shared" si="1081"/>
        <v>0</v>
      </c>
      <c r="N1195">
        <f t="shared" si="1106"/>
        <v>1</v>
      </c>
      <c r="O1195" t="str">
        <f>IFERROR(_xlfn.XLOOKUP(A1195,HC!A:A,HC!C:C),"")</f>
        <v>Workforce</v>
      </c>
      <c r="R1195" s="78" t="b">
        <f t="shared" si="1082"/>
        <v>0</v>
      </c>
      <c r="S1195" s="78" t="b">
        <f t="shared" si="1083"/>
        <v>0</v>
      </c>
      <c r="T1195" s="78" t="b">
        <f t="shared" si="1084"/>
        <v>0</v>
      </c>
      <c r="U1195" s="78" t="b">
        <f t="shared" si="1085"/>
        <v>0</v>
      </c>
      <c r="V1195" s="78" t="b">
        <f t="shared" si="1086"/>
        <v>0</v>
      </c>
      <c r="W1195" s="78" t="b">
        <f t="shared" si="1087"/>
        <v>0</v>
      </c>
      <c r="X1195" s="78" t="b">
        <f t="shared" si="1088"/>
        <v>0</v>
      </c>
      <c r="Y1195" s="78" t="b">
        <f t="shared" si="1089"/>
        <v>0</v>
      </c>
      <c r="Z1195" s="78" t="b">
        <f t="shared" si="1090"/>
        <v>0</v>
      </c>
      <c r="AA1195" s="78" t="b">
        <f t="shared" si="1091"/>
        <v>0</v>
      </c>
      <c r="AB1195" s="78" t="b">
        <f t="shared" si="1092"/>
        <v>0</v>
      </c>
      <c r="AC1195" s="78" t="b">
        <f t="shared" si="1093"/>
        <v>0</v>
      </c>
      <c r="AD1195" s="78" t="b">
        <f t="shared" si="1094"/>
        <v>0</v>
      </c>
      <c r="AE1195" s="78" t="b">
        <f t="shared" si="1095"/>
        <v>0</v>
      </c>
      <c r="AF1195" s="78" t="b">
        <f t="shared" si="1096"/>
        <v>0</v>
      </c>
      <c r="AG1195" s="78" t="b">
        <f t="shared" si="1097"/>
        <v>0</v>
      </c>
      <c r="AH1195" s="78" t="b">
        <f t="shared" si="1098"/>
        <v>0</v>
      </c>
      <c r="AI1195" s="78" t="b">
        <f t="shared" si="1099"/>
        <v>0</v>
      </c>
      <c r="AJ1195" s="78" t="b">
        <f t="shared" si="1100"/>
        <v>0</v>
      </c>
      <c r="AK1195" s="78" t="b">
        <f t="shared" si="1101"/>
        <v>0</v>
      </c>
      <c r="AL1195" s="78" t="b">
        <f t="shared" si="1102"/>
        <v>0</v>
      </c>
      <c r="AM1195" s="78" t="b">
        <f t="shared" si="1103"/>
        <v>0</v>
      </c>
      <c r="AN1195" s="78" t="b">
        <f t="shared" si="1104"/>
        <v>0</v>
      </c>
      <c r="AO1195" s="78" t="b">
        <f t="shared" si="1105"/>
        <v>0</v>
      </c>
    </row>
    <row r="1196" spans="7:41" x14ac:dyDescent="0.35">
      <c r="G1196" s="77">
        <f t="shared" si="1075"/>
        <v>0</v>
      </c>
      <c r="H1196" s="78">
        <f t="shared" si="1076"/>
        <v>0</v>
      </c>
      <c r="I1196" s="77">
        <f t="shared" si="1077"/>
        <v>0</v>
      </c>
      <c r="J1196" s="78">
        <f t="shared" si="1078"/>
        <v>0</v>
      </c>
      <c r="K1196" s="78" t="str">
        <f t="shared" si="1079"/>
        <v>1900-01-00 00:0:00</v>
      </c>
      <c r="L1196" s="78" t="str">
        <f t="shared" si="1080"/>
        <v>1900-01-00 00:0:00</v>
      </c>
      <c r="M1196" s="79">
        <f t="shared" si="1081"/>
        <v>0</v>
      </c>
      <c r="N1196">
        <f t="shared" si="1106"/>
        <v>1</v>
      </c>
      <c r="O1196" t="str">
        <f>IFERROR(_xlfn.XLOOKUP(A1196,HC!A:A,HC!C:C),"")</f>
        <v>Workforce</v>
      </c>
      <c r="R1196" s="78" t="b">
        <f t="shared" si="1082"/>
        <v>0</v>
      </c>
      <c r="S1196" s="78" t="b">
        <f t="shared" si="1083"/>
        <v>0</v>
      </c>
      <c r="T1196" s="78" t="b">
        <f t="shared" si="1084"/>
        <v>0</v>
      </c>
      <c r="U1196" s="78" t="b">
        <f t="shared" si="1085"/>
        <v>0</v>
      </c>
      <c r="V1196" s="78" t="b">
        <f t="shared" si="1086"/>
        <v>0</v>
      </c>
      <c r="W1196" s="78" t="b">
        <f t="shared" si="1087"/>
        <v>0</v>
      </c>
      <c r="X1196" s="78" t="b">
        <f t="shared" si="1088"/>
        <v>0</v>
      </c>
      <c r="Y1196" s="78" t="b">
        <f t="shared" si="1089"/>
        <v>0</v>
      </c>
      <c r="Z1196" s="78" t="b">
        <f t="shared" si="1090"/>
        <v>0</v>
      </c>
      <c r="AA1196" s="78" t="b">
        <f t="shared" si="1091"/>
        <v>0</v>
      </c>
      <c r="AB1196" s="78" t="b">
        <f t="shared" si="1092"/>
        <v>0</v>
      </c>
      <c r="AC1196" s="78" t="b">
        <f t="shared" si="1093"/>
        <v>0</v>
      </c>
      <c r="AD1196" s="78" t="b">
        <f t="shared" si="1094"/>
        <v>0</v>
      </c>
      <c r="AE1196" s="78" t="b">
        <f t="shared" si="1095"/>
        <v>0</v>
      </c>
      <c r="AF1196" s="78" t="b">
        <f t="shared" si="1096"/>
        <v>0</v>
      </c>
      <c r="AG1196" s="78" t="b">
        <f t="shared" si="1097"/>
        <v>0</v>
      </c>
      <c r="AH1196" s="78" t="b">
        <f t="shared" si="1098"/>
        <v>0</v>
      </c>
      <c r="AI1196" s="78" t="b">
        <f t="shared" si="1099"/>
        <v>0</v>
      </c>
      <c r="AJ1196" s="78" t="b">
        <f t="shared" si="1100"/>
        <v>0</v>
      </c>
      <c r="AK1196" s="78" t="b">
        <f t="shared" si="1101"/>
        <v>0</v>
      </c>
      <c r="AL1196" s="78" t="b">
        <f t="shared" si="1102"/>
        <v>0</v>
      </c>
      <c r="AM1196" s="78" t="b">
        <f t="shared" si="1103"/>
        <v>0</v>
      </c>
      <c r="AN1196" s="78" t="b">
        <f t="shared" si="1104"/>
        <v>0</v>
      </c>
      <c r="AO1196" s="78" t="b">
        <f t="shared" si="1105"/>
        <v>0</v>
      </c>
    </row>
    <row r="1197" spans="7:41" x14ac:dyDescent="0.35">
      <c r="G1197" s="77">
        <f t="shared" si="1075"/>
        <v>0</v>
      </c>
      <c r="H1197" s="78">
        <f t="shared" si="1076"/>
        <v>0</v>
      </c>
      <c r="I1197" s="77">
        <f t="shared" si="1077"/>
        <v>0</v>
      </c>
      <c r="J1197" s="78">
        <f t="shared" si="1078"/>
        <v>0</v>
      </c>
      <c r="K1197" s="78" t="str">
        <f t="shared" si="1079"/>
        <v>1900-01-00 00:0:00</v>
      </c>
      <c r="L1197" s="78" t="str">
        <f t="shared" si="1080"/>
        <v>1900-01-00 00:0:00</v>
      </c>
      <c r="M1197" s="79">
        <f t="shared" si="1081"/>
        <v>0</v>
      </c>
      <c r="N1197">
        <f t="shared" si="1106"/>
        <v>1</v>
      </c>
      <c r="O1197" t="str">
        <f>IFERROR(_xlfn.XLOOKUP(A1197,HC!A:A,HC!C:C),"")</f>
        <v>Workforce</v>
      </c>
      <c r="R1197" s="78" t="b">
        <f t="shared" si="1082"/>
        <v>0</v>
      </c>
      <c r="S1197" s="78" t="b">
        <f t="shared" si="1083"/>
        <v>0</v>
      </c>
      <c r="T1197" s="78" t="b">
        <f t="shared" si="1084"/>
        <v>0</v>
      </c>
      <c r="U1197" s="78" t="b">
        <f t="shared" si="1085"/>
        <v>0</v>
      </c>
      <c r="V1197" s="78" t="b">
        <f t="shared" si="1086"/>
        <v>0</v>
      </c>
      <c r="W1197" s="78" t="b">
        <f t="shared" si="1087"/>
        <v>0</v>
      </c>
      <c r="X1197" s="78" t="b">
        <f t="shared" si="1088"/>
        <v>0</v>
      </c>
      <c r="Y1197" s="78" t="b">
        <f t="shared" si="1089"/>
        <v>0</v>
      </c>
      <c r="Z1197" s="78" t="b">
        <f t="shared" si="1090"/>
        <v>0</v>
      </c>
      <c r="AA1197" s="78" t="b">
        <f t="shared" si="1091"/>
        <v>0</v>
      </c>
      <c r="AB1197" s="78" t="b">
        <f t="shared" si="1092"/>
        <v>0</v>
      </c>
      <c r="AC1197" s="78" t="b">
        <f t="shared" si="1093"/>
        <v>0</v>
      </c>
      <c r="AD1197" s="78" t="b">
        <f t="shared" si="1094"/>
        <v>0</v>
      </c>
      <c r="AE1197" s="78" t="b">
        <f t="shared" si="1095"/>
        <v>0</v>
      </c>
      <c r="AF1197" s="78" t="b">
        <f t="shared" si="1096"/>
        <v>0</v>
      </c>
      <c r="AG1197" s="78" t="b">
        <f t="shared" si="1097"/>
        <v>0</v>
      </c>
      <c r="AH1197" s="78" t="b">
        <f t="shared" si="1098"/>
        <v>0</v>
      </c>
      <c r="AI1197" s="78" t="b">
        <f t="shared" si="1099"/>
        <v>0</v>
      </c>
      <c r="AJ1197" s="78" t="b">
        <f t="shared" si="1100"/>
        <v>0</v>
      </c>
      <c r="AK1197" s="78" t="b">
        <f t="shared" si="1101"/>
        <v>0</v>
      </c>
      <c r="AL1197" s="78" t="b">
        <f t="shared" si="1102"/>
        <v>0</v>
      </c>
      <c r="AM1197" s="78" t="b">
        <f t="shared" si="1103"/>
        <v>0</v>
      </c>
      <c r="AN1197" s="78" t="b">
        <f t="shared" si="1104"/>
        <v>0</v>
      </c>
      <c r="AO1197" s="78" t="b">
        <f t="shared" si="1105"/>
        <v>0</v>
      </c>
    </row>
    <row r="1198" spans="7:41" x14ac:dyDescent="0.35">
      <c r="G1198" s="77">
        <f t="shared" si="1075"/>
        <v>0</v>
      </c>
      <c r="H1198" s="78">
        <f t="shared" si="1076"/>
        <v>0</v>
      </c>
      <c r="I1198" s="77">
        <f t="shared" si="1077"/>
        <v>0</v>
      </c>
      <c r="J1198" s="78">
        <f t="shared" si="1078"/>
        <v>0</v>
      </c>
      <c r="K1198" s="78" t="str">
        <f t="shared" si="1079"/>
        <v>1900-01-00 00:0:00</v>
      </c>
      <c r="L1198" s="78" t="str">
        <f t="shared" si="1080"/>
        <v>1900-01-00 00:0:00</v>
      </c>
      <c r="M1198" s="79">
        <f t="shared" si="1081"/>
        <v>0</v>
      </c>
      <c r="N1198">
        <f t="shared" si="1106"/>
        <v>1</v>
      </c>
      <c r="O1198" t="str">
        <f>IFERROR(_xlfn.XLOOKUP(A1198,HC!A:A,HC!C:C),"")</f>
        <v>Workforce</v>
      </c>
      <c r="R1198" s="78" t="b">
        <f t="shared" si="1082"/>
        <v>0</v>
      </c>
      <c r="S1198" s="78" t="b">
        <f t="shared" si="1083"/>
        <v>0</v>
      </c>
      <c r="T1198" s="78" t="b">
        <f t="shared" si="1084"/>
        <v>0</v>
      </c>
      <c r="U1198" s="78" t="b">
        <f t="shared" si="1085"/>
        <v>0</v>
      </c>
      <c r="V1198" s="78" t="b">
        <f t="shared" si="1086"/>
        <v>0</v>
      </c>
      <c r="W1198" s="78" t="b">
        <f t="shared" si="1087"/>
        <v>0</v>
      </c>
      <c r="X1198" s="78" t="b">
        <f t="shared" si="1088"/>
        <v>0</v>
      </c>
      <c r="Y1198" s="78" t="b">
        <f t="shared" si="1089"/>
        <v>0</v>
      </c>
      <c r="Z1198" s="78" t="b">
        <f t="shared" si="1090"/>
        <v>0</v>
      </c>
      <c r="AA1198" s="78" t="b">
        <f t="shared" si="1091"/>
        <v>0</v>
      </c>
      <c r="AB1198" s="78" t="b">
        <f t="shared" si="1092"/>
        <v>0</v>
      </c>
      <c r="AC1198" s="78" t="b">
        <f t="shared" si="1093"/>
        <v>0</v>
      </c>
      <c r="AD1198" s="78" t="b">
        <f t="shared" si="1094"/>
        <v>0</v>
      </c>
      <c r="AE1198" s="78" t="b">
        <f t="shared" si="1095"/>
        <v>0</v>
      </c>
      <c r="AF1198" s="78" t="b">
        <f t="shared" si="1096"/>
        <v>0</v>
      </c>
      <c r="AG1198" s="78" t="b">
        <f t="shared" si="1097"/>
        <v>0</v>
      </c>
      <c r="AH1198" s="78" t="b">
        <f t="shared" si="1098"/>
        <v>0</v>
      </c>
      <c r="AI1198" s="78" t="b">
        <f t="shared" si="1099"/>
        <v>0</v>
      </c>
      <c r="AJ1198" s="78" t="b">
        <f t="shared" si="1100"/>
        <v>0</v>
      </c>
      <c r="AK1198" s="78" t="b">
        <f t="shared" si="1101"/>
        <v>0</v>
      </c>
      <c r="AL1198" s="78" t="b">
        <f t="shared" si="1102"/>
        <v>0</v>
      </c>
      <c r="AM1198" s="78" t="b">
        <f t="shared" si="1103"/>
        <v>0</v>
      </c>
      <c r="AN1198" s="78" t="b">
        <f t="shared" si="1104"/>
        <v>0</v>
      </c>
      <c r="AO1198" s="78" t="b">
        <f t="shared" si="1105"/>
        <v>0</v>
      </c>
    </row>
    <row r="1199" spans="7:41" x14ac:dyDescent="0.35">
      <c r="G1199" s="77">
        <f t="shared" si="1075"/>
        <v>0</v>
      </c>
      <c r="H1199" s="78">
        <f t="shared" si="1076"/>
        <v>0</v>
      </c>
      <c r="I1199" s="77">
        <f t="shared" si="1077"/>
        <v>0</v>
      </c>
      <c r="J1199" s="78">
        <f t="shared" si="1078"/>
        <v>0</v>
      </c>
      <c r="K1199" s="78" t="str">
        <f t="shared" si="1079"/>
        <v>1900-01-00 00:0:00</v>
      </c>
      <c r="L1199" s="78" t="str">
        <f t="shared" si="1080"/>
        <v>1900-01-00 00:0:00</v>
      </c>
      <c r="M1199" s="79">
        <f t="shared" si="1081"/>
        <v>0</v>
      </c>
      <c r="N1199">
        <f t="shared" si="1106"/>
        <v>1</v>
      </c>
      <c r="O1199" t="str">
        <f>IFERROR(_xlfn.XLOOKUP(A1199,HC!A:A,HC!C:C),"")</f>
        <v>Workforce</v>
      </c>
      <c r="R1199" s="78" t="b">
        <f t="shared" si="1082"/>
        <v>0</v>
      </c>
      <c r="S1199" s="78" t="b">
        <f t="shared" si="1083"/>
        <v>0</v>
      </c>
      <c r="T1199" s="78" t="b">
        <f t="shared" si="1084"/>
        <v>0</v>
      </c>
      <c r="U1199" s="78" t="b">
        <f t="shared" si="1085"/>
        <v>0</v>
      </c>
      <c r="V1199" s="78" t="b">
        <f t="shared" si="1086"/>
        <v>0</v>
      </c>
      <c r="W1199" s="78" t="b">
        <f t="shared" si="1087"/>
        <v>0</v>
      </c>
      <c r="X1199" s="78" t="b">
        <f t="shared" si="1088"/>
        <v>0</v>
      </c>
      <c r="Y1199" s="78" t="b">
        <f t="shared" si="1089"/>
        <v>0</v>
      </c>
      <c r="Z1199" s="78" t="b">
        <f t="shared" si="1090"/>
        <v>0</v>
      </c>
      <c r="AA1199" s="78" t="b">
        <f t="shared" si="1091"/>
        <v>0</v>
      </c>
      <c r="AB1199" s="78" t="b">
        <f t="shared" si="1092"/>
        <v>0</v>
      </c>
      <c r="AC1199" s="78" t="b">
        <f t="shared" si="1093"/>
        <v>0</v>
      </c>
      <c r="AD1199" s="78" t="b">
        <f t="shared" si="1094"/>
        <v>0</v>
      </c>
      <c r="AE1199" s="78" t="b">
        <f t="shared" si="1095"/>
        <v>0</v>
      </c>
      <c r="AF1199" s="78" t="b">
        <f t="shared" si="1096"/>
        <v>0</v>
      </c>
      <c r="AG1199" s="78" t="b">
        <f t="shared" si="1097"/>
        <v>0</v>
      </c>
      <c r="AH1199" s="78" t="b">
        <f t="shared" si="1098"/>
        <v>0</v>
      </c>
      <c r="AI1199" s="78" t="b">
        <f t="shared" si="1099"/>
        <v>0</v>
      </c>
      <c r="AJ1199" s="78" t="b">
        <f t="shared" si="1100"/>
        <v>0</v>
      </c>
      <c r="AK1199" s="78" t="b">
        <f t="shared" si="1101"/>
        <v>0</v>
      </c>
      <c r="AL1199" s="78" t="b">
        <f t="shared" si="1102"/>
        <v>0</v>
      </c>
      <c r="AM1199" s="78" t="b">
        <f t="shared" si="1103"/>
        <v>0</v>
      </c>
      <c r="AN1199" s="78" t="b">
        <f t="shared" si="1104"/>
        <v>0</v>
      </c>
      <c r="AO1199" s="78" t="b">
        <f t="shared" si="1105"/>
        <v>0</v>
      </c>
    </row>
    <row r="1200" spans="7:41" x14ac:dyDescent="0.35">
      <c r="G1200" s="77">
        <f t="shared" si="1075"/>
        <v>0</v>
      </c>
      <c r="H1200" s="78">
        <f t="shared" si="1076"/>
        <v>0</v>
      </c>
      <c r="I1200" s="77">
        <f t="shared" si="1077"/>
        <v>0</v>
      </c>
      <c r="J1200" s="78">
        <f t="shared" si="1078"/>
        <v>0</v>
      </c>
      <c r="K1200" s="78" t="str">
        <f t="shared" si="1079"/>
        <v>1900-01-00 00:0:00</v>
      </c>
      <c r="L1200" s="78" t="str">
        <f t="shared" si="1080"/>
        <v>1900-01-00 00:0:00</v>
      </c>
      <c r="M1200" s="79">
        <f t="shared" si="1081"/>
        <v>0</v>
      </c>
      <c r="N1200">
        <f t="shared" si="1106"/>
        <v>1</v>
      </c>
      <c r="O1200" t="str">
        <f>IFERROR(_xlfn.XLOOKUP(A1200,HC!A:A,HC!C:C),"")</f>
        <v>Workforce</v>
      </c>
      <c r="R1200" s="78" t="b">
        <f t="shared" si="1082"/>
        <v>0</v>
      </c>
      <c r="S1200" s="78" t="b">
        <f t="shared" si="1083"/>
        <v>0</v>
      </c>
      <c r="T1200" s="78" t="b">
        <f t="shared" si="1084"/>
        <v>0</v>
      </c>
      <c r="U1200" s="78" t="b">
        <f t="shared" si="1085"/>
        <v>0</v>
      </c>
      <c r="V1200" s="78" t="b">
        <f t="shared" si="1086"/>
        <v>0</v>
      </c>
      <c r="W1200" s="78" t="b">
        <f t="shared" si="1087"/>
        <v>0</v>
      </c>
      <c r="X1200" s="78" t="b">
        <f t="shared" si="1088"/>
        <v>0</v>
      </c>
      <c r="Y1200" s="78" t="b">
        <f t="shared" si="1089"/>
        <v>0</v>
      </c>
      <c r="Z1200" s="78" t="b">
        <f t="shared" si="1090"/>
        <v>0</v>
      </c>
      <c r="AA1200" s="78" t="b">
        <f t="shared" si="1091"/>
        <v>0</v>
      </c>
      <c r="AB1200" s="78" t="b">
        <f t="shared" si="1092"/>
        <v>0</v>
      </c>
      <c r="AC1200" s="78" t="b">
        <f t="shared" si="1093"/>
        <v>0</v>
      </c>
      <c r="AD1200" s="78" t="b">
        <f t="shared" si="1094"/>
        <v>0</v>
      </c>
      <c r="AE1200" s="78" t="b">
        <f t="shared" si="1095"/>
        <v>0</v>
      </c>
      <c r="AF1200" s="78" t="b">
        <f t="shared" si="1096"/>
        <v>0</v>
      </c>
      <c r="AG1200" s="78" t="b">
        <f t="shared" si="1097"/>
        <v>0</v>
      </c>
      <c r="AH1200" s="78" t="b">
        <f t="shared" si="1098"/>
        <v>0</v>
      </c>
      <c r="AI1200" s="78" t="b">
        <f t="shared" si="1099"/>
        <v>0</v>
      </c>
      <c r="AJ1200" s="78" t="b">
        <f t="shared" si="1100"/>
        <v>0</v>
      </c>
      <c r="AK1200" s="78" t="b">
        <f t="shared" si="1101"/>
        <v>0</v>
      </c>
      <c r="AL1200" s="78" t="b">
        <f t="shared" si="1102"/>
        <v>0</v>
      </c>
      <c r="AM1200" s="78" t="b">
        <f t="shared" si="1103"/>
        <v>0</v>
      </c>
      <c r="AN1200" s="78" t="b">
        <f t="shared" si="1104"/>
        <v>0</v>
      </c>
      <c r="AO1200" s="78" t="b">
        <f t="shared" si="1105"/>
        <v>0</v>
      </c>
    </row>
    <row r="1201" spans="7:41" x14ac:dyDescent="0.35">
      <c r="G1201" s="77">
        <f t="shared" si="1075"/>
        <v>0</v>
      </c>
      <c r="H1201" s="78">
        <f t="shared" si="1076"/>
        <v>0</v>
      </c>
      <c r="I1201" s="77">
        <f t="shared" si="1077"/>
        <v>0</v>
      </c>
      <c r="J1201" s="78">
        <f t="shared" si="1078"/>
        <v>0</v>
      </c>
      <c r="K1201" s="78" t="str">
        <f t="shared" si="1079"/>
        <v>1900-01-00 00:0:00</v>
      </c>
      <c r="L1201" s="78" t="str">
        <f t="shared" si="1080"/>
        <v>1900-01-00 00:0:00</v>
      </c>
      <c r="M1201" s="79">
        <f t="shared" si="1081"/>
        <v>0</v>
      </c>
      <c r="N1201">
        <f t="shared" si="1106"/>
        <v>1</v>
      </c>
      <c r="O1201" t="str">
        <f>IFERROR(_xlfn.XLOOKUP(A1201,HC!A:A,HC!C:C),"")</f>
        <v>Workforce</v>
      </c>
      <c r="R1201" s="78" t="b">
        <f t="shared" si="1082"/>
        <v>0</v>
      </c>
      <c r="S1201" s="78" t="b">
        <f t="shared" si="1083"/>
        <v>0</v>
      </c>
      <c r="T1201" s="78" t="b">
        <f t="shared" si="1084"/>
        <v>0</v>
      </c>
      <c r="U1201" s="78" t="b">
        <f t="shared" si="1085"/>
        <v>0</v>
      </c>
      <c r="V1201" s="78" t="b">
        <f t="shared" si="1086"/>
        <v>0</v>
      </c>
      <c r="W1201" s="78" t="b">
        <f t="shared" si="1087"/>
        <v>0</v>
      </c>
      <c r="X1201" s="78" t="b">
        <f t="shared" si="1088"/>
        <v>0</v>
      </c>
      <c r="Y1201" s="78" t="b">
        <f t="shared" si="1089"/>
        <v>0</v>
      </c>
      <c r="Z1201" s="78" t="b">
        <f t="shared" si="1090"/>
        <v>0</v>
      </c>
      <c r="AA1201" s="78" t="b">
        <f t="shared" si="1091"/>
        <v>0</v>
      </c>
      <c r="AB1201" s="78" t="b">
        <f t="shared" si="1092"/>
        <v>0</v>
      </c>
      <c r="AC1201" s="78" t="b">
        <f t="shared" si="1093"/>
        <v>0</v>
      </c>
      <c r="AD1201" s="78" t="b">
        <f t="shared" si="1094"/>
        <v>0</v>
      </c>
      <c r="AE1201" s="78" t="b">
        <f t="shared" si="1095"/>
        <v>0</v>
      </c>
      <c r="AF1201" s="78" t="b">
        <f t="shared" si="1096"/>
        <v>0</v>
      </c>
      <c r="AG1201" s="78" t="b">
        <f t="shared" si="1097"/>
        <v>0</v>
      </c>
      <c r="AH1201" s="78" t="b">
        <f t="shared" si="1098"/>
        <v>0</v>
      </c>
      <c r="AI1201" s="78" t="b">
        <f t="shared" si="1099"/>
        <v>0</v>
      </c>
      <c r="AJ1201" s="78" t="b">
        <f t="shared" si="1100"/>
        <v>0</v>
      </c>
      <c r="AK1201" s="78" t="b">
        <f t="shared" si="1101"/>
        <v>0</v>
      </c>
      <c r="AL1201" s="78" t="b">
        <f t="shared" si="1102"/>
        <v>0</v>
      </c>
      <c r="AM1201" s="78" t="b">
        <f t="shared" si="1103"/>
        <v>0</v>
      </c>
      <c r="AN1201" s="78" t="b">
        <f t="shared" si="1104"/>
        <v>0</v>
      </c>
      <c r="AO1201" s="78" t="b">
        <f t="shared" si="1105"/>
        <v>0</v>
      </c>
    </row>
    <row r="1202" spans="7:41" x14ac:dyDescent="0.35">
      <c r="G1202" s="77">
        <f t="shared" si="1075"/>
        <v>0</v>
      </c>
      <c r="H1202" s="78">
        <f t="shared" si="1076"/>
        <v>0</v>
      </c>
      <c r="I1202" s="77">
        <f t="shared" si="1077"/>
        <v>0</v>
      </c>
      <c r="J1202" s="78">
        <f t="shared" si="1078"/>
        <v>0</v>
      </c>
      <c r="K1202" s="78" t="str">
        <f t="shared" si="1079"/>
        <v>1900-01-00 00:0:00</v>
      </c>
      <c r="L1202" s="78" t="str">
        <f t="shared" si="1080"/>
        <v>1900-01-00 00:0:00</v>
      </c>
      <c r="M1202" s="79">
        <f t="shared" si="1081"/>
        <v>0</v>
      </c>
      <c r="N1202">
        <f t="shared" si="1106"/>
        <v>1</v>
      </c>
      <c r="O1202" t="str">
        <f>IFERROR(_xlfn.XLOOKUP(A1202,HC!A:A,HC!C:C),"")</f>
        <v>Workforce</v>
      </c>
      <c r="R1202" s="78" t="b">
        <f t="shared" si="1082"/>
        <v>0</v>
      </c>
      <c r="S1202" s="78" t="b">
        <f t="shared" si="1083"/>
        <v>0</v>
      </c>
      <c r="T1202" s="78" t="b">
        <f t="shared" si="1084"/>
        <v>0</v>
      </c>
      <c r="U1202" s="78" t="b">
        <f t="shared" si="1085"/>
        <v>0</v>
      </c>
      <c r="V1202" s="78" t="b">
        <f t="shared" si="1086"/>
        <v>0</v>
      </c>
      <c r="W1202" s="78" t="b">
        <f t="shared" si="1087"/>
        <v>0</v>
      </c>
      <c r="X1202" s="78" t="b">
        <f t="shared" si="1088"/>
        <v>0</v>
      </c>
      <c r="Y1202" s="78" t="b">
        <f t="shared" si="1089"/>
        <v>0</v>
      </c>
      <c r="Z1202" s="78" t="b">
        <f t="shared" si="1090"/>
        <v>0</v>
      </c>
      <c r="AA1202" s="78" t="b">
        <f t="shared" si="1091"/>
        <v>0</v>
      </c>
      <c r="AB1202" s="78" t="b">
        <f t="shared" si="1092"/>
        <v>0</v>
      </c>
      <c r="AC1202" s="78" t="b">
        <f t="shared" si="1093"/>
        <v>0</v>
      </c>
      <c r="AD1202" s="78" t="b">
        <f t="shared" si="1094"/>
        <v>0</v>
      </c>
      <c r="AE1202" s="78" t="b">
        <f t="shared" si="1095"/>
        <v>0</v>
      </c>
      <c r="AF1202" s="78" t="b">
        <f t="shared" si="1096"/>
        <v>0</v>
      </c>
      <c r="AG1202" s="78" t="b">
        <f t="shared" si="1097"/>
        <v>0</v>
      </c>
      <c r="AH1202" s="78" t="b">
        <f t="shared" si="1098"/>
        <v>0</v>
      </c>
      <c r="AI1202" s="78" t="b">
        <f t="shared" si="1099"/>
        <v>0</v>
      </c>
      <c r="AJ1202" s="78" t="b">
        <f t="shared" si="1100"/>
        <v>0</v>
      </c>
      <c r="AK1202" s="78" t="b">
        <f t="shared" si="1101"/>
        <v>0</v>
      </c>
      <c r="AL1202" s="78" t="b">
        <f t="shared" si="1102"/>
        <v>0</v>
      </c>
      <c r="AM1202" s="78" t="b">
        <f t="shared" si="1103"/>
        <v>0</v>
      </c>
      <c r="AN1202" s="78" t="b">
        <f t="shared" si="1104"/>
        <v>0</v>
      </c>
      <c r="AO1202" s="78" t="b">
        <f t="shared" si="1105"/>
        <v>0</v>
      </c>
    </row>
    <row r="1203" spans="7:41" x14ac:dyDescent="0.35">
      <c r="G1203" s="77">
        <f t="shared" si="1075"/>
        <v>0</v>
      </c>
      <c r="H1203" s="78">
        <f t="shared" si="1076"/>
        <v>0</v>
      </c>
      <c r="I1203" s="77">
        <f t="shared" si="1077"/>
        <v>0</v>
      </c>
      <c r="J1203" s="78">
        <f t="shared" si="1078"/>
        <v>0</v>
      </c>
      <c r="K1203" s="78" t="str">
        <f t="shared" si="1079"/>
        <v>1900-01-00 00:0:00</v>
      </c>
      <c r="L1203" s="78" t="str">
        <f t="shared" si="1080"/>
        <v>1900-01-00 00:0:00</v>
      </c>
      <c r="M1203" s="79">
        <f t="shared" si="1081"/>
        <v>0</v>
      </c>
      <c r="N1203">
        <f t="shared" si="1106"/>
        <v>1</v>
      </c>
      <c r="O1203" t="str">
        <f>IFERROR(_xlfn.XLOOKUP(A1203,HC!A:A,HC!C:C),"")</f>
        <v>Workforce</v>
      </c>
      <c r="R1203" s="78" t="b">
        <f t="shared" si="1082"/>
        <v>0</v>
      </c>
      <c r="S1203" s="78" t="b">
        <f t="shared" si="1083"/>
        <v>0</v>
      </c>
      <c r="T1203" s="78" t="b">
        <f t="shared" si="1084"/>
        <v>0</v>
      </c>
      <c r="U1203" s="78" t="b">
        <f t="shared" si="1085"/>
        <v>0</v>
      </c>
      <c r="V1203" s="78" t="b">
        <f t="shared" si="1086"/>
        <v>0</v>
      </c>
      <c r="W1203" s="78" t="b">
        <f t="shared" si="1087"/>
        <v>0</v>
      </c>
      <c r="X1203" s="78" t="b">
        <f t="shared" si="1088"/>
        <v>0</v>
      </c>
      <c r="Y1203" s="78" t="b">
        <f t="shared" si="1089"/>
        <v>0</v>
      </c>
      <c r="Z1203" s="78" t="b">
        <f t="shared" si="1090"/>
        <v>0</v>
      </c>
      <c r="AA1203" s="78" t="b">
        <f t="shared" si="1091"/>
        <v>0</v>
      </c>
      <c r="AB1203" s="78" t="b">
        <f t="shared" si="1092"/>
        <v>0</v>
      </c>
      <c r="AC1203" s="78" t="b">
        <f t="shared" si="1093"/>
        <v>0</v>
      </c>
      <c r="AD1203" s="78" t="b">
        <f t="shared" si="1094"/>
        <v>0</v>
      </c>
      <c r="AE1203" s="78" t="b">
        <f t="shared" si="1095"/>
        <v>0</v>
      </c>
      <c r="AF1203" s="78" t="b">
        <f t="shared" si="1096"/>
        <v>0</v>
      </c>
      <c r="AG1203" s="78" t="b">
        <f t="shared" si="1097"/>
        <v>0</v>
      </c>
      <c r="AH1203" s="78" t="b">
        <f t="shared" si="1098"/>
        <v>0</v>
      </c>
      <c r="AI1203" s="78" t="b">
        <f t="shared" si="1099"/>
        <v>0</v>
      </c>
      <c r="AJ1203" s="78" t="b">
        <f t="shared" si="1100"/>
        <v>0</v>
      </c>
      <c r="AK1203" s="78" t="b">
        <f t="shared" si="1101"/>
        <v>0</v>
      </c>
      <c r="AL1203" s="78" t="b">
        <f t="shared" si="1102"/>
        <v>0</v>
      </c>
      <c r="AM1203" s="78" t="b">
        <f t="shared" si="1103"/>
        <v>0</v>
      </c>
      <c r="AN1203" s="78" t="b">
        <f t="shared" si="1104"/>
        <v>0</v>
      </c>
      <c r="AO1203" s="78" t="b">
        <f t="shared" si="1105"/>
        <v>0</v>
      </c>
    </row>
    <row r="1204" spans="7:41" x14ac:dyDescent="0.35">
      <c r="G1204" s="77">
        <f t="shared" si="1075"/>
        <v>0</v>
      </c>
      <c r="H1204" s="78">
        <f t="shared" si="1076"/>
        <v>0</v>
      </c>
      <c r="I1204" s="77">
        <f t="shared" si="1077"/>
        <v>0</v>
      </c>
      <c r="J1204" s="78">
        <f t="shared" si="1078"/>
        <v>0</v>
      </c>
      <c r="K1204" s="78" t="str">
        <f t="shared" si="1079"/>
        <v>1900-01-00 00:0:00</v>
      </c>
      <c r="L1204" s="78" t="str">
        <f t="shared" si="1080"/>
        <v>1900-01-00 00:0:00</v>
      </c>
      <c r="M1204" s="79">
        <f t="shared" si="1081"/>
        <v>0</v>
      </c>
      <c r="N1204">
        <f t="shared" si="1106"/>
        <v>1</v>
      </c>
      <c r="O1204" t="str">
        <f>IFERROR(_xlfn.XLOOKUP(A1204,HC!A:A,HC!C:C),"")</f>
        <v>Workforce</v>
      </c>
      <c r="R1204" s="78" t="b">
        <f t="shared" si="1082"/>
        <v>0</v>
      </c>
      <c r="S1204" s="78" t="b">
        <f t="shared" si="1083"/>
        <v>0</v>
      </c>
      <c r="T1204" s="78" t="b">
        <f t="shared" si="1084"/>
        <v>0</v>
      </c>
      <c r="U1204" s="78" t="b">
        <f t="shared" si="1085"/>
        <v>0</v>
      </c>
      <c r="V1204" s="78" t="b">
        <f t="shared" si="1086"/>
        <v>0</v>
      </c>
      <c r="W1204" s="78" t="b">
        <f t="shared" si="1087"/>
        <v>0</v>
      </c>
      <c r="X1204" s="78" t="b">
        <f t="shared" si="1088"/>
        <v>0</v>
      </c>
      <c r="Y1204" s="78" t="b">
        <f t="shared" si="1089"/>
        <v>0</v>
      </c>
      <c r="Z1204" s="78" t="b">
        <f t="shared" si="1090"/>
        <v>0</v>
      </c>
      <c r="AA1204" s="78" t="b">
        <f t="shared" si="1091"/>
        <v>0</v>
      </c>
      <c r="AB1204" s="78" t="b">
        <f t="shared" si="1092"/>
        <v>0</v>
      </c>
      <c r="AC1204" s="78" t="b">
        <f t="shared" si="1093"/>
        <v>0</v>
      </c>
      <c r="AD1204" s="78" t="b">
        <f t="shared" si="1094"/>
        <v>0</v>
      </c>
      <c r="AE1204" s="78" t="b">
        <f t="shared" si="1095"/>
        <v>0</v>
      </c>
      <c r="AF1204" s="78" t="b">
        <f t="shared" si="1096"/>
        <v>0</v>
      </c>
      <c r="AG1204" s="78" t="b">
        <f t="shared" si="1097"/>
        <v>0</v>
      </c>
      <c r="AH1204" s="78" t="b">
        <f t="shared" si="1098"/>
        <v>0</v>
      </c>
      <c r="AI1204" s="78" t="b">
        <f t="shared" si="1099"/>
        <v>0</v>
      </c>
      <c r="AJ1204" s="78" t="b">
        <f t="shared" si="1100"/>
        <v>0</v>
      </c>
      <c r="AK1204" s="78" t="b">
        <f t="shared" si="1101"/>
        <v>0</v>
      </c>
      <c r="AL1204" s="78" t="b">
        <f t="shared" si="1102"/>
        <v>0</v>
      </c>
      <c r="AM1204" s="78" t="b">
        <f t="shared" si="1103"/>
        <v>0</v>
      </c>
      <c r="AN1204" s="78" t="b">
        <f t="shared" si="1104"/>
        <v>0</v>
      </c>
      <c r="AO1204" s="78" t="b">
        <f t="shared" si="1105"/>
        <v>0</v>
      </c>
    </row>
    <row r="1205" spans="7:41" x14ac:dyDescent="0.35">
      <c r="G1205" s="77">
        <f t="shared" si="1075"/>
        <v>0</v>
      </c>
      <c r="H1205" s="78">
        <f t="shared" si="1076"/>
        <v>0</v>
      </c>
      <c r="I1205" s="77">
        <f t="shared" si="1077"/>
        <v>0</v>
      </c>
      <c r="J1205" s="78">
        <f t="shared" si="1078"/>
        <v>0</v>
      </c>
      <c r="K1205" s="78" t="str">
        <f t="shared" si="1079"/>
        <v>1900-01-00 00:0:00</v>
      </c>
      <c r="L1205" s="78" t="str">
        <f t="shared" si="1080"/>
        <v>1900-01-00 00:0:00</v>
      </c>
      <c r="M1205" s="79">
        <f t="shared" si="1081"/>
        <v>0</v>
      </c>
      <c r="N1205">
        <f t="shared" si="1106"/>
        <v>1</v>
      </c>
      <c r="O1205" t="str">
        <f>IFERROR(_xlfn.XLOOKUP(A1205,HC!A:A,HC!C:C),"")</f>
        <v>Workforce</v>
      </c>
      <c r="R1205" s="78" t="b">
        <f t="shared" si="1082"/>
        <v>0</v>
      </c>
      <c r="S1205" s="78" t="b">
        <f t="shared" si="1083"/>
        <v>0</v>
      </c>
      <c r="T1205" s="78" t="b">
        <f t="shared" si="1084"/>
        <v>0</v>
      </c>
      <c r="U1205" s="78" t="b">
        <f t="shared" si="1085"/>
        <v>0</v>
      </c>
      <c r="V1205" s="78" t="b">
        <f t="shared" si="1086"/>
        <v>0</v>
      </c>
      <c r="W1205" s="78" t="b">
        <f t="shared" si="1087"/>
        <v>0</v>
      </c>
      <c r="X1205" s="78" t="b">
        <f t="shared" si="1088"/>
        <v>0</v>
      </c>
      <c r="Y1205" s="78" t="b">
        <f t="shared" si="1089"/>
        <v>0</v>
      </c>
      <c r="Z1205" s="78" t="b">
        <f t="shared" si="1090"/>
        <v>0</v>
      </c>
      <c r="AA1205" s="78" t="b">
        <f t="shared" si="1091"/>
        <v>0</v>
      </c>
      <c r="AB1205" s="78" t="b">
        <f t="shared" si="1092"/>
        <v>0</v>
      </c>
      <c r="AC1205" s="78" t="b">
        <f t="shared" si="1093"/>
        <v>0</v>
      </c>
      <c r="AD1205" s="78" t="b">
        <f t="shared" si="1094"/>
        <v>0</v>
      </c>
      <c r="AE1205" s="78" t="b">
        <f t="shared" si="1095"/>
        <v>0</v>
      </c>
      <c r="AF1205" s="78" t="b">
        <f t="shared" si="1096"/>
        <v>0</v>
      </c>
      <c r="AG1205" s="78" t="b">
        <f t="shared" si="1097"/>
        <v>0</v>
      </c>
      <c r="AH1205" s="78" t="b">
        <f t="shared" si="1098"/>
        <v>0</v>
      </c>
      <c r="AI1205" s="78" t="b">
        <f t="shared" si="1099"/>
        <v>0</v>
      </c>
      <c r="AJ1205" s="78" t="b">
        <f t="shared" si="1100"/>
        <v>0</v>
      </c>
      <c r="AK1205" s="78" t="b">
        <f t="shared" si="1101"/>
        <v>0</v>
      </c>
      <c r="AL1205" s="78" t="b">
        <f t="shared" si="1102"/>
        <v>0</v>
      </c>
      <c r="AM1205" s="78" t="b">
        <f t="shared" si="1103"/>
        <v>0</v>
      </c>
      <c r="AN1205" s="78" t="b">
        <f t="shared" si="1104"/>
        <v>0</v>
      </c>
      <c r="AO1205" s="78" t="b">
        <f t="shared" si="1105"/>
        <v>0</v>
      </c>
    </row>
    <row r="1206" spans="7:41" x14ac:dyDescent="0.35">
      <c r="G1206" s="77">
        <f t="shared" si="1075"/>
        <v>0</v>
      </c>
      <c r="H1206" s="78">
        <f t="shared" si="1076"/>
        <v>0</v>
      </c>
      <c r="I1206" s="77">
        <f t="shared" si="1077"/>
        <v>0</v>
      </c>
      <c r="J1206" s="78">
        <f t="shared" si="1078"/>
        <v>0</v>
      </c>
      <c r="K1206" s="78" t="str">
        <f t="shared" si="1079"/>
        <v>1900-01-00 00:0:00</v>
      </c>
      <c r="L1206" s="78" t="str">
        <f t="shared" si="1080"/>
        <v>1900-01-00 00:0:00</v>
      </c>
      <c r="M1206" s="79">
        <f t="shared" si="1081"/>
        <v>0</v>
      </c>
      <c r="N1206">
        <f t="shared" si="1106"/>
        <v>1</v>
      </c>
      <c r="O1206" t="str">
        <f>IFERROR(_xlfn.XLOOKUP(A1206,HC!A:A,HC!C:C),"")</f>
        <v>Workforce</v>
      </c>
      <c r="R1206" s="78" t="b">
        <f t="shared" si="1082"/>
        <v>0</v>
      </c>
      <c r="S1206" s="78" t="b">
        <f t="shared" si="1083"/>
        <v>0</v>
      </c>
      <c r="T1206" s="78" t="b">
        <f t="shared" si="1084"/>
        <v>0</v>
      </c>
      <c r="U1206" s="78" t="b">
        <f t="shared" si="1085"/>
        <v>0</v>
      </c>
      <c r="V1206" s="78" t="b">
        <f t="shared" si="1086"/>
        <v>0</v>
      </c>
      <c r="W1206" s="78" t="b">
        <f t="shared" si="1087"/>
        <v>0</v>
      </c>
      <c r="X1206" s="78" t="b">
        <f t="shared" si="1088"/>
        <v>0</v>
      </c>
      <c r="Y1206" s="78" t="b">
        <f t="shared" si="1089"/>
        <v>0</v>
      </c>
      <c r="Z1206" s="78" t="b">
        <f t="shared" si="1090"/>
        <v>0</v>
      </c>
      <c r="AA1206" s="78" t="b">
        <f t="shared" si="1091"/>
        <v>0</v>
      </c>
      <c r="AB1206" s="78" t="b">
        <f t="shared" si="1092"/>
        <v>0</v>
      </c>
      <c r="AC1206" s="78" t="b">
        <f t="shared" si="1093"/>
        <v>0</v>
      </c>
      <c r="AD1206" s="78" t="b">
        <f t="shared" si="1094"/>
        <v>0</v>
      </c>
      <c r="AE1206" s="78" t="b">
        <f t="shared" si="1095"/>
        <v>0</v>
      </c>
      <c r="AF1206" s="78" t="b">
        <f t="shared" si="1096"/>
        <v>0</v>
      </c>
      <c r="AG1206" s="78" t="b">
        <f t="shared" si="1097"/>
        <v>0</v>
      </c>
      <c r="AH1206" s="78" t="b">
        <f t="shared" si="1098"/>
        <v>0</v>
      </c>
      <c r="AI1206" s="78" t="b">
        <f t="shared" si="1099"/>
        <v>0</v>
      </c>
      <c r="AJ1206" s="78" t="b">
        <f t="shared" si="1100"/>
        <v>0</v>
      </c>
      <c r="AK1206" s="78" t="b">
        <f t="shared" si="1101"/>
        <v>0</v>
      </c>
      <c r="AL1206" s="78" t="b">
        <f t="shared" si="1102"/>
        <v>0</v>
      </c>
      <c r="AM1206" s="78" t="b">
        <f t="shared" si="1103"/>
        <v>0</v>
      </c>
      <c r="AN1206" s="78" t="b">
        <f t="shared" si="1104"/>
        <v>0</v>
      </c>
      <c r="AO1206" s="78" t="b">
        <f t="shared" si="1105"/>
        <v>0</v>
      </c>
    </row>
    <row r="1207" spans="7:41" x14ac:dyDescent="0.35">
      <c r="G1207" s="77">
        <f t="shared" si="1075"/>
        <v>0</v>
      </c>
      <c r="H1207" s="78">
        <f t="shared" si="1076"/>
        <v>0</v>
      </c>
      <c r="I1207" s="77">
        <f t="shared" si="1077"/>
        <v>0</v>
      </c>
      <c r="J1207" s="78">
        <f t="shared" si="1078"/>
        <v>0</v>
      </c>
      <c r="K1207" s="78" t="str">
        <f t="shared" si="1079"/>
        <v>1900-01-00 00:0:00</v>
      </c>
      <c r="L1207" s="78" t="str">
        <f t="shared" si="1080"/>
        <v>1900-01-00 00:0:00</v>
      </c>
      <c r="M1207" s="79">
        <f t="shared" si="1081"/>
        <v>0</v>
      </c>
      <c r="N1207">
        <f t="shared" si="1106"/>
        <v>1</v>
      </c>
      <c r="O1207" t="str">
        <f>IFERROR(_xlfn.XLOOKUP(A1207,HC!A:A,HC!C:C),"")</f>
        <v>Workforce</v>
      </c>
      <c r="R1207" s="78" t="b">
        <f t="shared" si="1082"/>
        <v>0</v>
      </c>
      <c r="S1207" s="78" t="b">
        <f t="shared" si="1083"/>
        <v>0</v>
      </c>
      <c r="T1207" s="78" t="b">
        <f t="shared" si="1084"/>
        <v>0</v>
      </c>
      <c r="U1207" s="78" t="b">
        <f t="shared" si="1085"/>
        <v>0</v>
      </c>
      <c r="V1207" s="78" t="b">
        <f t="shared" si="1086"/>
        <v>0</v>
      </c>
      <c r="W1207" s="78" t="b">
        <f t="shared" si="1087"/>
        <v>0</v>
      </c>
      <c r="X1207" s="78" t="b">
        <f t="shared" si="1088"/>
        <v>0</v>
      </c>
      <c r="Y1207" s="78" t="b">
        <f t="shared" si="1089"/>
        <v>0</v>
      </c>
      <c r="Z1207" s="78" t="b">
        <f t="shared" si="1090"/>
        <v>0</v>
      </c>
      <c r="AA1207" s="78" t="b">
        <f t="shared" si="1091"/>
        <v>0</v>
      </c>
      <c r="AB1207" s="78" t="b">
        <f t="shared" si="1092"/>
        <v>0</v>
      </c>
      <c r="AC1207" s="78" t="b">
        <f t="shared" si="1093"/>
        <v>0</v>
      </c>
      <c r="AD1207" s="78" t="b">
        <f t="shared" si="1094"/>
        <v>0</v>
      </c>
      <c r="AE1207" s="78" t="b">
        <f t="shared" si="1095"/>
        <v>0</v>
      </c>
      <c r="AF1207" s="78" t="b">
        <f t="shared" si="1096"/>
        <v>0</v>
      </c>
      <c r="AG1207" s="78" t="b">
        <f t="shared" si="1097"/>
        <v>0</v>
      </c>
      <c r="AH1207" s="78" t="b">
        <f t="shared" si="1098"/>
        <v>0</v>
      </c>
      <c r="AI1207" s="78" t="b">
        <f t="shared" si="1099"/>
        <v>0</v>
      </c>
      <c r="AJ1207" s="78" t="b">
        <f t="shared" si="1100"/>
        <v>0</v>
      </c>
      <c r="AK1207" s="78" t="b">
        <f t="shared" si="1101"/>
        <v>0</v>
      </c>
      <c r="AL1207" s="78" t="b">
        <f t="shared" si="1102"/>
        <v>0</v>
      </c>
      <c r="AM1207" s="78" t="b">
        <f t="shared" si="1103"/>
        <v>0</v>
      </c>
      <c r="AN1207" s="78" t="b">
        <f t="shared" si="1104"/>
        <v>0</v>
      </c>
      <c r="AO1207" s="78" t="b">
        <f t="shared" si="1105"/>
        <v>0</v>
      </c>
    </row>
    <row r="1208" spans="7:41" x14ac:dyDescent="0.35">
      <c r="G1208" s="77">
        <f t="shared" si="1075"/>
        <v>0</v>
      </c>
      <c r="H1208" s="78">
        <f t="shared" si="1076"/>
        <v>0</v>
      </c>
      <c r="I1208" s="77">
        <f t="shared" si="1077"/>
        <v>0</v>
      </c>
      <c r="J1208" s="78">
        <f t="shared" si="1078"/>
        <v>0</v>
      </c>
      <c r="K1208" s="78" t="str">
        <f t="shared" si="1079"/>
        <v>1900-01-00 00:0:00</v>
      </c>
      <c r="L1208" s="78" t="str">
        <f t="shared" si="1080"/>
        <v>1900-01-00 00:0:00</v>
      </c>
      <c r="M1208" s="79">
        <f t="shared" si="1081"/>
        <v>0</v>
      </c>
      <c r="N1208">
        <f t="shared" si="1106"/>
        <v>1</v>
      </c>
      <c r="O1208" t="str">
        <f>IFERROR(_xlfn.XLOOKUP(A1208,HC!A:A,HC!C:C),"")</f>
        <v>Workforce</v>
      </c>
      <c r="R1208" s="78" t="b">
        <f t="shared" si="1082"/>
        <v>0</v>
      </c>
      <c r="S1208" s="78" t="b">
        <f t="shared" si="1083"/>
        <v>0</v>
      </c>
      <c r="T1208" s="78" t="b">
        <f t="shared" si="1084"/>
        <v>0</v>
      </c>
      <c r="U1208" s="78" t="b">
        <f t="shared" si="1085"/>
        <v>0</v>
      </c>
      <c r="V1208" s="78" t="b">
        <f t="shared" si="1086"/>
        <v>0</v>
      </c>
      <c r="W1208" s="78" t="b">
        <f t="shared" si="1087"/>
        <v>0</v>
      </c>
      <c r="X1208" s="78" t="b">
        <f t="shared" si="1088"/>
        <v>0</v>
      </c>
      <c r="Y1208" s="78" t="b">
        <f t="shared" si="1089"/>
        <v>0</v>
      </c>
      <c r="Z1208" s="78" t="b">
        <f t="shared" si="1090"/>
        <v>0</v>
      </c>
      <c r="AA1208" s="78" t="b">
        <f t="shared" si="1091"/>
        <v>0</v>
      </c>
      <c r="AB1208" s="78" t="b">
        <f t="shared" si="1092"/>
        <v>0</v>
      </c>
      <c r="AC1208" s="78" t="b">
        <f t="shared" si="1093"/>
        <v>0</v>
      </c>
      <c r="AD1208" s="78" t="b">
        <f t="shared" si="1094"/>
        <v>0</v>
      </c>
      <c r="AE1208" s="78" t="b">
        <f t="shared" si="1095"/>
        <v>0</v>
      </c>
      <c r="AF1208" s="78" t="b">
        <f t="shared" si="1096"/>
        <v>0</v>
      </c>
      <c r="AG1208" s="78" t="b">
        <f t="shared" si="1097"/>
        <v>0</v>
      </c>
      <c r="AH1208" s="78" t="b">
        <f t="shared" si="1098"/>
        <v>0</v>
      </c>
      <c r="AI1208" s="78" t="b">
        <f t="shared" si="1099"/>
        <v>0</v>
      </c>
      <c r="AJ1208" s="78" t="b">
        <f t="shared" si="1100"/>
        <v>0</v>
      </c>
      <c r="AK1208" s="78" t="b">
        <f t="shared" si="1101"/>
        <v>0</v>
      </c>
      <c r="AL1208" s="78" t="b">
        <f t="shared" si="1102"/>
        <v>0</v>
      </c>
      <c r="AM1208" s="78" t="b">
        <f t="shared" si="1103"/>
        <v>0</v>
      </c>
      <c r="AN1208" s="78" t="b">
        <f t="shared" si="1104"/>
        <v>0</v>
      </c>
      <c r="AO1208" s="78" t="b">
        <f t="shared" si="1105"/>
        <v>0</v>
      </c>
    </row>
    <row r="1209" spans="7:41" x14ac:dyDescent="0.35">
      <c r="G1209" s="77">
        <f t="shared" si="1075"/>
        <v>0</v>
      </c>
      <c r="H1209" s="78">
        <f t="shared" si="1076"/>
        <v>0</v>
      </c>
      <c r="I1209" s="77">
        <f t="shared" si="1077"/>
        <v>0</v>
      </c>
      <c r="J1209" s="78">
        <f t="shared" si="1078"/>
        <v>0</v>
      </c>
      <c r="K1209" s="78" t="str">
        <f t="shared" si="1079"/>
        <v>1900-01-00 00:0:00</v>
      </c>
      <c r="L1209" s="78" t="str">
        <f t="shared" si="1080"/>
        <v>1900-01-00 00:0:00</v>
      </c>
      <c r="M1209" s="79">
        <f t="shared" si="1081"/>
        <v>0</v>
      </c>
      <c r="N1209">
        <f t="shared" si="1106"/>
        <v>1</v>
      </c>
      <c r="O1209" t="str">
        <f>IFERROR(_xlfn.XLOOKUP(A1209,HC!A:A,HC!C:C),"")</f>
        <v>Workforce</v>
      </c>
      <c r="R1209" s="78" t="b">
        <f t="shared" si="1082"/>
        <v>0</v>
      </c>
      <c r="S1209" s="78" t="b">
        <f t="shared" si="1083"/>
        <v>0</v>
      </c>
      <c r="T1209" s="78" t="b">
        <f t="shared" si="1084"/>
        <v>0</v>
      </c>
      <c r="U1209" s="78" t="b">
        <f t="shared" si="1085"/>
        <v>0</v>
      </c>
      <c r="V1209" s="78" t="b">
        <f t="shared" si="1086"/>
        <v>0</v>
      </c>
      <c r="W1209" s="78" t="b">
        <f t="shared" si="1087"/>
        <v>0</v>
      </c>
      <c r="X1209" s="78" t="b">
        <f t="shared" si="1088"/>
        <v>0</v>
      </c>
      <c r="Y1209" s="78" t="b">
        <f t="shared" si="1089"/>
        <v>0</v>
      </c>
      <c r="Z1209" s="78" t="b">
        <f t="shared" si="1090"/>
        <v>0</v>
      </c>
      <c r="AA1209" s="78" t="b">
        <f t="shared" si="1091"/>
        <v>0</v>
      </c>
      <c r="AB1209" s="78" t="b">
        <f t="shared" si="1092"/>
        <v>0</v>
      </c>
      <c r="AC1209" s="78" t="b">
        <f t="shared" si="1093"/>
        <v>0</v>
      </c>
      <c r="AD1209" s="78" t="b">
        <f t="shared" si="1094"/>
        <v>0</v>
      </c>
      <c r="AE1209" s="78" t="b">
        <f t="shared" si="1095"/>
        <v>0</v>
      </c>
      <c r="AF1209" s="78" t="b">
        <f t="shared" si="1096"/>
        <v>0</v>
      </c>
      <c r="AG1209" s="78" t="b">
        <f t="shared" si="1097"/>
        <v>0</v>
      </c>
      <c r="AH1209" s="78" t="b">
        <f t="shared" si="1098"/>
        <v>0</v>
      </c>
      <c r="AI1209" s="78" t="b">
        <f t="shared" si="1099"/>
        <v>0</v>
      </c>
      <c r="AJ1209" s="78" t="b">
        <f t="shared" si="1100"/>
        <v>0</v>
      </c>
      <c r="AK1209" s="78" t="b">
        <f t="shared" si="1101"/>
        <v>0</v>
      </c>
      <c r="AL1209" s="78" t="b">
        <f t="shared" si="1102"/>
        <v>0</v>
      </c>
      <c r="AM1209" s="78" t="b">
        <f t="shared" si="1103"/>
        <v>0</v>
      </c>
      <c r="AN1209" s="78" t="b">
        <f t="shared" si="1104"/>
        <v>0</v>
      </c>
      <c r="AO1209" s="78" t="b">
        <f t="shared" si="1105"/>
        <v>0</v>
      </c>
    </row>
    <row r="1210" spans="7:41" x14ac:dyDescent="0.35">
      <c r="G1210" s="77">
        <f t="shared" ref="G1210:G1273" si="1107">INT(D1210)</f>
        <v>0</v>
      </c>
      <c r="H1210" s="78">
        <f t="shared" ref="H1210:H1273" si="1108">D1210-G1210</f>
        <v>0</v>
      </c>
      <c r="I1210" s="77">
        <f t="shared" ref="I1210:I1273" si="1109">INT(E1210)</f>
        <v>0</v>
      </c>
      <c r="J1210" s="78">
        <f t="shared" ref="J1210:J1273" si="1110">E1210-I1210</f>
        <v>0</v>
      </c>
      <c r="K1210" s="78" t="str">
        <f t="shared" ref="K1210:K1273" si="1111">TEXT(G1210+H1210,"yyyy-mm-dd hh:m:ss")</f>
        <v>1900-01-00 00:0:00</v>
      </c>
      <c r="L1210" s="78" t="str">
        <f t="shared" ref="L1210:L1273" si="1112">TEXT(I1210+J1210,"yyyy-mm-dd hh:m:ss")</f>
        <v>1900-01-00 00:0:00</v>
      </c>
      <c r="M1210" s="79">
        <f t="shared" ref="M1210:M1273" si="1113">E1210-D1210</f>
        <v>0</v>
      </c>
      <c r="N1210">
        <f t="shared" si="1106"/>
        <v>1</v>
      </c>
      <c r="O1210" t="str">
        <f>IFERROR(_xlfn.XLOOKUP(A1210,HC!A:A,HC!C:C),"")</f>
        <v>Workforce</v>
      </c>
      <c r="R1210" s="78" t="b">
        <f t="shared" si="1082"/>
        <v>0</v>
      </c>
      <c r="S1210" s="78" t="b">
        <f t="shared" si="1083"/>
        <v>0</v>
      </c>
      <c r="T1210" s="78" t="b">
        <f t="shared" si="1084"/>
        <v>0</v>
      </c>
      <c r="U1210" s="78" t="b">
        <f t="shared" si="1085"/>
        <v>0</v>
      </c>
      <c r="V1210" s="78" t="b">
        <f t="shared" si="1086"/>
        <v>0</v>
      </c>
      <c r="W1210" s="78" t="b">
        <f t="shared" si="1087"/>
        <v>0</v>
      </c>
      <c r="X1210" s="78" t="b">
        <f t="shared" si="1088"/>
        <v>0</v>
      </c>
      <c r="Y1210" s="78" t="b">
        <f t="shared" si="1089"/>
        <v>0</v>
      </c>
      <c r="Z1210" s="78" t="b">
        <f t="shared" si="1090"/>
        <v>0</v>
      </c>
      <c r="AA1210" s="78" t="b">
        <f t="shared" si="1091"/>
        <v>0</v>
      </c>
      <c r="AB1210" s="78" t="b">
        <f t="shared" si="1092"/>
        <v>0</v>
      </c>
      <c r="AC1210" s="78" t="b">
        <f t="shared" si="1093"/>
        <v>0</v>
      </c>
      <c r="AD1210" s="78" t="b">
        <f t="shared" si="1094"/>
        <v>0</v>
      </c>
      <c r="AE1210" s="78" t="b">
        <f t="shared" si="1095"/>
        <v>0</v>
      </c>
      <c r="AF1210" s="78" t="b">
        <f t="shared" si="1096"/>
        <v>0</v>
      </c>
      <c r="AG1210" s="78" t="b">
        <f t="shared" si="1097"/>
        <v>0</v>
      </c>
      <c r="AH1210" s="78" t="b">
        <f t="shared" si="1098"/>
        <v>0</v>
      </c>
      <c r="AI1210" s="78" t="b">
        <f t="shared" si="1099"/>
        <v>0</v>
      </c>
      <c r="AJ1210" s="78" t="b">
        <f t="shared" si="1100"/>
        <v>0</v>
      </c>
      <c r="AK1210" s="78" t="b">
        <f t="shared" si="1101"/>
        <v>0</v>
      </c>
      <c r="AL1210" s="78" t="b">
        <f t="shared" si="1102"/>
        <v>0</v>
      </c>
      <c r="AM1210" s="78" t="b">
        <f t="shared" si="1103"/>
        <v>0</v>
      </c>
      <c r="AN1210" s="78" t="b">
        <f t="shared" si="1104"/>
        <v>0</v>
      </c>
      <c r="AO1210" s="78" t="b">
        <f t="shared" si="1105"/>
        <v>0</v>
      </c>
    </row>
    <row r="1211" spans="7:41" x14ac:dyDescent="0.35">
      <c r="G1211" s="77">
        <f t="shared" si="1107"/>
        <v>0</v>
      </c>
      <c r="H1211" s="78">
        <f t="shared" si="1108"/>
        <v>0</v>
      </c>
      <c r="I1211" s="77">
        <f t="shared" si="1109"/>
        <v>0</v>
      </c>
      <c r="J1211" s="78">
        <f t="shared" si="1110"/>
        <v>0</v>
      </c>
      <c r="K1211" s="78" t="str">
        <f t="shared" si="1111"/>
        <v>1900-01-00 00:0:00</v>
      </c>
      <c r="L1211" s="78" t="str">
        <f t="shared" si="1112"/>
        <v>1900-01-00 00:0:00</v>
      </c>
      <c r="M1211" s="79">
        <f t="shared" si="1113"/>
        <v>0</v>
      </c>
      <c r="N1211">
        <f t="shared" si="1106"/>
        <v>1</v>
      </c>
      <c r="O1211" t="str">
        <f>IFERROR(_xlfn.XLOOKUP(A1211,HC!A:A,HC!C:C),"")</f>
        <v>Workforce</v>
      </c>
      <c r="R1211" s="78" t="b">
        <f t="shared" si="1082"/>
        <v>0</v>
      </c>
      <c r="S1211" s="78" t="b">
        <f t="shared" si="1083"/>
        <v>0</v>
      </c>
      <c r="T1211" s="78" t="b">
        <f t="shared" si="1084"/>
        <v>0</v>
      </c>
      <c r="U1211" s="78" t="b">
        <f t="shared" si="1085"/>
        <v>0</v>
      </c>
      <c r="V1211" s="78" t="b">
        <f t="shared" si="1086"/>
        <v>0</v>
      </c>
      <c r="W1211" s="78" t="b">
        <f t="shared" si="1087"/>
        <v>0</v>
      </c>
      <c r="X1211" s="78" t="b">
        <f t="shared" si="1088"/>
        <v>0</v>
      </c>
      <c r="Y1211" s="78" t="b">
        <f t="shared" si="1089"/>
        <v>0</v>
      </c>
      <c r="Z1211" s="78" t="b">
        <f t="shared" si="1090"/>
        <v>0</v>
      </c>
      <c r="AA1211" s="78" t="b">
        <f t="shared" si="1091"/>
        <v>0</v>
      </c>
      <c r="AB1211" s="78" t="b">
        <f t="shared" si="1092"/>
        <v>0</v>
      </c>
      <c r="AC1211" s="78" t="b">
        <f t="shared" si="1093"/>
        <v>0</v>
      </c>
      <c r="AD1211" s="78" t="b">
        <f t="shared" si="1094"/>
        <v>0</v>
      </c>
      <c r="AE1211" s="78" t="b">
        <f t="shared" si="1095"/>
        <v>0</v>
      </c>
      <c r="AF1211" s="78" t="b">
        <f t="shared" si="1096"/>
        <v>0</v>
      </c>
      <c r="AG1211" s="78" t="b">
        <f t="shared" si="1097"/>
        <v>0</v>
      </c>
      <c r="AH1211" s="78" t="b">
        <f t="shared" si="1098"/>
        <v>0</v>
      </c>
      <c r="AI1211" s="78" t="b">
        <f t="shared" si="1099"/>
        <v>0</v>
      </c>
      <c r="AJ1211" s="78" t="b">
        <f t="shared" si="1100"/>
        <v>0</v>
      </c>
      <c r="AK1211" s="78" t="b">
        <f t="shared" si="1101"/>
        <v>0</v>
      </c>
      <c r="AL1211" s="78" t="b">
        <f t="shared" si="1102"/>
        <v>0</v>
      </c>
      <c r="AM1211" s="78" t="b">
        <f t="shared" si="1103"/>
        <v>0</v>
      </c>
      <c r="AN1211" s="78" t="b">
        <f t="shared" si="1104"/>
        <v>0</v>
      </c>
      <c r="AO1211" s="78" t="b">
        <f t="shared" si="1105"/>
        <v>0</v>
      </c>
    </row>
    <row r="1212" spans="7:41" x14ac:dyDescent="0.35">
      <c r="G1212" s="77">
        <f t="shared" si="1107"/>
        <v>0</v>
      </c>
      <c r="H1212" s="78">
        <f t="shared" si="1108"/>
        <v>0</v>
      </c>
      <c r="I1212" s="77">
        <f t="shared" si="1109"/>
        <v>0</v>
      </c>
      <c r="J1212" s="78">
        <f t="shared" si="1110"/>
        <v>0</v>
      </c>
      <c r="K1212" s="78" t="str">
        <f t="shared" si="1111"/>
        <v>1900-01-00 00:0:00</v>
      </c>
      <c r="L1212" s="78" t="str">
        <f t="shared" si="1112"/>
        <v>1900-01-00 00:0:00</v>
      </c>
      <c r="M1212" s="79">
        <f t="shared" si="1113"/>
        <v>0</v>
      </c>
      <c r="N1212">
        <f t="shared" si="1106"/>
        <v>1</v>
      </c>
      <c r="O1212" t="str">
        <f>IFERROR(_xlfn.XLOOKUP(A1212,HC!A:A,HC!C:C),"")</f>
        <v>Workforce</v>
      </c>
      <c r="R1212" s="78" t="b">
        <f t="shared" ref="R1212:R1275" si="1114">IFERROR(IF($B1212=$D$1,IF(AND($K1212&lt;R$1,$L1212&lt;R$1),"",IF(AND($K1212&gt;S$1,$L1212&gt;S$1),"",IF(AND($K1212&lt;R$1,$L1212&lt;=S$1),$L1212-R$1,IF(AND($K1212&gt;=R$1,$L1212&gt;S$1),S$1-$K1212,IF(AND($K1212&gt;=R$1,$L1212&lt;=S$1),$L1212-$K1212,IF(AND($K1212&lt;R$1,$L1212&gt;S$1),S$1-R$1,""))))))),"")</f>
        <v>0</v>
      </c>
      <c r="S1212" s="78" t="b">
        <f t="shared" ref="S1212:S1275" si="1115">IFERROR(IF($B1212=$D$1,IF(AND($K1212&lt;S$1,$L1212&lt;S$1),"",IF(AND($K1212&gt;T$1,$L1212&gt;T$1),"",IF(AND($K1212&lt;S$1,$L1212&lt;=T$1),$L1212-S$1,IF(AND($K1212&gt;=S$1,$L1212&gt;T$1),T$1-$K1212,IF(AND($K1212&gt;=S$1,$L1212&lt;=T$1),$L1212-$K1212,IF(AND($K1212&lt;S$1,$L1212&gt;T$1),T$1-S$1,""))))))),"")</f>
        <v>0</v>
      </c>
      <c r="T1212" s="78" t="b">
        <f t="shared" ref="T1212:T1275" si="1116">IFERROR(IF($B1212=$D$1,IF(AND($K1212&lt;T$1,$L1212&lt;T$1),"",IF(AND($K1212&gt;U$1,$L1212&gt;U$1),"",IF(AND($K1212&lt;T$1,$L1212&lt;=U$1),$L1212-T$1,IF(AND($K1212&gt;=T$1,$L1212&gt;U$1),U$1-$K1212,IF(AND($K1212&gt;=T$1,$L1212&lt;=U$1),$L1212-$K1212,IF(AND($K1212&lt;T$1,$L1212&gt;U$1),U$1-T$1,""))))))),"")</f>
        <v>0</v>
      </c>
      <c r="U1212" s="78" t="b">
        <f t="shared" ref="U1212:U1275" si="1117">IFERROR(IF($B1212=$D$1,IF(AND($K1212&lt;U$1,$L1212&lt;U$1),"",IF(AND($K1212&gt;V$1,$L1212&gt;V$1),"",IF(AND($K1212&lt;U$1,$L1212&lt;=V$1),$L1212-U$1,IF(AND($K1212&gt;=U$1,$L1212&gt;V$1),V$1-$K1212,IF(AND($K1212&gt;=U$1,$L1212&lt;=V$1),$L1212-$K1212,IF(AND($K1212&lt;U$1,$L1212&gt;V$1),V$1-U$1,""))))))),"")</f>
        <v>0</v>
      </c>
      <c r="V1212" s="78" t="b">
        <f t="shared" ref="V1212:V1275" si="1118">IFERROR(IF($B1212=$D$1,IF(AND($K1212&lt;V$1,$L1212&lt;V$1),"",IF(AND($K1212&gt;W$1,$L1212&gt;W$1),"",IF(AND($K1212&lt;V$1,$L1212&lt;=W$1),$L1212-V$1,IF(AND($K1212&gt;=V$1,$L1212&gt;W$1),W$1-$K1212,IF(AND($K1212&gt;=V$1,$L1212&lt;=W$1),$L1212-$K1212,IF(AND($K1212&lt;V$1,$L1212&gt;W$1),W$1-V$1,""))))))),"")</f>
        <v>0</v>
      </c>
      <c r="W1212" s="78" t="b">
        <f t="shared" ref="W1212:W1275" si="1119">IFERROR(IF($B1212=$D$1,IF(AND($K1212&lt;W$1,$L1212&lt;W$1),"",IF(AND($K1212&gt;X$1,$L1212&gt;X$1),"",IF(AND($K1212&lt;W$1,$L1212&lt;=X$1),$L1212-W$1,IF(AND($K1212&gt;=W$1,$L1212&gt;X$1),X$1-$K1212,IF(AND($K1212&gt;=W$1,$L1212&lt;=X$1),$L1212-$K1212,IF(AND($K1212&lt;W$1,$L1212&gt;X$1),X$1-W$1,""))))))),"")</f>
        <v>0</v>
      </c>
      <c r="X1212" s="78" t="b">
        <f t="shared" ref="X1212:X1275" si="1120">IFERROR(IF($B1212=$D$1,IF(AND($K1212&lt;X$1,$L1212&lt;X$1),"",IF(AND($K1212&gt;Y$1,$L1212&gt;Y$1),"",IF(AND($K1212&lt;X$1,$L1212&lt;=Y$1),$L1212-X$1,IF(AND($K1212&gt;=X$1,$L1212&gt;Y$1),Y$1-$K1212,IF(AND($K1212&gt;=X$1,$L1212&lt;=Y$1),$L1212-$K1212,IF(AND($K1212&lt;X$1,$L1212&gt;Y$1),Y$1-X$1,""))))))),"")</f>
        <v>0</v>
      </c>
      <c r="Y1212" s="78" t="b">
        <f t="shared" ref="Y1212:Y1275" si="1121">IFERROR(IF($B1212=$D$1,IF(AND($K1212&lt;Y$1,$L1212&lt;Y$1),"",IF(AND($K1212&gt;Z$1,$L1212&gt;Z$1),"",IF(AND($K1212&lt;Y$1,$L1212&lt;=Z$1),$L1212-Y$1,IF(AND($K1212&gt;=Y$1,$L1212&gt;Z$1),Z$1-$K1212,IF(AND($K1212&gt;=Y$1,$L1212&lt;=Z$1),$L1212-$K1212,IF(AND($K1212&lt;Y$1,$L1212&gt;Z$1),Z$1-Y$1,""))))))),"")</f>
        <v>0</v>
      </c>
      <c r="Z1212" s="78" t="b">
        <f t="shared" ref="Z1212:Z1275" si="1122">IFERROR(IF($B1212=$D$1,IF(AND($K1212&lt;Z$1,$L1212&lt;Z$1),"",IF(AND($K1212&gt;AA$1,$L1212&gt;AA$1),"",IF(AND($K1212&lt;Z$1,$L1212&lt;=AA$1),$L1212-Z$1,IF(AND($K1212&gt;=Z$1,$L1212&gt;AA$1),AA$1-$K1212,IF(AND($K1212&gt;=Z$1,$L1212&lt;=AA$1),$L1212-$K1212,IF(AND($K1212&lt;Z$1,$L1212&gt;AA$1),AA$1-Z$1,""))))))),"")</f>
        <v>0</v>
      </c>
      <c r="AA1212" s="78" t="b">
        <f t="shared" ref="AA1212:AA1275" si="1123">IFERROR(IF($B1212=$D$1,IF(AND($K1212&lt;AA$1,$L1212&lt;AA$1),"",IF(AND($K1212&gt;AB$1,$L1212&gt;AB$1),"",IF(AND($K1212&lt;AA$1,$L1212&lt;=AB$1),$L1212-AA$1,IF(AND($K1212&gt;=AA$1,$L1212&gt;AB$1),AB$1-$K1212,IF(AND($K1212&gt;=AA$1,$L1212&lt;=AB$1),$L1212-$K1212,IF(AND($K1212&lt;AA$1,$L1212&gt;AB$1),AB$1-AA$1,""))))))),"")</f>
        <v>0</v>
      </c>
      <c r="AB1212" s="78" t="b">
        <f t="shared" ref="AB1212:AB1275" si="1124">IFERROR(IF($B1212=$D$1,IF(AND($K1212&lt;AB$1,$L1212&lt;AB$1),"",IF(AND($K1212&gt;AC$1,$L1212&gt;AC$1),"",IF(AND($K1212&lt;AB$1,$L1212&lt;=AC$1),$L1212-AB$1,IF(AND($K1212&gt;=AB$1,$L1212&gt;AC$1),AC$1-$K1212,IF(AND($K1212&gt;=AB$1,$L1212&lt;=AC$1),$L1212-$K1212,IF(AND($K1212&lt;AB$1,$L1212&gt;AC$1),AC$1-AB$1,""))))))),"")</f>
        <v>0</v>
      </c>
      <c r="AC1212" s="78" t="b">
        <f t="shared" ref="AC1212:AC1275" si="1125">IFERROR(IF($B1212=$D$1,IF(AND($K1212&lt;AC$1,$L1212&lt;AC$1),"",IF(AND($K1212&gt;AD$1,$L1212&gt;AD$1),"",IF(AND($K1212&lt;AC$1,$L1212&lt;=AD$1),$L1212-AC$1,IF(AND($K1212&gt;=AC$1,$L1212&gt;AD$1),AD$1-$K1212,IF(AND($K1212&gt;=AC$1,$L1212&lt;=AD$1),$L1212-$K1212,IF(AND($K1212&lt;AC$1,$L1212&gt;AD$1),AD$1-AC$1,""))))))),"")</f>
        <v>0</v>
      </c>
      <c r="AD1212" s="78" t="b">
        <f t="shared" ref="AD1212:AD1275" si="1126">IFERROR(IF($B1212=$D$1,IF(AND($K1212&lt;AD$1,$L1212&lt;AD$1),"",IF(AND($K1212&gt;AE$1,$L1212&gt;AE$1),"",IF(AND($K1212&lt;AD$1,$L1212&lt;=AE$1),$L1212-AD$1,IF(AND($K1212&gt;=AD$1,$L1212&gt;AE$1),AE$1-$K1212,IF(AND($K1212&gt;=AD$1,$L1212&lt;=AE$1),$L1212-$K1212,IF(AND($K1212&lt;AD$1,$L1212&gt;AE$1),AE$1-AD$1,""))))))),"")</f>
        <v>0</v>
      </c>
      <c r="AE1212" s="78" t="b">
        <f t="shared" ref="AE1212:AE1275" si="1127">IFERROR(IF($B1212=$D$1,IF(AND($K1212&lt;AE$1,$L1212&lt;AE$1),"",IF(AND($K1212&gt;AF$1,$L1212&gt;AF$1),"",IF(AND($K1212&lt;AE$1,$L1212&lt;=AF$1),$L1212-AE$1,IF(AND($K1212&gt;=AE$1,$L1212&gt;AF$1),AF$1-$K1212,IF(AND($K1212&gt;=AE$1,$L1212&lt;=AF$1),$L1212-$K1212,IF(AND($K1212&lt;AE$1,$L1212&gt;AF$1),AF$1-AE$1,""))))))),"")</f>
        <v>0</v>
      </c>
      <c r="AF1212" s="78" t="b">
        <f t="shared" ref="AF1212:AF1275" si="1128">IFERROR(IF($B1212=$D$1,IF(AND($K1212&lt;AF$1,$L1212&lt;AF$1),"",IF(AND($K1212&gt;AG$1,$L1212&gt;AG$1),"",IF(AND($K1212&lt;AF$1,$L1212&lt;=AG$1),$L1212-AF$1,IF(AND($K1212&gt;=AF$1,$L1212&gt;AG$1),AG$1-$K1212,IF(AND($K1212&gt;=AF$1,$L1212&lt;=AG$1),$L1212-$K1212,IF(AND($K1212&lt;AF$1,$L1212&gt;AG$1),AG$1-AF$1,""))))))),"")</f>
        <v>0</v>
      </c>
      <c r="AG1212" s="78" t="b">
        <f t="shared" ref="AG1212:AG1275" si="1129">IFERROR(IF($B1212=$D$1,IF(AND($K1212&lt;AG$1,$L1212&lt;AG$1),"",IF(AND($K1212&gt;AH$1,$L1212&gt;AH$1),"",IF(AND($K1212&lt;AG$1,$L1212&lt;=AH$1),$L1212-AG$1,IF(AND($K1212&gt;=AG$1,$L1212&gt;AH$1),AH$1-$K1212,IF(AND($K1212&gt;=AG$1,$L1212&lt;=AH$1),$L1212-$K1212,IF(AND($K1212&lt;AG$1,$L1212&gt;AH$1),AH$1-AG$1,""))))))),"")</f>
        <v>0</v>
      </c>
      <c r="AH1212" s="78" t="b">
        <f t="shared" ref="AH1212:AH1275" si="1130">IFERROR(IF($B1212=$D$1,IF(AND($K1212&lt;AH$1,$L1212&lt;AH$1),"",IF(AND($K1212&gt;AI$1,$L1212&gt;AI$1),"",IF(AND($K1212&lt;AH$1,$L1212&lt;=AI$1),$L1212-AH$1,IF(AND($K1212&gt;=AH$1,$L1212&gt;AI$1),AI$1-$K1212,IF(AND($K1212&gt;=AH$1,$L1212&lt;=AI$1),$L1212-$K1212,IF(AND($K1212&lt;AH$1,$L1212&gt;AI$1),AI$1-AH$1,""))))))),"")</f>
        <v>0</v>
      </c>
      <c r="AI1212" s="78" t="b">
        <f t="shared" ref="AI1212:AI1275" si="1131">IFERROR(IF($B1212=$D$1,IF(AND($K1212&lt;AI$1,$L1212&lt;AI$1),"",IF(AND($K1212&gt;AJ$1,$L1212&gt;AJ$1),"",IF(AND($K1212&lt;AI$1,$L1212&lt;=AJ$1),$L1212-AI$1,IF(AND($K1212&gt;=AI$1,$L1212&gt;AJ$1),AJ$1-$K1212,IF(AND($K1212&gt;=AI$1,$L1212&lt;=AJ$1),$L1212-$K1212,IF(AND($K1212&lt;AI$1,$L1212&gt;AJ$1),AJ$1-AI$1,""))))))),"")</f>
        <v>0</v>
      </c>
      <c r="AJ1212" s="78" t="b">
        <f t="shared" ref="AJ1212:AJ1275" si="1132">IFERROR(IF($B1212=$D$1,IF(AND($K1212&lt;AJ$1,$L1212&lt;AJ$1),"",IF(AND($K1212&gt;AK$1,$L1212&gt;AK$1),"",IF(AND($K1212&lt;AJ$1,$L1212&lt;=AK$1),$L1212-AJ$1,IF(AND($K1212&gt;=AJ$1,$L1212&gt;AK$1),AK$1-$K1212,IF(AND($K1212&gt;=AJ$1,$L1212&lt;=AK$1),$L1212-$K1212,IF(AND($K1212&lt;AJ$1,$L1212&gt;AK$1),AK$1-AJ$1,""))))))),"")</f>
        <v>0</v>
      </c>
      <c r="AK1212" s="78" t="b">
        <f t="shared" ref="AK1212:AK1275" si="1133">IFERROR(IF($B1212=$D$1,IF(AND($K1212&lt;AK$1,$L1212&lt;AK$1),"",IF(AND($K1212&gt;AL$1,$L1212&gt;AL$1),"",IF(AND($K1212&lt;AK$1,$L1212&lt;=AL$1),$L1212-AK$1,IF(AND($K1212&gt;=AK$1,$L1212&gt;AL$1),AL$1-$K1212,IF(AND($K1212&gt;=AK$1,$L1212&lt;=AL$1),$L1212-$K1212,IF(AND($K1212&lt;AK$1,$L1212&gt;AL$1),AL$1-AK$1,""))))))),"")</f>
        <v>0</v>
      </c>
      <c r="AL1212" s="78" t="b">
        <f t="shared" ref="AL1212:AL1275" si="1134">IFERROR(IF($B1212=$D$1,IF(AND($K1212&lt;AL$1,$L1212&lt;AL$1),"",IF(AND($K1212&gt;AM$1,$L1212&gt;AM$1),"",IF(AND($K1212&lt;AL$1,$L1212&lt;=AM$1),$L1212-AL$1,IF(AND($K1212&gt;=AL$1,$L1212&gt;AM$1),AM$1-$K1212,IF(AND($K1212&gt;=AL$1,$L1212&lt;=AM$1),$L1212-$K1212,IF(AND($K1212&lt;AL$1,$L1212&gt;AM$1),AM$1-AL$1,""))))))),"")</f>
        <v>0</v>
      </c>
      <c r="AM1212" s="78" t="b">
        <f t="shared" ref="AM1212:AM1275" si="1135">IFERROR(IF($B1212=$D$1,IF(AND($K1212&lt;AM$1,$L1212&lt;AM$1),"",IF(AND($K1212&gt;AN$1,$L1212&gt;AN$1),"",IF(AND($K1212&lt;AM$1,$L1212&lt;=AN$1),$L1212-AM$1,IF(AND($K1212&gt;=AM$1,$L1212&gt;AN$1),AN$1-$K1212,IF(AND($K1212&gt;=AM$1,$L1212&lt;=AN$1),$L1212-$K1212,IF(AND($K1212&lt;AM$1,$L1212&gt;AN$1),AN$1-AM$1,""))))))),"")</f>
        <v>0</v>
      </c>
      <c r="AN1212" s="78" t="b">
        <f t="shared" ref="AN1212:AN1275" si="1136">IFERROR(IF($B1212=$D$1,IF(AND($K1212&lt;AN$1,$L1212&lt;AN$1),"",IF(AND($K1212&gt;AO$1,$L1212&gt;AO$1),"",IF(AND($K1212&lt;AN$1,$L1212&lt;=AO$1),$L1212-AN$1,IF(AND($K1212&gt;=AN$1,$L1212&gt;AO$1),AO$1-$K1212,IF(AND($K1212&gt;=AN$1,$L1212&lt;=AO$1),$L1212-$K1212,IF(AND($K1212&lt;AN$1,$L1212&gt;AO$1),AO$1-AN$1,""))))))),"")</f>
        <v>0</v>
      </c>
      <c r="AO1212" s="78" t="b">
        <f t="shared" ref="AO1212:AO1275" si="1137">IFERROR(IF($B1212=$D$1,IF(AND($K1212&lt;AO$1,$L1212&lt;AO$1),"",IF(AND($K1212&gt;AP$1,$L1212&gt;AP$1),"",IF(AND($K1212&lt;AO$1,$L1212&lt;=AP$1),$L1212-AO$1,IF(AND($K1212&gt;=AO$1,$L1212&gt;AP$1),AP$1-$K1212,IF(AND($K1212&gt;=AO$1,$L1212&lt;=AP$1),$L1212-$K1212,IF(AND($K1212&lt;AO$1,$L1212&gt;AP$1),AP$1-AO$1,""))))))),"")</f>
        <v>0</v>
      </c>
    </row>
    <row r="1213" spans="7:41" x14ac:dyDescent="0.35">
      <c r="G1213" s="77">
        <f t="shared" si="1107"/>
        <v>0</v>
      </c>
      <c r="H1213" s="78">
        <f t="shared" si="1108"/>
        <v>0</v>
      </c>
      <c r="I1213" s="77">
        <f t="shared" si="1109"/>
        <v>0</v>
      </c>
      <c r="J1213" s="78">
        <f t="shared" si="1110"/>
        <v>0</v>
      </c>
      <c r="K1213" s="78" t="str">
        <f t="shared" si="1111"/>
        <v>1900-01-00 00:0:00</v>
      </c>
      <c r="L1213" s="78" t="str">
        <f t="shared" si="1112"/>
        <v>1900-01-00 00:0:00</v>
      </c>
      <c r="M1213" s="79">
        <f t="shared" si="1113"/>
        <v>0</v>
      </c>
      <c r="N1213">
        <f t="shared" si="1106"/>
        <v>1</v>
      </c>
      <c r="O1213" t="str">
        <f>IFERROR(_xlfn.XLOOKUP(A1213,HC!A:A,HC!C:C),"")</f>
        <v>Workforce</v>
      </c>
      <c r="R1213" s="78" t="b">
        <f t="shared" si="1114"/>
        <v>0</v>
      </c>
      <c r="S1213" s="78" t="b">
        <f t="shared" si="1115"/>
        <v>0</v>
      </c>
      <c r="T1213" s="78" t="b">
        <f t="shared" si="1116"/>
        <v>0</v>
      </c>
      <c r="U1213" s="78" t="b">
        <f t="shared" si="1117"/>
        <v>0</v>
      </c>
      <c r="V1213" s="78" t="b">
        <f t="shared" si="1118"/>
        <v>0</v>
      </c>
      <c r="W1213" s="78" t="b">
        <f t="shared" si="1119"/>
        <v>0</v>
      </c>
      <c r="X1213" s="78" t="b">
        <f t="shared" si="1120"/>
        <v>0</v>
      </c>
      <c r="Y1213" s="78" t="b">
        <f t="shared" si="1121"/>
        <v>0</v>
      </c>
      <c r="Z1213" s="78" t="b">
        <f t="shared" si="1122"/>
        <v>0</v>
      </c>
      <c r="AA1213" s="78" t="b">
        <f t="shared" si="1123"/>
        <v>0</v>
      </c>
      <c r="AB1213" s="78" t="b">
        <f t="shared" si="1124"/>
        <v>0</v>
      </c>
      <c r="AC1213" s="78" t="b">
        <f t="shared" si="1125"/>
        <v>0</v>
      </c>
      <c r="AD1213" s="78" t="b">
        <f t="shared" si="1126"/>
        <v>0</v>
      </c>
      <c r="AE1213" s="78" t="b">
        <f t="shared" si="1127"/>
        <v>0</v>
      </c>
      <c r="AF1213" s="78" t="b">
        <f t="shared" si="1128"/>
        <v>0</v>
      </c>
      <c r="AG1213" s="78" t="b">
        <f t="shared" si="1129"/>
        <v>0</v>
      </c>
      <c r="AH1213" s="78" t="b">
        <f t="shared" si="1130"/>
        <v>0</v>
      </c>
      <c r="AI1213" s="78" t="b">
        <f t="shared" si="1131"/>
        <v>0</v>
      </c>
      <c r="AJ1213" s="78" t="b">
        <f t="shared" si="1132"/>
        <v>0</v>
      </c>
      <c r="AK1213" s="78" t="b">
        <f t="shared" si="1133"/>
        <v>0</v>
      </c>
      <c r="AL1213" s="78" t="b">
        <f t="shared" si="1134"/>
        <v>0</v>
      </c>
      <c r="AM1213" s="78" t="b">
        <f t="shared" si="1135"/>
        <v>0</v>
      </c>
      <c r="AN1213" s="78" t="b">
        <f t="shared" si="1136"/>
        <v>0</v>
      </c>
      <c r="AO1213" s="78" t="b">
        <f t="shared" si="1137"/>
        <v>0</v>
      </c>
    </row>
    <row r="1214" spans="7:41" x14ac:dyDescent="0.35">
      <c r="G1214" s="77">
        <f t="shared" si="1107"/>
        <v>0</v>
      </c>
      <c r="H1214" s="78">
        <f t="shared" si="1108"/>
        <v>0</v>
      </c>
      <c r="I1214" s="77">
        <f t="shared" si="1109"/>
        <v>0</v>
      </c>
      <c r="J1214" s="78">
        <f t="shared" si="1110"/>
        <v>0</v>
      </c>
      <c r="K1214" s="78" t="str">
        <f t="shared" si="1111"/>
        <v>1900-01-00 00:0:00</v>
      </c>
      <c r="L1214" s="78" t="str">
        <f t="shared" si="1112"/>
        <v>1900-01-00 00:0:00</v>
      </c>
      <c r="M1214" s="79">
        <f t="shared" si="1113"/>
        <v>0</v>
      </c>
      <c r="N1214">
        <f t="shared" si="1106"/>
        <v>1</v>
      </c>
      <c r="O1214" t="str">
        <f>IFERROR(_xlfn.XLOOKUP(A1214,HC!A:A,HC!C:C),"")</f>
        <v>Workforce</v>
      </c>
      <c r="R1214" s="78" t="b">
        <f t="shared" si="1114"/>
        <v>0</v>
      </c>
      <c r="S1214" s="78" t="b">
        <f t="shared" si="1115"/>
        <v>0</v>
      </c>
      <c r="T1214" s="78" t="b">
        <f t="shared" si="1116"/>
        <v>0</v>
      </c>
      <c r="U1214" s="78" t="b">
        <f t="shared" si="1117"/>
        <v>0</v>
      </c>
      <c r="V1214" s="78" t="b">
        <f t="shared" si="1118"/>
        <v>0</v>
      </c>
      <c r="W1214" s="78" t="b">
        <f t="shared" si="1119"/>
        <v>0</v>
      </c>
      <c r="X1214" s="78" t="b">
        <f t="shared" si="1120"/>
        <v>0</v>
      </c>
      <c r="Y1214" s="78" t="b">
        <f t="shared" si="1121"/>
        <v>0</v>
      </c>
      <c r="Z1214" s="78" t="b">
        <f t="shared" si="1122"/>
        <v>0</v>
      </c>
      <c r="AA1214" s="78" t="b">
        <f t="shared" si="1123"/>
        <v>0</v>
      </c>
      <c r="AB1214" s="78" t="b">
        <f t="shared" si="1124"/>
        <v>0</v>
      </c>
      <c r="AC1214" s="78" t="b">
        <f t="shared" si="1125"/>
        <v>0</v>
      </c>
      <c r="AD1214" s="78" t="b">
        <f t="shared" si="1126"/>
        <v>0</v>
      </c>
      <c r="AE1214" s="78" t="b">
        <f t="shared" si="1127"/>
        <v>0</v>
      </c>
      <c r="AF1214" s="78" t="b">
        <f t="shared" si="1128"/>
        <v>0</v>
      </c>
      <c r="AG1214" s="78" t="b">
        <f t="shared" si="1129"/>
        <v>0</v>
      </c>
      <c r="AH1214" s="78" t="b">
        <f t="shared" si="1130"/>
        <v>0</v>
      </c>
      <c r="AI1214" s="78" t="b">
        <f t="shared" si="1131"/>
        <v>0</v>
      </c>
      <c r="AJ1214" s="78" t="b">
        <f t="shared" si="1132"/>
        <v>0</v>
      </c>
      <c r="AK1214" s="78" t="b">
        <f t="shared" si="1133"/>
        <v>0</v>
      </c>
      <c r="AL1214" s="78" t="b">
        <f t="shared" si="1134"/>
        <v>0</v>
      </c>
      <c r="AM1214" s="78" t="b">
        <f t="shared" si="1135"/>
        <v>0</v>
      </c>
      <c r="AN1214" s="78" t="b">
        <f t="shared" si="1136"/>
        <v>0</v>
      </c>
      <c r="AO1214" s="78" t="b">
        <f t="shared" si="1137"/>
        <v>0</v>
      </c>
    </row>
    <row r="1215" spans="7:41" x14ac:dyDescent="0.35">
      <c r="G1215" s="77">
        <f t="shared" si="1107"/>
        <v>0</v>
      </c>
      <c r="H1215" s="78">
        <f t="shared" si="1108"/>
        <v>0</v>
      </c>
      <c r="I1215" s="77">
        <f t="shared" si="1109"/>
        <v>0</v>
      </c>
      <c r="J1215" s="78">
        <f t="shared" si="1110"/>
        <v>0</v>
      </c>
      <c r="K1215" s="78" t="str">
        <f t="shared" si="1111"/>
        <v>1900-01-00 00:0:00</v>
      </c>
      <c r="L1215" s="78" t="str">
        <f t="shared" si="1112"/>
        <v>1900-01-00 00:0:00</v>
      </c>
      <c r="M1215" s="79">
        <f t="shared" si="1113"/>
        <v>0</v>
      </c>
      <c r="N1215">
        <f t="shared" si="1106"/>
        <v>1</v>
      </c>
      <c r="O1215" t="str">
        <f>IFERROR(_xlfn.XLOOKUP(A1215,HC!A:A,HC!C:C),"")</f>
        <v>Workforce</v>
      </c>
      <c r="R1215" s="78" t="b">
        <f t="shared" si="1114"/>
        <v>0</v>
      </c>
      <c r="S1215" s="78" t="b">
        <f t="shared" si="1115"/>
        <v>0</v>
      </c>
      <c r="T1215" s="78" t="b">
        <f t="shared" si="1116"/>
        <v>0</v>
      </c>
      <c r="U1215" s="78" t="b">
        <f t="shared" si="1117"/>
        <v>0</v>
      </c>
      <c r="V1215" s="78" t="b">
        <f t="shared" si="1118"/>
        <v>0</v>
      </c>
      <c r="W1215" s="78" t="b">
        <f t="shared" si="1119"/>
        <v>0</v>
      </c>
      <c r="X1215" s="78" t="b">
        <f t="shared" si="1120"/>
        <v>0</v>
      </c>
      <c r="Y1215" s="78" t="b">
        <f t="shared" si="1121"/>
        <v>0</v>
      </c>
      <c r="Z1215" s="78" t="b">
        <f t="shared" si="1122"/>
        <v>0</v>
      </c>
      <c r="AA1215" s="78" t="b">
        <f t="shared" si="1123"/>
        <v>0</v>
      </c>
      <c r="AB1215" s="78" t="b">
        <f t="shared" si="1124"/>
        <v>0</v>
      </c>
      <c r="AC1215" s="78" t="b">
        <f t="shared" si="1125"/>
        <v>0</v>
      </c>
      <c r="AD1215" s="78" t="b">
        <f t="shared" si="1126"/>
        <v>0</v>
      </c>
      <c r="AE1215" s="78" t="b">
        <f t="shared" si="1127"/>
        <v>0</v>
      </c>
      <c r="AF1215" s="78" t="b">
        <f t="shared" si="1128"/>
        <v>0</v>
      </c>
      <c r="AG1215" s="78" t="b">
        <f t="shared" si="1129"/>
        <v>0</v>
      </c>
      <c r="AH1215" s="78" t="b">
        <f t="shared" si="1130"/>
        <v>0</v>
      </c>
      <c r="AI1215" s="78" t="b">
        <f t="shared" si="1131"/>
        <v>0</v>
      </c>
      <c r="AJ1215" s="78" t="b">
        <f t="shared" si="1132"/>
        <v>0</v>
      </c>
      <c r="AK1215" s="78" t="b">
        <f t="shared" si="1133"/>
        <v>0</v>
      </c>
      <c r="AL1215" s="78" t="b">
        <f t="shared" si="1134"/>
        <v>0</v>
      </c>
      <c r="AM1215" s="78" t="b">
        <f t="shared" si="1135"/>
        <v>0</v>
      </c>
      <c r="AN1215" s="78" t="b">
        <f t="shared" si="1136"/>
        <v>0</v>
      </c>
      <c r="AO1215" s="78" t="b">
        <f t="shared" si="1137"/>
        <v>0</v>
      </c>
    </row>
    <row r="1216" spans="7:41" x14ac:dyDescent="0.35">
      <c r="G1216" s="77">
        <f t="shared" si="1107"/>
        <v>0</v>
      </c>
      <c r="H1216" s="78">
        <f t="shared" si="1108"/>
        <v>0</v>
      </c>
      <c r="I1216" s="77">
        <f t="shared" si="1109"/>
        <v>0</v>
      </c>
      <c r="J1216" s="78">
        <f t="shared" si="1110"/>
        <v>0</v>
      </c>
      <c r="K1216" s="78" t="str">
        <f t="shared" si="1111"/>
        <v>1900-01-00 00:0:00</v>
      </c>
      <c r="L1216" s="78" t="str">
        <f t="shared" si="1112"/>
        <v>1900-01-00 00:0:00</v>
      </c>
      <c r="M1216" s="79">
        <f t="shared" si="1113"/>
        <v>0</v>
      </c>
      <c r="N1216">
        <f t="shared" si="1106"/>
        <v>1</v>
      </c>
      <c r="O1216" t="str">
        <f>IFERROR(_xlfn.XLOOKUP(A1216,HC!A:A,HC!C:C),"")</f>
        <v>Workforce</v>
      </c>
      <c r="R1216" s="78" t="b">
        <f t="shared" si="1114"/>
        <v>0</v>
      </c>
      <c r="S1216" s="78" t="b">
        <f t="shared" si="1115"/>
        <v>0</v>
      </c>
      <c r="T1216" s="78" t="b">
        <f t="shared" si="1116"/>
        <v>0</v>
      </c>
      <c r="U1216" s="78" t="b">
        <f t="shared" si="1117"/>
        <v>0</v>
      </c>
      <c r="V1216" s="78" t="b">
        <f t="shared" si="1118"/>
        <v>0</v>
      </c>
      <c r="W1216" s="78" t="b">
        <f t="shared" si="1119"/>
        <v>0</v>
      </c>
      <c r="X1216" s="78" t="b">
        <f t="shared" si="1120"/>
        <v>0</v>
      </c>
      <c r="Y1216" s="78" t="b">
        <f t="shared" si="1121"/>
        <v>0</v>
      </c>
      <c r="Z1216" s="78" t="b">
        <f t="shared" si="1122"/>
        <v>0</v>
      </c>
      <c r="AA1216" s="78" t="b">
        <f t="shared" si="1123"/>
        <v>0</v>
      </c>
      <c r="AB1216" s="78" t="b">
        <f t="shared" si="1124"/>
        <v>0</v>
      </c>
      <c r="AC1216" s="78" t="b">
        <f t="shared" si="1125"/>
        <v>0</v>
      </c>
      <c r="AD1216" s="78" t="b">
        <f t="shared" si="1126"/>
        <v>0</v>
      </c>
      <c r="AE1216" s="78" t="b">
        <f t="shared" si="1127"/>
        <v>0</v>
      </c>
      <c r="AF1216" s="78" t="b">
        <f t="shared" si="1128"/>
        <v>0</v>
      </c>
      <c r="AG1216" s="78" t="b">
        <f t="shared" si="1129"/>
        <v>0</v>
      </c>
      <c r="AH1216" s="78" t="b">
        <f t="shared" si="1130"/>
        <v>0</v>
      </c>
      <c r="AI1216" s="78" t="b">
        <f t="shared" si="1131"/>
        <v>0</v>
      </c>
      <c r="AJ1216" s="78" t="b">
        <f t="shared" si="1132"/>
        <v>0</v>
      </c>
      <c r="AK1216" s="78" t="b">
        <f t="shared" si="1133"/>
        <v>0</v>
      </c>
      <c r="AL1216" s="78" t="b">
        <f t="shared" si="1134"/>
        <v>0</v>
      </c>
      <c r="AM1216" s="78" t="b">
        <f t="shared" si="1135"/>
        <v>0</v>
      </c>
      <c r="AN1216" s="78" t="b">
        <f t="shared" si="1136"/>
        <v>0</v>
      </c>
      <c r="AO1216" s="78" t="b">
        <f t="shared" si="1137"/>
        <v>0</v>
      </c>
    </row>
    <row r="1217" spans="7:41" x14ac:dyDescent="0.35">
      <c r="G1217" s="77">
        <f t="shared" si="1107"/>
        <v>0</v>
      </c>
      <c r="H1217" s="78">
        <f t="shared" si="1108"/>
        <v>0</v>
      </c>
      <c r="I1217" s="77">
        <f t="shared" si="1109"/>
        <v>0</v>
      </c>
      <c r="J1217" s="78">
        <f t="shared" si="1110"/>
        <v>0</v>
      </c>
      <c r="K1217" s="78" t="str">
        <f t="shared" si="1111"/>
        <v>1900-01-00 00:0:00</v>
      </c>
      <c r="L1217" s="78" t="str">
        <f t="shared" si="1112"/>
        <v>1900-01-00 00:0:00</v>
      </c>
      <c r="M1217" s="79">
        <f t="shared" si="1113"/>
        <v>0</v>
      </c>
      <c r="N1217">
        <f t="shared" si="1106"/>
        <v>1</v>
      </c>
      <c r="O1217" t="str">
        <f>IFERROR(_xlfn.XLOOKUP(A1217,HC!A:A,HC!C:C),"")</f>
        <v>Workforce</v>
      </c>
      <c r="R1217" s="78" t="b">
        <f t="shared" si="1114"/>
        <v>0</v>
      </c>
      <c r="S1217" s="78" t="b">
        <f t="shared" si="1115"/>
        <v>0</v>
      </c>
      <c r="T1217" s="78" t="b">
        <f t="shared" si="1116"/>
        <v>0</v>
      </c>
      <c r="U1217" s="78" t="b">
        <f t="shared" si="1117"/>
        <v>0</v>
      </c>
      <c r="V1217" s="78" t="b">
        <f t="shared" si="1118"/>
        <v>0</v>
      </c>
      <c r="W1217" s="78" t="b">
        <f t="shared" si="1119"/>
        <v>0</v>
      </c>
      <c r="X1217" s="78" t="b">
        <f t="shared" si="1120"/>
        <v>0</v>
      </c>
      <c r="Y1217" s="78" t="b">
        <f t="shared" si="1121"/>
        <v>0</v>
      </c>
      <c r="Z1217" s="78" t="b">
        <f t="shared" si="1122"/>
        <v>0</v>
      </c>
      <c r="AA1217" s="78" t="b">
        <f t="shared" si="1123"/>
        <v>0</v>
      </c>
      <c r="AB1217" s="78" t="b">
        <f t="shared" si="1124"/>
        <v>0</v>
      </c>
      <c r="AC1217" s="78" t="b">
        <f t="shared" si="1125"/>
        <v>0</v>
      </c>
      <c r="AD1217" s="78" t="b">
        <f t="shared" si="1126"/>
        <v>0</v>
      </c>
      <c r="AE1217" s="78" t="b">
        <f t="shared" si="1127"/>
        <v>0</v>
      </c>
      <c r="AF1217" s="78" t="b">
        <f t="shared" si="1128"/>
        <v>0</v>
      </c>
      <c r="AG1217" s="78" t="b">
        <f t="shared" si="1129"/>
        <v>0</v>
      </c>
      <c r="AH1217" s="78" t="b">
        <f t="shared" si="1130"/>
        <v>0</v>
      </c>
      <c r="AI1217" s="78" t="b">
        <f t="shared" si="1131"/>
        <v>0</v>
      </c>
      <c r="AJ1217" s="78" t="b">
        <f t="shared" si="1132"/>
        <v>0</v>
      </c>
      <c r="AK1217" s="78" t="b">
        <f t="shared" si="1133"/>
        <v>0</v>
      </c>
      <c r="AL1217" s="78" t="b">
        <f t="shared" si="1134"/>
        <v>0</v>
      </c>
      <c r="AM1217" s="78" t="b">
        <f t="shared" si="1135"/>
        <v>0</v>
      </c>
      <c r="AN1217" s="78" t="b">
        <f t="shared" si="1136"/>
        <v>0</v>
      </c>
      <c r="AO1217" s="78" t="b">
        <f t="shared" si="1137"/>
        <v>0</v>
      </c>
    </row>
    <row r="1218" spans="7:41" x14ac:dyDescent="0.35">
      <c r="G1218" s="77">
        <f t="shared" si="1107"/>
        <v>0</v>
      </c>
      <c r="H1218" s="78">
        <f t="shared" si="1108"/>
        <v>0</v>
      </c>
      <c r="I1218" s="77">
        <f t="shared" si="1109"/>
        <v>0</v>
      </c>
      <c r="J1218" s="78">
        <f t="shared" si="1110"/>
        <v>0</v>
      </c>
      <c r="K1218" s="78" t="str">
        <f t="shared" si="1111"/>
        <v>1900-01-00 00:0:00</v>
      </c>
      <c r="L1218" s="78" t="str">
        <f t="shared" si="1112"/>
        <v>1900-01-00 00:0:00</v>
      </c>
      <c r="M1218" s="79">
        <f t="shared" si="1113"/>
        <v>0</v>
      </c>
      <c r="N1218">
        <f t="shared" si="1106"/>
        <v>1</v>
      </c>
      <c r="O1218" t="str">
        <f>IFERROR(_xlfn.XLOOKUP(A1218,HC!A:A,HC!C:C),"")</f>
        <v>Workforce</v>
      </c>
      <c r="R1218" s="78" t="b">
        <f t="shared" si="1114"/>
        <v>0</v>
      </c>
      <c r="S1218" s="78" t="b">
        <f t="shared" si="1115"/>
        <v>0</v>
      </c>
      <c r="T1218" s="78" t="b">
        <f t="shared" si="1116"/>
        <v>0</v>
      </c>
      <c r="U1218" s="78" t="b">
        <f t="shared" si="1117"/>
        <v>0</v>
      </c>
      <c r="V1218" s="78" t="b">
        <f t="shared" si="1118"/>
        <v>0</v>
      </c>
      <c r="W1218" s="78" t="b">
        <f t="shared" si="1119"/>
        <v>0</v>
      </c>
      <c r="X1218" s="78" t="b">
        <f t="shared" si="1120"/>
        <v>0</v>
      </c>
      <c r="Y1218" s="78" t="b">
        <f t="shared" si="1121"/>
        <v>0</v>
      </c>
      <c r="Z1218" s="78" t="b">
        <f t="shared" si="1122"/>
        <v>0</v>
      </c>
      <c r="AA1218" s="78" t="b">
        <f t="shared" si="1123"/>
        <v>0</v>
      </c>
      <c r="AB1218" s="78" t="b">
        <f t="shared" si="1124"/>
        <v>0</v>
      </c>
      <c r="AC1218" s="78" t="b">
        <f t="shared" si="1125"/>
        <v>0</v>
      </c>
      <c r="AD1218" s="78" t="b">
        <f t="shared" si="1126"/>
        <v>0</v>
      </c>
      <c r="AE1218" s="78" t="b">
        <f t="shared" si="1127"/>
        <v>0</v>
      </c>
      <c r="AF1218" s="78" t="b">
        <f t="shared" si="1128"/>
        <v>0</v>
      </c>
      <c r="AG1218" s="78" t="b">
        <f t="shared" si="1129"/>
        <v>0</v>
      </c>
      <c r="AH1218" s="78" t="b">
        <f t="shared" si="1130"/>
        <v>0</v>
      </c>
      <c r="AI1218" s="78" t="b">
        <f t="shared" si="1131"/>
        <v>0</v>
      </c>
      <c r="AJ1218" s="78" t="b">
        <f t="shared" si="1132"/>
        <v>0</v>
      </c>
      <c r="AK1218" s="78" t="b">
        <f t="shared" si="1133"/>
        <v>0</v>
      </c>
      <c r="AL1218" s="78" t="b">
        <f t="shared" si="1134"/>
        <v>0</v>
      </c>
      <c r="AM1218" s="78" t="b">
        <f t="shared" si="1135"/>
        <v>0</v>
      </c>
      <c r="AN1218" s="78" t="b">
        <f t="shared" si="1136"/>
        <v>0</v>
      </c>
      <c r="AO1218" s="78" t="b">
        <f t="shared" si="1137"/>
        <v>0</v>
      </c>
    </row>
    <row r="1219" spans="7:41" x14ac:dyDescent="0.35">
      <c r="G1219" s="77">
        <f t="shared" si="1107"/>
        <v>0</v>
      </c>
      <c r="H1219" s="78">
        <f t="shared" si="1108"/>
        <v>0</v>
      </c>
      <c r="I1219" s="77">
        <f t="shared" si="1109"/>
        <v>0</v>
      </c>
      <c r="J1219" s="78">
        <f t="shared" si="1110"/>
        <v>0</v>
      </c>
      <c r="K1219" s="78" t="str">
        <f t="shared" si="1111"/>
        <v>1900-01-00 00:0:00</v>
      </c>
      <c r="L1219" s="78" t="str">
        <f t="shared" si="1112"/>
        <v>1900-01-00 00:0:00</v>
      </c>
      <c r="M1219" s="79">
        <f t="shared" si="1113"/>
        <v>0</v>
      </c>
      <c r="N1219">
        <f t="shared" si="1106"/>
        <v>1</v>
      </c>
      <c r="O1219" t="str">
        <f>IFERROR(_xlfn.XLOOKUP(A1219,HC!A:A,HC!C:C),"")</f>
        <v>Workforce</v>
      </c>
      <c r="R1219" s="78" t="b">
        <f t="shared" si="1114"/>
        <v>0</v>
      </c>
      <c r="S1219" s="78" t="b">
        <f t="shared" si="1115"/>
        <v>0</v>
      </c>
      <c r="T1219" s="78" t="b">
        <f t="shared" si="1116"/>
        <v>0</v>
      </c>
      <c r="U1219" s="78" t="b">
        <f t="shared" si="1117"/>
        <v>0</v>
      </c>
      <c r="V1219" s="78" t="b">
        <f t="shared" si="1118"/>
        <v>0</v>
      </c>
      <c r="W1219" s="78" t="b">
        <f t="shared" si="1119"/>
        <v>0</v>
      </c>
      <c r="X1219" s="78" t="b">
        <f t="shared" si="1120"/>
        <v>0</v>
      </c>
      <c r="Y1219" s="78" t="b">
        <f t="shared" si="1121"/>
        <v>0</v>
      </c>
      <c r="Z1219" s="78" t="b">
        <f t="shared" si="1122"/>
        <v>0</v>
      </c>
      <c r="AA1219" s="78" t="b">
        <f t="shared" si="1123"/>
        <v>0</v>
      </c>
      <c r="AB1219" s="78" t="b">
        <f t="shared" si="1124"/>
        <v>0</v>
      </c>
      <c r="AC1219" s="78" t="b">
        <f t="shared" si="1125"/>
        <v>0</v>
      </c>
      <c r="AD1219" s="78" t="b">
        <f t="shared" si="1126"/>
        <v>0</v>
      </c>
      <c r="AE1219" s="78" t="b">
        <f t="shared" si="1127"/>
        <v>0</v>
      </c>
      <c r="AF1219" s="78" t="b">
        <f t="shared" si="1128"/>
        <v>0</v>
      </c>
      <c r="AG1219" s="78" t="b">
        <f t="shared" si="1129"/>
        <v>0</v>
      </c>
      <c r="AH1219" s="78" t="b">
        <f t="shared" si="1130"/>
        <v>0</v>
      </c>
      <c r="AI1219" s="78" t="b">
        <f t="shared" si="1131"/>
        <v>0</v>
      </c>
      <c r="AJ1219" s="78" t="b">
        <f t="shared" si="1132"/>
        <v>0</v>
      </c>
      <c r="AK1219" s="78" t="b">
        <f t="shared" si="1133"/>
        <v>0</v>
      </c>
      <c r="AL1219" s="78" t="b">
        <f t="shared" si="1134"/>
        <v>0</v>
      </c>
      <c r="AM1219" s="78" t="b">
        <f t="shared" si="1135"/>
        <v>0</v>
      </c>
      <c r="AN1219" s="78" t="b">
        <f t="shared" si="1136"/>
        <v>0</v>
      </c>
      <c r="AO1219" s="78" t="b">
        <f t="shared" si="1137"/>
        <v>0</v>
      </c>
    </row>
    <row r="1220" spans="7:41" x14ac:dyDescent="0.35">
      <c r="G1220" s="77">
        <f t="shared" si="1107"/>
        <v>0</v>
      </c>
      <c r="H1220" s="78">
        <f t="shared" si="1108"/>
        <v>0</v>
      </c>
      <c r="I1220" s="77">
        <f t="shared" si="1109"/>
        <v>0</v>
      </c>
      <c r="J1220" s="78">
        <f t="shared" si="1110"/>
        <v>0</v>
      </c>
      <c r="K1220" s="78" t="str">
        <f t="shared" si="1111"/>
        <v>1900-01-00 00:0:00</v>
      </c>
      <c r="L1220" s="78" t="str">
        <f t="shared" si="1112"/>
        <v>1900-01-00 00:0:00</v>
      </c>
      <c r="M1220" s="79">
        <f t="shared" si="1113"/>
        <v>0</v>
      </c>
      <c r="N1220">
        <f t="shared" ref="N1220:N1283" si="1138">IF(M1220&lt;$BA$1,1,0)</f>
        <v>1</v>
      </c>
      <c r="O1220" t="str">
        <f>IFERROR(_xlfn.XLOOKUP(A1220,HC!A:A,HC!C:C),"")</f>
        <v>Workforce</v>
      </c>
      <c r="R1220" s="78" t="b">
        <f t="shared" si="1114"/>
        <v>0</v>
      </c>
      <c r="S1220" s="78" t="b">
        <f t="shared" si="1115"/>
        <v>0</v>
      </c>
      <c r="T1220" s="78" t="b">
        <f t="shared" si="1116"/>
        <v>0</v>
      </c>
      <c r="U1220" s="78" t="b">
        <f t="shared" si="1117"/>
        <v>0</v>
      </c>
      <c r="V1220" s="78" t="b">
        <f t="shared" si="1118"/>
        <v>0</v>
      </c>
      <c r="W1220" s="78" t="b">
        <f t="shared" si="1119"/>
        <v>0</v>
      </c>
      <c r="X1220" s="78" t="b">
        <f t="shared" si="1120"/>
        <v>0</v>
      </c>
      <c r="Y1220" s="78" t="b">
        <f t="shared" si="1121"/>
        <v>0</v>
      </c>
      <c r="Z1220" s="78" t="b">
        <f t="shared" si="1122"/>
        <v>0</v>
      </c>
      <c r="AA1220" s="78" t="b">
        <f t="shared" si="1123"/>
        <v>0</v>
      </c>
      <c r="AB1220" s="78" t="b">
        <f t="shared" si="1124"/>
        <v>0</v>
      </c>
      <c r="AC1220" s="78" t="b">
        <f t="shared" si="1125"/>
        <v>0</v>
      </c>
      <c r="AD1220" s="78" t="b">
        <f t="shared" si="1126"/>
        <v>0</v>
      </c>
      <c r="AE1220" s="78" t="b">
        <f t="shared" si="1127"/>
        <v>0</v>
      </c>
      <c r="AF1220" s="78" t="b">
        <f t="shared" si="1128"/>
        <v>0</v>
      </c>
      <c r="AG1220" s="78" t="b">
        <f t="shared" si="1129"/>
        <v>0</v>
      </c>
      <c r="AH1220" s="78" t="b">
        <f t="shared" si="1130"/>
        <v>0</v>
      </c>
      <c r="AI1220" s="78" t="b">
        <f t="shared" si="1131"/>
        <v>0</v>
      </c>
      <c r="AJ1220" s="78" t="b">
        <f t="shared" si="1132"/>
        <v>0</v>
      </c>
      <c r="AK1220" s="78" t="b">
        <f t="shared" si="1133"/>
        <v>0</v>
      </c>
      <c r="AL1220" s="78" t="b">
        <f t="shared" si="1134"/>
        <v>0</v>
      </c>
      <c r="AM1220" s="78" t="b">
        <f t="shared" si="1135"/>
        <v>0</v>
      </c>
      <c r="AN1220" s="78" t="b">
        <f t="shared" si="1136"/>
        <v>0</v>
      </c>
      <c r="AO1220" s="78" t="b">
        <f t="shared" si="1137"/>
        <v>0</v>
      </c>
    </row>
    <row r="1221" spans="7:41" x14ac:dyDescent="0.35">
      <c r="G1221" s="77">
        <f t="shared" si="1107"/>
        <v>0</v>
      </c>
      <c r="H1221" s="78">
        <f t="shared" si="1108"/>
        <v>0</v>
      </c>
      <c r="I1221" s="77">
        <f t="shared" si="1109"/>
        <v>0</v>
      </c>
      <c r="J1221" s="78">
        <f t="shared" si="1110"/>
        <v>0</v>
      </c>
      <c r="K1221" s="78" t="str">
        <f t="shared" si="1111"/>
        <v>1900-01-00 00:0:00</v>
      </c>
      <c r="L1221" s="78" t="str">
        <f t="shared" si="1112"/>
        <v>1900-01-00 00:0:00</v>
      </c>
      <c r="M1221" s="79">
        <f t="shared" si="1113"/>
        <v>0</v>
      </c>
      <c r="N1221">
        <f t="shared" si="1138"/>
        <v>1</v>
      </c>
      <c r="O1221" t="str">
        <f>IFERROR(_xlfn.XLOOKUP(A1221,HC!A:A,HC!C:C),"")</f>
        <v>Workforce</v>
      </c>
      <c r="R1221" s="78" t="b">
        <f t="shared" si="1114"/>
        <v>0</v>
      </c>
      <c r="S1221" s="78" t="b">
        <f t="shared" si="1115"/>
        <v>0</v>
      </c>
      <c r="T1221" s="78" t="b">
        <f t="shared" si="1116"/>
        <v>0</v>
      </c>
      <c r="U1221" s="78" t="b">
        <f t="shared" si="1117"/>
        <v>0</v>
      </c>
      <c r="V1221" s="78" t="b">
        <f t="shared" si="1118"/>
        <v>0</v>
      </c>
      <c r="W1221" s="78" t="b">
        <f t="shared" si="1119"/>
        <v>0</v>
      </c>
      <c r="X1221" s="78" t="b">
        <f t="shared" si="1120"/>
        <v>0</v>
      </c>
      <c r="Y1221" s="78" t="b">
        <f t="shared" si="1121"/>
        <v>0</v>
      </c>
      <c r="Z1221" s="78" t="b">
        <f t="shared" si="1122"/>
        <v>0</v>
      </c>
      <c r="AA1221" s="78" t="b">
        <f t="shared" si="1123"/>
        <v>0</v>
      </c>
      <c r="AB1221" s="78" t="b">
        <f t="shared" si="1124"/>
        <v>0</v>
      </c>
      <c r="AC1221" s="78" t="b">
        <f t="shared" si="1125"/>
        <v>0</v>
      </c>
      <c r="AD1221" s="78" t="b">
        <f t="shared" si="1126"/>
        <v>0</v>
      </c>
      <c r="AE1221" s="78" t="b">
        <f t="shared" si="1127"/>
        <v>0</v>
      </c>
      <c r="AF1221" s="78" t="b">
        <f t="shared" si="1128"/>
        <v>0</v>
      </c>
      <c r="AG1221" s="78" t="b">
        <f t="shared" si="1129"/>
        <v>0</v>
      </c>
      <c r="AH1221" s="78" t="b">
        <f t="shared" si="1130"/>
        <v>0</v>
      </c>
      <c r="AI1221" s="78" t="b">
        <f t="shared" si="1131"/>
        <v>0</v>
      </c>
      <c r="AJ1221" s="78" t="b">
        <f t="shared" si="1132"/>
        <v>0</v>
      </c>
      <c r="AK1221" s="78" t="b">
        <f t="shared" si="1133"/>
        <v>0</v>
      </c>
      <c r="AL1221" s="78" t="b">
        <f t="shared" si="1134"/>
        <v>0</v>
      </c>
      <c r="AM1221" s="78" t="b">
        <f t="shared" si="1135"/>
        <v>0</v>
      </c>
      <c r="AN1221" s="78" t="b">
        <f t="shared" si="1136"/>
        <v>0</v>
      </c>
      <c r="AO1221" s="78" t="b">
        <f t="shared" si="1137"/>
        <v>0</v>
      </c>
    </row>
    <row r="1222" spans="7:41" x14ac:dyDescent="0.35">
      <c r="G1222" s="77">
        <f t="shared" si="1107"/>
        <v>0</v>
      </c>
      <c r="H1222" s="78">
        <f t="shared" si="1108"/>
        <v>0</v>
      </c>
      <c r="I1222" s="77">
        <f t="shared" si="1109"/>
        <v>0</v>
      </c>
      <c r="J1222" s="78">
        <f t="shared" si="1110"/>
        <v>0</v>
      </c>
      <c r="K1222" s="78" t="str">
        <f t="shared" si="1111"/>
        <v>1900-01-00 00:0:00</v>
      </c>
      <c r="L1222" s="78" t="str">
        <f t="shared" si="1112"/>
        <v>1900-01-00 00:0:00</v>
      </c>
      <c r="M1222" s="79">
        <f t="shared" si="1113"/>
        <v>0</v>
      </c>
      <c r="N1222">
        <f t="shared" si="1138"/>
        <v>1</v>
      </c>
      <c r="O1222" t="str">
        <f>IFERROR(_xlfn.XLOOKUP(A1222,HC!A:A,HC!C:C),"")</f>
        <v>Workforce</v>
      </c>
      <c r="R1222" s="78" t="b">
        <f t="shared" si="1114"/>
        <v>0</v>
      </c>
      <c r="S1222" s="78" t="b">
        <f t="shared" si="1115"/>
        <v>0</v>
      </c>
      <c r="T1222" s="78" t="b">
        <f t="shared" si="1116"/>
        <v>0</v>
      </c>
      <c r="U1222" s="78" t="b">
        <f t="shared" si="1117"/>
        <v>0</v>
      </c>
      <c r="V1222" s="78" t="b">
        <f t="shared" si="1118"/>
        <v>0</v>
      </c>
      <c r="W1222" s="78" t="b">
        <f t="shared" si="1119"/>
        <v>0</v>
      </c>
      <c r="X1222" s="78" t="b">
        <f t="shared" si="1120"/>
        <v>0</v>
      </c>
      <c r="Y1222" s="78" t="b">
        <f t="shared" si="1121"/>
        <v>0</v>
      </c>
      <c r="Z1222" s="78" t="b">
        <f t="shared" si="1122"/>
        <v>0</v>
      </c>
      <c r="AA1222" s="78" t="b">
        <f t="shared" si="1123"/>
        <v>0</v>
      </c>
      <c r="AB1222" s="78" t="b">
        <f t="shared" si="1124"/>
        <v>0</v>
      </c>
      <c r="AC1222" s="78" t="b">
        <f t="shared" si="1125"/>
        <v>0</v>
      </c>
      <c r="AD1222" s="78" t="b">
        <f t="shared" si="1126"/>
        <v>0</v>
      </c>
      <c r="AE1222" s="78" t="b">
        <f t="shared" si="1127"/>
        <v>0</v>
      </c>
      <c r="AF1222" s="78" t="b">
        <f t="shared" si="1128"/>
        <v>0</v>
      </c>
      <c r="AG1222" s="78" t="b">
        <f t="shared" si="1129"/>
        <v>0</v>
      </c>
      <c r="AH1222" s="78" t="b">
        <f t="shared" si="1130"/>
        <v>0</v>
      </c>
      <c r="AI1222" s="78" t="b">
        <f t="shared" si="1131"/>
        <v>0</v>
      </c>
      <c r="AJ1222" s="78" t="b">
        <f t="shared" si="1132"/>
        <v>0</v>
      </c>
      <c r="AK1222" s="78" t="b">
        <f t="shared" si="1133"/>
        <v>0</v>
      </c>
      <c r="AL1222" s="78" t="b">
        <f t="shared" si="1134"/>
        <v>0</v>
      </c>
      <c r="AM1222" s="78" t="b">
        <f t="shared" si="1135"/>
        <v>0</v>
      </c>
      <c r="AN1222" s="78" t="b">
        <f t="shared" si="1136"/>
        <v>0</v>
      </c>
      <c r="AO1222" s="78" t="b">
        <f t="shared" si="1137"/>
        <v>0</v>
      </c>
    </row>
    <row r="1223" spans="7:41" x14ac:dyDescent="0.35">
      <c r="G1223" s="77">
        <f t="shared" si="1107"/>
        <v>0</v>
      </c>
      <c r="H1223" s="78">
        <f t="shared" si="1108"/>
        <v>0</v>
      </c>
      <c r="I1223" s="77">
        <f t="shared" si="1109"/>
        <v>0</v>
      </c>
      <c r="J1223" s="78">
        <f t="shared" si="1110"/>
        <v>0</v>
      </c>
      <c r="K1223" s="78" t="str">
        <f t="shared" si="1111"/>
        <v>1900-01-00 00:0:00</v>
      </c>
      <c r="L1223" s="78" t="str">
        <f t="shared" si="1112"/>
        <v>1900-01-00 00:0:00</v>
      </c>
      <c r="M1223" s="79">
        <f t="shared" si="1113"/>
        <v>0</v>
      </c>
      <c r="N1223">
        <f t="shared" si="1138"/>
        <v>1</v>
      </c>
      <c r="O1223" t="str">
        <f>IFERROR(_xlfn.XLOOKUP(A1223,HC!A:A,HC!C:C),"")</f>
        <v>Workforce</v>
      </c>
      <c r="R1223" s="78" t="b">
        <f t="shared" si="1114"/>
        <v>0</v>
      </c>
      <c r="S1223" s="78" t="b">
        <f t="shared" si="1115"/>
        <v>0</v>
      </c>
      <c r="T1223" s="78" t="b">
        <f t="shared" si="1116"/>
        <v>0</v>
      </c>
      <c r="U1223" s="78" t="b">
        <f t="shared" si="1117"/>
        <v>0</v>
      </c>
      <c r="V1223" s="78" t="b">
        <f t="shared" si="1118"/>
        <v>0</v>
      </c>
      <c r="W1223" s="78" t="b">
        <f t="shared" si="1119"/>
        <v>0</v>
      </c>
      <c r="X1223" s="78" t="b">
        <f t="shared" si="1120"/>
        <v>0</v>
      </c>
      <c r="Y1223" s="78" t="b">
        <f t="shared" si="1121"/>
        <v>0</v>
      </c>
      <c r="Z1223" s="78" t="b">
        <f t="shared" si="1122"/>
        <v>0</v>
      </c>
      <c r="AA1223" s="78" t="b">
        <f t="shared" si="1123"/>
        <v>0</v>
      </c>
      <c r="AB1223" s="78" t="b">
        <f t="shared" si="1124"/>
        <v>0</v>
      </c>
      <c r="AC1223" s="78" t="b">
        <f t="shared" si="1125"/>
        <v>0</v>
      </c>
      <c r="AD1223" s="78" t="b">
        <f t="shared" si="1126"/>
        <v>0</v>
      </c>
      <c r="AE1223" s="78" t="b">
        <f t="shared" si="1127"/>
        <v>0</v>
      </c>
      <c r="AF1223" s="78" t="b">
        <f t="shared" si="1128"/>
        <v>0</v>
      </c>
      <c r="AG1223" s="78" t="b">
        <f t="shared" si="1129"/>
        <v>0</v>
      </c>
      <c r="AH1223" s="78" t="b">
        <f t="shared" si="1130"/>
        <v>0</v>
      </c>
      <c r="AI1223" s="78" t="b">
        <f t="shared" si="1131"/>
        <v>0</v>
      </c>
      <c r="AJ1223" s="78" t="b">
        <f t="shared" si="1132"/>
        <v>0</v>
      </c>
      <c r="AK1223" s="78" t="b">
        <f t="shared" si="1133"/>
        <v>0</v>
      </c>
      <c r="AL1223" s="78" t="b">
        <f t="shared" si="1134"/>
        <v>0</v>
      </c>
      <c r="AM1223" s="78" t="b">
        <f t="shared" si="1135"/>
        <v>0</v>
      </c>
      <c r="AN1223" s="78" t="b">
        <f t="shared" si="1136"/>
        <v>0</v>
      </c>
      <c r="AO1223" s="78" t="b">
        <f t="shared" si="1137"/>
        <v>0</v>
      </c>
    </row>
    <row r="1224" spans="7:41" x14ac:dyDescent="0.35">
      <c r="G1224" s="77">
        <f t="shared" si="1107"/>
        <v>0</v>
      </c>
      <c r="H1224" s="78">
        <f t="shared" si="1108"/>
        <v>0</v>
      </c>
      <c r="I1224" s="77">
        <f t="shared" si="1109"/>
        <v>0</v>
      </c>
      <c r="J1224" s="78">
        <f t="shared" si="1110"/>
        <v>0</v>
      </c>
      <c r="K1224" s="78" t="str">
        <f t="shared" si="1111"/>
        <v>1900-01-00 00:0:00</v>
      </c>
      <c r="L1224" s="78" t="str">
        <f t="shared" si="1112"/>
        <v>1900-01-00 00:0:00</v>
      </c>
      <c r="M1224" s="79">
        <f t="shared" si="1113"/>
        <v>0</v>
      </c>
      <c r="N1224">
        <f t="shared" si="1138"/>
        <v>1</v>
      </c>
      <c r="O1224" t="str">
        <f>IFERROR(_xlfn.XLOOKUP(A1224,HC!A:A,HC!C:C),"")</f>
        <v>Workforce</v>
      </c>
      <c r="R1224" s="78" t="b">
        <f t="shared" si="1114"/>
        <v>0</v>
      </c>
      <c r="S1224" s="78" t="b">
        <f t="shared" si="1115"/>
        <v>0</v>
      </c>
      <c r="T1224" s="78" t="b">
        <f t="shared" si="1116"/>
        <v>0</v>
      </c>
      <c r="U1224" s="78" t="b">
        <f t="shared" si="1117"/>
        <v>0</v>
      </c>
      <c r="V1224" s="78" t="b">
        <f t="shared" si="1118"/>
        <v>0</v>
      </c>
      <c r="W1224" s="78" t="b">
        <f t="shared" si="1119"/>
        <v>0</v>
      </c>
      <c r="X1224" s="78" t="b">
        <f t="shared" si="1120"/>
        <v>0</v>
      </c>
      <c r="Y1224" s="78" t="b">
        <f t="shared" si="1121"/>
        <v>0</v>
      </c>
      <c r="Z1224" s="78" t="b">
        <f t="shared" si="1122"/>
        <v>0</v>
      </c>
      <c r="AA1224" s="78" t="b">
        <f t="shared" si="1123"/>
        <v>0</v>
      </c>
      <c r="AB1224" s="78" t="b">
        <f t="shared" si="1124"/>
        <v>0</v>
      </c>
      <c r="AC1224" s="78" t="b">
        <f t="shared" si="1125"/>
        <v>0</v>
      </c>
      <c r="AD1224" s="78" t="b">
        <f t="shared" si="1126"/>
        <v>0</v>
      </c>
      <c r="AE1224" s="78" t="b">
        <f t="shared" si="1127"/>
        <v>0</v>
      </c>
      <c r="AF1224" s="78" t="b">
        <f t="shared" si="1128"/>
        <v>0</v>
      </c>
      <c r="AG1224" s="78" t="b">
        <f t="shared" si="1129"/>
        <v>0</v>
      </c>
      <c r="AH1224" s="78" t="b">
        <f t="shared" si="1130"/>
        <v>0</v>
      </c>
      <c r="AI1224" s="78" t="b">
        <f t="shared" si="1131"/>
        <v>0</v>
      </c>
      <c r="AJ1224" s="78" t="b">
        <f t="shared" si="1132"/>
        <v>0</v>
      </c>
      <c r="AK1224" s="78" t="b">
        <f t="shared" si="1133"/>
        <v>0</v>
      </c>
      <c r="AL1224" s="78" t="b">
        <f t="shared" si="1134"/>
        <v>0</v>
      </c>
      <c r="AM1224" s="78" t="b">
        <f t="shared" si="1135"/>
        <v>0</v>
      </c>
      <c r="AN1224" s="78" t="b">
        <f t="shared" si="1136"/>
        <v>0</v>
      </c>
      <c r="AO1224" s="78" t="b">
        <f t="shared" si="1137"/>
        <v>0</v>
      </c>
    </row>
    <row r="1225" spans="7:41" x14ac:dyDescent="0.35">
      <c r="G1225" s="77">
        <f t="shared" si="1107"/>
        <v>0</v>
      </c>
      <c r="H1225" s="78">
        <f t="shared" si="1108"/>
        <v>0</v>
      </c>
      <c r="I1225" s="77">
        <f t="shared" si="1109"/>
        <v>0</v>
      </c>
      <c r="J1225" s="78">
        <f t="shared" si="1110"/>
        <v>0</v>
      </c>
      <c r="K1225" s="78" t="str">
        <f t="shared" si="1111"/>
        <v>1900-01-00 00:0:00</v>
      </c>
      <c r="L1225" s="78" t="str">
        <f t="shared" si="1112"/>
        <v>1900-01-00 00:0:00</v>
      </c>
      <c r="M1225" s="79">
        <f t="shared" si="1113"/>
        <v>0</v>
      </c>
      <c r="N1225">
        <f t="shared" si="1138"/>
        <v>1</v>
      </c>
      <c r="O1225" t="str">
        <f>IFERROR(_xlfn.XLOOKUP(A1225,HC!A:A,HC!C:C),"")</f>
        <v>Workforce</v>
      </c>
      <c r="R1225" s="78" t="b">
        <f t="shared" si="1114"/>
        <v>0</v>
      </c>
      <c r="S1225" s="78" t="b">
        <f t="shared" si="1115"/>
        <v>0</v>
      </c>
      <c r="T1225" s="78" t="b">
        <f t="shared" si="1116"/>
        <v>0</v>
      </c>
      <c r="U1225" s="78" t="b">
        <f t="shared" si="1117"/>
        <v>0</v>
      </c>
      <c r="V1225" s="78" t="b">
        <f t="shared" si="1118"/>
        <v>0</v>
      </c>
      <c r="W1225" s="78" t="b">
        <f t="shared" si="1119"/>
        <v>0</v>
      </c>
      <c r="X1225" s="78" t="b">
        <f t="shared" si="1120"/>
        <v>0</v>
      </c>
      <c r="Y1225" s="78" t="b">
        <f t="shared" si="1121"/>
        <v>0</v>
      </c>
      <c r="Z1225" s="78" t="b">
        <f t="shared" si="1122"/>
        <v>0</v>
      </c>
      <c r="AA1225" s="78" t="b">
        <f t="shared" si="1123"/>
        <v>0</v>
      </c>
      <c r="AB1225" s="78" t="b">
        <f t="shared" si="1124"/>
        <v>0</v>
      </c>
      <c r="AC1225" s="78" t="b">
        <f t="shared" si="1125"/>
        <v>0</v>
      </c>
      <c r="AD1225" s="78" t="b">
        <f t="shared" si="1126"/>
        <v>0</v>
      </c>
      <c r="AE1225" s="78" t="b">
        <f t="shared" si="1127"/>
        <v>0</v>
      </c>
      <c r="AF1225" s="78" t="b">
        <f t="shared" si="1128"/>
        <v>0</v>
      </c>
      <c r="AG1225" s="78" t="b">
        <f t="shared" si="1129"/>
        <v>0</v>
      </c>
      <c r="AH1225" s="78" t="b">
        <f t="shared" si="1130"/>
        <v>0</v>
      </c>
      <c r="AI1225" s="78" t="b">
        <f t="shared" si="1131"/>
        <v>0</v>
      </c>
      <c r="AJ1225" s="78" t="b">
        <f t="shared" si="1132"/>
        <v>0</v>
      </c>
      <c r="AK1225" s="78" t="b">
        <f t="shared" si="1133"/>
        <v>0</v>
      </c>
      <c r="AL1225" s="78" t="b">
        <f t="shared" si="1134"/>
        <v>0</v>
      </c>
      <c r="AM1225" s="78" t="b">
        <f t="shared" si="1135"/>
        <v>0</v>
      </c>
      <c r="AN1225" s="78" t="b">
        <f t="shared" si="1136"/>
        <v>0</v>
      </c>
      <c r="AO1225" s="78" t="b">
        <f t="shared" si="1137"/>
        <v>0</v>
      </c>
    </row>
    <row r="1226" spans="7:41" x14ac:dyDescent="0.35">
      <c r="G1226" s="77">
        <f t="shared" si="1107"/>
        <v>0</v>
      </c>
      <c r="H1226" s="78">
        <f t="shared" si="1108"/>
        <v>0</v>
      </c>
      <c r="I1226" s="77">
        <f t="shared" si="1109"/>
        <v>0</v>
      </c>
      <c r="J1226" s="78">
        <f t="shared" si="1110"/>
        <v>0</v>
      </c>
      <c r="K1226" s="78" t="str">
        <f t="shared" si="1111"/>
        <v>1900-01-00 00:0:00</v>
      </c>
      <c r="L1226" s="78" t="str">
        <f t="shared" si="1112"/>
        <v>1900-01-00 00:0:00</v>
      </c>
      <c r="M1226" s="79">
        <f t="shared" si="1113"/>
        <v>0</v>
      </c>
      <c r="N1226">
        <f t="shared" si="1138"/>
        <v>1</v>
      </c>
      <c r="O1226" t="str">
        <f>IFERROR(_xlfn.XLOOKUP(A1226,HC!A:A,HC!C:C),"")</f>
        <v>Workforce</v>
      </c>
      <c r="R1226" s="78" t="b">
        <f t="shared" si="1114"/>
        <v>0</v>
      </c>
      <c r="S1226" s="78" t="b">
        <f t="shared" si="1115"/>
        <v>0</v>
      </c>
      <c r="T1226" s="78" t="b">
        <f t="shared" si="1116"/>
        <v>0</v>
      </c>
      <c r="U1226" s="78" t="b">
        <f t="shared" si="1117"/>
        <v>0</v>
      </c>
      <c r="V1226" s="78" t="b">
        <f t="shared" si="1118"/>
        <v>0</v>
      </c>
      <c r="W1226" s="78" t="b">
        <f t="shared" si="1119"/>
        <v>0</v>
      </c>
      <c r="X1226" s="78" t="b">
        <f t="shared" si="1120"/>
        <v>0</v>
      </c>
      <c r="Y1226" s="78" t="b">
        <f t="shared" si="1121"/>
        <v>0</v>
      </c>
      <c r="Z1226" s="78" t="b">
        <f t="shared" si="1122"/>
        <v>0</v>
      </c>
      <c r="AA1226" s="78" t="b">
        <f t="shared" si="1123"/>
        <v>0</v>
      </c>
      <c r="AB1226" s="78" t="b">
        <f t="shared" si="1124"/>
        <v>0</v>
      </c>
      <c r="AC1226" s="78" t="b">
        <f t="shared" si="1125"/>
        <v>0</v>
      </c>
      <c r="AD1226" s="78" t="b">
        <f t="shared" si="1126"/>
        <v>0</v>
      </c>
      <c r="AE1226" s="78" t="b">
        <f t="shared" si="1127"/>
        <v>0</v>
      </c>
      <c r="AF1226" s="78" t="b">
        <f t="shared" si="1128"/>
        <v>0</v>
      </c>
      <c r="AG1226" s="78" t="b">
        <f t="shared" si="1129"/>
        <v>0</v>
      </c>
      <c r="AH1226" s="78" t="b">
        <f t="shared" si="1130"/>
        <v>0</v>
      </c>
      <c r="AI1226" s="78" t="b">
        <f t="shared" si="1131"/>
        <v>0</v>
      </c>
      <c r="AJ1226" s="78" t="b">
        <f t="shared" si="1132"/>
        <v>0</v>
      </c>
      <c r="AK1226" s="78" t="b">
        <f t="shared" si="1133"/>
        <v>0</v>
      </c>
      <c r="AL1226" s="78" t="b">
        <f t="shared" si="1134"/>
        <v>0</v>
      </c>
      <c r="AM1226" s="78" t="b">
        <f t="shared" si="1135"/>
        <v>0</v>
      </c>
      <c r="AN1226" s="78" t="b">
        <f t="shared" si="1136"/>
        <v>0</v>
      </c>
      <c r="AO1226" s="78" t="b">
        <f t="shared" si="1137"/>
        <v>0</v>
      </c>
    </row>
    <row r="1227" spans="7:41" x14ac:dyDescent="0.35">
      <c r="G1227" s="77">
        <f t="shared" si="1107"/>
        <v>0</v>
      </c>
      <c r="H1227" s="78">
        <f t="shared" si="1108"/>
        <v>0</v>
      </c>
      <c r="I1227" s="77">
        <f t="shared" si="1109"/>
        <v>0</v>
      </c>
      <c r="J1227" s="78">
        <f t="shared" si="1110"/>
        <v>0</v>
      </c>
      <c r="K1227" s="78" t="str">
        <f t="shared" si="1111"/>
        <v>1900-01-00 00:0:00</v>
      </c>
      <c r="L1227" s="78" t="str">
        <f t="shared" si="1112"/>
        <v>1900-01-00 00:0:00</v>
      </c>
      <c r="M1227" s="79">
        <f t="shared" si="1113"/>
        <v>0</v>
      </c>
      <c r="N1227">
        <f t="shared" si="1138"/>
        <v>1</v>
      </c>
      <c r="O1227" t="str">
        <f>IFERROR(_xlfn.XLOOKUP(A1227,HC!A:A,HC!C:C),"")</f>
        <v>Workforce</v>
      </c>
      <c r="R1227" s="78" t="b">
        <f t="shared" si="1114"/>
        <v>0</v>
      </c>
      <c r="S1227" s="78" t="b">
        <f t="shared" si="1115"/>
        <v>0</v>
      </c>
      <c r="T1227" s="78" t="b">
        <f t="shared" si="1116"/>
        <v>0</v>
      </c>
      <c r="U1227" s="78" t="b">
        <f t="shared" si="1117"/>
        <v>0</v>
      </c>
      <c r="V1227" s="78" t="b">
        <f t="shared" si="1118"/>
        <v>0</v>
      </c>
      <c r="W1227" s="78" t="b">
        <f t="shared" si="1119"/>
        <v>0</v>
      </c>
      <c r="X1227" s="78" t="b">
        <f t="shared" si="1120"/>
        <v>0</v>
      </c>
      <c r="Y1227" s="78" t="b">
        <f t="shared" si="1121"/>
        <v>0</v>
      </c>
      <c r="Z1227" s="78" t="b">
        <f t="shared" si="1122"/>
        <v>0</v>
      </c>
      <c r="AA1227" s="78" t="b">
        <f t="shared" si="1123"/>
        <v>0</v>
      </c>
      <c r="AB1227" s="78" t="b">
        <f t="shared" si="1124"/>
        <v>0</v>
      </c>
      <c r="AC1227" s="78" t="b">
        <f t="shared" si="1125"/>
        <v>0</v>
      </c>
      <c r="AD1227" s="78" t="b">
        <f t="shared" si="1126"/>
        <v>0</v>
      </c>
      <c r="AE1227" s="78" t="b">
        <f t="shared" si="1127"/>
        <v>0</v>
      </c>
      <c r="AF1227" s="78" t="b">
        <f t="shared" si="1128"/>
        <v>0</v>
      </c>
      <c r="AG1227" s="78" t="b">
        <f t="shared" si="1129"/>
        <v>0</v>
      </c>
      <c r="AH1227" s="78" t="b">
        <f t="shared" si="1130"/>
        <v>0</v>
      </c>
      <c r="AI1227" s="78" t="b">
        <f t="shared" si="1131"/>
        <v>0</v>
      </c>
      <c r="AJ1227" s="78" t="b">
        <f t="shared" si="1132"/>
        <v>0</v>
      </c>
      <c r="AK1227" s="78" t="b">
        <f t="shared" si="1133"/>
        <v>0</v>
      </c>
      <c r="AL1227" s="78" t="b">
        <f t="shared" si="1134"/>
        <v>0</v>
      </c>
      <c r="AM1227" s="78" t="b">
        <f t="shared" si="1135"/>
        <v>0</v>
      </c>
      <c r="AN1227" s="78" t="b">
        <f t="shared" si="1136"/>
        <v>0</v>
      </c>
      <c r="AO1227" s="78" t="b">
        <f t="shared" si="1137"/>
        <v>0</v>
      </c>
    </row>
    <row r="1228" spans="7:41" x14ac:dyDescent="0.35">
      <c r="G1228" s="77">
        <f t="shared" si="1107"/>
        <v>0</v>
      </c>
      <c r="H1228" s="78">
        <f t="shared" si="1108"/>
        <v>0</v>
      </c>
      <c r="I1228" s="77">
        <f t="shared" si="1109"/>
        <v>0</v>
      </c>
      <c r="J1228" s="78">
        <f t="shared" si="1110"/>
        <v>0</v>
      </c>
      <c r="K1228" s="78" t="str">
        <f t="shared" si="1111"/>
        <v>1900-01-00 00:0:00</v>
      </c>
      <c r="L1228" s="78" t="str">
        <f t="shared" si="1112"/>
        <v>1900-01-00 00:0:00</v>
      </c>
      <c r="M1228" s="79">
        <f t="shared" si="1113"/>
        <v>0</v>
      </c>
      <c r="N1228">
        <f t="shared" si="1138"/>
        <v>1</v>
      </c>
      <c r="O1228" t="str">
        <f>IFERROR(_xlfn.XLOOKUP(A1228,HC!A:A,HC!C:C),"")</f>
        <v>Workforce</v>
      </c>
      <c r="R1228" s="78" t="b">
        <f t="shared" si="1114"/>
        <v>0</v>
      </c>
      <c r="S1228" s="78" t="b">
        <f t="shared" si="1115"/>
        <v>0</v>
      </c>
      <c r="T1228" s="78" t="b">
        <f t="shared" si="1116"/>
        <v>0</v>
      </c>
      <c r="U1228" s="78" t="b">
        <f t="shared" si="1117"/>
        <v>0</v>
      </c>
      <c r="V1228" s="78" t="b">
        <f t="shared" si="1118"/>
        <v>0</v>
      </c>
      <c r="W1228" s="78" t="b">
        <f t="shared" si="1119"/>
        <v>0</v>
      </c>
      <c r="X1228" s="78" t="b">
        <f t="shared" si="1120"/>
        <v>0</v>
      </c>
      <c r="Y1228" s="78" t="b">
        <f t="shared" si="1121"/>
        <v>0</v>
      </c>
      <c r="Z1228" s="78" t="b">
        <f t="shared" si="1122"/>
        <v>0</v>
      </c>
      <c r="AA1228" s="78" t="b">
        <f t="shared" si="1123"/>
        <v>0</v>
      </c>
      <c r="AB1228" s="78" t="b">
        <f t="shared" si="1124"/>
        <v>0</v>
      </c>
      <c r="AC1228" s="78" t="b">
        <f t="shared" si="1125"/>
        <v>0</v>
      </c>
      <c r="AD1228" s="78" t="b">
        <f t="shared" si="1126"/>
        <v>0</v>
      </c>
      <c r="AE1228" s="78" t="b">
        <f t="shared" si="1127"/>
        <v>0</v>
      </c>
      <c r="AF1228" s="78" t="b">
        <f t="shared" si="1128"/>
        <v>0</v>
      </c>
      <c r="AG1228" s="78" t="b">
        <f t="shared" si="1129"/>
        <v>0</v>
      </c>
      <c r="AH1228" s="78" t="b">
        <f t="shared" si="1130"/>
        <v>0</v>
      </c>
      <c r="AI1228" s="78" t="b">
        <f t="shared" si="1131"/>
        <v>0</v>
      </c>
      <c r="AJ1228" s="78" t="b">
        <f t="shared" si="1132"/>
        <v>0</v>
      </c>
      <c r="AK1228" s="78" t="b">
        <f t="shared" si="1133"/>
        <v>0</v>
      </c>
      <c r="AL1228" s="78" t="b">
        <f t="shared" si="1134"/>
        <v>0</v>
      </c>
      <c r="AM1228" s="78" t="b">
        <f t="shared" si="1135"/>
        <v>0</v>
      </c>
      <c r="AN1228" s="78" t="b">
        <f t="shared" si="1136"/>
        <v>0</v>
      </c>
      <c r="AO1228" s="78" t="b">
        <f t="shared" si="1137"/>
        <v>0</v>
      </c>
    </row>
    <row r="1229" spans="7:41" x14ac:dyDescent="0.35">
      <c r="G1229" s="77">
        <f t="shared" si="1107"/>
        <v>0</v>
      </c>
      <c r="H1229" s="78">
        <f t="shared" si="1108"/>
        <v>0</v>
      </c>
      <c r="I1229" s="77">
        <f t="shared" si="1109"/>
        <v>0</v>
      </c>
      <c r="J1229" s="78">
        <f t="shared" si="1110"/>
        <v>0</v>
      </c>
      <c r="K1229" s="78" t="str">
        <f t="shared" si="1111"/>
        <v>1900-01-00 00:0:00</v>
      </c>
      <c r="L1229" s="78" t="str">
        <f t="shared" si="1112"/>
        <v>1900-01-00 00:0:00</v>
      </c>
      <c r="M1229" s="79">
        <f t="shared" si="1113"/>
        <v>0</v>
      </c>
      <c r="N1229">
        <f t="shared" si="1138"/>
        <v>1</v>
      </c>
      <c r="O1229" t="str">
        <f>IFERROR(_xlfn.XLOOKUP(A1229,HC!A:A,HC!C:C),"")</f>
        <v>Workforce</v>
      </c>
      <c r="R1229" s="78" t="b">
        <f t="shared" si="1114"/>
        <v>0</v>
      </c>
      <c r="S1229" s="78" t="b">
        <f t="shared" si="1115"/>
        <v>0</v>
      </c>
      <c r="T1229" s="78" t="b">
        <f t="shared" si="1116"/>
        <v>0</v>
      </c>
      <c r="U1229" s="78" t="b">
        <f t="shared" si="1117"/>
        <v>0</v>
      </c>
      <c r="V1229" s="78" t="b">
        <f t="shared" si="1118"/>
        <v>0</v>
      </c>
      <c r="W1229" s="78" t="b">
        <f t="shared" si="1119"/>
        <v>0</v>
      </c>
      <c r="X1229" s="78" t="b">
        <f t="shared" si="1120"/>
        <v>0</v>
      </c>
      <c r="Y1229" s="78" t="b">
        <f t="shared" si="1121"/>
        <v>0</v>
      </c>
      <c r="Z1229" s="78" t="b">
        <f t="shared" si="1122"/>
        <v>0</v>
      </c>
      <c r="AA1229" s="78" t="b">
        <f t="shared" si="1123"/>
        <v>0</v>
      </c>
      <c r="AB1229" s="78" t="b">
        <f t="shared" si="1124"/>
        <v>0</v>
      </c>
      <c r="AC1229" s="78" t="b">
        <f t="shared" si="1125"/>
        <v>0</v>
      </c>
      <c r="AD1229" s="78" t="b">
        <f t="shared" si="1126"/>
        <v>0</v>
      </c>
      <c r="AE1229" s="78" t="b">
        <f t="shared" si="1127"/>
        <v>0</v>
      </c>
      <c r="AF1229" s="78" t="b">
        <f t="shared" si="1128"/>
        <v>0</v>
      </c>
      <c r="AG1229" s="78" t="b">
        <f t="shared" si="1129"/>
        <v>0</v>
      </c>
      <c r="AH1229" s="78" t="b">
        <f t="shared" si="1130"/>
        <v>0</v>
      </c>
      <c r="AI1229" s="78" t="b">
        <f t="shared" si="1131"/>
        <v>0</v>
      </c>
      <c r="AJ1229" s="78" t="b">
        <f t="shared" si="1132"/>
        <v>0</v>
      </c>
      <c r="AK1229" s="78" t="b">
        <f t="shared" si="1133"/>
        <v>0</v>
      </c>
      <c r="AL1229" s="78" t="b">
        <f t="shared" si="1134"/>
        <v>0</v>
      </c>
      <c r="AM1229" s="78" t="b">
        <f t="shared" si="1135"/>
        <v>0</v>
      </c>
      <c r="AN1229" s="78" t="b">
        <f t="shared" si="1136"/>
        <v>0</v>
      </c>
      <c r="AO1229" s="78" t="b">
        <f t="shared" si="1137"/>
        <v>0</v>
      </c>
    </row>
    <row r="1230" spans="7:41" x14ac:dyDescent="0.35">
      <c r="G1230" s="77">
        <f t="shared" si="1107"/>
        <v>0</v>
      </c>
      <c r="H1230" s="78">
        <f t="shared" si="1108"/>
        <v>0</v>
      </c>
      <c r="I1230" s="77">
        <f t="shared" si="1109"/>
        <v>0</v>
      </c>
      <c r="J1230" s="78">
        <f t="shared" si="1110"/>
        <v>0</v>
      </c>
      <c r="K1230" s="78" t="str">
        <f t="shared" si="1111"/>
        <v>1900-01-00 00:0:00</v>
      </c>
      <c r="L1230" s="78" t="str">
        <f t="shared" si="1112"/>
        <v>1900-01-00 00:0:00</v>
      </c>
      <c r="M1230" s="79">
        <f t="shared" si="1113"/>
        <v>0</v>
      </c>
      <c r="N1230">
        <f t="shared" si="1138"/>
        <v>1</v>
      </c>
      <c r="O1230" t="str">
        <f>IFERROR(_xlfn.XLOOKUP(A1230,HC!A:A,HC!C:C),"")</f>
        <v>Workforce</v>
      </c>
      <c r="R1230" s="78" t="b">
        <f t="shared" si="1114"/>
        <v>0</v>
      </c>
      <c r="S1230" s="78" t="b">
        <f t="shared" si="1115"/>
        <v>0</v>
      </c>
      <c r="T1230" s="78" t="b">
        <f t="shared" si="1116"/>
        <v>0</v>
      </c>
      <c r="U1230" s="78" t="b">
        <f t="shared" si="1117"/>
        <v>0</v>
      </c>
      <c r="V1230" s="78" t="b">
        <f t="shared" si="1118"/>
        <v>0</v>
      </c>
      <c r="W1230" s="78" t="b">
        <f t="shared" si="1119"/>
        <v>0</v>
      </c>
      <c r="X1230" s="78" t="b">
        <f t="shared" si="1120"/>
        <v>0</v>
      </c>
      <c r="Y1230" s="78" t="b">
        <f t="shared" si="1121"/>
        <v>0</v>
      </c>
      <c r="Z1230" s="78" t="b">
        <f t="shared" si="1122"/>
        <v>0</v>
      </c>
      <c r="AA1230" s="78" t="b">
        <f t="shared" si="1123"/>
        <v>0</v>
      </c>
      <c r="AB1230" s="78" t="b">
        <f t="shared" si="1124"/>
        <v>0</v>
      </c>
      <c r="AC1230" s="78" t="b">
        <f t="shared" si="1125"/>
        <v>0</v>
      </c>
      <c r="AD1230" s="78" t="b">
        <f t="shared" si="1126"/>
        <v>0</v>
      </c>
      <c r="AE1230" s="78" t="b">
        <f t="shared" si="1127"/>
        <v>0</v>
      </c>
      <c r="AF1230" s="78" t="b">
        <f t="shared" si="1128"/>
        <v>0</v>
      </c>
      <c r="AG1230" s="78" t="b">
        <f t="shared" si="1129"/>
        <v>0</v>
      </c>
      <c r="AH1230" s="78" t="b">
        <f t="shared" si="1130"/>
        <v>0</v>
      </c>
      <c r="AI1230" s="78" t="b">
        <f t="shared" si="1131"/>
        <v>0</v>
      </c>
      <c r="AJ1230" s="78" t="b">
        <f t="shared" si="1132"/>
        <v>0</v>
      </c>
      <c r="AK1230" s="78" t="b">
        <f t="shared" si="1133"/>
        <v>0</v>
      </c>
      <c r="AL1230" s="78" t="b">
        <f t="shared" si="1134"/>
        <v>0</v>
      </c>
      <c r="AM1230" s="78" t="b">
        <f t="shared" si="1135"/>
        <v>0</v>
      </c>
      <c r="AN1230" s="78" t="b">
        <f t="shared" si="1136"/>
        <v>0</v>
      </c>
      <c r="AO1230" s="78" t="b">
        <f t="shared" si="1137"/>
        <v>0</v>
      </c>
    </row>
    <row r="1231" spans="7:41" x14ac:dyDescent="0.35">
      <c r="G1231" s="77">
        <f t="shared" si="1107"/>
        <v>0</v>
      </c>
      <c r="H1231" s="78">
        <f t="shared" si="1108"/>
        <v>0</v>
      </c>
      <c r="I1231" s="77">
        <f t="shared" si="1109"/>
        <v>0</v>
      </c>
      <c r="J1231" s="78">
        <f t="shared" si="1110"/>
        <v>0</v>
      </c>
      <c r="K1231" s="78" t="str">
        <f t="shared" si="1111"/>
        <v>1900-01-00 00:0:00</v>
      </c>
      <c r="L1231" s="78" t="str">
        <f t="shared" si="1112"/>
        <v>1900-01-00 00:0:00</v>
      </c>
      <c r="M1231" s="79">
        <f t="shared" si="1113"/>
        <v>0</v>
      </c>
      <c r="N1231">
        <f t="shared" si="1138"/>
        <v>1</v>
      </c>
      <c r="O1231" t="str">
        <f>IFERROR(_xlfn.XLOOKUP(A1231,HC!A:A,HC!C:C),"")</f>
        <v>Workforce</v>
      </c>
      <c r="R1231" s="78" t="b">
        <f t="shared" si="1114"/>
        <v>0</v>
      </c>
      <c r="S1231" s="78" t="b">
        <f t="shared" si="1115"/>
        <v>0</v>
      </c>
      <c r="T1231" s="78" t="b">
        <f t="shared" si="1116"/>
        <v>0</v>
      </c>
      <c r="U1231" s="78" t="b">
        <f t="shared" si="1117"/>
        <v>0</v>
      </c>
      <c r="V1231" s="78" t="b">
        <f t="shared" si="1118"/>
        <v>0</v>
      </c>
      <c r="W1231" s="78" t="b">
        <f t="shared" si="1119"/>
        <v>0</v>
      </c>
      <c r="X1231" s="78" t="b">
        <f t="shared" si="1120"/>
        <v>0</v>
      </c>
      <c r="Y1231" s="78" t="b">
        <f t="shared" si="1121"/>
        <v>0</v>
      </c>
      <c r="Z1231" s="78" t="b">
        <f t="shared" si="1122"/>
        <v>0</v>
      </c>
      <c r="AA1231" s="78" t="b">
        <f t="shared" si="1123"/>
        <v>0</v>
      </c>
      <c r="AB1231" s="78" t="b">
        <f t="shared" si="1124"/>
        <v>0</v>
      </c>
      <c r="AC1231" s="78" t="b">
        <f t="shared" si="1125"/>
        <v>0</v>
      </c>
      <c r="AD1231" s="78" t="b">
        <f t="shared" si="1126"/>
        <v>0</v>
      </c>
      <c r="AE1231" s="78" t="b">
        <f t="shared" si="1127"/>
        <v>0</v>
      </c>
      <c r="AF1231" s="78" t="b">
        <f t="shared" si="1128"/>
        <v>0</v>
      </c>
      <c r="AG1231" s="78" t="b">
        <f t="shared" si="1129"/>
        <v>0</v>
      </c>
      <c r="AH1231" s="78" t="b">
        <f t="shared" si="1130"/>
        <v>0</v>
      </c>
      <c r="AI1231" s="78" t="b">
        <f t="shared" si="1131"/>
        <v>0</v>
      </c>
      <c r="AJ1231" s="78" t="b">
        <f t="shared" si="1132"/>
        <v>0</v>
      </c>
      <c r="AK1231" s="78" t="b">
        <f t="shared" si="1133"/>
        <v>0</v>
      </c>
      <c r="AL1231" s="78" t="b">
        <f t="shared" si="1134"/>
        <v>0</v>
      </c>
      <c r="AM1231" s="78" t="b">
        <f t="shared" si="1135"/>
        <v>0</v>
      </c>
      <c r="AN1231" s="78" t="b">
        <f t="shared" si="1136"/>
        <v>0</v>
      </c>
      <c r="AO1231" s="78" t="b">
        <f t="shared" si="1137"/>
        <v>0</v>
      </c>
    </row>
    <row r="1232" spans="7:41" x14ac:dyDescent="0.35">
      <c r="G1232" s="77">
        <f t="shared" si="1107"/>
        <v>0</v>
      </c>
      <c r="H1232" s="78">
        <f t="shared" si="1108"/>
        <v>0</v>
      </c>
      <c r="I1232" s="77">
        <f t="shared" si="1109"/>
        <v>0</v>
      </c>
      <c r="J1232" s="78">
        <f t="shared" si="1110"/>
        <v>0</v>
      </c>
      <c r="K1232" s="78" t="str">
        <f t="shared" si="1111"/>
        <v>1900-01-00 00:0:00</v>
      </c>
      <c r="L1232" s="78" t="str">
        <f t="shared" si="1112"/>
        <v>1900-01-00 00:0:00</v>
      </c>
      <c r="M1232" s="79">
        <f t="shared" si="1113"/>
        <v>0</v>
      </c>
      <c r="N1232">
        <f t="shared" si="1138"/>
        <v>1</v>
      </c>
      <c r="O1232" t="str">
        <f>IFERROR(_xlfn.XLOOKUP(A1232,HC!A:A,HC!C:C),"")</f>
        <v>Workforce</v>
      </c>
      <c r="R1232" s="78" t="b">
        <f t="shared" si="1114"/>
        <v>0</v>
      </c>
      <c r="S1232" s="78" t="b">
        <f t="shared" si="1115"/>
        <v>0</v>
      </c>
      <c r="T1232" s="78" t="b">
        <f t="shared" si="1116"/>
        <v>0</v>
      </c>
      <c r="U1232" s="78" t="b">
        <f t="shared" si="1117"/>
        <v>0</v>
      </c>
      <c r="V1232" s="78" t="b">
        <f t="shared" si="1118"/>
        <v>0</v>
      </c>
      <c r="W1232" s="78" t="b">
        <f t="shared" si="1119"/>
        <v>0</v>
      </c>
      <c r="X1232" s="78" t="b">
        <f t="shared" si="1120"/>
        <v>0</v>
      </c>
      <c r="Y1232" s="78" t="b">
        <f t="shared" si="1121"/>
        <v>0</v>
      </c>
      <c r="Z1232" s="78" t="b">
        <f t="shared" si="1122"/>
        <v>0</v>
      </c>
      <c r="AA1232" s="78" t="b">
        <f t="shared" si="1123"/>
        <v>0</v>
      </c>
      <c r="AB1232" s="78" t="b">
        <f t="shared" si="1124"/>
        <v>0</v>
      </c>
      <c r="AC1232" s="78" t="b">
        <f t="shared" si="1125"/>
        <v>0</v>
      </c>
      <c r="AD1232" s="78" t="b">
        <f t="shared" si="1126"/>
        <v>0</v>
      </c>
      <c r="AE1232" s="78" t="b">
        <f t="shared" si="1127"/>
        <v>0</v>
      </c>
      <c r="AF1232" s="78" t="b">
        <f t="shared" si="1128"/>
        <v>0</v>
      </c>
      <c r="AG1232" s="78" t="b">
        <f t="shared" si="1129"/>
        <v>0</v>
      </c>
      <c r="AH1232" s="78" t="b">
        <f t="shared" si="1130"/>
        <v>0</v>
      </c>
      <c r="AI1232" s="78" t="b">
        <f t="shared" si="1131"/>
        <v>0</v>
      </c>
      <c r="AJ1232" s="78" t="b">
        <f t="shared" si="1132"/>
        <v>0</v>
      </c>
      <c r="AK1232" s="78" t="b">
        <f t="shared" si="1133"/>
        <v>0</v>
      </c>
      <c r="AL1232" s="78" t="b">
        <f t="shared" si="1134"/>
        <v>0</v>
      </c>
      <c r="AM1232" s="78" t="b">
        <f t="shared" si="1135"/>
        <v>0</v>
      </c>
      <c r="AN1232" s="78" t="b">
        <f t="shared" si="1136"/>
        <v>0</v>
      </c>
      <c r="AO1232" s="78" t="b">
        <f t="shared" si="1137"/>
        <v>0</v>
      </c>
    </row>
    <row r="1233" spans="7:41" x14ac:dyDescent="0.35">
      <c r="G1233" s="77">
        <f t="shared" si="1107"/>
        <v>0</v>
      </c>
      <c r="H1233" s="78">
        <f t="shared" si="1108"/>
        <v>0</v>
      </c>
      <c r="I1233" s="77">
        <f t="shared" si="1109"/>
        <v>0</v>
      </c>
      <c r="J1233" s="78">
        <f t="shared" si="1110"/>
        <v>0</v>
      </c>
      <c r="K1233" s="78" t="str">
        <f t="shared" si="1111"/>
        <v>1900-01-00 00:0:00</v>
      </c>
      <c r="L1233" s="78" t="str">
        <f t="shared" si="1112"/>
        <v>1900-01-00 00:0:00</v>
      </c>
      <c r="M1233" s="79">
        <f t="shared" si="1113"/>
        <v>0</v>
      </c>
      <c r="N1233">
        <f t="shared" si="1138"/>
        <v>1</v>
      </c>
      <c r="O1233" t="str">
        <f>IFERROR(_xlfn.XLOOKUP(A1233,HC!A:A,HC!C:C),"")</f>
        <v>Workforce</v>
      </c>
      <c r="R1233" s="78" t="b">
        <f t="shared" si="1114"/>
        <v>0</v>
      </c>
      <c r="S1233" s="78" t="b">
        <f t="shared" si="1115"/>
        <v>0</v>
      </c>
      <c r="T1233" s="78" t="b">
        <f t="shared" si="1116"/>
        <v>0</v>
      </c>
      <c r="U1233" s="78" t="b">
        <f t="shared" si="1117"/>
        <v>0</v>
      </c>
      <c r="V1233" s="78" t="b">
        <f t="shared" si="1118"/>
        <v>0</v>
      </c>
      <c r="W1233" s="78" t="b">
        <f t="shared" si="1119"/>
        <v>0</v>
      </c>
      <c r="X1233" s="78" t="b">
        <f t="shared" si="1120"/>
        <v>0</v>
      </c>
      <c r="Y1233" s="78" t="b">
        <f t="shared" si="1121"/>
        <v>0</v>
      </c>
      <c r="Z1233" s="78" t="b">
        <f t="shared" si="1122"/>
        <v>0</v>
      </c>
      <c r="AA1233" s="78" t="b">
        <f t="shared" si="1123"/>
        <v>0</v>
      </c>
      <c r="AB1233" s="78" t="b">
        <f t="shared" si="1124"/>
        <v>0</v>
      </c>
      <c r="AC1233" s="78" t="b">
        <f t="shared" si="1125"/>
        <v>0</v>
      </c>
      <c r="AD1233" s="78" t="b">
        <f t="shared" si="1126"/>
        <v>0</v>
      </c>
      <c r="AE1233" s="78" t="b">
        <f t="shared" si="1127"/>
        <v>0</v>
      </c>
      <c r="AF1233" s="78" t="b">
        <f t="shared" si="1128"/>
        <v>0</v>
      </c>
      <c r="AG1233" s="78" t="b">
        <f t="shared" si="1129"/>
        <v>0</v>
      </c>
      <c r="AH1233" s="78" t="b">
        <f t="shared" si="1130"/>
        <v>0</v>
      </c>
      <c r="AI1233" s="78" t="b">
        <f t="shared" si="1131"/>
        <v>0</v>
      </c>
      <c r="AJ1233" s="78" t="b">
        <f t="shared" si="1132"/>
        <v>0</v>
      </c>
      <c r="AK1233" s="78" t="b">
        <f t="shared" si="1133"/>
        <v>0</v>
      </c>
      <c r="AL1233" s="78" t="b">
        <f t="shared" si="1134"/>
        <v>0</v>
      </c>
      <c r="AM1233" s="78" t="b">
        <f t="shared" si="1135"/>
        <v>0</v>
      </c>
      <c r="AN1233" s="78" t="b">
        <f t="shared" si="1136"/>
        <v>0</v>
      </c>
      <c r="AO1233" s="78" t="b">
        <f t="shared" si="1137"/>
        <v>0</v>
      </c>
    </row>
    <row r="1234" spans="7:41" x14ac:dyDescent="0.35">
      <c r="G1234" s="77">
        <f t="shared" si="1107"/>
        <v>0</v>
      </c>
      <c r="H1234" s="78">
        <f t="shared" si="1108"/>
        <v>0</v>
      </c>
      <c r="I1234" s="77">
        <f t="shared" si="1109"/>
        <v>0</v>
      </c>
      <c r="J1234" s="78">
        <f t="shared" si="1110"/>
        <v>0</v>
      </c>
      <c r="K1234" s="78" t="str">
        <f t="shared" si="1111"/>
        <v>1900-01-00 00:0:00</v>
      </c>
      <c r="L1234" s="78" t="str">
        <f t="shared" si="1112"/>
        <v>1900-01-00 00:0:00</v>
      </c>
      <c r="M1234" s="79">
        <f t="shared" si="1113"/>
        <v>0</v>
      </c>
      <c r="N1234">
        <f t="shared" si="1138"/>
        <v>1</v>
      </c>
      <c r="O1234" t="str">
        <f>IFERROR(_xlfn.XLOOKUP(A1234,HC!A:A,HC!C:C),"")</f>
        <v>Workforce</v>
      </c>
      <c r="R1234" s="78" t="b">
        <f t="shared" si="1114"/>
        <v>0</v>
      </c>
      <c r="S1234" s="78" t="b">
        <f t="shared" si="1115"/>
        <v>0</v>
      </c>
      <c r="T1234" s="78" t="b">
        <f t="shared" si="1116"/>
        <v>0</v>
      </c>
      <c r="U1234" s="78" t="b">
        <f t="shared" si="1117"/>
        <v>0</v>
      </c>
      <c r="V1234" s="78" t="b">
        <f t="shared" si="1118"/>
        <v>0</v>
      </c>
      <c r="W1234" s="78" t="b">
        <f t="shared" si="1119"/>
        <v>0</v>
      </c>
      <c r="X1234" s="78" t="b">
        <f t="shared" si="1120"/>
        <v>0</v>
      </c>
      <c r="Y1234" s="78" t="b">
        <f t="shared" si="1121"/>
        <v>0</v>
      </c>
      <c r="Z1234" s="78" t="b">
        <f t="shared" si="1122"/>
        <v>0</v>
      </c>
      <c r="AA1234" s="78" t="b">
        <f t="shared" si="1123"/>
        <v>0</v>
      </c>
      <c r="AB1234" s="78" t="b">
        <f t="shared" si="1124"/>
        <v>0</v>
      </c>
      <c r="AC1234" s="78" t="b">
        <f t="shared" si="1125"/>
        <v>0</v>
      </c>
      <c r="AD1234" s="78" t="b">
        <f t="shared" si="1126"/>
        <v>0</v>
      </c>
      <c r="AE1234" s="78" t="b">
        <f t="shared" si="1127"/>
        <v>0</v>
      </c>
      <c r="AF1234" s="78" t="b">
        <f t="shared" si="1128"/>
        <v>0</v>
      </c>
      <c r="AG1234" s="78" t="b">
        <f t="shared" si="1129"/>
        <v>0</v>
      </c>
      <c r="AH1234" s="78" t="b">
        <f t="shared" si="1130"/>
        <v>0</v>
      </c>
      <c r="AI1234" s="78" t="b">
        <f t="shared" si="1131"/>
        <v>0</v>
      </c>
      <c r="AJ1234" s="78" t="b">
        <f t="shared" si="1132"/>
        <v>0</v>
      </c>
      <c r="AK1234" s="78" t="b">
        <f t="shared" si="1133"/>
        <v>0</v>
      </c>
      <c r="AL1234" s="78" t="b">
        <f t="shared" si="1134"/>
        <v>0</v>
      </c>
      <c r="AM1234" s="78" t="b">
        <f t="shared" si="1135"/>
        <v>0</v>
      </c>
      <c r="AN1234" s="78" t="b">
        <f t="shared" si="1136"/>
        <v>0</v>
      </c>
      <c r="AO1234" s="78" t="b">
        <f t="shared" si="1137"/>
        <v>0</v>
      </c>
    </row>
    <row r="1235" spans="7:41" x14ac:dyDescent="0.35">
      <c r="G1235" s="77">
        <f t="shared" si="1107"/>
        <v>0</v>
      </c>
      <c r="H1235" s="78">
        <f t="shared" si="1108"/>
        <v>0</v>
      </c>
      <c r="I1235" s="77">
        <f t="shared" si="1109"/>
        <v>0</v>
      </c>
      <c r="J1235" s="78">
        <f t="shared" si="1110"/>
        <v>0</v>
      </c>
      <c r="K1235" s="78" t="str">
        <f t="shared" si="1111"/>
        <v>1900-01-00 00:0:00</v>
      </c>
      <c r="L1235" s="78" t="str">
        <f t="shared" si="1112"/>
        <v>1900-01-00 00:0:00</v>
      </c>
      <c r="M1235" s="79">
        <f t="shared" si="1113"/>
        <v>0</v>
      </c>
      <c r="N1235">
        <f t="shared" si="1138"/>
        <v>1</v>
      </c>
      <c r="O1235" t="str">
        <f>IFERROR(_xlfn.XLOOKUP(A1235,HC!A:A,HC!C:C),"")</f>
        <v>Workforce</v>
      </c>
      <c r="R1235" s="78" t="b">
        <f t="shared" si="1114"/>
        <v>0</v>
      </c>
      <c r="S1235" s="78" t="b">
        <f t="shared" si="1115"/>
        <v>0</v>
      </c>
      <c r="T1235" s="78" t="b">
        <f t="shared" si="1116"/>
        <v>0</v>
      </c>
      <c r="U1235" s="78" t="b">
        <f t="shared" si="1117"/>
        <v>0</v>
      </c>
      <c r="V1235" s="78" t="b">
        <f t="shared" si="1118"/>
        <v>0</v>
      </c>
      <c r="W1235" s="78" t="b">
        <f t="shared" si="1119"/>
        <v>0</v>
      </c>
      <c r="X1235" s="78" t="b">
        <f t="shared" si="1120"/>
        <v>0</v>
      </c>
      <c r="Y1235" s="78" t="b">
        <f t="shared" si="1121"/>
        <v>0</v>
      </c>
      <c r="Z1235" s="78" t="b">
        <f t="shared" si="1122"/>
        <v>0</v>
      </c>
      <c r="AA1235" s="78" t="b">
        <f t="shared" si="1123"/>
        <v>0</v>
      </c>
      <c r="AB1235" s="78" t="b">
        <f t="shared" si="1124"/>
        <v>0</v>
      </c>
      <c r="AC1235" s="78" t="b">
        <f t="shared" si="1125"/>
        <v>0</v>
      </c>
      <c r="AD1235" s="78" t="b">
        <f t="shared" si="1126"/>
        <v>0</v>
      </c>
      <c r="AE1235" s="78" t="b">
        <f t="shared" si="1127"/>
        <v>0</v>
      </c>
      <c r="AF1235" s="78" t="b">
        <f t="shared" si="1128"/>
        <v>0</v>
      </c>
      <c r="AG1235" s="78" t="b">
        <f t="shared" si="1129"/>
        <v>0</v>
      </c>
      <c r="AH1235" s="78" t="b">
        <f t="shared" si="1130"/>
        <v>0</v>
      </c>
      <c r="AI1235" s="78" t="b">
        <f t="shared" si="1131"/>
        <v>0</v>
      </c>
      <c r="AJ1235" s="78" t="b">
        <f t="shared" si="1132"/>
        <v>0</v>
      </c>
      <c r="AK1235" s="78" t="b">
        <f t="shared" si="1133"/>
        <v>0</v>
      </c>
      <c r="AL1235" s="78" t="b">
        <f t="shared" si="1134"/>
        <v>0</v>
      </c>
      <c r="AM1235" s="78" t="b">
        <f t="shared" si="1135"/>
        <v>0</v>
      </c>
      <c r="AN1235" s="78" t="b">
        <f t="shared" si="1136"/>
        <v>0</v>
      </c>
      <c r="AO1235" s="78" t="b">
        <f t="shared" si="1137"/>
        <v>0</v>
      </c>
    </row>
    <row r="1236" spans="7:41" x14ac:dyDescent="0.35">
      <c r="G1236" s="77">
        <f t="shared" si="1107"/>
        <v>0</v>
      </c>
      <c r="H1236" s="78">
        <f t="shared" si="1108"/>
        <v>0</v>
      </c>
      <c r="I1236" s="77">
        <f t="shared" si="1109"/>
        <v>0</v>
      </c>
      <c r="J1236" s="78">
        <f t="shared" si="1110"/>
        <v>0</v>
      </c>
      <c r="K1236" s="78" t="str">
        <f t="shared" si="1111"/>
        <v>1900-01-00 00:0:00</v>
      </c>
      <c r="L1236" s="78" t="str">
        <f t="shared" si="1112"/>
        <v>1900-01-00 00:0:00</v>
      </c>
      <c r="M1236" s="79">
        <f t="shared" si="1113"/>
        <v>0</v>
      </c>
      <c r="N1236">
        <f t="shared" si="1138"/>
        <v>1</v>
      </c>
      <c r="O1236" t="str">
        <f>IFERROR(_xlfn.XLOOKUP(A1236,HC!A:A,HC!C:C),"")</f>
        <v>Workforce</v>
      </c>
      <c r="R1236" s="78" t="b">
        <f t="shared" si="1114"/>
        <v>0</v>
      </c>
      <c r="S1236" s="78" t="b">
        <f t="shared" si="1115"/>
        <v>0</v>
      </c>
      <c r="T1236" s="78" t="b">
        <f t="shared" si="1116"/>
        <v>0</v>
      </c>
      <c r="U1236" s="78" t="b">
        <f t="shared" si="1117"/>
        <v>0</v>
      </c>
      <c r="V1236" s="78" t="b">
        <f t="shared" si="1118"/>
        <v>0</v>
      </c>
      <c r="W1236" s="78" t="b">
        <f t="shared" si="1119"/>
        <v>0</v>
      </c>
      <c r="X1236" s="78" t="b">
        <f t="shared" si="1120"/>
        <v>0</v>
      </c>
      <c r="Y1236" s="78" t="b">
        <f t="shared" si="1121"/>
        <v>0</v>
      </c>
      <c r="Z1236" s="78" t="b">
        <f t="shared" si="1122"/>
        <v>0</v>
      </c>
      <c r="AA1236" s="78" t="b">
        <f t="shared" si="1123"/>
        <v>0</v>
      </c>
      <c r="AB1236" s="78" t="b">
        <f t="shared" si="1124"/>
        <v>0</v>
      </c>
      <c r="AC1236" s="78" t="b">
        <f t="shared" si="1125"/>
        <v>0</v>
      </c>
      <c r="AD1236" s="78" t="b">
        <f t="shared" si="1126"/>
        <v>0</v>
      </c>
      <c r="AE1236" s="78" t="b">
        <f t="shared" si="1127"/>
        <v>0</v>
      </c>
      <c r="AF1236" s="78" t="b">
        <f t="shared" si="1128"/>
        <v>0</v>
      </c>
      <c r="AG1236" s="78" t="b">
        <f t="shared" si="1129"/>
        <v>0</v>
      </c>
      <c r="AH1236" s="78" t="b">
        <f t="shared" si="1130"/>
        <v>0</v>
      </c>
      <c r="AI1236" s="78" t="b">
        <f t="shared" si="1131"/>
        <v>0</v>
      </c>
      <c r="AJ1236" s="78" t="b">
        <f t="shared" si="1132"/>
        <v>0</v>
      </c>
      <c r="AK1236" s="78" t="b">
        <f t="shared" si="1133"/>
        <v>0</v>
      </c>
      <c r="AL1236" s="78" t="b">
        <f t="shared" si="1134"/>
        <v>0</v>
      </c>
      <c r="AM1236" s="78" t="b">
        <f t="shared" si="1135"/>
        <v>0</v>
      </c>
      <c r="AN1236" s="78" t="b">
        <f t="shared" si="1136"/>
        <v>0</v>
      </c>
      <c r="AO1236" s="78" t="b">
        <f t="shared" si="1137"/>
        <v>0</v>
      </c>
    </row>
    <row r="1237" spans="7:41" x14ac:dyDescent="0.35">
      <c r="G1237" s="77">
        <f t="shared" si="1107"/>
        <v>0</v>
      </c>
      <c r="H1237" s="78">
        <f t="shared" si="1108"/>
        <v>0</v>
      </c>
      <c r="I1237" s="77">
        <f t="shared" si="1109"/>
        <v>0</v>
      </c>
      <c r="J1237" s="78">
        <f t="shared" si="1110"/>
        <v>0</v>
      </c>
      <c r="K1237" s="78" t="str">
        <f t="shared" si="1111"/>
        <v>1900-01-00 00:0:00</v>
      </c>
      <c r="L1237" s="78" t="str">
        <f t="shared" si="1112"/>
        <v>1900-01-00 00:0:00</v>
      </c>
      <c r="M1237" s="79">
        <f t="shared" si="1113"/>
        <v>0</v>
      </c>
      <c r="N1237">
        <f t="shared" si="1138"/>
        <v>1</v>
      </c>
      <c r="O1237" t="str">
        <f>IFERROR(_xlfn.XLOOKUP(A1237,HC!A:A,HC!C:C),"")</f>
        <v>Workforce</v>
      </c>
      <c r="R1237" s="78" t="b">
        <f t="shared" si="1114"/>
        <v>0</v>
      </c>
      <c r="S1237" s="78" t="b">
        <f t="shared" si="1115"/>
        <v>0</v>
      </c>
      <c r="T1237" s="78" t="b">
        <f t="shared" si="1116"/>
        <v>0</v>
      </c>
      <c r="U1237" s="78" t="b">
        <f t="shared" si="1117"/>
        <v>0</v>
      </c>
      <c r="V1237" s="78" t="b">
        <f t="shared" si="1118"/>
        <v>0</v>
      </c>
      <c r="W1237" s="78" t="b">
        <f t="shared" si="1119"/>
        <v>0</v>
      </c>
      <c r="X1237" s="78" t="b">
        <f t="shared" si="1120"/>
        <v>0</v>
      </c>
      <c r="Y1237" s="78" t="b">
        <f t="shared" si="1121"/>
        <v>0</v>
      </c>
      <c r="Z1237" s="78" t="b">
        <f t="shared" si="1122"/>
        <v>0</v>
      </c>
      <c r="AA1237" s="78" t="b">
        <f t="shared" si="1123"/>
        <v>0</v>
      </c>
      <c r="AB1237" s="78" t="b">
        <f t="shared" si="1124"/>
        <v>0</v>
      </c>
      <c r="AC1237" s="78" t="b">
        <f t="shared" si="1125"/>
        <v>0</v>
      </c>
      <c r="AD1237" s="78" t="b">
        <f t="shared" si="1126"/>
        <v>0</v>
      </c>
      <c r="AE1237" s="78" t="b">
        <f t="shared" si="1127"/>
        <v>0</v>
      </c>
      <c r="AF1237" s="78" t="b">
        <f t="shared" si="1128"/>
        <v>0</v>
      </c>
      <c r="AG1237" s="78" t="b">
        <f t="shared" si="1129"/>
        <v>0</v>
      </c>
      <c r="AH1237" s="78" t="b">
        <f t="shared" si="1130"/>
        <v>0</v>
      </c>
      <c r="AI1237" s="78" t="b">
        <f t="shared" si="1131"/>
        <v>0</v>
      </c>
      <c r="AJ1237" s="78" t="b">
        <f t="shared" si="1132"/>
        <v>0</v>
      </c>
      <c r="AK1237" s="78" t="b">
        <f t="shared" si="1133"/>
        <v>0</v>
      </c>
      <c r="AL1237" s="78" t="b">
        <f t="shared" si="1134"/>
        <v>0</v>
      </c>
      <c r="AM1237" s="78" t="b">
        <f t="shared" si="1135"/>
        <v>0</v>
      </c>
      <c r="AN1237" s="78" t="b">
        <f t="shared" si="1136"/>
        <v>0</v>
      </c>
      <c r="AO1237" s="78" t="b">
        <f t="shared" si="1137"/>
        <v>0</v>
      </c>
    </row>
    <row r="1238" spans="7:41" x14ac:dyDescent="0.35">
      <c r="G1238" s="77">
        <f t="shared" si="1107"/>
        <v>0</v>
      </c>
      <c r="H1238" s="78">
        <f t="shared" si="1108"/>
        <v>0</v>
      </c>
      <c r="I1238" s="77">
        <f t="shared" si="1109"/>
        <v>0</v>
      </c>
      <c r="J1238" s="78">
        <f t="shared" si="1110"/>
        <v>0</v>
      </c>
      <c r="K1238" s="78" t="str">
        <f t="shared" si="1111"/>
        <v>1900-01-00 00:0:00</v>
      </c>
      <c r="L1238" s="78" t="str">
        <f t="shared" si="1112"/>
        <v>1900-01-00 00:0:00</v>
      </c>
      <c r="M1238" s="79">
        <f t="shared" si="1113"/>
        <v>0</v>
      </c>
      <c r="N1238">
        <f t="shared" si="1138"/>
        <v>1</v>
      </c>
      <c r="O1238" t="str">
        <f>IFERROR(_xlfn.XLOOKUP(A1238,HC!A:A,HC!C:C),"")</f>
        <v>Workforce</v>
      </c>
      <c r="R1238" s="78" t="b">
        <f t="shared" si="1114"/>
        <v>0</v>
      </c>
      <c r="S1238" s="78" t="b">
        <f t="shared" si="1115"/>
        <v>0</v>
      </c>
      <c r="T1238" s="78" t="b">
        <f t="shared" si="1116"/>
        <v>0</v>
      </c>
      <c r="U1238" s="78" t="b">
        <f t="shared" si="1117"/>
        <v>0</v>
      </c>
      <c r="V1238" s="78" t="b">
        <f t="shared" si="1118"/>
        <v>0</v>
      </c>
      <c r="W1238" s="78" t="b">
        <f t="shared" si="1119"/>
        <v>0</v>
      </c>
      <c r="X1238" s="78" t="b">
        <f t="shared" si="1120"/>
        <v>0</v>
      </c>
      <c r="Y1238" s="78" t="b">
        <f t="shared" si="1121"/>
        <v>0</v>
      </c>
      <c r="Z1238" s="78" t="b">
        <f t="shared" si="1122"/>
        <v>0</v>
      </c>
      <c r="AA1238" s="78" t="b">
        <f t="shared" si="1123"/>
        <v>0</v>
      </c>
      <c r="AB1238" s="78" t="b">
        <f t="shared" si="1124"/>
        <v>0</v>
      </c>
      <c r="AC1238" s="78" t="b">
        <f t="shared" si="1125"/>
        <v>0</v>
      </c>
      <c r="AD1238" s="78" t="b">
        <f t="shared" si="1126"/>
        <v>0</v>
      </c>
      <c r="AE1238" s="78" t="b">
        <f t="shared" si="1127"/>
        <v>0</v>
      </c>
      <c r="AF1238" s="78" t="b">
        <f t="shared" si="1128"/>
        <v>0</v>
      </c>
      <c r="AG1238" s="78" t="b">
        <f t="shared" si="1129"/>
        <v>0</v>
      </c>
      <c r="AH1238" s="78" t="b">
        <f t="shared" si="1130"/>
        <v>0</v>
      </c>
      <c r="AI1238" s="78" t="b">
        <f t="shared" si="1131"/>
        <v>0</v>
      </c>
      <c r="AJ1238" s="78" t="b">
        <f t="shared" si="1132"/>
        <v>0</v>
      </c>
      <c r="AK1238" s="78" t="b">
        <f t="shared" si="1133"/>
        <v>0</v>
      </c>
      <c r="AL1238" s="78" t="b">
        <f t="shared" si="1134"/>
        <v>0</v>
      </c>
      <c r="AM1238" s="78" t="b">
        <f t="shared" si="1135"/>
        <v>0</v>
      </c>
      <c r="AN1238" s="78" t="b">
        <f t="shared" si="1136"/>
        <v>0</v>
      </c>
      <c r="AO1238" s="78" t="b">
        <f t="shared" si="1137"/>
        <v>0</v>
      </c>
    </row>
    <row r="1239" spans="7:41" x14ac:dyDescent="0.35">
      <c r="G1239" s="77">
        <f t="shared" si="1107"/>
        <v>0</v>
      </c>
      <c r="H1239" s="78">
        <f t="shared" si="1108"/>
        <v>0</v>
      </c>
      <c r="I1239" s="77">
        <f t="shared" si="1109"/>
        <v>0</v>
      </c>
      <c r="J1239" s="78">
        <f t="shared" si="1110"/>
        <v>0</v>
      </c>
      <c r="K1239" s="78" t="str">
        <f t="shared" si="1111"/>
        <v>1900-01-00 00:0:00</v>
      </c>
      <c r="L1239" s="78" t="str">
        <f t="shared" si="1112"/>
        <v>1900-01-00 00:0:00</v>
      </c>
      <c r="M1239" s="79">
        <f t="shared" si="1113"/>
        <v>0</v>
      </c>
      <c r="N1239">
        <f t="shared" si="1138"/>
        <v>1</v>
      </c>
      <c r="O1239" t="str">
        <f>IFERROR(_xlfn.XLOOKUP(A1239,HC!A:A,HC!C:C),"")</f>
        <v>Workforce</v>
      </c>
      <c r="R1239" s="78" t="b">
        <f t="shared" si="1114"/>
        <v>0</v>
      </c>
      <c r="S1239" s="78" t="b">
        <f t="shared" si="1115"/>
        <v>0</v>
      </c>
      <c r="T1239" s="78" t="b">
        <f t="shared" si="1116"/>
        <v>0</v>
      </c>
      <c r="U1239" s="78" t="b">
        <f t="shared" si="1117"/>
        <v>0</v>
      </c>
      <c r="V1239" s="78" t="b">
        <f t="shared" si="1118"/>
        <v>0</v>
      </c>
      <c r="W1239" s="78" t="b">
        <f t="shared" si="1119"/>
        <v>0</v>
      </c>
      <c r="X1239" s="78" t="b">
        <f t="shared" si="1120"/>
        <v>0</v>
      </c>
      <c r="Y1239" s="78" t="b">
        <f t="shared" si="1121"/>
        <v>0</v>
      </c>
      <c r="Z1239" s="78" t="b">
        <f t="shared" si="1122"/>
        <v>0</v>
      </c>
      <c r="AA1239" s="78" t="b">
        <f t="shared" si="1123"/>
        <v>0</v>
      </c>
      <c r="AB1239" s="78" t="b">
        <f t="shared" si="1124"/>
        <v>0</v>
      </c>
      <c r="AC1239" s="78" t="b">
        <f t="shared" si="1125"/>
        <v>0</v>
      </c>
      <c r="AD1239" s="78" t="b">
        <f t="shared" si="1126"/>
        <v>0</v>
      </c>
      <c r="AE1239" s="78" t="b">
        <f t="shared" si="1127"/>
        <v>0</v>
      </c>
      <c r="AF1239" s="78" t="b">
        <f t="shared" si="1128"/>
        <v>0</v>
      </c>
      <c r="AG1239" s="78" t="b">
        <f t="shared" si="1129"/>
        <v>0</v>
      </c>
      <c r="AH1239" s="78" t="b">
        <f t="shared" si="1130"/>
        <v>0</v>
      </c>
      <c r="AI1239" s="78" t="b">
        <f t="shared" si="1131"/>
        <v>0</v>
      </c>
      <c r="AJ1239" s="78" t="b">
        <f t="shared" si="1132"/>
        <v>0</v>
      </c>
      <c r="AK1239" s="78" t="b">
        <f t="shared" si="1133"/>
        <v>0</v>
      </c>
      <c r="AL1239" s="78" t="b">
        <f t="shared" si="1134"/>
        <v>0</v>
      </c>
      <c r="AM1239" s="78" t="b">
        <f t="shared" si="1135"/>
        <v>0</v>
      </c>
      <c r="AN1239" s="78" t="b">
        <f t="shared" si="1136"/>
        <v>0</v>
      </c>
      <c r="AO1239" s="78" t="b">
        <f t="shared" si="1137"/>
        <v>0</v>
      </c>
    </row>
    <row r="1240" spans="7:41" x14ac:dyDescent="0.35">
      <c r="G1240" s="77">
        <f t="shared" si="1107"/>
        <v>0</v>
      </c>
      <c r="H1240" s="78">
        <f t="shared" si="1108"/>
        <v>0</v>
      </c>
      <c r="I1240" s="77">
        <f t="shared" si="1109"/>
        <v>0</v>
      </c>
      <c r="J1240" s="78">
        <f t="shared" si="1110"/>
        <v>0</v>
      </c>
      <c r="K1240" s="78" t="str">
        <f t="shared" si="1111"/>
        <v>1900-01-00 00:0:00</v>
      </c>
      <c r="L1240" s="78" t="str">
        <f t="shared" si="1112"/>
        <v>1900-01-00 00:0:00</v>
      </c>
      <c r="M1240" s="79">
        <f t="shared" si="1113"/>
        <v>0</v>
      </c>
      <c r="N1240">
        <f t="shared" si="1138"/>
        <v>1</v>
      </c>
      <c r="O1240" t="str">
        <f>IFERROR(_xlfn.XLOOKUP(A1240,HC!A:A,HC!C:C),"")</f>
        <v>Workforce</v>
      </c>
      <c r="R1240" s="78" t="b">
        <f t="shared" si="1114"/>
        <v>0</v>
      </c>
      <c r="S1240" s="78" t="b">
        <f t="shared" si="1115"/>
        <v>0</v>
      </c>
      <c r="T1240" s="78" t="b">
        <f t="shared" si="1116"/>
        <v>0</v>
      </c>
      <c r="U1240" s="78" t="b">
        <f t="shared" si="1117"/>
        <v>0</v>
      </c>
      <c r="V1240" s="78" t="b">
        <f t="shared" si="1118"/>
        <v>0</v>
      </c>
      <c r="W1240" s="78" t="b">
        <f t="shared" si="1119"/>
        <v>0</v>
      </c>
      <c r="X1240" s="78" t="b">
        <f t="shared" si="1120"/>
        <v>0</v>
      </c>
      <c r="Y1240" s="78" t="b">
        <f t="shared" si="1121"/>
        <v>0</v>
      </c>
      <c r="Z1240" s="78" t="b">
        <f t="shared" si="1122"/>
        <v>0</v>
      </c>
      <c r="AA1240" s="78" t="b">
        <f t="shared" si="1123"/>
        <v>0</v>
      </c>
      <c r="AB1240" s="78" t="b">
        <f t="shared" si="1124"/>
        <v>0</v>
      </c>
      <c r="AC1240" s="78" t="b">
        <f t="shared" si="1125"/>
        <v>0</v>
      </c>
      <c r="AD1240" s="78" t="b">
        <f t="shared" si="1126"/>
        <v>0</v>
      </c>
      <c r="AE1240" s="78" t="b">
        <f t="shared" si="1127"/>
        <v>0</v>
      </c>
      <c r="AF1240" s="78" t="b">
        <f t="shared" si="1128"/>
        <v>0</v>
      </c>
      <c r="AG1240" s="78" t="b">
        <f t="shared" si="1129"/>
        <v>0</v>
      </c>
      <c r="AH1240" s="78" t="b">
        <f t="shared" si="1130"/>
        <v>0</v>
      </c>
      <c r="AI1240" s="78" t="b">
        <f t="shared" si="1131"/>
        <v>0</v>
      </c>
      <c r="AJ1240" s="78" t="b">
        <f t="shared" si="1132"/>
        <v>0</v>
      </c>
      <c r="AK1240" s="78" t="b">
        <f t="shared" si="1133"/>
        <v>0</v>
      </c>
      <c r="AL1240" s="78" t="b">
        <f t="shared" si="1134"/>
        <v>0</v>
      </c>
      <c r="AM1240" s="78" t="b">
        <f t="shared" si="1135"/>
        <v>0</v>
      </c>
      <c r="AN1240" s="78" t="b">
        <f t="shared" si="1136"/>
        <v>0</v>
      </c>
      <c r="AO1240" s="78" t="b">
        <f t="shared" si="1137"/>
        <v>0</v>
      </c>
    </row>
    <row r="1241" spans="7:41" x14ac:dyDescent="0.35">
      <c r="G1241" s="77">
        <f t="shared" si="1107"/>
        <v>0</v>
      </c>
      <c r="H1241" s="78">
        <f t="shared" si="1108"/>
        <v>0</v>
      </c>
      <c r="I1241" s="77">
        <f t="shared" si="1109"/>
        <v>0</v>
      </c>
      <c r="J1241" s="78">
        <f t="shared" si="1110"/>
        <v>0</v>
      </c>
      <c r="K1241" s="78" t="str">
        <f t="shared" si="1111"/>
        <v>1900-01-00 00:0:00</v>
      </c>
      <c r="L1241" s="78" t="str">
        <f t="shared" si="1112"/>
        <v>1900-01-00 00:0:00</v>
      </c>
      <c r="M1241" s="79">
        <f t="shared" si="1113"/>
        <v>0</v>
      </c>
      <c r="N1241">
        <f t="shared" si="1138"/>
        <v>1</v>
      </c>
      <c r="O1241" t="str">
        <f>IFERROR(_xlfn.XLOOKUP(A1241,HC!A:A,HC!C:C),"")</f>
        <v>Workforce</v>
      </c>
      <c r="R1241" s="78" t="b">
        <f t="shared" si="1114"/>
        <v>0</v>
      </c>
      <c r="S1241" s="78" t="b">
        <f t="shared" si="1115"/>
        <v>0</v>
      </c>
      <c r="T1241" s="78" t="b">
        <f t="shared" si="1116"/>
        <v>0</v>
      </c>
      <c r="U1241" s="78" t="b">
        <f t="shared" si="1117"/>
        <v>0</v>
      </c>
      <c r="V1241" s="78" t="b">
        <f t="shared" si="1118"/>
        <v>0</v>
      </c>
      <c r="W1241" s="78" t="b">
        <f t="shared" si="1119"/>
        <v>0</v>
      </c>
      <c r="X1241" s="78" t="b">
        <f t="shared" si="1120"/>
        <v>0</v>
      </c>
      <c r="Y1241" s="78" t="b">
        <f t="shared" si="1121"/>
        <v>0</v>
      </c>
      <c r="Z1241" s="78" t="b">
        <f t="shared" si="1122"/>
        <v>0</v>
      </c>
      <c r="AA1241" s="78" t="b">
        <f t="shared" si="1123"/>
        <v>0</v>
      </c>
      <c r="AB1241" s="78" t="b">
        <f t="shared" si="1124"/>
        <v>0</v>
      </c>
      <c r="AC1241" s="78" t="b">
        <f t="shared" si="1125"/>
        <v>0</v>
      </c>
      <c r="AD1241" s="78" t="b">
        <f t="shared" si="1126"/>
        <v>0</v>
      </c>
      <c r="AE1241" s="78" t="b">
        <f t="shared" si="1127"/>
        <v>0</v>
      </c>
      <c r="AF1241" s="78" t="b">
        <f t="shared" si="1128"/>
        <v>0</v>
      </c>
      <c r="AG1241" s="78" t="b">
        <f t="shared" si="1129"/>
        <v>0</v>
      </c>
      <c r="AH1241" s="78" t="b">
        <f t="shared" si="1130"/>
        <v>0</v>
      </c>
      <c r="AI1241" s="78" t="b">
        <f t="shared" si="1131"/>
        <v>0</v>
      </c>
      <c r="AJ1241" s="78" t="b">
        <f t="shared" si="1132"/>
        <v>0</v>
      </c>
      <c r="AK1241" s="78" t="b">
        <f t="shared" si="1133"/>
        <v>0</v>
      </c>
      <c r="AL1241" s="78" t="b">
        <f t="shared" si="1134"/>
        <v>0</v>
      </c>
      <c r="AM1241" s="78" t="b">
        <f t="shared" si="1135"/>
        <v>0</v>
      </c>
      <c r="AN1241" s="78" t="b">
        <f t="shared" si="1136"/>
        <v>0</v>
      </c>
      <c r="AO1241" s="78" t="b">
        <f t="shared" si="1137"/>
        <v>0</v>
      </c>
    </row>
    <row r="1242" spans="7:41" x14ac:dyDescent="0.35">
      <c r="G1242" s="77">
        <f t="shared" si="1107"/>
        <v>0</v>
      </c>
      <c r="H1242" s="78">
        <f t="shared" si="1108"/>
        <v>0</v>
      </c>
      <c r="I1242" s="77">
        <f t="shared" si="1109"/>
        <v>0</v>
      </c>
      <c r="J1242" s="78">
        <f t="shared" si="1110"/>
        <v>0</v>
      </c>
      <c r="K1242" s="78" t="str">
        <f t="shared" si="1111"/>
        <v>1900-01-00 00:0:00</v>
      </c>
      <c r="L1242" s="78" t="str">
        <f t="shared" si="1112"/>
        <v>1900-01-00 00:0:00</v>
      </c>
      <c r="M1242" s="79">
        <f t="shared" si="1113"/>
        <v>0</v>
      </c>
      <c r="N1242">
        <f t="shared" si="1138"/>
        <v>1</v>
      </c>
      <c r="O1242" t="str">
        <f>IFERROR(_xlfn.XLOOKUP(A1242,HC!A:A,HC!C:C),"")</f>
        <v>Workforce</v>
      </c>
      <c r="R1242" s="78" t="b">
        <f t="shared" si="1114"/>
        <v>0</v>
      </c>
      <c r="S1242" s="78" t="b">
        <f t="shared" si="1115"/>
        <v>0</v>
      </c>
      <c r="T1242" s="78" t="b">
        <f t="shared" si="1116"/>
        <v>0</v>
      </c>
      <c r="U1242" s="78" t="b">
        <f t="shared" si="1117"/>
        <v>0</v>
      </c>
      <c r="V1242" s="78" t="b">
        <f t="shared" si="1118"/>
        <v>0</v>
      </c>
      <c r="W1242" s="78" t="b">
        <f t="shared" si="1119"/>
        <v>0</v>
      </c>
      <c r="X1242" s="78" t="b">
        <f t="shared" si="1120"/>
        <v>0</v>
      </c>
      <c r="Y1242" s="78" t="b">
        <f t="shared" si="1121"/>
        <v>0</v>
      </c>
      <c r="Z1242" s="78" t="b">
        <f t="shared" si="1122"/>
        <v>0</v>
      </c>
      <c r="AA1242" s="78" t="b">
        <f t="shared" si="1123"/>
        <v>0</v>
      </c>
      <c r="AB1242" s="78" t="b">
        <f t="shared" si="1124"/>
        <v>0</v>
      </c>
      <c r="AC1242" s="78" t="b">
        <f t="shared" si="1125"/>
        <v>0</v>
      </c>
      <c r="AD1242" s="78" t="b">
        <f t="shared" si="1126"/>
        <v>0</v>
      </c>
      <c r="AE1242" s="78" t="b">
        <f t="shared" si="1127"/>
        <v>0</v>
      </c>
      <c r="AF1242" s="78" t="b">
        <f t="shared" si="1128"/>
        <v>0</v>
      </c>
      <c r="AG1242" s="78" t="b">
        <f t="shared" si="1129"/>
        <v>0</v>
      </c>
      <c r="AH1242" s="78" t="b">
        <f t="shared" si="1130"/>
        <v>0</v>
      </c>
      <c r="AI1242" s="78" t="b">
        <f t="shared" si="1131"/>
        <v>0</v>
      </c>
      <c r="AJ1242" s="78" t="b">
        <f t="shared" si="1132"/>
        <v>0</v>
      </c>
      <c r="AK1242" s="78" t="b">
        <f t="shared" si="1133"/>
        <v>0</v>
      </c>
      <c r="AL1242" s="78" t="b">
        <f t="shared" si="1134"/>
        <v>0</v>
      </c>
      <c r="AM1242" s="78" t="b">
        <f t="shared" si="1135"/>
        <v>0</v>
      </c>
      <c r="AN1242" s="78" t="b">
        <f t="shared" si="1136"/>
        <v>0</v>
      </c>
      <c r="AO1242" s="78" t="b">
        <f t="shared" si="1137"/>
        <v>0</v>
      </c>
    </row>
    <row r="1243" spans="7:41" x14ac:dyDescent="0.35">
      <c r="G1243" s="77">
        <f t="shared" si="1107"/>
        <v>0</v>
      </c>
      <c r="H1243" s="78">
        <f t="shared" si="1108"/>
        <v>0</v>
      </c>
      <c r="I1243" s="77">
        <f t="shared" si="1109"/>
        <v>0</v>
      </c>
      <c r="J1243" s="78">
        <f t="shared" si="1110"/>
        <v>0</v>
      </c>
      <c r="K1243" s="78" t="str">
        <f t="shared" si="1111"/>
        <v>1900-01-00 00:0:00</v>
      </c>
      <c r="L1243" s="78" t="str">
        <f t="shared" si="1112"/>
        <v>1900-01-00 00:0:00</v>
      </c>
      <c r="M1243" s="79">
        <f t="shared" si="1113"/>
        <v>0</v>
      </c>
      <c r="N1243">
        <f t="shared" si="1138"/>
        <v>1</v>
      </c>
      <c r="O1243" t="str">
        <f>IFERROR(_xlfn.XLOOKUP(A1243,HC!A:A,HC!C:C),"")</f>
        <v>Workforce</v>
      </c>
      <c r="R1243" s="78" t="b">
        <f t="shared" si="1114"/>
        <v>0</v>
      </c>
      <c r="S1243" s="78" t="b">
        <f t="shared" si="1115"/>
        <v>0</v>
      </c>
      <c r="T1243" s="78" t="b">
        <f t="shared" si="1116"/>
        <v>0</v>
      </c>
      <c r="U1243" s="78" t="b">
        <f t="shared" si="1117"/>
        <v>0</v>
      </c>
      <c r="V1243" s="78" t="b">
        <f t="shared" si="1118"/>
        <v>0</v>
      </c>
      <c r="W1243" s="78" t="b">
        <f t="shared" si="1119"/>
        <v>0</v>
      </c>
      <c r="X1243" s="78" t="b">
        <f t="shared" si="1120"/>
        <v>0</v>
      </c>
      <c r="Y1243" s="78" t="b">
        <f t="shared" si="1121"/>
        <v>0</v>
      </c>
      <c r="Z1243" s="78" t="b">
        <f t="shared" si="1122"/>
        <v>0</v>
      </c>
      <c r="AA1243" s="78" t="b">
        <f t="shared" si="1123"/>
        <v>0</v>
      </c>
      <c r="AB1243" s="78" t="b">
        <f t="shared" si="1124"/>
        <v>0</v>
      </c>
      <c r="AC1243" s="78" t="b">
        <f t="shared" si="1125"/>
        <v>0</v>
      </c>
      <c r="AD1243" s="78" t="b">
        <f t="shared" si="1126"/>
        <v>0</v>
      </c>
      <c r="AE1243" s="78" t="b">
        <f t="shared" si="1127"/>
        <v>0</v>
      </c>
      <c r="AF1243" s="78" t="b">
        <f t="shared" si="1128"/>
        <v>0</v>
      </c>
      <c r="AG1243" s="78" t="b">
        <f t="shared" si="1129"/>
        <v>0</v>
      </c>
      <c r="AH1243" s="78" t="b">
        <f t="shared" si="1130"/>
        <v>0</v>
      </c>
      <c r="AI1243" s="78" t="b">
        <f t="shared" si="1131"/>
        <v>0</v>
      </c>
      <c r="AJ1243" s="78" t="b">
        <f t="shared" si="1132"/>
        <v>0</v>
      </c>
      <c r="AK1243" s="78" t="b">
        <f t="shared" si="1133"/>
        <v>0</v>
      </c>
      <c r="AL1243" s="78" t="b">
        <f t="shared" si="1134"/>
        <v>0</v>
      </c>
      <c r="AM1243" s="78" t="b">
        <f t="shared" si="1135"/>
        <v>0</v>
      </c>
      <c r="AN1243" s="78" t="b">
        <f t="shared" si="1136"/>
        <v>0</v>
      </c>
      <c r="AO1243" s="78" t="b">
        <f t="shared" si="1137"/>
        <v>0</v>
      </c>
    </row>
    <row r="1244" spans="7:41" x14ac:dyDescent="0.35">
      <c r="G1244" s="77">
        <f t="shared" si="1107"/>
        <v>0</v>
      </c>
      <c r="H1244" s="78">
        <f t="shared" si="1108"/>
        <v>0</v>
      </c>
      <c r="I1244" s="77">
        <f t="shared" si="1109"/>
        <v>0</v>
      </c>
      <c r="J1244" s="78">
        <f t="shared" si="1110"/>
        <v>0</v>
      </c>
      <c r="K1244" s="78" t="str">
        <f t="shared" si="1111"/>
        <v>1900-01-00 00:0:00</v>
      </c>
      <c r="L1244" s="78" t="str">
        <f t="shared" si="1112"/>
        <v>1900-01-00 00:0:00</v>
      </c>
      <c r="M1244" s="79">
        <f t="shared" si="1113"/>
        <v>0</v>
      </c>
      <c r="N1244">
        <f t="shared" si="1138"/>
        <v>1</v>
      </c>
      <c r="O1244" t="str">
        <f>IFERROR(_xlfn.XLOOKUP(A1244,HC!A:A,HC!C:C),"")</f>
        <v>Workforce</v>
      </c>
      <c r="R1244" s="78" t="b">
        <f t="shared" si="1114"/>
        <v>0</v>
      </c>
      <c r="S1244" s="78" t="b">
        <f t="shared" si="1115"/>
        <v>0</v>
      </c>
      <c r="T1244" s="78" t="b">
        <f t="shared" si="1116"/>
        <v>0</v>
      </c>
      <c r="U1244" s="78" t="b">
        <f t="shared" si="1117"/>
        <v>0</v>
      </c>
      <c r="V1244" s="78" t="b">
        <f t="shared" si="1118"/>
        <v>0</v>
      </c>
      <c r="W1244" s="78" t="b">
        <f t="shared" si="1119"/>
        <v>0</v>
      </c>
      <c r="X1244" s="78" t="b">
        <f t="shared" si="1120"/>
        <v>0</v>
      </c>
      <c r="Y1244" s="78" t="b">
        <f t="shared" si="1121"/>
        <v>0</v>
      </c>
      <c r="Z1244" s="78" t="b">
        <f t="shared" si="1122"/>
        <v>0</v>
      </c>
      <c r="AA1244" s="78" t="b">
        <f t="shared" si="1123"/>
        <v>0</v>
      </c>
      <c r="AB1244" s="78" t="b">
        <f t="shared" si="1124"/>
        <v>0</v>
      </c>
      <c r="AC1244" s="78" t="b">
        <f t="shared" si="1125"/>
        <v>0</v>
      </c>
      <c r="AD1244" s="78" t="b">
        <f t="shared" si="1126"/>
        <v>0</v>
      </c>
      <c r="AE1244" s="78" t="b">
        <f t="shared" si="1127"/>
        <v>0</v>
      </c>
      <c r="AF1244" s="78" t="b">
        <f t="shared" si="1128"/>
        <v>0</v>
      </c>
      <c r="AG1244" s="78" t="b">
        <f t="shared" si="1129"/>
        <v>0</v>
      </c>
      <c r="AH1244" s="78" t="b">
        <f t="shared" si="1130"/>
        <v>0</v>
      </c>
      <c r="AI1244" s="78" t="b">
        <f t="shared" si="1131"/>
        <v>0</v>
      </c>
      <c r="AJ1244" s="78" t="b">
        <f t="shared" si="1132"/>
        <v>0</v>
      </c>
      <c r="AK1244" s="78" t="b">
        <f t="shared" si="1133"/>
        <v>0</v>
      </c>
      <c r="AL1244" s="78" t="b">
        <f t="shared" si="1134"/>
        <v>0</v>
      </c>
      <c r="AM1244" s="78" t="b">
        <f t="shared" si="1135"/>
        <v>0</v>
      </c>
      <c r="AN1244" s="78" t="b">
        <f t="shared" si="1136"/>
        <v>0</v>
      </c>
      <c r="AO1244" s="78" t="b">
        <f t="shared" si="1137"/>
        <v>0</v>
      </c>
    </row>
    <row r="1245" spans="7:41" x14ac:dyDescent="0.35">
      <c r="G1245" s="77">
        <f t="shared" si="1107"/>
        <v>0</v>
      </c>
      <c r="H1245" s="78">
        <f t="shared" si="1108"/>
        <v>0</v>
      </c>
      <c r="I1245" s="77">
        <f t="shared" si="1109"/>
        <v>0</v>
      </c>
      <c r="J1245" s="78">
        <f t="shared" si="1110"/>
        <v>0</v>
      </c>
      <c r="K1245" s="78" t="str">
        <f t="shared" si="1111"/>
        <v>1900-01-00 00:0:00</v>
      </c>
      <c r="L1245" s="78" t="str">
        <f t="shared" si="1112"/>
        <v>1900-01-00 00:0:00</v>
      </c>
      <c r="M1245" s="79">
        <f t="shared" si="1113"/>
        <v>0</v>
      </c>
      <c r="N1245">
        <f t="shared" si="1138"/>
        <v>1</v>
      </c>
      <c r="O1245" t="str">
        <f>IFERROR(_xlfn.XLOOKUP(A1245,HC!A:A,HC!C:C),"")</f>
        <v>Workforce</v>
      </c>
      <c r="R1245" s="78" t="b">
        <f t="shared" si="1114"/>
        <v>0</v>
      </c>
      <c r="S1245" s="78" t="b">
        <f t="shared" si="1115"/>
        <v>0</v>
      </c>
      <c r="T1245" s="78" t="b">
        <f t="shared" si="1116"/>
        <v>0</v>
      </c>
      <c r="U1245" s="78" t="b">
        <f t="shared" si="1117"/>
        <v>0</v>
      </c>
      <c r="V1245" s="78" t="b">
        <f t="shared" si="1118"/>
        <v>0</v>
      </c>
      <c r="W1245" s="78" t="b">
        <f t="shared" si="1119"/>
        <v>0</v>
      </c>
      <c r="X1245" s="78" t="b">
        <f t="shared" si="1120"/>
        <v>0</v>
      </c>
      <c r="Y1245" s="78" t="b">
        <f t="shared" si="1121"/>
        <v>0</v>
      </c>
      <c r="Z1245" s="78" t="b">
        <f t="shared" si="1122"/>
        <v>0</v>
      </c>
      <c r="AA1245" s="78" t="b">
        <f t="shared" si="1123"/>
        <v>0</v>
      </c>
      <c r="AB1245" s="78" t="b">
        <f t="shared" si="1124"/>
        <v>0</v>
      </c>
      <c r="AC1245" s="78" t="b">
        <f t="shared" si="1125"/>
        <v>0</v>
      </c>
      <c r="AD1245" s="78" t="b">
        <f t="shared" si="1126"/>
        <v>0</v>
      </c>
      <c r="AE1245" s="78" t="b">
        <f t="shared" si="1127"/>
        <v>0</v>
      </c>
      <c r="AF1245" s="78" t="b">
        <f t="shared" si="1128"/>
        <v>0</v>
      </c>
      <c r="AG1245" s="78" t="b">
        <f t="shared" si="1129"/>
        <v>0</v>
      </c>
      <c r="AH1245" s="78" t="b">
        <f t="shared" si="1130"/>
        <v>0</v>
      </c>
      <c r="AI1245" s="78" t="b">
        <f t="shared" si="1131"/>
        <v>0</v>
      </c>
      <c r="AJ1245" s="78" t="b">
        <f t="shared" si="1132"/>
        <v>0</v>
      </c>
      <c r="AK1245" s="78" t="b">
        <f t="shared" si="1133"/>
        <v>0</v>
      </c>
      <c r="AL1245" s="78" t="b">
        <f t="shared" si="1134"/>
        <v>0</v>
      </c>
      <c r="AM1245" s="78" t="b">
        <f t="shared" si="1135"/>
        <v>0</v>
      </c>
      <c r="AN1245" s="78" t="b">
        <f t="shared" si="1136"/>
        <v>0</v>
      </c>
      <c r="AO1245" s="78" t="b">
        <f t="shared" si="1137"/>
        <v>0</v>
      </c>
    </row>
    <row r="1246" spans="7:41" x14ac:dyDescent="0.35">
      <c r="G1246" s="77">
        <f t="shared" si="1107"/>
        <v>0</v>
      </c>
      <c r="H1246" s="78">
        <f t="shared" si="1108"/>
        <v>0</v>
      </c>
      <c r="I1246" s="77">
        <f t="shared" si="1109"/>
        <v>0</v>
      </c>
      <c r="J1246" s="78">
        <f t="shared" si="1110"/>
        <v>0</v>
      </c>
      <c r="K1246" s="78" t="str">
        <f t="shared" si="1111"/>
        <v>1900-01-00 00:0:00</v>
      </c>
      <c r="L1246" s="78" t="str">
        <f t="shared" si="1112"/>
        <v>1900-01-00 00:0:00</v>
      </c>
      <c r="M1246" s="79">
        <f t="shared" si="1113"/>
        <v>0</v>
      </c>
      <c r="N1246">
        <f t="shared" si="1138"/>
        <v>1</v>
      </c>
      <c r="O1246" t="str">
        <f>IFERROR(_xlfn.XLOOKUP(A1246,HC!A:A,HC!C:C),"")</f>
        <v>Workforce</v>
      </c>
      <c r="R1246" s="78" t="b">
        <f t="shared" si="1114"/>
        <v>0</v>
      </c>
      <c r="S1246" s="78" t="b">
        <f t="shared" si="1115"/>
        <v>0</v>
      </c>
      <c r="T1246" s="78" t="b">
        <f t="shared" si="1116"/>
        <v>0</v>
      </c>
      <c r="U1246" s="78" t="b">
        <f t="shared" si="1117"/>
        <v>0</v>
      </c>
      <c r="V1246" s="78" t="b">
        <f t="shared" si="1118"/>
        <v>0</v>
      </c>
      <c r="W1246" s="78" t="b">
        <f t="shared" si="1119"/>
        <v>0</v>
      </c>
      <c r="X1246" s="78" t="b">
        <f t="shared" si="1120"/>
        <v>0</v>
      </c>
      <c r="Y1246" s="78" t="b">
        <f t="shared" si="1121"/>
        <v>0</v>
      </c>
      <c r="Z1246" s="78" t="b">
        <f t="shared" si="1122"/>
        <v>0</v>
      </c>
      <c r="AA1246" s="78" t="b">
        <f t="shared" si="1123"/>
        <v>0</v>
      </c>
      <c r="AB1246" s="78" t="b">
        <f t="shared" si="1124"/>
        <v>0</v>
      </c>
      <c r="AC1246" s="78" t="b">
        <f t="shared" si="1125"/>
        <v>0</v>
      </c>
      <c r="AD1246" s="78" t="b">
        <f t="shared" si="1126"/>
        <v>0</v>
      </c>
      <c r="AE1246" s="78" t="b">
        <f t="shared" si="1127"/>
        <v>0</v>
      </c>
      <c r="AF1246" s="78" t="b">
        <f t="shared" si="1128"/>
        <v>0</v>
      </c>
      <c r="AG1246" s="78" t="b">
        <f t="shared" si="1129"/>
        <v>0</v>
      </c>
      <c r="AH1246" s="78" t="b">
        <f t="shared" si="1130"/>
        <v>0</v>
      </c>
      <c r="AI1246" s="78" t="b">
        <f t="shared" si="1131"/>
        <v>0</v>
      </c>
      <c r="AJ1246" s="78" t="b">
        <f t="shared" si="1132"/>
        <v>0</v>
      </c>
      <c r="AK1246" s="78" t="b">
        <f t="shared" si="1133"/>
        <v>0</v>
      </c>
      <c r="AL1246" s="78" t="b">
        <f t="shared" si="1134"/>
        <v>0</v>
      </c>
      <c r="AM1246" s="78" t="b">
        <f t="shared" si="1135"/>
        <v>0</v>
      </c>
      <c r="AN1246" s="78" t="b">
        <f t="shared" si="1136"/>
        <v>0</v>
      </c>
      <c r="AO1246" s="78" t="b">
        <f t="shared" si="1137"/>
        <v>0</v>
      </c>
    </row>
    <row r="1247" spans="7:41" x14ac:dyDescent="0.35">
      <c r="G1247" s="77">
        <f t="shared" si="1107"/>
        <v>0</v>
      </c>
      <c r="H1247" s="78">
        <f t="shared" si="1108"/>
        <v>0</v>
      </c>
      <c r="I1247" s="77">
        <f t="shared" si="1109"/>
        <v>0</v>
      </c>
      <c r="J1247" s="78">
        <f t="shared" si="1110"/>
        <v>0</v>
      </c>
      <c r="K1247" s="78" t="str">
        <f t="shared" si="1111"/>
        <v>1900-01-00 00:0:00</v>
      </c>
      <c r="L1247" s="78" t="str">
        <f t="shared" si="1112"/>
        <v>1900-01-00 00:0:00</v>
      </c>
      <c r="M1247" s="79">
        <f t="shared" si="1113"/>
        <v>0</v>
      </c>
      <c r="N1247">
        <f t="shared" si="1138"/>
        <v>1</v>
      </c>
      <c r="O1247" t="str">
        <f>IFERROR(_xlfn.XLOOKUP(A1247,HC!A:A,HC!C:C),"")</f>
        <v>Workforce</v>
      </c>
      <c r="R1247" s="78" t="b">
        <f t="shared" si="1114"/>
        <v>0</v>
      </c>
      <c r="S1247" s="78" t="b">
        <f t="shared" si="1115"/>
        <v>0</v>
      </c>
      <c r="T1247" s="78" t="b">
        <f t="shared" si="1116"/>
        <v>0</v>
      </c>
      <c r="U1247" s="78" t="b">
        <f t="shared" si="1117"/>
        <v>0</v>
      </c>
      <c r="V1247" s="78" t="b">
        <f t="shared" si="1118"/>
        <v>0</v>
      </c>
      <c r="W1247" s="78" t="b">
        <f t="shared" si="1119"/>
        <v>0</v>
      </c>
      <c r="X1247" s="78" t="b">
        <f t="shared" si="1120"/>
        <v>0</v>
      </c>
      <c r="Y1247" s="78" t="b">
        <f t="shared" si="1121"/>
        <v>0</v>
      </c>
      <c r="Z1247" s="78" t="b">
        <f t="shared" si="1122"/>
        <v>0</v>
      </c>
      <c r="AA1247" s="78" t="b">
        <f t="shared" si="1123"/>
        <v>0</v>
      </c>
      <c r="AB1247" s="78" t="b">
        <f t="shared" si="1124"/>
        <v>0</v>
      </c>
      <c r="AC1247" s="78" t="b">
        <f t="shared" si="1125"/>
        <v>0</v>
      </c>
      <c r="AD1247" s="78" t="b">
        <f t="shared" si="1126"/>
        <v>0</v>
      </c>
      <c r="AE1247" s="78" t="b">
        <f t="shared" si="1127"/>
        <v>0</v>
      </c>
      <c r="AF1247" s="78" t="b">
        <f t="shared" si="1128"/>
        <v>0</v>
      </c>
      <c r="AG1247" s="78" t="b">
        <f t="shared" si="1129"/>
        <v>0</v>
      </c>
      <c r="AH1247" s="78" t="b">
        <f t="shared" si="1130"/>
        <v>0</v>
      </c>
      <c r="AI1247" s="78" t="b">
        <f t="shared" si="1131"/>
        <v>0</v>
      </c>
      <c r="AJ1247" s="78" t="b">
        <f t="shared" si="1132"/>
        <v>0</v>
      </c>
      <c r="AK1247" s="78" t="b">
        <f t="shared" si="1133"/>
        <v>0</v>
      </c>
      <c r="AL1247" s="78" t="b">
        <f t="shared" si="1134"/>
        <v>0</v>
      </c>
      <c r="AM1247" s="78" t="b">
        <f t="shared" si="1135"/>
        <v>0</v>
      </c>
      <c r="AN1247" s="78" t="b">
        <f t="shared" si="1136"/>
        <v>0</v>
      </c>
      <c r="AO1247" s="78" t="b">
        <f t="shared" si="1137"/>
        <v>0</v>
      </c>
    </row>
    <row r="1248" spans="7:41" x14ac:dyDescent="0.35">
      <c r="G1248" s="77">
        <f t="shared" si="1107"/>
        <v>0</v>
      </c>
      <c r="H1248" s="78">
        <f t="shared" si="1108"/>
        <v>0</v>
      </c>
      <c r="I1248" s="77">
        <f t="shared" si="1109"/>
        <v>0</v>
      </c>
      <c r="J1248" s="78">
        <f t="shared" si="1110"/>
        <v>0</v>
      </c>
      <c r="K1248" s="78" t="str">
        <f t="shared" si="1111"/>
        <v>1900-01-00 00:0:00</v>
      </c>
      <c r="L1248" s="78" t="str">
        <f t="shared" si="1112"/>
        <v>1900-01-00 00:0:00</v>
      </c>
      <c r="M1248" s="79">
        <f t="shared" si="1113"/>
        <v>0</v>
      </c>
      <c r="N1248">
        <f t="shared" si="1138"/>
        <v>1</v>
      </c>
      <c r="O1248" t="str">
        <f>IFERROR(_xlfn.XLOOKUP(A1248,HC!A:A,HC!C:C),"")</f>
        <v>Workforce</v>
      </c>
      <c r="R1248" s="78" t="b">
        <f t="shared" si="1114"/>
        <v>0</v>
      </c>
      <c r="S1248" s="78" t="b">
        <f t="shared" si="1115"/>
        <v>0</v>
      </c>
      <c r="T1248" s="78" t="b">
        <f t="shared" si="1116"/>
        <v>0</v>
      </c>
      <c r="U1248" s="78" t="b">
        <f t="shared" si="1117"/>
        <v>0</v>
      </c>
      <c r="V1248" s="78" t="b">
        <f t="shared" si="1118"/>
        <v>0</v>
      </c>
      <c r="W1248" s="78" t="b">
        <f t="shared" si="1119"/>
        <v>0</v>
      </c>
      <c r="X1248" s="78" t="b">
        <f t="shared" si="1120"/>
        <v>0</v>
      </c>
      <c r="Y1248" s="78" t="b">
        <f t="shared" si="1121"/>
        <v>0</v>
      </c>
      <c r="Z1248" s="78" t="b">
        <f t="shared" si="1122"/>
        <v>0</v>
      </c>
      <c r="AA1248" s="78" t="b">
        <f t="shared" si="1123"/>
        <v>0</v>
      </c>
      <c r="AB1248" s="78" t="b">
        <f t="shared" si="1124"/>
        <v>0</v>
      </c>
      <c r="AC1248" s="78" t="b">
        <f t="shared" si="1125"/>
        <v>0</v>
      </c>
      <c r="AD1248" s="78" t="b">
        <f t="shared" si="1126"/>
        <v>0</v>
      </c>
      <c r="AE1248" s="78" t="b">
        <f t="shared" si="1127"/>
        <v>0</v>
      </c>
      <c r="AF1248" s="78" t="b">
        <f t="shared" si="1128"/>
        <v>0</v>
      </c>
      <c r="AG1248" s="78" t="b">
        <f t="shared" si="1129"/>
        <v>0</v>
      </c>
      <c r="AH1248" s="78" t="b">
        <f t="shared" si="1130"/>
        <v>0</v>
      </c>
      <c r="AI1248" s="78" t="b">
        <f t="shared" si="1131"/>
        <v>0</v>
      </c>
      <c r="AJ1248" s="78" t="b">
        <f t="shared" si="1132"/>
        <v>0</v>
      </c>
      <c r="AK1248" s="78" t="b">
        <f t="shared" si="1133"/>
        <v>0</v>
      </c>
      <c r="AL1248" s="78" t="b">
        <f t="shared" si="1134"/>
        <v>0</v>
      </c>
      <c r="AM1248" s="78" t="b">
        <f t="shared" si="1135"/>
        <v>0</v>
      </c>
      <c r="AN1248" s="78" t="b">
        <f t="shared" si="1136"/>
        <v>0</v>
      </c>
      <c r="AO1248" s="78" t="b">
        <f t="shared" si="1137"/>
        <v>0</v>
      </c>
    </row>
    <row r="1249" spans="7:41" x14ac:dyDescent="0.35">
      <c r="G1249" s="77">
        <f t="shared" si="1107"/>
        <v>0</v>
      </c>
      <c r="H1249" s="78">
        <f t="shared" si="1108"/>
        <v>0</v>
      </c>
      <c r="I1249" s="77">
        <f t="shared" si="1109"/>
        <v>0</v>
      </c>
      <c r="J1249" s="78">
        <f t="shared" si="1110"/>
        <v>0</v>
      </c>
      <c r="K1249" s="78" t="str">
        <f t="shared" si="1111"/>
        <v>1900-01-00 00:0:00</v>
      </c>
      <c r="L1249" s="78" t="str">
        <f t="shared" si="1112"/>
        <v>1900-01-00 00:0:00</v>
      </c>
      <c r="M1249" s="79">
        <f t="shared" si="1113"/>
        <v>0</v>
      </c>
      <c r="N1249">
        <f t="shared" si="1138"/>
        <v>1</v>
      </c>
      <c r="O1249" t="str">
        <f>IFERROR(_xlfn.XLOOKUP(A1249,HC!A:A,HC!C:C),"")</f>
        <v>Workforce</v>
      </c>
      <c r="R1249" s="78" t="b">
        <f t="shared" si="1114"/>
        <v>0</v>
      </c>
      <c r="S1249" s="78" t="b">
        <f t="shared" si="1115"/>
        <v>0</v>
      </c>
      <c r="T1249" s="78" t="b">
        <f t="shared" si="1116"/>
        <v>0</v>
      </c>
      <c r="U1249" s="78" t="b">
        <f t="shared" si="1117"/>
        <v>0</v>
      </c>
      <c r="V1249" s="78" t="b">
        <f t="shared" si="1118"/>
        <v>0</v>
      </c>
      <c r="W1249" s="78" t="b">
        <f t="shared" si="1119"/>
        <v>0</v>
      </c>
      <c r="X1249" s="78" t="b">
        <f t="shared" si="1120"/>
        <v>0</v>
      </c>
      <c r="Y1249" s="78" t="b">
        <f t="shared" si="1121"/>
        <v>0</v>
      </c>
      <c r="Z1249" s="78" t="b">
        <f t="shared" si="1122"/>
        <v>0</v>
      </c>
      <c r="AA1249" s="78" t="b">
        <f t="shared" si="1123"/>
        <v>0</v>
      </c>
      <c r="AB1249" s="78" t="b">
        <f t="shared" si="1124"/>
        <v>0</v>
      </c>
      <c r="AC1249" s="78" t="b">
        <f t="shared" si="1125"/>
        <v>0</v>
      </c>
      <c r="AD1249" s="78" t="b">
        <f t="shared" si="1126"/>
        <v>0</v>
      </c>
      <c r="AE1249" s="78" t="b">
        <f t="shared" si="1127"/>
        <v>0</v>
      </c>
      <c r="AF1249" s="78" t="b">
        <f t="shared" si="1128"/>
        <v>0</v>
      </c>
      <c r="AG1249" s="78" t="b">
        <f t="shared" si="1129"/>
        <v>0</v>
      </c>
      <c r="AH1249" s="78" t="b">
        <f t="shared" si="1130"/>
        <v>0</v>
      </c>
      <c r="AI1249" s="78" t="b">
        <f t="shared" si="1131"/>
        <v>0</v>
      </c>
      <c r="AJ1249" s="78" t="b">
        <f t="shared" si="1132"/>
        <v>0</v>
      </c>
      <c r="AK1249" s="78" t="b">
        <f t="shared" si="1133"/>
        <v>0</v>
      </c>
      <c r="AL1249" s="78" t="b">
        <f t="shared" si="1134"/>
        <v>0</v>
      </c>
      <c r="AM1249" s="78" t="b">
        <f t="shared" si="1135"/>
        <v>0</v>
      </c>
      <c r="AN1249" s="78" t="b">
        <f t="shared" si="1136"/>
        <v>0</v>
      </c>
      <c r="AO1249" s="78" t="b">
        <f t="shared" si="1137"/>
        <v>0</v>
      </c>
    </row>
    <row r="1250" spans="7:41" x14ac:dyDescent="0.35">
      <c r="G1250" s="77">
        <f t="shared" si="1107"/>
        <v>0</v>
      </c>
      <c r="H1250" s="78">
        <f t="shared" si="1108"/>
        <v>0</v>
      </c>
      <c r="I1250" s="77">
        <f t="shared" si="1109"/>
        <v>0</v>
      </c>
      <c r="J1250" s="78">
        <f t="shared" si="1110"/>
        <v>0</v>
      </c>
      <c r="K1250" s="78" t="str">
        <f t="shared" si="1111"/>
        <v>1900-01-00 00:0:00</v>
      </c>
      <c r="L1250" s="78" t="str">
        <f t="shared" si="1112"/>
        <v>1900-01-00 00:0:00</v>
      </c>
      <c r="M1250" s="79">
        <f t="shared" si="1113"/>
        <v>0</v>
      </c>
      <c r="N1250">
        <f t="shared" si="1138"/>
        <v>1</v>
      </c>
      <c r="O1250" t="str">
        <f>IFERROR(_xlfn.XLOOKUP(A1250,HC!A:A,HC!C:C),"")</f>
        <v>Workforce</v>
      </c>
      <c r="R1250" s="78" t="b">
        <f t="shared" si="1114"/>
        <v>0</v>
      </c>
      <c r="S1250" s="78" t="b">
        <f t="shared" si="1115"/>
        <v>0</v>
      </c>
      <c r="T1250" s="78" t="b">
        <f t="shared" si="1116"/>
        <v>0</v>
      </c>
      <c r="U1250" s="78" t="b">
        <f t="shared" si="1117"/>
        <v>0</v>
      </c>
      <c r="V1250" s="78" t="b">
        <f t="shared" si="1118"/>
        <v>0</v>
      </c>
      <c r="W1250" s="78" t="b">
        <f t="shared" si="1119"/>
        <v>0</v>
      </c>
      <c r="X1250" s="78" t="b">
        <f t="shared" si="1120"/>
        <v>0</v>
      </c>
      <c r="Y1250" s="78" t="b">
        <f t="shared" si="1121"/>
        <v>0</v>
      </c>
      <c r="Z1250" s="78" t="b">
        <f t="shared" si="1122"/>
        <v>0</v>
      </c>
      <c r="AA1250" s="78" t="b">
        <f t="shared" si="1123"/>
        <v>0</v>
      </c>
      <c r="AB1250" s="78" t="b">
        <f t="shared" si="1124"/>
        <v>0</v>
      </c>
      <c r="AC1250" s="78" t="b">
        <f t="shared" si="1125"/>
        <v>0</v>
      </c>
      <c r="AD1250" s="78" t="b">
        <f t="shared" si="1126"/>
        <v>0</v>
      </c>
      <c r="AE1250" s="78" t="b">
        <f t="shared" si="1127"/>
        <v>0</v>
      </c>
      <c r="AF1250" s="78" t="b">
        <f t="shared" si="1128"/>
        <v>0</v>
      </c>
      <c r="AG1250" s="78" t="b">
        <f t="shared" si="1129"/>
        <v>0</v>
      </c>
      <c r="AH1250" s="78" t="b">
        <f t="shared" si="1130"/>
        <v>0</v>
      </c>
      <c r="AI1250" s="78" t="b">
        <f t="shared" si="1131"/>
        <v>0</v>
      </c>
      <c r="AJ1250" s="78" t="b">
        <f t="shared" si="1132"/>
        <v>0</v>
      </c>
      <c r="AK1250" s="78" t="b">
        <f t="shared" si="1133"/>
        <v>0</v>
      </c>
      <c r="AL1250" s="78" t="b">
        <f t="shared" si="1134"/>
        <v>0</v>
      </c>
      <c r="AM1250" s="78" t="b">
        <f t="shared" si="1135"/>
        <v>0</v>
      </c>
      <c r="AN1250" s="78" t="b">
        <f t="shared" si="1136"/>
        <v>0</v>
      </c>
      <c r="AO1250" s="78" t="b">
        <f t="shared" si="1137"/>
        <v>0</v>
      </c>
    </row>
    <row r="1251" spans="7:41" x14ac:dyDescent="0.35">
      <c r="G1251" s="77">
        <f t="shared" si="1107"/>
        <v>0</v>
      </c>
      <c r="H1251" s="78">
        <f t="shared" si="1108"/>
        <v>0</v>
      </c>
      <c r="I1251" s="77">
        <f t="shared" si="1109"/>
        <v>0</v>
      </c>
      <c r="J1251" s="78">
        <f t="shared" si="1110"/>
        <v>0</v>
      </c>
      <c r="K1251" s="78" t="str">
        <f t="shared" si="1111"/>
        <v>1900-01-00 00:0:00</v>
      </c>
      <c r="L1251" s="78" t="str">
        <f t="shared" si="1112"/>
        <v>1900-01-00 00:0:00</v>
      </c>
      <c r="M1251" s="79">
        <f t="shared" si="1113"/>
        <v>0</v>
      </c>
      <c r="N1251">
        <f t="shared" si="1138"/>
        <v>1</v>
      </c>
      <c r="O1251" t="str">
        <f>IFERROR(_xlfn.XLOOKUP(A1251,HC!A:A,HC!C:C),"")</f>
        <v>Workforce</v>
      </c>
      <c r="R1251" s="78" t="b">
        <f t="shared" si="1114"/>
        <v>0</v>
      </c>
      <c r="S1251" s="78" t="b">
        <f t="shared" si="1115"/>
        <v>0</v>
      </c>
      <c r="T1251" s="78" t="b">
        <f t="shared" si="1116"/>
        <v>0</v>
      </c>
      <c r="U1251" s="78" t="b">
        <f t="shared" si="1117"/>
        <v>0</v>
      </c>
      <c r="V1251" s="78" t="b">
        <f t="shared" si="1118"/>
        <v>0</v>
      </c>
      <c r="W1251" s="78" t="b">
        <f t="shared" si="1119"/>
        <v>0</v>
      </c>
      <c r="X1251" s="78" t="b">
        <f t="shared" si="1120"/>
        <v>0</v>
      </c>
      <c r="Y1251" s="78" t="b">
        <f t="shared" si="1121"/>
        <v>0</v>
      </c>
      <c r="Z1251" s="78" t="b">
        <f t="shared" si="1122"/>
        <v>0</v>
      </c>
      <c r="AA1251" s="78" t="b">
        <f t="shared" si="1123"/>
        <v>0</v>
      </c>
      <c r="AB1251" s="78" t="b">
        <f t="shared" si="1124"/>
        <v>0</v>
      </c>
      <c r="AC1251" s="78" t="b">
        <f t="shared" si="1125"/>
        <v>0</v>
      </c>
      <c r="AD1251" s="78" t="b">
        <f t="shared" si="1126"/>
        <v>0</v>
      </c>
      <c r="AE1251" s="78" t="b">
        <f t="shared" si="1127"/>
        <v>0</v>
      </c>
      <c r="AF1251" s="78" t="b">
        <f t="shared" si="1128"/>
        <v>0</v>
      </c>
      <c r="AG1251" s="78" t="b">
        <f t="shared" si="1129"/>
        <v>0</v>
      </c>
      <c r="AH1251" s="78" t="b">
        <f t="shared" si="1130"/>
        <v>0</v>
      </c>
      <c r="AI1251" s="78" t="b">
        <f t="shared" si="1131"/>
        <v>0</v>
      </c>
      <c r="AJ1251" s="78" t="b">
        <f t="shared" si="1132"/>
        <v>0</v>
      </c>
      <c r="AK1251" s="78" t="b">
        <f t="shared" si="1133"/>
        <v>0</v>
      </c>
      <c r="AL1251" s="78" t="b">
        <f t="shared" si="1134"/>
        <v>0</v>
      </c>
      <c r="AM1251" s="78" t="b">
        <f t="shared" si="1135"/>
        <v>0</v>
      </c>
      <c r="AN1251" s="78" t="b">
        <f t="shared" si="1136"/>
        <v>0</v>
      </c>
      <c r="AO1251" s="78" t="b">
        <f t="shared" si="1137"/>
        <v>0</v>
      </c>
    </row>
    <row r="1252" spans="7:41" x14ac:dyDescent="0.35">
      <c r="G1252" s="77">
        <f t="shared" si="1107"/>
        <v>0</v>
      </c>
      <c r="H1252" s="78">
        <f t="shared" si="1108"/>
        <v>0</v>
      </c>
      <c r="I1252" s="77">
        <f t="shared" si="1109"/>
        <v>0</v>
      </c>
      <c r="J1252" s="78">
        <f t="shared" si="1110"/>
        <v>0</v>
      </c>
      <c r="K1252" s="78" t="str">
        <f t="shared" si="1111"/>
        <v>1900-01-00 00:0:00</v>
      </c>
      <c r="L1252" s="78" t="str">
        <f t="shared" si="1112"/>
        <v>1900-01-00 00:0:00</v>
      </c>
      <c r="M1252" s="79">
        <f t="shared" si="1113"/>
        <v>0</v>
      </c>
      <c r="N1252">
        <f t="shared" si="1138"/>
        <v>1</v>
      </c>
      <c r="O1252" t="str">
        <f>IFERROR(_xlfn.XLOOKUP(A1252,HC!A:A,HC!C:C),"")</f>
        <v>Workforce</v>
      </c>
      <c r="R1252" s="78" t="b">
        <f t="shared" si="1114"/>
        <v>0</v>
      </c>
      <c r="S1252" s="78" t="b">
        <f t="shared" si="1115"/>
        <v>0</v>
      </c>
      <c r="T1252" s="78" t="b">
        <f t="shared" si="1116"/>
        <v>0</v>
      </c>
      <c r="U1252" s="78" t="b">
        <f t="shared" si="1117"/>
        <v>0</v>
      </c>
      <c r="V1252" s="78" t="b">
        <f t="shared" si="1118"/>
        <v>0</v>
      </c>
      <c r="W1252" s="78" t="b">
        <f t="shared" si="1119"/>
        <v>0</v>
      </c>
      <c r="X1252" s="78" t="b">
        <f t="shared" si="1120"/>
        <v>0</v>
      </c>
      <c r="Y1252" s="78" t="b">
        <f t="shared" si="1121"/>
        <v>0</v>
      </c>
      <c r="Z1252" s="78" t="b">
        <f t="shared" si="1122"/>
        <v>0</v>
      </c>
      <c r="AA1252" s="78" t="b">
        <f t="shared" si="1123"/>
        <v>0</v>
      </c>
      <c r="AB1252" s="78" t="b">
        <f t="shared" si="1124"/>
        <v>0</v>
      </c>
      <c r="AC1252" s="78" t="b">
        <f t="shared" si="1125"/>
        <v>0</v>
      </c>
      <c r="AD1252" s="78" t="b">
        <f t="shared" si="1126"/>
        <v>0</v>
      </c>
      <c r="AE1252" s="78" t="b">
        <f t="shared" si="1127"/>
        <v>0</v>
      </c>
      <c r="AF1252" s="78" t="b">
        <f t="shared" si="1128"/>
        <v>0</v>
      </c>
      <c r="AG1252" s="78" t="b">
        <f t="shared" si="1129"/>
        <v>0</v>
      </c>
      <c r="AH1252" s="78" t="b">
        <f t="shared" si="1130"/>
        <v>0</v>
      </c>
      <c r="AI1252" s="78" t="b">
        <f t="shared" si="1131"/>
        <v>0</v>
      </c>
      <c r="AJ1252" s="78" t="b">
        <f t="shared" si="1132"/>
        <v>0</v>
      </c>
      <c r="AK1252" s="78" t="b">
        <f t="shared" si="1133"/>
        <v>0</v>
      </c>
      <c r="AL1252" s="78" t="b">
        <f t="shared" si="1134"/>
        <v>0</v>
      </c>
      <c r="AM1252" s="78" t="b">
        <f t="shared" si="1135"/>
        <v>0</v>
      </c>
      <c r="AN1252" s="78" t="b">
        <f t="shared" si="1136"/>
        <v>0</v>
      </c>
      <c r="AO1252" s="78" t="b">
        <f t="shared" si="1137"/>
        <v>0</v>
      </c>
    </row>
    <row r="1253" spans="7:41" x14ac:dyDescent="0.35">
      <c r="G1253" s="77">
        <f t="shared" si="1107"/>
        <v>0</v>
      </c>
      <c r="H1253" s="78">
        <f t="shared" si="1108"/>
        <v>0</v>
      </c>
      <c r="I1253" s="77">
        <f t="shared" si="1109"/>
        <v>0</v>
      </c>
      <c r="J1253" s="78">
        <f t="shared" si="1110"/>
        <v>0</v>
      </c>
      <c r="K1253" s="78" t="str">
        <f t="shared" si="1111"/>
        <v>1900-01-00 00:0:00</v>
      </c>
      <c r="L1253" s="78" t="str">
        <f t="shared" si="1112"/>
        <v>1900-01-00 00:0:00</v>
      </c>
      <c r="M1253" s="79">
        <f t="shared" si="1113"/>
        <v>0</v>
      </c>
      <c r="N1253">
        <f t="shared" si="1138"/>
        <v>1</v>
      </c>
      <c r="O1253" t="str">
        <f>IFERROR(_xlfn.XLOOKUP(A1253,HC!A:A,HC!C:C),"")</f>
        <v>Workforce</v>
      </c>
      <c r="R1253" s="78" t="b">
        <f t="shared" si="1114"/>
        <v>0</v>
      </c>
      <c r="S1253" s="78" t="b">
        <f t="shared" si="1115"/>
        <v>0</v>
      </c>
      <c r="T1253" s="78" t="b">
        <f t="shared" si="1116"/>
        <v>0</v>
      </c>
      <c r="U1253" s="78" t="b">
        <f t="shared" si="1117"/>
        <v>0</v>
      </c>
      <c r="V1253" s="78" t="b">
        <f t="shared" si="1118"/>
        <v>0</v>
      </c>
      <c r="W1253" s="78" t="b">
        <f t="shared" si="1119"/>
        <v>0</v>
      </c>
      <c r="X1253" s="78" t="b">
        <f t="shared" si="1120"/>
        <v>0</v>
      </c>
      <c r="Y1253" s="78" t="b">
        <f t="shared" si="1121"/>
        <v>0</v>
      </c>
      <c r="Z1253" s="78" t="b">
        <f t="shared" si="1122"/>
        <v>0</v>
      </c>
      <c r="AA1253" s="78" t="b">
        <f t="shared" si="1123"/>
        <v>0</v>
      </c>
      <c r="AB1253" s="78" t="b">
        <f t="shared" si="1124"/>
        <v>0</v>
      </c>
      <c r="AC1253" s="78" t="b">
        <f t="shared" si="1125"/>
        <v>0</v>
      </c>
      <c r="AD1253" s="78" t="b">
        <f t="shared" si="1126"/>
        <v>0</v>
      </c>
      <c r="AE1253" s="78" t="b">
        <f t="shared" si="1127"/>
        <v>0</v>
      </c>
      <c r="AF1253" s="78" t="b">
        <f t="shared" si="1128"/>
        <v>0</v>
      </c>
      <c r="AG1253" s="78" t="b">
        <f t="shared" si="1129"/>
        <v>0</v>
      </c>
      <c r="AH1253" s="78" t="b">
        <f t="shared" si="1130"/>
        <v>0</v>
      </c>
      <c r="AI1253" s="78" t="b">
        <f t="shared" si="1131"/>
        <v>0</v>
      </c>
      <c r="AJ1253" s="78" t="b">
        <f t="shared" si="1132"/>
        <v>0</v>
      </c>
      <c r="AK1253" s="78" t="b">
        <f t="shared" si="1133"/>
        <v>0</v>
      </c>
      <c r="AL1253" s="78" t="b">
        <f t="shared" si="1134"/>
        <v>0</v>
      </c>
      <c r="AM1253" s="78" t="b">
        <f t="shared" si="1135"/>
        <v>0</v>
      </c>
      <c r="AN1253" s="78" t="b">
        <f t="shared" si="1136"/>
        <v>0</v>
      </c>
      <c r="AO1253" s="78" t="b">
        <f t="shared" si="1137"/>
        <v>0</v>
      </c>
    </row>
    <row r="1254" spans="7:41" x14ac:dyDescent="0.35">
      <c r="G1254" s="77">
        <f t="shared" si="1107"/>
        <v>0</v>
      </c>
      <c r="H1254" s="78">
        <f t="shared" si="1108"/>
        <v>0</v>
      </c>
      <c r="I1254" s="77">
        <f t="shared" si="1109"/>
        <v>0</v>
      </c>
      <c r="J1254" s="78">
        <f t="shared" si="1110"/>
        <v>0</v>
      </c>
      <c r="K1254" s="78" t="str">
        <f t="shared" si="1111"/>
        <v>1900-01-00 00:0:00</v>
      </c>
      <c r="L1254" s="78" t="str">
        <f t="shared" si="1112"/>
        <v>1900-01-00 00:0:00</v>
      </c>
      <c r="M1254" s="79">
        <f t="shared" si="1113"/>
        <v>0</v>
      </c>
      <c r="N1254">
        <f t="shared" si="1138"/>
        <v>1</v>
      </c>
      <c r="O1254" t="str">
        <f>IFERROR(_xlfn.XLOOKUP(A1254,HC!A:A,HC!C:C),"")</f>
        <v>Workforce</v>
      </c>
      <c r="R1254" s="78" t="b">
        <f t="shared" si="1114"/>
        <v>0</v>
      </c>
      <c r="S1254" s="78" t="b">
        <f t="shared" si="1115"/>
        <v>0</v>
      </c>
      <c r="T1254" s="78" t="b">
        <f t="shared" si="1116"/>
        <v>0</v>
      </c>
      <c r="U1254" s="78" t="b">
        <f t="shared" si="1117"/>
        <v>0</v>
      </c>
      <c r="V1254" s="78" t="b">
        <f t="shared" si="1118"/>
        <v>0</v>
      </c>
      <c r="W1254" s="78" t="b">
        <f t="shared" si="1119"/>
        <v>0</v>
      </c>
      <c r="X1254" s="78" t="b">
        <f t="shared" si="1120"/>
        <v>0</v>
      </c>
      <c r="Y1254" s="78" t="b">
        <f t="shared" si="1121"/>
        <v>0</v>
      </c>
      <c r="Z1254" s="78" t="b">
        <f t="shared" si="1122"/>
        <v>0</v>
      </c>
      <c r="AA1254" s="78" t="b">
        <f t="shared" si="1123"/>
        <v>0</v>
      </c>
      <c r="AB1254" s="78" t="b">
        <f t="shared" si="1124"/>
        <v>0</v>
      </c>
      <c r="AC1254" s="78" t="b">
        <f t="shared" si="1125"/>
        <v>0</v>
      </c>
      <c r="AD1254" s="78" t="b">
        <f t="shared" si="1126"/>
        <v>0</v>
      </c>
      <c r="AE1254" s="78" t="b">
        <f t="shared" si="1127"/>
        <v>0</v>
      </c>
      <c r="AF1254" s="78" t="b">
        <f t="shared" si="1128"/>
        <v>0</v>
      </c>
      <c r="AG1254" s="78" t="b">
        <f t="shared" si="1129"/>
        <v>0</v>
      </c>
      <c r="AH1254" s="78" t="b">
        <f t="shared" si="1130"/>
        <v>0</v>
      </c>
      <c r="AI1254" s="78" t="b">
        <f t="shared" si="1131"/>
        <v>0</v>
      </c>
      <c r="AJ1254" s="78" t="b">
        <f t="shared" si="1132"/>
        <v>0</v>
      </c>
      <c r="AK1254" s="78" t="b">
        <f t="shared" si="1133"/>
        <v>0</v>
      </c>
      <c r="AL1254" s="78" t="b">
        <f t="shared" si="1134"/>
        <v>0</v>
      </c>
      <c r="AM1254" s="78" t="b">
        <f t="shared" si="1135"/>
        <v>0</v>
      </c>
      <c r="AN1254" s="78" t="b">
        <f t="shared" si="1136"/>
        <v>0</v>
      </c>
      <c r="AO1254" s="78" t="b">
        <f t="shared" si="1137"/>
        <v>0</v>
      </c>
    </row>
    <row r="1255" spans="7:41" x14ac:dyDescent="0.35">
      <c r="G1255" s="77">
        <f t="shared" si="1107"/>
        <v>0</v>
      </c>
      <c r="H1255" s="78">
        <f t="shared" si="1108"/>
        <v>0</v>
      </c>
      <c r="I1255" s="77">
        <f t="shared" si="1109"/>
        <v>0</v>
      </c>
      <c r="J1255" s="78">
        <f t="shared" si="1110"/>
        <v>0</v>
      </c>
      <c r="K1255" s="78" t="str">
        <f t="shared" si="1111"/>
        <v>1900-01-00 00:0:00</v>
      </c>
      <c r="L1255" s="78" t="str">
        <f t="shared" si="1112"/>
        <v>1900-01-00 00:0:00</v>
      </c>
      <c r="M1255" s="79">
        <f t="shared" si="1113"/>
        <v>0</v>
      </c>
      <c r="N1255">
        <f t="shared" si="1138"/>
        <v>1</v>
      </c>
      <c r="O1255" t="str">
        <f>IFERROR(_xlfn.XLOOKUP(A1255,HC!A:A,HC!C:C),"")</f>
        <v>Workforce</v>
      </c>
      <c r="R1255" s="78" t="b">
        <f t="shared" si="1114"/>
        <v>0</v>
      </c>
      <c r="S1255" s="78" t="b">
        <f t="shared" si="1115"/>
        <v>0</v>
      </c>
      <c r="T1255" s="78" t="b">
        <f t="shared" si="1116"/>
        <v>0</v>
      </c>
      <c r="U1255" s="78" t="b">
        <f t="shared" si="1117"/>
        <v>0</v>
      </c>
      <c r="V1255" s="78" t="b">
        <f t="shared" si="1118"/>
        <v>0</v>
      </c>
      <c r="W1255" s="78" t="b">
        <f t="shared" si="1119"/>
        <v>0</v>
      </c>
      <c r="X1255" s="78" t="b">
        <f t="shared" si="1120"/>
        <v>0</v>
      </c>
      <c r="Y1255" s="78" t="b">
        <f t="shared" si="1121"/>
        <v>0</v>
      </c>
      <c r="Z1255" s="78" t="b">
        <f t="shared" si="1122"/>
        <v>0</v>
      </c>
      <c r="AA1255" s="78" t="b">
        <f t="shared" si="1123"/>
        <v>0</v>
      </c>
      <c r="AB1255" s="78" t="b">
        <f t="shared" si="1124"/>
        <v>0</v>
      </c>
      <c r="AC1255" s="78" t="b">
        <f t="shared" si="1125"/>
        <v>0</v>
      </c>
      <c r="AD1255" s="78" t="b">
        <f t="shared" si="1126"/>
        <v>0</v>
      </c>
      <c r="AE1255" s="78" t="b">
        <f t="shared" si="1127"/>
        <v>0</v>
      </c>
      <c r="AF1255" s="78" t="b">
        <f t="shared" si="1128"/>
        <v>0</v>
      </c>
      <c r="AG1255" s="78" t="b">
        <f t="shared" si="1129"/>
        <v>0</v>
      </c>
      <c r="AH1255" s="78" t="b">
        <f t="shared" si="1130"/>
        <v>0</v>
      </c>
      <c r="AI1255" s="78" t="b">
        <f t="shared" si="1131"/>
        <v>0</v>
      </c>
      <c r="AJ1255" s="78" t="b">
        <f t="shared" si="1132"/>
        <v>0</v>
      </c>
      <c r="AK1255" s="78" t="b">
        <f t="shared" si="1133"/>
        <v>0</v>
      </c>
      <c r="AL1255" s="78" t="b">
        <f t="shared" si="1134"/>
        <v>0</v>
      </c>
      <c r="AM1255" s="78" t="b">
        <f t="shared" si="1135"/>
        <v>0</v>
      </c>
      <c r="AN1255" s="78" t="b">
        <f t="shared" si="1136"/>
        <v>0</v>
      </c>
      <c r="AO1255" s="78" t="b">
        <f t="shared" si="1137"/>
        <v>0</v>
      </c>
    </row>
    <row r="1256" spans="7:41" x14ac:dyDescent="0.35">
      <c r="G1256" s="77">
        <f t="shared" si="1107"/>
        <v>0</v>
      </c>
      <c r="H1256" s="78">
        <f t="shared" si="1108"/>
        <v>0</v>
      </c>
      <c r="I1256" s="77">
        <f t="shared" si="1109"/>
        <v>0</v>
      </c>
      <c r="J1256" s="78">
        <f t="shared" si="1110"/>
        <v>0</v>
      </c>
      <c r="K1256" s="78" t="str">
        <f t="shared" si="1111"/>
        <v>1900-01-00 00:0:00</v>
      </c>
      <c r="L1256" s="78" t="str">
        <f t="shared" si="1112"/>
        <v>1900-01-00 00:0:00</v>
      </c>
      <c r="M1256" s="79">
        <f t="shared" si="1113"/>
        <v>0</v>
      </c>
      <c r="N1256">
        <f t="shared" si="1138"/>
        <v>1</v>
      </c>
      <c r="O1256" t="str">
        <f>IFERROR(_xlfn.XLOOKUP(A1256,HC!A:A,HC!C:C),"")</f>
        <v>Workforce</v>
      </c>
      <c r="R1256" s="78" t="b">
        <f t="shared" si="1114"/>
        <v>0</v>
      </c>
      <c r="S1256" s="78" t="b">
        <f t="shared" si="1115"/>
        <v>0</v>
      </c>
      <c r="T1256" s="78" t="b">
        <f t="shared" si="1116"/>
        <v>0</v>
      </c>
      <c r="U1256" s="78" t="b">
        <f t="shared" si="1117"/>
        <v>0</v>
      </c>
      <c r="V1256" s="78" t="b">
        <f t="shared" si="1118"/>
        <v>0</v>
      </c>
      <c r="W1256" s="78" t="b">
        <f t="shared" si="1119"/>
        <v>0</v>
      </c>
      <c r="X1256" s="78" t="b">
        <f t="shared" si="1120"/>
        <v>0</v>
      </c>
      <c r="Y1256" s="78" t="b">
        <f t="shared" si="1121"/>
        <v>0</v>
      </c>
      <c r="Z1256" s="78" t="b">
        <f t="shared" si="1122"/>
        <v>0</v>
      </c>
      <c r="AA1256" s="78" t="b">
        <f t="shared" si="1123"/>
        <v>0</v>
      </c>
      <c r="AB1256" s="78" t="b">
        <f t="shared" si="1124"/>
        <v>0</v>
      </c>
      <c r="AC1256" s="78" t="b">
        <f t="shared" si="1125"/>
        <v>0</v>
      </c>
      <c r="AD1256" s="78" t="b">
        <f t="shared" si="1126"/>
        <v>0</v>
      </c>
      <c r="AE1256" s="78" t="b">
        <f t="shared" si="1127"/>
        <v>0</v>
      </c>
      <c r="AF1256" s="78" t="b">
        <f t="shared" si="1128"/>
        <v>0</v>
      </c>
      <c r="AG1256" s="78" t="b">
        <f t="shared" si="1129"/>
        <v>0</v>
      </c>
      <c r="AH1256" s="78" t="b">
        <f t="shared" si="1130"/>
        <v>0</v>
      </c>
      <c r="AI1256" s="78" t="b">
        <f t="shared" si="1131"/>
        <v>0</v>
      </c>
      <c r="AJ1256" s="78" t="b">
        <f t="shared" si="1132"/>
        <v>0</v>
      </c>
      <c r="AK1256" s="78" t="b">
        <f t="shared" si="1133"/>
        <v>0</v>
      </c>
      <c r="AL1256" s="78" t="b">
        <f t="shared" si="1134"/>
        <v>0</v>
      </c>
      <c r="AM1256" s="78" t="b">
        <f t="shared" si="1135"/>
        <v>0</v>
      </c>
      <c r="AN1256" s="78" t="b">
        <f t="shared" si="1136"/>
        <v>0</v>
      </c>
      <c r="AO1256" s="78" t="b">
        <f t="shared" si="1137"/>
        <v>0</v>
      </c>
    </row>
    <row r="1257" spans="7:41" x14ac:dyDescent="0.35">
      <c r="G1257" s="77">
        <f t="shared" si="1107"/>
        <v>0</v>
      </c>
      <c r="H1257" s="78">
        <f t="shared" si="1108"/>
        <v>0</v>
      </c>
      <c r="I1257" s="77">
        <f t="shared" si="1109"/>
        <v>0</v>
      </c>
      <c r="J1257" s="78">
        <f t="shared" si="1110"/>
        <v>0</v>
      </c>
      <c r="K1257" s="78" t="str">
        <f t="shared" si="1111"/>
        <v>1900-01-00 00:0:00</v>
      </c>
      <c r="L1257" s="78" t="str">
        <f t="shared" si="1112"/>
        <v>1900-01-00 00:0:00</v>
      </c>
      <c r="M1257" s="79">
        <f t="shared" si="1113"/>
        <v>0</v>
      </c>
      <c r="N1257">
        <f t="shared" si="1138"/>
        <v>1</v>
      </c>
      <c r="O1257" t="str">
        <f>IFERROR(_xlfn.XLOOKUP(A1257,HC!A:A,HC!C:C),"")</f>
        <v>Workforce</v>
      </c>
      <c r="R1257" s="78" t="b">
        <f t="shared" si="1114"/>
        <v>0</v>
      </c>
      <c r="S1257" s="78" t="b">
        <f t="shared" si="1115"/>
        <v>0</v>
      </c>
      <c r="T1257" s="78" t="b">
        <f t="shared" si="1116"/>
        <v>0</v>
      </c>
      <c r="U1257" s="78" t="b">
        <f t="shared" si="1117"/>
        <v>0</v>
      </c>
      <c r="V1257" s="78" t="b">
        <f t="shared" si="1118"/>
        <v>0</v>
      </c>
      <c r="W1257" s="78" t="b">
        <f t="shared" si="1119"/>
        <v>0</v>
      </c>
      <c r="X1257" s="78" t="b">
        <f t="shared" si="1120"/>
        <v>0</v>
      </c>
      <c r="Y1257" s="78" t="b">
        <f t="shared" si="1121"/>
        <v>0</v>
      </c>
      <c r="Z1257" s="78" t="b">
        <f t="shared" si="1122"/>
        <v>0</v>
      </c>
      <c r="AA1257" s="78" t="b">
        <f t="shared" si="1123"/>
        <v>0</v>
      </c>
      <c r="AB1257" s="78" t="b">
        <f t="shared" si="1124"/>
        <v>0</v>
      </c>
      <c r="AC1257" s="78" t="b">
        <f t="shared" si="1125"/>
        <v>0</v>
      </c>
      <c r="AD1257" s="78" t="b">
        <f t="shared" si="1126"/>
        <v>0</v>
      </c>
      <c r="AE1257" s="78" t="b">
        <f t="shared" si="1127"/>
        <v>0</v>
      </c>
      <c r="AF1257" s="78" t="b">
        <f t="shared" si="1128"/>
        <v>0</v>
      </c>
      <c r="AG1257" s="78" t="b">
        <f t="shared" si="1129"/>
        <v>0</v>
      </c>
      <c r="AH1257" s="78" t="b">
        <f t="shared" si="1130"/>
        <v>0</v>
      </c>
      <c r="AI1257" s="78" t="b">
        <f t="shared" si="1131"/>
        <v>0</v>
      </c>
      <c r="AJ1257" s="78" t="b">
        <f t="shared" si="1132"/>
        <v>0</v>
      </c>
      <c r="AK1257" s="78" t="b">
        <f t="shared" si="1133"/>
        <v>0</v>
      </c>
      <c r="AL1257" s="78" t="b">
        <f t="shared" si="1134"/>
        <v>0</v>
      </c>
      <c r="AM1257" s="78" t="b">
        <f t="shared" si="1135"/>
        <v>0</v>
      </c>
      <c r="AN1257" s="78" t="b">
        <f t="shared" si="1136"/>
        <v>0</v>
      </c>
      <c r="AO1257" s="78" t="b">
        <f t="shared" si="1137"/>
        <v>0</v>
      </c>
    </row>
    <row r="1258" spans="7:41" x14ac:dyDescent="0.35">
      <c r="G1258" s="77">
        <f t="shared" si="1107"/>
        <v>0</v>
      </c>
      <c r="H1258" s="78">
        <f t="shared" si="1108"/>
        <v>0</v>
      </c>
      <c r="I1258" s="77">
        <f t="shared" si="1109"/>
        <v>0</v>
      </c>
      <c r="J1258" s="78">
        <f t="shared" si="1110"/>
        <v>0</v>
      </c>
      <c r="K1258" s="78" t="str">
        <f t="shared" si="1111"/>
        <v>1900-01-00 00:0:00</v>
      </c>
      <c r="L1258" s="78" t="str">
        <f t="shared" si="1112"/>
        <v>1900-01-00 00:0:00</v>
      </c>
      <c r="M1258" s="79">
        <f t="shared" si="1113"/>
        <v>0</v>
      </c>
      <c r="N1258">
        <f t="shared" si="1138"/>
        <v>1</v>
      </c>
      <c r="O1258" t="str">
        <f>IFERROR(_xlfn.XLOOKUP(A1258,HC!A:A,HC!C:C),"")</f>
        <v>Workforce</v>
      </c>
      <c r="R1258" s="78" t="b">
        <f t="shared" si="1114"/>
        <v>0</v>
      </c>
      <c r="S1258" s="78" t="b">
        <f t="shared" si="1115"/>
        <v>0</v>
      </c>
      <c r="T1258" s="78" t="b">
        <f t="shared" si="1116"/>
        <v>0</v>
      </c>
      <c r="U1258" s="78" t="b">
        <f t="shared" si="1117"/>
        <v>0</v>
      </c>
      <c r="V1258" s="78" t="b">
        <f t="shared" si="1118"/>
        <v>0</v>
      </c>
      <c r="W1258" s="78" t="b">
        <f t="shared" si="1119"/>
        <v>0</v>
      </c>
      <c r="X1258" s="78" t="b">
        <f t="shared" si="1120"/>
        <v>0</v>
      </c>
      <c r="Y1258" s="78" t="b">
        <f t="shared" si="1121"/>
        <v>0</v>
      </c>
      <c r="Z1258" s="78" t="b">
        <f t="shared" si="1122"/>
        <v>0</v>
      </c>
      <c r="AA1258" s="78" t="b">
        <f t="shared" si="1123"/>
        <v>0</v>
      </c>
      <c r="AB1258" s="78" t="b">
        <f t="shared" si="1124"/>
        <v>0</v>
      </c>
      <c r="AC1258" s="78" t="b">
        <f t="shared" si="1125"/>
        <v>0</v>
      </c>
      <c r="AD1258" s="78" t="b">
        <f t="shared" si="1126"/>
        <v>0</v>
      </c>
      <c r="AE1258" s="78" t="b">
        <f t="shared" si="1127"/>
        <v>0</v>
      </c>
      <c r="AF1258" s="78" t="b">
        <f t="shared" si="1128"/>
        <v>0</v>
      </c>
      <c r="AG1258" s="78" t="b">
        <f t="shared" si="1129"/>
        <v>0</v>
      </c>
      <c r="AH1258" s="78" t="b">
        <f t="shared" si="1130"/>
        <v>0</v>
      </c>
      <c r="AI1258" s="78" t="b">
        <f t="shared" si="1131"/>
        <v>0</v>
      </c>
      <c r="AJ1258" s="78" t="b">
        <f t="shared" si="1132"/>
        <v>0</v>
      </c>
      <c r="AK1258" s="78" t="b">
        <f t="shared" si="1133"/>
        <v>0</v>
      </c>
      <c r="AL1258" s="78" t="b">
        <f t="shared" si="1134"/>
        <v>0</v>
      </c>
      <c r="AM1258" s="78" t="b">
        <f t="shared" si="1135"/>
        <v>0</v>
      </c>
      <c r="AN1258" s="78" t="b">
        <f t="shared" si="1136"/>
        <v>0</v>
      </c>
      <c r="AO1258" s="78" t="b">
        <f t="shared" si="1137"/>
        <v>0</v>
      </c>
    </row>
    <row r="1259" spans="7:41" x14ac:dyDescent="0.35">
      <c r="G1259" s="77">
        <f t="shared" si="1107"/>
        <v>0</v>
      </c>
      <c r="H1259" s="78">
        <f t="shared" si="1108"/>
        <v>0</v>
      </c>
      <c r="I1259" s="77">
        <f t="shared" si="1109"/>
        <v>0</v>
      </c>
      <c r="J1259" s="78">
        <f t="shared" si="1110"/>
        <v>0</v>
      </c>
      <c r="K1259" s="78" t="str">
        <f t="shared" si="1111"/>
        <v>1900-01-00 00:0:00</v>
      </c>
      <c r="L1259" s="78" t="str">
        <f t="shared" si="1112"/>
        <v>1900-01-00 00:0:00</v>
      </c>
      <c r="M1259" s="79">
        <f t="shared" si="1113"/>
        <v>0</v>
      </c>
      <c r="N1259">
        <f t="shared" si="1138"/>
        <v>1</v>
      </c>
      <c r="O1259" t="str">
        <f>IFERROR(_xlfn.XLOOKUP(A1259,HC!A:A,HC!C:C),"")</f>
        <v>Workforce</v>
      </c>
      <c r="R1259" s="78" t="b">
        <f t="shared" si="1114"/>
        <v>0</v>
      </c>
      <c r="S1259" s="78" t="b">
        <f t="shared" si="1115"/>
        <v>0</v>
      </c>
      <c r="T1259" s="78" t="b">
        <f t="shared" si="1116"/>
        <v>0</v>
      </c>
      <c r="U1259" s="78" t="b">
        <f t="shared" si="1117"/>
        <v>0</v>
      </c>
      <c r="V1259" s="78" t="b">
        <f t="shared" si="1118"/>
        <v>0</v>
      </c>
      <c r="W1259" s="78" t="b">
        <f t="shared" si="1119"/>
        <v>0</v>
      </c>
      <c r="X1259" s="78" t="b">
        <f t="shared" si="1120"/>
        <v>0</v>
      </c>
      <c r="Y1259" s="78" t="b">
        <f t="shared" si="1121"/>
        <v>0</v>
      </c>
      <c r="Z1259" s="78" t="b">
        <f t="shared" si="1122"/>
        <v>0</v>
      </c>
      <c r="AA1259" s="78" t="b">
        <f t="shared" si="1123"/>
        <v>0</v>
      </c>
      <c r="AB1259" s="78" t="b">
        <f t="shared" si="1124"/>
        <v>0</v>
      </c>
      <c r="AC1259" s="78" t="b">
        <f t="shared" si="1125"/>
        <v>0</v>
      </c>
      <c r="AD1259" s="78" t="b">
        <f t="shared" si="1126"/>
        <v>0</v>
      </c>
      <c r="AE1259" s="78" t="b">
        <f t="shared" si="1127"/>
        <v>0</v>
      </c>
      <c r="AF1259" s="78" t="b">
        <f t="shared" si="1128"/>
        <v>0</v>
      </c>
      <c r="AG1259" s="78" t="b">
        <f t="shared" si="1129"/>
        <v>0</v>
      </c>
      <c r="AH1259" s="78" t="b">
        <f t="shared" si="1130"/>
        <v>0</v>
      </c>
      <c r="AI1259" s="78" t="b">
        <f t="shared" si="1131"/>
        <v>0</v>
      </c>
      <c r="AJ1259" s="78" t="b">
        <f t="shared" si="1132"/>
        <v>0</v>
      </c>
      <c r="AK1259" s="78" t="b">
        <f t="shared" si="1133"/>
        <v>0</v>
      </c>
      <c r="AL1259" s="78" t="b">
        <f t="shared" si="1134"/>
        <v>0</v>
      </c>
      <c r="AM1259" s="78" t="b">
        <f t="shared" si="1135"/>
        <v>0</v>
      </c>
      <c r="AN1259" s="78" t="b">
        <f t="shared" si="1136"/>
        <v>0</v>
      </c>
      <c r="AO1259" s="78" t="b">
        <f t="shared" si="1137"/>
        <v>0</v>
      </c>
    </row>
    <row r="1260" spans="7:41" x14ac:dyDescent="0.35">
      <c r="G1260" s="77">
        <f t="shared" si="1107"/>
        <v>0</v>
      </c>
      <c r="H1260" s="78">
        <f t="shared" si="1108"/>
        <v>0</v>
      </c>
      <c r="I1260" s="77">
        <f t="shared" si="1109"/>
        <v>0</v>
      </c>
      <c r="J1260" s="78">
        <f t="shared" si="1110"/>
        <v>0</v>
      </c>
      <c r="K1260" s="78" t="str">
        <f t="shared" si="1111"/>
        <v>1900-01-00 00:0:00</v>
      </c>
      <c r="L1260" s="78" t="str">
        <f t="shared" si="1112"/>
        <v>1900-01-00 00:0:00</v>
      </c>
      <c r="M1260" s="79">
        <f t="shared" si="1113"/>
        <v>0</v>
      </c>
      <c r="N1260">
        <f t="shared" si="1138"/>
        <v>1</v>
      </c>
      <c r="O1260" t="str">
        <f>IFERROR(_xlfn.XLOOKUP(A1260,HC!A:A,HC!C:C),"")</f>
        <v>Workforce</v>
      </c>
      <c r="R1260" s="78" t="b">
        <f t="shared" si="1114"/>
        <v>0</v>
      </c>
      <c r="S1260" s="78" t="b">
        <f t="shared" si="1115"/>
        <v>0</v>
      </c>
      <c r="T1260" s="78" t="b">
        <f t="shared" si="1116"/>
        <v>0</v>
      </c>
      <c r="U1260" s="78" t="b">
        <f t="shared" si="1117"/>
        <v>0</v>
      </c>
      <c r="V1260" s="78" t="b">
        <f t="shared" si="1118"/>
        <v>0</v>
      </c>
      <c r="W1260" s="78" t="b">
        <f t="shared" si="1119"/>
        <v>0</v>
      </c>
      <c r="X1260" s="78" t="b">
        <f t="shared" si="1120"/>
        <v>0</v>
      </c>
      <c r="Y1260" s="78" t="b">
        <f t="shared" si="1121"/>
        <v>0</v>
      </c>
      <c r="Z1260" s="78" t="b">
        <f t="shared" si="1122"/>
        <v>0</v>
      </c>
      <c r="AA1260" s="78" t="b">
        <f t="shared" si="1123"/>
        <v>0</v>
      </c>
      <c r="AB1260" s="78" t="b">
        <f t="shared" si="1124"/>
        <v>0</v>
      </c>
      <c r="AC1260" s="78" t="b">
        <f t="shared" si="1125"/>
        <v>0</v>
      </c>
      <c r="AD1260" s="78" t="b">
        <f t="shared" si="1126"/>
        <v>0</v>
      </c>
      <c r="AE1260" s="78" t="b">
        <f t="shared" si="1127"/>
        <v>0</v>
      </c>
      <c r="AF1260" s="78" t="b">
        <f t="shared" si="1128"/>
        <v>0</v>
      </c>
      <c r="AG1260" s="78" t="b">
        <f t="shared" si="1129"/>
        <v>0</v>
      </c>
      <c r="AH1260" s="78" t="b">
        <f t="shared" si="1130"/>
        <v>0</v>
      </c>
      <c r="AI1260" s="78" t="b">
        <f t="shared" si="1131"/>
        <v>0</v>
      </c>
      <c r="AJ1260" s="78" t="b">
        <f t="shared" si="1132"/>
        <v>0</v>
      </c>
      <c r="AK1260" s="78" t="b">
        <f t="shared" si="1133"/>
        <v>0</v>
      </c>
      <c r="AL1260" s="78" t="b">
        <f t="shared" si="1134"/>
        <v>0</v>
      </c>
      <c r="AM1260" s="78" t="b">
        <f t="shared" si="1135"/>
        <v>0</v>
      </c>
      <c r="AN1260" s="78" t="b">
        <f t="shared" si="1136"/>
        <v>0</v>
      </c>
      <c r="AO1260" s="78" t="b">
        <f t="shared" si="1137"/>
        <v>0</v>
      </c>
    </row>
    <row r="1261" spans="7:41" x14ac:dyDescent="0.35">
      <c r="G1261" s="77">
        <f t="shared" si="1107"/>
        <v>0</v>
      </c>
      <c r="H1261" s="78">
        <f t="shared" si="1108"/>
        <v>0</v>
      </c>
      <c r="I1261" s="77">
        <f t="shared" si="1109"/>
        <v>0</v>
      </c>
      <c r="J1261" s="78">
        <f t="shared" si="1110"/>
        <v>0</v>
      </c>
      <c r="K1261" s="78" t="str">
        <f t="shared" si="1111"/>
        <v>1900-01-00 00:0:00</v>
      </c>
      <c r="L1261" s="78" t="str">
        <f t="shared" si="1112"/>
        <v>1900-01-00 00:0:00</v>
      </c>
      <c r="M1261" s="79">
        <f t="shared" si="1113"/>
        <v>0</v>
      </c>
      <c r="N1261">
        <f t="shared" si="1138"/>
        <v>1</v>
      </c>
      <c r="O1261" t="str">
        <f>IFERROR(_xlfn.XLOOKUP(A1261,HC!A:A,HC!C:C),"")</f>
        <v>Workforce</v>
      </c>
      <c r="R1261" s="78" t="b">
        <f t="shared" si="1114"/>
        <v>0</v>
      </c>
      <c r="S1261" s="78" t="b">
        <f t="shared" si="1115"/>
        <v>0</v>
      </c>
      <c r="T1261" s="78" t="b">
        <f t="shared" si="1116"/>
        <v>0</v>
      </c>
      <c r="U1261" s="78" t="b">
        <f t="shared" si="1117"/>
        <v>0</v>
      </c>
      <c r="V1261" s="78" t="b">
        <f t="shared" si="1118"/>
        <v>0</v>
      </c>
      <c r="W1261" s="78" t="b">
        <f t="shared" si="1119"/>
        <v>0</v>
      </c>
      <c r="X1261" s="78" t="b">
        <f t="shared" si="1120"/>
        <v>0</v>
      </c>
      <c r="Y1261" s="78" t="b">
        <f t="shared" si="1121"/>
        <v>0</v>
      </c>
      <c r="Z1261" s="78" t="b">
        <f t="shared" si="1122"/>
        <v>0</v>
      </c>
      <c r="AA1261" s="78" t="b">
        <f t="shared" si="1123"/>
        <v>0</v>
      </c>
      <c r="AB1261" s="78" t="b">
        <f t="shared" si="1124"/>
        <v>0</v>
      </c>
      <c r="AC1261" s="78" t="b">
        <f t="shared" si="1125"/>
        <v>0</v>
      </c>
      <c r="AD1261" s="78" t="b">
        <f t="shared" si="1126"/>
        <v>0</v>
      </c>
      <c r="AE1261" s="78" t="b">
        <f t="shared" si="1127"/>
        <v>0</v>
      </c>
      <c r="AF1261" s="78" t="b">
        <f t="shared" si="1128"/>
        <v>0</v>
      </c>
      <c r="AG1261" s="78" t="b">
        <f t="shared" si="1129"/>
        <v>0</v>
      </c>
      <c r="AH1261" s="78" t="b">
        <f t="shared" si="1130"/>
        <v>0</v>
      </c>
      <c r="AI1261" s="78" t="b">
        <f t="shared" si="1131"/>
        <v>0</v>
      </c>
      <c r="AJ1261" s="78" t="b">
        <f t="shared" si="1132"/>
        <v>0</v>
      </c>
      <c r="AK1261" s="78" t="b">
        <f t="shared" si="1133"/>
        <v>0</v>
      </c>
      <c r="AL1261" s="78" t="b">
        <f t="shared" si="1134"/>
        <v>0</v>
      </c>
      <c r="AM1261" s="78" t="b">
        <f t="shared" si="1135"/>
        <v>0</v>
      </c>
      <c r="AN1261" s="78" t="b">
        <f t="shared" si="1136"/>
        <v>0</v>
      </c>
      <c r="AO1261" s="78" t="b">
        <f t="shared" si="1137"/>
        <v>0</v>
      </c>
    </row>
    <row r="1262" spans="7:41" x14ac:dyDescent="0.35">
      <c r="G1262" s="77">
        <f t="shared" si="1107"/>
        <v>0</v>
      </c>
      <c r="H1262" s="78">
        <f t="shared" si="1108"/>
        <v>0</v>
      </c>
      <c r="I1262" s="77">
        <f t="shared" si="1109"/>
        <v>0</v>
      </c>
      <c r="J1262" s="78">
        <f t="shared" si="1110"/>
        <v>0</v>
      </c>
      <c r="K1262" s="78" t="str">
        <f t="shared" si="1111"/>
        <v>1900-01-00 00:0:00</v>
      </c>
      <c r="L1262" s="78" t="str">
        <f t="shared" si="1112"/>
        <v>1900-01-00 00:0:00</v>
      </c>
      <c r="M1262" s="79">
        <f t="shared" si="1113"/>
        <v>0</v>
      </c>
      <c r="N1262">
        <f t="shared" si="1138"/>
        <v>1</v>
      </c>
      <c r="O1262" t="str">
        <f>IFERROR(_xlfn.XLOOKUP(A1262,HC!A:A,HC!C:C),"")</f>
        <v>Workforce</v>
      </c>
      <c r="R1262" s="78" t="b">
        <f t="shared" si="1114"/>
        <v>0</v>
      </c>
      <c r="S1262" s="78" t="b">
        <f t="shared" si="1115"/>
        <v>0</v>
      </c>
      <c r="T1262" s="78" t="b">
        <f t="shared" si="1116"/>
        <v>0</v>
      </c>
      <c r="U1262" s="78" t="b">
        <f t="shared" si="1117"/>
        <v>0</v>
      </c>
      <c r="V1262" s="78" t="b">
        <f t="shared" si="1118"/>
        <v>0</v>
      </c>
      <c r="W1262" s="78" t="b">
        <f t="shared" si="1119"/>
        <v>0</v>
      </c>
      <c r="X1262" s="78" t="b">
        <f t="shared" si="1120"/>
        <v>0</v>
      </c>
      <c r="Y1262" s="78" t="b">
        <f t="shared" si="1121"/>
        <v>0</v>
      </c>
      <c r="Z1262" s="78" t="b">
        <f t="shared" si="1122"/>
        <v>0</v>
      </c>
      <c r="AA1262" s="78" t="b">
        <f t="shared" si="1123"/>
        <v>0</v>
      </c>
      <c r="AB1262" s="78" t="b">
        <f t="shared" si="1124"/>
        <v>0</v>
      </c>
      <c r="AC1262" s="78" t="b">
        <f t="shared" si="1125"/>
        <v>0</v>
      </c>
      <c r="AD1262" s="78" t="b">
        <f t="shared" si="1126"/>
        <v>0</v>
      </c>
      <c r="AE1262" s="78" t="b">
        <f t="shared" si="1127"/>
        <v>0</v>
      </c>
      <c r="AF1262" s="78" t="b">
        <f t="shared" si="1128"/>
        <v>0</v>
      </c>
      <c r="AG1262" s="78" t="b">
        <f t="shared" si="1129"/>
        <v>0</v>
      </c>
      <c r="AH1262" s="78" t="b">
        <f t="shared" si="1130"/>
        <v>0</v>
      </c>
      <c r="AI1262" s="78" t="b">
        <f t="shared" si="1131"/>
        <v>0</v>
      </c>
      <c r="AJ1262" s="78" t="b">
        <f t="shared" si="1132"/>
        <v>0</v>
      </c>
      <c r="AK1262" s="78" t="b">
        <f t="shared" si="1133"/>
        <v>0</v>
      </c>
      <c r="AL1262" s="78" t="b">
        <f t="shared" si="1134"/>
        <v>0</v>
      </c>
      <c r="AM1262" s="78" t="b">
        <f t="shared" si="1135"/>
        <v>0</v>
      </c>
      <c r="AN1262" s="78" t="b">
        <f t="shared" si="1136"/>
        <v>0</v>
      </c>
      <c r="AO1262" s="78" t="b">
        <f t="shared" si="1137"/>
        <v>0</v>
      </c>
    </row>
    <row r="1263" spans="7:41" x14ac:dyDescent="0.35">
      <c r="G1263" s="77">
        <f t="shared" si="1107"/>
        <v>0</v>
      </c>
      <c r="H1263" s="78">
        <f t="shared" si="1108"/>
        <v>0</v>
      </c>
      <c r="I1263" s="77">
        <f t="shared" si="1109"/>
        <v>0</v>
      </c>
      <c r="J1263" s="78">
        <f t="shared" si="1110"/>
        <v>0</v>
      </c>
      <c r="K1263" s="78" t="str">
        <f t="shared" si="1111"/>
        <v>1900-01-00 00:0:00</v>
      </c>
      <c r="L1263" s="78" t="str">
        <f t="shared" si="1112"/>
        <v>1900-01-00 00:0:00</v>
      </c>
      <c r="M1263" s="79">
        <f t="shared" si="1113"/>
        <v>0</v>
      </c>
      <c r="N1263">
        <f t="shared" si="1138"/>
        <v>1</v>
      </c>
      <c r="O1263" t="str">
        <f>IFERROR(_xlfn.XLOOKUP(A1263,HC!A:A,HC!C:C),"")</f>
        <v>Workforce</v>
      </c>
      <c r="R1263" s="78" t="b">
        <f t="shared" si="1114"/>
        <v>0</v>
      </c>
      <c r="S1263" s="78" t="b">
        <f t="shared" si="1115"/>
        <v>0</v>
      </c>
      <c r="T1263" s="78" t="b">
        <f t="shared" si="1116"/>
        <v>0</v>
      </c>
      <c r="U1263" s="78" t="b">
        <f t="shared" si="1117"/>
        <v>0</v>
      </c>
      <c r="V1263" s="78" t="b">
        <f t="shared" si="1118"/>
        <v>0</v>
      </c>
      <c r="W1263" s="78" t="b">
        <f t="shared" si="1119"/>
        <v>0</v>
      </c>
      <c r="X1263" s="78" t="b">
        <f t="shared" si="1120"/>
        <v>0</v>
      </c>
      <c r="Y1263" s="78" t="b">
        <f t="shared" si="1121"/>
        <v>0</v>
      </c>
      <c r="Z1263" s="78" t="b">
        <f t="shared" si="1122"/>
        <v>0</v>
      </c>
      <c r="AA1263" s="78" t="b">
        <f t="shared" si="1123"/>
        <v>0</v>
      </c>
      <c r="AB1263" s="78" t="b">
        <f t="shared" si="1124"/>
        <v>0</v>
      </c>
      <c r="AC1263" s="78" t="b">
        <f t="shared" si="1125"/>
        <v>0</v>
      </c>
      <c r="AD1263" s="78" t="b">
        <f t="shared" si="1126"/>
        <v>0</v>
      </c>
      <c r="AE1263" s="78" t="b">
        <f t="shared" si="1127"/>
        <v>0</v>
      </c>
      <c r="AF1263" s="78" t="b">
        <f t="shared" si="1128"/>
        <v>0</v>
      </c>
      <c r="AG1263" s="78" t="b">
        <f t="shared" si="1129"/>
        <v>0</v>
      </c>
      <c r="AH1263" s="78" t="b">
        <f t="shared" si="1130"/>
        <v>0</v>
      </c>
      <c r="AI1263" s="78" t="b">
        <f t="shared" si="1131"/>
        <v>0</v>
      </c>
      <c r="AJ1263" s="78" t="b">
        <f t="shared" si="1132"/>
        <v>0</v>
      </c>
      <c r="AK1263" s="78" t="b">
        <f t="shared" si="1133"/>
        <v>0</v>
      </c>
      <c r="AL1263" s="78" t="b">
        <f t="shared" si="1134"/>
        <v>0</v>
      </c>
      <c r="AM1263" s="78" t="b">
        <f t="shared" si="1135"/>
        <v>0</v>
      </c>
      <c r="AN1263" s="78" t="b">
        <f t="shared" si="1136"/>
        <v>0</v>
      </c>
      <c r="AO1263" s="78" t="b">
        <f t="shared" si="1137"/>
        <v>0</v>
      </c>
    </row>
    <row r="1264" spans="7:41" x14ac:dyDescent="0.35">
      <c r="G1264" s="77">
        <f t="shared" si="1107"/>
        <v>0</v>
      </c>
      <c r="H1264" s="78">
        <f t="shared" si="1108"/>
        <v>0</v>
      </c>
      <c r="I1264" s="77">
        <f t="shared" si="1109"/>
        <v>0</v>
      </c>
      <c r="J1264" s="78">
        <f t="shared" si="1110"/>
        <v>0</v>
      </c>
      <c r="K1264" s="78" t="str">
        <f t="shared" si="1111"/>
        <v>1900-01-00 00:0:00</v>
      </c>
      <c r="L1264" s="78" t="str">
        <f t="shared" si="1112"/>
        <v>1900-01-00 00:0:00</v>
      </c>
      <c r="M1264" s="79">
        <f t="shared" si="1113"/>
        <v>0</v>
      </c>
      <c r="N1264">
        <f t="shared" si="1138"/>
        <v>1</v>
      </c>
      <c r="O1264" t="str">
        <f>IFERROR(_xlfn.XLOOKUP(A1264,HC!A:A,HC!C:C),"")</f>
        <v>Workforce</v>
      </c>
      <c r="R1264" s="78" t="b">
        <f t="shared" si="1114"/>
        <v>0</v>
      </c>
      <c r="S1264" s="78" t="b">
        <f t="shared" si="1115"/>
        <v>0</v>
      </c>
      <c r="T1264" s="78" t="b">
        <f t="shared" si="1116"/>
        <v>0</v>
      </c>
      <c r="U1264" s="78" t="b">
        <f t="shared" si="1117"/>
        <v>0</v>
      </c>
      <c r="V1264" s="78" t="b">
        <f t="shared" si="1118"/>
        <v>0</v>
      </c>
      <c r="W1264" s="78" t="b">
        <f t="shared" si="1119"/>
        <v>0</v>
      </c>
      <c r="X1264" s="78" t="b">
        <f t="shared" si="1120"/>
        <v>0</v>
      </c>
      <c r="Y1264" s="78" t="b">
        <f t="shared" si="1121"/>
        <v>0</v>
      </c>
      <c r="Z1264" s="78" t="b">
        <f t="shared" si="1122"/>
        <v>0</v>
      </c>
      <c r="AA1264" s="78" t="b">
        <f t="shared" si="1123"/>
        <v>0</v>
      </c>
      <c r="AB1264" s="78" t="b">
        <f t="shared" si="1124"/>
        <v>0</v>
      </c>
      <c r="AC1264" s="78" t="b">
        <f t="shared" si="1125"/>
        <v>0</v>
      </c>
      <c r="AD1264" s="78" t="b">
        <f t="shared" si="1126"/>
        <v>0</v>
      </c>
      <c r="AE1264" s="78" t="b">
        <f t="shared" si="1127"/>
        <v>0</v>
      </c>
      <c r="AF1264" s="78" t="b">
        <f t="shared" si="1128"/>
        <v>0</v>
      </c>
      <c r="AG1264" s="78" t="b">
        <f t="shared" si="1129"/>
        <v>0</v>
      </c>
      <c r="AH1264" s="78" t="b">
        <f t="shared" si="1130"/>
        <v>0</v>
      </c>
      <c r="AI1264" s="78" t="b">
        <f t="shared" si="1131"/>
        <v>0</v>
      </c>
      <c r="AJ1264" s="78" t="b">
        <f t="shared" si="1132"/>
        <v>0</v>
      </c>
      <c r="AK1264" s="78" t="b">
        <f t="shared" si="1133"/>
        <v>0</v>
      </c>
      <c r="AL1264" s="78" t="b">
        <f t="shared" si="1134"/>
        <v>0</v>
      </c>
      <c r="AM1264" s="78" t="b">
        <f t="shared" si="1135"/>
        <v>0</v>
      </c>
      <c r="AN1264" s="78" t="b">
        <f t="shared" si="1136"/>
        <v>0</v>
      </c>
      <c r="AO1264" s="78" t="b">
        <f t="shared" si="1137"/>
        <v>0</v>
      </c>
    </row>
    <row r="1265" spans="7:41" x14ac:dyDescent="0.35">
      <c r="G1265" s="77">
        <f t="shared" si="1107"/>
        <v>0</v>
      </c>
      <c r="H1265" s="78">
        <f t="shared" si="1108"/>
        <v>0</v>
      </c>
      <c r="I1265" s="77">
        <f t="shared" si="1109"/>
        <v>0</v>
      </c>
      <c r="J1265" s="78">
        <f t="shared" si="1110"/>
        <v>0</v>
      </c>
      <c r="K1265" s="78" t="str">
        <f t="shared" si="1111"/>
        <v>1900-01-00 00:0:00</v>
      </c>
      <c r="L1265" s="78" t="str">
        <f t="shared" si="1112"/>
        <v>1900-01-00 00:0:00</v>
      </c>
      <c r="M1265" s="79">
        <f t="shared" si="1113"/>
        <v>0</v>
      </c>
      <c r="N1265">
        <f t="shared" si="1138"/>
        <v>1</v>
      </c>
      <c r="O1265" t="str">
        <f>IFERROR(_xlfn.XLOOKUP(A1265,HC!A:A,HC!C:C),"")</f>
        <v>Workforce</v>
      </c>
      <c r="R1265" s="78" t="b">
        <f t="shared" si="1114"/>
        <v>0</v>
      </c>
      <c r="S1265" s="78" t="b">
        <f t="shared" si="1115"/>
        <v>0</v>
      </c>
      <c r="T1265" s="78" t="b">
        <f t="shared" si="1116"/>
        <v>0</v>
      </c>
      <c r="U1265" s="78" t="b">
        <f t="shared" si="1117"/>
        <v>0</v>
      </c>
      <c r="V1265" s="78" t="b">
        <f t="shared" si="1118"/>
        <v>0</v>
      </c>
      <c r="W1265" s="78" t="b">
        <f t="shared" si="1119"/>
        <v>0</v>
      </c>
      <c r="X1265" s="78" t="b">
        <f t="shared" si="1120"/>
        <v>0</v>
      </c>
      <c r="Y1265" s="78" t="b">
        <f t="shared" si="1121"/>
        <v>0</v>
      </c>
      <c r="Z1265" s="78" t="b">
        <f t="shared" si="1122"/>
        <v>0</v>
      </c>
      <c r="AA1265" s="78" t="b">
        <f t="shared" si="1123"/>
        <v>0</v>
      </c>
      <c r="AB1265" s="78" t="b">
        <f t="shared" si="1124"/>
        <v>0</v>
      </c>
      <c r="AC1265" s="78" t="b">
        <f t="shared" si="1125"/>
        <v>0</v>
      </c>
      <c r="AD1265" s="78" t="b">
        <f t="shared" si="1126"/>
        <v>0</v>
      </c>
      <c r="AE1265" s="78" t="b">
        <f t="shared" si="1127"/>
        <v>0</v>
      </c>
      <c r="AF1265" s="78" t="b">
        <f t="shared" si="1128"/>
        <v>0</v>
      </c>
      <c r="AG1265" s="78" t="b">
        <f t="shared" si="1129"/>
        <v>0</v>
      </c>
      <c r="AH1265" s="78" t="b">
        <f t="shared" si="1130"/>
        <v>0</v>
      </c>
      <c r="AI1265" s="78" t="b">
        <f t="shared" si="1131"/>
        <v>0</v>
      </c>
      <c r="AJ1265" s="78" t="b">
        <f t="shared" si="1132"/>
        <v>0</v>
      </c>
      <c r="AK1265" s="78" t="b">
        <f t="shared" si="1133"/>
        <v>0</v>
      </c>
      <c r="AL1265" s="78" t="b">
        <f t="shared" si="1134"/>
        <v>0</v>
      </c>
      <c r="AM1265" s="78" t="b">
        <f t="shared" si="1135"/>
        <v>0</v>
      </c>
      <c r="AN1265" s="78" t="b">
        <f t="shared" si="1136"/>
        <v>0</v>
      </c>
      <c r="AO1265" s="78" t="b">
        <f t="shared" si="1137"/>
        <v>0</v>
      </c>
    </row>
    <row r="1266" spans="7:41" x14ac:dyDescent="0.35">
      <c r="G1266" s="77">
        <f t="shared" si="1107"/>
        <v>0</v>
      </c>
      <c r="H1266" s="78">
        <f t="shared" si="1108"/>
        <v>0</v>
      </c>
      <c r="I1266" s="77">
        <f t="shared" si="1109"/>
        <v>0</v>
      </c>
      <c r="J1266" s="78">
        <f t="shared" si="1110"/>
        <v>0</v>
      </c>
      <c r="K1266" s="78" t="str">
        <f t="shared" si="1111"/>
        <v>1900-01-00 00:0:00</v>
      </c>
      <c r="L1266" s="78" t="str">
        <f t="shared" si="1112"/>
        <v>1900-01-00 00:0:00</v>
      </c>
      <c r="M1266" s="79">
        <f t="shared" si="1113"/>
        <v>0</v>
      </c>
      <c r="N1266">
        <f t="shared" si="1138"/>
        <v>1</v>
      </c>
      <c r="O1266" t="str">
        <f>IFERROR(_xlfn.XLOOKUP(A1266,HC!A:A,HC!C:C),"")</f>
        <v>Workforce</v>
      </c>
      <c r="R1266" s="78" t="b">
        <f t="shared" si="1114"/>
        <v>0</v>
      </c>
      <c r="S1266" s="78" t="b">
        <f t="shared" si="1115"/>
        <v>0</v>
      </c>
      <c r="T1266" s="78" t="b">
        <f t="shared" si="1116"/>
        <v>0</v>
      </c>
      <c r="U1266" s="78" t="b">
        <f t="shared" si="1117"/>
        <v>0</v>
      </c>
      <c r="V1266" s="78" t="b">
        <f t="shared" si="1118"/>
        <v>0</v>
      </c>
      <c r="W1266" s="78" t="b">
        <f t="shared" si="1119"/>
        <v>0</v>
      </c>
      <c r="X1266" s="78" t="b">
        <f t="shared" si="1120"/>
        <v>0</v>
      </c>
      <c r="Y1266" s="78" t="b">
        <f t="shared" si="1121"/>
        <v>0</v>
      </c>
      <c r="Z1266" s="78" t="b">
        <f t="shared" si="1122"/>
        <v>0</v>
      </c>
      <c r="AA1266" s="78" t="b">
        <f t="shared" si="1123"/>
        <v>0</v>
      </c>
      <c r="AB1266" s="78" t="b">
        <f t="shared" si="1124"/>
        <v>0</v>
      </c>
      <c r="AC1266" s="78" t="b">
        <f t="shared" si="1125"/>
        <v>0</v>
      </c>
      <c r="AD1266" s="78" t="b">
        <f t="shared" si="1126"/>
        <v>0</v>
      </c>
      <c r="AE1266" s="78" t="b">
        <f t="shared" si="1127"/>
        <v>0</v>
      </c>
      <c r="AF1266" s="78" t="b">
        <f t="shared" si="1128"/>
        <v>0</v>
      </c>
      <c r="AG1266" s="78" t="b">
        <f t="shared" si="1129"/>
        <v>0</v>
      </c>
      <c r="AH1266" s="78" t="b">
        <f t="shared" si="1130"/>
        <v>0</v>
      </c>
      <c r="AI1266" s="78" t="b">
        <f t="shared" si="1131"/>
        <v>0</v>
      </c>
      <c r="AJ1266" s="78" t="b">
        <f t="shared" si="1132"/>
        <v>0</v>
      </c>
      <c r="AK1266" s="78" t="b">
        <f t="shared" si="1133"/>
        <v>0</v>
      </c>
      <c r="AL1266" s="78" t="b">
        <f t="shared" si="1134"/>
        <v>0</v>
      </c>
      <c r="AM1266" s="78" t="b">
        <f t="shared" si="1135"/>
        <v>0</v>
      </c>
      <c r="AN1266" s="78" t="b">
        <f t="shared" si="1136"/>
        <v>0</v>
      </c>
      <c r="AO1266" s="78" t="b">
        <f t="shared" si="1137"/>
        <v>0</v>
      </c>
    </row>
    <row r="1267" spans="7:41" x14ac:dyDescent="0.35">
      <c r="G1267" s="77">
        <f t="shared" si="1107"/>
        <v>0</v>
      </c>
      <c r="H1267" s="78">
        <f t="shared" si="1108"/>
        <v>0</v>
      </c>
      <c r="I1267" s="77">
        <f t="shared" si="1109"/>
        <v>0</v>
      </c>
      <c r="J1267" s="78">
        <f t="shared" si="1110"/>
        <v>0</v>
      </c>
      <c r="K1267" s="78" t="str">
        <f t="shared" si="1111"/>
        <v>1900-01-00 00:0:00</v>
      </c>
      <c r="L1267" s="78" t="str">
        <f t="shared" si="1112"/>
        <v>1900-01-00 00:0:00</v>
      </c>
      <c r="M1267" s="79">
        <f t="shared" si="1113"/>
        <v>0</v>
      </c>
      <c r="N1267">
        <f t="shared" si="1138"/>
        <v>1</v>
      </c>
      <c r="O1267" t="str">
        <f>IFERROR(_xlfn.XLOOKUP(A1267,HC!A:A,HC!C:C),"")</f>
        <v>Workforce</v>
      </c>
      <c r="R1267" s="78" t="b">
        <f t="shared" si="1114"/>
        <v>0</v>
      </c>
      <c r="S1267" s="78" t="b">
        <f t="shared" si="1115"/>
        <v>0</v>
      </c>
      <c r="T1267" s="78" t="b">
        <f t="shared" si="1116"/>
        <v>0</v>
      </c>
      <c r="U1267" s="78" t="b">
        <f t="shared" si="1117"/>
        <v>0</v>
      </c>
      <c r="V1267" s="78" t="b">
        <f t="shared" si="1118"/>
        <v>0</v>
      </c>
      <c r="W1267" s="78" t="b">
        <f t="shared" si="1119"/>
        <v>0</v>
      </c>
      <c r="X1267" s="78" t="b">
        <f t="shared" si="1120"/>
        <v>0</v>
      </c>
      <c r="Y1267" s="78" t="b">
        <f t="shared" si="1121"/>
        <v>0</v>
      </c>
      <c r="Z1267" s="78" t="b">
        <f t="shared" si="1122"/>
        <v>0</v>
      </c>
      <c r="AA1267" s="78" t="b">
        <f t="shared" si="1123"/>
        <v>0</v>
      </c>
      <c r="AB1267" s="78" t="b">
        <f t="shared" si="1124"/>
        <v>0</v>
      </c>
      <c r="AC1267" s="78" t="b">
        <f t="shared" si="1125"/>
        <v>0</v>
      </c>
      <c r="AD1267" s="78" t="b">
        <f t="shared" si="1126"/>
        <v>0</v>
      </c>
      <c r="AE1267" s="78" t="b">
        <f t="shared" si="1127"/>
        <v>0</v>
      </c>
      <c r="AF1267" s="78" t="b">
        <f t="shared" si="1128"/>
        <v>0</v>
      </c>
      <c r="AG1267" s="78" t="b">
        <f t="shared" si="1129"/>
        <v>0</v>
      </c>
      <c r="AH1267" s="78" t="b">
        <f t="shared" si="1130"/>
        <v>0</v>
      </c>
      <c r="AI1267" s="78" t="b">
        <f t="shared" si="1131"/>
        <v>0</v>
      </c>
      <c r="AJ1267" s="78" t="b">
        <f t="shared" si="1132"/>
        <v>0</v>
      </c>
      <c r="AK1267" s="78" t="b">
        <f t="shared" si="1133"/>
        <v>0</v>
      </c>
      <c r="AL1267" s="78" t="b">
        <f t="shared" si="1134"/>
        <v>0</v>
      </c>
      <c r="AM1267" s="78" t="b">
        <f t="shared" si="1135"/>
        <v>0</v>
      </c>
      <c r="AN1267" s="78" t="b">
        <f t="shared" si="1136"/>
        <v>0</v>
      </c>
      <c r="AO1267" s="78" t="b">
        <f t="shared" si="1137"/>
        <v>0</v>
      </c>
    </row>
    <row r="1268" spans="7:41" x14ac:dyDescent="0.35">
      <c r="G1268" s="77">
        <f t="shared" si="1107"/>
        <v>0</v>
      </c>
      <c r="H1268" s="78">
        <f t="shared" si="1108"/>
        <v>0</v>
      </c>
      <c r="I1268" s="77">
        <f t="shared" si="1109"/>
        <v>0</v>
      </c>
      <c r="J1268" s="78">
        <f t="shared" si="1110"/>
        <v>0</v>
      </c>
      <c r="K1268" s="78" t="str">
        <f t="shared" si="1111"/>
        <v>1900-01-00 00:0:00</v>
      </c>
      <c r="L1268" s="78" t="str">
        <f t="shared" si="1112"/>
        <v>1900-01-00 00:0:00</v>
      </c>
      <c r="M1268" s="79">
        <f t="shared" si="1113"/>
        <v>0</v>
      </c>
      <c r="N1268">
        <f t="shared" si="1138"/>
        <v>1</v>
      </c>
      <c r="O1268" t="str">
        <f>IFERROR(_xlfn.XLOOKUP(A1268,HC!A:A,HC!C:C),"")</f>
        <v>Workforce</v>
      </c>
      <c r="R1268" s="78" t="b">
        <f t="shared" si="1114"/>
        <v>0</v>
      </c>
      <c r="S1268" s="78" t="b">
        <f t="shared" si="1115"/>
        <v>0</v>
      </c>
      <c r="T1268" s="78" t="b">
        <f t="shared" si="1116"/>
        <v>0</v>
      </c>
      <c r="U1268" s="78" t="b">
        <f t="shared" si="1117"/>
        <v>0</v>
      </c>
      <c r="V1268" s="78" t="b">
        <f t="shared" si="1118"/>
        <v>0</v>
      </c>
      <c r="W1268" s="78" t="b">
        <f t="shared" si="1119"/>
        <v>0</v>
      </c>
      <c r="X1268" s="78" t="b">
        <f t="shared" si="1120"/>
        <v>0</v>
      </c>
      <c r="Y1268" s="78" t="b">
        <f t="shared" si="1121"/>
        <v>0</v>
      </c>
      <c r="Z1268" s="78" t="b">
        <f t="shared" si="1122"/>
        <v>0</v>
      </c>
      <c r="AA1268" s="78" t="b">
        <f t="shared" si="1123"/>
        <v>0</v>
      </c>
      <c r="AB1268" s="78" t="b">
        <f t="shared" si="1124"/>
        <v>0</v>
      </c>
      <c r="AC1268" s="78" t="b">
        <f t="shared" si="1125"/>
        <v>0</v>
      </c>
      <c r="AD1268" s="78" t="b">
        <f t="shared" si="1126"/>
        <v>0</v>
      </c>
      <c r="AE1268" s="78" t="b">
        <f t="shared" si="1127"/>
        <v>0</v>
      </c>
      <c r="AF1268" s="78" t="b">
        <f t="shared" si="1128"/>
        <v>0</v>
      </c>
      <c r="AG1268" s="78" t="b">
        <f t="shared" si="1129"/>
        <v>0</v>
      </c>
      <c r="AH1268" s="78" t="b">
        <f t="shared" si="1130"/>
        <v>0</v>
      </c>
      <c r="AI1268" s="78" t="b">
        <f t="shared" si="1131"/>
        <v>0</v>
      </c>
      <c r="AJ1268" s="78" t="b">
        <f t="shared" si="1132"/>
        <v>0</v>
      </c>
      <c r="AK1268" s="78" t="b">
        <f t="shared" si="1133"/>
        <v>0</v>
      </c>
      <c r="AL1268" s="78" t="b">
        <f t="shared" si="1134"/>
        <v>0</v>
      </c>
      <c r="AM1268" s="78" t="b">
        <f t="shared" si="1135"/>
        <v>0</v>
      </c>
      <c r="AN1268" s="78" t="b">
        <f t="shared" si="1136"/>
        <v>0</v>
      </c>
      <c r="AO1268" s="78" t="b">
        <f t="shared" si="1137"/>
        <v>0</v>
      </c>
    </row>
    <row r="1269" spans="7:41" x14ac:dyDescent="0.35">
      <c r="G1269" s="77">
        <f t="shared" si="1107"/>
        <v>0</v>
      </c>
      <c r="H1269" s="78">
        <f t="shared" si="1108"/>
        <v>0</v>
      </c>
      <c r="I1269" s="77">
        <f t="shared" si="1109"/>
        <v>0</v>
      </c>
      <c r="J1269" s="78">
        <f t="shared" si="1110"/>
        <v>0</v>
      </c>
      <c r="K1269" s="78" t="str">
        <f t="shared" si="1111"/>
        <v>1900-01-00 00:0:00</v>
      </c>
      <c r="L1269" s="78" t="str">
        <f t="shared" si="1112"/>
        <v>1900-01-00 00:0:00</v>
      </c>
      <c r="M1269" s="79">
        <f t="shared" si="1113"/>
        <v>0</v>
      </c>
      <c r="N1269">
        <f t="shared" si="1138"/>
        <v>1</v>
      </c>
      <c r="O1269" t="str">
        <f>IFERROR(_xlfn.XLOOKUP(A1269,HC!A:A,HC!C:C),"")</f>
        <v>Workforce</v>
      </c>
      <c r="R1269" s="78" t="b">
        <f t="shared" si="1114"/>
        <v>0</v>
      </c>
      <c r="S1269" s="78" t="b">
        <f t="shared" si="1115"/>
        <v>0</v>
      </c>
      <c r="T1269" s="78" t="b">
        <f t="shared" si="1116"/>
        <v>0</v>
      </c>
      <c r="U1269" s="78" t="b">
        <f t="shared" si="1117"/>
        <v>0</v>
      </c>
      <c r="V1269" s="78" t="b">
        <f t="shared" si="1118"/>
        <v>0</v>
      </c>
      <c r="W1269" s="78" t="b">
        <f t="shared" si="1119"/>
        <v>0</v>
      </c>
      <c r="X1269" s="78" t="b">
        <f t="shared" si="1120"/>
        <v>0</v>
      </c>
      <c r="Y1269" s="78" t="b">
        <f t="shared" si="1121"/>
        <v>0</v>
      </c>
      <c r="Z1269" s="78" t="b">
        <f t="shared" si="1122"/>
        <v>0</v>
      </c>
      <c r="AA1269" s="78" t="b">
        <f t="shared" si="1123"/>
        <v>0</v>
      </c>
      <c r="AB1269" s="78" t="b">
        <f t="shared" si="1124"/>
        <v>0</v>
      </c>
      <c r="AC1269" s="78" t="b">
        <f t="shared" si="1125"/>
        <v>0</v>
      </c>
      <c r="AD1269" s="78" t="b">
        <f t="shared" si="1126"/>
        <v>0</v>
      </c>
      <c r="AE1269" s="78" t="b">
        <f t="shared" si="1127"/>
        <v>0</v>
      </c>
      <c r="AF1269" s="78" t="b">
        <f t="shared" si="1128"/>
        <v>0</v>
      </c>
      <c r="AG1269" s="78" t="b">
        <f t="shared" si="1129"/>
        <v>0</v>
      </c>
      <c r="AH1269" s="78" t="b">
        <f t="shared" si="1130"/>
        <v>0</v>
      </c>
      <c r="AI1269" s="78" t="b">
        <f t="shared" si="1131"/>
        <v>0</v>
      </c>
      <c r="AJ1269" s="78" t="b">
        <f t="shared" si="1132"/>
        <v>0</v>
      </c>
      <c r="AK1269" s="78" t="b">
        <f t="shared" si="1133"/>
        <v>0</v>
      </c>
      <c r="AL1269" s="78" t="b">
        <f t="shared" si="1134"/>
        <v>0</v>
      </c>
      <c r="AM1269" s="78" t="b">
        <f t="shared" si="1135"/>
        <v>0</v>
      </c>
      <c r="AN1269" s="78" t="b">
        <f t="shared" si="1136"/>
        <v>0</v>
      </c>
      <c r="AO1269" s="78" t="b">
        <f t="shared" si="1137"/>
        <v>0</v>
      </c>
    </row>
    <row r="1270" spans="7:41" x14ac:dyDescent="0.35">
      <c r="G1270" s="77">
        <f t="shared" si="1107"/>
        <v>0</v>
      </c>
      <c r="H1270" s="78">
        <f t="shared" si="1108"/>
        <v>0</v>
      </c>
      <c r="I1270" s="77">
        <f t="shared" si="1109"/>
        <v>0</v>
      </c>
      <c r="J1270" s="78">
        <f t="shared" si="1110"/>
        <v>0</v>
      </c>
      <c r="K1270" s="78" t="str">
        <f t="shared" si="1111"/>
        <v>1900-01-00 00:0:00</v>
      </c>
      <c r="L1270" s="78" t="str">
        <f t="shared" si="1112"/>
        <v>1900-01-00 00:0:00</v>
      </c>
      <c r="M1270" s="79">
        <f t="shared" si="1113"/>
        <v>0</v>
      </c>
      <c r="N1270">
        <f t="shared" si="1138"/>
        <v>1</v>
      </c>
      <c r="O1270" t="str">
        <f>IFERROR(_xlfn.XLOOKUP(A1270,HC!A:A,HC!C:C),"")</f>
        <v>Workforce</v>
      </c>
      <c r="R1270" s="78" t="b">
        <f t="shared" si="1114"/>
        <v>0</v>
      </c>
      <c r="S1270" s="78" t="b">
        <f t="shared" si="1115"/>
        <v>0</v>
      </c>
      <c r="T1270" s="78" t="b">
        <f t="shared" si="1116"/>
        <v>0</v>
      </c>
      <c r="U1270" s="78" t="b">
        <f t="shared" si="1117"/>
        <v>0</v>
      </c>
      <c r="V1270" s="78" t="b">
        <f t="shared" si="1118"/>
        <v>0</v>
      </c>
      <c r="W1270" s="78" t="b">
        <f t="shared" si="1119"/>
        <v>0</v>
      </c>
      <c r="X1270" s="78" t="b">
        <f t="shared" si="1120"/>
        <v>0</v>
      </c>
      <c r="Y1270" s="78" t="b">
        <f t="shared" si="1121"/>
        <v>0</v>
      </c>
      <c r="Z1270" s="78" t="b">
        <f t="shared" si="1122"/>
        <v>0</v>
      </c>
      <c r="AA1270" s="78" t="b">
        <f t="shared" si="1123"/>
        <v>0</v>
      </c>
      <c r="AB1270" s="78" t="b">
        <f t="shared" si="1124"/>
        <v>0</v>
      </c>
      <c r="AC1270" s="78" t="b">
        <f t="shared" si="1125"/>
        <v>0</v>
      </c>
      <c r="AD1270" s="78" t="b">
        <f t="shared" si="1126"/>
        <v>0</v>
      </c>
      <c r="AE1270" s="78" t="b">
        <f t="shared" si="1127"/>
        <v>0</v>
      </c>
      <c r="AF1270" s="78" t="b">
        <f t="shared" si="1128"/>
        <v>0</v>
      </c>
      <c r="AG1270" s="78" t="b">
        <f t="shared" si="1129"/>
        <v>0</v>
      </c>
      <c r="AH1270" s="78" t="b">
        <f t="shared" si="1130"/>
        <v>0</v>
      </c>
      <c r="AI1270" s="78" t="b">
        <f t="shared" si="1131"/>
        <v>0</v>
      </c>
      <c r="AJ1270" s="78" t="b">
        <f t="shared" si="1132"/>
        <v>0</v>
      </c>
      <c r="AK1270" s="78" t="b">
        <f t="shared" si="1133"/>
        <v>0</v>
      </c>
      <c r="AL1270" s="78" t="b">
        <f t="shared" si="1134"/>
        <v>0</v>
      </c>
      <c r="AM1270" s="78" t="b">
        <f t="shared" si="1135"/>
        <v>0</v>
      </c>
      <c r="AN1270" s="78" t="b">
        <f t="shared" si="1136"/>
        <v>0</v>
      </c>
      <c r="AO1270" s="78" t="b">
        <f t="shared" si="1137"/>
        <v>0</v>
      </c>
    </row>
    <row r="1271" spans="7:41" x14ac:dyDescent="0.35">
      <c r="G1271" s="77">
        <f t="shared" si="1107"/>
        <v>0</v>
      </c>
      <c r="H1271" s="78">
        <f t="shared" si="1108"/>
        <v>0</v>
      </c>
      <c r="I1271" s="77">
        <f t="shared" si="1109"/>
        <v>0</v>
      </c>
      <c r="J1271" s="78">
        <f t="shared" si="1110"/>
        <v>0</v>
      </c>
      <c r="K1271" s="78" t="str">
        <f t="shared" si="1111"/>
        <v>1900-01-00 00:0:00</v>
      </c>
      <c r="L1271" s="78" t="str">
        <f t="shared" si="1112"/>
        <v>1900-01-00 00:0:00</v>
      </c>
      <c r="M1271" s="79">
        <f t="shared" si="1113"/>
        <v>0</v>
      </c>
      <c r="N1271">
        <f t="shared" si="1138"/>
        <v>1</v>
      </c>
      <c r="O1271" t="str">
        <f>IFERROR(_xlfn.XLOOKUP(A1271,HC!A:A,HC!C:C),"")</f>
        <v>Workforce</v>
      </c>
      <c r="R1271" s="78" t="b">
        <f t="shared" si="1114"/>
        <v>0</v>
      </c>
      <c r="S1271" s="78" t="b">
        <f t="shared" si="1115"/>
        <v>0</v>
      </c>
      <c r="T1271" s="78" t="b">
        <f t="shared" si="1116"/>
        <v>0</v>
      </c>
      <c r="U1271" s="78" t="b">
        <f t="shared" si="1117"/>
        <v>0</v>
      </c>
      <c r="V1271" s="78" t="b">
        <f t="shared" si="1118"/>
        <v>0</v>
      </c>
      <c r="W1271" s="78" t="b">
        <f t="shared" si="1119"/>
        <v>0</v>
      </c>
      <c r="X1271" s="78" t="b">
        <f t="shared" si="1120"/>
        <v>0</v>
      </c>
      <c r="Y1271" s="78" t="b">
        <f t="shared" si="1121"/>
        <v>0</v>
      </c>
      <c r="Z1271" s="78" t="b">
        <f t="shared" si="1122"/>
        <v>0</v>
      </c>
      <c r="AA1271" s="78" t="b">
        <f t="shared" si="1123"/>
        <v>0</v>
      </c>
      <c r="AB1271" s="78" t="b">
        <f t="shared" si="1124"/>
        <v>0</v>
      </c>
      <c r="AC1271" s="78" t="b">
        <f t="shared" si="1125"/>
        <v>0</v>
      </c>
      <c r="AD1271" s="78" t="b">
        <f t="shared" si="1126"/>
        <v>0</v>
      </c>
      <c r="AE1271" s="78" t="b">
        <f t="shared" si="1127"/>
        <v>0</v>
      </c>
      <c r="AF1271" s="78" t="b">
        <f t="shared" si="1128"/>
        <v>0</v>
      </c>
      <c r="AG1271" s="78" t="b">
        <f t="shared" si="1129"/>
        <v>0</v>
      </c>
      <c r="AH1271" s="78" t="b">
        <f t="shared" si="1130"/>
        <v>0</v>
      </c>
      <c r="AI1271" s="78" t="b">
        <f t="shared" si="1131"/>
        <v>0</v>
      </c>
      <c r="AJ1271" s="78" t="b">
        <f t="shared" si="1132"/>
        <v>0</v>
      </c>
      <c r="AK1271" s="78" t="b">
        <f t="shared" si="1133"/>
        <v>0</v>
      </c>
      <c r="AL1271" s="78" t="b">
        <f t="shared" si="1134"/>
        <v>0</v>
      </c>
      <c r="AM1271" s="78" t="b">
        <f t="shared" si="1135"/>
        <v>0</v>
      </c>
      <c r="AN1271" s="78" t="b">
        <f t="shared" si="1136"/>
        <v>0</v>
      </c>
      <c r="AO1271" s="78" t="b">
        <f t="shared" si="1137"/>
        <v>0</v>
      </c>
    </row>
    <row r="1272" spans="7:41" x14ac:dyDescent="0.35">
      <c r="G1272" s="77">
        <f t="shared" si="1107"/>
        <v>0</v>
      </c>
      <c r="H1272" s="78">
        <f t="shared" si="1108"/>
        <v>0</v>
      </c>
      <c r="I1272" s="77">
        <f t="shared" si="1109"/>
        <v>0</v>
      </c>
      <c r="J1272" s="78">
        <f t="shared" si="1110"/>
        <v>0</v>
      </c>
      <c r="K1272" s="78" t="str">
        <f t="shared" si="1111"/>
        <v>1900-01-00 00:0:00</v>
      </c>
      <c r="L1272" s="78" t="str">
        <f t="shared" si="1112"/>
        <v>1900-01-00 00:0:00</v>
      </c>
      <c r="M1272" s="79">
        <f t="shared" si="1113"/>
        <v>0</v>
      </c>
      <c r="N1272">
        <f t="shared" si="1138"/>
        <v>1</v>
      </c>
      <c r="O1272" t="str">
        <f>IFERROR(_xlfn.XLOOKUP(A1272,HC!A:A,HC!C:C),"")</f>
        <v>Workforce</v>
      </c>
      <c r="R1272" s="78" t="b">
        <f t="shared" si="1114"/>
        <v>0</v>
      </c>
      <c r="S1272" s="78" t="b">
        <f t="shared" si="1115"/>
        <v>0</v>
      </c>
      <c r="T1272" s="78" t="b">
        <f t="shared" si="1116"/>
        <v>0</v>
      </c>
      <c r="U1272" s="78" t="b">
        <f t="shared" si="1117"/>
        <v>0</v>
      </c>
      <c r="V1272" s="78" t="b">
        <f t="shared" si="1118"/>
        <v>0</v>
      </c>
      <c r="W1272" s="78" t="b">
        <f t="shared" si="1119"/>
        <v>0</v>
      </c>
      <c r="X1272" s="78" t="b">
        <f t="shared" si="1120"/>
        <v>0</v>
      </c>
      <c r="Y1272" s="78" t="b">
        <f t="shared" si="1121"/>
        <v>0</v>
      </c>
      <c r="Z1272" s="78" t="b">
        <f t="shared" si="1122"/>
        <v>0</v>
      </c>
      <c r="AA1272" s="78" t="b">
        <f t="shared" si="1123"/>
        <v>0</v>
      </c>
      <c r="AB1272" s="78" t="b">
        <f t="shared" si="1124"/>
        <v>0</v>
      </c>
      <c r="AC1272" s="78" t="b">
        <f t="shared" si="1125"/>
        <v>0</v>
      </c>
      <c r="AD1272" s="78" t="b">
        <f t="shared" si="1126"/>
        <v>0</v>
      </c>
      <c r="AE1272" s="78" t="b">
        <f t="shared" si="1127"/>
        <v>0</v>
      </c>
      <c r="AF1272" s="78" t="b">
        <f t="shared" si="1128"/>
        <v>0</v>
      </c>
      <c r="AG1272" s="78" t="b">
        <f t="shared" si="1129"/>
        <v>0</v>
      </c>
      <c r="AH1272" s="78" t="b">
        <f t="shared" si="1130"/>
        <v>0</v>
      </c>
      <c r="AI1272" s="78" t="b">
        <f t="shared" si="1131"/>
        <v>0</v>
      </c>
      <c r="AJ1272" s="78" t="b">
        <f t="shared" si="1132"/>
        <v>0</v>
      </c>
      <c r="AK1272" s="78" t="b">
        <f t="shared" si="1133"/>
        <v>0</v>
      </c>
      <c r="AL1272" s="78" t="b">
        <f t="shared" si="1134"/>
        <v>0</v>
      </c>
      <c r="AM1272" s="78" t="b">
        <f t="shared" si="1135"/>
        <v>0</v>
      </c>
      <c r="AN1272" s="78" t="b">
        <f t="shared" si="1136"/>
        <v>0</v>
      </c>
      <c r="AO1272" s="78" t="b">
        <f t="shared" si="1137"/>
        <v>0</v>
      </c>
    </row>
    <row r="1273" spans="7:41" x14ac:dyDescent="0.35">
      <c r="G1273" s="77">
        <f t="shared" si="1107"/>
        <v>0</v>
      </c>
      <c r="H1273" s="78">
        <f t="shared" si="1108"/>
        <v>0</v>
      </c>
      <c r="I1273" s="77">
        <f t="shared" si="1109"/>
        <v>0</v>
      </c>
      <c r="J1273" s="78">
        <f t="shared" si="1110"/>
        <v>0</v>
      </c>
      <c r="K1273" s="78" t="str">
        <f t="shared" si="1111"/>
        <v>1900-01-00 00:0:00</v>
      </c>
      <c r="L1273" s="78" t="str">
        <f t="shared" si="1112"/>
        <v>1900-01-00 00:0:00</v>
      </c>
      <c r="M1273" s="79">
        <f t="shared" si="1113"/>
        <v>0</v>
      </c>
      <c r="N1273">
        <f t="shared" si="1138"/>
        <v>1</v>
      </c>
      <c r="O1273" t="str">
        <f>IFERROR(_xlfn.XLOOKUP(A1273,HC!A:A,HC!C:C),"")</f>
        <v>Workforce</v>
      </c>
      <c r="R1273" s="78" t="b">
        <f t="shared" si="1114"/>
        <v>0</v>
      </c>
      <c r="S1273" s="78" t="b">
        <f t="shared" si="1115"/>
        <v>0</v>
      </c>
      <c r="T1273" s="78" t="b">
        <f t="shared" si="1116"/>
        <v>0</v>
      </c>
      <c r="U1273" s="78" t="b">
        <f t="shared" si="1117"/>
        <v>0</v>
      </c>
      <c r="V1273" s="78" t="b">
        <f t="shared" si="1118"/>
        <v>0</v>
      </c>
      <c r="W1273" s="78" t="b">
        <f t="shared" si="1119"/>
        <v>0</v>
      </c>
      <c r="X1273" s="78" t="b">
        <f t="shared" si="1120"/>
        <v>0</v>
      </c>
      <c r="Y1273" s="78" t="b">
        <f t="shared" si="1121"/>
        <v>0</v>
      </c>
      <c r="Z1273" s="78" t="b">
        <f t="shared" si="1122"/>
        <v>0</v>
      </c>
      <c r="AA1273" s="78" t="b">
        <f t="shared" si="1123"/>
        <v>0</v>
      </c>
      <c r="AB1273" s="78" t="b">
        <f t="shared" si="1124"/>
        <v>0</v>
      </c>
      <c r="AC1273" s="78" t="b">
        <f t="shared" si="1125"/>
        <v>0</v>
      </c>
      <c r="AD1273" s="78" t="b">
        <f t="shared" si="1126"/>
        <v>0</v>
      </c>
      <c r="AE1273" s="78" t="b">
        <f t="shared" si="1127"/>
        <v>0</v>
      </c>
      <c r="AF1273" s="78" t="b">
        <f t="shared" si="1128"/>
        <v>0</v>
      </c>
      <c r="AG1273" s="78" t="b">
        <f t="shared" si="1129"/>
        <v>0</v>
      </c>
      <c r="AH1273" s="78" t="b">
        <f t="shared" si="1130"/>
        <v>0</v>
      </c>
      <c r="AI1273" s="78" t="b">
        <f t="shared" si="1131"/>
        <v>0</v>
      </c>
      <c r="AJ1273" s="78" t="b">
        <f t="shared" si="1132"/>
        <v>0</v>
      </c>
      <c r="AK1273" s="78" t="b">
        <f t="shared" si="1133"/>
        <v>0</v>
      </c>
      <c r="AL1273" s="78" t="b">
        <f t="shared" si="1134"/>
        <v>0</v>
      </c>
      <c r="AM1273" s="78" t="b">
        <f t="shared" si="1135"/>
        <v>0</v>
      </c>
      <c r="AN1273" s="78" t="b">
        <f t="shared" si="1136"/>
        <v>0</v>
      </c>
      <c r="AO1273" s="78" t="b">
        <f t="shared" si="1137"/>
        <v>0</v>
      </c>
    </row>
    <row r="1274" spans="7:41" x14ac:dyDescent="0.35">
      <c r="G1274" s="77">
        <f t="shared" ref="G1274:G1337" si="1139">INT(D1274)</f>
        <v>0</v>
      </c>
      <c r="H1274" s="78">
        <f t="shared" ref="H1274:H1337" si="1140">D1274-G1274</f>
        <v>0</v>
      </c>
      <c r="I1274" s="77">
        <f t="shared" ref="I1274:I1337" si="1141">INT(E1274)</f>
        <v>0</v>
      </c>
      <c r="J1274" s="78">
        <f t="shared" ref="J1274:J1337" si="1142">E1274-I1274</f>
        <v>0</v>
      </c>
      <c r="K1274" s="78" t="str">
        <f t="shared" ref="K1274:K1337" si="1143">TEXT(G1274+H1274,"yyyy-mm-dd hh:m:ss")</f>
        <v>1900-01-00 00:0:00</v>
      </c>
      <c r="L1274" s="78" t="str">
        <f t="shared" ref="L1274:L1337" si="1144">TEXT(I1274+J1274,"yyyy-mm-dd hh:m:ss")</f>
        <v>1900-01-00 00:0:00</v>
      </c>
      <c r="M1274" s="79">
        <f t="shared" ref="M1274:M1337" si="1145">E1274-D1274</f>
        <v>0</v>
      </c>
      <c r="N1274">
        <f t="shared" si="1138"/>
        <v>1</v>
      </c>
      <c r="O1274" t="str">
        <f>IFERROR(_xlfn.XLOOKUP(A1274,HC!A:A,HC!C:C),"")</f>
        <v>Workforce</v>
      </c>
      <c r="R1274" s="78" t="b">
        <f t="shared" si="1114"/>
        <v>0</v>
      </c>
      <c r="S1274" s="78" t="b">
        <f t="shared" si="1115"/>
        <v>0</v>
      </c>
      <c r="T1274" s="78" t="b">
        <f t="shared" si="1116"/>
        <v>0</v>
      </c>
      <c r="U1274" s="78" t="b">
        <f t="shared" si="1117"/>
        <v>0</v>
      </c>
      <c r="V1274" s="78" t="b">
        <f t="shared" si="1118"/>
        <v>0</v>
      </c>
      <c r="W1274" s="78" t="b">
        <f t="shared" si="1119"/>
        <v>0</v>
      </c>
      <c r="X1274" s="78" t="b">
        <f t="shared" si="1120"/>
        <v>0</v>
      </c>
      <c r="Y1274" s="78" t="b">
        <f t="shared" si="1121"/>
        <v>0</v>
      </c>
      <c r="Z1274" s="78" t="b">
        <f t="shared" si="1122"/>
        <v>0</v>
      </c>
      <c r="AA1274" s="78" t="b">
        <f t="shared" si="1123"/>
        <v>0</v>
      </c>
      <c r="AB1274" s="78" t="b">
        <f t="shared" si="1124"/>
        <v>0</v>
      </c>
      <c r="AC1274" s="78" t="b">
        <f t="shared" si="1125"/>
        <v>0</v>
      </c>
      <c r="AD1274" s="78" t="b">
        <f t="shared" si="1126"/>
        <v>0</v>
      </c>
      <c r="AE1274" s="78" t="b">
        <f t="shared" si="1127"/>
        <v>0</v>
      </c>
      <c r="AF1274" s="78" t="b">
        <f t="shared" si="1128"/>
        <v>0</v>
      </c>
      <c r="AG1274" s="78" t="b">
        <f t="shared" si="1129"/>
        <v>0</v>
      </c>
      <c r="AH1274" s="78" t="b">
        <f t="shared" si="1130"/>
        <v>0</v>
      </c>
      <c r="AI1274" s="78" t="b">
        <f t="shared" si="1131"/>
        <v>0</v>
      </c>
      <c r="AJ1274" s="78" t="b">
        <f t="shared" si="1132"/>
        <v>0</v>
      </c>
      <c r="AK1274" s="78" t="b">
        <f t="shared" si="1133"/>
        <v>0</v>
      </c>
      <c r="AL1274" s="78" t="b">
        <f t="shared" si="1134"/>
        <v>0</v>
      </c>
      <c r="AM1274" s="78" t="b">
        <f t="shared" si="1135"/>
        <v>0</v>
      </c>
      <c r="AN1274" s="78" t="b">
        <f t="shared" si="1136"/>
        <v>0</v>
      </c>
      <c r="AO1274" s="78" t="b">
        <f t="shared" si="1137"/>
        <v>0</v>
      </c>
    </row>
    <row r="1275" spans="7:41" x14ac:dyDescent="0.35">
      <c r="G1275" s="77">
        <f t="shared" si="1139"/>
        <v>0</v>
      </c>
      <c r="H1275" s="78">
        <f t="shared" si="1140"/>
        <v>0</v>
      </c>
      <c r="I1275" s="77">
        <f t="shared" si="1141"/>
        <v>0</v>
      </c>
      <c r="J1275" s="78">
        <f t="shared" si="1142"/>
        <v>0</v>
      </c>
      <c r="K1275" s="78" t="str">
        <f t="shared" si="1143"/>
        <v>1900-01-00 00:0:00</v>
      </c>
      <c r="L1275" s="78" t="str">
        <f t="shared" si="1144"/>
        <v>1900-01-00 00:0:00</v>
      </c>
      <c r="M1275" s="79">
        <f t="shared" si="1145"/>
        <v>0</v>
      </c>
      <c r="N1275">
        <f t="shared" si="1138"/>
        <v>1</v>
      </c>
      <c r="O1275" t="str">
        <f>IFERROR(_xlfn.XLOOKUP(A1275,HC!A:A,HC!C:C),"")</f>
        <v>Workforce</v>
      </c>
      <c r="R1275" s="78" t="b">
        <f t="shared" si="1114"/>
        <v>0</v>
      </c>
      <c r="S1275" s="78" t="b">
        <f t="shared" si="1115"/>
        <v>0</v>
      </c>
      <c r="T1275" s="78" t="b">
        <f t="shared" si="1116"/>
        <v>0</v>
      </c>
      <c r="U1275" s="78" t="b">
        <f t="shared" si="1117"/>
        <v>0</v>
      </c>
      <c r="V1275" s="78" t="b">
        <f t="shared" si="1118"/>
        <v>0</v>
      </c>
      <c r="W1275" s="78" t="b">
        <f t="shared" si="1119"/>
        <v>0</v>
      </c>
      <c r="X1275" s="78" t="b">
        <f t="shared" si="1120"/>
        <v>0</v>
      </c>
      <c r="Y1275" s="78" t="b">
        <f t="shared" si="1121"/>
        <v>0</v>
      </c>
      <c r="Z1275" s="78" t="b">
        <f t="shared" si="1122"/>
        <v>0</v>
      </c>
      <c r="AA1275" s="78" t="b">
        <f t="shared" si="1123"/>
        <v>0</v>
      </c>
      <c r="AB1275" s="78" t="b">
        <f t="shared" si="1124"/>
        <v>0</v>
      </c>
      <c r="AC1275" s="78" t="b">
        <f t="shared" si="1125"/>
        <v>0</v>
      </c>
      <c r="AD1275" s="78" t="b">
        <f t="shared" si="1126"/>
        <v>0</v>
      </c>
      <c r="AE1275" s="78" t="b">
        <f t="shared" si="1127"/>
        <v>0</v>
      </c>
      <c r="AF1275" s="78" t="b">
        <f t="shared" si="1128"/>
        <v>0</v>
      </c>
      <c r="AG1275" s="78" t="b">
        <f t="shared" si="1129"/>
        <v>0</v>
      </c>
      <c r="AH1275" s="78" t="b">
        <f t="shared" si="1130"/>
        <v>0</v>
      </c>
      <c r="AI1275" s="78" t="b">
        <f t="shared" si="1131"/>
        <v>0</v>
      </c>
      <c r="AJ1275" s="78" t="b">
        <f t="shared" si="1132"/>
        <v>0</v>
      </c>
      <c r="AK1275" s="78" t="b">
        <f t="shared" si="1133"/>
        <v>0</v>
      </c>
      <c r="AL1275" s="78" t="b">
        <f t="shared" si="1134"/>
        <v>0</v>
      </c>
      <c r="AM1275" s="78" t="b">
        <f t="shared" si="1135"/>
        <v>0</v>
      </c>
      <c r="AN1275" s="78" t="b">
        <f t="shared" si="1136"/>
        <v>0</v>
      </c>
      <c r="AO1275" s="78" t="b">
        <f t="shared" si="1137"/>
        <v>0</v>
      </c>
    </row>
    <row r="1276" spans="7:41" x14ac:dyDescent="0.35">
      <c r="G1276" s="77">
        <f t="shared" si="1139"/>
        <v>0</v>
      </c>
      <c r="H1276" s="78">
        <f t="shared" si="1140"/>
        <v>0</v>
      </c>
      <c r="I1276" s="77">
        <f t="shared" si="1141"/>
        <v>0</v>
      </c>
      <c r="J1276" s="78">
        <f t="shared" si="1142"/>
        <v>0</v>
      </c>
      <c r="K1276" s="78" t="str">
        <f t="shared" si="1143"/>
        <v>1900-01-00 00:0:00</v>
      </c>
      <c r="L1276" s="78" t="str">
        <f t="shared" si="1144"/>
        <v>1900-01-00 00:0:00</v>
      </c>
      <c r="M1276" s="79">
        <f t="shared" si="1145"/>
        <v>0</v>
      </c>
      <c r="N1276">
        <f t="shared" si="1138"/>
        <v>1</v>
      </c>
      <c r="O1276" t="str">
        <f>IFERROR(_xlfn.XLOOKUP(A1276,HC!A:A,HC!C:C),"")</f>
        <v>Workforce</v>
      </c>
      <c r="R1276" s="78" t="b">
        <f t="shared" ref="R1276:R1339" si="1146">IFERROR(IF($B1276=$D$1,IF(AND($K1276&lt;R$1,$L1276&lt;R$1),"",IF(AND($K1276&gt;S$1,$L1276&gt;S$1),"",IF(AND($K1276&lt;R$1,$L1276&lt;=S$1),$L1276-R$1,IF(AND($K1276&gt;=R$1,$L1276&gt;S$1),S$1-$K1276,IF(AND($K1276&gt;=R$1,$L1276&lt;=S$1),$L1276-$K1276,IF(AND($K1276&lt;R$1,$L1276&gt;S$1),S$1-R$1,""))))))),"")</f>
        <v>0</v>
      </c>
      <c r="S1276" s="78" t="b">
        <f t="shared" ref="S1276:S1339" si="1147">IFERROR(IF($B1276=$D$1,IF(AND($K1276&lt;S$1,$L1276&lt;S$1),"",IF(AND($K1276&gt;T$1,$L1276&gt;T$1),"",IF(AND($K1276&lt;S$1,$L1276&lt;=T$1),$L1276-S$1,IF(AND($K1276&gt;=S$1,$L1276&gt;T$1),T$1-$K1276,IF(AND($K1276&gt;=S$1,$L1276&lt;=T$1),$L1276-$K1276,IF(AND($K1276&lt;S$1,$L1276&gt;T$1),T$1-S$1,""))))))),"")</f>
        <v>0</v>
      </c>
      <c r="T1276" s="78" t="b">
        <f t="shared" ref="T1276:T1339" si="1148">IFERROR(IF($B1276=$D$1,IF(AND($K1276&lt;T$1,$L1276&lt;T$1),"",IF(AND($K1276&gt;U$1,$L1276&gt;U$1),"",IF(AND($K1276&lt;T$1,$L1276&lt;=U$1),$L1276-T$1,IF(AND($K1276&gt;=T$1,$L1276&gt;U$1),U$1-$K1276,IF(AND($K1276&gt;=T$1,$L1276&lt;=U$1),$L1276-$K1276,IF(AND($K1276&lt;T$1,$L1276&gt;U$1),U$1-T$1,""))))))),"")</f>
        <v>0</v>
      </c>
      <c r="U1276" s="78" t="b">
        <f t="shared" ref="U1276:U1339" si="1149">IFERROR(IF($B1276=$D$1,IF(AND($K1276&lt;U$1,$L1276&lt;U$1),"",IF(AND($K1276&gt;V$1,$L1276&gt;V$1),"",IF(AND($K1276&lt;U$1,$L1276&lt;=V$1),$L1276-U$1,IF(AND($K1276&gt;=U$1,$L1276&gt;V$1),V$1-$K1276,IF(AND($K1276&gt;=U$1,$L1276&lt;=V$1),$L1276-$K1276,IF(AND($K1276&lt;U$1,$L1276&gt;V$1),V$1-U$1,""))))))),"")</f>
        <v>0</v>
      </c>
      <c r="V1276" s="78" t="b">
        <f t="shared" ref="V1276:V1339" si="1150">IFERROR(IF($B1276=$D$1,IF(AND($K1276&lt;V$1,$L1276&lt;V$1),"",IF(AND($K1276&gt;W$1,$L1276&gt;W$1),"",IF(AND($K1276&lt;V$1,$L1276&lt;=W$1),$L1276-V$1,IF(AND($K1276&gt;=V$1,$L1276&gt;W$1),W$1-$K1276,IF(AND($K1276&gt;=V$1,$L1276&lt;=W$1),$L1276-$K1276,IF(AND($K1276&lt;V$1,$L1276&gt;W$1),W$1-V$1,""))))))),"")</f>
        <v>0</v>
      </c>
      <c r="W1276" s="78" t="b">
        <f t="shared" ref="W1276:W1339" si="1151">IFERROR(IF($B1276=$D$1,IF(AND($K1276&lt;W$1,$L1276&lt;W$1),"",IF(AND($K1276&gt;X$1,$L1276&gt;X$1),"",IF(AND($K1276&lt;W$1,$L1276&lt;=X$1),$L1276-W$1,IF(AND($K1276&gt;=W$1,$L1276&gt;X$1),X$1-$K1276,IF(AND($K1276&gt;=W$1,$L1276&lt;=X$1),$L1276-$K1276,IF(AND($K1276&lt;W$1,$L1276&gt;X$1),X$1-W$1,""))))))),"")</f>
        <v>0</v>
      </c>
      <c r="X1276" s="78" t="b">
        <f t="shared" ref="X1276:X1339" si="1152">IFERROR(IF($B1276=$D$1,IF(AND($K1276&lt;X$1,$L1276&lt;X$1),"",IF(AND($K1276&gt;Y$1,$L1276&gt;Y$1),"",IF(AND($K1276&lt;X$1,$L1276&lt;=Y$1),$L1276-X$1,IF(AND($K1276&gt;=X$1,$L1276&gt;Y$1),Y$1-$K1276,IF(AND($K1276&gt;=X$1,$L1276&lt;=Y$1),$L1276-$K1276,IF(AND($K1276&lt;X$1,$L1276&gt;Y$1),Y$1-X$1,""))))))),"")</f>
        <v>0</v>
      </c>
      <c r="Y1276" s="78" t="b">
        <f t="shared" ref="Y1276:Y1339" si="1153">IFERROR(IF($B1276=$D$1,IF(AND($K1276&lt;Y$1,$L1276&lt;Y$1),"",IF(AND($K1276&gt;Z$1,$L1276&gt;Z$1),"",IF(AND($K1276&lt;Y$1,$L1276&lt;=Z$1),$L1276-Y$1,IF(AND($K1276&gt;=Y$1,$L1276&gt;Z$1),Z$1-$K1276,IF(AND($K1276&gt;=Y$1,$L1276&lt;=Z$1),$L1276-$K1276,IF(AND($K1276&lt;Y$1,$L1276&gt;Z$1),Z$1-Y$1,""))))))),"")</f>
        <v>0</v>
      </c>
      <c r="Z1276" s="78" t="b">
        <f t="shared" ref="Z1276:Z1339" si="1154">IFERROR(IF($B1276=$D$1,IF(AND($K1276&lt;Z$1,$L1276&lt;Z$1),"",IF(AND($K1276&gt;AA$1,$L1276&gt;AA$1),"",IF(AND($K1276&lt;Z$1,$L1276&lt;=AA$1),$L1276-Z$1,IF(AND($K1276&gt;=Z$1,$L1276&gt;AA$1),AA$1-$K1276,IF(AND($K1276&gt;=Z$1,$L1276&lt;=AA$1),$L1276-$K1276,IF(AND($K1276&lt;Z$1,$L1276&gt;AA$1),AA$1-Z$1,""))))))),"")</f>
        <v>0</v>
      </c>
      <c r="AA1276" s="78" t="b">
        <f t="shared" ref="AA1276:AA1339" si="1155">IFERROR(IF($B1276=$D$1,IF(AND($K1276&lt;AA$1,$L1276&lt;AA$1),"",IF(AND($K1276&gt;AB$1,$L1276&gt;AB$1),"",IF(AND($K1276&lt;AA$1,$L1276&lt;=AB$1),$L1276-AA$1,IF(AND($K1276&gt;=AA$1,$L1276&gt;AB$1),AB$1-$K1276,IF(AND($K1276&gt;=AA$1,$L1276&lt;=AB$1),$L1276-$K1276,IF(AND($K1276&lt;AA$1,$L1276&gt;AB$1),AB$1-AA$1,""))))))),"")</f>
        <v>0</v>
      </c>
      <c r="AB1276" s="78" t="b">
        <f t="shared" ref="AB1276:AB1339" si="1156">IFERROR(IF($B1276=$D$1,IF(AND($K1276&lt;AB$1,$L1276&lt;AB$1),"",IF(AND($K1276&gt;AC$1,$L1276&gt;AC$1),"",IF(AND($K1276&lt;AB$1,$L1276&lt;=AC$1),$L1276-AB$1,IF(AND($K1276&gt;=AB$1,$L1276&gt;AC$1),AC$1-$K1276,IF(AND($K1276&gt;=AB$1,$L1276&lt;=AC$1),$L1276-$K1276,IF(AND($K1276&lt;AB$1,$L1276&gt;AC$1),AC$1-AB$1,""))))))),"")</f>
        <v>0</v>
      </c>
      <c r="AC1276" s="78" t="b">
        <f t="shared" ref="AC1276:AC1339" si="1157">IFERROR(IF($B1276=$D$1,IF(AND($K1276&lt;AC$1,$L1276&lt;AC$1),"",IF(AND($K1276&gt;AD$1,$L1276&gt;AD$1),"",IF(AND($K1276&lt;AC$1,$L1276&lt;=AD$1),$L1276-AC$1,IF(AND($K1276&gt;=AC$1,$L1276&gt;AD$1),AD$1-$K1276,IF(AND($K1276&gt;=AC$1,$L1276&lt;=AD$1),$L1276-$K1276,IF(AND($K1276&lt;AC$1,$L1276&gt;AD$1),AD$1-AC$1,""))))))),"")</f>
        <v>0</v>
      </c>
      <c r="AD1276" s="78" t="b">
        <f t="shared" ref="AD1276:AD1339" si="1158">IFERROR(IF($B1276=$D$1,IF(AND($K1276&lt;AD$1,$L1276&lt;AD$1),"",IF(AND($K1276&gt;AE$1,$L1276&gt;AE$1),"",IF(AND($K1276&lt;AD$1,$L1276&lt;=AE$1),$L1276-AD$1,IF(AND($K1276&gt;=AD$1,$L1276&gt;AE$1),AE$1-$K1276,IF(AND($K1276&gt;=AD$1,$L1276&lt;=AE$1),$L1276-$K1276,IF(AND($K1276&lt;AD$1,$L1276&gt;AE$1),AE$1-AD$1,""))))))),"")</f>
        <v>0</v>
      </c>
      <c r="AE1276" s="78" t="b">
        <f t="shared" ref="AE1276:AE1339" si="1159">IFERROR(IF($B1276=$D$1,IF(AND($K1276&lt;AE$1,$L1276&lt;AE$1),"",IF(AND($K1276&gt;AF$1,$L1276&gt;AF$1),"",IF(AND($K1276&lt;AE$1,$L1276&lt;=AF$1),$L1276-AE$1,IF(AND($K1276&gt;=AE$1,$L1276&gt;AF$1),AF$1-$K1276,IF(AND($K1276&gt;=AE$1,$L1276&lt;=AF$1),$L1276-$K1276,IF(AND($K1276&lt;AE$1,$L1276&gt;AF$1),AF$1-AE$1,""))))))),"")</f>
        <v>0</v>
      </c>
      <c r="AF1276" s="78" t="b">
        <f t="shared" ref="AF1276:AF1339" si="1160">IFERROR(IF($B1276=$D$1,IF(AND($K1276&lt;AF$1,$L1276&lt;AF$1),"",IF(AND($K1276&gt;AG$1,$L1276&gt;AG$1),"",IF(AND($K1276&lt;AF$1,$L1276&lt;=AG$1),$L1276-AF$1,IF(AND($K1276&gt;=AF$1,$L1276&gt;AG$1),AG$1-$K1276,IF(AND($K1276&gt;=AF$1,$L1276&lt;=AG$1),$L1276-$K1276,IF(AND($K1276&lt;AF$1,$L1276&gt;AG$1),AG$1-AF$1,""))))))),"")</f>
        <v>0</v>
      </c>
      <c r="AG1276" s="78" t="b">
        <f t="shared" ref="AG1276:AG1339" si="1161">IFERROR(IF($B1276=$D$1,IF(AND($K1276&lt;AG$1,$L1276&lt;AG$1),"",IF(AND($K1276&gt;AH$1,$L1276&gt;AH$1),"",IF(AND($K1276&lt;AG$1,$L1276&lt;=AH$1),$L1276-AG$1,IF(AND($K1276&gt;=AG$1,$L1276&gt;AH$1),AH$1-$K1276,IF(AND($K1276&gt;=AG$1,$L1276&lt;=AH$1),$L1276-$K1276,IF(AND($K1276&lt;AG$1,$L1276&gt;AH$1),AH$1-AG$1,""))))))),"")</f>
        <v>0</v>
      </c>
      <c r="AH1276" s="78" t="b">
        <f t="shared" ref="AH1276:AH1339" si="1162">IFERROR(IF($B1276=$D$1,IF(AND($K1276&lt;AH$1,$L1276&lt;AH$1),"",IF(AND($K1276&gt;AI$1,$L1276&gt;AI$1),"",IF(AND($K1276&lt;AH$1,$L1276&lt;=AI$1),$L1276-AH$1,IF(AND($K1276&gt;=AH$1,$L1276&gt;AI$1),AI$1-$K1276,IF(AND($K1276&gt;=AH$1,$L1276&lt;=AI$1),$L1276-$K1276,IF(AND($K1276&lt;AH$1,$L1276&gt;AI$1),AI$1-AH$1,""))))))),"")</f>
        <v>0</v>
      </c>
      <c r="AI1276" s="78" t="b">
        <f t="shared" ref="AI1276:AI1339" si="1163">IFERROR(IF($B1276=$D$1,IF(AND($K1276&lt;AI$1,$L1276&lt;AI$1),"",IF(AND($K1276&gt;AJ$1,$L1276&gt;AJ$1),"",IF(AND($K1276&lt;AI$1,$L1276&lt;=AJ$1),$L1276-AI$1,IF(AND($K1276&gt;=AI$1,$L1276&gt;AJ$1),AJ$1-$K1276,IF(AND($K1276&gt;=AI$1,$L1276&lt;=AJ$1),$L1276-$K1276,IF(AND($K1276&lt;AI$1,$L1276&gt;AJ$1),AJ$1-AI$1,""))))))),"")</f>
        <v>0</v>
      </c>
      <c r="AJ1276" s="78" t="b">
        <f t="shared" ref="AJ1276:AJ1339" si="1164">IFERROR(IF($B1276=$D$1,IF(AND($K1276&lt;AJ$1,$L1276&lt;AJ$1),"",IF(AND($K1276&gt;AK$1,$L1276&gt;AK$1),"",IF(AND($K1276&lt;AJ$1,$L1276&lt;=AK$1),$L1276-AJ$1,IF(AND($K1276&gt;=AJ$1,$L1276&gt;AK$1),AK$1-$K1276,IF(AND($K1276&gt;=AJ$1,$L1276&lt;=AK$1),$L1276-$K1276,IF(AND($K1276&lt;AJ$1,$L1276&gt;AK$1),AK$1-AJ$1,""))))))),"")</f>
        <v>0</v>
      </c>
      <c r="AK1276" s="78" t="b">
        <f t="shared" ref="AK1276:AK1339" si="1165">IFERROR(IF($B1276=$D$1,IF(AND($K1276&lt;AK$1,$L1276&lt;AK$1),"",IF(AND($K1276&gt;AL$1,$L1276&gt;AL$1),"",IF(AND($K1276&lt;AK$1,$L1276&lt;=AL$1),$L1276-AK$1,IF(AND($K1276&gt;=AK$1,$L1276&gt;AL$1),AL$1-$K1276,IF(AND($K1276&gt;=AK$1,$L1276&lt;=AL$1),$L1276-$K1276,IF(AND($K1276&lt;AK$1,$L1276&gt;AL$1),AL$1-AK$1,""))))))),"")</f>
        <v>0</v>
      </c>
      <c r="AL1276" s="78" t="b">
        <f t="shared" ref="AL1276:AL1339" si="1166">IFERROR(IF($B1276=$D$1,IF(AND($K1276&lt;AL$1,$L1276&lt;AL$1),"",IF(AND($K1276&gt;AM$1,$L1276&gt;AM$1),"",IF(AND($K1276&lt;AL$1,$L1276&lt;=AM$1),$L1276-AL$1,IF(AND($K1276&gt;=AL$1,$L1276&gt;AM$1),AM$1-$K1276,IF(AND($K1276&gt;=AL$1,$L1276&lt;=AM$1),$L1276-$K1276,IF(AND($K1276&lt;AL$1,$L1276&gt;AM$1),AM$1-AL$1,""))))))),"")</f>
        <v>0</v>
      </c>
      <c r="AM1276" s="78" t="b">
        <f t="shared" ref="AM1276:AM1339" si="1167">IFERROR(IF($B1276=$D$1,IF(AND($K1276&lt;AM$1,$L1276&lt;AM$1),"",IF(AND($K1276&gt;AN$1,$L1276&gt;AN$1),"",IF(AND($K1276&lt;AM$1,$L1276&lt;=AN$1),$L1276-AM$1,IF(AND($K1276&gt;=AM$1,$L1276&gt;AN$1),AN$1-$K1276,IF(AND($K1276&gt;=AM$1,$L1276&lt;=AN$1),$L1276-$K1276,IF(AND($K1276&lt;AM$1,$L1276&gt;AN$1),AN$1-AM$1,""))))))),"")</f>
        <v>0</v>
      </c>
      <c r="AN1276" s="78" t="b">
        <f t="shared" ref="AN1276:AN1339" si="1168">IFERROR(IF($B1276=$D$1,IF(AND($K1276&lt;AN$1,$L1276&lt;AN$1),"",IF(AND($K1276&gt;AO$1,$L1276&gt;AO$1),"",IF(AND($K1276&lt;AN$1,$L1276&lt;=AO$1),$L1276-AN$1,IF(AND($K1276&gt;=AN$1,$L1276&gt;AO$1),AO$1-$K1276,IF(AND($K1276&gt;=AN$1,$L1276&lt;=AO$1),$L1276-$K1276,IF(AND($K1276&lt;AN$1,$L1276&gt;AO$1),AO$1-AN$1,""))))))),"")</f>
        <v>0</v>
      </c>
      <c r="AO1276" s="78" t="b">
        <f t="shared" ref="AO1276:AO1339" si="1169">IFERROR(IF($B1276=$D$1,IF(AND($K1276&lt;AO$1,$L1276&lt;AO$1),"",IF(AND($K1276&gt;AP$1,$L1276&gt;AP$1),"",IF(AND($K1276&lt;AO$1,$L1276&lt;=AP$1),$L1276-AO$1,IF(AND($K1276&gt;=AO$1,$L1276&gt;AP$1),AP$1-$K1276,IF(AND($K1276&gt;=AO$1,$L1276&lt;=AP$1),$L1276-$K1276,IF(AND($K1276&lt;AO$1,$L1276&gt;AP$1),AP$1-AO$1,""))))))),"")</f>
        <v>0</v>
      </c>
    </row>
    <row r="1277" spans="7:41" x14ac:dyDescent="0.35">
      <c r="G1277" s="77">
        <f t="shared" si="1139"/>
        <v>0</v>
      </c>
      <c r="H1277" s="78">
        <f t="shared" si="1140"/>
        <v>0</v>
      </c>
      <c r="I1277" s="77">
        <f t="shared" si="1141"/>
        <v>0</v>
      </c>
      <c r="J1277" s="78">
        <f t="shared" si="1142"/>
        <v>0</v>
      </c>
      <c r="K1277" s="78" t="str">
        <f t="shared" si="1143"/>
        <v>1900-01-00 00:0:00</v>
      </c>
      <c r="L1277" s="78" t="str">
        <f t="shared" si="1144"/>
        <v>1900-01-00 00:0:00</v>
      </c>
      <c r="M1277" s="79">
        <f t="shared" si="1145"/>
        <v>0</v>
      </c>
      <c r="N1277">
        <f t="shared" si="1138"/>
        <v>1</v>
      </c>
      <c r="O1277" t="str">
        <f>IFERROR(_xlfn.XLOOKUP(A1277,HC!A:A,HC!C:C),"")</f>
        <v>Workforce</v>
      </c>
      <c r="R1277" s="78" t="b">
        <f t="shared" si="1146"/>
        <v>0</v>
      </c>
      <c r="S1277" s="78" t="b">
        <f t="shared" si="1147"/>
        <v>0</v>
      </c>
      <c r="T1277" s="78" t="b">
        <f t="shared" si="1148"/>
        <v>0</v>
      </c>
      <c r="U1277" s="78" t="b">
        <f t="shared" si="1149"/>
        <v>0</v>
      </c>
      <c r="V1277" s="78" t="b">
        <f t="shared" si="1150"/>
        <v>0</v>
      </c>
      <c r="W1277" s="78" t="b">
        <f t="shared" si="1151"/>
        <v>0</v>
      </c>
      <c r="X1277" s="78" t="b">
        <f t="shared" si="1152"/>
        <v>0</v>
      </c>
      <c r="Y1277" s="78" t="b">
        <f t="shared" si="1153"/>
        <v>0</v>
      </c>
      <c r="Z1277" s="78" t="b">
        <f t="shared" si="1154"/>
        <v>0</v>
      </c>
      <c r="AA1277" s="78" t="b">
        <f t="shared" si="1155"/>
        <v>0</v>
      </c>
      <c r="AB1277" s="78" t="b">
        <f t="shared" si="1156"/>
        <v>0</v>
      </c>
      <c r="AC1277" s="78" t="b">
        <f t="shared" si="1157"/>
        <v>0</v>
      </c>
      <c r="AD1277" s="78" t="b">
        <f t="shared" si="1158"/>
        <v>0</v>
      </c>
      <c r="AE1277" s="78" t="b">
        <f t="shared" si="1159"/>
        <v>0</v>
      </c>
      <c r="AF1277" s="78" t="b">
        <f t="shared" si="1160"/>
        <v>0</v>
      </c>
      <c r="AG1277" s="78" t="b">
        <f t="shared" si="1161"/>
        <v>0</v>
      </c>
      <c r="AH1277" s="78" t="b">
        <f t="shared" si="1162"/>
        <v>0</v>
      </c>
      <c r="AI1277" s="78" t="b">
        <f t="shared" si="1163"/>
        <v>0</v>
      </c>
      <c r="AJ1277" s="78" t="b">
        <f t="shared" si="1164"/>
        <v>0</v>
      </c>
      <c r="AK1277" s="78" t="b">
        <f t="shared" si="1165"/>
        <v>0</v>
      </c>
      <c r="AL1277" s="78" t="b">
        <f t="shared" si="1166"/>
        <v>0</v>
      </c>
      <c r="AM1277" s="78" t="b">
        <f t="shared" si="1167"/>
        <v>0</v>
      </c>
      <c r="AN1277" s="78" t="b">
        <f t="shared" si="1168"/>
        <v>0</v>
      </c>
      <c r="AO1277" s="78" t="b">
        <f t="shared" si="1169"/>
        <v>0</v>
      </c>
    </row>
    <row r="1278" spans="7:41" x14ac:dyDescent="0.35">
      <c r="G1278" s="77">
        <f t="shared" si="1139"/>
        <v>0</v>
      </c>
      <c r="H1278" s="78">
        <f t="shared" si="1140"/>
        <v>0</v>
      </c>
      <c r="I1278" s="77">
        <f t="shared" si="1141"/>
        <v>0</v>
      </c>
      <c r="J1278" s="78">
        <f t="shared" si="1142"/>
        <v>0</v>
      </c>
      <c r="K1278" s="78" t="str">
        <f t="shared" si="1143"/>
        <v>1900-01-00 00:0:00</v>
      </c>
      <c r="L1278" s="78" t="str">
        <f t="shared" si="1144"/>
        <v>1900-01-00 00:0:00</v>
      </c>
      <c r="M1278" s="79">
        <f t="shared" si="1145"/>
        <v>0</v>
      </c>
      <c r="N1278">
        <f t="shared" si="1138"/>
        <v>1</v>
      </c>
      <c r="O1278" t="str">
        <f>IFERROR(_xlfn.XLOOKUP(A1278,HC!A:A,HC!C:C),"")</f>
        <v>Workforce</v>
      </c>
      <c r="R1278" s="78" t="b">
        <f t="shared" si="1146"/>
        <v>0</v>
      </c>
      <c r="S1278" s="78" t="b">
        <f t="shared" si="1147"/>
        <v>0</v>
      </c>
      <c r="T1278" s="78" t="b">
        <f t="shared" si="1148"/>
        <v>0</v>
      </c>
      <c r="U1278" s="78" t="b">
        <f t="shared" si="1149"/>
        <v>0</v>
      </c>
      <c r="V1278" s="78" t="b">
        <f t="shared" si="1150"/>
        <v>0</v>
      </c>
      <c r="W1278" s="78" t="b">
        <f t="shared" si="1151"/>
        <v>0</v>
      </c>
      <c r="X1278" s="78" t="b">
        <f t="shared" si="1152"/>
        <v>0</v>
      </c>
      <c r="Y1278" s="78" t="b">
        <f t="shared" si="1153"/>
        <v>0</v>
      </c>
      <c r="Z1278" s="78" t="b">
        <f t="shared" si="1154"/>
        <v>0</v>
      </c>
      <c r="AA1278" s="78" t="b">
        <f t="shared" si="1155"/>
        <v>0</v>
      </c>
      <c r="AB1278" s="78" t="b">
        <f t="shared" si="1156"/>
        <v>0</v>
      </c>
      <c r="AC1278" s="78" t="b">
        <f t="shared" si="1157"/>
        <v>0</v>
      </c>
      <c r="AD1278" s="78" t="b">
        <f t="shared" si="1158"/>
        <v>0</v>
      </c>
      <c r="AE1278" s="78" t="b">
        <f t="shared" si="1159"/>
        <v>0</v>
      </c>
      <c r="AF1278" s="78" t="b">
        <f t="shared" si="1160"/>
        <v>0</v>
      </c>
      <c r="AG1278" s="78" t="b">
        <f t="shared" si="1161"/>
        <v>0</v>
      </c>
      <c r="AH1278" s="78" t="b">
        <f t="shared" si="1162"/>
        <v>0</v>
      </c>
      <c r="AI1278" s="78" t="b">
        <f t="shared" si="1163"/>
        <v>0</v>
      </c>
      <c r="AJ1278" s="78" t="b">
        <f t="shared" si="1164"/>
        <v>0</v>
      </c>
      <c r="AK1278" s="78" t="b">
        <f t="shared" si="1165"/>
        <v>0</v>
      </c>
      <c r="AL1278" s="78" t="b">
        <f t="shared" si="1166"/>
        <v>0</v>
      </c>
      <c r="AM1278" s="78" t="b">
        <f t="shared" si="1167"/>
        <v>0</v>
      </c>
      <c r="AN1278" s="78" t="b">
        <f t="shared" si="1168"/>
        <v>0</v>
      </c>
      <c r="AO1278" s="78" t="b">
        <f t="shared" si="1169"/>
        <v>0</v>
      </c>
    </row>
    <row r="1279" spans="7:41" x14ac:dyDescent="0.35">
      <c r="G1279" s="77">
        <f t="shared" si="1139"/>
        <v>0</v>
      </c>
      <c r="H1279" s="78">
        <f t="shared" si="1140"/>
        <v>0</v>
      </c>
      <c r="I1279" s="77">
        <f t="shared" si="1141"/>
        <v>0</v>
      </c>
      <c r="J1279" s="78">
        <f t="shared" si="1142"/>
        <v>0</v>
      </c>
      <c r="K1279" s="78" t="str">
        <f t="shared" si="1143"/>
        <v>1900-01-00 00:0:00</v>
      </c>
      <c r="L1279" s="78" t="str">
        <f t="shared" si="1144"/>
        <v>1900-01-00 00:0:00</v>
      </c>
      <c r="M1279" s="79">
        <f t="shared" si="1145"/>
        <v>0</v>
      </c>
      <c r="N1279">
        <f t="shared" si="1138"/>
        <v>1</v>
      </c>
      <c r="O1279" t="str">
        <f>IFERROR(_xlfn.XLOOKUP(A1279,HC!A:A,HC!C:C),"")</f>
        <v>Workforce</v>
      </c>
      <c r="R1279" s="78" t="b">
        <f t="shared" si="1146"/>
        <v>0</v>
      </c>
      <c r="S1279" s="78" t="b">
        <f t="shared" si="1147"/>
        <v>0</v>
      </c>
      <c r="T1279" s="78" t="b">
        <f t="shared" si="1148"/>
        <v>0</v>
      </c>
      <c r="U1279" s="78" t="b">
        <f t="shared" si="1149"/>
        <v>0</v>
      </c>
      <c r="V1279" s="78" t="b">
        <f t="shared" si="1150"/>
        <v>0</v>
      </c>
      <c r="W1279" s="78" t="b">
        <f t="shared" si="1151"/>
        <v>0</v>
      </c>
      <c r="X1279" s="78" t="b">
        <f t="shared" si="1152"/>
        <v>0</v>
      </c>
      <c r="Y1279" s="78" t="b">
        <f t="shared" si="1153"/>
        <v>0</v>
      </c>
      <c r="Z1279" s="78" t="b">
        <f t="shared" si="1154"/>
        <v>0</v>
      </c>
      <c r="AA1279" s="78" t="b">
        <f t="shared" si="1155"/>
        <v>0</v>
      </c>
      <c r="AB1279" s="78" t="b">
        <f t="shared" si="1156"/>
        <v>0</v>
      </c>
      <c r="AC1279" s="78" t="b">
        <f t="shared" si="1157"/>
        <v>0</v>
      </c>
      <c r="AD1279" s="78" t="b">
        <f t="shared" si="1158"/>
        <v>0</v>
      </c>
      <c r="AE1279" s="78" t="b">
        <f t="shared" si="1159"/>
        <v>0</v>
      </c>
      <c r="AF1279" s="78" t="b">
        <f t="shared" si="1160"/>
        <v>0</v>
      </c>
      <c r="AG1279" s="78" t="b">
        <f t="shared" si="1161"/>
        <v>0</v>
      </c>
      <c r="AH1279" s="78" t="b">
        <f t="shared" si="1162"/>
        <v>0</v>
      </c>
      <c r="AI1279" s="78" t="b">
        <f t="shared" si="1163"/>
        <v>0</v>
      </c>
      <c r="AJ1279" s="78" t="b">
        <f t="shared" si="1164"/>
        <v>0</v>
      </c>
      <c r="AK1279" s="78" t="b">
        <f t="shared" si="1165"/>
        <v>0</v>
      </c>
      <c r="AL1279" s="78" t="b">
        <f t="shared" si="1166"/>
        <v>0</v>
      </c>
      <c r="AM1279" s="78" t="b">
        <f t="shared" si="1167"/>
        <v>0</v>
      </c>
      <c r="AN1279" s="78" t="b">
        <f t="shared" si="1168"/>
        <v>0</v>
      </c>
      <c r="AO1279" s="78" t="b">
        <f t="shared" si="1169"/>
        <v>0</v>
      </c>
    </row>
    <row r="1280" spans="7:41" x14ac:dyDescent="0.35">
      <c r="G1280" s="77">
        <f t="shared" si="1139"/>
        <v>0</v>
      </c>
      <c r="H1280" s="78">
        <f t="shared" si="1140"/>
        <v>0</v>
      </c>
      <c r="I1280" s="77">
        <f t="shared" si="1141"/>
        <v>0</v>
      </c>
      <c r="J1280" s="78">
        <f t="shared" si="1142"/>
        <v>0</v>
      </c>
      <c r="K1280" s="78" t="str">
        <f t="shared" si="1143"/>
        <v>1900-01-00 00:0:00</v>
      </c>
      <c r="L1280" s="78" t="str">
        <f t="shared" si="1144"/>
        <v>1900-01-00 00:0:00</v>
      </c>
      <c r="M1280" s="79">
        <f t="shared" si="1145"/>
        <v>0</v>
      </c>
      <c r="N1280">
        <f t="shared" si="1138"/>
        <v>1</v>
      </c>
      <c r="O1280" t="str">
        <f>IFERROR(_xlfn.XLOOKUP(A1280,HC!A:A,HC!C:C),"")</f>
        <v>Workforce</v>
      </c>
      <c r="R1280" s="78" t="b">
        <f t="shared" si="1146"/>
        <v>0</v>
      </c>
      <c r="S1280" s="78" t="b">
        <f t="shared" si="1147"/>
        <v>0</v>
      </c>
      <c r="T1280" s="78" t="b">
        <f t="shared" si="1148"/>
        <v>0</v>
      </c>
      <c r="U1280" s="78" t="b">
        <f t="shared" si="1149"/>
        <v>0</v>
      </c>
      <c r="V1280" s="78" t="b">
        <f t="shared" si="1150"/>
        <v>0</v>
      </c>
      <c r="W1280" s="78" t="b">
        <f t="shared" si="1151"/>
        <v>0</v>
      </c>
      <c r="X1280" s="78" t="b">
        <f t="shared" si="1152"/>
        <v>0</v>
      </c>
      <c r="Y1280" s="78" t="b">
        <f t="shared" si="1153"/>
        <v>0</v>
      </c>
      <c r="Z1280" s="78" t="b">
        <f t="shared" si="1154"/>
        <v>0</v>
      </c>
      <c r="AA1280" s="78" t="b">
        <f t="shared" si="1155"/>
        <v>0</v>
      </c>
      <c r="AB1280" s="78" t="b">
        <f t="shared" si="1156"/>
        <v>0</v>
      </c>
      <c r="AC1280" s="78" t="b">
        <f t="shared" si="1157"/>
        <v>0</v>
      </c>
      <c r="AD1280" s="78" t="b">
        <f t="shared" si="1158"/>
        <v>0</v>
      </c>
      <c r="AE1280" s="78" t="b">
        <f t="shared" si="1159"/>
        <v>0</v>
      </c>
      <c r="AF1280" s="78" t="b">
        <f t="shared" si="1160"/>
        <v>0</v>
      </c>
      <c r="AG1280" s="78" t="b">
        <f t="shared" si="1161"/>
        <v>0</v>
      </c>
      <c r="AH1280" s="78" t="b">
        <f t="shared" si="1162"/>
        <v>0</v>
      </c>
      <c r="AI1280" s="78" t="b">
        <f t="shared" si="1163"/>
        <v>0</v>
      </c>
      <c r="AJ1280" s="78" t="b">
        <f t="shared" si="1164"/>
        <v>0</v>
      </c>
      <c r="AK1280" s="78" t="b">
        <f t="shared" si="1165"/>
        <v>0</v>
      </c>
      <c r="AL1280" s="78" t="b">
        <f t="shared" si="1166"/>
        <v>0</v>
      </c>
      <c r="AM1280" s="78" t="b">
        <f t="shared" si="1167"/>
        <v>0</v>
      </c>
      <c r="AN1280" s="78" t="b">
        <f t="shared" si="1168"/>
        <v>0</v>
      </c>
      <c r="AO1280" s="78" t="b">
        <f t="shared" si="1169"/>
        <v>0</v>
      </c>
    </row>
    <row r="1281" spans="7:41" x14ac:dyDescent="0.35">
      <c r="G1281" s="77">
        <f t="shared" si="1139"/>
        <v>0</v>
      </c>
      <c r="H1281" s="78">
        <f t="shared" si="1140"/>
        <v>0</v>
      </c>
      <c r="I1281" s="77">
        <f t="shared" si="1141"/>
        <v>0</v>
      </c>
      <c r="J1281" s="78">
        <f t="shared" si="1142"/>
        <v>0</v>
      </c>
      <c r="K1281" s="78" t="str">
        <f t="shared" si="1143"/>
        <v>1900-01-00 00:0:00</v>
      </c>
      <c r="L1281" s="78" t="str">
        <f t="shared" si="1144"/>
        <v>1900-01-00 00:0:00</v>
      </c>
      <c r="M1281" s="79">
        <f t="shared" si="1145"/>
        <v>0</v>
      </c>
      <c r="N1281">
        <f t="shared" si="1138"/>
        <v>1</v>
      </c>
      <c r="O1281" t="str">
        <f>IFERROR(_xlfn.XLOOKUP(A1281,HC!A:A,HC!C:C),"")</f>
        <v>Workforce</v>
      </c>
      <c r="R1281" s="78" t="b">
        <f t="shared" si="1146"/>
        <v>0</v>
      </c>
      <c r="S1281" s="78" t="b">
        <f t="shared" si="1147"/>
        <v>0</v>
      </c>
      <c r="T1281" s="78" t="b">
        <f t="shared" si="1148"/>
        <v>0</v>
      </c>
      <c r="U1281" s="78" t="b">
        <f t="shared" si="1149"/>
        <v>0</v>
      </c>
      <c r="V1281" s="78" t="b">
        <f t="shared" si="1150"/>
        <v>0</v>
      </c>
      <c r="W1281" s="78" t="b">
        <f t="shared" si="1151"/>
        <v>0</v>
      </c>
      <c r="X1281" s="78" t="b">
        <f t="shared" si="1152"/>
        <v>0</v>
      </c>
      <c r="Y1281" s="78" t="b">
        <f t="shared" si="1153"/>
        <v>0</v>
      </c>
      <c r="Z1281" s="78" t="b">
        <f t="shared" si="1154"/>
        <v>0</v>
      </c>
      <c r="AA1281" s="78" t="b">
        <f t="shared" si="1155"/>
        <v>0</v>
      </c>
      <c r="AB1281" s="78" t="b">
        <f t="shared" si="1156"/>
        <v>0</v>
      </c>
      <c r="AC1281" s="78" t="b">
        <f t="shared" si="1157"/>
        <v>0</v>
      </c>
      <c r="AD1281" s="78" t="b">
        <f t="shared" si="1158"/>
        <v>0</v>
      </c>
      <c r="AE1281" s="78" t="b">
        <f t="shared" si="1159"/>
        <v>0</v>
      </c>
      <c r="AF1281" s="78" t="b">
        <f t="shared" si="1160"/>
        <v>0</v>
      </c>
      <c r="AG1281" s="78" t="b">
        <f t="shared" si="1161"/>
        <v>0</v>
      </c>
      <c r="AH1281" s="78" t="b">
        <f t="shared" si="1162"/>
        <v>0</v>
      </c>
      <c r="AI1281" s="78" t="b">
        <f t="shared" si="1163"/>
        <v>0</v>
      </c>
      <c r="AJ1281" s="78" t="b">
        <f t="shared" si="1164"/>
        <v>0</v>
      </c>
      <c r="AK1281" s="78" t="b">
        <f t="shared" si="1165"/>
        <v>0</v>
      </c>
      <c r="AL1281" s="78" t="b">
        <f t="shared" si="1166"/>
        <v>0</v>
      </c>
      <c r="AM1281" s="78" t="b">
        <f t="shared" si="1167"/>
        <v>0</v>
      </c>
      <c r="AN1281" s="78" t="b">
        <f t="shared" si="1168"/>
        <v>0</v>
      </c>
      <c r="AO1281" s="78" t="b">
        <f t="shared" si="1169"/>
        <v>0</v>
      </c>
    </row>
    <row r="1282" spans="7:41" x14ac:dyDescent="0.35">
      <c r="G1282" s="77">
        <f t="shared" si="1139"/>
        <v>0</v>
      </c>
      <c r="H1282" s="78">
        <f t="shared" si="1140"/>
        <v>0</v>
      </c>
      <c r="I1282" s="77">
        <f t="shared" si="1141"/>
        <v>0</v>
      </c>
      <c r="J1282" s="78">
        <f t="shared" si="1142"/>
        <v>0</v>
      </c>
      <c r="K1282" s="78" t="str">
        <f t="shared" si="1143"/>
        <v>1900-01-00 00:0:00</v>
      </c>
      <c r="L1282" s="78" t="str">
        <f t="shared" si="1144"/>
        <v>1900-01-00 00:0:00</v>
      </c>
      <c r="M1282" s="79">
        <f t="shared" si="1145"/>
        <v>0</v>
      </c>
      <c r="N1282">
        <f t="shared" si="1138"/>
        <v>1</v>
      </c>
      <c r="O1282" t="str">
        <f>IFERROR(_xlfn.XLOOKUP(A1282,HC!A:A,HC!C:C),"")</f>
        <v>Workforce</v>
      </c>
      <c r="R1282" s="78" t="b">
        <f t="shared" si="1146"/>
        <v>0</v>
      </c>
      <c r="S1282" s="78" t="b">
        <f t="shared" si="1147"/>
        <v>0</v>
      </c>
      <c r="T1282" s="78" t="b">
        <f t="shared" si="1148"/>
        <v>0</v>
      </c>
      <c r="U1282" s="78" t="b">
        <f t="shared" si="1149"/>
        <v>0</v>
      </c>
      <c r="V1282" s="78" t="b">
        <f t="shared" si="1150"/>
        <v>0</v>
      </c>
      <c r="W1282" s="78" t="b">
        <f t="shared" si="1151"/>
        <v>0</v>
      </c>
      <c r="X1282" s="78" t="b">
        <f t="shared" si="1152"/>
        <v>0</v>
      </c>
      <c r="Y1282" s="78" t="b">
        <f t="shared" si="1153"/>
        <v>0</v>
      </c>
      <c r="Z1282" s="78" t="b">
        <f t="shared" si="1154"/>
        <v>0</v>
      </c>
      <c r="AA1282" s="78" t="b">
        <f t="shared" si="1155"/>
        <v>0</v>
      </c>
      <c r="AB1282" s="78" t="b">
        <f t="shared" si="1156"/>
        <v>0</v>
      </c>
      <c r="AC1282" s="78" t="b">
        <f t="shared" si="1157"/>
        <v>0</v>
      </c>
      <c r="AD1282" s="78" t="b">
        <f t="shared" si="1158"/>
        <v>0</v>
      </c>
      <c r="AE1282" s="78" t="b">
        <f t="shared" si="1159"/>
        <v>0</v>
      </c>
      <c r="AF1282" s="78" t="b">
        <f t="shared" si="1160"/>
        <v>0</v>
      </c>
      <c r="AG1282" s="78" t="b">
        <f t="shared" si="1161"/>
        <v>0</v>
      </c>
      <c r="AH1282" s="78" t="b">
        <f t="shared" si="1162"/>
        <v>0</v>
      </c>
      <c r="AI1282" s="78" t="b">
        <f t="shared" si="1163"/>
        <v>0</v>
      </c>
      <c r="AJ1282" s="78" t="b">
        <f t="shared" si="1164"/>
        <v>0</v>
      </c>
      <c r="AK1282" s="78" t="b">
        <f t="shared" si="1165"/>
        <v>0</v>
      </c>
      <c r="AL1282" s="78" t="b">
        <f t="shared" si="1166"/>
        <v>0</v>
      </c>
      <c r="AM1282" s="78" t="b">
        <f t="shared" si="1167"/>
        <v>0</v>
      </c>
      <c r="AN1282" s="78" t="b">
        <f t="shared" si="1168"/>
        <v>0</v>
      </c>
      <c r="AO1282" s="78" t="b">
        <f t="shared" si="1169"/>
        <v>0</v>
      </c>
    </row>
    <row r="1283" spans="7:41" x14ac:dyDescent="0.35">
      <c r="G1283" s="77">
        <f t="shared" si="1139"/>
        <v>0</v>
      </c>
      <c r="H1283" s="78">
        <f t="shared" si="1140"/>
        <v>0</v>
      </c>
      <c r="I1283" s="77">
        <f t="shared" si="1141"/>
        <v>0</v>
      </c>
      <c r="J1283" s="78">
        <f t="shared" si="1142"/>
        <v>0</v>
      </c>
      <c r="K1283" s="78" t="str">
        <f t="shared" si="1143"/>
        <v>1900-01-00 00:0:00</v>
      </c>
      <c r="L1283" s="78" t="str">
        <f t="shared" si="1144"/>
        <v>1900-01-00 00:0:00</v>
      </c>
      <c r="M1283" s="79">
        <f t="shared" si="1145"/>
        <v>0</v>
      </c>
      <c r="N1283">
        <f t="shared" si="1138"/>
        <v>1</v>
      </c>
      <c r="O1283" t="str">
        <f>IFERROR(_xlfn.XLOOKUP(A1283,HC!A:A,HC!C:C),"")</f>
        <v>Workforce</v>
      </c>
      <c r="R1283" s="78" t="b">
        <f t="shared" si="1146"/>
        <v>0</v>
      </c>
      <c r="S1283" s="78" t="b">
        <f t="shared" si="1147"/>
        <v>0</v>
      </c>
      <c r="T1283" s="78" t="b">
        <f t="shared" si="1148"/>
        <v>0</v>
      </c>
      <c r="U1283" s="78" t="b">
        <f t="shared" si="1149"/>
        <v>0</v>
      </c>
      <c r="V1283" s="78" t="b">
        <f t="shared" si="1150"/>
        <v>0</v>
      </c>
      <c r="W1283" s="78" t="b">
        <f t="shared" si="1151"/>
        <v>0</v>
      </c>
      <c r="X1283" s="78" t="b">
        <f t="shared" si="1152"/>
        <v>0</v>
      </c>
      <c r="Y1283" s="78" t="b">
        <f t="shared" si="1153"/>
        <v>0</v>
      </c>
      <c r="Z1283" s="78" t="b">
        <f t="shared" si="1154"/>
        <v>0</v>
      </c>
      <c r="AA1283" s="78" t="b">
        <f t="shared" si="1155"/>
        <v>0</v>
      </c>
      <c r="AB1283" s="78" t="b">
        <f t="shared" si="1156"/>
        <v>0</v>
      </c>
      <c r="AC1283" s="78" t="b">
        <f t="shared" si="1157"/>
        <v>0</v>
      </c>
      <c r="AD1283" s="78" t="b">
        <f t="shared" si="1158"/>
        <v>0</v>
      </c>
      <c r="AE1283" s="78" t="b">
        <f t="shared" si="1159"/>
        <v>0</v>
      </c>
      <c r="AF1283" s="78" t="b">
        <f t="shared" si="1160"/>
        <v>0</v>
      </c>
      <c r="AG1283" s="78" t="b">
        <f t="shared" si="1161"/>
        <v>0</v>
      </c>
      <c r="AH1283" s="78" t="b">
        <f t="shared" si="1162"/>
        <v>0</v>
      </c>
      <c r="AI1283" s="78" t="b">
        <f t="shared" si="1163"/>
        <v>0</v>
      </c>
      <c r="AJ1283" s="78" t="b">
        <f t="shared" si="1164"/>
        <v>0</v>
      </c>
      <c r="AK1283" s="78" t="b">
        <f t="shared" si="1165"/>
        <v>0</v>
      </c>
      <c r="AL1283" s="78" t="b">
        <f t="shared" si="1166"/>
        <v>0</v>
      </c>
      <c r="AM1283" s="78" t="b">
        <f t="shared" si="1167"/>
        <v>0</v>
      </c>
      <c r="AN1283" s="78" t="b">
        <f t="shared" si="1168"/>
        <v>0</v>
      </c>
      <c r="AO1283" s="78" t="b">
        <f t="shared" si="1169"/>
        <v>0</v>
      </c>
    </row>
    <row r="1284" spans="7:41" x14ac:dyDescent="0.35">
      <c r="G1284" s="77">
        <f t="shared" si="1139"/>
        <v>0</v>
      </c>
      <c r="H1284" s="78">
        <f t="shared" si="1140"/>
        <v>0</v>
      </c>
      <c r="I1284" s="77">
        <f t="shared" si="1141"/>
        <v>0</v>
      </c>
      <c r="J1284" s="78">
        <f t="shared" si="1142"/>
        <v>0</v>
      </c>
      <c r="K1284" s="78" t="str">
        <f t="shared" si="1143"/>
        <v>1900-01-00 00:0:00</v>
      </c>
      <c r="L1284" s="78" t="str">
        <f t="shared" si="1144"/>
        <v>1900-01-00 00:0:00</v>
      </c>
      <c r="M1284" s="79">
        <f t="shared" si="1145"/>
        <v>0</v>
      </c>
      <c r="N1284">
        <f t="shared" ref="N1284:N1347" si="1170">IF(M1284&lt;$BA$1,1,0)</f>
        <v>1</v>
      </c>
      <c r="O1284" t="str">
        <f>IFERROR(_xlfn.XLOOKUP(A1284,HC!A:A,HC!C:C),"")</f>
        <v>Workforce</v>
      </c>
      <c r="R1284" s="78" t="b">
        <f t="shared" si="1146"/>
        <v>0</v>
      </c>
      <c r="S1284" s="78" t="b">
        <f t="shared" si="1147"/>
        <v>0</v>
      </c>
      <c r="T1284" s="78" t="b">
        <f t="shared" si="1148"/>
        <v>0</v>
      </c>
      <c r="U1284" s="78" t="b">
        <f t="shared" si="1149"/>
        <v>0</v>
      </c>
      <c r="V1284" s="78" t="b">
        <f t="shared" si="1150"/>
        <v>0</v>
      </c>
      <c r="W1284" s="78" t="b">
        <f t="shared" si="1151"/>
        <v>0</v>
      </c>
      <c r="X1284" s="78" t="b">
        <f t="shared" si="1152"/>
        <v>0</v>
      </c>
      <c r="Y1284" s="78" t="b">
        <f t="shared" si="1153"/>
        <v>0</v>
      </c>
      <c r="Z1284" s="78" t="b">
        <f t="shared" si="1154"/>
        <v>0</v>
      </c>
      <c r="AA1284" s="78" t="b">
        <f t="shared" si="1155"/>
        <v>0</v>
      </c>
      <c r="AB1284" s="78" t="b">
        <f t="shared" si="1156"/>
        <v>0</v>
      </c>
      <c r="AC1284" s="78" t="b">
        <f t="shared" si="1157"/>
        <v>0</v>
      </c>
      <c r="AD1284" s="78" t="b">
        <f t="shared" si="1158"/>
        <v>0</v>
      </c>
      <c r="AE1284" s="78" t="b">
        <f t="shared" si="1159"/>
        <v>0</v>
      </c>
      <c r="AF1284" s="78" t="b">
        <f t="shared" si="1160"/>
        <v>0</v>
      </c>
      <c r="AG1284" s="78" t="b">
        <f t="shared" si="1161"/>
        <v>0</v>
      </c>
      <c r="AH1284" s="78" t="b">
        <f t="shared" si="1162"/>
        <v>0</v>
      </c>
      <c r="AI1284" s="78" t="b">
        <f t="shared" si="1163"/>
        <v>0</v>
      </c>
      <c r="AJ1284" s="78" t="b">
        <f t="shared" si="1164"/>
        <v>0</v>
      </c>
      <c r="AK1284" s="78" t="b">
        <f t="shared" si="1165"/>
        <v>0</v>
      </c>
      <c r="AL1284" s="78" t="b">
        <f t="shared" si="1166"/>
        <v>0</v>
      </c>
      <c r="AM1284" s="78" t="b">
        <f t="shared" si="1167"/>
        <v>0</v>
      </c>
      <c r="AN1284" s="78" t="b">
        <f t="shared" si="1168"/>
        <v>0</v>
      </c>
      <c r="AO1284" s="78" t="b">
        <f t="shared" si="1169"/>
        <v>0</v>
      </c>
    </row>
    <row r="1285" spans="7:41" x14ac:dyDescent="0.35">
      <c r="G1285" s="77">
        <f t="shared" si="1139"/>
        <v>0</v>
      </c>
      <c r="H1285" s="78">
        <f t="shared" si="1140"/>
        <v>0</v>
      </c>
      <c r="I1285" s="77">
        <f t="shared" si="1141"/>
        <v>0</v>
      </c>
      <c r="J1285" s="78">
        <f t="shared" si="1142"/>
        <v>0</v>
      </c>
      <c r="K1285" s="78" t="str">
        <f t="shared" si="1143"/>
        <v>1900-01-00 00:0:00</v>
      </c>
      <c r="L1285" s="78" t="str">
        <f t="shared" si="1144"/>
        <v>1900-01-00 00:0:00</v>
      </c>
      <c r="M1285" s="79">
        <f t="shared" si="1145"/>
        <v>0</v>
      </c>
      <c r="N1285">
        <f t="shared" si="1170"/>
        <v>1</v>
      </c>
      <c r="O1285" t="str">
        <f>IFERROR(_xlfn.XLOOKUP(A1285,HC!A:A,HC!C:C),"")</f>
        <v>Workforce</v>
      </c>
      <c r="R1285" s="78" t="b">
        <f t="shared" si="1146"/>
        <v>0</v>
      </c>
      <c r="S1285" s="78" t="b">
        <f t="shared" si="1147"/>
        <v>0</v>
      </c>
      <c r="T1285" s="78" t="b">
        <f t="shared" si="1148"/>
        <v>0</v>
      </c>
      <c r="U1285" s="78" t="b">
        <f t="shared" si="1149"/>
        <v>0</v>
      </c>
      <c r="V1285" s="78" t="b">
        <f t="shared" si="1150"/>
        <v>0</v>
      </c>
      <c r="W1285" s="78" t="b">
        <f t="shared" si="1151"/>
        <v>0</v>
      </c>
      <c r="X1285" s="78" t="b">
        <f t="shared" si="1152"/>
        <v>0</v>
      </c>
      <c r="Y1285" s="78" t="b">
        <f t="shared" si="1153"/>
        <v>0</v>
      </c>
      <c r="Z1285" s="78" t="b">
        <f t="shared" si="1154"/>
        <v>0</v>
      </c>
      <c r="AA1285" s="78" t="b">
        <f t="shared" si="1155"/>
        <v>0</v>
      </c>
      <c r="AB1285" s="78" t="b">
        <f t="shared" si="1156"/>
        <v>0</v>
      </c>
      <c r="AC1285" s="78" t="b">
        <f t="shared" si="1157"/>
        <v>0</v>
      </c>
      <c r="AD1285" s="78" t="b">
        <f t="shared" si="1158"/>
        <v>0</v>
      </c>
      <c r="AE1285" s="78" t="b">
        <f t="shared" si="1159"/>
        <v>0</v>
      </c>
      <c r="AF1285" s="78" t="b">
        <f t="shared" si="1160"/>
        <v>0</v>
      </c>
      <c r="AG1285" s="78" t="b">
        <f t="shared" si="1161"/>
        <v>0</v>
      </c>
      <c r="AH1285" s="78" t="b">
        <f t="shared" si="1162"/>
        <v>0</v>
      </c>
      <c r="AI1285" s="78" t="b">
        <f t="shared" si="1163"/>
        <v>0</v>
      </c>
      <c r="AJ1285" s="78" t="b">
        <f t="shared" si="1164"/>
        <v>0</v>
      </c>
      <c r="AK1285" s="78" t="b">
        <f t="shared" si="1165"/>
        <v>0</v>
      </c>
      <c r="AL1285" s="78" t="b">
        <f t="shared" si="1166"/>
        <v>0</v>
      </c>
      <c r="AM1285" s="78" t="b">
        <f t="shared" si="1167"/>
        <v>0</v>
      </c>
      <c r="AN1285" s="78" t="b">
        <f t="shared" si="1168"/>
        <v>0</v>
      </c>
      <c r="AO1285" s="78" t="b">
        <f t="shared" si="1169"/>
        <v>0</v>
      </c>
    </row>
    <row r="1286" spans="7:41" x14ac:dyDescent="0.35">
      <c r="G1286" s="77">
        <f t="shared" si="1139"/>
        <v>0</v>
      </c>
      <c r="H1286" s="78">
        <f t="shared" si="1140"/>
        <v>0</v>
      </c>
      <c r="I1286" s="77">
        <f t="shared" si="1141"/>
        <v>0</v>
      </c>
      <c r="J1286" s="78">
        <f t="shared" si="1142"/>
        <v>0</v>
      </c>
      <c r="K1286" s="78" t="str">
        <f t="shared" si="1143"/>
        <v>1900-01-00 00:0:00</v>
      </c>
      <c r="L1286" s="78" t="str">
        <f t="shared" si="1144"/>
        <v>1900-01-00 00:0:00</v>
      </c>
      <c r="M1286" s="79">
        <f t="shared" si="1145"/>
        <v>0</v>
      </c>
      <c r="N1286">
        <f t="shared" si="1170"/>
        <v>1</v>
      </c>
      <c r="O1286" t="str">
        <f>IFERROR(_xlfn.XLOOKUP(A1286,HC!A:A,HC!C:C),"")</f>
        <v>Workforce</v>
      </c>
      <c r="R1286" s="78" t="b">
        <f t="shared" si="1146"/>
        <v>0</v>
      </c>
      <c r="S1286" s="78" t="b">
        <f t="shared" si="1147"/>
        <v>0</v>
      </c>
      <c r="T1286" s="78" t="b">
        <f t="shared" si="1148"/>
        <v>0</v>
      </c>
      <c r="U1286" s="78" t="b">
        <f t="shared" si="1149"/>
        <v>0</v>
      </c>
      <c r="V1286" s="78" t="b">
        <f t="shared" si="1150"/>
        <v>0</v>
      </c>
      <c r="W1286" s="78" t="b">
        <f t="shared" si="1151"/>
        <v>0</v>
      </c>
      <c r="X1286" s="78" t="b">
        <f t="shared" si="1152"/>
        <v>0</v>
      </c>
      <c r="Y1286" s="78" t="b">
        <f t="shared" si="1153"/>
        <v>0</v>
      </c>
      <c r="Z1286" s="78" t="b">
        <f t="shared" si="1154"/>
        <v>0</v>
      </c>
      <c r="AA1286" s="78" t="b">
        <f t="shared" si="1155"/>
        <v>0</v>
      </c>
      <c r="AB1286" s="78" t="b">
        <f t="shared" si="1156"/>
        <v>0</v>
      </c>
      <c r="AC1286" s="78" t="b">
        <f t="shared" si="1157"/>
        <v>0</v>
      </c>
      <c r="AD1286" s="78" t="b">
        <f t="shared" si="1158"/>
        <v>0</v>
      </c>
      <c r="AE1286" s="78" t="b">
        <f t="shared" si="1159"/>
        <v>0</v>
      </c>
      <c r="AF1286" s="78" t="b">
        <f t="shared" si="1160"/>
        <v>0</v>
      </c>
      <c r="AG1286" s="78" t="b">
        <f t="shared" si="1161"/>
        <v>0</v>
      </c>
      <c r="AH1286" s="78" t="b">
        <f t="shared" si="1162"/>
        <v>0</v>
      </c>
      <c r="AI1286" s="78" t="b">
        <f t="shared" si="1163"/>
        <v>0</v>
      </c>
      <c r="AJ1286" s="78" t="b">
        <f t="shared" si="1164"/>
        <v>0</v>
      </c>
      <c r="AK1286" s="78" t="b">
        <f t="shared" si="1165"/>
        <v>0</v>
      </c>
      <c r="AL1286" s="78" t="b">
        <f t="shared" si="1166"/>
        <v>0</v>
      </c>
      <c r="AM1286" s="78" t="b">
        <f t="shared" si="1167"/>
        <v>0</v>
      </c>
      <c r="AN1286" s="78" t="b">
        <f t="shared" si="1168"/>
        <v>0</v>
      </c>
      <c r="AO1286" s="78" t="b">
        <f t="shared" si="1169"/>
        <v>0</v>
      </c>
    </row>
    <row r="1287" spans="7:41" x14ac:dyDescent="0.35">
      <c r="G1287" s="77">
        <f t="shared" si="1139"/>
        <v>0</v>
      </c>
      <c r="H1287" s="78">
        <f t="shared" si="1140"/>
        <v>0</v>
      </c>
      <c r="I1287" s="77">
        <f t="shared" si="1141"/>
        <v>0</v>
      </c>
      <c r="J1287" s="78">
        <f t="shared" si="1142"/>
        <v>0</v>
      </c>
      <c r="K1287" s="78" t="str">
        <f t="shared" si="1143"/>
        <v>1900-01-00 00:0:00</v>
      </c>
      <c r="L1287" s="78" t="str">
        <f t="shared" si="1144"/>
        <v>1900-01-00 00:0:00</v>
      </c>
      <c r="M1287" s="79">
        <f t="shared" si="1145"/>
        <v>0</v>
      </c>
      <c r="N1287">
        <f t="shared" si="1170"/>
        <v>1</v>
      </c>
      <c r="O1287" t="str">
        <f>IFERROR(_xlfn.XLOOKUP(A1287,HC!A:A,HC!C:C),"")</f>
        <v>Workforce</v>
      </c>
      <c r="R1287" s="78" t="b">
        <f t="shared" si="1146"/>
        <v>0</v>
      </c>
      <c r="S1287" s="78" t="b">
        <f t="shared" si="1147"/>
        <v>0</v>
      </c>
      <c r="T1287" s="78" t="b">
        <f t="shared" si="1148"/>
        <v>0</v>
      </c>
      <c r="U1287" s="78" t="b">
        <f t="shared" si="1149"/>
        <v>0</v>
      </c>
      <c r="V1287" s="78" t="b">
        <f t="shared" si="1150"/>
        <v>0</v>
      </c>
      <c r="W1287" s="78" t="b">
        <f t="shared" si="1151"/>
        <v>0</v>
      </c>
      <c r="X1287" s="78" t="b">
        <f t="shared" si="1152"/>
        <v>0</v>
      </c>
      <c r="Y1287" s="78" t="b">
        <f t="shared" si="1153"/>
        <v>0</v>
      </c>
      <c r="Z1287" s="78" t="b">
        <f t="shared" si="1154"/>
        <v>0</v>
      </c>
      <c r="AA1287" s="78" t="b">
        <f t="shared" si="1155"/>
        <v>0</v>
      </c>
      <c r="AB1287" s="78" t="b">
        <f t="shared" si="1156"/>
        <v>0</v>
      </c>
      <c r="AC1287" s="78" t="b">
        <f t="shared" si="1157"/>
        <v>0</v>
      </c>
      <c r="AD1287" s="78" t="b">
        <f t="shared" si="1158"/>
        <v>0</v>
      </c>
      <c r="AE1287" s="78" t="b">
        <f t="shared" si="1159"/>
        <v>0</v>
      </c>
      <c r="AF1287" s="78" t="b">
        <f t="shared" si="1160"/>
        <v>0</v>
      </c>
      <c r="AG1287" s="78" t="b">
        <f t="shared" si="1161"/>
        <v>0</v>
      </c>
      <c r="AH1287" s="78" t="b">
        <f t="shared" si="1162"/>
        <v>0</v>
      </c>
      <c r="AI1287" s="78" t="b">
        <f t="shared" si="1163"/>
        <v>0</v>
      </c>
      <c r="AJ1287" s="78" t="b">
        <f t="shared" si="1164"/>
        <v>0</v>
      </c>
      <c r="AK1287" s="78" t="b">
        <f t="shared" si="1165"/>
        <v>0</v>
      </c>
      <c r="AL1287" s="78" t="b">
        <f t="shared" si="1166"/>
        <v>0</v>
      </c>
      <c r="AM1287" s="78" t="b">
        <f t="shared" si="1167"/>
        <v>0</v>
      </c>
      <c r="AN1287" s="78" t="b">
        <f t="shared" si="1168"/>
        <v>0</v>
      </c>
      <c r="AO1287" s="78" t="b">
        <f t="shared" si="1169"/>
        <v>0</v>
      </c>
    </row>
    <row r="1288" spans="7:41" x14ac:dyDescent="0.35">
      <c r="G1288" s="77">
        <f t="shared" si="1139"/>
        <v>0</v>
      </c>
      <c r="H1288" s="78">
        <f t="shared" si="1140"/>
        <v>0</v>
      </c>
      <c r="I1288" s="77">
        <f t="shared" si="1141"/>
        <v>0</v>
      </c>
      <c r="J1288" s="78">
        <f t="shared" si="1142"/>
        <v>0</v>
      </c>
      <c r="K1288" s="78" t="str">
        <f t="shared" si="1143"/>
        <v>1900-01-00 00:0:00</v>
      </c>
      <c r="L1288" s="78" t="str">
        <f t="shared" si="1144"/>
        <v>1900-01-00 00:0:00</v>
      </c>
      <c r="M1288" s="79">
        <f t="shared" si="1145"/>
        <v>0</v>
      </c>
      <c r="N1288">
        <f t="shared" si="1170"/>
        <v>1</v>
      </c>
      <c r="O1288" t="str">
        <f>IFERROR(_xlfn.XLOOKUP(A1288,HC!A:A,HC!C:C),"")</f>
        <v>Workforce</v>
      </c>
      <c r="R1288" s="78" t="b">
        <f t="shared" si="1146"/>
        <v>0</v>
      </c>
      <c r="S1288" s="78" t="b">
        <f t="shared" si="1147"/>
        <v>0</v>
      </c>
      <c r="T1288" s="78" t="b">
        <f t="shared" si="1148"/>
        <v>0</v>
      </c>
      <c r="U1288" s="78" t="b">
        <f t="shared" si="1149"/>
        <v>0</v>
      </c>
      <c r="V1288" s="78" t="b">
        <f t="shared" si="1150"/>
        <v>0</v>
      </c>
      <c r="W1288" s="78" t="b">
        <f t="shared" si="1151"/>
        <v>0</v>
      </c>
      <c r="X1288" s="78" t="b">
        <f t="shared" si="1152"/>
        <v>0</v>
      </c>
      <c r="Y1288" s="78" t="b">
        <f t="shared" si="1153"/>
        <v>0</v>
      </c>
      <c r="Z1288" s="78" t="b">
        <f t="shared" si="1154"/>
        <v>0</v>
      </c>
      <c r="AA1288" s="78" t="b">
        <f t="shared" si="1155"/>
        <v>0</v>
      </c>
      <c r="AB1288" s="78" t="b">
        <f t="shared" si="1156"/>
        <v>0</v>
      </c>
      <c r="AC1288" s="78" t="b">
        <f t="shared" si="1157"/>
        <v>0</v>
      </c>
      <c r="AD1288" s="78" t="b">
        <f t="shared" si="1158"/>
        <v>0</v>
      </c>
      <c r="AE1288" s="78" t="b">
        <f t="shared" si="1159"/>
        <v>0</v>
      </c>
      <c r="AF1288" s="78" t="b">
        <f t="shared" si="1160"/>
        <v>0</v>
      </c>
      <c r="AG1288" s="78" t="b">
        <f t="shared" si="1161"/>
        <v>0</v>
      </c>
      <c r="AH1288" s="78" t="b">
        <f t="shared" si="1162"/>
        <v>0</v>
      </c>
      <c r="AI1288" s="78" t="b">
        <f t="shared" si="1163"/>
        <v>0</v>
      </c>
      <c r="AJ1288" s="78" t="b">
        <f t="shared" si="1164"/>
        <v>0</v>
      </c>
      <c r="AK1288" s="78" t="b">
        <f t="shared" si="1165"/>
        <v>0</v>
      </c>
      <c r="AL1288" s="78" t="b">
        <f t="shared" si="1166"/>
        <v>0</v>
      </c>
      <c r="AM1288" s="78" t="b">
        <f t="shared" si="1167"/>
        <v>0</v>
      </c>
      <c r="AN1288" s="78" t="b">
        <f t="shared" si="1168"/>
        <v>0</v>
      </c>
      <c r="AO1288" s="78" t="b">
        <f t="shared" si="1169"/>
        <v>0</v>
      </c>
    </row>
    <row r="1289" spans="7:41" x14ac:dyDescent="0.35">
      <c r="G1289" s="77">
        <f t="shared" si="1139"/>
        <v>0</v>
      </c>
      <c r="H1289" s="78">
        <f t="shared" si="1140"/>
        <v>0</v>
      </c>
      <c r="I1289" s="77">
        <f t="shared" si="1141"/>
        <v>0</v>
      </c>
      <c r="J1289" s="78">
        <f t="shared" si="1142"/>
        <v>0</v>
      </c>
      <c r="K1289" s="78" t="str">
        <f t="shared" si="1143"/>
        <v>1900-01-00 00:0:00</v>
      </c>
      <c r="L1289" s="78" t="str">
        <f t="shared" si="1144"/>
        <v>1900-01-00 00:0:00</v>
      </c>
      <c r="M1289" s="79">
        <f t="shared" si="1145"/>
        <v>0</v>
      </c>
      <c r="N1289">
        <f t="shared" si="1170"/>
        <v>1</v>
      </c>
      <c r="O1289" t="str">
        <f>IFERROR(_xlfn.XLOOKUP(A1289,HC!A:A,HC!C:C),"")</f>
        <v>Workforce</v>
      </c>
      <c r="R1289" s="78" t="b">
        <f t="shared" si="1146"/>
        <v>0</v>
      </c>
      <c r="S1289" s="78" t="b">
        <f t="shared" si="1147"/>
        <v>0</v>
      </c>
      <c r="T1289" s="78" t="b">
        <f t="shared" si="1148"/>
        <v>0</v>
      </c>
      <c r="U1289" s="78" t="b">
        <f t="shared" si="1149"/>
        <v>0</v>
      </c>
      <c r="V1289" s="78" t="b">
        <f t="shared" si="1150"/>
        <v>0</v>
      </c>
      <c r="W1289" s="78" t="b">
        <f t="shared" si="1151"/>
        <v>0</v>
      </c>
      <c r="X1289" s="78" t="b">
        <f t="shared" si="1152"/>
        <v>0</v>
      </c>
      <c r="Y1289" s="78" t="b">
        <f t="shared" si="1153"/>
        <v>0</v>
      </c>
      <c r="Z1289" s="78" t="b">
        <f t="shared" si="1154"/>
        <v>0</v>
      </c>
      <c r="AA1289" s="78" t="b">
        <f t="shared" si="1155"/>
        <v>0</v>
      </c>
      <c r="AB1289" s="78" t="b">
        <f t="shared" si="1156"/>
        <v>0</v>
      </c>
      <c r="AC1289" s="78" t="b">
        <f t="shared" si="1157"/>
        <v>0</v>
      </c>
      <c r="AD1289" s="78" t="b">
        <f t="shared" si="1158"/>
        <v>0</v>
      </c>
      <c r="AE1289" s="78" t="b">
        <f t="shared" si="1159"/>
        <v>0</v>
      </c>
      <c r="AF1289" s="78" t="b">
        <f t="shared" si="1160"/>
        <v>0</v>
      </c>
      <c r="AG1289" s="78" t="b">
        <f t="shared" si="1161"/>
        <v>0</v>
      </c>
      <c r="AH1289" s="78" t="b">
        <f t="shared" si="1162"/>
        <v>0</v>
      </c>
      <c r="AI1289" s="78" t="b">
        <f t="shared" si="1163"/>
        <v>0</v>
      </c>
      <c r="AJ1289" s="78" t="b">
        <f t="shared" si="1164"/>
        <v>0</v>
      </c>
      <c r="AK1289" s="78" t="b">
        <f t="shared" si="1165"/>
        <v>0</v>
      </c>
      <c r="AL1289" s="78" t="b">
        <f t="shared" si="1166"/>
        <v>0</v>
      </c>
      <c r="AM1289" s="78" t="b">
        <f t="shared" si="1167"/>
        <v>0</v>
      </c>
      <c r="AN1289" s="78" t="b">
        <f t="shared" si="1168"/>
        <v>0</v>
      </c>
      <c r="AO1289" s="78" t="b">
        <f t="shared" si="1169"/>
        <v>0</v>
      </c>
    </row>
    <row r="1290" spans="7:41" x14ac:dyDescent="0.35">
      <c r="G1290" s="77">
        <f t="shared" si="1139"/>
        <v>0</v>
      </c>
      <c r="H1290" s="78">
        <f t="shared" si="1140"/>
        <v>0</v>
      </c>
      <c r="I1290" s="77">
        <f t="shared" si="1141"/>
        <v>0</v>
      </c>
      <c r="J1290" s="78">
        <f t="shared" si="1142"/>
        <v>0</v>
      </c>
      <c r="K1290" s="78" t="str">
        <f t="shared" si="1143"/>
        <v>1900-01-00 00:0:00</v>
      </c>
      <c r="L1290" s="78" t="str">
        <f t="shared" si="1144"/>
        <v>1900-01-00 00:0:00</v>
      </c>
      <c r="M1290" s="79">
        <f t="shared" si="1145"/>
        <v>0</v>
      </c>
      <c r="N1290">
        <f t="shared" si="1170"/>
        <v>1</v>
      </c>
      <c r="O1290" t="str">
        <f>IFERROR(_xlfn.XLOOKUP(A1290,HC!A:A,HC!C:C),"")</f>
        <v>Workforce</v>
      </c>
      <c r="R1290" s="78" t="b">
        <f t="shared" si="1146"/>
        <v>0</v>
      </c>
      <c r="S1290" s="78" t="b">
        <f t="shared" si="1147"/>
        <v>0</v>
      </c>
      <c r="T1290" s="78" t="b">
        <f t="shared" si="1148"/>
        <v>0</v>
      </c>
      <c r="U1290" s="78" t="b">
        <f t="shared" si="1149"/>
        <v>0</v>
      </c>
      <c r="V1290" s="78" t="b">
        <f t="shared" si="1150"/>
        <v>0</v>
      </c>
      <c r="W1290" s="78" t="b">
        <f t="shared" si="1151"/>
        <v>0</v>
      </c>
      <c r="X1290" s="78" t="b">
        <f t="shared" si="1152"/>
        <v>0</v>
      </c>
      <c r="Y1290" s="78" t="b">
        <f t="shared" si="1153"/>
        <v>0</v>
      </c>
      <c r="Z1290" s="78" t="b">
        <f t="shared" si="1154"/>
        <v>0</v>
      </c>
      <c r="AA1290" s="78" t="b">
        <f t="shared" si="1155"/>
        <v>0</v>
      </c>
      <c r="AB1290" s="78" t="b">
        <f t="shared" si="1156"/>
        <v>0</v>
      </c>
      <c r="AC1290" s="78" t="b">
        <f t="shared" si="1157"/>
        <v>0</v>
      </c>
      <c r="AD1290" s="78" t="b">
        <f t="shared" si="1158"/>
        <v>0</v>
      </c>
      <c r="AE1290" s="78" t="b">
        <f t="shared" si="1159"/>
        <v>0</v>
      </c>
      <c r="AF1290" s="78" t="b">
        <f t="shared" si="1160"/>
        <v>0</v>
      </c>
      <c r="AG1290" s="78" t="b">
        <f t="shared" si="1161"/>
        <v>0</v>
      </c>
      <c r="AH1290" s="78" t="b">
        <f t="shared" si="1162"/>
        <v>0</v>
      </c>
      <c r="AI1290" s="78" t="b">
        <f t="shared" si="1163"/>
        <v>0</v>
      </c>
      <c r="AJ1290" s="78" t="b">
        <f t="shared" si="1164"/>
        <v>0</v>
      </c>
      <c r="AK1290" s="78" t="b">
        <f t="shared" si="1165"/>
        <v>0</v>
      </c>
      <c r="AL1290" s="78" t="b">
        <f t="shared" si="1166"/>
        <v>0</v>
      </c>
      <c r="AM1290" s="78" t="b">
        <f t="shared" si="1167"/>
        <v>0</v>
      </c>
      <c r="AN1290" s="78" t="b">
        <f t="shared" si="1168"/>
        <v>0</v>
      </c>
      <c r="AO1290" s="78" t="b">
        <f t="shared" si="1169"/>
        <v>0</v>
      </c>
    </row>
    <row r="1291" spans="7:41" x14ac:dyDescent="0.35">
      <c r="G1291" s="77">
        <f t="shared" si="1139"/>
        <v>0</v>
      </c>
      <c r="H1291" s="78">
        <f t="shared" si="1140"/>
        <v>0</v>
      </c>
      <c r="I1291" s="77">
        <f t="shared" si="1141"/>
        <v>0</v>
      </c>
      <c r="J1291" s="78">
        <f t="shared" si="1142"/>
        <v>0</v>
      </c>
      <c r="K1291" s="78" t="str">
        <f t="shared" si="1143"/>
        <v>1900-01-00 00:0:00</v>
      </c>
      <c r="L1291" s="78" t="str">
        <f t="shared" si="1144"/>
        <v>1900-01-00 00:0:00</v>
      </c>
      <c r="M1291" s="79">
        <f t="shared" si="1145"/>
        <v>0</v>
      </c>
      <c r="N1291">
        <f t="shared" si="1170"/>
        <v>1</v>
      </c>
      <c r="O1291" t="str">
        <f>IFERROR(_xlfn.XLOOKUP(A1291,HC!A:A,HC!C:C),"")</f>
        <v>Workforce</v>
      </c>
      <c r="R1291" s="78" t="b">
        <f t="shared" si="1146"/>
        <v>0</v>
      </c>
      <c r="S1291" s="78" t="b">
        <f t="shared" si="1147"/>
        <v>0</v>
      </c>
      <c r="T1291" s="78" t="b">
        <f t="shared" si="1148"/>
        <v>0</v>
      </c>
      <c r="U1291" s="78" t="b">
        <f t="shared" si="1149"/>
        <v>0</v>
      </c>
      <c r="V1291" s="78" t="b">
        <f t="shared" si="1150"/>
        <v>0</v>
      </c>
      <c r="W1291" s="78" t="b">
        <f t="shared" si="1151"/>
        <v>0</v>
      </c>
      <c r="X1291" s="78" t="b">
        <f t="shared" si="1152"/>
        <v>0</v>
      </c>
      <c r="Y1291" s="78" t="b">
        <f t="shared" si="1153"/>
        <v>0</v>
      </c>
      <c r="Z1291" s="78" t="b">
        <f t="shared" si="1154"/>
        <v>0</v>
      </c>
      <c r="AA1291" s="78" t="b">
        <f t="shared" si="1155"/>
        <v>0</v>
      </c>
      <c r="AB1291" s="78" t="b">
        <f t="shared" si="1156"/>
        <v>0</v>
      </c>
      <c r="AC1291" s="78" t="b">
        <f t="shared" si="1157"/>
        <v>0</v>
      </c>
      <c r="AD1291" s="78" t="b">
        <f t="shared" si="1158"/>
        <v>0</v>
      </c>
      <c r="AE1291" s="78" t="b">
        <f t="shared" si="1159"/>
        <v>0</v>
      </c>
      <c r="AF1291" s="78" t="b">
        <f t="shared" si="1160"/>
        <v>0</v>
      </c>
      <c r="AG1291" s="78" t="b">
        <f t="shared" si="1161"/>
        <v>0</v>
      </c>
      <c r="AH1291" s="78" t="b">
        <f t="shared" si="1162"/>
        <v>0</v>
      </c>
      <c r="AI1291" s="78" t="b">
        <f t="shared" si="1163"/>
        <v>0</v>
      </c>
      <c r="AJ1291" s="78" t="b">
        <f t="shared" si="1164"/>
        <v>0</v>
      </c>
      <c r="AK1291" s="78" t="b">
        <f t="shared" si="1165"/>
        <v>0</v>
      </c>
      <c r="AL1291" s="78" t="b">
        <f t="shared" si="1166"/>
        <v>0</v>
      </c>
      <c r="AM1291" s="78" t="b">
        <f t="shared" si="1167"/>
        <v>0</v>
      </c>
      <c r="AN1291" s="78" t="b">
        <f t="shared" si="1168"/>
        <v>0</v>
      </c>
      <c r="AO1291" s="78" t="b">
        <f t="shared" si="1169"/>
        <v>0</v>
      </c>
    </row>
    <row r="1292" spans="7:41" x14ac:dyDescent="0.35">
      <c r="G1292" s="77">
        <f t="shared" si="1139"/>
        <v>0</v>
      </c>
      <c r="H1292" s="78">
        <f t="shared" si="1140"/>
        <v>0</v>
      </c>
      <c r="I1292" s="77">
        <f t="shared" si="1141"/>
        <v>0</v>
      </c>
      <c r="J1292" s="78">
        <f t="shared" si="1142"/>
        <v>0</v>
      </c>
      <c r="K1292" s="78" t="str">
        <f t="shared" si="1143"/>
        <v>1900-01-00 00:0:00</v>
      </c>
      <c r="L1292" s="78" t="str">
        <f t="shared" si="1144"/>
        <v>1900-01-00 00:0:00</v>
      </c>
      <c r="M1292" s="79">
        <f t="shared" si="1145"/>
        <v>0</v>
      </c>
      <c r="N1292">
        <f t="shared" si="1170"/>
        <v>1</v>
      </c>
      <c r="O1292" t="str">
        <f>IFERROR(_xlfn.XLOOKUP(A1292,HC!A:A,HC!C:C),"")</f>
        <v>Workforce</v>
      </c>
      <c r="R1292" s="78" t="b">
        <f t="shared" si="1146"/>
        <v>0</v>
      </c>
      <c r="S1292" s="78" t="b">
        <f t="shared" si="1147"/>
        <v>0</v>
      </c>
      <c r="T1292" s="78" t="b">
        <f t="shared" si="1148"/>
        <v>0</v>
      </c>
      <c r="U1292" s="78" t="b">
        <f t="shared" si="1149"/>
        <v>0</v>
      </c>
      <c r="V1292" s="78" t="b">
        <f t="shared" si="1150"/>
        <v>0</v>
      </c>
      <c r="W1292" s="78" t="b">
        <f t="shared" si="1151"/>
        <v>0</v>
      </c>
      <c r="X1292" s="78" t="b">
        <f t="shared" si="1152"/>
        <v>0</v>
      </c>
      <c r="Y1292" s="78" t="b">
        <f t="shared" si="1153"/>
        <v>0</v>
      </c>
      <c r="Z1292" s="78" t="b">
        <f t="shared" si="1154"/>
        <v>0</v>
      </c>
      <c r="AA1292" s="78" t="b">
        <f t="shared" si="1155"/>
        <v>0</v>
      </c>
      <c r="AB1292" s="78" t="b">
        <f t="shared" si="1156"/>
        <v>0</v>
      </c>
      <c r="AC1292" s="78" t="b">
        <f t="shared" si="1157"/>
        <v>0</v>
      </c>
      <c r="AD1292" s="78" t="b">
        <f t="shared" si="1158"/>
        <v>0</v>
      </c>
      <c r="AE1292" s="78" t="b">
        <f t="shared" si="1159"/>
        <v>0</v>
      </c>
      <c r="AF1292" s="78" t="b">
        <f t="shared" si="1160"/>
        <v>0</v>
      </c>
      <c r="AG1292" s="78" t="b">
        <f t="shared" si="1161"/>
        <v>0</v>
      </c>
      <c r="AH1292" s="78" t="b">
        <f t="shared" si="1162"/>
        <v>0</v>
      </c>
      <c r="AI1292" s="78" t="b">
        <f t="shared" si="1163"/>
        <v>0</v>
      </c>
      <c r="AJ1292" s="78" t="b">
        <f t="shared" si="1164"/>
        <v>0</v>
      </c>
      <c r="AK1292" s="78" t="b">
        <f t="shared" si="1165"/>
        <v>0</v>
      </c>
      <c r="AL1292" s="78" t="b">
        <f t="shared" si="1166"/>
        <v>0</v>
      </c>
      <c r="AM1292" s="78" t="b">
        <f t="shared" si="1167"/>
        <v>0</v>
      </c>
      <c r="AN1292" s="78" t="b">
        <f t="shared" si="1168"/>
        <v>0</v>
      </c>
      <c r="AO1292" s="78" t="b">
        <f t="shared" si="1169"/>
        <v>0</v>
      </c>
    </row>
    <row r="1293" spans="7:41" x14ac:dyDescent="0.35">
      <c r="G1293" s="77">
        <f t="shared" si="1139"/>
        <v>0</v>
      </c>
      <c r="H1293" s="78">
        <f t="shared" si="1140"/>
        <v>0</v>
      </c>
      <c r="I1293" s="77">
        <f t="shared" si="1141"/>
        <v>0</v>
      </c>
      <c r="J1293" s="78">
        <f t="shared" si="1142"/>
        <v>0</v>
      </c>
      <c r="K1293" s="78" t="str">
        <f t="shared" si="1143"/>
        <v>1900-01-00 00:0:00</v>
      </c>
      <c r="L1293" s="78" t="str">
        <f t="shared" si="1144"/>
        <v>1900-01-00 00:0:00</v>
      </c>
      <c r="M1293" s="79">
        <f t="shared" si="1145"/>
        <v>0</v>
      </c>
      <c r="N1293">
        <f t="shared" si="1170"/>
        <v>1</v>
      </c>
      <c r="O1293" t="str">
        <f>IFERROR(_xlfn.XLOOKUP(A1293,HC!A:A,HC!C:C),"")</f>
        <v>Workforce</v>
      </c>
      <c r="R1293" s="78" t="b">
        <f t="shared" si="1146"/>
        <v>0</v>
      </c>
      <c r="S1293" s="78" t="b">
        <f t="shared" si="1147"/>
        <v>0</v>
      </c>
      <c r="T1293" s="78" t="b">
        <f t="shared" si="1148"/>
        <v>0</v>
      </c>
      <c r="U1293" s="78" t="b">
        <f t="shared" si="1149"/>
        <v>0</v>
      </c>
      <c r="V1293" s="78" t="b">
        <f t="shared" si="1150"/>
        <v>0</v>
      </c>
      <c r="W1293" s="78" t="b">
        <f t="shared" si="1151"/>
        <v>0</v>
      </c>
      <c r="X1293" s="78" t="b">
        <f t="shared" si="1152"/>
        <v>0</v>
      </c>
      <c r="Y1293" s="78" t="b">
        <f t="shared" si="1153"/>
        <v>0</v>
      </c>
      <c r="Z1293" s="78" t="b">
        <f t="shared" si="1154"/>
        <v>0</v>
      </c>
      <c r="AA1293" s="78" t="b">
        <f t="shared" si="1155"/>
        <v>0</v>
      </c>
      <c r="AB1293" s="78" t="b">
        <f t="shared" si="1156"/>
        <v>0</v>
      </c>
      <c r="AC1293" s="78" t="b">
        <f t="shared" si="1157"/>
        <v>0</v>
      </c>
      <c r="AD1293" s="78" t="b">
        <f t="shared" si="1158"/>
        <v>0</v>
      </c>
      <c r="AE1293" s="78" t="b">
        <f t="shared" si="1159"/>
        <v>0</v>
      </c>
      <c r="AF1293" s="78" t="b">
        <f t="shared" si="1160"/>
        <v>0</v>
      </c>
      <c r="AG1293" s="78" t="b">
        <f t="shared" si="1161"/>
        <v>0</v>
      </c>
      <c r="AH1293" s="78" t="b">
        <f t="shared" si="1162"/>
        <v>0</v>
      </c>
      <c r="AI1293" s="78" t="b">
        <f t="shared" si="1163"/>
        <v>0</v>
      </c>
      <c r="AJ1293" s="78" t="b">
        <f t="shared" si="1164"/>
        <v>0</v>
      </c>
      <c r="AK1293" s="78" t="b">
        <f t="shared" si="1165"/>
        <v>0</v>
      </c>
      <c r="AL1293" s="78" t="b">
        <f t="shared" si="1166"/>
        <v>0</v>
      </c>
      <c r="AM1293" s="78" t="b">
        <f t="shared" si="1167"/>
        <v>0</v>
      </c>
      <c r="AN1293" s="78" t="b">
        <f t="shared" si="1168"/>
        <v>0</v>
      </c>
      <c r="AO1293" s="78" t="b">
        <f t="shared" si="1169"/>
        <v>0</v>
      </c>
    </row>
    <row r="1294" spans="7:41" x14ac:dyDescent="0.35">
      <c r="G1294" s="77">
        <f t="shared" si="1139"/>
        <v>0</v>
      </c>
      <c r="H1294" s="78">
        <f t="shared" si="1140"/>
        <v>0</v>
      </c>
      <c r="I1294" s="77">
        <f t="shared" si="1141"/>
        <v>0</v>
      </c>
      <c r="J1294" s="78">
        <f t="shared" si="1142"/>
        <v>0</v>
      </c>
      <c r="K1294" s="78" t="str">
        <f t="shared" si="1143"/>
        <v>1900-01-00 00:0:00</v>
      </c>
      <c r="L1294" s="78" t="str">
        <f t="shared" si="1144"/>
        <v>1900-01-00 00:0:00</v>
      </c>
      <c r="M1294" s="79">
        <f t="shared" si="1145"/>
        <v>0</v>
      </c>
      <c r="N1294">
        <f t="shared" si="1170"/>
        <v>1</v>
      </c>
      <c r="O1294" t="str">
        <f>IFERROR(_xlfn.XLOOKUP(A1294,HC!A:A,HC!C:C),"")</f>
        <v>Workforce</v>
      </c>
      <c r="R1294" s="78" t="b">
        <f t="shared" si="1146"/>
        <v>0</v>
      </c>
      <c r="S1294" s="78" t="b">
        <f t="shared" si="1147"/>
        <v>0</v>
      </c>
      <c r="T1294" s="78" t="b">
        <f t="shared" si="1148"/>
        <v>0</v>
      </c>
      <c r="U1294" s="78" t="b">
        <f t="shared" si="1149"/>
        <v>0</v>
      </c>
      <c r="V1294" s="78" t="b">
        <f t="shared" si="1150"/>
        <v>0</v>
      </c>
      <c r="W1294" s="78" t="b">
        <f t="shared" si="1151"/>
        <v>0</v>
      </c>
      <c r="X1294" s="78" t="b">
        <f t="shared" si="1152"/>
        <v>0</v>
      </c>
      <c r="Y1294" s="78" t="b">
        <f t="shared" si="1153"/>
        <v>0</v>
      </c>
      <c r="Z1294" s="78" t="b">
        <f t="shared" si="1154"/>
        <v>0</v>
      </c>
      <c r="AA1294" s="78" t="b">
        <f t="shared" si="1155"/>
        <v>0</v>
      </c>
      <c r="AB1294" s="78" t="b">
        <f t="shared" si="1156"/>
        <v>0</v>
      </c>
      <c r="AC1294" s="78" t="b">
        <f t="shared" si="1157"/>
        <v>0</v>
      </c>
      <c r="AD1294" s="78" t="b">
        <f t="shared" si="1158"/>
        <v>0</v>
      </c>
      <c r="AE1294" s="78" t="b">
        <f t="shared" si="1159"/>
        <v>0</v>
      </c>
      <c r="AF1294" s="78" t="b">
        <f t="shared" si="1160"/>
        <v>0</v>
      </c>
      <c r="AG1294" s="78" t="b">
        <f t="shared" si="1161"/>
        <v>0</v>
      </c>
      <c r="AH1294" s="78" t="b">
        <f t="shared" si="1162"/>
        <v>0</v>
      </c>
      <c r="AI1294" s="78" t="b">
        <f t="shared" si="1163"/>
        <v>0</v>
      </c>
      <c r="AJ1294" s="78" t="b">
        <f t="shared" si="1164"/>
        <v>0</v>
      </c>
      <c r="AK1294" s="78" t="b">
        <f t="shared" si="1165"/>
        <v>0</v>
      </c>
      <c r="AL1294" s="78" t="b">
        <f t="shared" si="1166"/>
        <v>0</v>
      </c>
      <c r="AM1294" s="78" t="b">
        <f t="shared" si="1167"/>
        <v>0</v>
      </c>
      <c r="AN1294" s="78" t="b">
        <f t="shared" si="1168"/>
        <v>0</v>
      </c>
      <c r="AO1294" s="78" t="b">
        <f t="shared" si="1169"/>
        <v>0</v>
      </c>
    </row>
    <row r="1295" spans="7:41" x14ac:dyDescent="0.35">
      <c r="G1295" s="77">
        <f t="shared" si="1139"/>
        <v>0</v>
      </c>
      <c r="H1295" s="78">
        <f t="shared" si="1140"/>
        <v>0</v>
      </c>
      <c r="I1295" s="77">
        <f t="shared" si="1141"/>
        <v>0</v>
      </c>
      <c r="J1295" s="78">
        <f t="shared" si="1142"/>
        <v>0</v>
      </c>
      <c r="K1295" s="78" t="str">
        <f t="shared" si="1143"/>
        <v>1900-01-00 00:0:00</v>
      </c>
      <c r="L1295" s="78" t="str">
        <f t="shared" si="1144"/>
        <v>1900-01-00 00:0:00</v>
      </c>
      <c r="M1295" s="79">
        <f t="shared" si="1145"/>
        <v>0</v>
      </c>
      <c r="N1295">
        <f t="shared" si="1170"/>
        <v>1</v>
      </c>
      <c r="O1295" t="str">
        <f>IFERROR(_xlfn.XLOOKUP(A1295,HC!A:A,HC!C:C),"")</f>
        <v>Workforce</v>
      </c>
      <c r="R1295" s="78" t="b">
        <f t="shared" si="1146"/>
        <v>0</v>
      </c>
      <c r="S1295" s="78" t="b">
        <f t="shared" si="1147"/>
        <v>0</v>
      </c>
      <c r="T1295" s="78" t="b">
        <f t="shared" si="1148"/>
        <v>0</v>
      </c>
      <c r="U1295" s="78" t="b">
        <f t="shared" si="1149"/>
        <v>0</v>
      </c>
      <c r="V1295" s="78" t="b">
        <f t="shared" si="1150"/>
        <v>0</v>
      </c>
      <c r="W1295" s="78" t="b">
        <f t="shared" si="1151"/>
        <v>0</v>
      </c>
      <c r="X1295" s="78" t="b">
        <f t="shared" si="1152"/>
        <v>0</v>
      </c>
      <c r="Y1295" s="78" t="b">
        <f t="shared" si="1153"/>
        <v>0</v>
      </c>
      <c r="Z1295" s="78" t="b">
        <f t="shared" si="1154"/>
        <v>0</v>
      </c>
      <c r="AA1295" s="78" t="b">
        <f t="shared" si="1155"/>
        <v>0</v>
      </c>
      <c r="AB1295" s="78" t="b">
        <f t="shared" si="1156"/>
        <v>0</v>
      </c>
      <c r="AC1295" s="78" t="b">
        <f t="shared" si="1157"/>
        <v>0</v>
      </c>
      <c r="AD1295" s="78" t="b">
        <f t="shared" si="1158"/>
        <v>0</v>
      </c>
      <c r="AE1295" s="78" t="b">
        <f t="shared" si="1159"/>
        <v>0</v>
      </c>
      <c r="AF1295" s="78" t="b">
        <f t="shared" si="1160"/>
        <v>0</v>
      </c>
      <c r="AG1295" s="78" t="b">
        <f t="shared" si="1161"/>
        <v>0</v>
      </c>
      <c r="AH1295" s="78" t="b">
        <f t="shared" si="1162"/>
        <v>0</v>
      </c>
      <c r="AI1295" s="78" t="b">
        <f t="shared" si="1163"/>
        <v>0</v>
      </c>
      <c r="AJ1295" s="78" t="b">
        <f t="shared" si="1164"/>
        <v>0</v>
      </c>
      <c r="AK1295" s="78" t="b">
        <f t="shared" si="1165"/>
        <v>0</v>
      </c>
      <c r="AL1295" s="78" t="b">
        <f t="shared" si="1166"/>
        <v>0</v>
      </c>
      <c r="AM1295" s="78" t="b">
        <f t="shared" si="1167"/>
        <v>0</v>
      </c>
      <c r="AN1295" s="78" t="b">
        <f t="shared" si="1168"/>
        <v>0</v>
      </c>
      <c r="AO1295" s="78" t="b">
        <f t="shared" si="1169"/>
        <v>0</v>
      </c>
    </row>
    <row r="1296" spans="7:41" x14ac:dyDescent="0.35">
      <c r="G1296" s="77">
        <f t="shared" si="1139"/>
        <v>0</v>
      </c>
      <c r="H1296" s="78">
        <f t="shared" si="1140"/>
        <v>0</v>
      </c>
      <c r="I1296" s="77">
        <f t="shared" si="1141"/>
        <v>0</v>
      </c>
      <c r="J1296" s="78">
        <f t="shared" si="1142"/>
        <v>0</v>
      </c>
      <c r="K1296" s="78" t="str">
        <f t="shared" si="1143"/>
        <v>1900-01-00 00:0:00</v>
      </c>
      <c r="L1296" s="78" t="str">
        <f t="shared" si="1144"/>
        <v>1900-01-00 00:0:00</v>
      </c>
      <c r="M1296" s="79">
        <f t="shared" si="1145"/>
        <v>0</v>
      </c>
      <c r="N1296">
        <f t="shared" si="1170"/>
        <v>1</v>
      </c>
      <c r="O1296" t="str">
        <f>IFERROR(_xlfn.XLOOKUP(A1296,HC!A:A,HC!C:C),"")</f>
        <v>Workforce</v>
      </c>
      <c r="R1296" s="78" t="b">
        <f t="shared" si="1146"/>
        <v>0</v>
      </c>
      <c r="S1296" s="78" t="b">
        <f t="shared" si="1147"/>
        <v>0</v>
      </c>
      <c r="T1296" s="78" t="b">
        <f t="shared" si="1148"/>
        <v>0</v>
      </c>
      <c r="U1296" s="78" t="b">
        <f t="shared" si="1149"/>
        <v>0</v>
      </c>
      <c r="V1296" s="78" t="b">
        <f t="shared" si="1150"/>
        <v>0</v>
      </c>
      <c r="W1296" s="78" t="b">
        <f t="shared" si="1151"/>
        <v>0</v>
      </c>
      <c r="X1296" s="78" t="b">
        <f t="shared" si="1152"/>
        <v>0</v>
      </c>
      <c r="Y1296" s="78" t="b">
        <f t="shared" si="1153"/>
        <v>0</v>
      </c>
      <c r="Z1296" s="78" t="b">
        <f t="shared" si="1154"/>
        <v>0</v>
      </c>
      <c r="AA1296" s="78" t="b">
        <f t="shared" si="1155"/>
        <v>0</v>
      </c>
      <c r="AB1296" s="78" t="b">
        <f t="shared" si="1156"/>
        <v>0</v>
      </c>
      <c r="AC1296" s="78" t="b">
        <f t="shared" si="1157"/>
        <v>0</v>
      </c>
      <c r="AD1296" s="78" t="b">
        <f t="shared" si="1158"/>
        <v>0</v>
      </c>
      <c r="AE1296" s="78" t="b">
        <f t="shared" si="1159"/>
        <v>0</v>
      </c>
      <c r="AF1296" s="78" t="b">
        <f t="shared" si="1160"/>
        <v>0</v>
      </c>
      <c r="AG1296" s="78" t="b">
        <f t="shared" si="1161"/>
        <v>0</v>
      </c>
      <c r="AH1296" s="78" t="b">
        <f t="shared" si="1162"/>
        <v>0</v>
      </c>
      <c r="AI1296" s="78" t="b">
        <f t="shared" si="1163"/>
        <v>0</v>
      </c>
      <c r="AJ1296" s="78" t="b">
        <f t="shared" si="1164"/>
        <v>0</v>
      </c>
      <c r="AK1296" s="78" t="b">
        <f t="shared" si="1165"/>
        <v>0</v>
      </c>
      <c r="AL1296" s="78" t="b">
        <f t="shared" si="1166"/>
        <v>0</v>
      </c>
      <c r="AM1296" s="78" t="b">
        <f t="shared" si="1167"/>
        <v>0</v>
      </c>
      <c r="AN1296" s="78" t="b">
        <f t="shared" si="1168"/>
        <v>0</v>
      </c>
      <c r="AO1296" s="78" t="b">
        <f t="shared" si="1169"/>
        <v>0</v>
      </c>
    </row>
    <row r="1297" spans="7:41" x14ac:dyDescent="0.35">
      <c r="G1297" s="77">
        <f t="shared" si="1139"/>
        <v>0</v>
      </c>
      <c r="H1297" s="78">
        <f t="shared" si="1140"/>
        <v>0</v>
      </c>
      <c r="I1297" s="77">
        <f t="shared" si="1141"/>
        <v>0</v>
      </c>
      <c r="J1297" s="78">
        <f t="shared" si="1142"/>
        <v>0</v>
      </c>
      <c r="K1297" s="78" t="str">
        <f t="shared" si="1143"/>
        <v>1900-01-00 00:0:00</v>
      </c>
      <c r="L1297" s="78" t="str">
        <f t="shared" si="1144"/>
        <v>1900-01-00 00:0:00</v>
      </c>
      <c r="M1297" s="79">
        <f t="shared" si="1145"/>
        <v>0</v>
      </c>
      <c r="N1297">
        <f t="shared" si="1170"/>
        <v>1</v>
      </c>
      <c r="O1297" t="str">
        <f>IFERROR(_xlfn.XLOOKUP(A1297,HC!A:A,HC!C:C),"")</f>
        <v>Workforce</v>
      </c>
      <c r="R1297" s="78" t="b">
        <f t="shared" si="1146"/>
        <v>0</v>
      </c>
      <c r="S1297" s="78" t="b">
        <f t="shared" si="1147"/>
        <v>0</v>
      </c>
      <c r="T1297" s="78" t="b">
        <f t="shared" si="1148"/>
        <v>0</v>
      </c>
      <c r="U1297" s="78" t="b">
        <f t="shared" si="1149"/>
        <v>0</v>
      </c>
      <c r="V1297" s="78" t="b">
        <f t="shared" si="1150"/>
        <v>0</v>
      </c>
      <c r="W1297" s="78" t="b">
        <f t="shared" si="1151"/>
        <v>0</v>
      </c>
      <c r="X1297" s="78" t="b">
        <f t="shared" si="1152"/>
        <v>0</v>
      </c>
      <c r="Y1297" s="78" t="b">
        <f t="shared" si="1153"/>
        <v>0</v>
      </c>
      <c r="Z1297" s="78" t="b">
        <f t="shared" si="1154"/>
        <v>0</v>
      </c>
      <c r="AA1297" s="78" t="b">
        <f t="shared" si="1155"/>
        <v>0</v>
      </c>
      <c r="AB1297" s="78" t="b">
        <f t="shared" si="1156"/>
        <v>0</v>
      </c>
      <c r="AC1297" s="78" t="b">
        <f t="shared" si="1157"/>
        <v>0</v>
      </c>
      <c r="AD1297" s="78" t="b">
        <f t="shared" si="1158"/>
        <v>0</v>
      </c>
      <c r="AE1297" s="78" t="b">
        <f t="shared" si="1159"/>
        <v>0</v>
      </c>
      <c r="AF1297" s="78" t="b">
        <f t="shared" si="1160"/>
        <v>0</v>
      </c>
      <c r="AG1297" s="78" t="b">
        <f t="shared" si="1161"/>
        <v>0</v>
      </c>
      <c r="AH1297" s="78" t="b">
        <f t="shared" si="1162"/>
        <v>0</v>
      </c>
      <c r="AI1297" s="78" t="b">
        <f t="shared" si="1163"/>
        <v>0</v>
      </c>
      <c r="AJ1297" s="78" t="b">
        <f t="shared" si="1164"/>
        <v>0</v>
      </c>
      <c r="AK1297" s="78" t="b">
        <f t="shared" si="1165"/>
        <v>0</v>
      </c>
      <c r="AL1297" s="78" t="b">
        <f t="shared" si="1166"/>
        <v>0</v>
      </c>
      <c r="AM1297" s="78" t="b">
        <f t="shared" si="1167"/>
        <v>0</v>
      </c>
      <c r="AN1297" s="78" t="b">
        <f t="shared" si="1168"/>
        <v>0</v>
      </c>
      <c r="AO1297" s="78" t="b">
        <f t="shared" si="1169"/>
        <v>0</v>
      </c>
    </row>
    <row r="1298" spans="7:41" x14ac:dyDescent="0.35">
      <c r="G1298" s="77">
        <f t="shared" si="1139"/>
        <v>0</v>
      </c>
      <c r="H1298" s="78">
        <f t="shared" si="1140"/>
        <v>0</v>
      </c>
      <c r="I1298" s="77">
        <f t="shared" si="1141"/>
        <v>0</v>
      </c>
      <c r="J1298" s="78">
        <f t="shared" si="1142"/>
        <v>0</v>
      </c>
      <c r="K1298" s="78" t="str">
        <f t="shared" si="1143"/>
        <v>1900-01-00 00:0:00</v>
      </c>
      <c r="L1298" s="78" t="str">
        <f t="shared" si="1144"/>
        <v>1900-01-00 00:0:00</v>
      </c>
      <c r="M1298" s="79">
        <f t="shared" si="1145"/>
        <v>0</v>
      </c>
      <c r="N1298">
        <f t="shared" si="1170"/>
        <v>1</v>
      </c>
      <c r="O1298" t="str">
        <f>IFERROR(_xlfn.XLOOKUP(A1298,HC!A:A,HC!C:C),"")</f>
        <v>Workforce</v>
      </c>
      <c r="R1298" s="78" t="b">
        <f t="shared" si="1146"/>
        <v>0</v>
      </c>
      <c r="S1298" s="78" t="b">
        <f t="shared" si="1147"/>
        <v>0</v>
      </c>
      <c r="T1298" s="78" t="b">
        <f t="shared" si="1148"/>
        <v>0</v>
      </c>
      <c r="U1298" s="78" t="b">
        <f t="shared" si="1149"/>
        <v>0</v>
      </c>
      <c r="V1298" s="78" t="b">
        <f t="shared" si="1150"/>
        <v>0</v>
      </c>
      <c r="W1298" s="78" t="b">
        <f t="shared" si="1151"/>
        <v>0</v>
      </c>
      <c r="X1298" s="78" t="b">
        <f t="shared" si="1152"/>
        <v>0</v>
      </c>
      <c r="Y1298" s="78" t="b">
        <f t="shared" si="1153"/>
        <v>0</v>
      </c>
      <c r="Z1298" s="78" t="b">
        <f t="shared" si="1154"/>
        <v>0</v>
      </c>
      <c r="AA1298" s="78" t="b">
        <f t="shared" si="1155"/>
        <v>0</v>
      </c>
      <c r="AB1298" s="78" t="b">
        <f t="shared" si="1156"/>
        <v>0</v>
      </c>
      <c r="AC1298" s="78" t="b">
        <f t="shared" si="1157"/>
        <v>0</v>
      </c>
      <c r="AD1298" s="78" t="b">
        <f t="shared" si="1158"/>
        <v>0</v>
      </c>
      <c r="AE1298" s="78" t="b">
        <f t="shared" si="1159"/>
        <v>0</v>
      </c>
      <c r="AF1298" s="78" t="b">
        <f t="shared" si="1160"/>
        <v>0</v>
      </c>
      <c r="AG1298" s="78" t="b">
        <f t="shared" si="1161"/>
        <v>0</v>
      </c>
      <c r="AH1298" s="78" t="b">
        <f t="shared" si="1162"/>
        <v>0</v>
      </c>
      <c r="AI1298" s="78" t="b">
        <f t="shared" si="1163"/>
        <v>0</v>
      </c>
      <c r="AJ1298" s="78" t="b">
        <f t="shared" si="1164"/>
        <v>0</v>
      </c>
      <c r="AK1298" s="78" t="b">
        <f t="shared" si="1165"/>
        <v>0</v>
      </c>
      <c r="AL1298" s="78" t="b">
        <f t="shared" si="1166"/>
        <v>0</v>
      </c>
      <c r="AM1298" s="78" t="b">
        <f t="shared" si="1167"/>
        <v>0</v>
      </c>
      <c r="AN1298" s="78" t="b">
        <f t="shared" si="1168"/>
        <v>0</v>
      </c>
      <c r="AO1298" s="78" t="b">
        <f t="shared" si="1169"/>
        <v>0</v>
      </c>
    </row>
    <row r="1299" spans="7:41" x14ac:dyDescent="0.35">
      <c r="G1299" s="77">
        <f t="shared" si="1139"/>
        <v>0</v>
      </c>
      <c r="H1299" s="78">
        <f t="shared" si="1140"/>
        <v>0</v>
      </c>
      <c r="I1299" s="77">
        <f t="shared" si="1141"/>
        <v>0</v>
      </c>
      <c r="J1299" s="78">
        <f t="shared" si="1142"/>
        <v>0</v>
      </c>
      <c r="K1299" s="78" t="str">
        <f t="shared" si="1143"/>
        <v>1900-01-00 00:0:00</v>
      </c>
      <c r="L1299" s="78" t="str">
        <f t="shared" si="1144"/>
        <v>1900-01-00 00:0:00</v>
      </c>
      <c r="M1299" s="79">
        <f t="shared" si="1145"/>
        <v>0</v>
      </c>
      <c r="N1299">
        <f t="shared" si="1170"/>
        <v>1</v>
      </c>
      <c r="O1299" t="str">
        <f>IFERROR(_xlfn.XLOOKUP(A1299,HC!A:A,HC!C:C),"")</f>
        <v>Workforce</v>
      </c>
      <c r="R1299" s="78" t="b">
        <f t="shared" si="1146"/>
        <v>0</v>
      </c>
      <c r="S1299" s="78" t="b">
        <f t="shared" si="1147"/>
        <v>0</v>
      </c>
      <c r="T1299" s="78" t="b">
        <f t="shared" si="1148"/>
        <v>0</v>
      </c>
      <c r="U1299" s="78" t="b">
        <f t="shared" si="1149"/>
        <v>0</v>
      </c>
      <c r="V1299" s="78" t="b">
        <f t="shared" si="1150"/>
        <v>0</v>
      </c>
      <c r="W1299" s="78" t="b">
        <f t="shared" si="1151"/>
        <v>0</v>
      </c>
      <c r="X1299" s="78" t="b">
        <f t="shared" si="1152"/>
        <v>0</v>
      </c>
      <c r="Y1299" s="78" t="b">
        <f t="shared" si="1153"/>
        <v>0</v>
      </c>
      <c r="Z1299" s="78" t="b">
        <f t="shared" si="1154"/>
        <v>0</v>
      </c>
      <c r="AA1299" s="78" t="b">
        <f t="shared" si="1155"/>
        <v>0</v>
      </c>
      <c r="AB1299" s="78" t="b">
        <f t="shared" si="1156"/>
        <v>0</v>
      </c>
      <c r="AC1299" s="78" t="b">
        <f t="shared" si="1157"/>
        <v>0</v>
      </c>
      <c r="AD1299" s="78" t="b">
        <f t="shared" si="1158"/>
        <v>0</v>
      </c>
      <c r="AE1299" s="78" t="b">
        <f t="shared" si="1159"/>
        <v>0</v>
      </c>
      <c r="AF1299" s="78" t="b">
        <f t="shared" si="1160"/>
        <v>0</v>
      </c>
      <c r="AG1299" s="78" t="b">
        <f t="shared" si="1161"/>
        <v>0</v>
      </c>
      <c r="AH1299" s="78" t="b">
        <f t="shared" si="1162"/>
        <v>0</v>
      </c>
      <c r="AI1299" s="78" t="b">
        <f t="shared" si="1163"/>
        <v>0</v>
      </c>
      <c r="AJ1299" s="78" t="b">
        <f t="shared" si="1164"/>
        <v>0</v>
      </c>
      <c r="AK1299" s="78" t="b">
        <f t="shared" si="1165"/>
        <v>0</v>
      </c>
      <c r="AL1299" s="78" t="b">
        <f t="shared" si="1166"/>
        <v>0</v>
      </c>
      <c r="AM1299" s="78" t="b">
        <f t="shared" si="1167"/>
        <v>0</v>
      </c>
      <c r="AN1299" s="78" t="b">
        <f t="shared" si="1168"/>
        <v>0</v>
      </c>
      <c r="AO1299" s="78" t="b">
        <f t="shared" si="1169"/>
        <v>0</v>
      </c>
    </row>
    <row r="1300" spans="7:41" x14ac:dyDescent="0.35">
      <c r="G1300" s="77">
        <f t="shared" si="1139"/>
        <v>0</v>
      </c>
      <c r="H1300" s="78">
        <f t="shared" si="1140"/>
        <v>0</v>
      </c>
      <c r="I1300" s="77">
        <f t="shared" si="1141"/>
        <v>0</v>
      </c>
      <c r="J1300" s="78">
        <f t="shared" si="1142"/>
        <v>0</v>
      </c>
      <c r="K1300" s="78" t="str">
        <f t="shared" si="1143"/>
        <v>1900-01-00 00:0:00</v>
      </c>
      <c r="L1300" s="78" t="str">
        <f t="shared" si="1144"/>
        <v>1900-01-00 00:0:00</v>
      </c>
      <c r="M1300" s="79">
        <f t="shared" si="1145"/>
        <v>0</v>
      </c>
      <c r="N1300">
        <f t="shared" si="1170"/>
        <v>1</v>
      </c>
      <c r="O1300" t="str">
        <f>IFERROR(_xlfn.XLOOKUP(A1300,HC!A:A,HC!C:C),"")</f>
        <v>Workforce</v>
      </c>
      <c r="R1300" s="78" t="b">
        <f t="shared" si="1146"/>
        <v>0</v>
      </c>
      <c r="S1300" s="78" t="b">
        <f t="shared" si="1147"/>
        <v>0</v>
      </c>
      <c r="T1300" s="78" t="b">
        <f t="shared" si="1148"/>
        <v>0</v>
      </c>
      <c r="U1300" s="78" t="b">
        <f t="shared" si="1149"/>
        <v>0</v>
      </c>
      <c r="V1300" s="78" t="b">
        <f t="shared" si="1150"/>
        <v>0</v>
      </c>
      <c r="W1300" s="78" t="b">
        <f t="shared" si="1151"/>
        <v>0</v>
      </c>
      <c r="X1300" s="78" t="b">
        <f t="shared" si="1152"/>
        <v>0</v>
      </c>
      <c r="Y1300" s="78" t="b">
        <f t="shared" si="1153"/>
        <v>0</v>
      </c>
      <c r="Z1300" s="78" t="b">
        <f t="shared" si="1154"/>
        <v>0</v>
      </c>
      <c r="AA1300" s="78" t="b">
        <f t="shared" si="1155"/>
        <v>0</v>
      </c>
      <c r="AB1300" s="78" t="b">
        <f t="shared" si="1156"/>
        <v>0</v>
      </c>
      <c r="AC1300" s="78" t="b">
        <f t="shared" si="1157"/>
        <v>0</v>
      </c>
      <c r="AD1300" s="78" t="b">
        <f t="shared" si="1158"/>
        <v>0</v>
      </c>
      <c r="AE1300" s="78" t="b">
        <f t="shared" si="1159"/>
        <v>0</v>
      </c>
      <c r="AF1300" s="78" t="b">
        <f t="shared" si="1160"/>
        <v>0</v>
      </c>
      <c r="AG1300" s="78" t="b">
        <f t="shared" si="1161"/>
        <v>0</v>
      </c>
      <c r="AH1300" s="78" t="b">
        <f t="shared" si="1162"/>
        <v>0</v>
      </c>
      <c r="AI1300" s="78" t="b">
        <f t="shared" si="1163"/>
        <v>0</v>
      </c>
      <c r="AJ1300" s="78" t="b">
        <f t="shared" si="1164"/>
        <v>0</v>
      </c>
      <c r="AK1300" s="78" t="b">
        <f t="shared" si="1165"/>
        <v>0</v>
      </c>
      <c r="AL1300" s="78" t="b">
        <f t="shared" si="1166"/>
        <v>0</v>
      </c>
      <c r="AM1300" s="78" t="b">
        <f t="shared" si="1167"/>
        <v>0</v>
      </c>
      <c r="AN1300" s="78" t="b">
        <f t="shared" si="1168"/>
        <v>0</v>
      </c>
      <c r="AO1300" s="78" t="b">
        <f t="shared" si="1169"/>
        <v>0</v>
      </c>
    </row>
    <row r="1301" spans="7:41" x14ac:dyDescent="0.35">
      <c r="G1301" s="77">
        <f t="shared" si="1139"/>
        <v>0</v>
      </c>
      <c r="H1301" s="78">
        <f t="shared" si="1140"/>
        <v>0</v>
      </c>
      <c r="I1301" s="77">
        <f t="shared" si="1141"/>
        <v>0</v>
      </c>
      <c r="J1301" s="78">
        <f t="shared" si="1142"/>
        <v>0</v>
      </c>
      <c r="K1301" s="78" t="str">
        <f t="shared" si="1143"/>
        <v>1900-01-00 00:0:00</v>
      </c>
      <c r="L1301" s="78" t="str">
        <f t="shared" si="1144"/>
        <v>1900-01-00 00:0:00</v>
      </c>
      <c r="M1301" s="79">
        <f t="shared" si="1145"/>
        <v>0</v>
      </c>
      <c r="N1301">
        <f t="shared" si="1170"/>
        <v>1</v>
      </c>
      <c r="O1301" t="str">
        <f>IFERROR(_xlfn.XLOOKUP(A1301,HC!A:A,HC!C:C),"")</f>
        <v>Workforce</v>
      </c>
      <c r="R1301" s="78" t="b">
        <f t="shared" si="1146"/>
        <v>0</v>
      </c>
      <c r="S1301" s="78" t="b">
        <f t="shared" si="1147"/>
        <v>0</v>
      </c>
      <c r="T1301" s="78" t="b">
        <f t="shared" si="1148"/>
        <v>0</v>
      </c>
      <c r="U1301" s="78" t="b">
        <f t="shared" si="1149"/>
        <v>0</v>
      </c>
      <c r="V1301" s="78" t="b">
        <f t="shared" si="1150"/>
        <v>0</v>
      </c>
      <c r="W1301" s="78" t="b">
        <f t="shared" si="1151"/>
        <v>0</v>
      </c>
      <c r="X1301" s="78" t="b">
        <f t="shared" si="1152"/>
        <v>0</v>
      </c>
      <c r="Y1301" s="78" t="b">
        <f t="shared" si="1153"/>
        <v>0</v>
      </c>
      <c r="Z1301" s="78" t="b">
        <f t="shared" si="1154"/>
        <v>0</v>
      </c>
      <c r="AA1301" s="78" t="b">
        <f t="shared" si="1155"/>
        <v>0</v>
      </c>
      <c r="AB1301" s="78" t="b">
        <f t="shared" si="1156"/>
        <v>0</v>
      </c>
      <c r="AC1301" s="78" t="b">
        <f t="shared" si="1157"/>
        <v>0</v>
      </c>
      <c r="AD1301" s="78" t="b">
        <f t="shared" si="1158"/>
        <v>0</v>
      </c>
      <c r="AE1301" s="78" t="b">
        <f t="shared" si="1159"/>
        <v>0</v>
      </c>
      <c r="AF1301" s="78" t="b">
        <f t="shared" si="1160"/>
        <v>0</v>
      </c>
      <c r="AG1301" s="78" t="b">
        <f t="shared" si="1161"/>
        <v>0</v>
      </c>
      <c r="AH1301" s="78" t="b">
        <f t="shared" si="1162"/>
        <v>0</v>
      </c>
      <c r="AI1301" s="78" t="b">
        <f t="shared" si="1163"/>
        <v>0</v>
      </c>
      <c r="AJ1301" s="78" t="b">
        <f t="shared" si="1164"/>
        <v>0</v>
      </c>
      <c r="AK1301" s="78" t="b">
        <f t="shared" si="1165"/>
        <v>0</v>
      </c>
      <c r="AL1301" s="78" t="b">
        <f t="shared" si="1166"/>
        <v>0</v>
      </c>
      <c r="AM1301" s="78" t="b">
        <f t="shared" si="1167"/>
        <v>0</v>
      </c>
      <c r="AN1301" s="78" t="b">
        <f t="shared" si="1168"/>
        <v>0</v>
      </c>
      <c r="AO1301" s="78" t="b">
        <f t="shared" si="1169"/>
        <v>0</v>
      </c>
    </row>
    <row r="1302" spans="7:41" x14ac:dyDescent="0.35">
      <c r="G1302" s="77">
        <f t="shared" si="1139"/>
        <v>0</v>
      </c>
      <c r="H1302" s="78">
        <f t="shared" si="1140"/>
        <v>0</v>
      </c>
      <c r="I1302" s="77">
        <f t="shared" si="1141"/>
        <v>0</v>
      </c>
      <c r="J1302" s="78">
        <f t="shared" si="1142"/>
        <v>0</v>
      </c>
      <c r="K1302" s="78" t="str">
        <f t="shared" si="1143"/>
        <v>1900-01-00 00:0:00</v>
      </c>
      <c r="L1302" s="78" t="str">
        <f t="shared" si="1144"/>
        <v>1900-01-00 00:0:00</v>
      </c>
      <c r="M1302" s="79">
        <f t="shared" si="1145"/>
        <v>0</v>
      </c>
      <c r="N1302">
        <f t="shared" si="1170"/>
        <v>1</v>
      </c>
      <c r="O1302" t="str">
        <f>IFERROR(_xlfn.XLOOKUP(A1302,HC!A:A,HC!C:C),"")</f>
        <v>Workforce</v>
      </c>
      <c r="R1302" s="78" t="b">
        <f t="shared" si="1146"/>
        <v>0</v>
      </c>
      <c r="S1302" s="78" t="b">
        <f t="shared" si="1147"/>
        <v>0</v>
      </c>
      <c r="T1302" s="78" t="b">
        <f t="shared" si="1148"/>
        <v>0</v>
      </c>
      <c r="U1302" s="78" t="b">
        <f t="shared" si="1149"/>
        <v>0</v>
      </c>
      <c r="V1302" s="78" t="b">
        <f t="shared" si="1150"/>
        <v>0</v>
      </c>
      <c r="W1302" s="78" t="b">
        <f t="shared" si="1151"/>
        <v>0</v>
      </c>
      <c r="X1302" s="78" t="b">
        <f t="shared" si="1152"/>
        <v>0</v>
      </c>
      <c r="Y1302" s="78" t="b">
        <f t="shared" si="1153"/>
        <v>0</v>
      </c>
      <c r="Z1302" s="78" t="b">
        <f t="shared" si="1154"/>
        <v>0</v>
      </c>
      <c r="AA1302" s="78" t="b">
        <f t="shared" si="1155"/>
        <v>0</v>
      </c>
      <c r="AB1302" s="78" t="b">
        <f t="shared" si="1156"/>
        <v>0</v>
      </c>
      <c r="AC1302" s="78" t="b">
        <f t="shared" si="1157"/>
        <v>0</v>
      </c>
      <c r="AD1302" s="78" t="b">
        <f t="shared" si="1158"/>
        <v>0</v>
      </c>
      <c r="AE1302" s="78" t="b">
        <f t="shared" si="1159"/>
        <v>0</v>
      </c>
      <c r="AF1302" s="78" t="b">
        <f t="shared" si="1160"/>
        <v>0</v>
      </c>
      <c r="AG1302" s="78" t="b">
        <f t="shared" si="1161"/>
        <v>0</v>
      </c>
      <c r="AH1302" s="78" t="b">
        <f t="shared" si="1162"/>
        <v>0</v>
      </c>
      <c r="AI1302" s="78" t="b">
        <f t="shared" si="1163"/>
        <v>0</v>
      </c>
      <c r="AJ1302" s="78" t="b">
        <f t="shared" si="1164"/>
        <v>0</v>
      </c>
      <c r="AK1302" s="78" t="b">
        <f t="shared" si="1165"/>
        <v>0</v>
      </c>
      <c r="AL1302" s="78" t="b">
        <f t="shared" si="1166"/>
        <v>0</v>
      </c>
      <c r="AM1302" s="78" t="b">
        <f t="shared" si="1167"/>
        <v>0</v>
      </c>
      <c r="AN1302" s="78" t="b">
        <f t="shared" si="1168"/>
        <v>0</v>
      </c>
      <c r="AO1302" s="78" t="b">
        <f t="shared" si="1169"/>
        <v>0</v>
      </c>
    </row>
    <row r="1303" spans="7:41" x14ac:dyDescent="0.35">
      <c r="G1303" s="77">
        <f t="shared" si="1139"/>
        <v>0</v>
      </c>
      <c r="H1303" s="78">
        <f t="shared" si="1140"/>
        <v>0</v>
      </c>
      <c r="I1303" s="77">
        <f t="shared" si="1141"/>
        <v>0</v>
      </c>
      <c r="J1303" s="78">
        <f t="shared" si="1142"/>
        <v>0</v>
      </c>
      <c r="K1303" s="78" t="str">
        <f t="shared" si="1143"/>
        <v>1900-01-00 00:0:00</v>
      </c>
      <c r="L1303" s="78" t="str">
        <f t="shared" si="1144"/>
        <v>1900-01-00 00:0:00</v>
      </c>
      <c r="M1303" s="79">
        <f t="shared" si="1145"/>
        <v>0</v>
      </c>
      <c r="N1303">
        <f t="shared" si="1170"/>
        <v>1</v>
      </c>
      <c r="O1303" t="str">
        <f>IFERROR(_xlfn.XLOOKUP(A1303,HC!A:A,HC!C:C),"")</f>
        <v>Workforce</v>
      </c>
      <c r="R1303" s="78" t="b">
        <f t="shared" si="1146"/>
        <v>0</v>
      </c>
      <c r="S1303" s="78" t="b">
        <f t="shared" si="1147"/>
        <v>0</v>
      </c>
      <c r="T1303" s="78" t="b">
        <f t="shared" si="1148"/>
        <v>0</v>
      </c>
      <c r="U1303" s="78" t="b">
        <f t="shared" si="1149"/>
        <v>0</v>
      </c>
      <c r="V1303" s="78" t="b">
        <f t="shared" si="1150"/>
        <v>0</v>
      </c>
      <c r="W1303" s="78" t="b">
        <f t="shared" si="1151"/>
        <v>0</v>
      </c>
      <c r="X1303" s="78" t="b">
        <f t="shared" si="1152"/>
        <v>0</v>
      </c>
      <c r="Y1303" s="78" t="b">
        <f t="shared" si="1153"/>
        <v>0</v>
      </c>
      <c r="Z1303" s="78" t="b">
        <f t="shared" si="1154"/>
        <v>0</v>
      </c>
      <c r="AA1303" s="78" t="b">
        <f t="shared" si="1155"/>
        <v>0</v>
      </c>
      <c r="AB1303" s="78" t="b">
        <f t="shared" si="1156"/>
        <v>0</v>
      </c>
      <c r="AC1303" s="78" t="b">
        <f t="shared" si="1157"/>
        <v>0</v>
      </c>
      <c r="AD1303" s="78" t="b">
        <f t="shared" si="1158"/>
        <v>0</v>
      </c>
      <c r="AE1303" s="78" t="b">
        <f t="shared" si="1159"/>
        <v>0</v>
      </c>
      <c r="AF1303" s="78" t="b">
        <f t="shared" si="1160"/>
        <v>0</v>
      </c>
      <c r="AG1303" s="78" t="b">
        <f t="shared" si="1161"/>
        <v>0</v>
      </c>
      <c r="AH1303" s="78" t="b">
        <f t="shared" si="1162"/>
        <v>0</v>
      </c>
      <c r="AI1303" s="78" t="b">
        <f t="shared" si="1163"/>
        <v>0</v>
      </c>
      <c r="AJ1303" s="78" t="b">
        <f t="shared" si="1164"/>
        <v>0</v>
      </c>
      <c r="AK1303" s="78" t="b">
        <f t="shared" si="1165"/>
        <v>0</v>
      </c>
      <c r="AL1303" s="78" t="b">
        <f t="shared" si="1166"/>
        <v>0</v>
      </c>
      <c r="AM1303" s="78" t="b">
        <f t="shared" si="1167"/>
        <v>0</v>
      </c>
      <c r="AN1303" s="78" t="b">
        <f t="shared" si="1168"/>
        <v>0</v>
      </c>
      <c r="AO1303" s="78" t="b">
        <f t="shared" si="1169"/>
        <v>0</v>
      </c>
    </row>
    <row r="1304" spans="7:41" x14ac:dyDescent="0.35">
      <c r="G1304" s="77">
        <f t="shared" si="1139"/>
        <v>0</v>
      </c>
      <c r="H1304" s="78">
        <f t="shared" si="1140"/>
        <v>0</v>
      </c>
      <c r="I1304" s="77">
        <f t="shared" si="1141"/>
        <v>0</v>
      </c>
      <c r="J1304" s="78">
        <f t="shared" si="1142"/>
        <v>0</v>
      </c>
      <c r="K1304" s="78" t="str">
        <f t="shared" si="1143"/>
        <v>1900-01-00 00:0:00</v>
      </c>
      <c r="L1304" s="78" t="str">
        <f t="shared" si="1144"/>
        <v>1900-01-00 00:0:00</v>
      </c>
      <c r="M1304" s="79">
        <f t="shared" si="1145"/>
        <v>0</v>
      </c>
      <c r="N1304">
        <f t="shared" si="1170"/>
        <v>1</v>
      </c>
      <c r="O1304" t="str">
        <f>IFERROR(_xlfn.XLOOKUP(A1304,HC!A:A,HC!C:C),"")</f>
        <v>Workforce</v>
      </c>
      <c r="R1304" s="78" t="b">
        <f t="shared" si="1146"/>
        <v>0</v>
      </c>
      <c r="S1304" s="78" t="b">
        <f t="shared" si="1147"/>
        <v>0</v>
      </c>
      <c r="T1304" s="78" t="b">
        <f t="shared" si="1148"/>
        <v>0</v>
      </c>
      <c r="U1304" s="78" t="b">
        <f t="shared" si="1149"/>
        <v>0</v>
      </c>
      <c r="V1304" s="78" t="b">
        <f t="shared" si="1150"/>
        <v>0</v>
      </c>
      <c r="W1304" s="78" t="b">
        <f t="shared" si="1151"/>
        <v>0</v>
      </c>
      <c r="X1304" s="78" t="b">
        <f t="shared" si="1152"/>
        <v>0</v>
      </c>
      <c r="Y1304" s="78" t="b">
        <f t="shared" si="1153"/>
        <v>0</v>
      </c>
      <c r="Z1304" s="78" t="b">
        <f t="shared" si="1154"/>
        <v>0</v>
      </c>
      <c r="AA1304" s="78" t="b">
        <f t="shared" si="1155"/>
        <v>0</v>
      </c>
      <c r="AB1304" s="78" t="b">
        <f t="shared" si="1156"/>
        <v>0</v>
      </c>
      <c r="AC1304" s="78" t="b">
        <f t="shared" si="1157"/>
        <v>0</v>
      </c>
      <c r="AD1304" s="78" t="b">
        <f t="shared" si="1158"/>
        <v>0</v>
      </c>
      <c r="AE1304" s="78" t="b">
        <f t="shared" si="1159"/>
        <v>0</v>
      </c>
      <c r="AF1304" s="78" t="b">
        <f t="shared" si="1160"/>
        <v>0</v>
      </c>
      <c r="AG1304" s="78" t="b">
        <f t="shared" si="1161"/>
        <v>0</v>
      </c>
      <c r="AH1304" s="78" t="b">
        <f t="shared" si="1162"/>
        <v>0</v>
      </c>
      <c r="AI1304" s="78" t="b">
        <f t="shared" si="1163"/>
        <v>0</v>
      </c>
      <c r="AJ1304" s="78" t="b">
        <f t="shared" si="1164"/>
        <v>0</v>
      </c>
      <c r="AK1304" s="78" t="b">
        <f t="shared" si="1165"/>
        <v>0</v>
      </c>
      <c r="AL1304" s="78" t="b">
        <f t="shared" si="1166"/>
        <v>0</v>
      </c>
      <c r="AM1304" s="78" t="b">
        <f t="shared" si="1167"/>
        <v>0</v>
      </c>
      <c r="AN1304" s="78" t="b">
        <f t="shared" si="1168"/>
        <v>0</v>
      </c>
      <c r="AO1304" s="78" t="b">
        <f t="shared" si="1169"/>
        <v>0</v>
      </c>
    </row>
    <row r="1305" spans="7:41" x14ac:dyDescent="0.35">
      <c r="G1305" s="77">
        <f t="shared" si="1139"/>
        <v>0</v>
      </c>
      <c r="H1305" s="78">
        <f t="shared" si="1140"/>
        <v>0</v>
      </c>
      <c r="I1305" s="77">
        <f t="shared" si="1141"/>
        <v>0</v>
      </c>
      <c r="J1305" s="78">
        <f t="shared" si="1142"/>
        <v>0</v>
      </c>
      <c r="K1305" s="78" t="str">
        <f t="shared" si="1143"/>
        <v>1900-01-00 00:0:00</v>
      </c>
      <c r="L1305" s="78" t="str">
        <f t="shared" si="1144"/>
        <v>1900-01-00 00:0:00</v>
      </c>
      <c r="M1305" s="79">
        <f t="shared" si="1145"/>
        <v>0</v>
      </c>
      <c r="N1305">
        <f t="shared" si="1170"/>
        <v>1</v>
      </c>
      <c r="O1305" t="str">
        <f>IFERROR(_xlfn.XLOOKUP(A1305,HC!A:A,HC!C:C),"")</f>
        <v>Workforce</v>
      </c>
      <c r="R1305" s="78" t="b">
        <f t="shared" si="1146"/>
        <v>0</v>
      </c>
      <c r="S1305" s="78" t="b">
        <f t="shared" si="1147"/>
        <v>0</v>
      </c>
      <c r="T1305" s="78" t="b">
        <f t="shared" si="1148"/>
        <v>0</v>
      </c>
      <c r="U1305" s="78" t="b">
        <f t="shared" si="1149"/>
        <v>0</v>
      </c>
      <c r="V1305" s="78" t="b">
        <f t="shared" si="1150"/>
        <v>0</v>
      </c>
      <c r="W1305" s="78" t="b">
        <f t="shared" si="1151"/>
        <v>0</v>
      </c>
      <c r="X1305" s="78" t="b">
        <f t="shared" si="1152"/>
        <v>0</v>
      </c>
      <c r="Y1305" s="78" t="b">
        <f t="shared" si="1153"/>
        <v>0</v>
      </c>
      <c r="Z1305" s="78" t="b">
        <f t="shared" si="1154"/>
        <v>0</v>
      </c>
      <c r="AA1305" s="78" t="b">
        <f t="shared" si="1155"/>
        <v>0</v>
      </c>
      <c r="AB1305" s="78" t="b">
        <f t="shared" si="1156"/>
        <v>0</v>
      </c>
      <c r="AC1305" s="78" t="b">
        <f t="shared" si="1157"/>
        <v>0</v>
      </c>
      <c r="AD1305" s="78" t="b">
        <f t="shared" si="1158"/>
        <v>0</v>
      </c>
      <c r="AE1305" s="78" t="b">
        <f t="shared" si="1159"/>
        <v>0</v>
      </c>
      <c r="AF1305" s="78" t="b">
        <f t="shared" si="1160"/>
        <v>0</v>
      </c>
      <c r="AG1305" s="78" t="b">
        <f t="shared" si="1161"/>
        <v>0</v>
      </c>
      <c r="AH1305" s="78" t="b">
        <f t="shared" si="1162"/>
        <v>0</v>
      </c>
      <c r="AI1305" s="78" t="b">
        <f t="shared" si="1163"/>
        <v>0</v>
      </c>
      <c r="AJ1305" s="78" t="b">
        <f t="shared" si="1164"/>
        <v>0</v>
      </c>
      <c r="AK1305" s="78" t="b">
        <f t="shared" si="1165"/>
        <v>0</v>
      </c>
      <c r="AL1305" s="78" t="b">
        <f t="shared" si="1166"/>
        <v>0</v>
      </c>
      <c r="AM1305" s="78" t="b">
        <f t="shared" si="1167"/>
        <v>0</v>
      </c>
      <c r="AN1305" s="78" t="b">
        <f t="shared" si="1168"/>
        <v>0</v>
      </c>
      <c r="AO1305" s="78" t="b">
        <f t="shared" si="1169"/>
        <v>0</v>
      </c>
    </row>
    <row r="1306" spans="7:41" x14ac:dyDescent="0.35">
      <c r="G1306" s="77">
        <f t="shared" si="1139"/>
        <v>0</v>
      </c>
      <c r="H1306" s="78">
        <f t="shared" si="1140"/>
        <v>0</v>
      </c>
      <c r="I1306" s="77">
        <f t="shared" si="1141"/>
        <v>0</v>
      </c>
      <c r="J1306" s="78">
        <f t="shared" si="1142"/>
        <v>0</v>
      </c>
      <c r="K1306" s="78" t="str">
        <f t="shared" si="1143"/>
        <v>1900-01-00 00:0:00</v>
      </c>
      <c r="L1306" s="78" t="str">
        <f t="shared" si="1144"/>
        <v>1900-01-00 00:0:00</v>
      </c>
      <c r="M1306" s="79">
        <f t="shared" si="1145"/>
        <v>0</v>
      </c>
      <c r="N1306">
        <f t="shared" si="1170"/>
        <v>1</v>
      </c>
      <c r="O1306" t="str">
        <f>IFERROR(_xlfn.XLOOKUP(A1306,HC!A:A,HC!C:C),"")</f>
        <v>Workforce</v>
      </c>
      <c r="R1306" s="78" t="b">
        <f t="shared" si="1146"/>
        <v>0</v>
      </c>
      <c r="S1306" s="78" t="b">
        <f t="shared" si="1147"/>
        <v>0</v>
      </c>
      <c r="T1306" s="78" t="b">
        <f t="shared" si="1148"/>
        <v>0</v>
      </c>
      <c r="U1306" s="78" t="b">
        <f t="shared" si="1149"/>
        <v>0</v>
      </c>
      <c r="V1306" s="78" t="b">
        <f t="shared" si="1150"/>
        <v>0</v>
      </c>
      <c r="W1306" s="78" t="b">
        <f t="shared" si="1151"/>
        <v>0</v>
      </c>
      <c r="X1306" s="78" t="b">
        <f t="shared" si="1152"/>
        <v>0</v>
      </c>
      <c r="Y1306" s="78" t="b">
        <f t="shared" si="1153"/>
        <v>0</v>
      </c>
      <c r="Z1306" s="78" t="b">
        <f t="shared" si="1154"/>
        <v>0</v>
      </c>
      <c r="AA1306" s="78" t="b">
        <f t="shared" si="1155"/>
        <v>0</v>
      </c>
      <c r="AB1306" s="78" t="b">
        <f t="shared" si="1156"/>
        <v>0</v>
      </c>
      <c r="AC1306" s="78" t="b">
        <f t="shared" si="1157"/>
        <v>0</v>
      </c>
      <c r="AD1306" s="78" t="b">
        <f t="shared" si="1158"/>
        <v>0</v>
      </c>
      <c r="AE1306" s="78" t="b">
        <f t="shared" si="1159"/>
        <v>0</v>
      </c>
      <c r="AF1306" s="78" t="b">
        <f t="shared" si="1160"/>
        <v>0</v>
      </c>
      <c r="AG1306" s="78" t="b">
        <f t="shared" si="1161"/>
        <v>0</v>
      </c>
      <c r="AH1306" s="78" t="b">
        <f t="shared" si="1162"/>
        <v>0</v>
      </c>
      <c r="AI1306" s="78" t="b">
        <f t="shared" si="1163"/>
        <v>0</v>
      </c>
      <c r="AJ1306" s="78" t="b">
        <f t="shared" si="1164"/>
        <v>0</v>
      </c>
      <c r="AK1306" s="78" t="b">
        <f t="shared" si="1165"/>
        <v>0</v>
      </c>
      <c r="AL1306" s="78" t="b">
        <f t="shared" si="1166"/>
        <v>0</v>
      </c>
      <c r="AM1306" s="78" t="b">
        <f t="shared" si="1167"/>
        <v>0</v>
      </c>
      <c r="AN1306" s="78" t="b">
        <f t="shared" si="1168"/>
        <v>0</v>
      </c>
      <c r="AO1306" s="78" t="b">
        <f t="shared" si="1169"/>
        <v>0</v>
      </c>
    </row>
    <row r="1307" spans="7:41" x14ac:dyDescent="0.35">
      <c r="G1307" s="77">
        <f t="shared" si="1139"/>
        <v>0</v>
      </c>
      <c r="H1307" s="78">
        <f t="shared" si="1140"/>
        <v>0</v>
      </c>
      <c r="I1307" s="77">
        <f t="shared" si="1141"/>
        <v>0</v>
      </c>
      <c r="J1307" s="78">
        <f t="shared" si="1142"/>
        <v>0</v>
      </c>
      <c r="K1307" s="78" t="str">
        <f t="shared" si="1143"/>
        <v>1900-01-00 00:0:00</v>
      </c>
      <c r="L1307" s="78" t="str">
        <f t="shared" si="1144"/>
        <v>1900-01-00 00:0:00</v>
      </c>
      <c r="M1307" s="79">
        <f t="shared" si="1145"/>
        <v>0</v>
      </c>
      <c r="N1307">
        <f t="shared" si="1170"/>
        <v>1</v>
      </c>
      <c r="O1307" t="str">
        <f>IFERROR(_xlfn.XLOOKUP(A1307,HC!A:A,HC!C:C),"")</f>
        <v>Workforce</v>
      </c>
      <c r="R1307" s="78" t="b">
        <f t="shared" si="1146"/>
        <v>0</v>
      </c>
      <c r="S1307" s="78" t="b">
        <f t="shared" si="1147"/>
        <v>0</v>
      </c>
      <c r="T1307" s="78" t="b">
        <f t="shared" si="1148"/>
        <v>0</v>
      </c>
      <c r="U1307" s="78" t="b">
        <f t="shared" si="1149"/>
        <v>0</v>
      </c>
      <c r="V1307" s="78" t="b">
        <f t="shared" si="1150"/>
        <v>0</v>
      </c>
      <c r="W1307" s="78" t="b">
        <f t="shared" si="1151"/>
        <v>0</v>
      </c>
      <c r="X1307" s="78" t="b">
        <f t="shared" si="1152"/>
        <v>0</v>
      </c>
      <c r="Y1307" s="78" t="b">
        <f t="shared" si="1153"/>
        <v>0</v>
      </c>
      <c r="Z1307" s="78" t="b">
        <f t="shared" si="1154"/>
        <v>0</v>
      </c>
      <c r="AA1307" s="78" t="b">
        <f t="shared" si="1155"/>
        <v>0</v>
      </c>
      <c r="AB1307" s="78" t="b">
        <f t="shared" si="1156"/>
        <v>0</v>
      </c>
      <c r="AC1307" s="78" t="b">
        <f t="shared" si="1157"/>
        <v>0</v>
      </c>
      <c r="AD1307" s="78" t="b">
        <f t="shared" si="1158"/>
        <v>0</v>
      </c>
      <c r="AE1307" s="78" t="b">
        <f t="shared" si="1159"/>
        <v>0</v>
      </c>
      <c r="AF1307" s="78" t="b">
        <f t="shared" si="1160"/>
        <v>0</v>
      </c>
      <c r="AG1307" s="78" t="b">
        <f t="shared" si="1161"/>
        <v>0</v>
      </c>
      <c r="AH1307" s="78" t="b">
        <f t="shared" si="1162"/>
        <v>0</v>
      </c>
      <c r="AI1307" s="78" t="b">
        <f t="shared" si="1163"/>
        <v>0</v>
      </c>
      <c r="AJ1307" s="78" t="b">
        <f t="shared" si="1164"/>
        <v>0</v>
      </c>
      <c r="AK1307" s="78" t="b">
        <f t="shared" si="1165"/>
        <v>0</v>
      </c>
      <c r="AL1307" s="78" t="b">
        <f t="shared" si="1166"/>
        <v>0</v>
      </c>
      <c r="AM1307" s="78" t="b">
        <f t="shared" si="1167"/>
        <v>0</v>
      </c>
      <c r="AN1307" s="78" t="b">
        <f t="shared" si="1168"/>
        <v>0</v>
      </c>
      <c r="AO1307" s="78" t="b">
        <f t="shared" si="1169"/>
        <v>0</v>
      </c>
    </row>
    <row r="1308" spans="7:41" x14ac:dyDescent="0.35">
      <c r="G1308" s="77">
        <f t="shared" si="1139"/>
        <v>0</v>
      </c>
      <c r="H1308" s="78">
        <f t="shared" si="1140"/>
        <v>0</v>
      </c>
      <c r="I1308" s="77">
        <f t="shared" si="1141"/>
        <v>0</v>
      </c>
      <c r="J1308" s="78">
        <f t="shared" si="1142"/>
        <v>0</v>
      </c>
      <c r="K1308" s="78" t="str">
        <f t="shared" si="1143"/>
        <v>1900-01-00 00:0:00</v>
      </c>
      <c r="L1308" s="78" t="str">
        <f t="shared" si="1144"/>
        <v>1900-01-00 00:0:00</v>
      </c>
      <c r="M1308" s="79">
        <f t="shared" si="1145"/>
        <v>0</v>
      </c>
      <c r="N1308">
        <f t="shared" si="1170"/>
        <v>1</v>
      </c>
      <c r="O1308" t="str">
        <f>IFERROR(_xlfn.XLOOKUP(A1308,HC!A:A,HC!C:C),"")</f>
        <v>Workforce</v>
      </c>
      <c r="R1308" s="78" t="b">
        <f t="shared" si="1146"/>
        <v>0</v>
      </c>
      <c r="S1308" s="78" t="b">
        <f t="shared" si="1147"/>
        <v>0</v>
      </c>
      <c r="T1308" s="78" t="b">
        <f t="shared" si="1148"/>
        <v>0</v>
      </c>
      <c r="U1308" s="78" t="b">
        <f t="shared" si="1149"/>
        <v>0</v>
      </c>
      <c r="V1308" s="78" t="b">
        <f t="shared" si="1150"/>
        <v>0</v>
      </c>
      <c r="W1308" s="78" t="b">
        <f t="shared" si="1151"/>
        <v>0</v>
      </c>
      <c r="X1308" s="78" t="b">
        <f t="shared" si="1152"/>
        <v>0</v>
      </c>
      <c r="Y1308" s="78" t="b">
        <f t="shared" si="1153"/>
        <v>0</v>
      </c>
      <c r="Z1308" s="78" t="b">
        <f t="shared" si="1154"/>
        <v>0</v>
      </c>
      <c r="AA1308" s="78" t="b">
        <f t="shared" si="1155"/>
        <v>0</v>
      </c>
      <c r="AB1308" s="78" t="b">
        <f t="shared" si="1156"/>
        <v>0</v>
      </c>
      <c r="AC1308" s="78" t="b">
        <f t="shared" si="1157"/>
        <v>0</v>
      </c>
      <c r="AD1308" s="78" t="b">
        <f t="shared" si="1158"/>
        <v>0</v>
      </c>
      <c r="AE1308" s="78" t="b">
        <f t="shared" si="1159"/>
        <v>0</v>
      </c>
      <c r="AF1308" s="78" t="b">
        <f t="shared" si="1160"/>
        <v>0</v>
      </c>
      <c r="AG1308" s="78" t="b">
        <f t="shared" si="1161"/>
        <v>0</v>
      </c>
      <c r="AH1308" s="78" t="b">
        <f t="shared" si="1162"/>
        <v>0</v>
      </c>
      <c r="AI1308" s="78" t="b">
        <f t="shared" si="1163"/>
        <v>0</v>
      </c>
      <c r="AJ1308" s="78" t="b">
        <f t="shared" si="1164"/>
        <v>0</v>
      </c>
      <c r="AK1308" s="78" t="b">
        <f t="shared" si="1165"/>
        <v>0</v>
      </c>
      <c r="AL1308" s="78" t="b">
        <f t="shared" si="1166"/>
        <v>0</v>
      </c>
      <c r="AM1308" s="78" t="b">
        <f t="shared" si="1167"/>
        <v>0</v>
      </c>
      <c r="AN1308" s="78" t="b">
        <f t="shared" si="1168"/>
        <v>0</v>
      </c>
      <c r="AO1308" s="78" t="b">
        <f t="shared" si="1169"/>
        <v>0</v>
      </c>
    </row>
    <row r="1309" spans="7:41" x14ac:dyDescent="0.35">
      <c r="G1309" s="77">
        <f t="shared" si="1139"/>
        <v>0</v>
      </c>
      <c r="H1309" s="78">
        <f t="shared" si="1140"/>
        <v>0</v>
      </c>
      <c r="I1309" s="77">
        <f t="shared" si="1141"/>
        <v>0</v>
      </c>
      <c r="J1309" s="78">
        <f t="shared" si="1142"/>
        <v>0</v>
      </c>
      <c r="K1309" s="78" t="str">
        <f t="shared" si="1143"/>
        <v>1900-01-00 00:0:00</v>
      </c>
      <c r="L1309" s="78" t="str">
        <f t="shared" si="1144"/>
        <v>1900-01-00 00:0:00</v>
      </c>
      <c r="M1309" s="79">
        <f t="shared" si="1145"/>
        <v>0</v>
      </c>
      <c r="N1309">
        <f t="shared" si="1170"/>
        <v>1</v>
      </c>
      <c r="O1309" t="str">
        <f>IFERROR(_xlfn.XLOOKUP(A1309,HC!A:A,HC!C:C),"")</f>
        <v>Workforce</v>
      </c>
      <c r="R1309" s="78" t="b">
        <f t="shared" si="1146"/>
        <v>0</v>
      </c>
      <c r="S1309" s="78" t="b">
        <f t="shared" si="1147"/>
        <v>0</v>
      </c>
      <c r="T1309" s="78" t="b">
        <f t="shared" si="1148"/>
        <v>0</v>
      </c>
      <c r="U1309" s="78" t="b">
        <f t="shared" si="1149"/>
        <v>0</v>
      </c>
      <c r="V1309" s="78" t="b">
        <f t="shared" si="1150"/>
        <v>0</v>
      </c>
      <c r="W1309" s="78" t="b">
        <f t="shared" si="1151"/>
        <v>0</v>
      </c>
      <c r="X1309" s="78" t="b">
        <f t="shared" si="1152"/>
        <v>0</v>
      </c>
      <c r="Y1309" s="78" t="b">
        <f t="shared" si="1153"/>
        <v>0</v>
      </c>
      <c r="Z1309" s="78" t="b">
        <f t="shared" si="1154"/>
        <v>0</v>
      </c>
      <c r="AA1309" s="78" t="b">
        <f t="shared" si="1155"/>
        <v>0</v>
      </c>
      <c r="AB1309" s="78" t="b">
        <f t="shared" si="1156"/>
        <v>0</v>
      </c>
      <c r="AC1309" s="78" t="b">
        <f t="shared" si="1157"/>
        <v>0</v>
      </c>
      <c r="AD1309" s="78" t="b">
        <f t="shared" si="1158"/>
        <v>0</v>
      </c>
      <c r="AE1309" s="78" t="b">
        <f t="shared" si="1159"/>
        <v>0</v>
      </c>
      <c r="AF1309" s="78" t="b">
        <f t="shared" si="1160"/>
        <v>0</v>
      </c>
      <c r="AG1309" s="78" t="b">
        <f t="shared" si="1161"/>
        <v>0</v>
      </c>
      <c r="AH1309" s="78" t="b">
        <f t="shared" si="1162"/>
        <v>0</v>
      </c>
      <c r="AI1309" s="78" t="b">
        <f t="shared" si="1163"/>
        <v>0</v>
      </c>
      <c r="AJ1309" s="78" t="b">
        <f t="shared" si="1164"/>
        <v>0</v>
      </c>
      <c r="AK1309" s="78" t="b">
        <f t="shared" si="1165"/>
        <v>0</v>
      </c>
      <c r="AL1309" s="78" t="b">
        <f t="shared" si="1166"/>
        <v>0</v>
      </c>
      <c r="AM1309" s="78" t="b">
        <f t="shared" si="1167"/>
        <v>0</v>
      </c>
      <c r="AN1309" s="78" t="b">
        <f t="shared" si="1168"/>
        <v>0</v>
      </c>
      <c r="AO1309" s="78" t="b">
        <f t="shared" si="1169"/>
        <v>0</v>
      </c>
    </row>
    <row r="1310" spans="7:41" x14ac:dyDescent="0.35">
      <c r="G1310" s="77">
        <f t="shared" si="1139"/>
        <v>0</v>
      </c>
      <c r="H1310" s="78">
        <f t="shared" si="1140"/>
        <v>0</v>
      </c>
      <c r="I1310" s="77">
        <f t="shared" si="1141"/>
        <v>0</v>
      </c>
      <c r="J1310" s="78">
        <f t="shared" si="1142"/>
        <v>0</v>
      </c>
      <c r="K1310" s="78" t="str">
        <f t="shared" si="1143"/>
        <v>1900-01-00 00:0:00</v>
      </c>
      <c r="L1310" s="78" t="str">
        <f t="shared" si="1144"/>
        <v>1900-01-00 00:0:00</v>
      </c>
      <c r="M1310" s="79">
        <f t="shared" si="1145"/>
        <v>0</v>
      </c>
      <c r="N1310">
        <f t="shared" si="1170"/>
        <v>1</v>
      </c>
      <c r="O1310" t="str">
        <f>IFERROR(_xlfn.XLOOKUP(A1310,HC!A:A,HC!C:C),"")</f>
        <v>Workforce</v>
      </c>
      <c r="R1310" s="78" t="b">
        <f t="shared" si="1146"/>
        <v>0</v>
      </c>
      <c r="S1310" s="78" t="b">
        <f t="shared" si="1147"/>
        <v>0</v>
      </c>
      <c r="T1310" s="78" t="b">
        <f t="shared" si="1148"/>
        <v>0</v>
      </c>
      <c r="U1310" s="78" t="b">
        <f t="shared" si="1149"/>
        <v>0</v>
      </c>
      <c r="V1310" s="78" t="b">
        <f t="shared" si="1150"/>
        <v>0</v>
      </c>
      <c r="W1310" s="78" t="b">
        <f t="shared" si="1151"/>
        <v>0</v>
      </c>
      <c r="X1310" s="78" t="b">
        <f t="shared" si="1152"/>
        <v>0</v>
      </c>
      <c r="Y1310" s="78" t="b">
        <f t="shared" si="1153"/>
        <v>0</v>
      </c>
      <c r="Z1310" s="78" t="b">
        <f t="shared" si="1154"/>
        <v>0</v>
      </c>
      <c r="AA1310" s="78" t="b">
        <f t="shared" si="1155"/>
        <v>0</v>
      </c>
      <c r="AB1310" s="78" t="b">
        <f t="shared" si="1156"/>
        <v>0</v>
      </c>
      <c r="AC1310" s="78" t="b">
        <f t="shared" si="1157"/>
        <v>0</v>
      </c>
      <c r="AD1310" s="78" t="b">
        <f t="shared" si="1158"/>
        <v>0</v>
      </c>
      <c r="AE1310" s="78" t="b">
        <f t="shared" si="1159"/>
        <v>0</v>
      </c>
      <c r="AF1310" s="78" t="b">
        <f t="shared" si="1160"/>
        <v>0</v>
      </c>
      <c r="AG1310" s="78" t="b">
        <f t="shared" si="1161"/>
        <v>0</v>
      </c>
      <c r="AH1310" s="78" t="b">
        <f t="shared" si="1162"/>
        <v>0</v>
      </c>
      <c r="AI1310" s="78" t="b">
        <f t="shared" si="1163"/>
        <v>0</v>
      </c>
      <c r="AJ1310" s="78" t="b">
        <f t="shared" si="1164"/>
        <v>0</v>
      </c>
      <c r="AK1310" s="78" t="b">
        <f t="shared" si="1165"/>
        <v>0</v>
      </c>
      <c r="AL1310" s="78" t="b">
        <f t="shared" si="1166"/>
        <v>0</v>
      </c>
      <c r="AM1310" s="78" t="b">
        <f t="shared" si="1167"/>
        <v>0</v>
      </c>
      <c r="AN1310" s="78" t="b">
        <f t="shared" si="1168"/>
        <v>0</v>
      </c>
      <c r="AO1310" s="78" t="b">
        <f t="shared" si="1169"/>
        <v>0</v>
      </c>
    </row>
    <row r="1311" spans="7:41" x14ac:dyDescent="0.35">
      <c r="G1311" s="77">
        <f t="shared" si="1139"/>
        <v>0</v>
      </c>
      <c r="H1311" s="78">
        <f t="shared" si="1140"/>
        <v>0</v>
      </c>
      <c r="I1311" s="77">
        <f t="shared" si="1141"/>
        <v>0</v>
      </c>
      <c r="J1311" s="78">
        <f t="shared" si="1142"/>
        <v>0</v>
      </c>
      <c r="K1311" s="78" t="str">
        <f t="shared" si="1143"/>
        <v>1900-01-00 00:0:00</v>
      </c>
      <c r="L1311" s="78" t="str">
        <f t="shared" si="1144"/>
        <v>1900-01-00 00:0:00</v>
      </c>
      <c r="M1311" s="79">
        <f t="shared" si="1145"/>
        <v>0</v>
      </c>
      <c r="N1311">
        <f t="shared" si="1170"/>
        <v>1</v>
      </c>
      <c r="O1311" t="str">
        <f>IFERROR(_xlfn.XLOOKUP(A1311,HC!A:A,HC!C:C),"")</f>
        <v>Workforce</v>
      </c>
      <c r="R1311" s="78" t="b">
        <f t="shared" si="1146"/>
        <v>0</v>
      </c>
      <c r="S1311" s="78" t="b">
        <f t="shared" si="1147"/>
        <v>0</v>
      </c>
      <c r="T1311" s="78" t="b">
        <f t="shared" si="1148"/>
        <v>0</v>
      </c>
      <c r="U1311" s="78" t="b">
        <f t="shared" si="1149"/>
        <v>0</v>
      </c>
      <c r="V1311" s="78" t="b">
        <f t="shared" si="1150"/>
        <v>0</v>
      </c>
      <c r="W1311" s="78" t="b">
        <f t="shared" si="1151"/>
        <v>0</v>
      </c>
      <c r="X1311" s="78" t="b">
        <f t="shared" si="1152"/>
        <v>0</v>
      </c>
      <c r="Y1311" s="78" t="b">
        <f t="shared" si="1153"/>
        <v>0</v>
      </c>
      <c r="Z1311" s="78" t="b">
        <f t="shared" si="1154"/>
        <v>0</v>
      </c>
      <c r="AA1311" s="78" t="b">
        <f t="shared" si="1155"/>
        <v>0</v>
      </c>
      <c r="AB1311" s="78" t="b">
        <f t="shared" si="1156"/>
        <v>0</v>
      </c>
      <c r="AC1311" s="78" t="b">
        <f t="shared" si="1157"/>
        <v>0</v>
      </c>
      <c r="AD1311" s="78" t="b">
        <f t="shared" si="1158"/>
        <v>0</v>
      </c>
      <c r="AE1311" s="78" t="b">
        <f t="shared" si="1159"/>
        <v>0</v>
      </c>
      <c r="AF1311" s="78" t="b">
        <f t="shared" si="1160"/>
        <v>0</v>
      </c>
      <c r="AG1311" s="78" t="b">
        <f t="shared" si="1161"/>
        <v>0</v>
      </c>
      <c r="AH1311" s="78" t="b">
        <f t="shared" si="1162"/>
        <v>0</v>
      </c>
      <c r="AI1311" s="78" t="b">
        <f t="shared" si="1163"/>
        <v>0</v>
      </c>
      <c r="AJ1311" s="78" t="b">
        <f t="shared" si="1164"/>
        <v>0</v>
      </c>
      <c r="AK1311" s="78" t="b">
        <f t="shared" si="1165"/>
        <v>0</v>
      </c>
      <c r="AL1311" s="78" t="b">
        <f t="shared" si="1166"/>
        <v>0</v>
      </c>
      <c r="AM1311" s="78" t="b">
        <f t="shared" si="1167"/>
        <v>0</v>
      </c>
      <c r="AN1311" s="78" t="b">
        <f t="shared" si="1168"/>
        <v>0</v>
      </c>
      <c r="AO1311" s="78" t="b">
        <f t="shared" si="1169"/>
        <v>0</v>
      </c>
    </row>
    <row r="1312" spans="7:41" x14ac:dyDescent="0.35">
      <c r="G1312" s="77">
        <f t="shared" si="1139"/>
        <v>0</v>
      </c>
      <c r="H1312" s="78">
        <f t="shared" si="1140"/>
        <v>0</v>
      </c>
      <c r="I1312" s="77">
        <f t="shared" si="1141"/>
        <v>0</v>
      </c>
      <c r="J1312" s="78">
        <f t="shared" si="1142"/>
        <v>0</v>
      </c>
      <c r="K1312" s="78" t="str">
        <f t="shared" si="1143"/>
        <v>1900-01-00 00:0:00</v>
      </c>
      <c r="L1312" s="78" t="str">
        <f t="shared" si="1144"/>
        <v>1900-01-00 00:0:00</v>
      </c>
      <c r="M1312" s="79">
        <f t="shared" si="1145"/>
        <v>0</v>
      </c>
      <c r="N1312">
        <f t="shared" si="1170"/>
        <v>1</v>
      </c>
      <c r="O1312" t="str">
        <f>IFERROR(_xlfn.XLOOKUP(A1312,HC!A:A,HC!C:C),"")</f>
        <v>Workforce</v>
      </c>
      <c r="R1312" s="78" t="b">
        <f t="shared" si="1146"/>
        <v>0</v>
      </c>
      <c r="S1312" s="78" t="b">
        <f t="shared" si="1147"/>
        <v>0</v>
      </c>
      <c r="T1312" s="78" t="b">
        <f t="shared" si="1148"/>
        <v>0</v>
      </c>
      <c r="U1312" s="78" t="b">
        <f t="shared" si="1149"/>
        <v>0</v>
      </c>
      <c r="V1312" s="78" t="b">
        <f t="shared" si="1150"/>
        <v>0</v>
      </c>
      <c r="W1312" s="78" t="b">
        <f t="shared" si="1151"/>
        <v>0</v>
      </c>
      <c r="X1312" s="78" t="b">
        <f t="shared" si="1152"/>
        <v>0</v>
      </c>
      <c r="Y1312" s="78" t="b">
        <f t="shared" si="1153"/>
        <v>0</v>
      </c>
      <c r="Z1312" s="78" t="b">
        <f t="shared" si="1154"/>
        <v>0</v>
      </c>
      <c r="AA1312" s="78" t="b">
        <f t="shared" si="1155"/>
        <v>0</v>
      </c>
      <c r="AB1312" s="78" t="b">
        <f t="shared" si="1156"/>
        <v>0</v>
      </c>
      <c r="AC1312" s="78" t="b">
        <f t="shared" si="1157"/>
        <v>0</v>
      </c>
      <c r="AD1312" s="78" t="b">
        <f t="shared" si="1158"/>
        <v>0</v>
      </c>
      <c r="AE1312" s="78" t="b">
        <f t="shared" si="1159"/>
        <v>0</v>
      </c>
      <c r="AF1312" s="78" t="b">
        <f t="shared" si="1160"/>
        <v>0</v>
      </c>
      <c r="AG1312" s="78" t="b">
        <f t="shared" si="1161"/>
        <v>0</v>
      </c>
      <c r="AH1312" s="78" t="b">
        <f t="shared" si="1162"/>
        <v>0</v>
      </c>
      <c r="AI1312" s="78" t="b">
        <f t="shared" si="1163"/>
        <v>0</v>
      </c>
      <c r="AJ1312" s="78" t="b">
        <f t="shared" si="1164"/>
        <v>0</v>
      </c>
      <c r="AK1312" s="78" t="b">
        <f t="shared" si="1165"/>
        <v>0</v>
      </c>
      <c r="AL1312" s="78" t="b">
        <f t="shared" si="1166"/>
        <v>0</v>
      </c>
      <c r="AM1312" s="78" t="b">
        <f t="shared" si="1167"/>
        <v>0</v>
      </c>
      <c r="AN1312" s="78" t="b">
        <f t="shared" si="1168"/>
        <v>0</v>
      </c>
      <c r="AO1312" s="78" t="b">
        <f t="shared" si="1169"/>
        <v>0</v>
      </c>
    </row>
    <row r="1313" spans="7:41" x14ac:dyDescent="0.35">
      <c r="G1313" s="77">
        <f t="shared" si="1139"/>
        <v>0</v>
      </c>
      <c r="H1313" s="78">
        <f t="shared" si="1140"/>
        <v>0</v>
      </c>
      <c r="I1313" s="77">
        <f t="shared" si="1141"/>
        <v>0</v>
      </c>
      <c r="J1313" s="78">
        <f t="shared" si="1142"/>
        <v>0</v>
      </c>
      <c r="K1313" s="78" t="str">
        <f t="shared" si="1143"/>
        <v>1900-01-00 00:0:00</v>
      </c>
      <c r="L1313" s="78" t="str">
        <f t="shared" si="1144"/>
        <v>1900-01-00 00:0:00</v>
      </c>
      <c r="M1313" s="79">
        <f t="shared" si="1145"/>
        <v>0</v>
      </c>
      <c r="N1313">
        <f t="shared" si="1170"/>
        <v>1</v>
      </c>
      <c r="O1313" t="str">
        <f>IFERROR(_xlfn.XLOOKUP(A1313,HC!A:A,HC!C:C),"")</f>
        <v>Workforce</v>
      </c>
      <c r="R1313" s="78" t="b">
        <f t="shared" si="1146"/>
        <v>0</v>
      </c>
      <c r="S1313" s="78" t="b">
        <f t="shared" si="1147"/>
        <v>0</v>
      </c>
      <c r="T1313" s="78" t="b">
        <f t="shared" si="1148"/>
        <v>0</v>
      </c>
      <c r="U1313" s="78" t="b">
        <f t="shared" si="1149"/>
        <v>0</v>
      </c>
      <c r="V1313" s="78" t="b">
        <f t="shared" si="1150"/>
        <v>0</v>
      </c>
      <c r="W1313" s="78" t="b">
        <f t="shared" si="1151"/>
        <v>0</v>
      </c>
      <c r="X1313" s="78" t="b">
        <f t="shared" si="1152"/>
        <v>0</v>
      </c>
      <c r="Y1313" s="78" t="b">
        <f t="shared" si="1153"/>
        <v>0</v>
      </c>
      <c r="Z1313" s="78" t="b">
        <f t="shared" si="1154"/>
        <v>0</v>
      </c>
      <c r="AA1313" s="78" t="b">
        <f t="shared" si="1155"/>
        <v>0</v>
      </c>
      <c r="AB1313" s="78" t="b">
        <f t="shared" si="1156"/>
        <v>0</v>
      </c>
      <c r="AC1313" s="78" t="b">
        <f t="shared" si="1157"/>
        <v>0</v>
      </c>
      <c r="AD1313" s="78" t="b">
        <f t="shared" si="1158"/>
        <v>0</v>
      </c>
      <c r="AE1313" s="78" t="b">
        <f t="shared" si="1159"/>
        <v>0</v>
      </c>
      <c r="AF1313" s="78" t="b">
        <f t="shared" si="1160"/>
        <v>0</v>
      </c>
      <c r="AG1313" s="78" t="b">
        <f t="shared" si="1161"/>
        <v>0</v>
      </c>
      <c r="AH1313" s="78" t="b">
        <f t="shared" si="1162"/>
        <v>0</v>
      </c>
      <c r="AI1313" s="78" t="b">
        <f t="shared" si="1163"/>
        <v>0</v>
      </c>
      <c r="AJ1313" s="78" t="b">
        <f t="shared" si="1164"/>
        <v>0</v>
      </c>
      <c r="AK1313" s="78" t="b">
        <f t="shared" si="1165"/>
        <v>0</v>
      </c>
      <c r="AL1313" s="78" t="b">
        <f t="shared" si="1166"/>
        <v>0</v>
      </c>
      <c r="AM1313" s="78" t="b">
        <f t="shared" si="1167"/>
        <v>0</v>
      </c>
      <c r="AN1313" s="78" t="b">
        <f t="shared" si="1168"/>
        <v>0</v>
      </c>
      <c r="AO1313" s="78" t="b">
        <f t="shared" si="1169"/>
        <v>0</v>
      </c>
    </row>
    <row r="1314" spans="7:41" x14ac:dyDescent="0.35">
      <c r="G1314" s="77">
        <f t="shared" si="1139"/>
        <v>0</v>
      </c>
      <c r="H1314" s="78">
        <f t="shared" si="1140"/>
        <v>0</v>
      </c>
      <c r="I1314" s="77">
        <f t="shared" si="1141"/>
        <v>0</v>
      </c>
      <c r="J1314" s="78">
        <f t="shared" si="1142"/>
        <v>0</v>
      </c>
      <c r="K1314" s="78" t="str">
        <f t="shared" si="1143"/>
        <v>1900-01-00 00:0:00</v>
      </c>
      <c r="L1314" s="78" t="str">
        <f t="shared" si="1144"/>
        <v>1900-01-00 00:0:00</v>
      </c>
      <c r="M1314" s="79">
        <f t="shared" si="1145"/>
        <v>0</v>
      </c>
      <c r="N1314">
        <f t="shared" si="1170"/>
        <v>1</v>
      </c>
      <c r="O1314" t="str">
        <f>IFERROR(_xlfn.XLOOKUP(A1314,HC!A:A,HC!C:C),"")</f>
        <v>Workforce</v>
      </c>
      <c r="R1314" s="78" t="b">
        <f t="shared" si="1146"/>
        <v>0</v>
      </c>
      <c r="S1314" s="78" t="b">
        <f t="shared" si="1147"/>
        <v>0</v>
      </c>
      <c r="T1314" s="78" t="b">
        <f t="shared" si="1148"/>
        <v>0</v>
      </c>
      <c r="U1314" s="78" t="b">
        <f t="shared" si="1149"/>
        <v>0</v>
      </c>
      <c r="V1314" s="78" t="b">
        <f t="shared" si="1150"/>
        <v>0</v>
      </c>
      <c r="W1314" s="78" t="b">
        <f t="shared" si="1151"/>
        <v>0</v>
      </c>
      <c r="X1314" s="78" t="b">
        <f t="shared" si="1152"/>
        <v>0</v>
      </c>
      <c r="Y1314" s="78" t="b">
        <f t="shared" si="1153"/>
        <v>0</v>
      </c>
      <c r="Z1314" s="78" t="b">
        <f t="shared" si="1154"/>
        <v>0</v>
      </c>
      <c r="AA1314" s="78" t="b">
        <f t="shared" si="1155"/>
        <v>0</v>
      </c>
      <c r="AB1314" s="78" t="b">
        <f t="shared" si="1156"/>
        <v>0</v>
      </c>
      <c r="AC1314" s="78" t="b">
        <f t="shared" si="1157"/>
        <v>0</v>
      </c>
      <c r="AD1314" s="78" t="b">
        <f t="shared" si="1158"/>
        <v>0</v>
      </c>
      <c r="AE1314" s="78" t="b">
        <f t="shared" si="1159"/>
        <v>0</v>
      </c>
      <c r="AF1314" s="78" t="b">
        <f t="shared" si="1160"/>
        <v>0</v>
      </c>
      <c r="AG1314" s="78" t="b">
        <f t="shared" si="1161"/>
        <v>0</v>
      </c>
      <c r="AH1314" s="78" t="b">
        <f t="shared" si="1162"/>
        <v>0</v>
      </c>
      <c r="AI1314" s="78" t="b">
        <f t="shared" si="1163"/>
        <v>0</v>
      </c>
      <c r="AJ1314" s="78" t="b">
        <f t="shared" si="1164"/>
        <v>0</v>
      </c>
      <c r="AK1314" s="78" t="b">
        <f t="shared" si="1165"/>
        <v>0</v>
      </c>
      <c r="AL1314" s="78" t="b">
        <f t="shared" si="1166"/>
        <v>0</v>
      </c>
      <c r="AM1314" s="78" t="b">
        <f t="shared" si="1167"/>
        <v>0</v>
      </c>
      <c r="AN1314" s="78" t="b">
        <f t="shared" si="1168"/>
        <v>0</v>
      </c>
      <c r="AO1314" s="78" t="b">
        <f t="shared" si="1169"/>
        <v>0</v>
      </c>
    </row>
    <row r="1315" spans="7:41" x14ac:dyDescent="0.35">
      <c r="G1315" s="77">
        <f t="shared" si="1139"/>
        <v>0</v>
      </c>
      <c r="H1315" s="78">
        <f t="shared" si="1140"/>
        <v>0</v>
      </c>
      <c r="I1315" s="77">
        <f t="shared" si="1141"/>
        <v>0</v>
      </c>
      <c r="J1315" s="78">
        <f t="shared" si="1142"/>
        <v>0</v>
      </c>
      <c r="K1315" s="78" t="str">
        <f t="shared" si="1143"/>
        <v>1900-01-00 00:0:00</v>
      </c>
      <c r="L1315" s="78" t="str">
        <f t="shared" si="1144"/>
        <v>1900-01-00 00:0:00</v>
      </c>
      <c r="M1315" s="79">
        <f t="shared" si="1145"/>
        <v>0</v>
      </c>
      <c r="N1315">
        <f t="shared" si="1170"/>
        <v>1</v>
      </c>
      <c r="O1315" t="str">
        <f>IFERROR(_xlfn.XLOOKUP(A1315,HC!A:A,HC!C:C),"")</f>
        <v>Workforce</v>
      </c>
      <c r="R1315" s="78" t="b">
        <f t="shared" si="1146"/>
        <v>0</v>
      </c>
      <c r="S1315" s="78" t="b">
        <f t="shared" si="1147"/>
        <v>0</v>
      </c>
      <c r="T1315" s="78" t="b">
        <f t="shared" si="1148"/>
        <v>0</v>
      </c>
      <c r="U1315" s="78" t="b">
        <f t="shared" si="1149"/>
        <v>0</v>
      </c>
      <c r="V1315" s="78" t="b">
        <f t="shared" si="1150"/>
        <v>0</v>
      </c>
      <c r="W1315" s="78" t="b">
        <f t="shared" si="1151"/>
        <v>0</v>
      </c>
      <c r="X1315" s="78" t="b">
        <f t="shared" si="1152"/>
        <v>0</v>
      </c>
      <c r="Y1315" s="78" t="b">
        <f t="shared" si="1153"/>
        <v>0</v>
      </c>
      <c r="Z1315" s="78" t="b">
        <f t="shared" si="1154"/>
        <v>0</v>
      </c>
      <c r="AA1315" s="78" t="b">
        <f t="shared" si="1155"/>
        <v>0</v>
      </c>
      <c r="AB1315" s="78" t="b">
        <f t="shared" si="1156"/>
        <v>0</v>
      </c>
      <c r="AC1315" s="78" t="b">
        <f t="shared" si="1157"/>
        <v>0</v>
      </c>
      <c r="AD1315" s="78" t="b">
        <f t="shared" si="1158"/>
        <v>0</v>
      </c>
      <c r="AE1315" s="78" t="b">
        <f t="shared" si="1159"/>
        <v>0</v>
      </c>
      <c r="AF1315" s="78" t="b">
        <f t="shared" si="1160"/>
        <v>0</v>
      </c>
      <c r="AG1315" s="78" t="b">
        <f t="shared" si="1161"/>
        <v>0</v>
      </c>
      <c r="AH1315" s="78" t="b">
        <f t="shared" si="1162"/>
        <v>0</v>
      </c>
      <c r="AI1315" s="78" t="b">
        <f t="shared" si="1163"/>
        <v>0</v>
      </c>
      <c r="AJ1315" s="78" t="b">
        <f t="shared" si="1164"/>
        <v>0</v>
      </c>
      <c r="AK1315" s="78" t="b">
        <f t="shared" si="1165"/>
        <v>0</v>
      </c>
      <c r="AL1315" s="78" t="b">
        <f t="shared" si="1166"/>
        <v>0</v>
      </c>
      <c r="AM1315" s="78" t="b">
        <f t="shared" si="1167"/>
        <v>0</v>
      </c>
      <c r="AN1315" s="78" t="b">
        <f t="shared" si="1168"/>
        <v>0</v>
      </c>
      <c r="AO1315" s="78" t="b">
        <f t="shared" si="1169"/>
        <v>0</v>
      </c>
    </row>
    <row r="1316" spans="7:41" x14ac:dyDescent="0.35">
      <c r="G1316" s="77">
        <f t="shared" si="1139"/>
        <v>0</v>
      </c>
      <c r="H1316" s="78">
        <f t="shared" si="1140"/>
        <v>0</v>
      </c>
      <c r="I1316" s="77">
        <f t="shared" si="1141"/>
        <v>0</v>
      </c>
      <c r="J1316" s="78">
        <f t="shared" si="1142"/>
        <v>0</v>
      </c>
      <c r="K1316" s="78" t="str">
        <f t="shared" si="1143"/>
        <v>1900-01-00 00:0:00</v>
      </c>
      <c r="L1316" s="78" t="str">
        <f t="shared" si="1144"/>
        <v>1900-01-00 00:0:00</v>
      </c>
      <c r="M1316" s="79">
        <f t="shared" si="1145"/>
        <v>0</v>
      </c>
      <c r="N1316">
        <f t="shared" si="1170"/>
        <v>1</v>
      </c>
      <c r="O1316" t="str">
        <f>IFERROR(_xlfn.XLOOKUP(A1316,HC!A:A,HC!C:C),"")</f>
        <v>Workforce</v>
      </c>
      <c r="R1316" s="78" t="b">
        <f t="shared" si="1146"/>
        <v>0</v>
      </c>
      <c r="S1316" s="78" t="b">
        <f t="shared" si="1147"/>
        <v>0</v>
      </c>
      <c r="T1316" s="78" t="b">
        <f t="shared" si="1148"/>
        <v>0</v>
      </c>
      <c r="U1316" s="78" t="b">
        <f t="shared" si="1149"/>
        <v>0</v>
      </c>
      <c r="V1316" s="78" t="b">
        <f t="shared" si="1150"/>
        <v>0</v>
      </c>
      <c r="W1316" s="78" t="b">
        <f t="shared" si="1151"/>
        <v>0</v>
      </c>
      <c r="X1316" s="78" t="b">
        <f t="shared" si="1152"/>
        <v>0</v>
      </c>
      <c r="Y1316" s="78" t="b">
        <f t="shared" si="1153"/>
        <v>0</v>
      </c>
      <c r="Z1316" s="78" t="b">
        <f t="shared" si="1154"/>
        <v>0</v>
      </c>
      <c r="AA1316" s="78" t="b">
        <f t="shared" si="1155"/>
        <v>0</v>
      </c>
      <c r="AB1316" s="78" t="b">
        <f t="shared" si="1156"/>
        <v>0</v>
      </c>
      <c r="AC1316" s="78" t="b">
        <f t="shared" si="1157"/>
        <v>0</v>
      </c>
      <c r="AD1316" s="78" t="b">
        <f t="shared" si="1158"/>
        <v>0</v>
      </c>
      <c r="AE1316" s="78" t="b">
        <f t="shared" si="1159"/>
        <v>0</v>
      </c>
      <c r="AF1316" s="78" t="b">
        <f t="shared" si="1160"/>
        <v>0</v>
      </c>
      <c r="AG1316" s="78" t="b">
        <f t="shared" si="1161"/>
        <v>0</v>
      </c>
      <c r="AH1316" s="78" t="b">
        <f t="shared" si="1162"/>
        <v>0</v>
      </c>
      <c r="AI1316" s="78" t="b">
        <f t="shared" si="1163"/>
        <v>0</v>
      </c>
      <c r="AJ1316" s="78" t="b">
        <f t="shared" si="1164"/>
        <v>0</v>
      </c>
      <c r="AK1316" s="78" t="b">
        <f t="shared" si="1165"/>
        <v>0</v>
      </c>
      <c r="AL1316" s="78" t="b">
        <f t="shared" si="1166"/>
        <v>0</v>
      </c>
      <c r="AM1316" s="78" t="b">
        <f t="shared" si="1167"/>
        <v>0</v>
      </c>
      <c r="AN1316" s="78" t="b">
        <f t="shared" si="1168"/>
        <v>0</v>
      </c>
      <c r="AO1316" s="78" t="b">
        <f t="shared" si="1169"/>
        <v>0</v>
      </c>
    </row>
    <row r="1317" spans="7:41" x14ac:dyDescent="0.35">
      <c r="G1317" s="77">
        <f t="shared" si="1139"/>
        <v>0</v>
      </c>
      <c r="H1317" s="78">
        <f t="shared" si="1140"/>
        <v>0</v>
      </c>
      <c r="I1317" s="77">
        <f t="shared" si="1141"/>
        <v>0</v>
      </c>
      <c r="J1317" s="78">
        <f t="shared" si="1142"/>
        <v>0</v>
      </c>
      <c r="K1317" s="78" t="str">
        <f t="shared" si="1143"/>
        <v>1900-01-00 00:0:00</v>
      </c>
      <c r="L1317" s="78" t="str">
        <f t="shared" si="1144"/>
        <v>1900-01-00 00:0:00</v>
      </c>
      <c r="M1317" s="79">
        <f t="shared" si="1145"/>
        <v>0</v>
      </c>
      <c r="N1317">
        <f t="shared" si="1170"/>
        <v>1</v>
      </c>
      <c r="O1317" t="str">
        <f>IFERROR(_xlfn.XLOOKUP(A1317,HC!A:A,HC!C:C),"")</f>
        <v>Workforce</v>
      </c>
      <c r="R1317" s="78" t="b">
        <f t="shared" si="1146"/>
        <v>0</v>
      </c>
      <c r="S1317" s="78" t="b">
        <f t="shared" si="1147"/>
        <v>0</v>
      </c>
      <c r="T1317" s="78" t="b">
        <f t="shared" si="1148"/>
        <v>0</v>
      </c>
      <c r="U1317" s="78" t="b">
        <f t="shared" si="1149"/>
        <v>0</v>
      </c>
      <c r="V1317" s="78" t="b">
        <f t="shared" si="1150"/>
        <v>0</v>
      </c>
      <c r="W1317" s="78" t="b">
        <f t="shared" si="1151"/>
        <v>0</v>
      </c>
      <c r="X1317" s="78" t="b">
        <f t="shared" si="1152"/>
        <v>0</v>
      </c>
      <c r="Y1317" s="78" t="b">
        <f t="shared" si="1153"/>
        <v>0</v>
      </c>
      <c r="Z1317" s="78" t="b">
        <f t="shared" si="1154"/>
        <v>0</v>
      </c>
      <c r="AA1317" s="78" t="b">
        <f t="shared" si="1155"/>
        <v>0</v>
      </c>
      <c r="AB1317" s="78" t="b">
        <f t="shared" si="1156"/>
        <v>0</v>
      </c>
      <c r="AC1317" s="78" t="b">
        <f t="shared" si="1157"/>
        <v>0</v>
      </c>
      <c r="AD1317" s="78" t="b">
        <f t="shared" si="1158"/>
        <v>0</v>
      </c>
      <c r="AE1317" s="78" t="b">
        <f t="shared" si="1159"/>
        <v>0</v>
      </c>
      <c r="AF1317" s="78" t="b">
        <f t="shared" si="1160"/>
        <v>0</v>
      </c>
      <c r="AG1317" s="78" t="b">
        <f t="shared" si="1161"/>
        <v>0</v>
      </c>
      <c r="AH1317" s="78" t="b">
        <f t="shared" si="1162"/>
        <v>0</v>
      </c>
      <c r="AI1317" s="78" t="b">
        <f t="shared" si="1163"/>
        <v>0</v>
      </c>
      <c r="AJ1317" s="78" t="b">
        <f t="shared" si="1164"/>
        <v>0</v>
      </c>
      <c r="AK1317" s="78" t="b">
        <f t="shared" si="1165"/>
        <v>0</v>
      </c>
      <c r="AL1317" s="78" t="b">
        <f t="shared" si="1166"/>
        <v>0</v>
      </c>
      <c r="AM1317" s="78" t="b">
        <f t="shared" si="1167"/>
        <v>0</v>
      </c>
      <c r="AN1317" s="78" t="b">
        <f t="shared" si="1168"/>
        <v>0</v>
      </c>
      <c r="AO1317" s="78" t="b">
        <f t="shared" si="1169"/>
        <v>0</v>
      </c>
    </row>
    <row r="1318" spans="7:41" x14ac:dyDescent="0.35">
      <c r="G1318" s="77">
        <f t="shared" si="1139"/>
        <v>0</v>
      </c>
      <c r="H1318" s="78">
        <f t="shared" si="1140"/>
        <v>0</v>
      </c>
      <c r="I1318" s="77">
        <f t="shared" si="1141"/>
        <v>0</v>
      </c>
      <c r="J1318" s="78">
        <f t="shared" si="1142"/>
        <v>0</v>
      </c>
      <c r="K1318" s="78" t="str">
        <f t="shared" si="1143"/>
        <v>1900-01-00 00:0:00</v>
      </c>
      <c r="L1318" s="78" t="str">
        <f t="shared" si="1144"/>
        <v>1900-01-00 00:0:00</v>
      </c>
      <c r="M1318" s="79">
        <f t="shared" si="1145"/>
        <v>0</v>
      </c>
      <c r="N1318">
        <f t="shared" si="1170"/>
        <v>1</v>
      </c>
      <c r="O1318" t="str">
        <f>IFERROR(_xlfn.XLOOKUP(A1318,HC!A:A,HC!C:C),"")</f>
        <v>Workforce</v>
      </c>
      <c r="R1318" s="78" t="b">
        <f t="shared" si="1146"/>
        <v>0</v>
      </c>
      <c r="S1318" s="78" t="b">
        <f t="shared" si="1147"/>
        <v>0</v>
      </c>
      <c r="T1318" s="78" t="b">
        <f t="shared" si="1148"/>
        <v>0</v>
      </c>
      <c r="U1318" s="78" t="b">
        <f t="shared" si="1149"/>
        <v>0</v>
      </c>
      <c r="V1318" s="78" t="b">
        <f t="shared" si="1150"/>
        <v>0</v>
      </c>
      <c r="W1318" s="78" t="b">
        <f t="shared" si="1151"/>
        <v>0</v>
      </c>
      <c r="X1318" s="78" t="b">
        <f t="shared" si="1152"/>
        <v>0</v>
      </c>
      <c r="Y1318" s="78" t="b">
        <f t="shared" si="1153"/>
        <v>0</v>
      </c>
      <c r="Z1318" s="78" t="b">
        <f t="shared" si="1154"/>
        <v>0</v>
      </c>
      <c r="AA1318" s="78" t="b">
        <f t="shared" si="1155"/>
        <v>0</v>
      </c>
      <c r="AB1318" s="78" t="b">
        <f t="shared" si="1156"/>
        <v>0</v>
      </c>
      <c r="AC1318" s="78" t="b">
        <f t="shared" si="1157"/>
        <v>0</v>
      </c>
      <c r="AD1318" s="78" t="b">
        <f t="shared" si="1158"/>
        <v>0</v>
      </c>
      <c r="AE1318" s="78" t="b">
        <f t="shared" si="1159"/>
        <v>0</v>
      </c>
      <c r="AF1318" s="78" t="b">
        <f t="shared" si="1160"/>
        <v>0</v>
      </c>
      <c r="AG1318" s="78" t="b">
        <f t="shared" si="1161"/>
        <v>0</v>
      </c>
      <c r="AH1318" s="78" t="b">
        <f t="shared" si="1162"/>
        <v>0</v>
      </c>
      <c r="AI1318" s="78" t="b">
        <f t="shared" si="1163"/>
        <v>0</v>
      </c>
      <c r="AJ1318" s="78" t="b">
        <f t="shared" si="1164"/>
        <v>0</v>
      </c>
      <c r="AK1318" s="78" t="b">
        <f t="shared" si="1165"/>
        <v>0</v>
      </c>
      <c r="AL1318" s="78" t="b">
        <f t="shared" si="1166"/>
        <v>0</v>
      </c>
      <c r="AM1318" s="78" t="b">
        <f t="shared" si="1167"/>
        <v>0</v>
      </c>
      <c r="AN1318" s="78" t="b">
        <f t="shared" si="1168"/>
        <v>0</v>
      </c>
      <c r="AO1318" s="78" t="b">
        <f t="shared" si="1169"/>
        <v>0</v>
      </c>
    </row>
    <row r="1319" spans="7:41" x14ac:dyDescent="0.35">
      <c r="G1319" s="77">
        <f t="shared" si="1139"/>
        <v>0</v>
      </c>
      <c r="H1319" s="78">
        <f t="shared" si="1140"/>
        <v>0</v>
      </c>
      <c r="I1319" s="77">
        <f t="shared" si="1141"/>
        <v>0</v>
      </c>
      <c r="J1319" s="78">
        <f t="shared" si="1142"/>
        <v>0</v>
      </c>
      <c r="K1319" s="78" t="str">
        <f t="shared" si="1143"/>
        <v>1900-01-00 00:0:00</v>
      </c>
      <c r="L1319" s="78" t="str">
        <f t="shared" si="1144"/>
        <v>1900-01-00 00:0:00</v>
      </c>
      <c r="M1319" s="79">
        <f t="shared" si="1145"/>
        <v>0</v>
      </c>
      <c r="N1319">
        <f t="shared" si="1170"/>
        <v>1</v>
      </c>
      <c r="O1319" t="str">
        <f>IFERROR(_xlfn.XLOOKUP(A1319,HC!A:A,HC!C:C),"")</f>
        <v>Workforce</v>
      </c>
      <c r="R1319" s="78" t="b">
        <f t="shared" si="1146"/>
        <v>0</v>
      </c>
      <c r="S1319" s="78" t="b">
        <f t="shared" si="1147"/>
        <v>0</v>
      </c>
      <c r="T1319" s="78" t="b">
        <f t="shared" si="1148"/>
        <v>0</v>
      </c>
      <c r="U1319" s="78" t="b">
        <f t="shared" si="1149"/>
        <v>0</v>
      </c>
      <c r="V1319" s="78" t="b">
        <f t="shared" si="1150"/>
        <v>0</v>
      </c>
      <c r="W1319" s="78" t="b">
        <f t="shared" si="1151"/>
        <v>0</v>
      </c>
      <c r="X1319" s="78" t="b">
        <f t="shared" si="1152"/>
        <v>0</v>
      </c>
      <c r="Y1319" s="78" t="b">
        <f t="shared" si="1153"/>
        <v>0</v>
      </c>
      <c r="Z1319" s="78" t="b">
        <f t="shared" si="1154"/>
        <v>0</v>
      </c>
      <c r="AA1319" s="78" t="b">
        <f t="shared" si="1155"/>
        <v>0</v>
      </c>
      <c r="AB1319" s="78" t="b">
        <f t="shared" si="1156"/>
        <v>0</v>
      </c>
      <c r="AC1319" s="78" t="b">
        <f t="shared" si="1157"/>
        <v>0</v>
      </c>
      <c r="AD1319" s="78" t="b">
        <f t="shared" si="1158"/>
        <v>0</v>
      </c>
      <c r="AE1319" s="78" t="b">
        <f t="shared" si="1159"/>
        <v>0</v>
      </c>
      <c r="AF1319" s="78" t="b">
        <f t="shared" si="1160"/>
        <v>0</v>
      </c>
      <c r="AG1319" s="78" t="b">
        <f t="shared" si="1161"/>
        <v>0</v>
      </c>
      <c r="AH1319" s="78" t="b">
        <f t="shared" si="1162"/>
        <v>0</v>
      </c>
      <c r="AI1319" s="78" t="b">
        <f t="shared" si="1163"/>
        <v>0</v>
      </c>
      <c r="AJ1319" s="78" t="b">
        <f t="shared" si="1164"/>
        <v>0</v>
      </c>
      <c r="AK1319" s="78" t="b">
        <f t="shared" si="1165"/>
        <v>0</v>
      </c>
      <c r="AL1319" s="78" t="b">
        <f t="shared" si="1166"/>
        <v>0</v>
      </c>
      <c r="AM1319" s="78" t="b">
        <f t="shared" si="1167"/>
        <v>0</v>
      </c>
      <c r="AN1319" s="78" t="b">
        <f t="shared" si="1168"/>
        <v>0</v>
      </c>
      <c r="AO1319" s="78" t="b">
        <f t="shared" si="1169"/>
        <v>0</v>
      </c>
    </row>
    <row r="1320" spans="7:41" x14ac:dyDescent="0.35">
      <c r="G1320" s="77">
        <f t="shared" si="1139"/>
        <v>0</v>
      </c>
      <c r="H1320" s="78">
        <f t="shared" si="1140"/>
        <v>0</v>
      </c>
      <c r="I1320" s="77">
        <f t="shared" si="1141"/>
        <v>0</v>
      </c>
      <c r="J1320" s="78">
        <f t="shared" si="1142"/>
        <v>0</v>
      </c>
      <c r="K1320" s="78" t="str">
        <f t="shared" si="1143"/>
        <v>1900-01-00 00:0:00</v>
      </c>
      <c r="L1320" s="78" t="str">
        <f t="shared" si="1144"/>
        <v>1900-01-00 00:0:00</v>
      </c>
      <c r="M1320" s="79">
        <f t="shared" si="1145"/>
        <v>0</v>
      </c>
      <c r="N1320">
        <f t="shared" si="1170"/>
        <v>1</v>
      </c>
      <c r="O1320" t="str">
        <f>IFERROR(_xlfn.XLOOKUP(A1320,HC!A:A,HC!C:C),"")</f>
        <v>Workforce</v>
      </c>
      <c r="R1320" s="78" t="b">
        <f t="shared" si="1146"/>
        <v>0</v>
      </c>
      <c r="S1320" s="78" t="b">
        <f t="shared" si="1147"/>
        <v>0</v>
      </c>
      <c r="T1320" s="78" t="b">
        <f t="shared" si="1148"/>
        <v>0</v>
      </c>
      <c r="U1320" s="78" t="b">
        <f t="shared" si="1149"/>
        <v>0</v>
      </c>
      <c r="V1320" s="78" t="b">
        <f t="shared" si="1150"/>
        <v>0</v>
      </c>
      <c r="W1320" s="78" t="b">
        <f t="shared" si="1151"/>
        <v>0</v>
      </c>
      <c r="X1320" s="78" t="b">
        <f t="shared" si="1152"/>
        <v>0</v>
      </c>
      <c r="Y1320" s="78" t="b">
        <f t="shared" si="1153"/>
        <v>0</v>
      </c>
      <c r="Z1320" s="78" t="b">
        <f t="shared" si="1154"/>
        <v>0</v>
      </c>
      <c r="AA1320" s="78" t="b">
        <f t="shared" si="1155"/>
        <v>0</v>
      </c>
      <c r="AB1320" s="78" t="b">
        <f t="shared" si="1156"/>
        <v>0</v>
      </c>
      <c r="AC1320" s="78" t="b">
        <f t="shared" si="1157"/>
        <v>0</v>
      </c>
      <c r="AD1320" s="78" t="b">
        <f t="shared" si="1158"/>
        <v>0</v>
      </c>
      <c r="AE1320" s="78" t="b">
        <f t="shared" si="1159"/>
        <v>0</v>
      </c>
      <c r="AF1320" s="78" t="b">
        <f t="shared" si="1160"/>
        <v>0</v>
      </c>
      <c r="AG1320" s="78" t="b">
        <f t="shared" si="1161"/>
        <v>0</v>
      </c>
      <c r="AH1320" s="78" t="b">
        <f t="shared" si="1162"/>
        <v>0</v>
      </c>
      <c r="AI1320" s="78" t="b">
        <f t="shared" si="1163"/>
        <v>0</v>
      </c>
      <c r="AJ1320" s="78" t="b">
        <f t="shared" si="1164"/>
        <v>0</v>
      </c>
      <c r="AK1320" s="78" t="b">
        <f t="shared" si="1165"/>
        <v>0</v>
      </c>
      <c r="AL1320" s="78" t="b">
        <f t="shared" si="1166"/>
        <v>0</v>
      </c>
      <c r="AM1320" s="78" t="b">
        <f t="shared" si="1167"/>
        <v>0</v>
      </c>
      <c r="AN1320" s="78" t="b">
        <f t="shared" si="1168"/>
        <v>0</v>
      </c>
      <c r="AO1320" s="78" t="b">
        <f t="shared" si="1169"/>
        <v>0</v>
      </c>
    </row>
    <row r="1321" spans="7:41" x14ac:dyDescent="0.35">
      <c r="G1321" s="77">
        <f t="shared" si="1139"/>
        <v>0</v>
      </c>
      <c r="H1321" s="78">
        <f t="shared" si="1140"/>
        <v>0</v>
      </c>
      <c r="I1321" s="77">
        <f t="shared" si="1141"/>
        <v>0</v>
      </c>
      <c r="J1321" s="78">
        <f t="shared" si="1142"/>
        <v>0</v>
      </c>
      <c r="K1321" s="78" t="str">
        <f t="shared" si="1143"/>
        <v>1900-01-00 00:0:00</v>
      </c>
      <c r="L1321" s="78" t="str">
        <f t="shared" si="1144"/>
        <v>1900-01-00 00:0:00</v>
      </c>
      <c r="M1321" s="79">
        <f t="shared" si="1145"/>
        <v>0</v>
      </c>
      <c r="N1321">
        <f t="shared" si="1170"/>
        <v>1</v>
      </c>
      <c r="O1321" t="str">
        <f>IFERROR(_xlfn.XLOOKUP(A1321,HC!A:A,HC!C:C),"")</f>
        <v>Workforce</v>
      </c>
      <c r="R1321" s="78" t="b">
        <f t="shared" si="1146"/>
        <v>0</v>
      </c>
      <c r="S1321" s="78" t="b">
        <f t="shared" si="1147"/>
        <v>0</v>
      </c>
      <c r="T1321" s="78" t="b">
        <f t="shared" si="1148"/>
        <v>0</v>
      </c>
      <c r="U1321" s="78" t="b">
        <f t="shared" si="1149"/>
        <v>0</v>
      </c>
      <c r="V1321" s="78" t="b">
        <f t="shared" si="1150"/>
        <v>0</v>
      </c>
      <c r="W1321" s="78" t="b">
        <f t="shared" si="1151"/>
        <v>0</v>
      </c>
      <c r="X1321" s="78" t="b">
        <f t="shared" si="1152"/>
        <v>0</v>
      </c>
      <c r="Y1321" s="78" t="b">
        <f t="shared" si="1153"/>
        <v>0</v>
      </c>
      <c r="Z1321" s="78" t="b">
        <f t="shared" si="1154"/>
        <v>0</v>
      </c>
      <c r="AA1321" s="78" t="b">
        <f t="shared" si="1155"/>
        <v>0</v>
      </c>
      <c r="AB1321" s="78" t="b">
        <f t="shared" si="1156"/>
        <v>0</v>
      </c>
      <c r="AC1321" s="78" t="b">
        <f t="shared" si="1157"/>
        <v>0</v>
      </c>
      <c r="AD1321" s="78" t="b">
        <f t="shared" si="1158"/>
        <v>0</v>
      </c>
      <c r="AE1321" s="78" t="b">
        <f t="shared" si="1159"/>
        <v>0</v>
      </c>
      <c r="AF1321" s="78" t="b">
        <f t="shared" si="1160"/>
        <v>0</v>
      </c>
      <c r="AG1321" s="78" t="b">
        <f t="shared" si="1161"/>
        <v>0</v>
      </c>
      <c r="AH1321" s="78" t="b">
        <f t="shared" si="1162"/>
        <v>0</v>
      </c>
      <c r="AI1321" s="78" t="b">
        <f t="shared" si="1163"/>
        <v>0</v>
      </c>
      <c r="AJ1321" s="78" t="b">
        <f t="shared" si="1164"/>
        <v>0</v>
      </c>
      <c r="AK1321" s="78" t="b">
        <f t="shared" si="1165"/>
        <v>0</v>
      </c>
      <c r="AL1321" s="78" t="b">
        <f t="shared" si="1166"/>
        <v>0</v>
      </c>
      <c r="AM1321" s="78" t="b">
        <f t="shared" si="1167"/>
        <v>0</v>
      </c>
      <c r="AN1321" s="78" t="b">
        <f t="shared" si="1168"/>
        <v>0</v>
      </c>
      <c r="AO1321" s="78" t="b">
        <f t="shared" si="1169"/>
        <v>0</v>
      </c>
    </row>
    <row r="1322" spans="7:41" x14ac:dyDescent="0.35">
      <c r="G1322" s="77">
        <f t="shared" si="1139"/>
        <v>0</v>
      </c>
      <c r="H1322" s="78">
        <f t="shared" si="1140"/>
        <v>0</v>
      </c>
      <c r="I1322" s="77">
        <f t="shared" si="1141"/>
        <v>0</v>
      </c>
      <c r="J1322" s="78">
        <f t="shared" si="1142"/>
        <v>0</v>
      </c>
      <c r="K1322" s="78" t="str">
        <f t="shared" si="1143"/>
        <v>1900-01-00 00:0:00</v>
      </c>
      <c r="L1322" s="78" t="str">
        <f t="shared" si="1144"/>
        <v>1900-01-00 00:0:00</v>
      </c>
      <c r="M1322" s="79">
        <f t="shared" si="1145"/>
        <v>0</v>
      </c>
      <c r="N1322">
        <f t="shared" si="1170"/>
        <v>1</v>
      </c>
      <c r="O1322" t="str">
        <f>IFERROR(_xlfn.XLOOKUP(A1322,HC!A:A,HC!C:C),"")</f>
        <v>Workforce</v>
      </c>
      <c r="R1322" s="78" t="b">
        <f t="shared" si="1146"/>
        <v>0</v>
      </c>
      <c r="S1322" s="78" t="b">
        <f t="shared" si="1147"/>
        <v>0</v>
      </c>
      <c r="T1322" s="78" t="b">
        <f t="shared" si="1148"/>
        <v>0</v>
      </c>
      <c r="U1322" s="78" t="b">
        <f t="shared" si="1149"/>
        <v>0</v>
      </c>
      <c r="V1322" s="78" t="b">
        <f t="shared" si="1150"/>
        <v>0</v>
      </c>
      <c r="W1322" s="78" t="b">
        <f t="shared" si="1151"/>
        <v>0</v>
      </c>
      <c r="X1322" s="78" t="b">
        <f t="shared" si="1152"/>
        <v>0</v>
      </c>
      <c r="Y1322" s="78" t="b">
        <f t="shared" si="1153"/>
        <v>0</v>
      </c>
      <c r="Z1322" s="78" t="b">
        <f t="shared" si="1154"/>
        <v>0</v>
      </c>
      <c r="AA1322" s="78" t="b">
        <f t="shared" si="1155"/>
        <v>0</v>
      </c>
      <c r="AB1322" s="78" t="b">
        <f t="shared" si="1156"/>
        <v>0</v>
      </c>
      <c r="AC1322" s="78" t="b">
        <f t="shared" si="1157"/>
        <v>0</v>
      </c>
      <c r="AD1322" s="78" t="b">
        <f t="shared" si="1158"/>
        <v>0</v>
      </c>
      <c r="AE1322" s="78" t="b">
        <f t="shared" si="1159"/>
        <v>0</v>
      </c>
      <c r="AF1322" s="78" t="b">
        <f t="shared" si="1160"/>
        <v>0</v>
      </c>
      <c r="AG1322" s="78" t="b">
        <f t="shared" si="1161"/>
        <v>0</v>
      </c>
      <c r="AH1322" s="78" t="b">
        <f t="shared" si="1162"/>
        <v>0</v>
      </c>
      <c r="AI1322" s="78" t="b">
        <f t="shared" si="1163"/>
        <v>0</v>
      </c>
      <c r="AJ1322" s="78" t="b">
        <f t="shared" si="1164"/>
        <v>0</v>
      </c>
      <c r="AK1322" s="78" t="b">
        <f t="shared" si="1165"/>
        <v>0</v>
      </c>
      <c r="AL1322" s="78" t="b">
        <f t="shared" si="1166"/>
        <v>0</v>
      </c>
      <c r="AM1322" s="78" t="b">
        <f t="shared" si="1167"/>
        <v>0</v>
      </c>
      <c r="AN1322" s="78" t="b">
        <f t="shared" si="1168"/>
        <v>0</v>
      </c>
      <c r="AO1322" s="78" t="b">
        <f t="shared" si="1169"/>
        <v>0</v>
      </c>
    </row>
    <row r="1323" spans="7:41" x14ac:dyDescent="0.35">
      <c r="G1323" s="77">
        <f t="shared" si="1139"/>
        <v>0</v>
      </c>
      <c r="H1323" s="78">
        <f t="shared" si="1140"/>
        <v>0</v>
      </c>
      <c r="I1323" s="77">
        <f t="shared" si="1141"/>
        <v>0</v>
      </c>
      <c r="J1323" s="78">
        <f t="shared" si="1142"/>
        <v>0</v>
      </c>
      <c r="K1323" s="78" t="str">
        <f t="shared" si="1143"/>
        <v>1900-01-00 00:0:00</v>
      </c>
      <c r="L1323" s="78" t="str">
        <f t="shared" si="1144"/>
        <v>1900-01-00 00:0:00</v>
      </c>
      <c r="M1323" s="79">
        <f t="shared" si="1145"/>
        <v>0</v>
      </c>
      <c r="N1323">
        <f t="shared" si="1170"/>
        <v>1</v>
      </c>
      <c r="O1323" t="str">
        <f>IFERROR(_xlfn.XLOOKUP(A1323,HC!A:A,HC!C:C),"")</f>
        <v>Workforce</v>
      </c>
      <c r="R1323" s="78" t="b">
        <f t="shared" si="1146"/>
        <v>0</v>
      </c>
      <c r="S1323" s="78" t="b">
        <f t="shared" si="1147"/>
        <v>0</v>
      </c>
      <c r="T1323" s="78" t="b">
        <f t="shared" si="1148"/>
        <v>0</v>
      </c>
      <c r="U1323" s="78" t="b">
        <f t="shared" si="1149"/>
        <v>0</v>
      </c>
      <c r="V1323" s="78" t="b">
        <f t="shared" si="1150"/>
        <v>0</v>
      </c>
      <c r="W1323" s="78" t="b">
        <f t="shared" si="1151"/>
        <v>0</v>
      </c>
      <c r="X1323" s="78" t="b">
        <f t="shared" si="1152"/>
        <v>0</v>
      </c>
      <c r="Y1323" s="78" t="b">
        <f t="shared" si="1153"/>
        <v>0</v>
      </c>
      <c r="Z1323" s="78" t="b">
        <f t="shared" si="1154"/>
        <v>0</v>
      </c>
      <c r="AA1323" s="78" t="b">
        <f t="shared" si="1155"/>
        <v>0</v>
      </c>
      <c r="AB1323" s="78" t="b">
        <f t="shared" si="1156"/>
        <v>0</v>
      </c>
      <c r="AC1323" s="78" t="b">
        <f t="shared" si="1157"/>
        <v>0</v>
      </c>
      <c r="AD1323" s="78" t="b">
        <f t="shared" si="1158"/>
        <v>0</v>
      </c>
      <c r="AE1323" s="78" t="b">
        <f t="shared" si="1159"/>
        <v>0</v>
      </c>
      <c r="AF1323" s="78" t="b">
        <f t="shared" si="1160"/>
        <v>0</v>
      </c>
      <c r="AG1323" s="78" t="b">
        <f t="shared" si="1161"/>
        <v>0</v>
      </c>
      <c r="AH1323" s="78" t="b">
        <f t="shared" si="1162"/>
        <v>0</v>
      </c>
      <c r="AI1323" s="78" t="b">
        <f t="shared" si="1163"/>
        <v>0</v>
      </c>
      <c r="AJ1323" s="78" t="b">
        <f t="shared" si="1164"/>
        <v>0</v>
      </c>
      <c r="AK1323" s="78" t="b">
        <f t="shared" si="1165"/>
        <v>0</v>
      </c>
      <c r="AL1323" s="78" t="b">
        <f t="shared" si="1166"/>
        <v>0</v>
      </c>
      <c r="AM1323" s="78" t="b">
        <f t="shared" si="1167"/>
        <v>0</v>
      </c>
      <c r="AN1323" s="78" t="b">
        <f t="shared" si="1168"/>
        <v>0</v>
      </c>
      <c r="AO1323" s="78" t="b">
        <f t="shared" si="1169"/>
        <v>0</v>
      </c>
    </row>
    <row r="1324" spans="7:41" x14ac:dyDescent="0.35">
      <c r="G1324" s="77">
        <f t="shared" si="1139"/>
        <v>0</v>
      </c>
      <c r="H1324" s="78">
        <f t="shared" si="1140"/>
        <v>0</v>
      </c>
      <c r="I1324" s="77">
        <f t="shared" si="1141"/>
        <v>0</v>
      </c>
      <c r="J1324" s="78">
        <f t="shared" si="1142"/>
        <v>0</v>
      </c>
      <c r="K1324" s="78" t="str">
        <f t="shared" si="1143"/>
        <v>1900-01-00 00:0:00</v>
      </c>
      <c r="L1324" s="78" t="str">
        <f t="shared" si="1144"/>
        <v>1900-01-00 00:0:00</v>
      </c>
      <c r="M1324" s="79">
        <f t="shared" si="1145"/>
        <v>0</v>
      </c>
      <c r="N1324">
        <f t="shared" si="1170"/>
        <v>1</v>
      </c>
      <c r="O1324" t="str">
        <f>IFERROR(_xlfn.XLOOKUP(A1324,HC!A:A,HC!C:C),"")</f>
        <v>Workforce</v>
      </c>
      <c r="R1324" s="78" t="b">
        <f t="shared" si="1146"/>
        <v>0</v>
      </c>
      <c r="S1324" s="78" t="b">
        <f t="shared" si="1147"/>
        <v>0</v>
      </c>
      <c r="T1324" s="78" t="b">
        <f t="shared" si="1148"/>
        <v>0</v>
      </c>
      <c r="U1324" s="78" t="b">
        <f t="shared" si="1149"/>
        <v>0</v>
      </c>
      <c r="V1324" s="78" t="b">
        <f t="shared" si="1150"/>
        <v>0</v>
      </c>
      <c r="W1324" s="78" t="b">
        <f t="shared" si="1151"/>
        <v>0</v>
      </c>
      <c r="X1324" s="78" t="b">
        <f t="shared" si="1152"/>
        <v>0</v>
      </c>
      <c r="Y1324" s="78" t="b">
        <f t="shared" si="1153"/>
        <v>0</v>
      </c>
      <c r="Z1324" s="78" t="b">
        <f t="shared" si="1154"/>
        <v>0</v>
      </c>
      <c r="AA1324" s="78" t="b">
        <f t="shared" si="1155"/>
        <v>0</v>
      </c>
      <c r="AB1324" s="78" t="b">
        <f t="shared" si="1156"/>
        <v>0</v>
      </c>
      <c r="AC1324" s="78" t="b">
        <f t="shared" si="1157"/>
        <v>0</v>
      </c>
      <c r="AD1324" s="78" t="b">
        <f t="shared" si="1158"/>
        <v>0</v>
      </c>
      <c r="AE1324" s="78" t="b">
        <f t="shared" si="1159"/>
        <v>0</v>
      </c>
      <c r="AF1324" s="78" t="b">
        <f t="shared" si="1160"/>
        <v>0</v>
      </c>
      <c r="AG1324" s="78" t="b">
        <f t="shared" si="1161"/>
        <v>0</v>
      </c>
      <c r="AH1324" s="78" t="b">
        <f t="shared" si="1162"/>
        <v>0</v>
      </c>
      <c r="AI1324" s="78" t="b">
        <f t="shared" si="1163"/>
        <v>0</v>
      </c>
      <c r="AJ1324" s="78" t="b">
        <f t="shared" si="1164"/>
        <v>0</v>
      </c>
      <c r="AK1324" s="78" t="b">
        <f t="shared" si="1165"/>
        <v>0</v>
      </c>
      <c r="AL1324" s="78" t="b">
        <f t="shared" si="1166"/>
        <v>0</v>
      </c>
      <c r="AM1324" s="78" t="b">
        <f t="shared" si="1167"/>
        <v>0</v>
      </c>
      <c r="AN1324" s="78" t="b">
        <f t="shared" si="1168"/>
        <v>0</v>
      </c>
      <c r="AO1324" s="78" t="b">
        <f t="shared" si="1169"/>
        <v>0</v>
      </c>
    </row>
    <row r="1325" spans="7:41" x14ac:dyDescent="0.35">
      <c r="G1325" s="77">
        <f t="shared" si="1139"/>
        <v>0</v>
      </c>
      <c r="H1325" s="78">
        <f t="shared" si="1140"/>
        <v>0</v>
      </c>
      <c r="I1325" s="77">
        <f t="shared" si="1141"/>
        <v>0</v>
      </c>
      <c r="J1325" s="78">
        <f t="shared" si="1142"/>
        <v>0</v>
      </c>
      <c r="K1325" s="78" t="str">
        <f t="shared" si="1143"/>
        <v>1900-01-00 00:0:00</v>
      </c>
      <c r="L1325" s="78" t="str">
        <f t="shared" si="1144"/>
        <v>1900-01-00 00:0:00</v>
      </c>
      <c r="M1325" s="79">
        <f t="shared" si="1145"/>
        <v>0</v>
      </c>
      <c r="N1325">
        <f t="shared" si="1170"/>
        <v>1</v>
      </c>
      <c r="O1325" t="str">
        <f>IFERROR(_xlfn.XLOOKUP(A1325,HC!A:A,HC!C:C),"")</f>
        <v>Workforce</v>
      </c>
      <c r="R1325" s="78" t="b">
        <f t="shared" si="1146"/>
        <v>0</v>
      </c>
      <c r="S1325" s="78" t="b">
        <f t="shared" si="1147"/>
        <v>0</v>
      </c>
      <c r="T1325" s="78" t="b">
        <f t="shared" si="1148"/>
        <v>0</v>
      </c>
      <c r="U1325" s="78" t="b">
        <f t="shared" si="1149"/>
        <v>0</v>
      </c>
      <c r="V1325" s="78" t="b">
        <f t="shared" si="1150"/>
        <v>0</v>
      </c>
      <c r="W1325" s="78" t="b">
        <f t="shared" si="1151"/>
        <v>0</v>
      </c>
      <c r="X1325" s="78" t="b">
        <f t="shared" si="1152"/>
        <v>0</v>
      </c>
      <c r="Y1325" s="78" t="b">
        <f t="shared" si="1153"/>
        <v>0</v>
      </c>
      <c r="Z1325" s="78" t="b">
        <f t="shared" si="1154"/>
        <v>0</v>
      </c>
      <c r="AA1325" s="78" t="b">
        <f t="shared" si="1155"/>
        <v>0</v>
      </c>
      <c r="AB1325" s="78" t="b">
        <f t="shared" si="1156"/>
        <v>0</v>
      </c>
      <c r="AC1325" s="78" t="b">
        <f t="shared" si="1157"/>
        <v>0</v>
      </c>
      <c r="AD1325" s="78" t="b">
        <f t="shared" si="1158"/>
        <v>0</v>
      </c>
      <c r="AE1325" s="78" t="b">
        <f t="shared" si="1159"/>
        <v>0</v>
      </c>
      <c r="AF1325" s="78" t="b">
        <f t="shared" si="1160"/>
        <v>0</v>
      </c>
      <c r="AG1325" s="78" t="b">
        <f t="shared" si="1161"/>
        <v>0</v>
      </c>
      <c r="AH1325" s="78" t="b">
        <f t="shared" si="1162"/>
        <v>0</v>
      </c>
      <c r="AI1325" s="78" t="b">
        <f t="shared" si="1163"/>
        <v>0</v>
      </c>
      <c r="AJ1325" s="78" t="b">
        <f t="shared" si="1164"/>
        <v>0</v>
      </c>
      <c r="AK1325" s="78" t="b">
        <f t="shared" si="1165"/>
        <v>0</v>
      </c>
      <c r="AL1325" s="78" t="b">
        <f t="shared" si="1166"/>
        <v>0</v>
      </c>
      <c r="AM1325" s="78" t="b">
        <f t="shared" si="1167"/>
        <v>0</v>
      </c>
      <c r="AN1325" s="78" t="b">
        <f t="shared" si="1168"/>
        <v>0</v>
      </c>
      <c r="AO1325" s="78" t="b">
        <f t="shared" si="1169"/>
        <v>0</v>
      </c>
    </row>
    <row r="1326" spans="7:41" x14ac:dyDescent="0.35">
      <c r="G1326" s="77">
        <f t="shared" si="1139"/>
        <v>0</v>
      </c>
      <c r="H1326" s="78">
        <f t="shared" si="1140"/>
        <v>0</v>
      </c>
      <c r="I1326" s="77">
        <f t="shared" si="1141"/>
        <v>0</v>
      </c>
      <c r="J1326" s="78">
        <f t="shared" si="1142"/>
        <v>0</v>
      </c>
      <c r="K1326" s="78" t="str">
        <f t="shared" si="1143"/>
        <v>1900-01-00 00:0:00</v>
      </c>
      <c r="L1326" s="78" t="str">
        <f t="shared" si="1144"/>
        <v>1900-01-00 00:0:00</v>
      </c>
      <c r="M1326" s="79">
        <f t="shared" si="1145"/>
        <v>0</v>
      </c>
      <c r="N1326">
        <f t="shared" si="1170"/>
        <v>1</v>
      </c>
      <c r="O1326" t="str">
        <f>IFERROR(_xlfn.XLOOKUP(A1326,HC!A:A,HC!C:C),"")</f>
        <v>Workforce</v>
      </c>
      <c r="R1326" s="78" t="b">
        <f t="shared" si="1146"/>
        <v>0</v>
      </c>
      <c r="S1326" s="78" t="b">
        <f t="shared" si="1147"/>
        <v>0</v>
      </c>
      <c r="T1326" s="78" t="b">
        <f t="shared" si="1148"/>
        <v>0</v>
      </c>
      <c r="U1326" s="78" t="b">
        <f t="shared" si="1149"/>
        <v>0</v>
      </c>
      <c r="V1326" s="78" t="b">
        <f t="shared" si="1150"/>
        <v>0</v>
      </c>
      <c r="W1326" s="78" t="b">
        <f t="shared" si="1151"/>
        <v>0</v>
      </c>
      <c r="X1326" s="78" t="b">
        <f t="shared" si="1152"/>
        <v>0</v>
      </c>
      <c r="Y1326" s="78" t="b">
        <f t="shared" si="1153"/>
        <v>0</v>
      </c>
      <c r="Z1326" s="78" t="b">
        <f t="shared" si="1154"/>
        <v>0</v>
      </c>
      <c r="AA1326" s="78" t="b">
        <f t="shared" si="1155"/>
        <v>0</v>
      </c>
      <c r="AB1326" s="78" t="b">
        <f t="shared" si="1156"/>
        <v>0</v>
      </c>
      <c r="AC1326" s="78" t="b">
        <f t="shared" si="1157"/>
        <v>0</v>
      </c>
      <c r="AD1326" s="78" t="b">
        <f t="shared" si="1158"/>
        <v>0</v>
      </c>
      <c r="AE1326" s="78" t="b">
        <f t="shared" si="1159"/>
        <v>0</v>
      </c>
      <c r="AF1326" s="78" t="b">
        <f t="shared" si="1160"/>
        <v>0</v>
      </c>
      <c r="AG1326" s="78" t="b">
        <f t="shared" si="1161"/>
        <v>0</v>
      </c>
      <c r="AH1326" s="78" t="b">
        <f t="shared" si="1162"/>
        <v>0</v>
      </c>
      <c r="AI1326" s="78" t="b">
        <f t="shared" si="1163"/>
        <v>0</v>
      </c>
      <c r="AJ1326" s="78" t="b">
        <f t="shared" si="1164"/>
        <v>0</v>
      </c>
      <c r="AK1326" s="78" t="b">
        <f t="shared" si="1165"/>
        <v>0</v>
      </c>
      <c r="AL1326" s="78" t="b">
        <f t="shared" si="1166"/>
        <v>0</v>
      </c>
      <c r="AM1326" s="78" t="b">
        <f t="shared" si="1167"/>
        <v>0</v>
      </c>
      <c r="AN1326" s="78" t="b">
        <f t="shared" si="1168"/>
        <v>0</v>
      </c>
      <c r="AO1326" s="78" t="b">
        <f t="shared" si="1169"/>
        <v>0</v>
      </c>
    </row>
    <row r="1327" spans="7:41" x14ac:dyDescent="0.35">
      <c r="G1327" s="77">
        <f t="shared" si="1139"/>
        <v>0</v>
      </c>
      <c r="H1327" s="78">
        <f t="shared" si="1140"/>
        <v>0</v>
      </c>
      <c r="I1327" s="77">
        <f t="shared" si="1141"/>
        <v>0</v>
      </c>
      <c r="J1327" s="78">
        <f t="shared" si="1142"/>
        <v>0</v>
      </c>
      <c r="K1327" s="78" t="str">
        <f t="shared" si="1143"/>
        <v>1900-01-00 00:0:00</v>
      </c>
      <c r="L1327" s="78" t="str">
        <f t="shared" si="1144"/>
        <v>1900-01-00 00:0:00</v>
      </c>
      <c r="M1327" s="79">
        <f t="shared" si="1145"/>
        <v>0</v>
      </c>
      <c r="N1327">
        <f t="shared" si="1170"/>
        <v>1</v>
      </c>
      <c r="O1327" t="str">
        <f>IFERROR(_xlfn.XLOOKUP(A1327,HC!A:A,HC!C:C),"")</f>
        <v>Workforce</v>
      </c>
      <c r="R1327" s="78" t="b">
        <f t="shared" si="1146"/>
        <v>0</v>
      </c>
      <c r="S1327" s="78" t="b">
        <f t="shared" si="1147"/>
        <v>0</v>
      </c>
      <c r="T1327" s="78" t="b">
        <f t="shared" si="1148"/>
        <v>0</v>
      </c>
      <c r="U1327" s="78" t="b">
        <f t="shared" si="1149"/>
        <v>0</v>
      </c>
      <c r="V1327" s="78" t="b">
        <f t="shared" si="1150"/>
        <v>0</v>
      </c>
      <c r="W1327" s="78" t="b">
        <f t="shared" si="1151"/>
        <v>0</v>
      </c>
      <c r="X1327" s="78" t="b">
        <f t="shared" si="1152"/>
        <v>0</v>
      </c>
      <c r="Y1327" s="78" t="b">
        <f t="shared" si="1153"/>
        <v>0</v>
      </c>
      <c r="Z1327" s="78" t="b">
        <f t="shared" si="1154"/>
        <v>0</v>
      </c>
      <c r="AA1327" s="78" t="b">
        <f t="shared" si="1155"/>
        <v>0</v>
      </c>
      <c r="AB1327" s="78" t="b">
        <f t="shared" si="1156"/>
        <v>0</v>
      </c>
      <c r="AC1327" s="78" t="b">
        <f t="shared" si="1157"/>
        <v>0</v>
      </c>
      <c r="AD1327" s="78" t="b">
        <f t="shared" si="1158"/>
        <v>0</v>
      </c>
      <c r="AE1327" s="78" t="b">
        <f t="shared" si="1159"/>
        <v>0</v>
      </c>
      <c r="AF1327" s="78" t="b">
        <f t="shared" si="1160"/>
        <v>0</v>
      </c>
      <c r="AG1327" s="78" t="b">
        <f t="shared" si="1161"/>
        <v>0</v>
      </c>
      <c r="AH1327" s="78" t="b">
        <f t="shared" si="1162"/>
        <v>0</v>
      </c>
      <c r="AI1327" s="78" t="b">
        <f t="shared" si="1163"/>
        <v>0</v>
      </c>
      <c r="AJ1327" s="78" t="b">
        <f t="shared" si="1164"/>
        <v>0</v>
      </c>
      <c r="AK1327" s="78" t="b">
        <f t="shared" si="1165"/>
        <v>0</v>
      </c>
      <c r="AL1327" s="78" t="b">
        <f t="shared" si="1166"/>
        <v>0</v>
      </c>
      <c r="AM1327" s="78" t="b">
        <f t="shared" si="1167"/>
        <v>0</v>
      </c>
      <c r="AN1327" s="78" t="b">
        <f t="shared" si="1168"/>
        <v>0</v>
      </c>
      <c r="AO1327" s="78" t="b">
        <f t="shared" si="1169"/>
        <v>0</v>
      </c>
    </row>
    <row r="1328" spans="7:41" x14ac:dyDescent="0.35">
      <c r="G1328" s="77">
        <f t="shared" si="1139"/>
        <v>0</v>
      </c>
      <c r="H1328" s="78">
        <f t="shared" si="1140"/>
        <v>0</v>
      </c>
      <c r="I1328" s="77">
        <f t="shared" si="1141"/>
        <v>0</v>
      </c>
      <c r="J1328" s="78">
        <f t="shared" si="1142"/>
        <v>0</v>
      </c>
      <c r="K1328" s="78" t="str">
        <f t="shared" si="1143"/>
        <v>1900-01-00 00:0:00</v>
      </c>
      <c r="L1328" s="78" t="str">
        <f t="shared" si="1144"/>
        <v>1900-01-00 00:0:00</v>
      </c>
      <c r="M1328" s="79">
        <f t="shared" si="1145"/>
        <v>0</v>
      </c>
      <c r="N1328">
        <f t="shared" si="1170"/>
        <v>1</v>
      </c>
      <c r="O1328" t="str">
        <f>IFERROR(_xlfn.XLOOKUP(A1328,HC!A:A,HC!C:C),"")</f>
        <v>Workforce</v>
      </c>
      <c r="R1328" s="78" t="b">
        <f t="shared" si="1146"/>
        <v>0</v>
      </c>
      <c r="S1328" s="78" t="b">
        <f t="shared" si="1147"/>
        <v>0</v>
      </c>
      <c r="T1328" s="78" t="b">
        <f t="shared" si="1148"/>
        <v>0</v>
      </c>
      <c r="U1328" s="78" t="b">
        <f t="shared" si="1149"/>
        <v>0</v>
      </c>
      <c r="V1328" s="78" t="b">
        <f t="shared" si="1150"/>
        <v>0</v>
      </c>
      <c r="W1328" s="78" t="b">
        <f t="shared" si="1151"/>
        <v>0</v>
      </c>
      <c r="X1328" s="78" t="b">
        <f t="shared" si="1152"/>
        <v>0</v>
      </c>
      <c r="Y1328" s="78" t="b">
        <f t="shared" si="1153"/>
        <v>0</v>
      </c>
      <c r="Z1328" s="78" t="b">
        <f t="shared" si="1154"/>
        <v>0</v>
      </c>
      <c r="AA1328" s="78" t="b">
        <f t="shared" si="1155"/>
        <v>0</v>
      </c>
      <c r="AB1328" s="78" t="b">
        <f t="shared" si="1156"/>
        <v>0</v>
      </c>
      <c r="AC1328" s="78" t="b">
        <f t="shared" si="1157"/>
        <v>0</v>
      </c>
      <c r="AD1328" s="78" t="b">
        <f t="shared" si="1158"/>
        <v>0</v>
      </c>
      <c r="AE1328" s="78" t="b">
        <f t="shared" si="1159"/>
        <v>0</v>
      </c>
      <c r="AF1328" s="78" t="b">
        <f t="shared" si="1160"/>
        <v>0</v>
      </c>
      <c r="AG1328" s="78" t="b">
        <f t="shared" si="1161"/>
        <v>0</v>
      </c>
      <c r="AH1328" s="78" t="b">
        <f t="shared" si="1162"/>
        <v>0</v>
      </c>
      <c r="AI1328" s="78" t="b">
        <f t="shared" si="1163"/>
        <v>0</v>
      </c>
      <c r="AJ1328" s="78" t="b">
        <f t="shared" si="1164"/>
        <v>0</v>
      </c>
      <c r="AK1328" s="78" t="b">
        <f t="shared" si="1165"/>
        <v>0</v>
      </c>
      <c r="AL1328" s="78" t="b">
        <f t="shared" si="1166"/>
        <v>0</v>
      </c>
      <c r="AM1328" s="78" t="b">
        <f t="shared" si="1167"/>
        <v>0</v>
      </c>
      <c r="AN1328" s="78" t="b">
        <f t="shared" si="1168"/>
        <v>0</v>
      </c>
      <c r="AO1328" s="78" t="b">
        <f t="shared" si="1169"/>
        <v>0</v>
      </c>
    </row>
    <row r="1329" spans="7:41" x14ac:dyDescent="0.35">
      <c r="G1329" s="77">
        <f t="shared" si="1139"/>
        <v>0</v>
      </c>
      <c r="H1329" s="78">
        <f t="shared" si="1140"/>
        <v>0</v>
      </c>
      <c r="I1329" s="77">
        <f t="shared" si="1141"/>
        <v>0</v>
      </c>
      <c r="J1329" s="78">
        <f t="shared" si="1142"/>
        <v>0</v>
      </c>
      <c r="K1329" s="78" t="str">
        <f t="shared" si="1143"/>
        <v>1900-01-00 00:0:00</v>
      </c>
      <c r="L1329" s="78" t="str">
        <f t="shared" si="1144"/>
        <v>1900-01-00 00:0:00</v>
      </c>
      <c r="M1329" s="79">
        <f t="shared" si="1145"/>
        <v>0</v>
      </c>
      <c r="N1329">
        <f t="shared" si="1170"/>
        <v>1</v>
      </c>
      <c r="O1329" t="str">
        <f>IFERROR(_xlfn.XLOOKUP(A1329,HC!A:A,HC!C:C),"")</f>
        <v>Workforce</v>
      </c>
      <c r="R1329" s="78" t="b">
        <f t="shared" si="1146"/>
        <v>0</v>
      </c>
      <c r="S1329" s="78" t="b">
        <f t="shared" si="1147"/>
        <v>0</v>
      </c>
      <c r="T1329" s="78" t="b">
        <f t="shared" si="1148"/>
        <v>0</v>
      </c>
      <c r="U1329" s="78" t="b">
        <f t="shared" si="1149"/>
        <v>0</v>
      </c>
      <c r="V1329" s="78" t="b">
        <f t="shared" si="1150"/>
        <v>0</v>
      </c>
      <c r="W1329" s="78" t="b">
        <f t="shared" si="1151"/>
        <v>0</v>
      </c>
      <c r="X1329" s="78" t="b">
        <f t="shared" si="1152"/>
        <v>0</v>
      </c>
      <c r="Y1329" s="78" t="b">
        <f t="shared" si="1153"/>
        <v>0</v>
      </c>
      <c r="Z1329" s="78" t="b">
        <f t="shared" si="1154"/>
        <v>0</v>
      </c>
      <c r="AA1329" s="78" t="b">
        <f t="shared" si="1155"/>
        <v>0</v>
      </c>
      <c r="AB1329" s="78" t="b">
        <f t="shared" si="1156"/>
        <v>0</v>
      </c>
      <c r="AC1329" s="78" t="b">
        <f t="shared" si="1157"/>
        <v>0</v>
      </c>
      <c r="AD1329" s="78" t="b">
        <f t="shared" si="1158"/>
        <v>0</v>
      </c>
      <c r="AE1329" s="78" t="b">
        <f t="shared" si="1159"/>
        <v>0</v>
      </c>
      <c r="AF1329" s="78" t="b">
        <f t="shared" si="1160"/>
        <v>0</v>
      </c>
      <c r="AG1329" s="78" t="b">
        <f t="shared" si="1161"/>
        <v>0</v>
      </c>
      <c r="AH1329" s="78" t="b">
        <f t="shared" si="1162"/>
        <v>0</v>
      </c>
      <c r="AI1329" s="78" t="b">
        <f t="shared" si="1163"/>
        <v>0</v>
      </c>
      <c r="AJ1329" s="78" t="b">
        <f t="shared" si="1164"/>
        <v>0</v>
      </c>
      <c r="AK1329" s="78" t="b">
        <f t="shared" si="1165"/>
        <v>0</v>
      </c>
      <c r="AL1329" s="78" t="b">
        <f t="shared" si="1166"/>
        <v>0</v>
      </c>
      <c r="AM1329" s="78" t="b">
        <f t="shared" si="1167"/>
        <v>0</v>
      </c>
      <c r="AN1329" s="78" t="b">
        <f t="shared" si="1168"/>
        <v>0</v>
      </c>
      <c r="AO1329" s="78" t="b">
        <f t="shared" si="1169"/>
        <v>0</v>
      </c>
    </row>
    <row r="1330" spans="7:41" x14ac:dyDescent="0.35">
      <c r="G1330" s="77">
        <f t="shared" si="1139"/>
        <v>0</v>
      </c>
      <c r="H1330" s="78">
        <f t="shared" si="1140"/>
        <v>0</v>
      </c>
      <c r="I1330" s="77">
        <f t="shared" si="1141"/>
        <v>0</v>
      </c>
      <c r="J1330" s="78">
        <f t="shared" si="1142"/>
        <v>0</v>
      </c>
      <c r="K1330" s="78" t="str">
        <f t="shared" si="1143"/>
        <v>1900-01-00 00:0:00</v>
      </c>
      <c r="L1330" s="78" t="str">
        <f t="shared" si="1144"/>
        <v>1900-01-00 00:0:00</v>
      </c>
      <c r="M1330" s="79">
        <f t="shared" si="1145"/>
        <v>0</v>
      </c>
      <c r="N1330">
        <f t="shared" si="1170"/>
        <v>1</v>
      </c>
      <c r="O1330" t="str">
        <f>IFERROR(_xlfn.XLOOKUP(A1330,HC!A:A,HC!C:C),"")</f>
        <v>Workforce</v>
      </c>
      <c r="R1330" s="78" t="b">
        <f t="shared" si="1146"/>
        <v>0</v>
      </c>
      <c r="S1330" s="78" t="b">
        <f t="shared" si="1147"/>
        <v>0</v>
      </c>
      <c r="T1330" s="78" t="b">
        <f t="shared" si="1148"/>
        <v>0</v>
      </c>
      <c r="U1330" s="78" t="b">
        <f t="shared" si="1149"/>
        <v>0</v>
      </c>
      <c r="V1330" s="78" t="b">
        <f t="shared" si="1150"/>
        <v>0</v>
      </c>
      <c r="W1330" s="78" t="b">
        <f t="shared" si="1151"/>
        <v>0</v>
      </c>
      <c r="X1330" s="78" t="b">
        <f t="shared" si="1152"/>
        <v>0</v>
      </c>
      <c r="Y1330" s="78" t="b">
        <f t="shared" si="1153"/>
        <v>0</v>
      </c>
      <c r="Z1330" s="78" t="b">
        <f t="shared" si="1154"/>
        <v>0</v>
      </c>
      <c r="AA1330" s="78" t="b">
        <f t="shared" si="1155"/>
        <v>0</v>
      </c>
      <c r="AB1330" s="78" t="b">
        <f t="shared" si="1156"/>
        <v>0</v>
      </c>
      <c r="AC1330" s="78" t="b">
        <f t="shared" si="1157"/>
        <v>0</v>
      </c>
      <c r="AD1330" s="78" t="b">
        <f t="shared" si="1158"/>
        <v>0</v>
      </c>
      <c r="AE1330" s="78" t="b">
        <f t="shared" si="1159"/>
        <v>0</v>
      </c>
      <c r="AF1330" s="78" t="b">
        <f t="shared" si="1160"/>
        <v>0</v>
      </c>
      <c r="AG1330" s="78" t="b">
        <f t="shared" si="1161"/>
        <v>0</v>
      </c>
      <c r="AH1330" s="78" t="b">
        <f t="shared" si="1162"/>
        <v>0</v>
      </c>
      <c r="AI1330" s="78" t="b">
        <f t="shared" si="1163"/>
        <v>0</v>
      </c>
      <c r="AJ1330" s="78" t="b">
        <f t="shared" si="1164"/>
        <v>0</v>
      </c>
      <c r="AK1330" s="78" t="b">
        <f t="shared" si="1165"/>
        <v>0</v>
      </c>
      <c r="AL1330" s="78" t="b">
        <f t="shared" si="1166"/>
        <v>0</v>
      </c>
      <c r="AM1330" s="78" t="b">
        <f t="shared" si="1167"/>
        <v>0</v>
      </c>
      <c r="AN1330" s="78" t="b">
        <f t="shared" si="1168"/>
        <v>0</v>
      </c>
      <c r="AO1330" s="78" t="b">
        <f t="shared" si="1169"/>
        <v>0</v>
      </c>
    </row>
    <row r="1331" spans="7:41" x14ac:dyDescent="0.35">
      <c r="G1331" s="77">
        <f t="shared" si="1139"/>
        <v>0</v>
      </c>
      <c r="H1331" s="78">
        <f t="shared" si="1140"/>
        <v>0</v>
      </c>
      <c r="I1331" s="77">
        <f t="shared" si="1141"/>
        <v>0</v>
      </c>
      <c r="J1331" s="78">
        <f t="shared" si="1142"/>
        <v>0</v>
      </c>
      <c r="K1331" s="78" t="str">
        <f t="shared" si="1143"/>
        <v>1900-01-00 00:0:00</v>
      </c>
      <c r="L1331" s="78" t="str">
        <f t="shared" si="1144"/>
        <v>1900-01-00 00:0:00</v>
      </c>
      <c r="M1331" s="79">
        <f t="shared" si="1145"/>
        <v>0</v>
      </c>
      <c r="N1331">
        <f t="shared" si="1170"/>
        <v>1</v>
      </c>
      <c r="O1331" t="str">
        <f>IFERROR(_xlfn.XLOOKUP(A1331,HC!A:A,HC!C:C),"")</f>
        <v>Workforce</v>
      </c>
      <c r="R1331" s="78" t="b">
        <f t="shared" si="1146"/>
        <v>0</v>
      </c>
      <c r="S1331" s="78" t="b">
        <f t="shared" si="1147"/>
        <v>0</v>
      </c>
      <c r="T1331" s="78" t="b">
        <f t="shared" si="1148"/>
        <v>0</v>
      </c>
      <c r="U1331" s="78" t="b">
        <f t="shared" si="1149"/>
        <v>0</v>
      </c>
      <c r="V1331" s="78" t="b">
        <f t="shared" si="1150"/>
        <v>0</v>
      </c>
      <c r="W1331" s="78" t="b">
        <f t="shared" si="1151"/>
        <v>0</v>
      </c>
      <c r="X1331" s="78" t="b">
        <f t="shared" si="1152"/>
        <v>0</v>
      </c>
      <c r="Y1331" s="78" t="b">
        <f t="shared" si="1153"/>
        <v>0</v>
      </c>
      <c r="Z1331" s="78" t="b">
        <f t="shared" si="1154"/>
        <v>0</v>
      </c>
      <c r="AA1331" s="78" t="b">
        <f t="shared" si="1155"/>
        <v>0</v>
      </c>
      <c r="AB1331" s="78" t="b">
        <f t="shared" si="1156"/>
        <v>0</v>
      </c>
      <c r="AC1331" s="78" t="b">
        <f t="shared" si="1157"/>
        <v>0</v>
      </c>
      <c r="AD1331" s="78" t="b">
        <f t="shared" si="1158"/>
        <v>0</v>
      </c>
      <c r="AE1331" s="78" t="b">
        <f t="shared" si="1159"/>
        <v>0</v>
      </c>
      <c r="AF1331" s="78" t="b">
        <f t="shared" si="1160"/>
        <v>0</v>
      </c>
      <c r="AG1331" s="78" t="b">
        <f t="shared" si="1161"/>
        <v>0</v>
      </c>
      <c r="AH1331" s="78" t="b">
        <f t="shared" si="1162"/>
        <v>0</v>
      </c>
      <c r="AI1331" s="78" t="b">
        <f t="shared" si="1163"/>
        <v>0</v>
      </c>
      <c r="AJ1331" s="78" t="b">
        <f t="shared" si="1164"/>
        <v>0</v>
      </c>
      <c r="AK1331" s="78" t="b">
        <f t="shared" si="1165"/>
        <v>0</v>
      </c>
      <c r="AL1331" s="78" t="b">
        <f t="shared" si="1166"/>
        <v>0</v>
      </c>
      <c r="AM1331" s="78" t="b">
        <f t="shared" si="1167"/>
        <v>0</v>
      </c>
      <c r="AN1331" s="78" t="b">
        <f t="shared" si="1168"/>
        <v>0</v>
      </c>
      <c r="AO1331" s="78" t="b">
        <f t="shared" si="1169"/>
        <v>0</v>
      </c>
    </row>
    <row r="1332" spans="7:41" x14ac:dyDescent="0.35">
      <c r="G1332" s="77">
        <f t="shared" si="1139"/>
        <v>0</v>
      </c>
      <c r="H1332" s="78">
        <f t="shared" si="1140"/>
        <v>0</v>
      </c>
      <c r="I1332" s="77">
        <f t="shared" si="1141"/>
        <v>0</v>
      </c>
      <c r="J1332" s="78">
        <f t="shared" si="1142"/>
        <v>0</v>
      </c>
      <c r="K1332" s="78" t="str">
        <f t="shared" si="1143"/>
        <v>1900-01-00 00:0:00</v>
      </c>
      <c r="L1332" s="78" t="str">
        <f t="shared" si="1144"/>
        <v>1900-01-00 00:0:00</v>
      </c>
      <c r="M1332" s="79">
        <f t="shared" si="1145"/>
        <v>0</v>
      </c>
      <c r="N1332">
        <f t="shared" si="1170"/>
        <v>1</v>
      </c>
      <c r="O1332" t="str">
        <f>IFERROR(_xlfn.XLOOKUP(A1332,HC!A:A,HC!C:C),"")</f>
        <v>Workforce</v>
      </c>
      <c r="R1332" s="78" t="b">
        <f t="shared" si="1146"/>
        <v>0</v>
      </c>
      <c r="S1332" s="78" t="b">
        <f t="shared" si="1147"/>
        <v>0</v>
      </c>
      <c r="T1332" s="78" t="b">
        <f t="shared" si="1148"/>
        <v>0</v>
      </c>
      <c r="U1332" s="78" t="b">
        <f t="shared" si="1149"/>
        <v>0</v>
      </c>
      <c r="V1332" s="78" t="b">
        <f t="shared" si="1150"/>
        <v>0</v>
      </c>
      <c r="W1332" s="78" t="b">
        <f t="shared" si="1151"/>
        <v>0</v>
      </c>
      <c r="X1332" s="78" t="b">
        <f t="shared" si="1152"/>
        <v>0</v>
      </c>
      <c r="Y1332" s="78" t="b">
        <f t="shared" si="1153"/>
        <v>0</v>
      </c>
      <c r="Z1332" s="78" t="b">
        <f t="shared" si="1154"/>
        <v>0</v>
      </c>
      <c r="AA1332" s="78" t="b">
        <f t="shared" si="1155"/>
        <v>0</v>
      </c>
      <c r="AB1332" s="78" t="b">
        <f t="shared" si="1156"/>
        <v>0</v>
      </c>
      <c r="AC1332" s="78" t="b">
        <f t="shared" si="1157"/>
        <v>0</v>
      </c>
      <c r="AD1332" s="78" t="b">
        <f t="shared" si="1158"/>
        <v>0</v>
      </c>
      <c r="AE1332" s="78" t="b">
        <f t="shared" si="1159"/>
        <v>0</v>
      </c>
      <c r="AF1332" s="78" t="b">
        <f t="shared" si="1160"/>
        <v>0</v>
      </c>
      <c r="AG1332" s="78" t="b">
        <f t="shared" si="1161"/>
        <v>0</v>
      </c>
      <c r="AH1332" s="78" t="b">
        <f t="shared" si="1162"/>
        <v>0</v>
      </c>
      <c r="AI1332" s="78" t="b">
        <f t="shared" si="1163"/>
        <v>0</v>
      </c>
      <c r="AJ1332" s="78" t="b">
        <f t="shared" si="1164"/>
        <v>0</v>
      </c>
      <c r="AK1332" s="78" t="b">
        <f t="shared" si="1165"/>
        <v>0</v>
      </c>
      <c r="AL1332" s="78" t="b">
        <f t="shared" si="1166"/>
        <v>0</v>
      </c>
      <c r="AM1332" s="78" t="b">
        <f t="shared" si="1167"/>
        <v>0</v>
      </c>
      <c r="AN1332" s="78" t="b">
        <f t="shared" si="1168"/>
        <v>0</v>
      </c>
      <c r="AO1332" s="78" t="b">
        <f t="shared" si="1169"/>
        <v>0</v>
      </c>
    </row>
    <row r="1333" spans="7:41" x14ac:dyDescent="0.35">
      <c r="G1333" s="77">
        <f t="shared" si="1139"/>
        <v>0</v>
      </c>
      <c r="H1333" s="78">
        <f t="shared" si="1140"/>
        <v>0</v>
      </c>
      <c r="I1333" s="77">
        <f t="shared" si="1141"/>
        <v>0</v>
      </c>
      <c r="J1333" s="78">
        <f t="shared" si="1142"/>
        <v>0</v>
      </c>
      <c r="K1333" s="78" t="str">
        <f t="shared" si="1143"/>
        <v>1900-01-00 00:0:00</v>
      </c>
      <c r="L1333" s="78" t="str">
        <f t="shared" si="1144"/>
        <v>1900-01-00 00:0:00</v>
      </c>
      <c r="M1333" s="79">
        <f t="shared" si="1145"/>
        <v>0</v>
      </c>
      <c r="N1333">
        <f t="shared" si="1170"/>
        <v>1</v>
      </c>
      <c r="O1333" t="str">
        <f>IFERROR(_xlfn.XLOOKUP(A1333,HC!A:A,HC!C:C),"")</f>
        <v>Workforce</v>
      </c>
      <c r="R1333" s="78" t="b">
        <f t="shared" si="1146"/>
        <v>0</v>
      </c>
      <c r="S1333" s="78" t="b">
        <f t="shared" si="1147"/>
        <v>0</v>
      </c>
      <c r="T1333" s="78" t="b">
        <f t="shared" si="1148"/>
        <v>0</v>
      </c>
      <c r="U1333" s="78" t="b">
        <f t="shared" si="1149"/>
        <v>0</v>
      </c>
      <c r="V1333" s="78" t="b">
        <f t="shared" si="1150"/>
        <v>0</v>
      </c>
      <c r="W1333" s="78" t="b">
        <f t="shared" si="1151"/>
        <v>0</v>
      </c>
      <c r="X1333" s="78" t="b">
        <f t="shared" si="1152"/>
        <v>0</v>
      </c>
      <c r="Y1333" s="78" t="b">
        <f t="shared" si="1153"/>
        <v>0</v>
      </c>
      <c r="Z1333" s="78" t="b">
        <f t="shared" si="1154"/>
        <v>0</v>
      </c>
      <c r="AA1333" s="78" t="b">
        <f t="shared" si="1155"/>
        <v>0</v>
      </c>
      <c r="AB1333" s="78" t="b">
        <f t="shared" si="1156"/>
        <v>0</v>
      </c>
      <c r="AC1333" s="78" t="b">
        <f t="shared" si="1157"/>
        <v>0</v>
      </c>
      <c r="AD1333" s="78" t="b">
        <f t="shared" si="1158"/>
        <v>0</v>
      </c>
      <c r="AE1333" s="78" t="b">
        <f t="shared" si="1159"/>
        <v>0</v>
      </c>
      <c r="AF1333" s="78" t="b">
        <f t="shared" si="1160"/>
        <v>0</v>
      </c>
      <c r="AG1333" s="78" t="b">
        <f t="shared" si="1161"/>
        <v>0</v>
      </c>
      <c r="AH1333" s="78" t="b">
        <f t="shared" si="1162"/>
        <v>0</v>
      </c>
      <c r="AI1333" s="78" t="b">
        <f t="shared" si="1163"/>
        <v>0</v>
      </c>
      <c r="AJ1333" s="78" t="b">
        <f t="shared" si="1164"/>
        <v>0</v>
      </c>
      <c r="AK1333" s="78" t="b">
        <f t="shared" si="1165"/>
        <v>0</v>
      </c>
      <c r="AL1333" s="78" t="b">
        <f t="shared" si="1166"/>
        <v>0</v>
      </c>
      <c r="AM1333" s="78" t="b">
        <f t="shared" si="1167"/>
        <v>0</v>
      </c>
      <c r="AN1333" s="78" t="b">
        <f t="shared" si="1168"/>
        <v>0</v>
      </c>
      <c r="AO1333" s="78" t="b">
        <f t="shared" si="1169"/>
        <v>0</v>
      </c>
    </row>
    <row r="1334" spans="7:41" x14ac:dyDescent="0.35">
      <c r="G1334" s="77">
        <f t="shared" si="1139"/>
        <v>0</v>
      </c>
      <c r="H1334" s="78">
        <f t="shared" si="1140"/>
        <v>0</v>
      </c>
      <c r="I1334" s="77">
        <f t="shared" si="1141"/>
        <v>0</v>
      </c>
      <c r="J1334" s="78">
        <f t="shared" si="1142"/>
        <v>0</v>
      </c>
      <c r="K1334" s="78" t="str">
        <f t="shared" si="1143"/>
        <v>1900-01-00 00:0:00</v>
      </c>
      <c r="L1334" s="78" t="str">
        <f t="shared" si="1144"/>
        <v>1900-01-00 00:0:00</v>
      </c>
      <c r="M1334" s="79">
        <f t="shared" si="1145"/>
        <v>0</v>
      </c>
      <c r="N1334">
        <f t="shared" si="1170"/>
        <v>1</v>
      </c>
      <c r="O1334" t="str">
        <f>IFERROR(_xlfn.XLOOKUP(A1334,HC!A:A,HC!C:C),"")</f>
        <v>Workforce</v>
      </c>
      <c r="R1334" s="78" t="b">
        <f t="shared" si="1146"/>
        <v>0</v>
      </c>
      <c r="S1334" s="78" t="b">
        <f t="shared" si="1147"/>
        <v>0</v>
      </c>
      <c r="T1334" s="78" t="b">
        <f t="shared" si="1148"/>
        <v>0</v>
      </c>
      <c r="U1334" s="78" t="b">
        <f t="shared" si="1149"/>
        <v>0</v>
      </c>
      <c r="V1334" s="78" t="b">
        <f t="shared" si="1150"/>
        <v>0</v>
      </c>
      <c r="W1334" s="78" t="b">
        <f t="shared" si="1151"/>
        <v>0</v>
      </c>
      <c r="X1334" s="78" t="b">
        <f t="shared" si="1152"/>
        <v>0</v>
      </c>
      <c r="Y1334" s="78" t="b">
        <f t="shared" si="1153"/>
        <v>0</v>
      </c>
      <c r="Z1334" s="78" t="b">
        <f t="shared" si="1154"/>
        <v>0</v>
      </c>
      <c r="AA1334" s="78" t="b">
        <f t="shared" si="1155"/>
        <v>0</v>
      </c>
      <c r="AB1334" s="78" t="b">
        <f t="shared" si="1156"/>
        <v>0</v>
      </c>
      <c r="AC1334" s="78" t="b">
        <f t="shared" si="1157"/>
        <v>0</v>
      </c>
      <c r="AD1334" s="78" t="b">
        <f t="shared" si="1158"/>
        <v>0</v>
      </c>
      <c r="AE1334" s="78" t="b">
        <f t="shared" si="1159"/>
        <v>0</v>
      </c>
      <c r="AF1334" s="78" t="b">
        <f t="shared" si="1160"/>
        <v>0</v>
      </c>
      <c r="AG1334" s="78" t="b">
        <f t="shared" si="1161"/>
        <v>0</v>
      </c>
      <c r="AH1334" s="78" t="b">
        <f t="shared" si="1162"/>
        <v>0</v>
      </c>
      <c r="AI1334" s="78" t="b">
        <f t="shared" si="1163"/>
        <v>0</v>
      </c>
      <c r="AJ1334" s="78" t="b">
        <f t="shared" si="1164"/>
        <v>0</v>
      </c>
      <c r="AK1334" s="78" t="b">
        <f t="shared" si="1165"/>
        <v>0</v>
      </c>
      <c r="AL1334" s="78" t="b">
        <f t="shared" si="1166"/>
        <v>0</v>
      </c>
      <c r="AM1334" s="78" t="b">
        <f t="shared" si="1167"/>
        <v>0</v>
      </c>
      <c r="AN1334" s="78" t="b">
        <f t="shared" si="1168"/>
        <v>0</v>
      </c>
      <c r="AO1334" s="78" t="b">
        <f t="shared" si="1169"/>
        <v>0</v>
      </c>
    </row>
    <row r="1335" spans="7:41" x14ac:dyDescent="0.35">
      <c r="G1335" s="77">
        <f t="shared" si="1139"/>
        <v>0</v>
      </c>
      <c r="H1335" s="78">
        <f t="shared" si="1140"/>
        <v>0</v>
      </c>
      <c r="I1335" s="77">
        <f t="shared" si="1141"/>
        <v>0</v>
      </c>
      <c r="J1335" s="78">
        <f t="shared" si="1142"/>
        <v>0</v>
      </c>
      <c r="K1335" s="78" t="str">
        <f t="shared" si="1143"/>
        <v>1900-01-00 00:0:00</v>
      </c>
      <c r="L1335" s="78" t="str">
        <f t="shared" si="1144"/>
        <v>1900-01-00 00:0:00</v>
      </c>
      <c r="M1335" s="79">
        <f t="shared" si="1145"/>
        <v>0</v>
      </c>
      <c r="N1335">
        <f t="shared" si="1170"/>
        <v>1</v>
      </c>
      <c r="O1335" t="str">
        <f>IFERROR(_xlfn.XLOOKUP(A1335,HC!A:A,HC!C:C),"")</f>
        <v>Workforce</v>
      </c>
      <c r="R1335" s="78" t="b">
        <f t="shared" si="1146"/>
        <v>0</v>
      </c>
      <c r="S1335" s="78" t="b">
        <f t="shared" si="1147"/>
        <v>0</v>
      </c>
      <c r="T1335" s="78" t="b">
        <f t="shared" si="1148"/>
        <v>0</v>
      </c>
      <c r="U1335" s="78" t="b">
        <f t="shared" si="1149"/>
        <v>0</v>
      </c>
      <c r="V1335" s="78" t="b">
        <f t="shared" si="1150"/>
        <v>0</v>
      </c>
      <c r="W1335" s="78" t="b">
        <f t="shared" si="1151"/>
        <v>0</v>
      </c>
      <c r="X1335" s="78" t="b">
        <f t="shared" si="1152"/>
        <v>0</v>
      </c>
      <c r="Y1335" s="78" t="b">
        <f t="shared" si="1153"/>
        <v>0</v>
      </c>
      <c r="Z1335" s="78" t="b">
        <f t="shared" si="1154"/>
        <v>0</v>
      </c>
      <c r="AA1335" s="78" t="b">
        <f t="shared" si="1155"/>
        <v>0</v>
      </c>
      <c r="AB1335" s="78" t="b">
        <f t="shared" si="1156"/>
        <v>0</v>
      </c>
      <c r="AC1335" s="78" t="b">
        <f t="shared" si="1157"/>
        <v>0</v>
      </c>
      <c r="AD1335" s="78" t="b">
        <f t="shared" si="1158"/>
        <v>0</v>
      </c>
      <c r="AE1335" s="78" t="b">
        <f t="shared" si="1159"/>
        <v>0</v>
      </c>
      <c r="AF1335" s="78" t="b">
        <f t="shared" si="1160"/>
        <v>0</v>
      </c>
      <c r="AG1335" s="78" t="b">
        <f t="shared" si="1161"/>
        <v>0</v>
      </c>
      <c r="AH1335" s="78" t="b">
        <f t="shared" si="1162"/>
        <v>0</v>
      </c>
      <c r="AI1335" s="78" t="b">
        <f t="shared" si="1163"/>
        <v>0</v>
      </c>
      <c r="AJ1335" s="78" t="b">
        <f t="shared" si="1164"/>
        <v>0</v>
      </c>
      <c r="AK1335" s="78" t="b">
        <f t="shared" si="1165"/>
        <v>0</v>
      </c>
      <c r="AL1335" s="78" t="b">
        <f t="shared" si="1166"/>
        <v>0</v>
      </c>
      <c r="AM1335" s="78" t="b">
        <f t="shared" si="1167"/>
        <v>0</v>
      </c>
      <c r="AN1335" s="78" t="b">
        <f t="shared" si="1168"/>
        <v>0</v>
      </c>
      <c r="AO1335" s="78" t="b">
        <f t="shared" si="1169"/>
        <v>0</v>
      </c>
    </row>
    <row r="1336" spans="7:41" x14ac:dyDescent="0.35">
      <c r="G1336" s="77">
        <f t="shared" si="1139"/>
        <v>0</v>
      </c>
      <c r="H1336" s="78">
        <f t="shared" si="1140"/>
        <v>0</v>
      </c>
      <c r="I1336" s="77">
        <f t="shared" si="1141"/>
        <v>0</v>
      </c>
      <c r="J1336" s="78">
        <f t="shared" si="1142"/>
        <v>0</v>
      </c>
      <c r="K1336" s="78" t="str">
        <f t="shared" si="1143"/>
        <v>1900-01-00 00:0:00</v>
      </c>
      <c r="L1336" s="78" t="str">
        <f t="shared" si="1144"/>
        <v>1900-01-00 00:0:00</v>
      </c>
      <c r="M1336" s="79">
        <f t="shared" si="1145"/>
        <v>0</v>
      </c>
      <c r="N1336">
        <f t="shared" si="1170"/>
        <v>1</v>
      </c>
      <c r="O1336" t="str">
        <f>IFERROR(_xlfn.XLOOKUP(A1336,HC!A:A,HC!C:C),"")</f>
        <v>Workforce</v>
      </c>
      <c r="R1336" s="78" t="b">
        <f t="shared" si="1146"/>
        <v>0</v>
      </c>
      <c r="S1336" s="78" t="b">
        <f t="shared" si="1147"/>
        <v>0</v>
      </c>
      <c r="T1336" s="78" t="b">
        <f t="shared" si="1148"/>
        <v>0</v>
      </c>
      <c r="U1336" s="78" t="b">
        <f t="shared" si="1149"/>
        <v>0</v>
      </c>
      <c r="V1336" s="78" t="b">
        <f t="shared" si="1150"/>
        <v>0</v>
      </c>
      <c r="W1336" s="78" t="b">
        <f t="shared" si="1151"/>
        <v>0</v>
      </c>
      <c r="X1336" s="78" t="b">
        <f t="shared" si="1152"/>
        <v>0</v>
      </c>
      <c r="Y1336" s="78" t="b">
        <f t="shared" si="1153"/>
        <v>0</v>
      </c>
      <c r="Z1336" s="78" t="b">
        <f t="shared" si="1154"/>
        <v>0</v>
      </c>
      <c r="AA1336" s="78" t="b">
        <f t="shared" si="1155"/>
        <v>0</v>
      </c>
      <c r="AB1336" s="78" t="b">
        <f t="shared" si="1156"/>
        <v>0</v>
      </c>
      <c r="AC1336" s="78" t="b">
        <f t="shared" si="1157"/>
        <v>0</v>
      </c>
      <c r="AD1336" s="78" t="b">
        <f t="shared" si="1158"/>
        <v>0</v>
      </c>
      <c r="AE1336" s="78" t="b">
        <f t="shared" si="1159"/>
        <v>0</v>
      </c>
      <c r="AF1336" s="78" t="b">
        <f t="shared" si="1160"/>
        <v>0</v>
      </c>
      <c r="AG1336" s="78" t="b">
        <f t="shared" si="1161"/>
        <v>0</v>
      </c>
      <c r="AH1336" s="78" t="b">
        <f t="shared" si="1162"/>
        <v>0</v>
      </c>
      <c r="AI1336" s="78" t="b">
        <f t="shared" si="1163"/>
        <v>0</v>
      </c>
      <c r="AJ1336" s="78" t="b">
        <f t="shared" si="1164"/>
        <v>0</v>
      </c>
      <c r="AK1336" s="78" t="b">
        <f t="shared" si="1165"/>
        <v>0</v>
      </c>
      <c r="AL1336" s="78" t="b">
        <f t="shared" si="1166"/>
        <v>0</v>
      </c>
      <c r="AM1336" s="78" t="b">
        <f t="shared" si="1167"/>
        <v>0</v>
      </c>
      <c r="AN1336" s="78" t="b">
        <f t="shared" si="1168"/>
        <v>0</v>
      </c>
      <c r="AO1336" s="78" t="b">
        <f t="shared" si="1169"/>
        <v>0</v>
      </c>
    </row>
    <row r="1337" spans="7:41" x14ac:dyDescent="0.35">
      <c r="G1337" s="77">
        <f t="shared" si="1139"/>
        <v>0</v>
      </c>
      <c r="H1337" s="78">
        <f t="shared" si="1140"/>
        <v>0</v>
      </c>
      <c r="I1337" s="77">
        <f t="shared" si="1141"/>
        <v>0</v>
      </c>
      <c r="J1337" s="78">
        <f t="shared" si="1142"/>
        <v>0</v>
      </c>
      <c r="K1337" s="78" t="str">
        <f t="shared" si="1143"/>
        <v>1900-01-00 00:0:00</v>
      </c>
      <c r="L1337" s="78" t="str">
        <f t="shared" si="1144"/>
        <v>1900-01-00 00:0:00</v>
      </c>
      <c r="M1337" s="79">
        <f t="shared" si="1145"/>
        <v>0</v>
      </c>
      <c r="N1337">
        <f t="shared" si="1170"/>
        <v>1</v>
      </c>
      <c r="O1337" t="str">
        <f>IFERROR(_xlfn.XLOOKUP(A1337,HC!A:A,HC!C:C),"")</f>
        <v>Workforce</v>
      </c>
      <c r="R1337" s="78" t="b">
        <f t="shared" si="1146"/>
        <v>0</v>
      </c>
      <c r="S1337" s="78" t="b">
        <f t="shared" si="1147"/>
        <v>0</v>
      </c>
      <c r="T1337" s="78" t="b">
        <f t="shared" si="1148"/>
        <v>0</v>
      </c>
      <c r="U1337" s="78" t="b">
        <f t="shared" si="1149"/>
        <v>0</v>
      </c>
      <c r="V1337" s="78" t="b">
        <f t="shared" si="1150"/>
        <v>0</v>
      </c>
      <c r="W1337" s="78" t="b">
        <f t="shared" si="1151"/>
        <v>0</v>
      </c>
      <c r="X1337" s="78" t="b">
        <f t="shared" si="1152"/>
        <v>0</v>
      </c>
      <c r="Y1337" s="78" t="b">
        <f t="shared" si="1153"/>
        <v>0</v>
      </c>
      <c r="Z1337" s="78" t="b">
        <f t="shared" si="1154"/>
        <v>0</v>
      </c>
      <c r="AA1337" s="78" t="b">
        <f t="shared" si="1155"/>
        <v>0</v>
      </c>
      <c r="AB1337" s="78" t="b">
        <f t="shared" si="1156"/>
        <v>0</v>
      </c>
      <c r="AC1337" s="78" t="b">
        <f t="shared" si="1157"/>
        <v>0</v>
      </c>
      <c r="AD1337" s="78" t="b">
        <f t="shared" si="1158"/>
        <v>0</v>
      </c>
      <c r="AE1337" s="78" t="b">
        <f t="shared" si="1159"/>
        <v>0</v>
      </c>
      <c r="AF1337" s="78" t="b">
        <f t="shared" si="1160"/>
        <v>0</v>
      </c>
      <c r="AG1337" s="78" t="b">
        <f t="shared" si="1161"/>
        <v>0</v>
      </c>
      <c r="AH1337" s="78" t="b">
        <f t="shared" si="1162"/>
        <v>0</v>
      </c>
      <c r="AI1337" s="78" t="b">
        <f t="shared" si="1163"/>
        <v>0</v>
      </c>
      <c r="AJ1337" s="78" t="b">
        <f t="shared" si="1164"/>
        <v>0</v>
      </c>
      <c r="AK1337" s="78" t="b">
        <f t="shared" si="1165"/>
        <v>0</v>
      </c>
      <c r="AL1337" s="78" t="b">
        <f t="shared" si="1166"/>
        <v>0</v>
      </c>
      <c r="AM1337" s="78" t="b">
        <f t="shared" si="1167"/>
        <v>0</v>
      </c>
      <c r="AN1337" s="78" t="b">
        <f t="shared" si="1168"/>
        <v>0</v>
      </c>
      <c r="AO1337" s="78" t="b">
        <f t="shared" si="1169"/>
        <v>0</v>
      </c>
    </row>
    <row r="1338" spans="7:41" x14ac:dyDescent="0.35">
      <c r="G1338" s="77">
        <f t="shared" ref="G1338:G1401" si="1171">INT(D1338)</f>
        <v>0</v>
      </c>
      <c r="H1338" s="78">
        <f t="shared" ref="H1338:H1401" si="1172">D1338-G1338</f>
        <v>0</v>
      </c>
      <c r="I1338" s="77">
        <f t="shared" ref="I1338:I1401" si="1173">INT(E1338)</f>
        <v>0</v>
      </c>
      <c r="J1338" s="78">
        <f t="shared" ref="J1338:J1401" si="1174">E1338-I1338</f>
        <v>0</v>
      </c>
      <c r="K1338" s="78" t="str">
        <f t="shared" ref="K1338:K1401" si="1175">TEXT(G1338+H1338,"yyyy-mm-dd hh:m:ss")</f>
        <v>1900-01-00 00:0:00</v>
      </c>
      <c r="L1338" s="78" t="str">
        <f t="shared" ref="L1338:L1401" si="1176">TEXT(I1338+J1338,"yyyy-mm-dd hh:m:ss")</f>
        <v>1900-01-00 00:0:00</v>
      </c>
      <c r="M1338" s="79">
        <f t="shared" ref="M1338:M1401" si="1177">E1338-D1338</f>
        <v>0</v>
      </c>
      <c r="N1338">
        <f t="shared" si="1170"/>
        <v>1</v>
      </c>
      <c r="O1338" t="str">
        <f>IFERROR(_xlfn.XLOOKUP(A1338,HC!A:A,HC!C:C),"")</f>
        <v>Workforce</v>
      </c>
      <c r="R1338" s="78" t="b">
        <f t="shared" si="1146"/>
        <v>0</v>
      </c>
      <c r="S1338" s="78" t="b">
        <f t="shared" si="1147"/>
        <v>0</v>
      </c>
      <c r="T1338" s="78" t="b">
        <f t="shared" si="1148"/>
        <v>0</v>
      </c>
      <c r="U1338" s="78" t="b">
        <f t="shared" si="1149"/>
        <v>0</v>
      </c>
      <c r="V1338" s="78" t="b">
        <f t="shared" si="1150"/>
        <v>0</v>
      </c>
      <c r="W1338" s="78" t="b">
        <f t="shared" si="1151"/>
        <v>0</v>
      </c>
      <c r="X1338" s="78" t="b">
        <f t="shared" si="1152"/>
        <v>0</v>
      </c>
      <c r="Y1338" s="78" t="b">
        <f t="shared" si="1153"/>
        <v>0</v>
      </c>
      <c r="Z1338" s="78" t="b">
        <f t="shared" si="1154"/>
        <v>0</v>
      </c>
      <c r="AA1338" s="78" t="b">
        <f t="shared" si="1155"/>
        <v>0</v>
      </c>
      <c r="AB1338" s="78" t="b">
        <f t="shared" si="1156"/>
        <v>0</v>
      </c>
      <c r="AC1338" s="78" t="b">
        <f t="shared" si="1157"/>
        <v>0</v>
      </c>
      <c r="AD1338" s="78" t="b">
        <f t="shared" si="1158"/>
        <v>0</v>
      </c>
      <c r="AE1338" s="78" t="b">
        <f t="shared" si="1159"/>
        <v>0</v>
      </c>
      <c r="AF1338" s="78" t="b">
        <f t="shared" si="1160"/>
        <v>0</v>
      </c>
      <c r="AG1338" s="78" t="b">
        <f t="shared" si="1161"/>
        <v>0</v>
      </c>
      <c r="AH1338" s="78" t="b">
        <f t="shared" si="1162"/>
        <v>0</v>
      </c>
      <c r="AI1338" s="78" t="b">
        <f t="shared" si="1163"/>
        <v>0</v>
      </c>
      <c r="AJ1338" s="78" t="b">
        <f t="shared" si="1164"/>
        <v>0</v>
      </c>
      <c r="AK1338" s="78" t="b">
        <f t="shared" si="1165"/>
        <v>0</v>
      </c>
      <c r="AL1338" s="78" t="b">
        <f t="shared" si="1166"/>
        <v>0</v>
      </c>
      <c r="AM1338" s="78" t="b">
        <f t="shared" si="1167"/>
        <v>0</v>
      </c>
      <c r="AN1338" s="78" t="b">
        <f t="shared" si="1168"/>
        <v>0</v>
      </c>
      <c r="AO1338" s="78" t="b">
        <f t="shared" si="1169"/>
        <v>0</v>
      </c>
    </row>
    <row r="1339" spans="7:41" x14ac:dyDescent="0.35">
      <c r="G1339" s="77">
        <f t="shared" si="1171"/>
        <v>0</v>
      </c>
      <c r="H1339" s="78">
        <f t="shared" si="1172"/>
        <v>0</v>
      </c>
      <c r="I1339" s="77">
        <f t="shared" si="1173"/>
        <v>0</v>
      </c>
      <c r="J1339" s="78">
        <f t="shared" si="1174"/>
        <v>0</v>
      </c>
      <c r="K1339" s="78" t="str">
        <f t="shared" si="1175"/>
        <v>1900-01-00 00:0:00</v>
      </c>
      <c r="L1339" s="78" t="str">
        <f t="shared" si="1176"/>
        <v>1900-01-00 00:0:00</v>
      </c>
      <c r="M1339" s="79">
        <f t="shared" si="1177"/>
        <v>0</v>
      </c>
      <c r="N1339">
        <f t="shared" si="1170"/>
        <v>1</v>
      </c>
      <c r="O1339" t="str">
        <f>IFERROR(_xlfn.XLOOKUP(A1339,HC!A:A,HC!C:C),"")</f>
        <v>Workforce</v>
      </c>
      <c r="R1339" s="78" t="b">
        <f t="shared" si="1146"/>
        <v>0</v>
      </c>
      <c r="S1339" s="78" t="b">
        <f t="shared" si="1147"/>
        <v>0</v>
      </c>
      <c r="T1339" s="78" t="b">
        <f t="shared" si="1148"/>
        <v>0</v>
      </c>
      <c r="U1339" s="78" t="b">
        <f t="shared" si="1149"/>
        <v>0</v>
      </c>
      <c r="V1339" s="78" t="b">
        <f t="shared" si="1150"/>
        <v>0</v>
      </c>
      <c r="W1339" s="78" t="b">
        <f t="shared" si="1151"/>
        <v>0</v>
      </c>
      <c r="X1339" s="78" t="b">
        <f t="shared" si="1152"/>
        <v>0</v>
      </c>
      <c r="Y1339" s="78" t="b">
        <f t="shared" si="1153"/>
        <v>0</v>
      </c>
      <c r="Z1339" s="78" t="b">
        <f t="shared" si="1154"/>
        <v>0</v>
      </c>
      <c r="AA1339" s="78" t="b">
        <f t="shared" si="1155"/>
        <v>0</v>
      </c>
      <c r="AB1339" s="78" t="b">
        <f t="shared" si="1156"/>
        <v>0</v>
      </c>
      <c r="AC1339" s="78" t="b">
        <f t="shared" si="1157"/>
        <v>0</v>
      </c>
      <c r="AD1339" s="78" t="b">
        <f t="shared" si="1158"/>
        <v>0</v>
      </c>
      <c r="AE1339" s="78" t="b">
        <f t="shared" si="1159"/>
        <v>0</v>
      </c>
      <c r="AF1339" s="78" t="b">
        <f t="shared" si="1160"/>
        <v>0</v>
      </c>
      <c r="AG1339" s="78" t="b">
        <f t="shared" si="1161"/>
        <v>0</v>
      </c>
      <c r="AH1339" s="78" t="b">
        <f t="shared" si="1162"/>
        <v>0</v>
      </c>
      <c r="AI1339" s="78" t="b">
        <f t="shared" si="1163"/>
        <v>0</v>
      </c>
      <c r="AJ1339" s="78" t="b">
        <f t="shared" si="1164"/>
        <v>0</v>
      </c>
      <c r="AK1339" s="78" t="b">
        <f t="shared" si="1165"/>
        <v>0</v>
      </c>
      <c r="AL1339" s="78" t="b">
        <f t="shared" si="1166"/>
        <v>0</v>
      </c>
      <c r="AM1339" s="78" t="b">
        <f t="shared" si="1167"/>
        <v>0</v>
      </c>
      <c r="AN1339" s="78" t="b">
        <f t="shared" si="1168"/>
        <v>0</v>
      </c>
      <c r="AO1339" s="78" t="b">
        <f t="shared" si="1169"/>
        <v>0</v>
      </c>
    </row>
    <row r="1340" spans="7:41" x14ac:dyDescent="0.35">
      <c r="G1340" s="77">
        <f t="shared" si="1171"/>
        <v>0</v>
      </c>
      <c r="H1340" s="78">
        <f t="shared" si="1172"/>
        <v>0</v>
      </c>
      <c r="I1340" s="77">
        <f t="shared" si="1173"/>
        <v>0</v>
      </c>
      <c r="J1340" s="78">
        <f t="shared" si="1174"/>
        <v>0</v>
      </c>
      <c r="K1340" s="78" t="str">
        <f t="shared" si="1175"/>
        <v>1900-01-00 00:0:00</v>
      </c>
      <c r="L1340" s="78" t="str">
        <f t="shared" si="1176"/>
        <v>1900-01-00 00:0:00</v>
      </c>
      <c r="M1340" s="79">
        <f t="shared" si="1177"/>
        <v>0</v>
      </c>
      <c r="N1340">
        <f t="shared" si="1170"/>
        <v>1</v>
      </c>
      <c r="O1340" t="str">
        <f>IFERROR(_xlfn.XLOOKUP(A1340,HC!A:A,HC!C:C),"")</f>
        <v>Workforce</v>
      </c>
      <c r="R1340" s="78" t="b">
        <f t="shared" ref="R1340:R1403" si="1178">IFERROR(IF($B1340=$D$1,IF(AND($K1340&lt;R$1,$L1340&lt;R$1),"",IF(AND($K1340&gt;S$1,$L1340&gt;S$1),"",IF(AND($K1340&lt;R$1,$L1340&lt;=S$1),$L1340-R$1,IF(AND($K1340&gt;=R$1,$L1340&gt;S$1),S$1-$K1340,IF(AND($K1340&gt;=R$1,$L1340&lt;=S$1),$L1340-$K1340,IF(AND($K1340&lt;R$1,$L1340&gt;S$1),S$1-R$1,""))))))),"")</f>
        <v>0</v>
      </c>
      <c r="S1340" s="78" t="b">
        <f t="shared" ref="S1340:S1403" si="1179">IFERROR(IF($B1340=$D$1,IF(AND($K1340&lt;S$1,$L1340&lt;S$1),"",IF(AND($K1340&gt;T$1,$L1340&gt;T$1),"",IF(AND($K1340&lt;S$1,$L1340&lt;=T$1),$L1340-S$1,IF(AND($K1340&gt;=S$1,$L1340&gt;T$1),T$1-$K1340,IF(AND($K1340&gt;=S$1,$L1340&lt;=T$1),$L1340-$K1340,IF(AND($K1340&lt;S$1,$L1340&gt;T$1),T$1-S$1,""))))))),"")</f>
        <v>0</v>
      </c>
      <c r="T1340" s="78" t="b">
        <f t="shared" ref="T1340:T1403" si="1180">IFERROR(IF($B1340=$D$1,IF(AND($K1340&lt;T$1,$L1340&lt;T$1),"",IF(AND($K1340&gt;U$1,$L1340&gt;U$1),"",IF(AND($K1340&lt;T$1,$L1340&lt;=U$1),$L1340-T$1,IF(AND($K1340&gt;=T$1,$L1340&gt;U$1),U$1-$K1340,IF(AND($K1340&gt;=T$1,$L1340&lt;=U$1),$L1340-$K1340,IF(AND($K1340&lt;T$1,$L1340&gt;U$1),U$1-T$1,""))))))),"")</f>
        <v>0</v>
      </c>
      <c r="U1340" s="78" t="b">
        <f t="shared" ref="U1340:U1403" si="1181">IFERROR(IF($B1340=$D$1,IF(AND($K1340&lt;U$1,$L1340&lt;U$1),"",IF(AND($K1340&gt;V$1,$L1340&gt;V$1),"",IF(AND($K1340&lt;U$1,$L1340&lt;=V$1),$L1340-U$1,IF(AND($K1340&gt;=U$1,$L1340&gt;V$1),V$1-$K1340,IF(AND($K1340&gt;=U$1,$L1340&lt;=V$1),$L1340-$K1340,IF(AND($K1340&lt;U$1,$L1340&gt;V$1),V$1-U$1,""))))))),"")</f>
        <v>0</v>
      </c>
      <c r="V1340" s="78" t="b">
        <f t="shared" ref="V1340:V1403" si="1182">IFERROR(IF($B1340=$D$1,IF(AND($K1340&lt;V$1,$L1340&lt;V$1),"",IF(AND($K1340&gt;W$1,$L1340&gt;W$1),"",IF(AND($K1340&lt;V$1,$L1340&lt;=W$1),$L1340-V$1,IF(AND($K1340&gt;=V$1,$L1340&gt;W$1),W$1-$K1340,IF(AND($K1340&gt;=V$1,$L1340&lt;=W$1),$L1340-$K1340,IF(AND($K1340&lt;V$1,$L1340&gt;W$1),W$1-V$1,""))))))),"")</f>
        <v>0</v>
      </c>
      <c r="W1340" s="78" t="b">
        <f t="shared" ref="W1340:W1403" si="1183">IFERROR(IF($B1340=$D$1,IF(AND($K1340&lt;W$1,$L1340&lt;W$1),"",IF(AND($K1340&gt;X$1,$L1340&gt;X$1),"",IF(AND($K1340&lt;W$1,$L1340&lt;=X$1),$L1340-W$1,IF(AND($K1340&gt;=W$1,$L1340&gt;X$1),X$1-$K1340,IF(AND($K1340&gt;=W$1,$L1340&lt;=X$1),$L1340-$K1340,IF(AND($K1340&lt;W$1,$L1340&gt;X$1),X$1-W$1,""))))))),"")</f>
        <v>0</v>
      </c>
      <c r="X1340" s="78" t="b">
        <f t="shared" ref="X1340:X1403" si="1184">IFERROR(IF($B1340=$D$1,IF(AND($K1340&lt;X$1,$L1340&lt;X$1),"",IF(AND($K1340&gt;Y$1,$L1340&gt;Y$1),"",IF(AND($K1340&lt;X$1,$L1340&lt;=Y$1),$L1340-X$1,IF(AND($K1340&gt;=X$1,$L1340&gt;Y$1),Y$1-$K1340,IF(AND($K1340&gt;=X$1,$L1340&lt;=Y$1),$L1340-$K1340,IF(AND($K1340&lt;X$1,$L1340&gt;Y$1),Y$1-X$1,""))))))),"")</f>
        <v>0</v>
      </c>
      <c r="Y1340" s="78" t="b">
        <f t="shared" ref="Y1340:Y1403" si="1185">IFERROR(IF($B1340=$D$1,IF(AND($K1340&lt;Y$1,$L1340&lt;Y$1),"",IF(AND($K1340&gt;Z$1,$L1340&gt;Z$1),"",IF(AND($K1340&lt;Y$1,$L1340&lt;=Z$1),$L1340-Y$1,IF(AND($K1340&gt;=Y$1,$L1340&gt;Z$1),Z$1-$K1340,IF(AND($K1340&gt;=Y$1,$L1340&lt;=Z$1),$L1340-$K1340,IF(AND($K1340&lt;Y$1,$L1340&gt;Z$1),Z$1-Y$1,""))))))),"")</f>
        <v>0</v>
      </c>
      <c r="Z1340" s="78" t="b">
        <f t="shared" ref="Z1340:Z1403" si="1186">IFERROR(IF($B1340=$D$1,IF(AND($K1340&lt;Z$1,$L1340&lt;Z$1),"",IF(AND($K1340&gt;AA$1,$L1340&gt;AA$1),"",IF(AND($K1340&lt;Z$1,$L1340&lt;=AA$1),$L1340-Z$1,IF(AND($K1340&gt;=Z$1,$L1340&gt;AA$1),AA$1-$K1340,IF(AND($K1340&gt;=Z$1,$L1340&lt;=AA$1),$L1340-$K1340,IF(AND($K1340&lt;Z$1,$L1340&gt;AA$1),AA$1-Z$1,""))))))),"")</f>
        <v>0</v>
      </c>
      <c r="AA1340" s="78" t="b">
        <f t="shared" ref="AA1340:AA1403" si="1187">IFERROR(IF($B1340=$D$1,IF(AND($K1340&lt;AA$1,$L1340&lt;AA$1),"",IF(AND($K1340&gt;AB$1,$L1340&gt;AB$1),"",IF(AND($K1340&lt;AA$1,$L1340&lt;=AB$1),$L1340-AA$1,IF(AND($K1340&gt;=AA$1,$L1340&gt;AB$1),AB$1-$K1340,IF(AND($K1340&gt;=AA$1,$L1340&lt;=AB$1),$L1340-$K1340,IF(AND($K1340&lt;AA$1,$L1340&gt;AB$1),AB$1-AA$1,""))))))),"")</f>
        <v>0</v>
      </c>
      <c r="AB1340" s="78" t="b">
        <f t="shared" ref="AB1340:AB1403" si="1188">IFERROR(IF($B1340=$D$1,IF(AND($K1340&lt;AB$1,$L1340&lt;AB$1),"",IF(AND($K1340&gt;AC$1,$L1340&gt;AC$1),"",IF(AND($K1340&lt;AB$1,$L1340&lt;=AC$1),$L1340-AB$1,IF(AND($K1340&gt;=AB$1,$L1340&gt;AC$1),AC$1-$K1340,IF(AND($K1340&gt;=AB$1,$L1340&lt;=AC$1),$L1340-$K1340,IF(AND($K1340&lt;AB$1,$L1340&gt;AC$1),AC$1-AB$1,""))))))),"")</f>
        <v>0</v>
      </c>
      <c r="AC1340" s="78" t="b">
        <f t="shared" ref="AC1340:AC1403" si="1189">IFERROR(IF($B1340=$D$1,IF(AND($K1340&lt;AC$1,$L1340&lt;AC$1),"",IF(AND($K1340&gt;AD$1,$L1340&gt;AD$1),"",IF(AND($K1340&lt;AC$1,$L1340&lt;=AD$1),$L1340-AC$1,IF(AND($K1340&gt;=AC$1,$L1340&gt;AD$1),AD$1-$K1340,IF(AND($K1340&gt;=AC$1,$L1340&lt;=AD$1),$L1340-$K1340,IF(AND($K1340&lt;AC$1,$L1340&gt;AD$1),AD$1-AC$1,""))))))),"")</f>
        <v>0</v>
      </c>
      <c r="AD1340" s="78" t="b">
        <f t="shared" ref="AD1340:AD1403" si="1190">IFERROR(IF($B1340=$D$1,IF(AND($K1340&lt;AD$1,$L1340&lt;AD$1),"",IF(AND($K1340&gt;AE$1,$L1340&gt;AE$1),"",IF(AND($K1340&lt;AD$1,$L1340&lt;=AE$1),$L1340-AD$1,IF(AND($K1340&gt;=AD$1,$L1340&gt;AE$1),AE$1-$K1340,IF(AND($K1340&gt;=AD$1,$L1340&lt;=AE$1),$L1340-$K1340,IF(AND($K1340&lt;AD$1,$L1340&gt;AE$1),AE$1-AD$1,""))))))),"")</f>
        <v>0</v>
      </c>
      <c r="AE1340" s="78" t="b">
        <f t="shared" ref="AE1340:AE1403" si="1191">IFERROR(IF($B1340=$D$1,IF(AND($K1340&lt;AE$1,$L1340&lt;AE$1),"",IF(AND($K1340&gt;AF$1,$L1340&gt;AF$1),"",IF(AND($K1340&lt;AE$1,$L1340&lt;=AF$1),$L1340-AE$1,IF(AND($K1340&gt;=AE$1,$L1340&gt;AF$1),AF$1-$K1340,IF(AND($K1340&gt;=AE$1,$L1340&lt;=AF$1),$L1340-$K1340,IF(AND($K1340&lt;AE$1,$L1340&gt;AF$1),AF$1-AE$1,""))))))),"")</f>
        <v>0</v>
      </c>
      <c r="AF1340" s="78" t="b">
        <f t="shared" ref="AF1340:AF1403" si="1192">IFERROR(IF($B1340=$D$1,IF(AND($K1340&lt;AF$1,$L1340&lt;AF$1),"",IF(AND($K1340&gt;AG$1,$L1340&gt;AG$1),"",IF(AND($K1340&lt;AF$1,$L1340&lt;=AG$1),$L1340-AF$1,IF(AND($K1340&gt;=AF$1,$L1340&gt;AG$1),AG$1-$K1340,IF(AND($K1340&gt;=AF$1,$L1340&lt;=AG$1),$L1340-$K1340,IF(AND($K1340&lt;AF$1,$L1340&gt;AG$1),AG$1-AF$1,""))))))),"")</f>
        <v>0</v>
      </c>
      <c r="AG1340" s="78" t="b">
        <f t="shared" ref="AG1340:AG1403" si="1193">IFERROR(IF($B1340=$D$1,IF(AND($K1340&lt;AG$1,$L1340&lt;AG$1),"",IF(AND($K1340&gt;AH$1,$L1340&gt;AH$1),"",IF(AND($K1340&lt;AG$1,$L1340&lt;=AH$1),$L1340-AG$1,IF(AND($K1340&gt;=AG$1,$L1340&gt;AH$1),AH$1-$K1340,IF(AND($K1340&gt;=AG$1,$L1340&lt;=AH$1),$L1340-$K1340,IF(AND($K1340&lt;AG$1,$L1340&gt;AH$1),AH$1-AG$1,""))))))),"")</f>
        <v>0</v>
      </c>
      <c r="AH1340" s="78" t="b">
        <f t="shared" ref="AH1340:AH1403" si="1194">IFERROR(IF($B1340=$D$1,IF(AND($K1340&lt;AH$1,$L1340&lt;AH$1),"",IF(AND($K1340&gt;AI$1,$L1340&gt;AI$1),"",IF(AND($K1340&lt;AH$1,$L1340&lt;=AI$1),$L1340-AH$1,IF(AND($K1340&gt;=AH$1,$L1340&gt;AI$1),AI$1-$K1340,IF(AND($K1340&gt;=AH$1,$L1340&lt;=AI$1),$L1340-$K1340,IF(AND($K1340&lt;AH$1,$L1340&gt;AI$1),AI$1-AH$1,""))))))),"")</f>
        <v>0</v>
      </c>
      <c r="AI1340" s="78" t="b">
        <f t="shared" ref="AI1340:AI1403" si="1195">IFERROR(IF($B1340=$D$1,IF(AND($K1340&lt;AI$1,$L1340&lt;AI$1),"",IF(AND($K1340&gt;AJ$1,$L1340&gt;AJ$1),"",IF(AND($K1340&lt;AI$1,$L1340&lt;=AJ$1),$L1340-AI$1,IF(AND($K1340&gt;=AI$1,$L1340&gt;AJ$1),AJ$1-$K1340,IF(AND($K1340&gt;=AI$1,$L1340&lt;=AJ$1),$L1340-$K1340,IF(AND($K1340&lt;AI$1,$L1340&gt;AJ$1),AJ$1-AI$1,""))))))),"")</f>
        <v>0</v>
      </c>
      <c r="AJ1340" s="78" t="b">
        <f t="shared" ref="AJ1340:AJ1403" si="1196">IFERROR(IF($B1340=$D$1,IF(AND($K1340&lt;AJ$1,$L1340&lt;AJ$1),"",IF(AND($K1340&gt;AK$1,$L1340&gt;AK$1),"",IF(AND($K1340&lt;AJ$1,$L1340&lt;=AK$1),$L1340-AJ$1,IF(AND($K1340&gt;=AJ$1,$L1340&gt;AK$1),AK$1-$K1340,IF(AND($K1340&gt;=AJ$1,$L1340&lt;=AK$1),$L1340-$K1340,IF(AND($K1340&lt;AJ$1,$L1340&gt;AK$1),AK$1-AJ$1,""))))))),"")</f>
        <v>0</v>
      </c>
      <c r="AK1340" s="78" t="b">
        <f t="shared" ref="AK1340:AK1403" si="1197">IFERROR(IF($B1340=$D$1,IF(AND($K1340&lt;AK$1,$L1340&lt;AK$1),"",IF(AND($K1340&gt;AL$1,$L1340&gt;AL$1),"",IF(AND($K1340&lt;AK$1,$L1340&lt;=AL$1),$L1340-AK$1,IF(AND($K1340&gt;=AK$1,$L1340&gt;AL$1),AL$1-$K1340,IF(AND($K1340&gt;=AK$1,$L1340&lt;=AL$1),$L1340-$K1340,IF(AND($K1340&lt;AK$1,$L1340&gt;AL$1),AL$1-AK$1,""))))))),"")</f>
        <v>0</v>
      </c>
      <c r="AL1340" s="78" t="b">
        <f t="shared" ref="AL1340:AL1403" si="1198">IFERROR(IF($B1340=$D$1,IF(AND($K1340&lt;AL$1,$L1340&lt;AL$1),"",IF(AND($K1340&gt;AM$1,$L1340&gt;AM$1),"",IF(AND($K1340&lt;AL$1,$L1340&lt;=AM$1),$L1340-AL$1,IF(AND($K1340&gt;=AL$1,$L1340&gt;AM$1),AM$1-$K1340,IF(AND($K1340&gt;=AL$1,$L1340&lt;=AM$1),$L1340-$K1340,IF(AND($K1340&lt;AL$1,$L1340&gt;AM$1),AM$1-AL$1,""))))))),"")</f>
        <v>0</v>
      </c>
      <c r="AM1340" s="78" t="b">
        <f t="shared" ref="AM1340:AM1403" si="1199">IFERROR(IF($B1340=$D$1,IF(AND($K1340&lt;AM$1,$L1340&lt;AM$1),"",IF(AND($K1340&gt;AN$1,$L1340&gt;AN$1),"",IF(AND($K1340&lt;AM$1,$L1340&lt;=AN$1),$L1340-AM$1,IF(AND($K1340&gt;=AM$1,$L1340&gt;AN$1),AN$1-$K1340,IF(AND($K1340&gt;=AM$1,$L1340&lt;=AN$1),$L1340-$K1340,IF(AND($K1340&lt;AM$1,$L1340&gt;AN$1),AN$1-AM$1,""))))))),"")</f>
        <v>0</v>
      </c>
      <c r="AN1340" s="78" t="b">
        <f t="shared" ref="AN1340:AN1403" si="1200">IFERROR(IF($B1340=$D$1,IF(AND($K1340&lt;AN$1,$L1340&lt;AN$1),"",IF(AND($K1340&gt;AO$1,$L1340&gt;AO$1),"",IF(AND($K1340&lt;AN$1,$L1340&lt;=AO$1),$L1340-AN$1,IF(AND($K1340&gt;=AN$1,$L1340&gt;AO$1),AO$1-$K1340,IF(AND($K1340&gt;=AN$1,$L1340&lt;=AO$1),$L1340-$K1340,IF(AND($K1340&lt;AN$1,$L1340&gt;AO$1),AO$1-AN$1,""))))))),"")</f>
        <v>0</v>
      </c>
      <c r="AO1340" s="78" t="b">
        <f t="shared" ref="AO1340:AO1403" si="1201">IFERROR(IF($B1340=$D$1,IF(AND($K1340&lt;AO$1,$L1340&lt;AO$1),"",IF(AND($K1340&gt;AP$1,$L1340&gt;AP$1),"",IF(AND($K1340&lt;AO$1,$L1340&lt;=AP$1),$L1340-AO$1,IF(AND($K1340&gt;=AO$1,$L1340&gt;AP$1),AP$1-$K1340,IF(AND($K1340&gt;=AO$1,$L1340&lt;=AP$1),$L1340-$K1340,IF(AND($K1340&lt;AO$1,$L1340&gt;AP$1),AP$1-AO$1,""))))))),"")</f>
        <v>0</v>
      </c>
    </row>
    <row r="1341" spans="7:41" x14ac:dyDescent="0.35">
      <c r="G1341" s="77">
        <f t="shared" si="1171"/>
        <v>0</v>
      </c>
      <c r="H1341" s="78">
        <f t="shared" si="1172"/>
        <v>0</v>
      </c>
      <c r="I1341" s="77">
        <f t="shared" si="1173"/>
        <v>0</v>
      </c>
      <c r="J1341" s="78">
        <f t="shared" si="1174"/>
        <v>0</v>
      </c>
      <c r="K1341" s="78" t="str">
        <f t="shared" si="1175"/>
        <v>1900-01-00 00:0:00</v>
      </c>
      <c r="L1341" s="78" t="str">
        <f t="shared" si="1176"/>
        <v>1900-01-00 00:0:00</v>
      </c>
      <c r="M1341" s="79">
        <f t="shared" si="1177"/>
        <v>0</v>
      </c>
      <c r="N1341">
        <f t="shared" si="1170"/>
        <v>1</v>
      </c>
      <c r="O1341" t="str">
        <f>IFERROR(_xlfn.XLOOKUP(A1341,HC!A:A,HC!C:C),"")</f>
        <v>Workforce</v>
      </c>
      <c r="R1341" s="78" t="b">
        <f t="shared" si="1178"/>
        <v>0</v>
      </c>
      <c r="S1341" s="78" t="b">
        <f t="shared" si="1179"/>
        <v>0</v>
      </c>
      <c r="T1341" s="78" t="b">
        <f t="shared" si="1180"/>
        <v>0</v>
      </c>
      <c r="U1341" s="78" t="b">
        <f t="shared" si="1181"/>
        <v>0</v>
      </c>
      <c r="V1341" s="78" t="b">
        <f t="shared" si="1182"/>
        <v>0</v>
      </c>
      <c r="W1341" s="78" t="b">
        <f t="shared" si="1183"/>
        <v>0</v>
      </c>
      <c r="X1341" s="78" t="b">
        <f t="shared" si="1184"/>
        <v>0</v>
      </c>
      <c r="Y1341" s="78" t="b">
        <f t="shared" si="1185"/>
        <v>0</v>
      </c>
      <c r="Z1341" s="78" t="b">
        <f t="shared" si="1186"/>
        <v>0</v>
      </c>
      <c r="AA1341" s="78" t="b">
        <f t="shared" si="1187"/>
        <v>0</v>
      </c>
      <c r="AB1341" s="78" t="b">
        <f t="shared" si="1188"/>
        <v>0</v>
      </c>
      <c r="AC1341" s="78" t="b">
        <f t="shared" si="1189"/>
        <v>0</v>
      </c>
      <c r="AD1341" s="78" t="b">
        <f t="shared" si="1190"/>
        <v>0</v>
      </c>
      <c r="AE1341" s="78" t="b">
        <f t="shared" si="1191"/>
        <v>0</v>
      </c>
      <c r="AF1341" s="78" t="b">
        <f t="shared" si="1192"/>
        <v>0</v>
      </c>
      <c r="AG1341" s="78" t="b">
        <f t="shared" si="1193"/>
        <v>0</v>
      </c>
      <c r="AH1341" s="78" t="b">
        <f t="shared" si="1194"/>
        <v>0</v>
      </c>
      <c r="AI1341" s="78" t="b">
        <f t="shared" si="1195"/>
        <v>0</v>
      </c>
      <c r="AJ1341" s="78" t="b">
        <f t="shared" si="1196"/>
        <v>0</v>
      </c>
      <c r="AK1341" s="78" t="b">
        <f t="shared" si="1197"/>
        <v>0</v>
      </c>
      <c r="AL1341" s="78" t="b">
        <f t="shared" si="1198"/>
        <v>0</v>
      </c>
      <c r="AM1341" s="78" t="b">
        <f t="shared" si="1199"/>
        <v>0</v>
      </c>
      <c r="AN1341" s="78" t="b">
        <f t="shared" si="1200"/>
        <v>0</v>
      </c>
      <c r="AO1341" s="78" t="b">
        <f t="shared" si="1201"/>
        <v>0</v>
      </c>
    </row>
    <row r="1342" spans="7:41" x14ac:dyDescent="0.35">
      <c r="G1342" s="77">
        <f t="shared" si="1171"/>
        <v>0</v>
      </c>
      <c r="H1342" s="78">
        <f t="shared" si="1172"/>
        <v>0</v>
      </c>
      <c r="I1342" s="77">
        <f t="shared" si="1173"/>
        <v>0</v>
      </c>
      <c r="J1342" s="78">
        <f t="shared" si="1174"/>
        <v>0</v>
      </c>
      <c r="K1342" s="78" t="str">
        <f t="shared" si="1175"/>
        <v>1900-01-00 00:0:00</v>
      </c>
      <c r="L1342" s="78" t="str">
        <f t="shared" si="1176"/>
        <v>1900-01-00 00:0:00</v>
      </c>
      <c r="M1342" s="79">
        <f t="shared" si="1177"/>
        <v>0</v>
      </c>
      <c r="N1342">
        <f t="shared" si="1170"/>
        <v>1</v>
      </c>
      <c r="O1342" t="str">
        <f>IFERROR(_xlfn.XLOOKUP(A1342,HC!A:A,HC!C:C),"")</f>
        <v>Workforce</v>
      </c>
      <c r="R1342" s="78" t="b">
        <f t="shared" si="1178"/>
        <v>0</v>
      </c>
      <c r="S1342" s="78" t="b">
        <f t="shared" si="1179"/>
        <v>0</v>
      </c>
      <c r="T1342" s="78" t="b">
        <f t="shared" si="1180"/>
        <v>0</v>
      </c>
      <c r="U1342" s="78" t="b">
        <f t="shared" si="1181"/>
        <v>0</v>
      </c>
      <c r="V1342" s="78" t="b">
        <f t="shared" si="1182"/>
        <v>0</v>
      </c>
      <c r="W1342" s="78" t="b">
        <f t="shared" si="1183"/>
        <v>0</v>
      </c>
      <c r="X1342" s="78" t="b">
        <f t="shared" si="1184"/>
        <v>0</v>
      </c>
      <c r="Y1342" s="78" t="b">
        <f t="shared" si="1185"/>
        <v>0</v>
      </c>
      <c r="Z1342" s="78" t="b">
        <f t="shared" si="1186"/>
        <v>0</v>
      </c>
      <c r="AA1342" s="78" t="b">
        <f t="shared" si="1187"/>
        <v>0</v>
      </c>
      <c r="AB1342" s="78" t="b">
        <f t="shared" si="1188"/>
        <v>0</v>
      </c>
      <c r="AC1342" s="78" t="b">
        <f t="shared" si="1189"/>
        <v>0</v>
      </c>
      <c r="AD1342" s="78" t="b">
        <f t="shared" si="1190"/>
        <v>0</v>
      </c>
      <c r="AE1342" s="78" t="b">
        <f t="shared" si="1191"/>
        <v>0</v>
      </c>
      <c r="AF1342" s="78" t="b">
        <f t="shared" si="1192"/>
        <v>0</v>
      </c>
      <c r="AG1342" s="78" t="b">
        <f t="shared" si="1193"/>
        <v>0</v>
      </c>
      <c r="AH1342" s="78" t="b">
        <f t="shared" si="1194"/>
        <v>0</v>
      </c>
      <c r="AI1342" s="78" t="b">
        <f t="shared" si="1195"/>
        <v>0</v>
      </c>
      <c r="AJ1342" s="78" t="b">
        <f t="shared" si="1196"/>
        <v>0</v>
      </c>
      <c r="AK1342" s="78" t="b">
        <f t="shared" si="1197"/>
        <v>0</v>
      </c>
      <c r="AL1342" s="78" t="b">
        <f t="shared" si="1198"/>
        <v>0</v>
      </c>
      <c r="AM1342" s="78" t="b">
        <f t="shared" si="1199"/>
        <v>0</v>
      </c>
      <c r="AN1342" s="78" t="b">
        <f t="shared" si="1200"/>
        <v>0</v>
      </c>
      <c r="AO1342" s="78" t="b">
        <f t="shared" si="1201"/>
        <v>0</v>
      </c>
    </row>
    <row r="1343" spans="7:41" x14ac:dyDescent="0.35">
      <c r="G1343" s="77">
        <f t="shared" si="1171"/>
        <v>0</v>
      </c>
      <c r="H1343" s="78">
        <f t="shared" si="1172"/>
        <v>0</v>
      </c>
      <c r="I1343" s="77">
        <f t="shared" si="1173"/>
        <v>0</v>
      </c>
      <c r="J1343" s="78">
        <f t="shared" si="1174"/>
        <v>0</v>
      </c>
      <c r="K1343" s="78" t="str">
        <f t="shared" si="1175"/>
        <v>1900-01-00 00:0:00</v>
      </c>
      <c r="L1343" s="78" t="str">
        <f t="shared" si="1176"/>
        <v>1900-01-00 00:0:00</v>
      </c>
      <c r="M1343" s="79">
        <f t="shared" si="1177"/>
        <v>0</v>
      </c>
      <c r="N1343">
        <f t="shared" si="1170"/>
        <v>1</v>
      </c>
      <c r="O1343" t="str">
        <f>IFERROR(_xlfn.XLOOKUP(A1343,HC!A:A,HC!C:C),"")</f>
        <v>Workforce</v>
      </c>
      <c r="R1343" s="78" t="b">
        <f t="shared" si="1178"/>
        <v>0</v>
      </c>
      <c r="S1343" s="78" t="b">
        <f t="shared" si="1179"/>
        <v>0</v>
      </c>
      <c r="T1343" s="78" t="b">
        <f t="shared" si="1180"/>
        <v>0</v>
      </c>
      <c r="U1343" s="78" t="b">
        <f t="shared" si="1181"/>
        <v>0</v>
      </c>
      <c r="V1343" s="78" t="b">
        <f t="shared" si="1182"/>
        <v>0</v>
      </c>
      <c r="W1343" s="78" t="b">
        <f t="shared" si="1183"/>
        <v>0</v>
      </c>
      <c r="X1343" s="78" t="b">
        <f t="shared" si="1184"/>
        <v>0</v>
      </c>
      <c r="Y1343" s="78" t="b">
        <f t="shared" si="1185"/>
        <v>0</v>
      </c>
      <c r="Z1343" s="78" t="b">
        <f t="shared" si="1186"/>
        <v>0</v>
      </c>
      <c r="AA1343" s="78" t="b">
        <f t="shared" si="1187"/>
        <v>0</v>
      </c>
      <c r="AB1343" s="78" t="b">
        <f t="shared" si="1188"/>
        <v>0</v>
      </c>
      <c r="AC1343" s="78" t="b">
        <f t="shared" si="1189"/>
        <v>0</v>
      </c>
      <c r="AD1343" s="78" t="b">
        <f t="shared" si="1190"/>
        <v>0</v>
      </c>
      <c r="AE1343" s="78" t="b">
        <f t="shared" si="1191"/>
        <v>0</v>
      </c>
      <c r="AF1343" s="78" t="b">
        <f t="shared" si="1192"/>
        <v>0</v>
      </c>
      <c r="AG1343" s="78" t="b">
        <f t="shared" si="1193"/>
        <v>0</v>
      </c>
      <c r="AH1343" s="78" t="b">
        <f t="shared" si="1194"/>
        <v>0</v>
      </c>
      <c r="AI1343" s="78" t="b">
        <f t="shared" si="1195"/>
        <v>0</v>
      </c>
      <c r="AJ1343" s="78" t="b">
        <f t="shared" si="1196"/>
        <v>0</v>
      </c>
      <c r="AK1343" s="78" t="b">
        <f t="shared" si="1197"/>
        <v>0</v>
      </c>
      <c r="AL1343" s="78" t="b">
        <f t="shared" si="1198"/>
        <v>0</v>
      </c>
      <c r="AM1343" s="78" t="b">
        <f t="shared" si="1199"/>
        <v>0</v>
      </c>
      <c r="AN1343" s="78" t="b">
        <f t="shared" si="1200"/>
        <v>0</v>
      </c>
      <c r="AO1343" s="78" t="b">
        <f t="shared" si="1201"/>
        <v>0</v>
      </c>
    </row>
    <row r="1344" spans="7:41" x14ac:dyDescent="0.35">
      <c r="G1344" s="77">
        <f t="shared" si="1171"/>
        <v>0</v>
      </c>
      <c r="H1344" s="78">
        <f t="shared" si="1172"/>
        <v>0</v>
      </c>
      <c r="I1344" s="77">
        <f t="shared" si="1173"/>
        <v>0</v>
      </c>
      <c r="J1344" s="78">
        <f t="shared" si="1174"/>
        <v>0</v>
      </c>
      <c r="K1344" s="78" t="str">
        <f t="shared" si="1175"/>
        <v>1900-01-00 00:0:00</v>
      </c>
      <c r="L1344" s="78" t="str">
        <f t="shared" si="1176"/>
        <v>1900-01-00 00:0:00</v>
      </c>
      <c r="M1344" s="79">
        <f t="shared" si="1177"/>
        <v>0</v>
      </c>
      <c r="N1344">
        <f t="shared" si="1170"/>
        <v>1</v>
      </c>
      <c r="O1344" t="str">
        <f>IFERROR(_xlfn.XLOOKUP(A1344,HC!A:A,HC!C:C),"")</f>
        <v>Workforce</v>
      </c>
      <c r="R1344" s="78" t="b">
        <f t="shared" si="1178"/>
        <v>0</v>
      </c>
      <c r="S1344" s="78" t="b">
        <f t="shared" si="1179"/>
        <v>0</v>
      </c>
      <c r="T1344" s="78" t="b">
        <f t="shared" si="1180"/>
        <v>0</v>
      </c>
      <c r="U1344" s="78" t="b">
        <f t="shared" si="1181"/>
        <v>0</v>
      </c>
      <c r="V1344" s="78" t="b">
        <f t="shared" si="1182"/>
        <v>0</v>
      </c>
      <c r="W1344" s="78" t="b">
        <f t="shared" si="1183"/>
        <v>0</v>
      </c>
      <c r="X1344" s="78" t="b">
        <f t="shared" si="1184"/>
        <v>0</v>
      </c>
      <c r="Y1344" s="78" t="b">
        <f t="shared" si="1185"/>
        <v>0</v>
      </c>
      <c r="Z1344" s="78" t="b">
        <f t="shared" si="1186"/>
        <v>0</v>
      </c>
      <c r="AA1344" s="78" t="b">
        <f t="shared" si="1187"/>
        <v>0</v>
      </c>
      <c r="AB1344" s="78" t="b">
        <f t="shared" si="1188"/>
        <v>0</v>
      </c>
      <c r="AC1344" s="78" t="b">
        <f t="shared" si="1189"/>
        <v>0</v>
      </c>
      <c r="AD1344" s="78" t="b">
        <f t="shared" si="1190"/>
        <v>0</v>
      </c>
      <c r="AE1344" s="78" t="b">
        <f t="shared" si="1191"/>
        <v>0</v>
      </c>
      <c r="AF1344" s="78" t="b">
        <f t="shared" si="1192"/>
        <v>0</v>
      </c>
      <c r="AG1344" s="78" t="b">
        <f t="shared" si="1193"/>
        <v>0</v>
      </c>
      <c r="AH1344" s="78" t="b">
        <f t="shared" si="1194"/>
        <v>0</v>
      </c>
      <c r="AI1344" s="78" t="b">
        <f t="shared" si="1195"/>
        <v>0</v>
      </c>
      <c r="AJ1344" s="78" t="b">
        <f t="shared" si="1196"/>
        <v>0</v>
      </c>
      <c r="AK1344" s="78" t="b">
        <f t="shared" si="1197"/>
        <v>0</v>
      </c>
      <c r="AL1344" s="78" t="b">
        <f t="shared" si="1198"/>
        <v>0</v>
      </c>
      <c r="AM1344" s="78" t="b">
        <f t="shared" si="1199"/>
        <v>0</v>
      </c>
      <c r="AN1344" s="78" t="b">
        <f t="shared" si="1200"/>
        <v>0</v>
      </c>
      <c r="AO1344" s="78" t="b">
        <f t="shared" si="1201"/>
        <v>0</v>
      </c>
    </row>
    <row r="1345" spans="7:41" x14ac:dyDescent="0.35">
      <c r="G1345" s="77">
        <f t="shared" si="1171"/>
        <v>0</v>
      </c>
      <c r="H1345" s="78">
        <f t="shared" si="1172"/>
        <v>0</v>
      </c>
      <c r="I1345" s="77">
        <f t="shared" si="1173"/>
        <v>0</v>
      </c>
      <c r="J1345" s="78">
        <f t="shared" si="1174"/>
        <v>0</v>
      </c>
      <c r="K1345" s="78" t="str">
        <f t="shared" si="1175"/>
        <v>1900-01-00 00:0:00</v>
      </c>
      <c r="L1345" s="78" t="str">
        <f t="shared" si="1176"/>
        <v>1900-01-00 00:0:00</v>
      </c>
      <c r="M1345" s="79">
        <f t="shared" si="1177"/>
        <v>0</v>
      </c>
      <c r="N1345">
        <f t="shared" si="1170"/>
        <v>1</v>
      </c>
      <c r="O1345" t="str">
        <f>IFERROR(_xlfn.XLOOKUP(A1345,HC!A:A,HC!C:C),"")</f>
        <v>Workforce</v>
      </c>
      <c r="R1345" s="78" t="b">
        <f t="shared" si="1178"/>
        <v>0</v>
      </c>
      <c r="S1345" s="78" t="b">
        <f t="shared" si="1179"/>
        <v>0</v>
      </c>
      <c r="T1345" s="78" t="b">
        <f t="shared" si="1180"/>
        <v>0</v>
      </c>
      <c r="U1345" s="78" t="b">
        <f t="shared" si="1181"/>
        <v>0</v>
      </c>
      <c r="V1345" s="78" t="b">
        <f t="shared" si="1182"/>
        <v>0</v>
      </c>
      <c r="W1345" s="78" t="b">
        <f t="shared" si="1183"/>
        <v>0</v>
      </c>
      <c r="X1345" s="78" t="b">
        <f t="shared" si="1184"/>
        <v>0</v>
      </c>
      <c r="Y1345" s="78" t="b">
        <f t="shared" si="1185"/>
        <v>0</v>
      </c>
      <c r="Z1345" s="78" t="b">
        <f t="shared" si="1186"/>
        <v>0</v>
      </c>
      <c r="AA1345" s="78" t="b">
        <f t="shared" si="1187"/>
        <v>0</v>
      </c>
      <c r="AB1345" s="78" t="b">
        <f t="shared" si="1188"/>
        <v>0</v>
      </c>
      <c r="AC1345" s="78" t="b">
        <f t="shared" si="1189"/>
        <v>0</v>
      </c>
      <c r="AD1345" s="78" t="b">
        <f t="shared" si="1190"/>
        <v>0</v>
      </c>
      <c r="AE1345" s="78" t="b">
        <f t="shared" si="1191"/>
        <v>0</v>
      </c>
      <c r="AF1345" s="78" t="b">
        <f t="shared" si="1192"/>
        <v>0</v>
      </c>
      <c r="AG1345" s="78" t="b">
        <f t="shared" si="1193"/>
        <v>0</v>
      </c>
      <c r="AH1345" s="78" t="b">
        <f t="shared" si="1194"/>
        <v>0</v>
      </c>
      <c r="AI1345" s="78" t="b">
        <f t="shared" si="1195"/>
        <v>0</v>
      </c>
      <c r="AJ1345" s="78" t="b">
        <f t="shared" si="1196"/>
        <v>0</v>
      </c>
      <c r="AK1345" s="78" t="b">
        <f t="shared" si="1197"/>
        <v>0</v>
      </c>
      <c r="AL1345" s="78" t="b">
        <f t="shared" si="1198"/>
        <v>0</v>
      </c>
      <c r="AM1345" s="78" t="b">
        <f t="shared" si="1199"/>
        <v>0</v>
      </c>
      <c r="AN1345" s="78" t="b">
        <f t="shared" si="1200"/>
        <v>0</v>
      </c>
      <c r="AO1345" s="78" t="b">
        <f t="shared" si="1201"/>
        <v>0</v>
      </c>
    </row>
    <row r="1346" spans="7:41" x14ac:dyDescent="0.35">
      <c r="G1346" s="77">
        <f t="shared" si="1171"/>
        <v>0</v>
      </c>
      <c r="H1346" s="78">
        <f t="shared" si="1172"/>
        <v>0</v>
      </c>
      <c r="I1346" s="77">
        <f t="shared" si="1173"/>
        <v>0</v>
      </c>
      <c r="J1346" s="78">
        <f t="shared" si="1174"/>
        <v>0</v>
      </c>
      <c r="K1346" s="78" t="str">
        <f t="shared" si="1175"/>
        <v>1900-01-00 00:0:00</v>
      </c>
      <c r="L1346" s="78" t="str">
        <f t="shared" si="1176"/>
        <v>1900-01-00 00:0:00</v>
      </c>
      <c r="M1346" s="79">
        <f t="shared" si="1177"/>
        <v>0</v>
      </c>
      <c r="N1346">
        <f t="shared" si="1170"/>
        <v>1</v>
      </c>
      <c r="O1346" t="str">
        <f>IFERROR(_xlfn.XLOOKUP(A1346,HC!A:A,HC!C:C),"")</f>
        <v>Workforce</v>
      </c>
      <c r="R1346" s="78" t="b">
        <f t="shared" si="1178"/>
        <v>0</v>
      </c>
      <c r="S1346" s="78" t="b">
        <f t="shared" si="1179"/>
        <v>0</v>
      </c>
      <c r="T1346" s="78" t="b">
        <f t="shared" si="1180"/>
        <v>0</v>
      </c>
      <c r="U1346" s="78" t="b">
        <f t="shared" si="1181"/>
        <v>0</v>
      </c>
      <c r="V1346" s="78" t="b">
        <f t="shared" si="1182"/>
        <v>0</v>
      </c>
      <c r="W1346" s="78" t="b">
        <f t="shared" si="1183"/>
        <v>0</v>
      </c>
      <c r="X1346" s="78" t="b">
        <f t="shared" si="1184"/>
        <v>0</v>
      </c>
      <c r="Y1346" s="78" t="b">
        <f t="shared" si="1185"/>
        <v>0</v>
      </c>
      <c r="Z1346" s="78" t="b">
        <f t="shared" si="1186"/>
        <v>0</v>
      </c>
      <c r="AA1346" s="78" t="b">
        <f t="shared" si="1187"/>
        <v>0</v>
      </c>
      <c r="AB1346" s="78" t="b">
        <f t="shared" si="1188"/>
        <v>0</v>
      </c>
      <c r="AC1346" s="78" t="b">
        <f t="shared" si="1189"/>
        <v>0</v>
      </c>
      <c r="AD1346" s="78" t="b">
        <f t="shared" si="1190"/>
        <v>0</v>
      </c>
      <c r="AE1346" s="78" t="b">
        <f t="shared" si="1191"/>
        <v>0</v>
      </c>
      <c r="AF1346" s="78" t="b">
        <f t="shared" si="1192"/>
        <v>0</v>
      </c>
      <c r="AG1346" s="78" t="b">
        <f t="shared" si="1193"/>
        <v>0</v>
      </c>
      <c r="AH1346" s="78" t="b">
        <f t="shared" si="1194"/>
        <v>0</v>
      </c>
      <c r="AI1346" s="78" t="b">
        <f t="shared" si="1195"/>
        <v>0</v>
      </c>
      <c r="AJ1346" s="78" t="b">
        <f t="shared" si="1196"/>
        <v>0</v>
      </c>
      <c r="AK1346" s="78" t="b">
        <f t="shared" si="1197"/>
        <v>0</v>
      </c>
      <c r="AL1346" s="78" t="b">
        <f t="shared" si="1198"/>
        <v>0</v>
      </c>
      <c r="AM1346" s="78" t="b">
        <f t="shared" si="1199"/>
        <v>0</v>
      </c>
      <c r="AN1346" s="78" t="b">
        <f t="shared" si="1200"/>
        <v>0</v>
      </c>
      <c r="AO1346" s="78" t="b">
        <f t="shared" si="1201"/>
        <v>0</v>
      </c>
    </row>
    <row r="1347" spans="7:41" x14ac:dyDescent="0.35">
      <c r="G1347" s="77">
        <f t="shared" si="1171"/>
        <v>0</v>
      </c>
      <c r="H1347" s="78">
        <f t="shared" si="1172"/>
        <v>0</v>
      </c>
      <c r="I1347" s="77">
        <f t="shared" si="1173"/>
        <v>0</v>
      </c>
      <c r="J1347" s="78">
        <f t="shared" si="1174"/>
        <v>0</v>
      </c>
      <c r="K1347" s="78" t="str">
        <f t="shared" si="1175"/>
        <v>1900-01-00 00:0:00</v>
      </c>
      <c r="L1347" s="78" t="str">
        <f t="shared" si="1176"/>
        <v>1900-01-00 00:0:00</v>
      </c>
      <c r="M1347" s="79">
        <f t="shared" si="1177"/>
        <v>0</v>
      </c>
      <c r="N1347">
        <f t="shared" si="1170"/>
        <v>1</v>
      </c>
      <c r="O1347" t="str">
        <f>IFERROR(_xlfn.XLOOKUP(A1347,HC!A:A,HC!C:C),"")</f>
        <v>Workforce</v>
      </c>
      <c r="R1347" s="78" t="b">
        <f t="shared" si="1178"/>
        <v>0</v>
      </c>
      <c r="S1347" s="78" t="b">
        <f t="shared" si="1179"/>
        <v>0</v>
      </c>
      <c r="T1347" s="78" t="b">
        <f t="shared" si="1180"/>
        <v>0</v>
      </c>
      <c r="U1347" s="78" t="b">
        <f t="shared" si="1181"/>
        <v>0</v>
      </c>
      <c r="V1347" s="78" t="b">
        <f t="shared" si="1182"/>
        <v>0</v>
      </c>
      <c r="W1347" s="78" t="b">
        <f t="shared" si="1183"/>
        <v>0</v>
      </c>
      <c r="X1347" s="78" t="b">
        <f t="shared" si="1184"/>
        <v>0</v>
      </c>
      <c r="Y1347" s="78" t="b">
        <f t="shared" si="1185"/>
        <v>0</v>
      </c>
      <c r="Z1347" s="78" t="b">
        <f t="shared" si="1186"/>
        <v>0</v>
      </c>
      <c r="AA1347" s="78" t="b">
        <f t="shared" si="1187"/>
        <v>0</v>
      </c>
      <c r="AB1347" s="78" t="b">
        <f t="shared" si="1188"/>
        <v>0</v>
      </c>
      <c r="AC1347" s="78" t="b">
        <f t="shared" si="1189"/>
        <v>0</v>
      </c>
      <c r="AD1347" s="78" t="b">
        <f t="shared" si="1190"/>
        <v>0</v>
      </c>
      <c r="AE1347" s="78" t="b">
        <f t="shared" si="1191"/>
        <v>0</v>
      </c>
      <c r="AF1347" s="78" t="b">
        <f t="shared" si="1192"/>
        <v>0</v>
      </c>
      <c r="AG1347" s="78" t="b">
        <f t="shared" si="1193"/>
        <v>0</v>
      </c>
      <c r="AH1347" s="78" t="b">
        <f t="shared" si="1194"/>
        <v>0</v>
      </c>
      <c r="AI1347" s="78" t="b">
        <f t="shared" si="1195"/>
        <v>0</v>
      </c>
      <c r="AJ1347" s="78" t="b">
        <f t="shared" si="1196"/>
        <v>0</v>
      </c>
      <c r="AK1347" s="78" t="b">
        <f t="shared" si="1197"/>
        <v>0</v>
      </c>
      <c r="AL1347" s="78" t="b">
        <f t="shared" si="1198"/>
        <v>0</v>
      </c>
      <c r="AM1347" s="78" t="b">
        <f t="shared" si="1199"/>
        <v>0</v>
      </c>
      <c r="AN1347" s="78" t="b">
        <f t="shared" si="1200"/>
        <v>0</v>
      </c>
      <c r="AO1347" s="78" t="b">
        <f t="shared" si="1201"/>
        <v>0</v>
      </c>
    </row>
    <row r="1348" spans="7:41" x14ac:dyDescent="0.35">
      <c r="G1348" s="77">
        <f t="shared" si="1171"/>
        <v>0</v>
      </c>
      <c r="H1348" s="78">
        <f t="shared" si="1172"/>
        <v>0</v>
      </c>
      <c r="I1348" s="77">
        <f t="shared" si="1173"/>
        <v>0</v>
      </c>
      <c r="J1348" s="78">
        <f t="shared" si="1174"/>
        <v>0</v>
      </c>
      <c r="K1348" s="78" t="str">
        <f t="shared" si="1175"/>
        <v>1900-01-00 00:0:00</v>
      </c>
      <c r="L1348" s="78" t="str">
        <f t="shared" si="1176"/>
        <v>1900-01-00 00:0:00</v>
      </c>
      <c r="M1348" s="79">
        <f t="shared" si="1177"/>
        <v>0</v>
      </c>
      <c r="N1348">
        <f t="shared" ref="N1348:N1411" si="1202">IF(M1348&lt;$BA$1,1,0)</f>
        <v>1</v>
      </c>
      <c r="O1348" t="str">
        <f>IFERROR(_xlfn.XLOOKUP(A1348,HC!A:A,HC!C:C),"")</f>
        <v>Workforce</v>
      </c>
      <c r="R1348" s="78" t="b">
        <f t="shared" si="1178"/>
        <v>0</v>
      </c>
      <c r="S1348" s="78" t="b">
        <f t="shared" si="1179"/>
        <v>0</v>
      </c>
      <c r="T1348" s="78" t="b">
        <f t="shared" si="1180"/>
        <v>0</v>
      </c>
      <c r="U1348" s="78" t="b">
        <f t="shared" si="1181"/>
        <v>0</v>
      </c>
      <c r="V1348" s="78" t="b">
        <f t="shared" si="1182"/>
        <v>0</v>
      </c>
      <c r="W1348" s="78" t="b">
        <f t="shared" si="1183"/>
        <v>0</v>
      </c>
      <c r="X1348" s="78" t="b">
        <f t="shared" si="1184"/>
        <v>0</v>
      </c>
      <c r="Y1348" s="78" t="b">
        <f t="shared" si="1185"/>
        <v>0</v>
      </c>
      <c r="Z1348" s="78" t="b">
        <f t="shared" si="1186"/>
        <v>0</v>
      </c>
      <c r="AA1348" s="78" t="b">
        <f t="shared" si="1187"/>
        <v>0</v>
      </c>
      <c r="AB1348" s="78" t="b">
        <f t="shared" si="1188"/>
        <v>0</v>
      </c>
      <c r="AC1348" s="78" t="b">
        <f t="shared" si="1189"/>
        <v>0</v>
      </c>
      <c r="AD1348" s="78" t="b">
        <f t="shared" si="1190"/>
        <v>0</v>
      </c>
      <c r="AE1348" s="78" t="b">
        <f t="shared" si="1191"/>
        <v>0</v>
      </c>
      <c r="AF1348" s="78" t="b">
        <f t="shared" si="1192"/>
        <v>0</v>
      </c>
      <c r="AG1348" s="78" t="b">
        <f t="shared" si="1193"/>
        <v>0</v>
      </c>
      <c r="AH1348" s="78" t="b">
        <f t="shared" si="1194"/>
        <v>0</v>
      </c>
      <c r="AI1348" s="78" t="b">
        <f t="shared" si="1195"/>
        <v>0</v>
      </c>
      <c r="AJ1348" s="78" t="b">
        <f t="shared" si="1196"/>
        <v>0</v>
      </c>
      <c r="AK1348" s="78" t="b">
        <f t="shared" si="1197"/>
        <v>0</v>
      </c>
      <c r="AL1348" s="78" t="b">
        <f t="shared" si="1198"/>
        <v>0</v>
      </c>
      <c r="AM1348" s="78" t="b">
        <f t="shared" si="1199"/>
        <v>0</v>
      </c>
      <c r="AN1348" s="78" t="b">
        <f t="shared" si="1200"/>
        <v>0</v>
      </c>
      <c r="AO1348" s="78" t="b">
        <f t="shared" si="1201"/>
        <v>0</v>
      </c>
    </row>
    <row r="1349" spans="7:41" x14ac:dyDescent="0.35">
      <c r="G1349" s="77">
        <f t="shared" si="1171"/>
        <v>0</v>
      </c>
      <c r="H1349" s="78">
        <f t="shared" si="1172"/>
        <v>0</v>
      </c>
      <c r="I1349" s="77">
        <f t="shared" si="1173"/>
        <v>0</v>
      </c>
      <c r="J1349" s="78">
        <f t="shared" si="1174"/>
        <v>0</v>
      </c>
      <c r="K1349" s="78" t="str">
        <f t="shared" si="1175"/>
        <v>1900-01-00 00:0:00</v>
      </c>
      <c r="L1349" s="78" t="str">
        <f t="shared" si="1176"/>
        <v>1900-01-00 00:0:00</v>
      </c>
      <c r="M1349" s="79">
        <f t="shared" si="1177"/>
        <v>0</v>
      </c>
      <c r="N1349">
        <f t="shared" si="1202"/>
        <v>1</v>
      </c>
      <c r="O1349" t="str">
        <f>IFERROR(_xlfn.XLOOKUP(A1349,HC!A:A,HC!C:C),"")</f>
        <v>Workforce</v>
      </c>
      <c r="R1349" s="78" t="b">
        <f t="shared" si="1178"/>
        <v>0</v>
      </c>
      <c r="S1349" s="78" t="b">
        <f t="shared" si="1179"/>
        <v>0</v>
      </c>
      <c r="T1349" s="78" t="b">
        <f t="shared" si="1180"/>
        <v>0</v>
      </c>
      <c r="U1349" s="78" t="b">
        <f t="shared" si="1181"/>
        <v>0</v>
      </c>
      <c r="V1349" s="78" t="b">
        <f t="shared" si="1182"/>
        <v>0</v>
      </c>
      <c r="W1349" s="78" t="b">
        <f t="shared" si="1183"/>
        <v>0</v>
      </c>
      <c r="X1349" s="78" t="b">
        <f t="shared" si="1184"/>
        <v>0</v>
      </c>
      <c r="Y1349" s="78" t="b">
        <f t="shared" si="1185"/>
        <v>0</v>
      </c>
      <c r="Z1349" s="78" t="b">
        <f t="shared" si="1186"/>
        <v>0</v>
      </c>
      <c r="AA1349" s="78" t="b">
        <f t="shared" si="1187"/>
        <v>0</v>
      </c>
      <c r="AB1349" s="78" t="b">
        <f t="shared" si="1188"/>
        <v>0</v>
      </c>
      <c r="AC1349" s="78" t="b">
        <f t="shared" si="1189"/>
        <v>0</v>
      </c>
      <c r="AD1349" s="78" t="b">
        <f t="shared" si="1190"/>
        <v>0</v>
      </c>
      <c r="AE1349" s="78" t="b">
        <f t="shared" si="1191"/>
        <v>0</v>
      </c>
      <c r="AF1349" s="78" t="b">
        <f t="shared" si="1192"/>
        <v>0</v>
      </c>
      <c r="AG1349" s="78" t="b">
        <f t="shared" si="1193"/>
        <v>0</v>
      </c>
      <c r="AH1349" s="78" t="b">
        <f t="shared" si="1194"/>
        <v>0</v>
      </c>
      <c r="AI1349" s="78" t="b">
        <f t="shared" si="1195"/>
        <v>0</v>
      </c>
      <c r="AJ1349" s="78" t="b">
        <f t="shared" si="1196"/>
        <v>0</v>
      </c>
      <c r="AK1349" s="78" t="b">
        <f t="shared" si="1197"/>
        <v>0</v>
      </c>
      <c r="AL1349" s="78" t="b">
        <f t="shared" si="1198"/>
        <v>0</v>
      </c>
      <c r="AM1349" s="78" t="b">
        <f t="shared" si="1199"/>
        <v>0</v>
      </c>
      <c r="AN1349" s="78" t="b">
        <f t="shared" si="1200"/>
        <v>0</v>
      </c>
      <c r="AO1349" s="78" t="b">
        <f t="shared" si="1201"/>
        <v>0</v>
      </c>
    </row>
    <row r="1350" spans="7:41" x14ac:dyDescent="0.35">
      <c r="G1350" s="77">
        <f t="shared" si="1171"/>
        <v>0</v>
      </c>
      <c r="H1350" s="78">
        <f t="shared" si="1172"/>
        <v>0</v>
      </c>
      <c r="I1350" s="77">
        <f t="shared" si="1173"/>
        <v>0</v>
      </c>
      <c r="J1350" s="78">
        <f t="shared" si="1174"/>
        <v>0</v>
      </c>
      <c r="K1350" s="78" t="str">
        <f t="shared" si="1175"/>
        <v>1900-01-00 00:0:00</v>
      </c>
      <c r="L1350" s="78" t="str">
        <f t="shared" si="1176"/>
        <v>1900-01-00 00:0:00</v>
      </c>
      <c r="M1350" s="79">
        <f t="shared" si="1177"/>
        <v>0</v>
      </c>
      <c r="N1350">
        <f t="shared" si="1202"/>
        <v>1</v>
      </c>
      <c r="O1350" t="str">
        <f>IFERROR(_xlfn.XLOOKUP(A1350,HC!A:A,HC!C:C),"")</f>
        <v>Workforce</v>
      </c>
      <c r="R1350" s="78" t="b">
        <f t="shared" si="1178"/>
        <v>0</v>
      </c>
      <c r="S1350" s="78" t="b">
        <f t="shared" si="1179"/>
        <v>0</v>
      </c>
      <c r="T1350" s="78" t="b">
        <f t="shared" si="1180"/>
        <v>0</v>
      </c>
      <c r="U1350" s="78" t="b">
        <f t="shared" si="1181"/>
        <v>0</v>
      </c>
      <c r="V1350" s="78" t="b">
        <f t="shared" si="1182"/>
        <v>0</v>
      </c>
      <c r="W1350" s="78" t="b">
        <f t="shared" si="1183"/>
        <v>0</v>
      </c>
      <c r="X1350" s="78" t="b">
        <f t="shared" si="1184"/>
        <v>0</v>
      </c>
      <c r="Y1350" s="78" t="b">
        <f t="shared" si="1185"/>
        <v>0</v>
      </c>
      <c r="Z1350" s="78" t="b">
        <f t="shared" si="1186"/>
        <v>0</v>
      </c>
      <c r="AA1350" s="78" t="b">
        <f t="shared" si="1187"/>
        <v>0</v>
      </c>
      <c r="AB1350" s="78" t="b">
        <f t="shared" si="1188"/>
        <v>0</v>
      </c>
      <c r="AC1350" s="78" t="b">
        <f t="shared" si="1189"/>
        <v>0</v>
      </c>
      <c r="AD1350" s="78" t="b">
        <f t="shared" si="1190"/>
        <v>0</v>
      </c>
      <c r="AE1350" s="78" t="b">
        <f t="shared" si="1191"/>
        <v>0</v>
      </c>
      <c r="AF1350" s="78" t="b">
        <f t="shared" si="1192"/>
        <v>0</v>
      </c>
      <c r="AG1350" s="78" t="b">
        <f t="shared" si="1193"/>
        <v>0</v>
      </c>
      <c r="AH1350" s="78" t="b">
        <f t="shared" si="1194"/>
        <v>0</v>
      </c>
      <c r="AI1350" s="78" t="b">
        <f t="shared" si="1195"/>
        <v>0</v>
      </c>
      <c r="AJ1350" s="78" t="b">
        <f t="shared" si="1196"/>
        <v>0</v>
      </c>
      <c r="AK1350" s="78" t="b">
        <f t="shared" si="1197"/>
        <v>0</v>
      </c>
      <c r="AL1350" s="78" t="b">
        <f t="shared" si="1198"/>
        <v>0</v>
      </c>
      <c r="AM1350" s="78" t="b">
        <f t="shared" si="1199"/>
        <v>0</v>
      </c>
      <c r="AN1350" s="78" t="b">
        <f t="shared" si="1200"/>
        <v>0</v>
      </c>
      <c r="AO1350" s="78" t="b">
        <f t="shared" si="1201"/>
        <v>0</v>
      </c>
    </row>
    <row r="1351" spans="7:41" x14ac:dyDescent="0.35">
      <c r="G1351" s="77">
        <f t="shared" si="1171"/>
        <v>0</v>
      </c>
      <c r="H1351" s="78">
        <f t="shared" si="1172"/>
        <v>0</v>
      </c>
      <c r="I1351" s="77">
        <f t="shared" si="1173"/>
        <v>0</v>
      </c>
      <c r="J1351" s="78">
        <f t="shared" si="1174"/>
        <v>0</v>
      </c>
      <c r="K1351" s="78" t="str">
        <f t="shared" si="1175"/>
        <v>1900-01-00 00:0:00</v>
      </c>
      <c r="L1351" s="78" t="str">
        <f t="shared" si="1176"/>
        <v>1900-01-00 00:0:00</v>
      </c>
      <c r="M1351" s="79">
        <f t="shared" si="1177"/>
        <v>0</v>
      </c>
      <c r="N1351">
        <f t="shared" si="1202"/>
        <v>1</v>
      </c>
      <c r="O1351" t="str">
        <f>IFERROR(_xlfn.XLOOKUP(A1351,HC!A:A,HC!C:C),"")</f>
        <v>Workforce</v>
      </c>
      <c r="R1351" s="78" t="b">
        <f t="shared" si="1178"/>
        <v>0</v>
      </c>
      <c r="S1351" s="78" t="b">
        <f t="shared" si="1179"/>
        <v>0</v>
      </c>
      <c r="T1351" s="78" t="b">
        <f t="shared" si="1180"/>
        <v>0</v>
      </c>
      <c r="U1351" s="78" t="b">
        <f t="shared" si="1181"/>
        <v>0</v>
      </c>
      <c r="V1351" s="78" t="b">
        <f t="shared" si="1182"/>
        <v>0</v>
      </c>
      <c r="W1351" s="78" t="b">
        <f t="shared" si="1183"/>
        <v>0</v>
      </c>
      <c r="X1351" s="78" t="b">
        <f t="shared" si="1184"/>
        <v>0</v>
      </c>
      <c r="Y1351" s="78" t="b">
        <f t="shared" si="1185"/>
        <v>0</v>
      </c>
      <c r="Z1351" s="78" t="b">
        <f t="shared" si="1186"/>
        <v>0</v>
      </c>
      <c r="AA1351" s="78" t="b">
        <f t="shared" si="1187"/>
        <v>0</v>
      </c>
      <c r="AB1351" s="78" t="b">
        <f t="shared" si="1188"/>
        <v>0</v>
      </c>
      <c r="AC1351" s="78" t="b">
        <f t="shared" si="1189"/>
        <v>0</v>
      </c>
      <c r="AD1351" s="78" t="b">
        <f t="shared" si="1190"/>
        <v>0</v>
      </c>
      <c r="AE1351" s="78" t="b">
        <f t="shared" si="1191"/>
        <v>0</v>
      </c>
      <c r="AF1351" s="78" t="b">
        <f t="shared" si="1192"/>
        <v>0</v>
      </c>
      <c r="AG1351" s="78" t="b">
        <f t="shared" si="1193"/>
        <v>0</v>
      </c>
      <c r="AH1351" s="78" t="b">
        <f t="shared" si="1194"/>
        <v>0</v>
      </c>
      <c r="AI1351" s="78" t="b">
        <f t="shared" si="1195"/>
        <v>0</v>
      </c>
      <c r="AJ1351" s="78" t="b">
        <f t="shared" si="1196"/>
        <v>0</v>
      </c>
      <c r="AK1351" s="78" t="b">
        <f t="shared" si="1197"/>
        <v>0</v>
      </c>
      <c r="AL1351" s="78" t="b">
        <f t="shared" si="1198"/>
        <v>0</v>
      </c>
      <c r="AM1351" s="78" t="b">
        <f t="shared" si="1199"/>
        <v>0</v>
      </c>
      <c r="AN1351" s="78" t="b">
        <f t="shared" si="1200"/>
        <v>0</v>
      </c>
      <c r="AO1351" s="78" t="b">
        <f t="shared" si="1201"/>
        <v>0</v>
      </c>
    </row>
    <row r="1352" spans="7:41" x14ac:dyDescent="0.35">
      <c r="G1352" s="77">
        <f t="shared" si="1171"/>
        <v>0</v>
      </c>
      <c r="H1352" s="78">
        <f t="shared" si="1172"/>
        <v>0</v>
      </c>
      <c r="I1352" s="77">
        <f t="shared" si="1173"/>
        <v>0</v>
      </c>
      <c r="J1352" s="78">
        <f t="shared" si="1174"/>
        <v>0</v>
      </c>
      <c r="K1352" s="78" t="str">
        <f t="shared" si="1175"/>
        <v>1900-01-00 00:0:00</v>
      </c>
      <c r="L1352" s="78" t="str">
        <f t="shared" si="1176"/>
        <v>1900-01-00 00:0:00</v>
      </c>
      <c r="M1352" s="79">
        <f t="shared" si="1177"/>
        <v>0</v>
      </c>
      <c r="N1352">
        <f t="shared" si="1202"/>
        <v>1</v>
      </c>
      <c r="O1352" t="str">
        <f>IFERROR(_xlfn.XLOOKUP(A1352,HC!A:A,HC!C:C),"")</f>
        <v>Workforce</v>
      </c>
      <c r="R1352" s="78" t="b">
        <f t="shared" si="1178"/>
        <v>0</v>
      </c>
      <c r="S1352" s="78" t="b">
        <f t="shared" si="1179"/>
        <v>0</v>
      </c>
      <c r="T1352" s="78" t="b">
        <f t="shared" si="1180"/>
        <v>0</v>
      </c>
      <c r="U1352" s="78" t="b">
        <f t="shared" si="1181"/>
        <v>0</v>
      </c>
      <c r="V1352" s="78" t="b">
        <f t="shared" si="1182"/>
        <v>0</v>
      </c>
      <c r="W1352" s="78" t="b">
        <f t="shared" si="1183"/>
        <v>0</v>
      </c>
      <c r="X1352" s="78" t="b">
        <f t="shared" si="1184"/>
        <v>0</v>
      </c>
      <c r="Y1352" s="78" t="b">
        <f t="shared" si="1185"/>
        <v>0</v>
      </c>
      <c r="Z1352" s="78" t="b">
        <f t="shared" si="1186"/>
        <v>0</v>
      </c>
      <c r="AA1352" s="78" t="b">
        <f t="shared" si="1187"/>
        <v>0</v>
      </c>
      <c r="AB1352" s="78" t="b">
        <f t="shared" si="1188"/>
        <v>0</v>
      </c>
      <c r="AC1352" s="78" t="b">
        <f t="shared" si="1189"/>
        <v>0</v>
      </c>
      <c r="AD1352" s="78" t="b">
        <f t="shared" si="1190"/>
        <v>0</v>
      </c>
      <c r="AE1352" s="78" t="b">
        <f t="shared" si="1191"/>
        <v>0</v>
      </c>
      <c r="AF1352" s="78" t="b">
        <f t="shared" si="1192"/>
        <v>0</v>
      </c>
      <c r="AG1352" s="78" t="b">
        <f t="shared" si="1193"/>
        <v>0</v>
      </c>
      <c r="AH1352" s="78" t="b">
        <f t="shared" si="1194"/>
        <v>0</v>
      </c>
      <c r="AI1352" s="78" t="b">
        <f t="shared" si="1195"/>
        <v>0</v>
      </c>
      <c r="AJ1352" s="78" t="b">
        <f t="shared" si="1196"/>
        <v>0</v>
      </c>
      <c r="AK1352" s="78" t="b">
        <f t="shared" si="1197"/>
        <v>0</v>
      </c>
      <c r="AL1352" s="78" t="b">
        <f t="shared" si="1198"/>
        <v>0</v>
      </c>
      <c r="AM1352" s="78" t="b">
        <f t="shared" si="1199"/>
        <v>0</v>
      </c>
      <c r="AN1352" s="78" t="b">
        <f t="shared" si="1200"/>
        <v>0</v>
      </c>
      <c r="AO1352" s="78" t="b">
        <f t="shared" si="1201"/>
        <v>0</v>
      </c>
    </row>
    <row r="1353" spans="7:41" x14ac:dyDescent="0.35">
      <c r="G1353" s="77">
        <f t="shared" si="1171"/>
        <v>0</v>
      </c>
      <c r="H1353" s="78">
        <f t="shared" si="1172"/>
        <v>0</v>
      </c>
      <c r="I1353" s="77">
        <f t="shared" si="1173"/>
        <v>0</v>
      </c>
      <c r="J1353" s="78">
        <f t="shared" si="1174"/>
        <v>0</v>
      </c>
      <c r="K1353" s="78" t="str">
        <f t="shared" si="1175"/>
        <v>1900-01-00 00:0:00</v>
      </c>
      <c r="L1353" s="78" t="str">
        <f t="shared" si="1176"/>
        <v>1900-01-00 00:0:00</v>
      </c>
      <c r="M1353" s="79">
        <f t="shared" si="1177"/>
        <v>0</v>
      </c>
      <c r="N1353">
        <f t="shared" si="1202"/>
        <v>1</v>
      </c>
      <c r="O1353" t="str">
        <f>IFERROR(_xlfn.XLOOKUP(A1353,HC!A:A,HC!C:C),"")</f>
        <v>Workforce</v>
      </c>
      <c r="R1353" s="78" t="b">
        <f t="shared" si="1178"/>
        <v>0</v>
      </c>
      <c r="S1353" s="78" t="b">
        <f t="shared" si="1179"/>
        <v>0</v>
      </c>
      <c r="T1353" s="78" t="b">
        <f t="shared" si="1180"/>
        <v>0</v>
      </c>
      <c r="U1353" s="78" t="b">
        <f t="shared" si="1181"/>
        <v>0</v>
      </c>
      <c r="V1353" s="78" t="b">
        <f t="shared" si="1182"/>
        <v>0</v>
      </c>
      <c r="W1353" s="78" t="b">
        <f t="shared" si="1183"/>
        <v>0</v>
      </c>
      <c r="X1353" s="78" t="b">
        <f t="shared" si="1184"/>
        <v>0</v>
      </c>
      <c r="Y1353" s="78" t="b">
        <f t="shared" si="1185"/>
        <v>0</v>
      </c>
      <c r="Z1353" s="78" t="b">
        <f t="shared" si="1186"/>
        <v>0</v>
      </c>
      <c r="AA1353" s="78" t="b">
        <f t="shared" si="1187"/>
        <v>0</v>
      </c>
      <c r="AB1353" s="78" t="b">
        <f t="shared" si="1188"/>
        <v>0</v>
      </c>
      <c r="AC1353" s="78" t="b">
        <f t="shared" si="1189"/>
        <v>0</v>
      </c>
      <c r="AD1353" s="78" t="b">
        <f t="shared" si="1190"/>
        <v>0</v>
      </c>
      <c r="AE1353" s="78" t="b">
        <f t="shared" si="1191"/>
        <v>0</v>
      </c>
      <c r="AF1353" s="78" t="b">
        <f t="shared" si="1192"/>
        <v>0</v>
      </c>
      <c r="AG1353" s="78" t="b">
        <f t="shared" si="1193"/>
        <v>0</v>
      </c>
      <c r="AH1353" s="78" t="b">
        <f t="shared" si="1194"/>
        <v>0</v>
      </c>
      <c r="AI1353" s="78" t="b">
        <f t="shared" si="1195"/>
        <v>0</v>
      </c>
      <c r="AJ1353" s="78" t="b">
        <f t="shared" si="1196"/>
        <v>0</v>
      </c>
      <c r="AK1353" s="78" t="b">
        <f t="shared" si="1197"/>
        <v>0</v>
      </c>
      <c r="AL1353" s="78" t="b">
        <f t="shared" si="1198"/>
        <v>0</v>
      </c>
      <c r="AM1353" s="78" t="b">
        <f t="shared" si="1199"/>
        <v>0</v>
      </c>
      <c r="AN1353" s="78" t="b">
        <f t="shared" si="1200"/>
        <v>0</v>
      </c>
      <c r="AO1353" s="78" t="b">
        <f t="shared" si="1201"/>
        <v>0</v>
      </c>
    </row>
    <row r="1354" spans="7:41" x14ac:dyDescent="0.35">
      <c r="G1354" s="77">
        <f t="shared" si="1171"/>
        <v>0</v>
      </c>
      <c r="H1354" s="78">
        <f t="shared" si="1172"/>
        <v>0</v>
      </c>
      <c r="I1354" s="77">
        <f t="shared" si="1173"/>
        <v>0</v>
      </c>
      <c r="J1354" s="78">
        <f t="shared" si="1174"/>
        <v>0</v>
      </c>
      <c r="K1354" s="78" t="str">
        <f t="shared" si="1175"/>
        <v>1900-01-00 00:0:00</v>
      </c>
      <c r="L1354" s="78" t="str">
        <f t="shared" si="1176"/>
        <v>1900-01-00 00:0:00</v>
      </c>
      <c r="M1354" s="79">
        <f t="shared" si="1177"/>
        <v>0</v>
      </c>
      <c r="N1354">
        <f t="shared" si="1202"/>
        <v>1</v>
      </c>
      <c r="O1354" t="str">
        <f>IFERROR(_xlfn.XLOOKUP(A1354,HC!A:A,HC!C:C),"")</f>
        <v>Workforce</v>
      </c>
      <c r="R1354" s="78" t="b">
        <f t="shared" si="1178"/>
        <v>0</v>
      </c>
      <c r="S1354" s="78" t="b">
        <f t="shared" si="1179"/>
        <v>0</v>
      </c>
      <c r="T1354" s="78" t="b">
        <f t="shared" si="1180"/>
        <v>0</v>
      </c>
      <c r="U1354" s="78" t="b">
        <f t="shared" si="1181"/>
        <v>0</v>
      </c>
      <c r="V1354" s="78" t="b">
        <f t="shared" si="1182"/>
        <v>0</v>
      </c>
      <c r="W1354" s="78" t="b">
        <f t="shared" si="1183"/>
        <v>0</v>
      </c>
      <c r="X1354" s="78" t="b">
        <f t="shared" si="1184"/>
        <v>0</v>
      </c>
      <c r="Y1354" s="78" t="b">
        <f t="shared" si="1185"/>
        <v>0</v>
      </c>
      <c r="Z1354" s="78" t="b">
        <f t="shared" si="1186"/>
        <v>0</v>
      </c>
      <c r="AA1354" s="78" t="b">
        <f t="shared" si="1187"/>
        <v>0</v>
      </c>
      <c r="AB1354" s="78" t="b">
        <f t="shared" si="1188"/>
        <v>0</v>
      </c>
      <c r="AC1354" s="78" t="b">
        <f t="shared" si="1189"/>
        <v>0</v>
      </c>
      <c r="AD1354" s="78" t="b">
        <f t="shared" si="1190"/>
        <v>0</v>
      </c>
      <c r="AE1354" s="78" t="b">
        <f t="shared" si="1191"/>
        <v>0</v>
      </c>
      <c r="AF1354" s="78" t="b">
        <f t="shared" si="1192"/>
        <v>0</v>
      </c>
      <c r="AG1354" s="78" t="b">
        <f t="shared" si="1193"/>
        <v>0</v>
      </c>
      <c r="AH1354" s="78" t="b">
        <f t="shared" si="1194"/>
        <v>0</v>
      </c>
      <c r="AI1354" s="78" t="b">
        <f t="shared" si="1195"/>
        <v>0</v>
      </c>
      <c r="AJ1354" s="78" t="b">
        <f t="shared" si="1196"/>
        <v>0</v>
      </c>
      <c r="AK1354" s="78" t="b">
        <f t="shared" si="1197"/>
        <v>0</v>
      </c>
      <c r="AL1354" s="78" t="b">
        <f t="shared" si="1198"/>
        <v>0</v>
      </c>
      <c r="AM1354" s="78" t="b">
        <f t="shared" si="1199"/>
        <v>0</v>
      </c>
      <c r="AN1354" s="78" t="b">
        <f t="shared" si="1200"/>
        <v>0</v>
      </c>
      <c r="AO1354" s="78" t="b">
        <f t="shared" si="1201"/>
        <v>0</v>
      </c>
    </row>
    <row r="1355" spans="7:41" x14ac:dyDescent="0.35">
      <c r="G1355" s="77">
        <f t="shared" si="1171"/>
        <v>0</v>
      </c>
      <c r="H1355" s="78">
        <f t="shared" si="1172"/>
        <v>0</v>
      </c>
      <c r="I1355" s="77">
        <f t="shared" si="1173"/>
        <v>0</v>
      </c>
      <c r="J1355" s="78">
        <f t="shared" si="1174"/>
        <v>0</v>
      </c>
      <c r="K1355" s="78" t="str">
        <f t="shared" si="1175"/>
        <v>1900-01-00 00:0:00</v>
      </c>
      <c r="L1355" s="78" t="str">
        <f t="shared" si="1176"/>
        <v>1900-01-00 00:0:00</v>
      </c>
      <c r="M1355" s="79">
        <f t="shared" si="1177"/>
        <v>0</v>
      </c>
      <c r="N1355">
        <f t="shared" si="1202"/>
        <v>1</v>
      </c>
      <c r="O1355" t="str">
        <f>IFERROR(_xlfn.XLOOKUP(A1355,HC!A:A,HC!C:C),"")</f>
        <v>Workforce</v>
      </c>
      <c r="R1355" s="78" t="b">
        <f t="shared" si="1178"/>
        <v>0</v>
      </c>
      <c r="S1355" s="78" t="b">
        <f t="shared" si="1179"/>
        <v>0</v>
      </c>
      <c r="T1355" s="78" t="b">
        <f t="shared" si="1180"/>
        <v>0</v>
      </c>
      <c r="U1355" s="78" t="b">
        <f t="shared" si="1181"/>
        <v>0</v>
      </c>
      <c r="V1355" s="78" t="b">
        <f t="shared" si="1182"/>
        <v>0</v>
      </c>
      <c r="W1355" s="78" t="b">
        <f t="shared" si="1183"/>
        <v>0</v>
      </c>
      <c r="X1355" s="78" t="b">
        <f t="shared" si="1184"/>
        <v>0</v>
      </c>
      <c r="Y1355" s="78" t="b">
        <f t="shared" si="1185"/>
        <v>0</v>
      </c>
      <c r="Z1355" s="78" t="b">
        <f t="shared" si="1186"/>
        <v>0</v>
      </c>
      <c r="AA1355" s="78" t="b">
        <f t="shared" si="1187"/>
        <v>0</v>
      </c>
      <c r="AB1355" s="78" t="b">
        <f t="shared" si="1188"/>
        <v>0</v>
      </c>
      <c r="AC1355" s="78" t="b">
        <f t="shared" si="1189"/>
        <v>0</v>
      </c>
      <c r="AD1355" s="78" t="b">
        <f t="shared" si="1190"/>
        <v>0</v>
      </c>
      <c r="AE1355" s="78" t="b">
        <f t="shared" si="1191"/>
        <v>0</v>
      </c>
      <c r="AF1355" s="78" t="b">
        <f t="shared" si="1192"/>
        <v>0</v>
      </c>
      <c r="AG1355" s="78" t="b">
        <f t="shared" si="1193"/>
        <v>0</v>
      </c>
      <c r="AH1355" s="78" t="b">
        <f t="shared" si="1194"/>
        <v>0</v>
      </c>
      <c r="AI1355" s="78" t="b">
        <f t="shared" si="1195"/>
        <v>0</v>
      </c>
      <c r="AJ1355" s="78" t="b">
        <f t="shared" si="1196"/>
        <v>0</v>
      </c>
      <c r="AK1355" s="78" t="b">
        <f t="shared" si="1197"/>
        <v>0</v>
      </c>
      <c r="AL1355" s="78" t="b">
        <f t="shared" si="1198"/>
        <v>0</v>
      </c>
      <c r="AM1355" s="78" t="b">
        <f t="shared" si="1199"/>
        <v>0</v>
      </c>
      <c r="AN1355" s="78" t="b">
        <f t="shared" si="1200"/>
        <v>0</v>
      </c>
      <c r="AO1355" s="78" t="b">
        <f t="shared" si="1201"/>
        <v>0</v>
      </c>
    </row>
    <row r="1356" spans="7:41" x14ac:dyDescent="0.35">
      <c r="G1356" s="77">
        <f t="shared" si="1171"/>
        <v>0</v>
      </c>
      <c r="H1356" s="78">
        <f t="shared" si="1172"/>
        <v>0</v>
      </c>
      <c r="I1356" s="77">
        <f t="shared" si="1173"/>
        <v>0</v>
      </c>
      <c r="J1356" s="78">
        <f t="shared" si="1174"/>
        <v>0</v>
      </c>
      <c r="K1356" s="78" t="str">
        <f t="shared" si="1175"/>
        <v>1900-01-00 00:0:00</v>
      </c>
      <c r="L1356" s="78" t="str">
        <f t="shared" si="1176"/>
        <v>1900-01-00 00:0:00</v>
      </c>
      <c r="M1356" s="79">
        <f t="shared" si="1177"/>
        <v>0</v>
      </c>
      <c r="N1356">
        <f t="shared" si="1202"/>
        <v>1</v>
      </c>
      <c r="O1356" t="str">
        <f>IFERROR(_xlfn.XLOOKUP(A1356,HC!A:A,HC!C:C),"")</f>
        <v>Workforce</v>
      </c>
      <c r="R1356" s="78" t="b">
        <f t="shared" si="1178"/>
        <v>0</v>
      </c>
      <c r="S1356" s="78" t="b">
        <f t="shared" si="1179"/>
        <v>0</v>
      </c>
      <c r="T1356" s="78" t="b">
        <f t="shared" si="1180"/>
        <v>0</v>
      </c>
      <c r="U1356" s="78" t="b">
        <f t="shared" si="1181"/>
        <v>0</v>
      </c>
      <c r="V1356" s="78" t="b">
        <f t="shared" si="1182"/>
        <v>0</v>
      </c>
      <c r="W1356" s="78" t="b">
        <f t="shared" si="1183"/>
        <v>0</v>
      </c>
      <c r="X1356" s="78" t="b">
        <f t="shared" si="1184"/>
        <v>0</v>
      </c>
      <c r="Y1356" s="78" t="b">
        <f t="shared" si="1185"/>
        <v>0</v>
      </c>
      <c r="Z1356" s="78" t="b">
        <f t="shared" si="1186"/>
        <v>0</v>
      </c>
      <c r="AA1356" s="78" t="b">
        <f t="shared" si="1187"/>
        <v>0</v>
      </c>
      <c r="AB1356" s="78" t="b">
        <f t="shared" si="1188"/>
        <v>0</v>
      </c>
      <c r="AC1356" s="78" t="b">
        <f t="shared" si="1189"/>
        <v>0</v>
      </c>
      <c r="AD1356" s="78" t="b">
        <f t="shared" si="1190"/>
        <v>0</v>
      </c>
      <c r="AE1356" s="78" t="b">
        <f t="shared" si="1191"/>
        <v>0</v>
      </c>
      <c r="AF1356" s="78" t="b">
        <f t="shared" si="1192"/>
        <v>0</v>
      </c>
      <c r="AG1356" s="78" t="b">
        <f t="shared" si="1193"/>
        <v>0</v>
      </c>
      <c r="AH1356" s="78" t="b">
        <f t="shared" si="1194"/>
        <v>0</v>
      </c>
      <c r="AI1356" s="78" t="b">
        <f t="shared" si="1195"/>
        <v>0</v>
      </c>
      <c r="AJ1356" s="78" t="b">
        <f t="shared" si="1196"/>
        <v>0</v>
      </c>
      <c r="AK1356" s="78" t="b">
        <f t="shared" si="1197"/>
        <v>0</v>
      </c>
      <c r="AL1356" s="78" t="b">
        <f t="shared" si="1198"/>
        <v>0</v>
      </c>
      <c r="AM1356" s="78" t="b">
        <f t="shared" si="1199"/>
        <v>0</v>
      </c>
      <c r="AN1356" s="78" t="b">
        <f t="shared" si="1200"/>
        <v>0</v>
      </c>
      <c r="AO1356" s="78" t="b">
        <f t="shared" si="1201"/>
        <v>0</v>
      </c>
    </row>
    <row r="1357" spans="7:41" x14ac:dyDescent="0.35">
      <c r="G1357" s="77">
        <f t="shared" si="1171"/>
        <v>0</v>
      </c>
      <c r="H1357" s="78">
        <f t="shared" si="1172"/>
        <v>0</v>
      </c>
      <c r="I1357" s="77">
        <f t="shared" si="1173"/>
        <v>0</v>
      </c>
      <c r="J1357" s="78">
        <f t="shared" si="1174"/>
        <v>0</v>
      </c>
      <c r="K1357" s="78" t="str">
        <f t="shared" si="1175"/>
        <v>1900-01-00 00:0:00</v>
      </c>
      <c r="L1357" s="78" t="str">
        <f t="shared" si="1176"/>
        <v>1900-01-00 00:0:00</v>
      </c>
      <c r="M1357" s="79">
        <f t="shared" si="1177"/>
        <v>0</v>
      </c>
      <c r="N1357">
        <f t="shared" si="1202"/>
        <v>1</v>
      </c>
      <c r="O1357" t="str">
        <f>IFERROR(_xlfn.XLOOKUP(A1357,HC!A:A,HC!C:C),"")</f>
        <v>Workforce</v>
      </c>
      <c r="R1357" s="78" t="b">
        <f t="shared" si="1178"/>
        <v>0</v>
      </c>
      <c r="S1357" s="78" t="b">
        <f t="shared" si="1179"/>
        <v>0</v>
      </c>
      <c r="T1357" s="78" t="b">
        <f t="shared" si="1180"/>
        <v>0</v>
      </c>
      <c r="U1357" s="78" t="b">
        <f t="shared" si="1181"/>
        <v>0</v>
      </c>
      <c r="V1357" s="78" t="b">
        <f t="shared" si="1182"/>
        <v>0</v>
      </c>
      <c r="W1357" s="78" t="b">
        <f t="shared" si="1183"/>
        <v>0</v>
      </c>
      <c r="X1357" s="78" t="b">
        <f t="shared" si="1184"/>
        <v>0</v>
      </c>
      <c r="Y1357" s="78" t="b">
        <f t="shared" si="1185"/>
        <v>0</v>
      </c>
      <c r="Z1357" s="78" t="b">
        <f t="shared" si="1186"/>
        <v>0</v>
      </c>
      <c r="AA1357" s="78" t="b">
        <f t="shared" si="1187"/>
        <v>0</v>
      </c>
      <c r="AB1357" s="78" t="b">
        <f t="shared" si="1188"/>
        <v>0</v>
      </c>
      <c r="AC1357" s="78" t="b">
        <f t="shared" si="1189"/>
        <v>0</v>
      </c>
      <c r="AD1357" s="78" t="b">
        <f t="shared" si="1190"/>
        <v>0</v>
      </c>
      <c r="AE1357" s="78" t="b">
        <f t="shared" si="1191"/>
        <v>0</v>
      </c>
      <c r="AF1357" s="78" t="b">
        <f t="shared" si="1192"/>
        <v>0</v>
      </c>
      <c r="AG1357" s="78" t="b">
        <f t="shared" si="1193"/>
        <v>0</v>
      </c>
      <c r="AH1357" s="78" t="b">
        <f t="shared" si="1194"/>
        <v>0</v>
      </c>
      <c r="AI1357" s="78" t="b">
        <f t="shared" si="1195"/>
        <v>0</v>
      </c>
      <c r="AJ1357" s="78" t="b">
        <f t="shared" si="1196"/>
        <v>0</v>
      </c>
      <c r="AK1357" s="78" t="b">
        <f t="shared" si="1197"/>
        <v>0</v>
      </c>
      <c r="AL1357" s="78" t="b">
        <f t="shared" si="1198"/>
        <v>0</v>
      </c>
      <c r="AM1357" s="78" t="b">
        <f t="shared" si="1199"/>
        <v>0</v>
      </c>
      <c r="AN1357" s="78" t="b">
        <f t="shared" si="1200"/>
        <v>0</v>
      </c>
      <c r="AO1357" s="78" t="b">
        <f t="shared" si="1201"/>
        <v>0</v>
      </c>
    </row>
    <row r="1358" spans="7:41" x14ac:dyDescent="0.35">
      <c r="G1358" s="77">
        <f t="shared" si="1171"/>
        <v>0</v>
      </c>
      <c r="H1358" s="78">
        <f t="shared" si="1172"/>
        <v>0</v>
      </c>
      <c r="I1358" s="77">
        <f t="shared" si="1173"/>
        <v>0</v>
      </c>
      <c r="J1358" s="78">
        <f t="shared" si="1174"/>
        <v>0</v>
      </c>
      <c r="K1358" s="78" t="str">
        <f t="shared" si="1175"/>
        <v>1900-01-00 00:0:00</v>
      </c>
      <c r="L1358" s="78" t="str">
        <f t="shared" si="1176"/>
        <v>1900-01-00 00:0:00</v>
      </c>
      <c r="M1358" s="79">
        <f t="shared" si="1177"/>
        <v>0</v>
      </c>
      <c r="N1358">
        <f t="shared" si="1202"/>
        <v>1</v>
      </c>
      <c r="O1358" t="str">
        <f>IFERROR(_xlfn.XLOOKUP(A1358,HC!A:A,HC!C:C),"")</f>
        <v>Workforce</v>
      </c>
      <c r="R1358" s="78" t="b">
        <f t="shared" si="1178"/>
        <v>0</v>
      </c>
      <c r="S1358" s="78" t="b">
        <f t="shared" si="1179"/>
        <v>0</v>
      </c>
      <c r="T1358" s="78" t="b">
        <f t="shared" si="1180"/>
        <v>0</v>
      </c>
      <c r="U1358" s="78" t="b">
        <f t="shared" si="1181"/>
        <v>0</v>
      </c>
      <c r="V1358" s="78" t="b">
        <f t="shared" si="1182"/>
        <v>0</v>
      </c>
      <c r="W1358" s="78" t="b">
        <f t="shared" si="1183"/>
        <v>0</v>
      </c>
      <c r="X1358" s="78" t="b">
        <f t="shared" si="1184"/>
        <v>0</v>
      </c>
      <c r="Y1358" s="78" t="b">
        <f t="shared" si="1185"/>
        <v>0</v>
      </c>
      <c r="Z1358" s="78" t="b">
        <f t="shared" si="1186"/>
        <v>0</v>
      </c>
      <c r="AA1358" s="78" t="b">
        <f t="shared" si="1187"/>
        <v>0</v>
      </c>
      <c r="AB1358" s="78" t="b">
        <f t="shared" si="1188"/>
        <v>0</v>
      </c>
      <c r="AC1358" s="78" t="b">
        <f t="shared" si="1189"/>
        <v>0</v>
      </c>
      <c r="AD1358" s="78" t="b">
        <f t="shared" si="1190"/>
        <v>0</v>
      </c>
      <c r="AE1358" s="78" t="b">
        <f t="shared" si="1191"/>
        <v>0</v>
      </c>
      <c r="AF1358" s="78" t="b">
        <f t="shared" si="1192"/>
        <v>0</v>
      </c>
      <c r="AG1358" s="78" t="b">
        <f t="shared" si="1193"/>
        <v>0</v>
      </c>
      <c r="AH1358" s="78" t="b">
        <f t="shared" si="1194"/>
        <v>0</v>
      </c>
      <c r="AI1358" s="78" t="b">
        <f t="shared" si="1195"/>
        <v>0</v>
      </c>
      <c r="AJ1358" s="78" t="b">
        <f t="shared" si="1196"/>
        <v>0</v>
      </c>
      <c r="AK1358" s="78" t="b">
        <f t="shared" si="1197"/>
        <v>0</v>
      </c>
      <c r="AL1358" s="78" t="b">
        <f t="shared" si="1198"/>
        <v>0</v>
      </c>
      <c r="AM1358" s="78" t="b">
        <f t="shared" si="1199"/>
        <v>0</v>
      </c>
      <c r="AN1358" s="78" t="b">
        <f t="shared" si="1200"/>
        <v>0</v>
      </c>
      <c r="AO1358" s="78" t="b">
        <f t="shared" si="1201"/>
        <v>0</v>
      </c>
    </row>
    <row r="1359" spans="7:41" x14ac:dyDescent="0.35">
      <c r="G1359" s="77">
        <f t="shared" si="1171"/>
        <v>0</v>
      </c>
      <c r="H1359" s="78">
        <f t="shared" si="1172"/>
        <v>0</v>
      </c>
      <c r="I1359" s="77">
        <f t="shared" si="1173"/>
        <v>0</v>
      </c>
      <c r="J1359" s="78">
        <f t="shared" si="1174"/>
        <v>0</v>
      </c>
      <c r="K1359" s="78" t="str">
        <f t="shared" si="1175"/>
        <v>1900-01-00 00:0:00</v>
      </c>
      <c r="L1359" s="78" t="str">
        <f t="shared" si="1176"/>
        <v>1900-01-00 00:0:00</v>
      </c>
      <c r="M1359" s="79">
        <f t="shared" si="1177"/>
        <v>0</v>
      </c>
      <c r="N1359">
        <f t="shared" si="1202"/>
        <v>1</v>
      </c>
      <c r="O1359" t="str">
        <f>IFERROR(_xlfn.XLOOKUP(A1359,HC!A:A,HC!C:C),"")</f>
        <v>Workforce</v>
      </c>
      <c r="R1359" s="78" t="b">
        <f t="shared" si="1178"/>
        <v>0</v>
      </c>
      <c r="S1359" s="78" t="b">
        <f t="shared" si="1179"/>
        <v>0</v>
      </c>
      <c r="T1359" s="78" t="b">
        <f t="shared" si="1180"/>
        <v>0</v>
      </c>
      <c r="U1359" s="78" t="b">
        <f t="shared" si="1181"/>
        <v>0</v>
      </c>
      <c r="V1359" s="78" t="b">
        <f t="shared" si="1182"/>
        <v>0</v>
      </c>
      <c r="W1359" s="78" t="b">
        <f t="shared" si="1183"/>
        <v>0</v>
      </c>
      <c r="X1359" s="78" t="b">
        <f t="shared" si="1184"/>
        <v>0</v>
      </c>
      <c r="Y1359" s="78" t="b">
        <f t="shared" si="1185"/>
        <v>0</v>
      </c>
      <c r="Z1359" s="78" t="b">
        <f t="shared" si="1186"/>
        <v>0</v>
      </c>
      <c r="AA1359" s="78" t="b">
        <f t="shared" si="1187"/>
        <v>0</v>
      </c>
      <c r="AB1359" s="78" t="b">
        <f t="shared" si="1188"/>
        <v>0</v>
      </c>
      <c r="AC1359" s="78" t="b">
        <f t="shared" si="1189"/>
        <v>0</v>
      </c>
      <c r="AD1359" s="78" t="b">
        <f t="shared" si="1190"/>
        <v>0</v>
      </c>
      <c r="AE1359" s="78" t="b">
        <f t="shared" si="1191"/>
        <v>0</v>
      </c>
      <c r="AF1359" s="78" t="b">
        <f t="shared" si="1192"/>
        <v>0</v>
      </c>
      <c r="AG1359" s="78" t="b">
        <f t="shared" si="1193"/>
        <v>0</v>
      </c>
      <c r="AH1359" s="78" t="b">
        <f t="shared" si="1194"/>
        <v>0</v>
      </c>
      <c r="AI1359" s="78" t="b">
        <f t="shared" si="1195"/>
        <v>0</v>
      </c>
      <c r="AJ1359" s="78" t="b">
        <f t="shared" si="1196"/>
        <v>0</v>
      </c>
      <c r="AK1359" s="78" t="b">
        <f t="shared" si="1197"/>
        <v>0</v>
      </c>
      <c r="AL1359" s="78" t="b">
        <f t="shared" si="1198"/>
        <v>0</v>
      </c>
      <c r="AM1359" s="78" t="b">
        <f t="shared" si="1199"/>
        <v>0</v>
      </c>
      <c r="AN1359" s="78" t="b">
        <f t="shared" si="1200"/>
        <v>0</v>
      </c>
      <c r="AO1359" s="78" t="b">
        <f t="shared" si="1201"/>
        <v>0</v>
      </c>
    </row>
    <row r="1360" spans="7:41" x14ac:dyDescent="0.35">
      <c r="G1360" s="77">
        <f t="shared" si="1171"/>
        <v>0</v>
      </c>
      <c r="H1360" s="78">
        <f t="shared" si="1172"/>
        <v>0</v>
      </c>
      <c r="I1360" s="77">
        <f t="shared" si="1173"/>
        <v>0</v>
      </c>
      <c r="J1360" s="78">
        <f t="shared" si="1174"/>
        <v>0</v>
      </c>
      <c r="K1360" s="78" t="str">
        <f t="shared" si="1175"/>
        <v>1900-01-00 00:0:00</v>
      </c>
      <c r="L1360" s="78" t="str">
        <f t="shared" si="1176"/>
        <v>1900-01-00 00:0:00</v>
      </c>
      <c r="M1360" s="79">
        <f t="shared" si="1177"/>
        <v>0</v>
      </c>
      <c r="N1360">
        <f t="shared" si="1202"/>
        <v>1</v>
      </c>
      <c r="O1360" t="str">
        <f>IFERROR(_xlfn.XLOOKUP(A1360,HC!A:A,HC!C:C),"")</f>
        <v>Workforce</v>
      </c>
      <c r="R1360" s="78" t="b">
        <f t="shared" si="1178"/>
        <v>0</v>
      </c>
      <c r="S1360" s="78" t="b">
        <f t="shared" si="1179"/>
        <v>0</v>
      </c>
      <c r="T1360" s="78" t="b">
        <f t="shared" si="1180"/>
        <v>0</v>
      </c>
      <c r="U1360" s="78" t="b">
        <f t="shared" si="1181"/>
        <v>0</v>
      </c>
      <c r="V1360" s="78" t="b">
        <f t="shared" si="1182"/>
        <v>0</v>
      </c>
      <c r="W1360" s="78" t="b">
        <f t="shared" si="1183"/>
        <v>0</v>
      </c>
      <c r="X1360" s="78" t="b">
        <f t="shared" si="1184"/>
        <v>0</v>
      </c>
      <c r="Y1360" s="78" t="b">
        <f t="shared" si="1185"/>
        <v>0</v>
      </c>
      <c r="Z1360" s="78" t="b">
        <f t="shared" si="1186"/>
        <v>0</v>
      </c>
      <c r="AA1360" s="78" t="b">
        <f t="shared" si="1187"/>
        <v>0</v>
      </c>
      <c r="AB1360" s="78" t="b">
        <f t="shared" si="1188"/>
        <v>0</v>
      </c>
      <c r="AC1360" s="78" t="b">
        <f t="shared" si="1189"/>
        <v>0</v>
      </c>
      <c r="AD1360" s="78" t="b">
        <f t="shared" si="1190"/>
        <v>0</v>
      </c>
      <c r="AE1360" s="78" t="b">
        <f t="shared" si="1191"/>
        <v>0</v>
      </c>
      <c r="AF1360" s="78" t="b">
        <f t="shared" si="1192"/>
        <v>0</v>
      </c>
      <c r="AG1360" s="78" t="b">
        <f t="shared" si="1193"/>
        <v>0</v>
      </c>
      <c r="AH1360" s="78" t="b">
        <f t="shared" si="1194"/>
        <v>0</v>
      </c>
      <c r="AI1360" s="78" t="b">
        <f t="shared" si="1195"/>
        <v>0</v>
      </c>
      <c r="AJ1360" s="78" t="b">
        <f t="shared" si="1196"/>
        <v>0</v>
      </c>
      <c r="AK1360" s="78" t="b">
        <f t="shared" si="1197"/>
        <v>0</v>
      </c>
      <c r="AL1360" s="78" t="b">
        <f t="shared" si="1198"/>
        <v>0</v>
      </c>
      <c r="AM1360" s="78" t="b">
        <f t="shared" si="1199"/>
        <v>0</v>
      </c>
      <c r="AN1360" s="78" t="b">
        <f t="shared" si="1200"/>
        <v>0</v>
      </c>
      <c r="AO1360" s="78" t="b">
        <f t="shared" si="1201"/>
        <v>0</v>
      </c>
    </row>
    <row r="1361" spans="7:41" x14ac:dyDescent="0.35">
      <c r="G1361" s="77">
        <f t="shared" si="1171"/>
        <v>0</v>
      </c>
      <c r="H1361" s="78">
        <f t="shared" si="1172"/>
        <v>0</v>
      </c>
      <c r="I1361" s="77">
        <f t="shared" si="1173"/>
        <v>0</v>
      </c>
      <c r="J1361" s="78">
        <f t="shared" si="1174"/>
        <v>0</v>
      </c>
      <c r="K1361" s="78" t="str">
        <f t="shared" si="1175"/>
        <v>1900-01-00 00:0:00</v>
      </c>
      <c r="L1361" s="78" t="str">
        <f t="shared" si="1176"/>
        <v>1900-01-00 00:0:00</v>
      </c>
      <c r="M1361" s="79">
        <f t="shared" si="1177"/>
        <v>0</v>
      </c>
      <c r="N1361">
        <f t="shared" si="1202"/>
        <v>1</v>
      </c>
      <c r="O1361" t="str">
        <f>IFERROR(_xlfn.XLOOKUP(A1361,HC!A:A,HC!C:C),"")</f>
        <v>Workforce</v>
      </c>
      <c r="R1361" s="78" t="b">
        <f t="shared" si="1178"/>
        <v>0</v>
      </c>
      <c r="S1361" s="78" t="b">
        <f t="shared" si="1179"/>
        <v>0</v>
      </c>
      <c r="T1361" s="78" t="b">
        <f t="shared" si="1180"/>
        <v>0</v>
      </c>
      <c r="U1361" s="78" t="b">
        <f t="shared" si="1181"/>
        <v>0</v>
      </c>
      <c r="V1361" s="78" t="b">
        <f t="shared" si="1182"/>
        <v>0</v>
      </c>
      <c r="W1361" s="78" t="b">
        <f t="shared" si="1183"/>
        <v>0</v>
      </c>
      <c r="X1361" s="78" t="b">
        <f t="shared" si="1184"/>
        <v>0</v>
      </c>
      <c r="Y1361" s="78" t="b">
        <f t="shared" si="1185"/>
        <v>0</v>
      </c>
      <c r="Z1361" s="78" t="b">
        <f t="shared" si="1186"/>
        <v>0</v>
      </c>
      <c r="AA1361" s="78" t="b">
        <f t="shared" si="1187"/>
        <v>0</v>
      </c>
      <c r="AB1361" s="78" t="b">
        <f t="shared" si="1188"/>
        <v>0</v>
      </c>
      <c r="AC1361" s="78" t="b">
        <f t="shared" si="1189"/>
        <v>0</v>
      </c>
      <c r="AD1361" s="78" t="b">
        <f t="shared" si="1190"/>
        <v>0</v>
      </c>
      <c r="AE1361" s="78" t="b">
        <f t="shared" si="1191"/>
        <v>0</v>
      </c>
      <c r="AF1361" s="78" t="b">
        <f t="shared" si="1192"/>
        <v>0</v>
      </c>
      <c r="AG1361" s="78" t="b">
        <f t="shared" si="1193"/>
        <v>0</v>
      </c>
      <c r="AH1361" s="78" t="b">
        <f t="shared" si="1194"/>
        <v>0</v>
      </c>
      <c r="AI1361" s="78" t="b">
        <f t="shared" si="1195"/>
        <v>0</v>
      </c>
      <c r="AJ1361" s="78" t="b">
        <f t="shared" si="1196"/>
        <v>0</v>
      </c>
      <c r="AK1361" s="78" t="b">
        <f t="shared" si="1197"/>
        <v>0</v>
      </c>
      <c r="AL1361" s="78" t="b">
        <f t="shared" si="1198"/>
        <v>0</v>
      </c>
      <c r="AM1361" s="78" t="b">
        <f t="shared" si="1199"/>
        <v>0</v>
      </c>
      <c r="AN1361" s="78" t="b">
        <f t="shared" si="1200"/>
        <v>0</v>
      </c>
      <c r="AO1361" s="78" t="b">
        <f t="shared" si="1201"/>
        <v>0</v>
      </c>
    </row>
    <row r="1362" spans="7:41" x14ac:dyDescent="0.35">
      <c r="G1362" s="77">
        <f t="shared" si="1171"/>
        <v>0</v>
      </c>
      <c r="H1362" s="78">
        <f t="shared" si="1172"/>
        <v>0</v>
      </c>
      <c r="I1362" s="77">
        <f t="shared" si="1173"/>
        <v>0</v>
      </c>
      <c r="J1362" s="78">
        <f t="shared" si="1174"/>
        <v>0</v>
      </c>
      <c r="K1362" s="78" t="str">
        <f t="shared" si="1175"/>
        <v>1900-01-00 00:0:00</v>
      </c>
      <c r="L1362" s="78" t="str">
        <f t="shared" si="1176"/>
        <v>1900-01-00 00:0:00</v>
      </c>
      <c r="M1362" s="79">
        <f t="shared" si="1177"/>
        <v>0</v>
      </c>
      <c r="N1362">
        <f t="shared" si="1202"/>
        <v>1</v>
      </c>
      <c r="O1362" t="str">
        <f>IFERROR(_xlfn.XLOOKUP(A1362,HC!A:A,HC!C:C),"")</f>
        <v>Workforce</v>
      </c>
      <c r="R1362" s="78" t="b">
        <f t="shared" si="1178"/>
        <v>0</v>
      </c>
      <c r="S1362" s="78" t="b">
        <f t="shared" si="1179"/>
        <v>0</v>
      </c>
      <c r="T1362" s="78" t="b">
        <f t="shared" si="1180"/>
        <v>0</v>
      </c>
      <c r="U1362" s="78" t="b">
        <f t="shared" si="1181"/>
        <v>0</v>
      </c>
      <c r="V1362" s="78" t="b">
        <f t="shared" si="1182"/>
        <v>0</v>
      </c>
      <c r="W1362" s="78" t="b">
        <f t="shared" si="1183"/>
        <v>0</v>
      </c>
      <c r="X1362" s="78" t="b">
        <f t="shared" si="1184"/>
        <v>0</v>
      </c>
      <c r="Y1362" s="78" t="b">
        <f t="shared" si="1185"/>
        <v>0</v>
      </c>
      <c r="Z1362" s="78" t="b">
        <f t="shared" si="1186"/>
        <v>0</v>
      </c>
      <c r="AA1362" s="78" t="b">
        <f t="shared" si="1187"/>
        <v>0</v>
      </c>
      <c r="AB1362" s="78" t="b">
        <f t="shared" si="1188"/>
        <v>0</v>
      </c>
      <c r="AC1362" s="78" t="b">
        <f t="shared" si="1189"/>
        <v>0</v>
      </c>
      <c r="AD1362" s="78" t="b">
        <f t="shared" si="1190"/>
        <v>0</v>
      </c>
      <c r="AE1362" s="78" t="b">
        <f t="shared" si="1191"/>
        <v>0</v>
      </c>
      <c r="AF1362" s="78" t="b">
        <f t="shared" si="1192"/>
        <v>0</v>
      </c>
      <c r="AG1362" s="78" t="b">
        <f t="shared" si="1193"/>
        <v>0</v>
      </c>
      <c r="AH1362" s="78" t="b">
        <f t="shared" si="1194"/>
        <v>0</v>
      </c>
      <c r="AI1362" s="78" t="b">
        <f t="shared" si="1195"/>
        <v>0</v>
      </c>
      <c r="AJ1362" s="78" t="b">
        <f t="shared" si="1196"/>
        <v>0</v>
      </c>
      <c r="AK1362" s="78" t="b">
        <f t="shared" si="1197"/>
        <v>0</v>
      </c>
      <c r="AL1362" s="78" t="b">
        <f t="shared" si="1198"/>
        <v>0</v>
      </c>
      <c r="AM1362" s="78" t="b">
        <f t="shared" si="1199"/>
        <v>0</v>
      </c>
      <c r="AN1362" s="78" t="b">
        <f t="shared" si="1200"/>
        <v>0</v>
      </c>
      <c r="AO1362" s="78" t="b">
        <f t="shared" si="1201"/>
        <v>0</v>
      </c>
    </row>
    <row r="1363" spans="7:41" x14ac:dyDescent="0.35">
      <c r="G1363" s="77">
        <f t="shared" si="1171"/>
        <v>0</v>
      </c>
      <c r="H1363" s="78">
        <f t="shared" si="1172"/>
        <v>0</v>
      </c>
      <c r="I1363" s="77">
        <f t="shared" si="1173"/>
        <v>0</v>
      </c>
      <c r="J1363" s="78">
        <f t="shared" si="1174"/>
        <v>0</v>
      </c>
      <c r="K1363" s="78" t="str">
        <f t="shared" si="1175"/>
        <v>1900-01-00 00:0:00</v>
      </c>
      <c r="L1363" s="78" t="str">
        <f t="shared" si="1176"/>
        <v>1900-01-00 00:0:00</v>
      </c>
      <c r="M1363" s="79">
        <f t="shared" si="1177"/>
        <v>0</v>
      </c>
      <c r="N1363">
        <f t="shared" si="1202"/>
        <v>1</v>
      </c>
      <c r="O1363" t="str">
        <f>IFERROR(_xlfn.XLOOKUP(A1363,HC!A:A,HC!C:C),"")</f>
        <v>Workforce</v>
      </c>
      <c r="R1363" s="78" t="b">
        <f t="shared" si="1178"/>
        <v>0</v>
      </c>
      <c r="S1363" s="78" t="b">
        <f t="shared" si="1179"/>
        <v>0</v>
      </c>
      <c r="T1363" s="78" t="b">
        <f t="shared" si="1180"/>
        <v>0</v>
      </c>
      <c r="U1363" s="78" t="b">
        <f t="shared" si="1181"/>
        <v>0</v>
      </c>
      <c r="V1363" s="78" t="b">
        <f t="shared" si="1182"/>
        <v>0</v>
      </c>
      <c r="W1363" s="78" t="b">
        <f t="shared" si="1183"/>
        <v>0</v>
      </c>
      <c r="X1363" s="78" t="b">
        <f t="shared" si="1184"/>
        <v>0</v>
      </c>
      <c r="Y1363" s="78" t="b">
        <f t="shared" si="1185"/>
        <v>0</v>
      </c>
      <c r="Z1363" s="78" t="b">
        <f t="shared" si="1186"/>
        <v>0</v>
      </c>
      <c r="AA1363" s="78" t="b">
        <f t="shared" si="1187"/>
        <v>0</v>
      </c>
      <c r="AB1363" s="78" t="b">
        <f t="shared" si="1188"/>
        <v>0</v>
      </c>
      <c r="AC1363" s="78" t="b">
        <f t="shared" si="1189"/>
        <v>0</v>
      </c>
      <c r="AD1363" s="78" t="b">
        <f t="shared" si="1190"/>
        <v>0</v>
      </c>
      <c r="AE1363" s="78" t="b">
        <f t="shared" si="1191"/>
        <v>0</v>
      </c>
      <c r="AF1363" s="78" t="b">
        <f t="shared" si="1192"/>
        <v>0</v>
      </c>
      <c r="AG1363" s="78" t="b">
        <f t="shared" si="1193"/>
        <v>0</v>
      </c>
      <c r="AH1363" s="78" t="b">
        <f t="shared" si="1194"/>
        <v>0</v>
      </c>
      <c r="AI1363" s="78" t="b">
        <f t="shared" si="1195"/>
        <v>0</v>
      </c>
      <c r="AJ1363" s="78" t="b">
        <f t="shared" si="1196"/>
        <v>0</v>
      </c>
      <c r="AK1363" s="78" t="b">
        <f t="shared" si="1197"/>
        <v>0</v>
      </c>
      <c r="AL1363" s="78" t="b">
        <f t="shared" si="1198"/>
        <v>0</v>
      </c>
      <c r="AM1363" s="78" t="b">
        <f t="shared" si="1199"/>
        <v>0</v>
      </c>
      <c r="AN1363" s="78" t="b">
        <f t="shared" si="1200"/>
        <v>0</v>
      </c>
      <c r="AO1363" s="78" t="b">
        <f t="shared" si="1201"/>
        <v>0</v>
      </c>
    </row>
    <row r="1364" spans="7:41" x14ac:dyDescent="0.35">
      <c r="G1364" s="77">
        <f t="shared" si="1171"/>
        <v>0</v>
      </c>
      <c r="H1364" s="78">
        <f t="shared" si="1172"/>
        <v>0</v>
      </c>
      <c r="I1364" s="77">
        <f t="shared" si="1173"/>
        <v>0</v>
      </c>
      <c r="J1364" s="78">
        <f t="shared" si="1174"/>
        <v>0</v>
      </c>
      <c r="K1364" s="78" t="str">
        <f t="shared" si="1175"/>
        <v>1900-01-00 00:0:00</v>
      </c>
      <c r="L1364" s="78" t="str">
        <f t="shared" si="1176"/>
        <v>1900-01-00 00:0:00</v>
      </c>
      <c r="M1364" s="79">
        <f t="shared" si="1177"/>
        <v>0</v>
      </c>
      <c r="N1364">
        <f t="shared" si="1202"/>
        <v>1</v>
      </c>
      <c r="O1364" t="str">
        <f>IFERROR(_xlfn.XLOOKUP(A1364,HC!A:A,HC!C:C),"")</f>
        <v>Workforce</v>
      </c>
      <c r="R1364" s="78" t="b">
        <f t="shared" si="1178"/>
        <v>0</v>
      </c>
      <c r="S1364" s="78" t="b">
        <f t="shared" si="1179"/>
        <v>0</v>
      </c>
      <c r="T1364" s="78" t="b">
        <f t="shared" si="1180"/>
        <v>0</v>
      </c>
      <c r="U1364" s="78" t="b">
        <f t="shared" si="1181"/>
        <v>0</v>
      </c>
      <c r="V1364" s="78" t="b">
        <f t="shared" si="1182"/>
        <v>0</v>
      </c>
      <c r="W1364" s="78" t="b">
        <f t="shared" si="1183"/>
        <v>0</v>
      </c>
      <c r="X1364" s="78" t="b">
        <f t="shared" si="1184"/>
        <v>0</v>
      </c>
      <c r="Y1364" s="78" t="b">
        <f t="shared" si="1185"/>
        <v>0</v>
      </c>
      <c r="Z1364" s="78" t="b">
        <f t="shared" si="1186"/>
        <v>0</v>
      </c>
      <c r="AA1364" s="78" t="b">
        <f t="shared" si="1187"/>
        <v>0</v>
      </c>
      <c r="AB1364" s="78" t="b">
        <f t="shared" si="1188"/>
        <v>0</v>
      </c>
      <c r="AC1364" s="78" t="b">
        <f t="shared" si="1189"/>
        <v>0</v>
      </c>
      <c r="AD1364" s="78" t="b">
        <f t="shared" si="1190"/>
        <v>0</v>
      </c>
      <c r="AE1364" s="78" t="b">
        <f t="shared" si="1191"/>
        <v>0</v>
      </c>
      <c r="AF1364" s="78" t="b">
        <f t="shared" si="1192"/>
        <v>0</v>
      </c>
      <c r="AG1364" s="78" t="b">
        <f t="shared" si="1193"/>
        <v>0</v>
      </c>
      <c r="AH1364" s="78" t="b">
        <f t="shared" si="1194"/>
        <v>0</v>
      </c>
      <c r="AI1364" s="78" t="b">
        <f t="shared" si="1195"/>
        <v>0</v>
      </c>
      <c r="AJ1364" s="78" t="b">
        <f t="shared" si="1196"/>
        <v>0</v>
      </c>
      <c r="AK1364" s="78" t="b">
        <f t="shared" si="1197"/>
        <v>0</v>
      </c>
      <c r="AL1364" s="78" t="b">
        <f t="shared" si="1198"/>
        <v>0</v>
      </c>
      <c r="AM1364" s="78" t="b">
        <f t="shared" si="1199"/>
        <v>0</v>
      </c>
      <c r="AN1364" s="78" t="b">
        <f t="shared" si="1200"/>
        <v>0</v>
      </c>
      <c r="AO1364" s="78" t="b">
        <f t="shared" si="1201"/>
        <v>0</v>
      </c>
    </row>
    <row r="1365" spans="7:41" x14ac:dyDescent="0.35">
      <c r="G1365" s="77">
        <f t="shared" si="1171"/>
        <v>0</v>
      </c>
      <c r="H1365" s="78">
        <f t="shared" si="1172"/>
        <v>0</v>
      </c>
      <c r="I1365" s="77">
        <f t="shared" si="1173"/>
        <v>0</v>
      </c>
      <c r="J1365" s="78">
        <f t="shared" si="1174"/>
        <v>0</v>
      </c>
      <c r="K1365" s="78" t="str">
        <f t="shared" si="1175"/>
        <v>1900-01-00 00:0:00</v>
      </c>
      <c r="L1365" s="78" t="str">
        <f t="shared" si="1176"/>
        <v>1900-01-00 00:0:00</v>
      </c>
      <c r="M1365" s="79">
        <f t="shared" si="1177"/>
        <v>0</v>
      </c>
      <c r="N1365">
        <f t="shared" si="1202"/>
        <v>1</v>
      </c>
      <c r="O1365" t="str">
        <f>IFERROR(_xlfn.XLOOKUP(A1365,HC!A:A,HC!C:C),"")</f>
        <v>Workforce</v>
      </c>
      <c r="R1365" s="78" t="b">
        <f t="shared" si="1178"/>
        <v>0</v>
      </c>
      <c r="S1365" s="78" t="b">
        <f t="shared" si="1179"/>
        <v>0</v>
      </c>
      <c r="T1365" s="78" t="b">
        <f t="shared" si="1180"/>
        <v>0</v>
      </c>
      <c r="U1365" s="78" t="b">
        <f t="shared" si="1181"/>
        <v>0</v>
      </c>
      <c r="V1365" s="78" t="b">
        <f t="shared" si="1182"/>
        <v>0</v>
      </c>
      <c r="W1365" s="78" t="b">
        <f t="shared" si="1183"/>
        <v>0</v>
      </c>
      <c r="X1365" s="78" t="b">
        <f t="shared" si="1184"/>
        <v>0</v>
      </c>
      <c r="Y1365" s="78" t="b">
        <f t="shared" si="1185"/>
        <v>0</v>
      </c>
      <c r="Z1365" s="78" t="b">
        <f t="shared" si="1186"/>
        <v>0</v>
      </c>
      <c r="AA1365" s="78" t="b">
        <f t="shared" si="1187"/>
        <v>0</v>
      </c>
      <c r="AB1365" s="78" t="b">
        <f t="shared" si="1188"/>
        <v>0</v>
      </c>
      <c r="AC1365" s="78" t="b">
        <f t="shared" si="1189"/>
        <v>0</v>
      </c>
      <c r="AD1365" s="78" t="b">
        <f t="shared" si="1190"/>
        <v>0</v>
      </c>
      <c r="AE1365" s="78" t="b">
        <f t="shared" si="1191"/>
        <v>0</v>
      </c>
      <c r="AF1365" s="78" t="b">
        <f t="shared" si="1192"/>
        <v>0</v>
      </c>
      <c r="AG1365" s="78" t="b">
        <f t="shared" si="1193"/>
        <v>0</v>
      </c>
      <c r="AH1365" s="78" t="b">
        <f t="shared" si="1194"/>
        <v>0</v>
      </c>
      <c r="AI1365" s="78" t="b">
        <f t="shared" si="1195"/>
        <v>0</v>
      </c>
      <c r="AJ1365" s="78" t="b">
        <f t="shared" si="1196"/>
        <v>0</v>
      </c>
      <c r="AK1365" s="78" t="b">
        <f t="shared" si="1197"/>
        <v>0</v>
      </c>
      <c r="AL1365" s="78" t="b">
        <f t="shared" si="1198"/>
        <v>0</v>
      </c>
      <c r="AM1365" s="78" t="b">
        <f t="shared" si="1199"/>
        <v>0</v>
      </c>
      <c r="AN1365" s="78" t="b">
        <f t="shared" si="1200"/>
        <v>0</v>
      </c>
      <c r="AO1365" s="78" t="b">
        <f t="shared" si="1201"/>
        <v>0</v>
      </c>
    </row>
    <row r="1366" spans="7:41" x14ac:dyDescent="0.35">
      <c r="G1366" s="77">
        <f t="shared" si="1171"/>
        <v>0</v>
      </c>
      <c r="H1366" s="78">
        <f t="shared" si="1172"/>
        <v>0</v>
      </c>
      <c r="I1366" s="77">
        <f t="shared" si="1173"/>
        <v>0</v>
      </c>
      <c r="J1366" s="78">
        <f t="shared" si="1174"/>
        <v>0</v>
      </c>
      <c r="K1366" s="78" t="str">
        <f t="shared" si="1175"/>
        <v>1900-01-00 00:0:00</v>
      </c>
      <c r="L1366" s="78" t="str">
        <f t="shared" si="1176"/>
        <v>1900-01-00 00:0:00</v>
      </c>
      <c r="M1366" s="79">
        <f t="shared" si="1177"/>
        <v>0</v>
      </c>
      <c r="N1366">
        <f t="shared" si="1202"/>
        <v>1</v>
      </c>
      <c r="O1366" t="str">
        <f>IFERROR(_xlfn.XLOOKUP(A1366,HC!A:A,HC!C:C),"")</f>
        <v>Workforce</v>
      </c>
      <c r="R1366" s="78" t="b">
        <f t="shared" si="1178"/>
        <v>0</v>
      </c>
      <c r="S1366" s="78" t="b">
        <f t="shared" si="1179"/>
        <v>0</v>
      </c>
      <c r="T1366" s="78" t="b">
        <f t="shared" si="1180"/>
        <v>0</v>
      </c>
      <c r="U1366" s="78" t="b">
        <f t="shared" si="1181"/>
        <v>0</v>
      </c>
      <c r="V1366" s="78" t="b">
        <f t="shared" si="1182"/>
        <v>0</v>
      </c>
      <c r="W1366" s="78" t="b">
        <f t="shared" si="1183"/>
        <v>0</v>
      </c>
      <c r="X1366" s="78" t="b">
        <f t="shared" si="1184"/>
        <v>0</v>
      </c>
      <c r="Y1366" s="78" t="b">
        <f t="shared" si="1185"/>
        <v>0</v>
      </c>
      <c r="Z1366" s="78" t="b">
        <f t="shared" si="1186"/>
        <v>0</v>
      </c>
      <c r="AA1366" s="78" t="b">
        <f t="shared" si="1187"/>
        <v>0</v>
      </c>
      <c r="AB1366" s="78" t="b">
        <f t="shared" si="1188"/>
        <v>0</v>
      </c>
      <c r="AC1366" s="78" t="b">
        <f t="shared" si="1189"/>
        <v>0</v>
      </c>
      <c r="AD1366" s="78" t="b">
        <f t="shared" si="1190"/>
        <v>0</v>
      </c>
      <c r="AE1366" s="78" t="b">
        <f t="shared" si="1191"/>
        <v>0</v>
      </c>
      <c r="AF1366" s="78" t="b">
        <f t="shared" si="1192"/>
        <v>0</v>
      </c>
      <c r="AG1366" s="78" t="b">
        <f t="shared" si="1193"/>
        <v>0</v>
      </c>
      <c r="AH1366" s="78" t="b">
        <f t="shared" si="1194"/>
        <v>0</v>
      </c>
      <c r="AI1366" s="78" t="b">
        <f t="shared" si="1195"/>
        <v>0</v>
      </c>
      <c r="AJ1366" s="78" t="b">
        <f t="shared" si="1196"/>
        <v>0</v>
      </c>
      <c r="AK1366" s="78" t="b">
        <f t="shared" si="1197"/>
        <v>0</v>
      </c>
      <c r="AL1366" s="78" t="b">
        <f t="shared" si="1198"/>
        <v>0</v>
      </c>
      <c r="AM1366" s="78" t="b">
        <f t="shared" si="1199"/>
        <v>0</v>
      </c>
      <c r="AN1366" s="78" t="b">
        <f t="shared" si="1200"/>
        <v>0</v>
      </c>
      <c r="AO1366" s="78" t="b">
        <f t="shared" si="1201"/>
        <v>0</v>
      </c>
    </row>
    <row r="1367" spans="7:41" x14ac:dyDescent="0.35">
      <c r="G1367" s="77">
        <f t="shared" si="1171"/>
        <v>0</v>
      </c>
      <c r="H1367" s="78">
        <f t="shared" si="1172"/>
        <v>0</v>
      </c>
      <c r="I1367" s="77">
        <f t="shared" si="1173"/>
        <v>0</v>
      </c>
      <c r="J1367" s="78">
        <f t="shared" si="1174"/>
        <v>0</v>
      </c>
      <c r="K1367" s="78" t="str">
        <f t="shared" si="1175"/>
        <v>1900-01-00 00:0:00</v>
      </c>
      <c r="L1367" s="78" t="str">
        <f t="shared" si="1176"/>
        <v>1900-01-00 00:0:00</v>
      </c>
      <c r="M1367" s="79">
        <f t="shared" si="1177"/>
        <v>0</v>
      </c>
      <c r="N1367">
        <f t="shared" si="1202"/>
        <v>1</v>
      </c>
      <c r="O1367" t="str">
        <f>IFERROR(_xlfn.XLOOKUP(A1367,HC!A:A,HC!C:C),"")</f>
        <v>Workforce</v>
      </c>
      <c r="R1367" s="78" t="b">
        <f t="shared" si="1178"/>
        <v>0</v>
      </c>
      <c r="S1367" s="78" t="b">
        <f t="shared" si="1179"/>
        <v>0</v>
      </c>
      <c r="T1367" s="78" t="b">
        <f t="shared" si="1180"/>
        <v>0</v>
      </c>
      <c r="U1367" s="78" t="b">
        <f t="shared" si="1181"/>
        <v>0</v>
      </c>
      <c r="V1367" s="78" t="b">
        <f t="shared" si="1182"/>
        <v>0</v>
      </c>
      <c r="W1367" s="78" t="b">
        <f t="shared" si="1183"/>
        <v>0</v>
      </c>
      <c r="X1367" s="78" t="b">
        <f t="shared" si="1184"/>
        <v>0</v>
      </c>
      <c r="Y1367" s="78" t="b">
        <f t="shared" si="1185"/>
        <v>0</v>
      </c>
      <c r="Z1367" s="78" t="b">
        <f t="shared" si="1186"/>
        <v>0</v>
      </c>
      <c r="AA1367" s="78" t="b">
        <f t="shared" si="1187"/>
        <v>0</v>
      </c>
      <c r="AB1367" s="78" t="b">
        <f t="shared" si="1188"/>
        <v>0</v>
      </c>
      <c r="AC1367" s="78" t="b">
        <f t="shared" si="1189"/>
        <v>0</v>
      </c>
      <c r="AD1367" s="78" t="b">
        <f t="shared" si="1190"/>
        <v>0</v>
      </c>
      <c r="AE1367" s="78" t="b">
        <f t="shared" si="1191"/>
        <v>0</v>
      </c>
      <c r="AF1367" s="78" t="b">
        <f t="shared" si="1192"/>
        <v>0</v>
      </c>
      <c r="AG1367" s="78" t="b">
        <f t="shared" si="1193"/>
        <v>0</v>
      </c>
      <c r="AH1367" s="78" t="b">
        <f t="shared" si="1194"/>
        <v>0</v>
      </c>
      <c r="AI1367" s="78" t="b">
        <f t="shared" si="1195"/>
        <v>0</v>
      </c>
      <c r="AJ1367" s="78" t="b">
        <f t="shared" si="1196"/>
        <v>0</v>
      </c>
      <c r="AK1367" s="78" t="b">
        <f t="shared" si="1197"/>
        <v>0</v>
      </c>
      <c r="AL1367" s="78" t="b">
        <f t="shared" si="1198"/>
        <v>0</v>
      </c>
      <c r="AM1367" s="78" t="b">
        <f t="shared" si="1199"/>
        <v>0</v>
      </c>
      <c r="AN1367" s="78" t="b">
        <f t="shared" si="1200"/>
        <v>0</v>
      </c>
      <c r="AO1367" s="78" t="b">
        <f t="shared" si="1201"/>
        <v>0</v>
      </c>
    </row>
    <row r="1368" spans="7:41" x14ac:dyDescent="0.35">
      <c r="G1368" s="77">
        <f t="shared" si="1171"/>
        <v>0</v>
      </c>
      <c r="H1368" s="78">
        <f t="shared" si="1172"/>
        <v>0</v>
      </c>
      <c r="I1368" s="77">
        <f t="shared" si="1173"/>
        <v>0</v>
      </c>
      <c r="J1368" s="78">
        <f t="shared" si="1174"/>
        <v>0</v>
      </c>
      <c r="K1368" s="78" t="str">
        <f t="shared" si="1175"/>
        <v>1900-01-00 00:0:00</v>
      </c>
      <c r="L1368" s="78" t="str">
        <f t="shared" si="1176"/>
        <v>1900-01-00 00:0:00</v>
      </c>
      <c r="M1368" s="79">
        <f t="shared" si="1177"/>
        <v>0</v>
      </c>
      <c r="N1368">
        <f t="shared" si="1202"/>
        <v>1</v>
      </c>
      <c r="O1368" t="str">
        <f>IFERROR(_xlfn.XLOOKUP(A1368,HC!A:A,HC!C:C),"")</f>
        <v>Workforce</v>
      </c>
      <c r="R1368" s="78" t="b">
        <f t="shared" si="1178"/>
        <v>0</v>
      </c>
      <c r="S1368" s="78" t="b">
        <f t="shared" si="1179"/>
        <v>0</v>
      </c>
      <c r="T1368" s="78" t="b">
        <f t="shared" si="1180"/>
        <v>0</v>
      </c>
      <c r="U1368" s="78" t="b">
        <f t="shared" si="1181"/>
        <v>0</v>
      </c>
      <c r="V1368" s="78" t="b">
        <f t="shared" si="1182"/>
        <v>0</v>
      </c>
      <c r="W1368" s="78" t="b">
        <f t="shared" si="1183"/>
        <v>0</v>
      </c>
      <c r="X1368" s="78" t="b">
        <f t="shared" si="1184"/>
        <v>0</v>
      </c>
      <c r="Y1368" s="78" t="b">
        <f t="shared" si="1185"/>
        <v>0</v>
      </c>
      <c r="Z1368" s="78" t="b">
        <f t="shared" si="1186"/>
        <v>0</v>
      </c>
      <c r="AA1368" s="78" t="b">
        <f t="shared" si="1187"/>
        <v>0</v>
      </c>
      <c r="AB1368" s="78" t="b">
        <f t="shared" si="1188"/>
        <v>0</v>
      </c>
      <c r="AC1368" s="78" t="b">
        <f t="shared" si="1189"/>
        <v>0</v>
      </c>
      <c r="AD1368" s="78" t="b">
        <f t="shared" si="1190"/>
        <v>0</v>
      </c>
      <c r="AE1368" s="78" t="b">
        <f t="shared" si="1191"/>
        <v>0</v>
      </c>
      <c r="AF1368" s="78" t="b">
        <f t="shared" si="1192"/>
        <v>0</v>
      </c>
      <c r="AG1368" s="78" t="b">
        <f t="shared" si="1193"/>
        <v>0</v>
      </c>
      <c r="AH1368" s="78" t="b">
        <f t="shared" si="1194"/>
        <v>0</v>
      </c>
      <c r="AI1368" s="78" t="b">
        <f t="shared" si="1195"/>
        <v>0</v>
      </c>
      <c r="AJ1368" s="78" t="b">
        <f t="shared" si="1196"/>
        <v>0</v>
      </c>
      <c r="AK1368" s="78" t="b">
        <f t="shared" si="1197"/>
        <v>0</v>
      </c>
      <c r="AL1368" s="78" t="b">
        <f t="shared" si="1198"/>
        <v>0</v>
      </c>
      <c r="AM1368" s="78" t="b">
        <f t="shared" si="1199"/>
        <v>0</v>
      </c>
      <c r="AN1368" s="78" t="b">
        <f t="shared" si="1200"/>
        <v>0</v>
      </c>
      <c r="AO1368" s="78" t="b">
        <f t="shared" si="1201"/>
        <v>0</v>
      </c>
    </row>
    <row r="1369" spans="7:41" x14ac:dyDescent="0.35">
      <c r="G1369" s="77">
        <f t="shared" si="1171"/>
        <v>0</v>
      </c>
      <c r="H1369" s="78">
        <f t="shared" si="1172"/>
        <v>0</v>
      </c>
      <c r="I1369" s="77">
        <f t="shared" si="1173"/>
        <v>0</v>
      </c>
      <c r="J1369" s="78">
        <f t="shared" si="1174"/>
        <v>0</v>
      </c>
      <c r="K1369" s="78" t="str">
        <f t="shared" si="1175"/>
        <v>1900-01-00 00:0:00</v>
      </c>
      <c r="L1369" s="78" t="str">
        <f t="shared" si="1176"/>
        <v>1900-01-00 00:0:00</v>
      </c>
      <c r="M1369" s="79">
        <f t="shared" si="1177"/>
        <v>0</v>
      </c>
      <c r="N1369">
        <f t="shared" si="1202"/>
        <v>1</v>
      </c>
      <c r="O1369" t="str">
        <f>IFERROR(_xlfn.XLOOKUP(A1369,HC!A:A,HC!C:C),"")</f>
        <v>Workforce</v>
      </c>
      <c r="R1369" s="78" t="b">
        <f t="shared" si="1178"/>
        <v>0</v>
      </c>
      <c r="S1369" s="78" t="b">
        <f t="shared" si="1179"/>
        <v>0</v>
      </c>
      <c r="T1369" s="78" t="b">
        <f t="shared" si="1180"/>
        <v>0</v>
      </c>
      <c r="U1369" s="78" t="b">
        <f t="shared" si="1181"/>
        <v>0</v>
      </c>
      <c r="V1369" s="78" t="b">
        <f t="shared" si="1182"/>
        <v>0</v>
      </c>
      <c r="W1369" s="78" t="b">
        <f t="shared" si="1183"/>
        <v>0</v>
      </c>
      <c r="X1369" s="78" t="b">
        <f t="shared" si="1184"/>
        <v>0</v>
      </c>
      <c r="Y1369" s="78" t="b">
        <f t="shared" si="1185"/>
        <v>0</v>
      </c>
      <c r="Z1369" s="78" t="b">
        <f t="shared" si="1186"/>
        <v>0</v>
      </c>
      <c r="AA1369" s="78" t="b">
        <f t="shared" si="1187"/>
        <v>0</v>
      </c>
      <c r="AB1369" s="78" t="b">
        <f t="shared" si="1188"/>
        <v>0</v>
      </c>
      <c r="AC1369" s="78" t="b">
        <f t="shared" si="1189"/>
        <v>0</v>
      </c>
      <c r="AD1369" s="78" t="b">
        <f t="shared" si="1190"/>
        <v>0</v>
      </c>
      <c r="AE1369" s="78" t="b">
        <f t="shared" si="1191"/>
        <v>0</v>
      </c>
      <c r="AF1369" s="78" t="b">
        <f t="shared" si="1192"/>
        <v>0</v>
      </c>
      <c r="AG1369" s="78" t="b">
        <f t="shared" si="1193"/>
        <v>0</v>
      </c>
      <c r="AH1369" s="78" t="b">
        <f t="shared" si="1194"/>
        <v>0</v>
      </c>
      <c r="AI1369" s="78" t="b">
        <f t="shared" si="1195"/>
        <v>0</v>
      </c>
      <c r="AJ1369" s="78" t="b">
        <f t="shared" si="1196"/>
        <v>0</v>
      </c>
      <c r="AK1369" s="78" t="b">
        <f t="shared" si="1197"/>
        <v>0</v>
      </c>
      <c r="AL1369" s="78" t="b">
        <f t="shared" si="1198"/>
        <v>0</v>
      </c>
      <c r="AM1369" s="78" t="b">
        <f t="shared" si="1199"/>
        <v>0</v>
      </c>
      <c r="AN1369" s="78" t="b">
        <f t="shared" si="1200"/>
        <v>0</v>
      </c>
      <c r="AO1369" s="78" t="b">
        <f t="shared" si="1201"/>
        <v>0</v>
      </c>
    </row>
    <row r="1370" spans="7:41" x14ac:dyDescent="0.35">
      <c r="G1370" s="77">
        <f t="shared" si="1171"/>
        <v>0</v>
      </c>
      <c r="H1370" s="78">
        <f t="shared" si="1172"/>
        <v>0</v>
      </c>
      <c r="I1370" s="77">
        <f t="shared" si="1173"/>
        <v>0</v>
      </c>
      <c r="J1370" s="78">
        <f t="shared" si="1174"/>
        <v>0</v>
      </c>
      <c r="K1370" s="78" t="str">
        <f t="shared" si="1175"/>
        <v>1900-01-00 00:0:00</v>
      </c>
      <c r="L1370" s="78" t="str">
        <f t="shared" si="1176"/>
        <v>1900-01-00 00:0:00</v>
      </c>
      <c r="M1370" s="79">
        <f t="shared" si="1177"/>
        <v>0</v>
      </c>
      <c r="N1370">
        <f t="shared" si="1202"/>
        <v>1</v>
      </c>
      <c r="O1370" t="str">
        <f>IFERROR(_xlfn.XLOOKUP(A1370,HC!A:A,HC!C:C),"")</f>
        <v>Workforce</v>
      </c>
      <c r="R1370" s="78" t="b">
        <f t="shared" si="1178"/>
        <v>0</v>
      </c>
      <c r="S1370" s="78" t="b">
        <f t="shared" si="1179"/>
        <v>0</v>
      </c>
      <c r="T1370" s="78" t="b">
        <f t="shared" si="1180"/>
        <v>0</v>
      </c>
      <c r="U1370" s="78" t="b">
        <f t="shared" si="1181"/>
        <v>0</v>
      </c>
      <c r="V1370" s="78" t="b">
        <f t="shared" si="1182"/>
        <v>0</v>
      </c>
      <c r="W1370" s="78" t="b">
        <f t="shared" si="1183"/>
        <v>0</v>
      </c>
      <c r="X1370" s="78" t="b">
        <f t="shared" si="1184"/>
        <v>0</v>
      </c>
      <c r="Y1370" s="78" t="b">
        <f t="shared" si="1185"/>
        <v>0</v>
      </c>
      <c r="Z1370" s="78" t="b">
        <f t="shared" si="1186"/>
        <v>0</v>
      </c>
      <c r="AA1370" s="78" t="b">
        <f t="shared" si="1187"/>
        <v>0</v>
      </c>
      <c r="AB1370" s="78" t="b">
        <f t="shared" si="1188"/>
        <v>0</v>
      </c>
      <c r="AC1370" s="78" t="b">
        <f t="shared" si="1189"/>
        <v>0</v>
      </c>
      <c r="AD1370" s="78" t="b">
        <f t="shared" si="1190"/>
        <v>0</v>
      </c>
      <c r="AE1370" s="78" t="b">
        <f t="shared" si="1191"/>
        <v>0</v>
      </c>
      <c r="AF1370" s="78" t="b">
        <f t="shared" si="1192"/>
        <v>0</v>
      </c>
      <c r="AG1370" s="78" t="b">
        <f t="shared" si="1193"/>
        <v>0</v>
      </c>
      <c r="AH1370" s="78" t="b">
        <f t="shared" si="1194"/>
        <v>0</v>
      </c>
      <c r="AI1370" s="78" t="b">
        <f t="shared" si="1195"/>
        <v>0</v>
      </c>
      <c r="AJ1370" s="78" t="b">
        <f t="shared" si="1196"/>
        <v>0</v>
      </c>
      <c r="AK1370" s="78" t="b">
        <f t="shared" si="1197"/>
        <v>0</v>
      </c>
      <c r="AL1370" s="78" t="b">
        <f t="shared" si="1198"/>
        <v>0</v>
      </c>
      <c r="AM1370" s="78" t="b">
        <f t="shared" si="1199"/>
        <v>0</v>
      </c>
      <c r="AN1370" s="78" t="b">
        <f t="shared" si="1200"/>
        <v>0</v>
      </c>
      <c r="AO1370" s="78" t="b">
        <f t="shared" si="1201"/>
        <v>0</v>
      </c>
    </row>
    <row r="1371" spans="7:41" x14ac:dyDescent="0.35">
      <c r="G1371" s="77">
        <f t="shared" si="1171"/>
        <v>0</v>
      </c>
      <c r="H1371" s="78">
        <f t="shared" si="1172"/>
        <v>0</v>
      </c>
      <c r="I1371" s="77">
        <f t="shared" si="1173"/>
        <v>0</v>
      </c>
      <c r="J1371" s="78">
        <f t="shared" si="1174"/>
        <v>0</v>
      </c>
      <c r="K1371" s="78" t="str">
        <f t="shared" si="1175"/>
        <v>1900-01-00 00:0:00</v>
      </c>
      <c r="L1371" s="78" t="str">
        <f t="shared" si="1176"/>
        <v>1900-01-00 00:0:00</v>
      </c>
      <c r="M1371" s="79">
        <f t="shared" si="1177"/>
        <v>0</v>
      </c>
      <c r="N1371">
        <f t="shared" si="1202"/>
        <v>1</v>
      </c>
      <c r="O1371" t="str">
        <f>IFERROR(_xlfn.XLOOKUP(A1371,HC!A:A,HC!C:C),"")</f>
        <v>Workforce</v>
      </c>
      <c r="R1371" s="78" t="b">
        <f t="shared" si="1178"/>
        <v>0</v>
      </c>
      <c r="S1371" s="78" t="b">
        <f t="shared" si="1179"/>
        <v>0</v>
      </c>
      <c r="T1371" s="78" t="b">
        <f t="shared" si="1180"/>
        <v>0</v>
      </c>
      <c r="U1371" s="78" t="b">
        <f t="shared" si="1181"/>
        <v>0</v>
      </c>
      <c r="V1371" s="78" t="b">
        <f t="shared" si="1182"/>
        <v>0</v>
      </c>
      <c r="W1371" s="78" t="b">
        <f t="shared" si="1183"/>
        <v>0</v>
      </c>
      <c r="X1371" s="78" t="b">
        <f t="shared" si="1184"/>
        <v>0</v>
      </c>
      <c r="Y1371" s="78" t="b">
        <f t="shared" si="1185"/>
        <v>0</v>
      </c>
      <c r="Z1371" s="78" t="b">
        <f t="shared" si="1186"/>
        <v>0</v>
      </c>
      <c r="AA1371" s="78" t="b">
        <f t="shared" si="1187"/>
        <v>0</v>
      </c>
      <c r="AB1371" s="78" t="b">
        <f t="shared" si="1188"/>
        <v>0</v>
      </c>
      <c r="AC1371" s="78" t="b">
        <f t="shared" si="1189"/>
        <v>0</v>
      </c>
      <c r="AD1371" s="78" t="b">
        <f t="shared" si="1190"/>
        <v>0</v>
      </c>
      <c r="AE1371" s="78" t="b">
        <f t="shared" si="1191"/>
        <v>0</v>
      </c>
      <c r="AF1371" s="78" t="b">
        <f t="shared" si="1192"/>
        <v>0</v>
      </c>
      <c r="AG1371" s="78" t="b">
        <f t="shared" si="1193"/>
        <v>0</v>
      </c>
      <c r="AH1371" s="78" t="b">
        <f t="shared" si="1194"/>
        <v>0</v>
      </c>
      <c r="AI1371" s="78" t="b">
        <f t="shared" si="1195"/>
        <v>0</v>
      </c>
      <c r="AJ1371" s="78" t="b">
        <f t="shared" si="1196"/>
        <v>0</v>
      </c>
      <c r="AK1371" s="78" t="b">
        <f t="shared" si="1197"/>
        <v>0</v>
      </c>
      <c r="AL1371" s="78" t="b">
        <f t="shared" si="1198"/>
        <v>0</v>
      </c>
      <c r="AM1371" s="78" t="b">
        <f t="shared" si="1199"/>
        <v>0</v>
      </c>
      <c r="AN1371" s="78" t="b">
        <f t="shared" si="1200"/>
        <v>0</v>
      </c>
      <c r="AO1371" s="78" t="b">
        <f t="shared" si="1201"/>
        <v>0</v>
      </c>
    </row>
    <row r="1372" spans="7:41" x14ac:dyDescent="0.35">
      <c r="G1372" s="77">
        <f t="shared" si="1171"/>
        <v>0</v>
      </c>
      <c r="H1372" s="78">
        <f t="shared" si="1172"/>
        <v>0</v>
      </c>
      <c r="I1372" s="77">
        <f t="shared" si="1173"/>
        <v>0</v>
      </c>
      <c r="J1372" s="78">
        <f t="shared" si="1174"/>
        <v>0</v>
      </c>
      <c r="K1372" s="78" t="str">
        <f t="shared" si="1175"/>
        <v>1900-01-00 00:0:00</v>
      </c>
      <c r="L1372" s="78" t="str">
        <f t="shared" si="1176"/>
        <v>1900-01-00 00:0:00</v>
      </c>
      <c r="M1372" s="79">
        <f t="shared" si="1177"/>
        <v>0</v>
      </c>
      <c r="N1372">
        <f t="shared" si="1202"/>
        <v>1</v>
      </c>
      <c r="O1372" t="str">
        <f>IFERROR(_xlfn.XLOOKUP(A1372,HC!A:A,HC!C:C),"")</f>
        <v>Workforce</v>
      </c>
      <c r="R1372" s="78" t="b">
        <f t="shared" si="1178"/>
        <v>0</v>
      </c>
      <c r="S1372" s="78" t="b">
        <f t="shared" si="1179"/>
        <v>0</v>
      </c>
      <c r="T1372" s="78" t="b">
        <f t="shared" si="1180"/>
        <v>0</v>
      </c>
      <c r="U1372" s="78" t="b">
        <f t="shared" si="1181"/>
        <v>0</v>
      </c>
      <c r="V1372" s="78" t="b">
        <f t="shared" si="1182"/>
        <v>0</v>
      </c>
      <c r="W1372" s="78" t="b">
        <f t="shared" si="1183"/>
        <v>0</v>
      </c>
      <c r="X1372" s="78" t="b">
        <f t="shared" si="1184"/>
        <v>0</v>
      </c>
      <c r="Y1372" s="78" t="b">
        <f t="shared" si="1185"/>
        <v>0</v>
      </c>
      <c r="Z1372" s="78" t="b">
        <f t="shared" si="1186"/>
        <v>0</v>
      </c>
      <c r="AA1372" s="78" t="b">
        <f t="shared" si="1187"/>
        <v>0</v>
      </c>
      <c r="AB1372" s="78" t="b">
        <f t="shared" si="1188"/>
        <v>0</v>
      </c>
      <c r="AC1372" s="78" t="b">
        <f t="shared" si="1189"/>
        <v>0</v>
      </c>
      <c r="AD1372" s="78" t="b">
        <f t="shared" si="1190"/>
        <v>0</v>
      </c>
      <c r="AE1372" s="78" t="b">
        <f t="shared" si="1191"/>
        <v>0</v>
      </c>
      <c r="AF1372" s="78" t="b">
        <f t="shared" si="1192"/>
        <v>0</v>
      </c>
      <c r="AG1372" s="78" t="b">
        <f t="shared" si="1193"/>
        <v>0</v>
      </c>
      <c r="AH1372" s="78" t="b">
        <f t="shared" si="1194"/>
        <v>0</v>
      </c>
      <c r="AI1372" s="78" t="b">
        <f t="shared" si="1195"/>
        <v>0</v>
      </c>
      <c r="AJ1372" s="78" t="b">
        <f t="shared" si="1196"/>
        <v>0</v>
      </c>
      <c r="AK1372" s="78" t="b">
        <f t="shared" si="1197"/>
        <v>0</v>
      </c>
      <c r="AL1372" s="78" t="b">
        <f t="shared" si="1198"/>
        <v>0</v>
      </c>
      <c r="AM1372" s="78" t="b">
        <f t="shared" si="1199"/>
        <v>0</v>
      </c>
      <c r="AN1372" s="78" t="b">
        <f t="shared" si="1200"/>
        <v>0</v>
      </c>
      <c r="AO1372" s="78" t="b">
        <f t="shared" si="1201"/>
        <v>0</v>
      </c>
    </row>
    <row r="1373" spans="7:41" x14ac:dyDescent="0.35">
      <c r="G1373" s="77">
        <f t="shared" si="1171"/>
        <v>0</v>
      </c>
      <c r="H1373" s="78">
        <f t="shared" si="1172"/>
        <v>0</v>
      </c>
      <c r="I1373" s="77">
        <f t="shared" si="1173"/>
        <v>0</v>
      </c>
      <c r="J1373" s="78">
        <f t="shared" si="1174"/>
        <v>0</v>
      </c>
      <c r="K1373" s="78" t="str">
        <f t="shared" si="1175"/>
        <v>1900-01-00 00:0:00</v>
      </c>
      <c r="L1373" s="78" t="str">
        <f t="shared" si="1176"/>
        <v>1900-01-00 00:0:00</v>
      </c>
      <c r="M1373" s="79">
        <f t="shared" si="1177"/>
        <v>0</v>
      </c>
      <c r="N1373">
        <f t="shared" si="1202"/>
        <v>1</v>
      </c>
      <c r="O1373" t="str">
        <f>IFERROR(_xlfn.XLOOKUP(A1373,HC!A:A,HC!C:C),"")</f>
        <v>Workforce</v>
      </c>
      <c r="R1373" s="78" t="b">
        <f t="shared" si="1178"/>
        <v>0</v>
      </c>
      <c r="S1373" s="78" t="b">
        <f t="shared" si="1179"/>
        <v>0</v>
      </c>
      <c r="T1373" s="78" t="b">
        <f t="shared" si="1180"/>
        <v>0</v>
      </c>
      <c r="U1373" s="78" t="b">
        <f t="shared" si="1181"/>
        <v>0</v>
      </c>
      <c r="V1373" s="78" t="b">
        <f t="shared" si="1182"/>
        <v>0</v>
      </c>
      <c r="W1373" s="78" t="b">
        <f t="shared" si="1183"/>
        <v>0</v>
      </c>
      <c r="X1373" s="78" t="b">
        <f t="shared" si="1184"/>
        <v>0</v>
      </c>
      <c r="Y1373" s="78" t="b">
        <f t="shared" si="1185"/>
        <v>0</v>
      </c>
      <c r="Z1373" s="78" t="b">
        <f t="shared" si="1186"/>
        <v>0</v>
      </c>
      <c r="AA1373" s="78" t="b">
        <f t="shared" si="1187"/>
        <v>0</v>
      </c>
      <c r="AB1373" s="78" t="b">
        <f t="shared" si="1188"/>
        <v>0</v>
      </c>
      <c r="AC1373" s="78" t="b">
        <f t="shared" si="1189"/>
        <v>0</v>
      </c>
      <c r="AD1373" s="78" t="b">
        <f t="shared" si="1190"/>
        <v>0</v>
      </c>
      <c r="AE1373" s="78" t="b">
        <f t="shared" si="1191"/>
        <v>0</v>
      </c>
      <c r="AF1373" s="78" t="b">
        <f t="shared" si="1192"/>
        <v>0</v>
      </c>
      <c r="AG1373" s="78" t="b">
        <f t="shared" si="1193"/>
        <v>0</v>
      </c>
      <c r="AH1373" s="78" t="b">
        <f t="shared" si="1194"/>
        <v>0</v>
      </c>
      <c r="AI1373" s="78" t="b">
        <f t="shared" si="1195"/>
        <v>0</v>
      </c>
      <c r="AJ1373" s="78" t="b">
        <f t="shared" si="1196"/>
        <v>0</v>
      </c>
      <c r="AK1373" s="78" t="b">
        <f t="shared" si="1197"/>
        <v>0</v>
      </c>
      <c r="AL1373" s="78" t="b">
        <f t="shared" si="1198"/>
        <v>0</v>
      </c>
      <c r="AM1373" s="78" t="b">
        <f t="shared" si="1199"/>
        <v>0</v>
      </c>
      <c r="AN1373" s="78" t="b">
        <f t="shared" si="1200"/>
        <v>0</v>
      </c>
      <c r="AO1373" s="78" t="b">
        <f t="shared" si="1201"/>
        <v>0</v>
      </c>
    </row>
    <row r="1374" spans="7:41" x14ac:dyDescent="0.35">
      <c r="G1374" s="77">
        <f t="shared" si="1171"/>
        <v>0</v>
      </c>
      <c r="H1374" s="78">
        <f t="shared" si="1172"/>
        <v>0</v>
      </c>
      <c r="I1374" s="77">
        <f t="shared" si="1173"/>
        <v>0</v>
      </c>
      <c r="J1374" s="78">
        <f t="shared" si="1174"/>
        <v>0</v>
      </c>
      <c r="K1374" s="78" t="str">
        <f t="shared" si="1175"/>
        <v>1900-01-00 00:0:00</v>
      </c>
      <c r="L1374" s="78" t="str">
        <f t="shared" si="1176"/>
        <v>1900-01-00 00:0:00</v>
      </c>
      <c r="M1374" s="79">
        <f t="shared" si="1177"/>
        <v>0</v>
      </c>
      <c r="N1374">
        <f t="shared" si="1202"/>
        <v>1</v>
      </c>
      <c r="O1374" t="str">
        <f>IFERROR(_xlfn.XLOOKUP(A1374,HC!A:A,HC!C:C),"")</f>
        <v>Workforce</v>
      </c>
      <c r="R1374" s="78" t="b">
        <f t="shared" si="1178"/>
        <v>0</v>
      </c>
      <c r="S1374" s="78" t="b">
        <f t="shared" si="1179"/>
        <v>0</v>
      </c>
      <c r="T1374" s="78" t="b">
        <f t="shared" si="1180"/>
        <v>0</v>
      </c>
      <c r="U1374" s="78" t="b">
        <f t="shared" si="1181"/>
        <v>0</v>
      </c>
      <c r="V1374" s="78" t="b">
        <f t="shared" si="1182"/>
        <v>0</v>
      </c>
      <c r="W1374" s="78" t="b">
        <f t="shared" si="1183"/>
        <v>0</v>
      </c>
      <c r="X1374" s="78" t="b">
        <f t="shared" si="1184"/>
        <v>0</v>
      </c>
      <c r="Y1374" s="78" t="b">
        <f t="shared" si="1185"/>
        <v>0</v>
      </c>
      <c r="Z1374" s="78" t="b">
        <f t="shared" si="1186"/>
        <v>0</v>
      </c>
      <c r="AA1374" s="78" t="b">
        <f t="shared" si="1187"/>
        <v>0</v>
      </c>
      <c r="AB1374" s="78" t="b">
        <f t="shared" si="1188"/>
        <v>0</v>
      </c>
      <c r="AC1374" s="78" t="b">
        <f t="shared" si="1189"/>
        <v>0</v>
      </c>
      <c r="AD1374" s="78" t="b">
        <f t="shared" si="1190"/>
        <v>0</v>
      </c>
      <c r="AE1374" s="78" t="b">
        <f t="shared" si="1191"/>
        <v>0</v>
      </c>
      <c r="AF1374" s="78" t="b">
        <f t="shared" si="1192"/>
        <v>0</v>
      </c>
      <c r="AG1374" s="78" t="b">
        <f t="shared" si="1193"/>
        <v>0</v>
      </c>
      <c r="AH1374" s="78" t="b">
        <f t="shared" si="1194"/>
        <v>0</v>
      </c>
      <c r="AI1374" s="78" t="b">
        <f t="shared" si="1195"/>
        <v>0</v>
      </c>
      <c r="AJ1374" s="78" t="b">
        <f t="shared" si="1196"/>
        <v>0</v>
      </c>
      <c r="AK1374" s="78" t="b">
        <f t="shared" si="1197"/>
        <v>0</v>
      </c>
      <c r="AL1374" s="78" t="b">
        <f t="shared" si="1198"/>
        <v>0</v>
      </c>
      <c r="AM1374" s="78" t="b">
        <f t="shared" si="1199"/>
        <v>0</v>
      </c>
      <c r="AN1374" s="78" t="b">
        <f t="shared" si="1200"/>
        <v>0</v>
      </c>
      <c r="AO1374" s="78" t="b">
        <f t="shared" si="1201"/>
        <v>0</v>
      </c>
    </row>
    <row r="1375" spans="7:41" x14ac:dyDescent="0.35">
      <c r="G1375" s="77">
        <f t="shared" si="1171"/>
        <v>0</v>
      </c>
      <c r="H1375" s="78">
        <f t="shared" si="1172"/>
        <v>0</v>
      </c>
      <c r="I1375" s="77">
        <f t="shared" si="1173"/>
        <v>0</v>
      </c>
      <c r="J1375" s="78">
        <f t="shared" si="1174"/>
        <v>0</v>
      </c>
      <c r="K1375" s="78" t="str">
        <f t="shared" si="1175"/>
        <v>1900-01-00 00:0:00</v>
      </c>
      <c r="L1375" s="78" t="str">
        <f t="shared" si="1176"/>
        <v>1900-01-00 00:0:00</v>
      </c>
      <c r="M1375" s="79">
        <f t="shared" si="1177"/>
        <v>0</v>
      </c>
      <c r="N1375">
        <f t="shared" si="1202"/>
        <v>1</v>
      </c>
      <c r="O1375" t="str">
        <f>IFERROR(_xlfn.XLOOKUP(A1375,HC!A:A,HC!C:C),"")</f>
        <v>Workforce</v>
      </c>
      <c r="R1375" s="78" t="b">
        <f t="shared" si="1178"/>
        <v>0</v>
      </c>
      <c r="S1375" s="78" t="b">
        <f t="shared" si="1179"/>
        <v>0</v>
      </c>
      <c r="T1375" s="78" t="b">
        <f t="shared" si="1180"/>
        <v>0</v>
      </c>
      <c r="U1375" s="78" t="b">
        <f t="shared" si="1181"/>
        <v>0</v>
      </c>
      <c r="V1375" s="78" t="b">
        <f t="shared" si="1182"/>
        <v>0</v>
      </c>
      <c r="W1375" s="78" t="b">
        <f t="shared" si="1183"/>
        <v>0</v>
      </c>
      <c r="X1375" s="78" t="b">
        <f t="shared" si="1184"/>
        <v>0</v>
      </c>
      <c r="Y1375" s="78" t="b">
        <f t="shared" si="1185"/>
        <v>0</v>
      </c>
      <c r="Z1375" s="78" t="b">
        <f t="shared" si="1186"/>
        <v>0</v>
      </c>
      <c r="AA1375" s="78" t="b">
        <f t="shared" si="1187"/>
        <v>0</v>
      </c>
      <c r="AB1375" s="78" t="b">
        <f t="shared" si="1188"/>
        <v>0</v>
      </c>
      <c r="AC1375" s="78" t="b">
        <f t="shared" si="1189"/>
        <v>0</v>
      </c>
      <c r="AD1375" s="78" t="b">
        <f t="shared" si="1190"/>
        <v>0</v>
      </c>
      <c r="AE1375" s="78" t="b">
        <f t="shared" si="1191"/>
        <v>0</v>
      </c>
      <c r="AF1375" s="78" t="b">
        <f t="shared" si="1192"/>
        <v>0</v>
      </c>
      <c r="AG1375" s="78" t="b">
        <f t="shared" si="1193"/>
        <v>0</v>
      </c>
      <c r="AH1375" s="78" t="b">
        <f t="shared" si="1194"/>
        <v>0</v>
      </c>
      <c r="AI1375" s="78" t="b">
        <f t="shared" si="1195"/>
        <v>0</v>
      </c>
      <c r="AJ1375" s="78" t="b">
        <f t="shared" si="1196"/>
        <v>0</v>
      </c>
      <c r="AK1375" s="78" t="b">
        <f t="shared" si="1197"/>
        <v>0</v>
      </c>
      <c r="AL1375" s="78" t="b">
        <f t="shared" si="1198"/>
        <v>0</v>
      </c>
      <c r="AM1375" s="78" t="b">
        <f t="shared" si="1199"/>
        <v>0</v>
      </c>
      <c r="AN1375" s="78" t="b">
        <f t="shared" si="1200"/>
        <v>0</v>
      </c>
      <c r="AO1375" s="78" t="b">
        <f t="shared" si="1201"/>
        <v>0</v>
      </c>
    </row>
    <row r="1376" spans="7:41" x14ac:dyDescent="0.35">
      <c r="G1376" s="77">
        <f t="shared" si="1171"/>
        <v>0</v>
      </c>
      <c r="H1376" s="78">
        <f t="shared" si="1172"/>
        <v>0</v>
      </c>
      <c r="I1376" s="77">
        <f t="shared" si="1173"/>
        <v>0</v>
      </c>
      <c r="J1376" s="78">
        <f t="shared" si="1174"/>
        <v>0</v>
      </c>
      <c r="K1376" s="78" t="str">
        <f t="shared" si="1175"/>
        <v>1900-01-00 00:0:00</v>
      </c>
      <c r="L1376" s="78" t="str">
        <f t="shared" si="1176"/>
        <v>1900-01-00 00:0:00</v>
      </c>
      <c r="M1376" s="79">
        <f t="shared" si="1177"/>
        <v>0</v>
      </c>
      <c r="N1376">
        <f t="shared" si="1202"/>
        <v>1</v>
      </c>
      <c r="O1376" t="str">
        <f>IFERROR(_xlfn.XLOOKUP(A1376,HC!A:A,HC!C:C),"")</f>
        <v>Workforce</v>
      </c>
      <c r="R1376" s="78" t="b">
        <f t="shared" si="1178"/>
        <v>0</v>
      </c>
      <c r="S1376" s="78" t="b">
        <f t="shared" si="1179"/>
        <v>0</v>
      </c>
      <c r="T1376" s="78" t="b">
        <f t="shared" si="1180"/>
        <v>0</v>
      </c>
      <c r="U1376" s="78" t="b">
        <f t="shared" si="1181"/>
        <v>0</v>
      </c>
      <c r="V1376" s="78" t="b">
        <f t="shared" si="1182"/>
        <v>0</v>
      </c>
      <c r="W1376" s="78" t="b">
        <f t="shared" si="1183"/>
        <v>0</v>
      </c>
      <c r="X1376" s="78" t="b">
        <f t="shared" si="1184"/>
        <v>0</v>
      </c>
      <c r="Y1376" s="78" t="b">
        <f t="shared" si="1185"/>
        <v>0</v>
      </c>
      <c r="Z1376" s="78" t="b">
        <f t="shared" si="1186"/>
        <v>0</v>
      </c>
      <c r="AA1376" s="78" t="b">
        <f t="shared" si="1187"/>
        <v>0</v>
      </c>
      <c r="AB1376" s="78" t="b">
        <f t="shared" si="1188"/>
        <v>0</v>
      </c>
      <c r="AC1376" s="78" t="b">
        <f t="shared" si="1189"/>
        <v>0</v>
      </c>
      <c r="AD1376" s="78" t="b">
        <f t="shared" si="1190"/>
        <v>0</v>
      </c>
      <c r="AE1376" s="78" t="b">
        <f t="shared" si="1191"/>
        <v>0</v>
      </c>
      <c r="AF1376" s="78" t="b">
        <f t="shared" si="1192"/>
        <v>0</v>
      </c>
      <c r="AG1376" s="78" t="b">
        <f t="shared" si="1193"/>
        <v>0</v>
      </c>
      <c r="AH1376" s="78" t="b">
        <f t="shared" si="1194"/>
        <v>0</v>
      </c>
      <c r="AI1376" s="78" t="b">
        <f t="shared" si="1195"/>
        <v>0</v>
      </c>
      <c r="AJ1376" s="78" t="b">
        <f t="shared" si="1196"/>
        <v>0</v>
      </c>
      <c r="AK1376" s="78" t="b">
        <f t="shared" si="1197"/>
        <v>0</v>
      </c>
      <c r="AL1376" s="78" t="b">
        <f t="shared" si="1198"/>
        <v>0</v>
      </c>
      <c r="AM1376" s="78" t="b">
        <f t="shared" si="1199"/>
        <v>0</v>
      </c>
      <c r="AN1376" s="78" t="b">
        <f t="shared" si="1200"/>
        <v>0</v>
      </c>
      <c r="AO1376" s="78" t="b">
        <f t="shared" si="1201"/>
        <v>0</v>
      </c>
    </row>
    <row r="1377" spans="7:41" x14ac:dyDescent="0.35">
      <c r="G1377" s="77">
        <f t="shared" si="1171"/>
        <v>0</v>
      </c>
      <c r="H1377" s="78">
        <f t="shared" si="1172"/>
        <v>0</v>
      </c>
      <c r="I1377" s="77">
        <f t="shared" si="1173"/>
        <v>0</v>
      </c>
      <c r="J1377" s="78">
        <f t="shared" si="1174"/>
        <v>0</v>
      </c>
      <c r="K1377" s="78" t="str">
        <f t="shared" si="1175"/>
        <v>1900-01-00 00:0:00</v>
      </c>
      <c r="L1377" s="78" t="str">
        <f t="shared" si="1176"/>
        <v>1900-01-00 00:0:00</v>
      </c>
      <c r="M1377" s="79">
        <f t="shared" si="1177"/>
        <v>0</v>
      </c>
      <c r="N1377">
        <f t="shared" si="1202"/>
        <v>1</v>
      </c>
      <c r="O1377" t="str">
        <f>IFERROR(_xlfn.XLOOKUP(A1377,HC!A:A,HC!C:C),"")</f>
        <v>Workforce</v>
      </c>
      <c r="R1377" s="78" t="b">
        <f t="shared" si="1178"/>
        <v>0</v>
      </c>
      <c r="S1377" s="78" t="b">
        <f t="shared" si="1179"/>
        <v>0</v>
      </c>
      <c r="T1377" s="78" t="b">
        <f t="shared" si="1180"/>
        <v>0</v>
      </c>
      <c r="U1377" s="78" t="b">
        <f t="shared" si="1181"/>
        <v>0</v>
      </c>
      <c r="V1377" s="78" t="b">
        <f t="shared" si="1182"/>
        <v>0</v>
      </c>
      <c r="W1377" s="78" t="b">
        <f t="shared" si="1183"/>
        <v>0</v>
      </c>
      <c r="X1377" s="78" t="b">
        <f t="shared" si="1184"/>
        <v>0</v>
      </c>
      <c r="Y1377" s="78" t="b">
        <f t="shared" si="1185"/>
        <v>0</v>
      </c>
      <c r="Z1377" s="78" t="b">
        <f t="shared" si="1186"/>
        <v>0</v>
      </c>
      <c r="AA1377" s="78" t="b">
        <f t="shared" si="1187"/>
        <v>0</v>
      </c>
      <c r="AB1377" s="78" t="b">
        <f t="shared" si="1188"/>
        <v>0</v>
      </c>
      <c r="AC1377" s="78" t="b">
        <f t="shared" si="1189"/>
        <v>0</v>
      </c>
      <c r="AD1377" s="78" t="b">
        <f t="shared" si="1190"/>
        <v>0</v>
      </c>
      <c r="AE1377" s="78" t="b">
        <f t="shared" si="1191"/>
        <v>0</v>
      </c>
      <c r="AF1377" s="78" t="b">
        <f t="shared" si="1192"/>
        <v>0</v>
      </c>
      <c r="AG1377" s="78" t="b">
        <f t="shared" si="1193"/>
        <v>0</v>
      </c>
      <c r="AH1377" s="78" t="b">
        <f t="shared" si="1194"/>
        <v>0</v>
      </c>
      <c r="AI1377" s="78" t="b">
        <f t="shared" si="1195"/>
        <v>0</v>
      </c>
      <c r="AJ1377" s="78" t="b">
        <f t="shared" si="1196"/>
        <v>0</v>
      </c>
      <c r="AK1377" s="78" t="b">
        <f t="shared" si="1197"/>
        <v>0</v>
      </c>
      <c r="AL1377" s="78" t="b">
        <f t="shared" si="1198"/>
        <v>0</v>
      </c>
      <c r="AM1377" s="78" t="b">
        <f t="shared" si="1199"/>
        <v>0</v>
      </c>
      <c r="AN1377" s="78" t="b">
        <f t="shared" si="1200"/>
        <v>0</v>
      </c>
      <c r="AO1377" s="78" t="b">
        <f t="shared" si="1201"/>
        <v>0</v>
      </c>
    </row>
    <row r="1378" spans="7:41" x14ac:dyDescent="0.35">
      <c r="G1378" s="77">
        <f t="shared" si="1171"/>
        <v>0</v>
      </c>
      <c r="H1378" s="78">
        <f t="shared" si="1172"/>
        <v>0</v>
      </c>
      <c r="I1378" s="77">
        <f t="shared" si="1173"/>
        <v>0</v>
      </c>
      <c r="J1378" s="78">
        <f t="shared" si="1174"/>
        <v>0</v>
      </c>
      <c r="K1378" s="78" t="str">
        <f t="shared" si="1175"/>
        <v>1900-01-00 00:0:00</v>
      </c>
      <c r="L1378" s="78" t="str">
        <f t="shared" si="1176"/>
        <v>1900-01-00 00:0:00</v>
      </c>
      <c r="M1378" s="79">
        <f t="shared" si="1177"/>
        <v>0</v>
      </c>
      <c r="N1378">
        <f t="shared" si="1202"/>
        <v>1</v>
      </c>
      <c r="O1378" t="str">
        <f>IFERROR(_xlfn.XLOOKUP(A1378,HC!A:A,HC!C:C),"")</f>
        <v>Workforce</v>
      </c>
      <c r="R1378" s="78" t="b">
        <f t="shared" si="1178"/>
        <v>0</v>
      </c>
      <c r="S1378" s="78" t="b">
        <f t="shared" si="1179"/>
        <v>0</v>
      </c>
      <c r="T1378" s="78" t="b">
        <f t="shared" si="1180"/>
        <v>0</v>
      </c>
      <c r="U1378" s="78" t="b">
        <f t="shared" si="1181"/>
        <v>0</v>
      </c>
      <c r="V1378" s="78" t="b">
        <f t="shared" si="1182"/>
        <v>0</v>
      </c>
      <c r="W1378" s="78" t="b">
        <f t="shared" si="1183"/>
        <v>0</v>
      </c>
      <c r="X1378" s="78" t="b">
        <f t="shared" si="1184"/>
        <v>0</v>
      </c>
      <c r="Y1378" s="78" t="b">
        <f t="shared" si="1185"/>
        <v>0</v>
      </c>
      <c r="Z1378" s="78" t="b">
        <f t="shared" si="1186"/>
        <v>0</v>
      </c>
      <c r="AA1378" s="78" t="b">
        <f t="shared" si="1187"/>
        <v>0</v>
      </c>
      <c r="AB1378" s="78" t="b">
        <f t="shared" si="1188"/>
        <v>0</v>
      </c>
      <c r="AC1378" s="78" t="b">
        <f t="shared" si="1189"/>
        <v>0</v>
      </c>
      <c r="AD1378" s="78" t="b">
        <f t="shared" si="1190"/>
        <v>0</v>
      </c>
      <c r="AE1378" s="78" t="b">
        <f t="shared" si="1191"/>
        <v>0</v>
      </c>
      <c r="AF1378" s="78" t="b">
        <f t="shared" si="1192"/>
        <v>0</v>
      </c>
      <c r="AG1378" s="78" t="b">
        <f t="shared" si="1193"/>
        <v>0</v>
      </c>
      <c r="AH1378" s="78" t="b">
        <f t="shared" si="1194"/>
        <v>0</v>
      </c>
      <c r="AI1378" s="78" t="b">
        <f t="shared" si="1195"/>
        <v>0</v>
      </c>
      <c r="AJ1378" s="78" t="b">
        <f t="shared" si="1196"/>
        <v>0</v>
      </c>
      <c r="AK1378" s="78" t="b">
        <f t="shared" si="1197"/>
        <v>0</v>
      </c>
      <c r="AL1378" s="78" t="b">
        <f t="shared" si="1198"/>
        <v>0</v>
      </c>
      <c r="AM1378" s="78" t="b">
        <f t="shared" si="1199"/>
        <v>0</v>
      </c>
      <c r="AN1378" s="78" t="b">
        <f t="shared" si="1200"/>
        <v>0</v>
      </c>
      <c r="AO1378" s="78" t="b">
        <f t="shared" si="1201"/>
        <v>0</v>
      </c>
    </row>
    <row r="1379" spans="7:41" x14ac:dyDescent="0.35">
      <c r="G1379" s="77">
        <f t="shared" si="1171"/>
        <v>0</v>
      </c>
      <c r="H1379" s="78">
        <f t="shared" si="1172"/>
        <v>0</v>
      </c>
      <c r="I1379" s="77">
        <f t="shared" si="1173"/>
        <v>0</v>
      </c>
      <c r="J1379" s="78">
        <f t="shared" si="1174"/>
        <v>0</v>
      </c>
      <c r="K1379" s="78" t="str">
        <f t="shared" si="1175"/>
        <v>1900-01-00 00:0:00</v>
      </c>
      <c r="L1379" s="78" t="str">
        <f t="shared" si="1176"/>
        <v>1900-01-00 00:0:00</v>
      </c>
      <c r="M1379" s="79">
        <f t="shared" si="1177"/>
        <v>0</v>
      </c>
      <c r="N1379">
        <f t="shared" si="1202"/>
        <v>1</v>
      </c>
      <c r="O1379" t="str">
        <f>IFERROR(_xlfn.XLOOKUP(A1379,HC!A:A,HC!C:C),"")</f>
        <v>Workforce</v>
      </c>
      <c r="R1379" s="78" t="b">
        <f t="shared" si="1178"/>
        <v>0</v>
      </c>
      <c r="S1379" s="78" t="b">
        <f t="shared" si="1179"/>
        <v>0</v>
      </c>
      <c r="T1379" s="78" t="b">
        <f t="shared" si="1180"/>
        <v>0</v>
      </c>
      <c r="U1379" s="78" t="b">
        <f t="shared" si="1181"/>
        <v>0</v>
      </c>
      <c r="V1379" s="78" t="b">
        <f t="shared" si="1182"/>
        <v>0</v>
      </c>
      <c r="W1379" s="78" t="b">
        <f t="shared" si="1183"/>
        <v>0</v>
      </c>
      <c r="X1379" s="78" t="b">
        <f t="shared" si="1184"/>
        <v>0</v>
      </c>
      <c r="Y1379" s="78" t="b">
        <f t="shared" si="1185"/>
        <v>0</v>
      </c>
      <c r="Z1379" s="78" t="b">
        <f t="shared" si="1186"/>
        <v>0</v>
      </c>
      <c r="AA1379" s="78" t="b">
        <f t="shared" si="1187"/>
        <v>0</v>
      </c>
      <c r="AB1379" s="78" t="b">
        <f t="shared" si="1188"/>
        <v>0</v>
      </c>
      <c r="AC1379" s="78" t="b">
        <f t="shared" si="1189"/>
        <v>0</v>
      </c>
      <c r="AD1379" s="78" t="b">
        <f t="shared" si="1190"/>
        <v>0</v>
      </c>
      <c r="AE1379" s="78" t="b">
        <f t="shared" si="1191"/>
        <v>0</v>
      </c>
      <c r="AF1379" s="78" t="b">
        <f t="shared" si="1192"/>
        <v>0</v>
      </c>
      <c r="AG1379" s="78" t="b">
        <f t="shared" si="1193"/>
        <v>0</v>
      </c>
      <c r="AH1379" s="78" t="b">
        <f t="shared" si="1194"/>
        <v>0</v>
      </c>
      <c r="AI1379" s="78" t="b">
        <f t="shared" si="1195"/>
        <v>0</v>
      </c>
      <c r="AJ1379" s="78" t="b">
        <f t="shared" si="1196"/>
        <v>0</v>
      </c>
      <c r="AK1379" s="78" t="b">
        <f t="shared" si="1197"/>
        <v>0</v>
      </c>
      <c r="AL1379" s="78" t="b">
        <f t="shared" si="1198"/>
        <v>0</v>
      </c>
      <c r="AM1379" s="78" t="b">
        <f t="shared" si="1199"/>
        <v>0</v>
      </c>
      <c r="AN1379" s="78" t="b">
        <f t="shared" si="1200"/>
        <v>0</v>
      </c>
      <c r="AO1379" s="78" t="b">
        <f t="shared" si="1201"/>
        <v>0</v>
      </c>
    </row>
    <row r="1380" spans="7:41" x14ac:dyDescent="0.35">
      <c r="G1380" s="77">
        <f t="shared" si="1171"/>
        <v>0</v>
      </c>
      <c r="H1380" s="78">
        <f t="shared" si="1172"/>
        <v>0</v>
      </c>
      <c r="I1380" s="77">
        <f t="shared" si="1173"/>
        <v>0</v>
      </c>
      <c r="J1380" s="78">
        <f t="shared" si="1174"/>
        <v>0</v>
      </c>
      <c r="K1380" s="78" t="str">
        <f t="shared" si="1175"/>
        <v>1900-01-00 00:0:00</v>
      </c>
      <c r="L1380" s="78" t="str">
        <f t="shared" si="1176"/>
        <v>1900-01-00 00:0:00</v>
      </c>
      <c r="M1380" s="79">
        <f t="shared" si="1177"/>
        <v>0</v>
      </c>
      <c r="N1380">
        <f t="shared" si="1202"/>
        <v>1</v>
      </c>
      <c r="O1380" t="str">
        <f>IFERROR(_xlfn.XLOOKUP(A1380,HC!A:A,HC!C:C),"")</f>
        <v>Workforce</v>
      </c>
      <c r="R1380" s="78" t="b">
        <f t="shared" si="1178"/>
        <v>0</v>
      </c>
      <c r="S1380" s="78" t="b">
        <f t="shared" si="1179"/>
        <v>0</v>
      </c>
      <c r="T1380" s="78" t="b">
        <f t="shared" si="1180"/>
        <v>0</v>
      </c>
      <c r="U1380" s="78" t="b">
        <f t="shared" si="1181"/>
        <v>0</v>
      </c>
      <c r="V1380" s="78" t="b">
        <f t="shared" si="1182"/>
        <v>0</v>
      </c>
      <c r="W1380" s="78" t="b">
        <f t="shared" si="1183"/>
        <v>0</v>
      </c>
      <c r="X1380" s="78" t="b">
        <f t="shared" si="1184"/>
        <v>0</v>
      </c>
      <c r="Y1380" s="78" t="b">
        <f t="shared" si="1185"/>
        <v>0</v>
      </c>
      <c r="Z1380" s="78" t="b">
        <f t="shared" si="1186"/>
        <v>0</v>
      </c>
      <c r="AA1380" s="78" t="b">
        <f t="shared" si="1187"/>
        <v>0</v>
      </c>
      <c r="AB1380" s="78" t="b">
        <f t="shared" si="1188"/>
        <v>0</v>
      </c>
      <c r="AC1380" s="78" t="b">
        <f t="shared" si="1189"/>
        <v>0</v>
      </c>
      <c r="AD1380" s="78" t="b">
        <f t="shared" si="1190"/>
        <v>0</v>
      </c>
      <c r="AE1380" s="78" t="b">
        <f t="shared" si="1191"/>
        <v>0</v>
      </c>
      <c r="AF1380" s="78" t="b">
        <f t="shared" si="1192"/>
        <v>0</v>
      </c>
      <c r="AG1380" s="78" t="b">
        <f t="shared" si="1193"/>
        <v>0</v>
      </c>
      <c r="AH1380" s="78" t="b">
        <f t="shared" si="1194"/>
        <v>0</v>
      </c>
      <c r="AI1380" s="78" t="b">
        <f t="shared" si="1195"/>
        <v>0</v>
      </c>
      <c r="AJ1380" s="78" t="b">
        <f t="shared" si="1196"/>
        <v>0</v>
      </c>
      <c r="AK1380" s="78" t="b">
        <f t="shared" si="1197"/>
        <v>0</v>
      </c>
      <c r="AL1380" s="78" t="b">
        <f t="shared" si="1198"/>
        <v>0</v>
      </c>
      <c r="AM1380" s="78" t="b">
        <f t="shared" si="1199"/>
        <v>0</v>
      </c>
      <c r="AN1380" s="78" t="b">
        <f t="shared" si="1200"/>
        <v>0</v>
      </c>
      <c r="AO1380" s="78" t="b">
        <f t="shared" si="1201"/>
        <v>0</v>
      </c>
    </row>
    <row r="1381" spans="7:41" x14ac:dyDescent="0.35">
      <c r="G1381" s="77">
        <f t="shared" si="1171"/>
        <v>0</v>
      </c>
      <c r="H1381" s="78">
        <f t="shared" si="1172"/>
        <v>0</v>
      </c>
      <c r="I1381" s="77">
        <f t="shared" si="1173"/>
        <v>0</v>
      </c>
      <c r="J1381" s="78">
        <f t="shared" si="1174"/>
        <v>0</v>
      </c>
      <c r="K1381" s="78" t="str">
        <f t="shared" si="1175"/>
        <v>1900-01-00 00:0:00</v>
      </c>
      <c r="L1381" s="78" t="str">
        <f t="shared" si="1176"/>
        <v>1900-01-00 00:0:00</v>
      </c>
      <c r="M1381" s="79">
        <f t="shared" si="1177"/>
        <v>0</v>
      </c>
      <c r="N1381">
        <f t="shared" si="1202"/>
        <v>1</v>
      </c>
      <c r="O1381" t="str">
        <f>IFERROR(_xlfn.XLOOKUP(A1381,HC!A:A,HC!C:C),"")</f>
        <v>Workforce</v>
      </c>
      <c r="R1381" s="78" t="b">
        <f t="shared" si="1178"/>
        <v>0</v>
      </c>
      <c r="S1381" s="78" t="b">
        <f t="shared" si="1179"/>
        <v>0</v>
      </c>
      <c r="T1381" s="78" t="b">
        <f t="shared" si="1180"/>
        <v>0</v>
      </c>
      <c r="U1381" s="78" t="b">
        <f t="shared" si="1181"/>
        <v>0</v>
      </c>
      <c r="V1381" s="78" t="b">
        <f t="shared" si="1182"/>
        <v>0</v>
      </c>
      <c r="W1381" s="78" t="b">
        <f t="shared" si="1183"/>
        <v>0</v>
      </c>
      <c r="X1381" s="78" t="b">
        <f t="shared" si="1184"/>
        <v>0</v>
      </c>
      <c r="Y1381" s="78" t="b">
        <f t="shared" si="1185"/>
        <v>0</v>
      </c>
      <c r="Z1381" s="78" t="b">
        <f t="shared" si="1186"/>
        <v>0</v>
      </c>
      <c r="AA1381" s="78" t="b">
        <f t="shared" si="1187"/>
        <v>0</v>
      </c>
      <c r="AB1381" s="78" t="b">
        <f t="shared" si="1188"/>
        <v>0</v>
      </c>
      <c r="AC1381" s="78" t="b">
        <f t="shared" si="1189"/>
        <v>0</v>
      </c>
      <c r="AD1381" s="78" t="b">
        <f t="shared" si="1190"/>
        <v>0</v>
      </c>
      <c r="AE1381" s="78" t="b">
        <f t="shared" si="1191"/>
        <v>0</v>
      </c>
      <c r="AF1381" s="78" t="b">
        <f t="shared" si="1192"/>
        <v>0</v>
      </c>
      <c r="AG1381" s="78" t="b">
        <f t="shared" si="1193"/>
        <v>0</v>
      </c>
      <c r="AH1381" s="78" t="b">
        <f t="shared" si="1194"/>
        <v>0</v>
      </c>
      <c r="AI1381" s="78" t="b">
        <f t="shared" si="1195"/>
        <v>0</v>
      </c>
      <c r="AJ1381" s="78" t="b">
        <f t="shared" si="1196"/>
        <v>0</v>
      </c>
      <c r="AK1381" s="78" t="b">
        <f t="shared" si="1197"/>
        <v>0</v>
      </c>
      <c r="AL1381" s="78" t="b">
        <f t="shared" si="1198"/>
        <v>0</v>
      </c>
      <c r="AM1381" s="78" t="b">
        <f t="shared" si="1199"/>
        <v>0</v>
      </c>
      <c r="AN1381" s="78" t="b">
        <f t="shared" si="1200"/>
        <v>0</v>
      </c>
      <c r="AO1381" s="78" t="b">
        <f t="shared" si="1201"/>
        <v>0</v>
      </c>
    </row>
    <row r="1382" spans="7:41" x14ac:dyDescent="0.35">
      <c r="G1382" s="77">
        <f t="shared" si="1171"/>
        <v>0</v>
      </c>
      <c r="H1382" s="78">
        <f t="shared" si="1172"/>
        <v>0</v>
      </c>
      <c r="I1382" s="77">
        <f t="shared" si="1173"/>
        <v>0</v>
      </c>
      <c r="J1382" s="78">
        <f t="shared" si="1174"/>
        <v>0</v>
      </c>
      <c r="K1382" s="78" t="str">
        <f t="shared" si="1175"/>
        <v>1900-01-00 00:0:00</v>
      </c>
      <c r="L1382" s="78" t="str">
        <f t="shared" si="1176"/>
        <v>1900-01-00 00:0:00</v>
      </c>
      <c r="M1382" s="79">
        <f t="shared" si="1177"/>
        <v>0</v>
      </c>
      <c r="N1382">
        <f t="shared" si="1202"/>
        <v>1</v>
      </c>
      <c r="O1382" t="str">
        <f>IFERROR(_xlfn.XLOOKUP(A1382,HC!A:A,HC!C:C),"")</f>
        <v>Workforce</v>
      </c>
      <c r="R1382" s="78" t="b">
        <f t="shared" si="1178"/>
        <v>0</v>
      </c>
      <c r="S1382" s="78" t="b">
        <f t="shared" si="1179"/>
        <v>0</v>
      </c>
      <c r="T1382" s="78" t="b">
        <f t="shared" si="1180"/>
        <v>0</v>
      </c>
      <c r="U1382" s="78" t="b">
        <f t="shared" si="1181"/>
        <v>0</v>
      </c>
      <c r="V1382" s="78" t="b">
        <f t="shared" si="1182"/>
        <v>0</v>
      </c>
      <c r="W1382" s="78" t="b">
        <f t="shared" si="1183"/>
        <v>0</v>
      </c>
      <c r="X1382" s="78" t="b">
        <f t="shared" si="1184"/>
        <v>0</v>
      </c>
      <c r="Y1382" s="78" t="b">
        <f t="shared" si="1185"/>
        <v>0</v>
      </c>
      <c r="Z1382" s="78" t="b">
        <f t="shared" si="1186"/>
        <v>0</v>
      </c>
      <c r="AA1382" s="78" t="b">
        <f t="shared" si="1187"/>
        <v>0</v>
      </c>
      <c r="AB1382" s="78" t="b">
        <f t="shared" si="1188"/>
        <v>0</v>
      </c>
      <c r="AC1382" s="78" t="b">
        <f t="shared" si="1189"/>
        <v>0</v>
      </c>
      <c r="AD1382" s="78" t="b">
        <f t="shared" si="1190"/>
        <v>0</v>
      </c>
      <c r="AE1382" s="78" t="b">
        <f t="shared" si="1191"/>
        <v>0</v>
      </c>
      <c r="AF1382" s="78" t="b">
        <f t="shared" si="1192"/>
        <v>0</v>
      </c>
      <c r="AG1382" s="78" t="b">
        <f t="shared" si="1193"/>
        <v>0</v>
      </c>
      <c r="AH1382" s="78" t="b">
        <f t="shared" si="1194"/>
        <v>0</v>
      </c>
      <c r="AI1382" s="78" t="b">
        <f t="shared" si="1195"/>
        <v>0</v>
      </c>
      <c r="AJ1382" s="78" t="b">
        <f t="shared" si="1196"/>
        <v>0</v>
      </c>
      <c r="AK1382" s="78" t="b">
        <f t="shared" si="1197"/>
        <v>0</v>
      </c>
      <c r="AL1382" s="78" t="b">
        <f t="shared" si="1198"/>
        <v>0</v>
      </c>
      <c r="AM1382" s="78" t="b">
        <f t="shared" si="1199"/>
        <v>0</v>
      </c>
      <c r="AN1382" s="78" t="b">
        <f t="shared" si="1200"/>
        <v>0</v>
      </c>
      <c r="AO1382" s="78" t="b">
        <f t="shared" si="1201"/>
        <v>0</v>
      </c>
    </row>
    <row r="1383" spans="7:41" x14ac:dyDescent="0.35">
      <c r="G1383" s="77">
        <f t="shared" si="1171"/>
        <v>0</v>
      </c>
      <c r="H1383" s="78">
        <f t="shared" si="1172"/>
        <v>0</v>
      </c>
      <c r="I1383" s="77">
        <f t="shared" si="1173"/>
        <v>0</v>
      </c>
      <c r="J1383" s="78">
        <f t="shared" si="1174"/>
        <v>0</v>
      </c>
      <c r="K1383" s="78" t="str">
        <f t="shared" si="1175"/>
        <v>1900-01-00 00:0:00</v>
      </c>
      <c r="L1383" s="78" t="str">
        <f t="shared" si="1176"/>
        <v>1900-01-00 00:0:00</v>
      </c>
      <c r="M1383" s="79">
        <f t="shared" si="1177"/>
        <v>0</v>
      </c>
      <c r="N1383">
        <f t="shared" si="1202"/>
        <v>1</v>
      </c>
      <c r="O1383" t="str">
        <f>IFERROR(_xlfn.XLOOKUP(A1383,HC!A:A,HC!C:C),"")</f>
        <v>Workforce</v>
      </c>
      <c r="R1383" s="78" t="b">
        <f t="shared" si="1178"/>
        <v>0</v>
      </c>
      <c r="S1383" s="78" t="b">
        <f t="shared" si="1179"/>
        <v>0</v>
      </c>
      <c r="T1383" s="78" t="b">
        <f t="shared" si="1180"/>
        <v>0</v>
      </c>
      <c r="U1383" s="78" t="b">
        <f t="shared" si="1181"/>
        <v>0</v>
      </c>
      <c r="V1383" s="78" t="b">
        <f t="shared" si="1182"/>
        <v>0</v>
      </c>
      <c r="W1383" s="78" t="b">
        <f t="shared" si="1183"/>
        <v>0</v>
      </c>
      <c r="X1383" s="78" t="b">
        <f t="shared" si="1184"/>
        <v>0</v>
      </c>
      <c r="Y1383" s="78" t="b">
        <f t="shared" si="1185"/>
        <v>0</v>
      </c>
      <c r="Z1383" s="78" t="b">
        <f t="shared" si="1186"/>
        <v>0</v>
      </c>
      <c r="AA1383" s="78" t="b">
        <f t="shared" si="1187"/>
        <v>0</v>
      </c>
      <c r="AB1383" s="78" t="b">
        <f t="shared" si="1188"/>
        <v>0</v>
      </c>
      <c r="AC1383" s="78" t="b">
        <f t="shared" si="1189"/>
        <v>0</v>
      </c>
      <c r="AD1383" s="78" t="b">
        <f t="shared" si="1190"/>
        <v>0</v>
      </c>
      <c r="AE1383" s="78" t="b">
        <f t="shared" si="1191"/>
        <v>0</v>
      </c>
      <c r="AF1383" s="78" t="b">
        <f t="shared" si="1192"/>
        <v>0</v>
      </c>
      <c r="AG1383" s="78" t="b">
        <f t="shared" si="1193"/>
        <v>0</v>
      </c>
      <c r="AH1383" s="78" t="b">
        <f t="shared" si="1194"/>
        <v>0</v>
      </c>
      <c r="AI1383" s="78" t="b">
        <f t="shared" si="1195"/>
        <v>0</v>
      </c>
      <c r="AJ1383" s="78" t="b">
        <f t="shared" si="1196"/>
        <v>0</v>
      </c>
      <c r="AK1383" s="78" t="b">
        <f t="shared" si="1197"/>
        <v>0</v>
      </c>
      <c r="AL1383" s="78" t="b">
        <f t="shared" si="1198"/>
        <v>0</v>
      </c>
      <c r="AM1383" s="78" t="b">
        <f t="shared" si="1199"/>
        <v>0</v>
      </c>
      <c r="AN1383" s="78" t="b">
        <f t="shared" si="1200"/>
        <v>0</v>
      </c>
      <c r="AO1383" s="78" t="b">
        <f t="shared" si="1201"/>
        <v>0</v>
      </c>
    </row>
    <row r="1384" spans="7:41" x14ac:dyDescent="0.35">
      <c r="G1384" s="77">
        <f t="shared" si="1171"/>
        <v>0</v>
      </c>
      <c r="H1384" s="78">
        <f t="shared" si="1172"/>
        <v>0</v>
      </c>
      <c r="I1384" s="77">
        <f t="shared" si="1173"/>
        <v>0</v>
      </c>
      <c r="J1384" s="78">
        <f t="shared" si="1174"/>
        <v>0</v>
      </c>
      <c r="K1384" s="78" t="str">
        <f t="shared" si="1175"/>
        <v>1900-01-00 00:0:00</v>
      </c>
      <c r="L1384" s="78" t="str">
        <f t="shared" si="1176"/>
        <v>1900-01-00 00:0:00</v>
      </c>
      <c r="M1384" s="79">
        <f t="shared" si="1177"/>
        <v>0</v>
      </c>
      <c r="N1384">
        <f t="shared" si="1202"/>
        <v>1</v>
      </c>
      <c r="O1384" t="str">
        <f>IFERROR(_xlfn.XLOOKUP(A1384,HC!A:A,HC!C:C),"")</f>
        <v>Workforce</v>
      </c>
      <c r="R1384" s="78" t="b">
        <f t="shared" si="1178"/>
        <v>0</v>
      </c>
      <c r="S1384" s="78" t="b">
        <f t="shared" si="1179"/>
        <v>0</v>
      </c>
      <c r="T1384" s="78" t="b">
        <f t="shared" si="1180"/>
        <v>0</v>
      </c>
      <c r="U1384" s="78" t="b">
        <f t="shared" si="1181"/>
        <v>0</v>
      </c>
      <c r="V1384" s="78" t="b">
        <f t="shared" si="1182"/>
        <v>0</v>
      </c>
      <c r="W1384" s="78" t="b">
        <f t="shared" si="1183"/>
        <v>0</v>
      </c>
      <c r="X1384" s="78" t="b">
        <f t="shared" si="1184"/>
        <v>0</v>
      </c>
      <c r="Y1384" s="78" t="b">
        <f t="shared" si="1185"/>
        <v>0</v>
      </c>
      <c r="Z1384" s="78" t="b">
        <f t="shared" si="1186"/>
        <v>0</v>
      </c>
      <c r="AA1384" s="78" t="b">
        <f t="shared" si="1187"/>
        <v>0</v>
      </c>
      <c r="AB1384" s="78" t="b">
        <f t="shared" si="1188"/>
        <v>0</v>
      </c>
      <c r="AC1384" s="78" t="b">
        <f t="shared" si="1189"/>
        <v>0</v>
      </c>
      <c r="AD1384" s="78" t="b">
        <f t="shared" si="1190"/>
        <v>0</v>
      </c>
      <c r="AE1384" s="78" t="b">
        <f t="shared" si="1191"/>
        <v>0</v>
      </c>
      <c r="AF1384" s="78" t="b">
        <f t="shared" si="1192"/>
        <v>0</v>
      </c>
      <c r="AG1384" s="78" t="b">
        <f t="shared" si="1193"/>
        <v>0</v>
      </c>
      <c r="AH1384" s="78" t="b">
        <f t="shared" si="1194"/>
        <v>0</v>
      </c>
      <c r="AI1384" s="78" t="b">
        <f t="shared" si="1195"/>
        <v>0</v>
      </c>
      <c r="AJ1384" s="78" t="b">
        <f t="shared" si="1196"/>
        <v>0</v>
      </c>
      <c r="AK1384" s="78" t="b">
        <f t="shared" si="1197"/>
        <v>0</v>
      </c>
      <c r="AL1384" s="78" t="b">
        <f t="shared" si="1198"/>
        <v>0</v>
      </c>
      <c r="AM1384" s="78" t="b">
        <f t="shared" si="1199"/>
        <v>0</v>
      </c>
      <c r="AN1384" s="78" t="b">
        <f t="shared" si="1200"/>
        <v>0</v>
      </c>
      <c r="AO1384" s="78" t="b">
        <f t="shared" si="1201"/>
        <v>0</v>
      </c>
    </row>
    <row r="1385" spans="7:41" x14ac:dyDescent="0.35">
      <c r="G1385" s="77">
        <f t="shared" si="1171"/>
        <v>0</v>
      </c>
      <c r="H1385" s="78">
        <f t="shared" si="1172"/>
        <v>0</v>
      </c>
      <c r="I1385" s="77">
        <f t="shared" si="1173"/>
        <v>0</v>
      </c>
      <c r="J1385" s="78">
        <f t="shared" si="1174"/>
        <v>0</v>
      </c>
      <c r="K1385" s="78" t="str">
        <f t="shared" si="1175"/>
        <v>1900-01-00 00:0:00</v>
      </c>
      <c r="L1385" s="78" t="str">
        <f t="shared" si="1176"/>
        <v>1900-01-00 00:0:00</v>
      </c>
      <c r="M1385" s="79">
        <f t="shared" si="1177"/>
        <v>0</v>
      </c>
      <c r="N1385">
        <f t="shared" si="1202"/>
        <v>1</v>
      </c>
      <c r="O1385" t="str">
        <f>IFERROR(_xlfn.XLOOKUP(A1385,HC!A:A,HC!C:C),"")</f>
        <v>Workforce</v>
      </c>
      <c r="R1385" s="78" t="b">
        <f t="shared" si="1178"/>
        <v>0</v>
      </c>
      <c r="S1385" s="78" t="b">
        <f t="shared" si="1179"/>
        <v>0</v>
      </c>
      <c r="T1385" s="78" t="b">
        <f t="shared" si="1180"/>
        <v>0</v>
      </c>
      <c r="U1385" s="78" t="b">
        <f t="shared" si="1181"/>
        <v>0</v>
      </c>
      <c r="V1385" s="78" t="b">
        <f t="shared" si="1182"/>
        <v>0</v>
      </c>
      <c r="W1385" s="78" t="b">
        <f t="shared" si="1183"/>
        <v>0</v>
      </c>
      <c r="X1385" s="78" t="b">
        <f t="shared" si="1184"/>
        <v>0</v>
      </c>
      <c r="Y1385" s="78" t="b">
        <f t="shared" si="1185"/>
        <v>0</v>
      </c>
      <c r="Z1385" s="78" t="b">
        <f t="shared" si="1186"/>
        <v>0</v>
      </c>
      <c r="AA1385" s="78" t="b">
        <f t="shared" si="1187"/>
        <v>0</v>
      </c>
      <c r="AB1385" s="78" t="b">
        <f t="shared" si="1188"/>
        <v>0</v>
      </c>
      <c r="AC1385" s="78" t="b">
        <f t="shared" si="1189"/>
        <v>0</v>
      </c>
      <c r="AD1385" s="78" t="b">
        <f t="shared" si="1190"/>
        <v>0</v>
      </c>
      <c r="AE1385" s="78" t="b">
        <f t="shared" si="1191"/>
        <v>0</v>
      </c>
      <c r="AF1385" s="78" t="b">
        <f t="shared" si="1192"/>
        <v>0</v>
      </c>
      <c r="AG1385" s="78" t="b">
        <f t="shared" si="1193"/>
        <v>0</v>
      </c>
      <c r="AH1385" s="78" t="b">
        <f t="shared" si="1194"/>
        <v>0</v>
      </c>
      <c r="AI1385" s="78" t="b">
        <f t="shared" si="1195"/>
        <v>0</v>
      </c>
      <c r="AJ1385" s="78" t="b">
        <f t="shared" si="1196"/>
        <v>0</v>
      </c>
      <c r="AK1385" s="78" t="b">
        <f t="shared" si="1197"/>
        <v>0</v>
      </c>
      <c r="AL1385" s="78" t="b">
        <f t="shared" si="1198"/>
        <v>0</v>
      </c>
      <c r="AM1385" s="78" t="b">
        <f t="shared" si="1199"/>
        <v>0</v>
      </c>
      <c r="AN1385" s="78" t="b">
        <f t="shared" si="1200"/>
        <v>0</v>
      </c>
      <c r="AO1385" s="78" t="b">
        <f t="shared" si="1201"/>
        <v>0</v>
      </c>
    </row>
    <row r="1386" spans="7:41" x14ac:dyDescent="0.35">
      <c r="G1386" s="77">
        <f t="shared" si="1171"/>
        <v>0</v>
      </c>
      <c r="H1386" s="78">
        <f t="shared" si="1172"/>
        <v>0</v>
      </c>
      <c r="I1386" s="77">
        <f t="shared" si="1173"/>
        <v>0</v>
      </c>
      <c r="J1386" s="78">
        <f t="shared" si="1174"/>
        <v>0</v>
      </c>
      <c r="K1386" s="78" t="str">
        <f t="shared" si="1175"/>
        <v>1900-01-00 00:0:00</v>
      </c>
      <c r="L1386" s="78" t="str">
        <f t="shared" si="1176"/>
        <v>1900-01-00 00:0:00</v>
      </c>
      <c r="M1386" s="79">
        <f t="shared" si="1177"/>
        <v>0</v>
      </c>
      <c r="N1386">
        <f t="shared" si="1202"/>
        <v>1</v>
      </c>
      <c r="O1386" t="str">
        <f>IFERROR(_xlfn.XLOOKUP(A1386,HC!A:A,HC!C:C),"")</f>
        <v>Workforce</v>
      </c>
      <c r="R1386" s="78" t="b">
        <f t="shared" si="1178"/>
        <v>0</v>
      </c>
      <c r="S1386" s="78" t="b">
        <f t="shared" si="1179"/>
        <v>0</v>
      </c>
      <c r="T1386" s="78" t="b">
        <f t="shared" si="1180"/>
        <v>0</v>
      </c>
      <c r="U1386" s="78" t="b">
        <f t="shared" si="1181"/>
        <v>0</v>
      </c>
      <c r="V1386" s="78" t="b">
        <f t="shared" si="1182"/>
        <v>0</v>
      </c>
      <c r="W1386" s="78" t="b">
        <f t="shared" si="1183"/>
        <v>0</v>
      </c>
      <c r="X1386" s="78" t="b">
        <f t="shared" si="1184"/>
        <v>0</v>
      </c>
      <c r="Y1386" s="78" t="b">
        <f t="shared" si="1185"/>
        <v>0</v>
      </c>
      <c r="Z1386" s="78" t="b">
        <f t="shared" si="1186"/>
        <v>0</v>
      </c>
      <c r="AA1386" s="78" t="b">
        <f t="shared" si="1187"/>
        <v>0</v>
      </c>
      <c r="AB1386" s="78" t="b">
        <f t="shared" si="1188"/>
        <v>0</v>
      </c>
      <c r="AC1386" s="78" t="b">
        <f t="shared" si="1189"/>
        <v>0</v>
      </c>
      <c r="AD1386" s="78" t="b">
        <f t="shared" si="1190"/>
        <v>0</v>
      </c>
      <c r="AE1386" s="78" t="b">
        <f t="shared" si="1191"/>
        <v>0</v>
      </c>
      <c r="AF1386" s="78" t="b">
        <f t="shared" si="1192"/>
        <v>0</v>
      </c>
      <c r="AG1386" s="78" t="b">
        <f t="shared" si="1193"/>
        <v>0</v>
      </c>
      <c r="AH1386" s="78" t="b">
        <f t="shared" si="1194"/>
        <v>0</v>
      </c>
      <c r="AI1386" s="78" t="b">
        <f t="shared" si="1195"/>
        <v>0</v>
      </c>
      <c r="AJ1386" s="78" t="b">
        <f t="shared" si="1196"/>
        <v>0</v>
      </c>
      <c r="AK1386" s="78" t="b">
        <f t="shared" si="1197"/>
        <v>0</v>
      </c>
      <c r="AL1386" s="78" t="b">
        <f t="shared" si="1198"/>
        <v>0</v>
      </c>
      <c r="AM1386" s="78" t="b">
        <f t="shared" si="1199"/>
        <v>0</v>
      </c>
      <c r="AN1386" s="78" t="b">
        <f t="shared" si="1200"/>
        <v>0</v>
      </c>
      <c r="AO1386" s="78" t="b">
        <f t="shared" si="1201"/>
        <v>0</v>
      </c>
    </row>
    <row r="1387" spans="7:41" x14ac:dyDescent="0.35">
      <c r="G1387" s="77">
        <f t="shared" si="1171"/>
        <v>0</v>
      </c>
      <c r="H1387" s="78">
        <f t="shared" si="1172"/>
        <v>0</v>
      </c>
      <c r="I1387" s="77">
        <f t="shared" si="1173"/>
        <v>0</v>
      </c>
      <c r="J1387" s="78">
        <f t="shared" si="1174"/>
        <v>0</v>
      </c>
      <c r="K1387" s="78" t="str">
        <f t="shared" si="1175"/>
        <v>1900-01-00 00:0:00</v>
      </c>
      <c r="L1387" s="78" t="str">
        <f t="shared" si="1176"/>
        <v>1900-01-00 00:0:00</v>
      </c>
      <c r="M1387" s="79">
        <f t="shared" si="1177"/>
        <v>0</v>
      </c>
      <c r="N1387">
        <f t="shared" si="1202"/>
        <v>1</v>
      </c>
      <c r="O1387" t="str">
        <f>IFERROR(_xlfn.XLOOKUP(A1387,HC!A:A,HC!C:C),"")</f>
        <v>Workforce</v>
      </c>
      <c r="R1387" s="78" t="b">
        <f t="shared" si="1178"/>
        <v>0</v>
      </c>
      <c r="S1387" s="78" t="b">
        <f t="shared" si="1179"/>
        <v>0</v>
      </c>
      <c r="T1387" s="78" t="b">
        <f t="shared" si="1180"/>
        <v>0</v>
      </c>
      <c r="U1387" s="78" t="b">
        <f t="shared" si="1181"/>
        <v>0</v>
      </c>
      <c r="V1387" s="78" t="b">
        <f t="shared" si="1182"/>
        <v>0</v>
      </c>
      <c r="W1387" s="78" t="b">
        <f t="shared" si="1183"/>
        <v>0</v>
      </c>
      <c r="X1387" s="78" t="b">
        <f t="shared" si="1184"/>
        <v>0</v>
      </c>
      <c r="Y1387" s="78" t="b">
        <f t="shared" si="1185"/>
        <v>0</v>
      </c>
      <c r="Z1387" s="78" t="b">
        <f t="shared" si="1186"/>
        <v>0</v>
      </c>
      <c r="AA1387" s="78" t="b">
        <f t="shared" si="1187"/>
        <v>0</v>
      </c>
      <c r="AB1387" s="78" t="b">
        <f t="shared" si="1188"/>
        <v>0</v>
      </c>
      <c r="AC1387" s="78" t="b">
        <f t="shared" si="1189"/>
        <v>0</v>
      </c>
      <c r="AD1387" s="78" t="b">
        <f t="shared" si="1190"/>
        <v>0</v>
      </c>
      <c r="AE1387" s="78" t="b">
        <f t="shared" si="1191"/>
        <v>0</v>
      </c>
      <c r="AF1387" s="78" t="b">
        <f t="shared" si="1192"/>
        <v>0</v>
      </c>
      <c r="AG1387" s="78" t="b">
        <f t="shared" si="1193"/>
        <v>0</v>
      </c>
      <c r="AH1387" s="78" t="b">
        <f t="shared" si="1194"/>
        <v>0</v>
      </c>
      <c r="AI1387" s="78" t="b">
        <f t="shared" si="1195"/>
        <v>0</v>
      </c>
      <c r="AJ1387" s="78" t="b">
        <f t="shared" si="1196"/>
        <v>0</v>
      </c>
      <c r="AK1387" s="78" t="b">
        <f t="shared" si="1197"/>
        <v>0</v>
      </c>
      <c r="AL1387" s="78" t="b">
        <f t="shared" si="1198"/>
        <v>0</v>
      </c>
      <c r="AM1387" s="78" t="b">
        <f t="shared" si="1199"/>
        <v>0</v>
      </c>
      <c r="AN1387" s="78" t="b">
        <f t="shared" si="1200"/>
        <v>0</v>
      </c>
      <c r="AO1387" s="78" t="b">
        <f t="shared" si="1201"/>
        <v>0</v>
      </c>
    </row>
    <row r="1388" spans="7:41" x14ac:dyDescent="0.35">
      <c r="G1388" s="77">
        <f t="shared" si="1171"/>
        <v>0</v>
      </c>
      <c r="H1388" s="78">
        <f t="shared" si="1172"/>
        <v>0</v>
      </c>
      <c r="I1388" s="77">
        <f t="shared" si="1173"/>
        <v>0</v>
      </c>
      <c r="J1388" s="78">
        <f t="shared" si="1174"/>
        <v>0</v>
      </c>
      <c r="K1388" s="78" t="str">
        <f t="shared" si="1175"/>
        <v>1900-01-00 00:0:00</v>
      </c>
      <c r="L1388" s="78" t="str">
        <f t="shared" si="1176"/>
        <v>1900-01-00 00:0:00</v>
      </c>
      <c r="M1388" s="79">
        <f t="shared" si="1177"/>
        <v>0</v>
      </c>
      <c r="N1388">
        <f t="shared" si="1202"/>
        <v>1</v>
      </c>
      <c r="O1388" t="str">
        <f>IFERROR(_xlfn.XLOOKUP(A1388,HC!A:A,HC!C:C),"")</f>
        <v>Workforce</v>
      </c>
      <c r="R1388" s="78" t="b">
        <f t="shared" si="1178"/>
        <v>0</v>
      </c>
      <c r="S1388" s="78" t="b">
        <f t="shared" si="1179"/>
        <v>0</v>
      </c>
      <c r="T1388" s="78" t="b">
        <f t="shared" si="1180"/>
        <v>0</v>
      </c>
      <c r="U1388" s="78" t="b">
        <f t="shared" si="1181"/>
        <v>0</v>
      </c>
      <c r="V1388" s="78" t="b">
        <f t="shared" si="1182"/>
        <v>0</v>
      </c>
      <c r="W1388" s="78" t="b">
        <f t="shared" si="1183"/>
        <v>0</v>
      </c>
      <c r="X1388" s="78" t="b">
        <f t="shared" si="1184"/>
        <v>0</v>
      </c>
      <c r="Y1388" s="78" t="b">
        <f t="shared" si="1185"/>
        <v>0</v>
      </c>
      <c r="Z1388" s="78" t="b">
        <f t="shared" si="1186"/>
        <v>0</v>
      </c>
      <c r="AA1388" s="78" t="b">
        <f t="shared" si="1187"/>
        <v>0</v>
      </c>
      <c r="AB1388" s="78" t="b">
        <f t="shared" si="1188"/>
        <v>0</v>
      </c>
      <c r="AC1388" s="78" t="b">
        <f t="shared" si="1189"/>
        <v>0</v>
      </c>
      <c r="AD1388" s="78" t="b">
        <f t="shared" si="1190"/>
        <v>0</v>
      </c>
      <c r="AE1388" s="78" t="b">
        <f t="shared" si="1191"/>
        <v>0</v>
      </c>
      <c r="AF1388" s="78" t="b">
        <f t="shared" si="1192"/>
        <v>0</v>
      </c>
      <c r="AG1388" s="78" t="b">
        <f t="shared" si="1193"/>
        <v>0</v>
      </c>
      <c r="AH1388" s="78" t="b">
        <f t="shared" si="1194"/>
        <v>0</v>
      </c>
      <c r="AI1388" s="78" t="b">
        <f t="shared" si="1195"/>
        <v>0</v>
      </c>
      <c r="AJ1388" s="78" t="b">
        <f t="shared" si="1196"/>
        <v>0</v>
      </c>
      <c r="AK1388" s="78" t="b">
        <f t="shared" si="1197"/>
        <v>0</v>
      </c>
      <c r="AL1388" s="78" t="b">
        <f t="shared" si="1198"/>
        <v>0</v>
      </c>
      <c r="AM1388" s="78" t="b">
        <f t="shared" si="1199"/>
        <v>0</v>
      </c>
      <c r="AN1388" s="78" t="b">
        <f t="shared" si="1200"/>
        <v>0</v>
      </c>
      <c r="AO1388" s="78" t="b">
        <f t="shared" si="1201"/>
        <v>0</v>
      </c>
    </row>
    <row r="1389" spans="7:41" x14ac:dyDescent="0.35">
      <c r="G1389" s="77">
        <f t="shared" si="1171"/>
        <v>0</v>
      </c>
      <c r="H1389" s="78">
        <f t="shared" si="1172"/>
        <v>0</v>
      </c>
      <c r="I1389" s="77">
        <f t="shared" si="1173"/>
        <v>0</v>
      </c>
      <c r="J1389" s="78">
        <f t="shared" si="1174"/>
        <v>0</v>
      </c>
      <c r="K1389" s="78" t="str">
        <f t="shared" si="1175"/>
        <v>1900-01-00 00:0:00</v>
      </c>
      <c r="L1389" s="78" t="str">
        <f t="shared" si="1176"/>
        <v>1900-01-00 00:0:00</v>
      </c>
      <c r="M1389" s="79">
        <f t="shared" si="1177"/>
        <v>0</v>
      </c>
      <c r="N1389">
        <f t="shared" si="1202"/>
        <v>1</v>
      </c>
      <c r="O1389" t="str">
        <f>IFERROR(_xlfn.XLOOKUP(A1389,HC!A:A,HC!C:C),"")</f>
        <v>Workforce</v>
      </c>
      <c r="R1389" s="78" t="b">
        <f t="shared" si="1178"/>
        <v>0</v>
      </c>
      <c r="S1389" s="78" t="b">
        <f t="shared" si="1179"/>
        <v>0</v>
      </c>
      <c r="T1389" s="78" t="b">
        <f t="shared" si="1180"/>
        <v>0</v>
      </c>
      <c r="U1389" s="78" t="b">
        <f t="shared" si="1181"/>
        <v>0</v>
      </c>
      <c r="V1389" s="78" t="b">
        <f t="shared" si="1182"/>
        <v>0</v>
      </c>
      <c r="W1389" s="78" t="b">
        <f t="shared" si="1183"/>
        <v>0</v>
      </c>
      <c r="X1389" s="78" t="b">
        <f t="shared" si="1184"/>
        <v>0</v>
      </c>
      <c r="Y1389" s="78" t="b">
        <f t="shared" si="1185"/>
        <v>0</v>
      </c>
      <c r="Z1389" s="78" t="b">
        <f t="shared" si="1186"/>
        <v>0</v>
      </c>
      <c r="AA1389" s="78" t="b">
        <f t="shared" si="1187"/>
        <v>0</v>
      </c>
      <c r="AB1389" s="78" t="b">
        <f t="shared" si="1188"/>
        <v>0</v>
      </c>
      <c r="AC1389" s="78" t="b">
        <f t="shared" si="1189"/>
        <v>0</v>
      </c>
      <c r="AD1389" s="78" t="b">
        <f t="shared" si="1190"/>
        <v>0</v>
      </c>
      <c r="AE1389" s="78" t="b">
        <f t="shared" si="1191"/>
        <v>0</v>
      </c>
      <c r="AF1389" s="78" t="b">
        <f t="shared" si="1192"/>
        <v>0</v>
      </c>
      <c r="AG1389" s="78" t="b">
        <f t="shared" si="1193"/>
        <v>0</v>
      </c>
      <c r="AH1389" s="78" t="b">
        <f t="shared" si="1194"/>
        <v>0</v>
      </c>
      <c r="AI1389" s="78" t="b">
        <f t="shared" si="1195"/>
        <v>0</v>
      </c>
      <c r="AJ1389" s="78" t="b">
        <f t="shared" si="1196"/>
        <v>0</v>
      </c>
      <c r="AK1389" s="78" t="b">
        <f t="shared" si="1197"/>
        <v>0</v>
      </c>
      <c r="AL1389" s="78" t="b">
        <f t="shared" si="1198"/>
        <v>0</v>
      </c>
      <c r="AM1389" s="78" t="b">
        <f t="shared" si="1199"/>
        <v>0</v>
      </c>
      <c r="AN1389" s="78" t="b">
        <f t="shared" si="1200"/>
        <v>0</v>
      </c>
      <c r="AO1389" s="78" t="b">
        <f t="shared" si="1201"/>
        <v>0</v>
      </c>
    </row>
    <row r="1390" spans="7:41" x14ac:dyDescent="0.35">
      <c r="G1390" s="77">
        <f t="shared" si="1171"/>
        <v>0</v>
      </c>
      <c r="H1390" s="78">
        <f t="shared" si="1172"/>
        <v>0</v>
      </c>
      <c r="I1390" s="77">
        <f t="shared" si="1173"/>
        <v>0</v>
      </c>
      <c r="J1390" s="78">
        <f t="shared" si="1174"/>
        <v>0</v>
      </c>
      <c r="K1390" s="78" t="str">
        <f t="shared" si="1175"/>
        <v>1900-01-00 00:0:00</v>
      </c>
      <c r="L1390" s="78" t="str">
        <f t="shared" si="1176"/>
        <v>1900-01-00 00:0:00</v>
      </c>
      <c r="M1390" s="79">
        <f t="shared" si="1177"/>
        <v>0</v>
      </c>
      <c r="N1390">
        <f t="shared" si="1202"/>
        <v>1</v>
      </c>
      <c r="O1390" t="str">
        <f>IFERROR(_xlfn.XLOOKUP(A1390,HC!A:A,HC!C:C),"")</f>
        <v>Workforce</v>
      </c>
      <c r="R1390" s="78" t="b">
        <f t="shared" si="1178"/>
        <v>0</v>
      </c>
      <c r="S1390" s="78" t="b">
        <f t="shared" si="1179"/>
        <v>0</v>
      </c>
      <c r="T1390" s="78" t="b">
        <f t="shared" si="1180"/>
        <v>0</v>
      </c>
      <c r="U1390" s="78" t="b">
        <f t="shared" si="1181"/>
        <v>0</v>
      </c>
      <c r="V1390" s="78" t="b">
        <f t="shared" si="1182"/>
        <v>0</v>
      </c>
      <c r="W1390" s="78" t="b">
        <f t="shared" si="1183"/>
        <v>0</v>
      </c>
      <c r="X1390" s="78" t="b">
        <f t="shared" si="1184"/>
        <v>0</v>
      </c>
      <c r="Y1390" s="78" t="b">
        <f t="shared" si="1185"/>
        <v>0</v>
      </c>
      <c r="Z1390" s="78" t="b">
        <f t="shared" si="1186"/>
        <v>0</v>
      </c>
      <c r="AA1390" s="78" t="b">
        <f t="shared" si="1187"/>
        <v>0</v>
      </c>
      <c r="AB1390" s="78" t="b">
        <f t="shared" si="1188"/>
        <v>0</v>
      </c>
      <c r="AC1390" s="78" t="b">
        <f t="shared" si="1189"/>
        <v>0</v>
      </c>
      <c r="AD1390" s="78" t="b">
        <f t="shared" si="1190"/>
        <v>0</v>
      </c>
      <c r="AE1390" s="78" t="b">
        <f t="shared" si="1191"/>
        <v>0</v>
      </c>
      <c r="AF1390" s="78" t="b">
        <f t="shared" si="1192"/>
        <v>0</v>
      </c>
      <c r="AG1390" s="78" t="b">
        <f t="shared" si="1193"/>
        <v>0</v>
      </c>
      <c r="AH1390" s="78" t="b">
        <f t="shared" si="1194"/>
        <v>0</v>
      </c>
      <c r="AI1390" s="78" t="b">
        <f t="shared" si="1195"/>
        <v>0</v>
      </c>
      <c r="AJ1390" s="78" t="b">
        <f t="shared" si="1196"/>
        <v>0</v>
      </c>
      <c r="AK1390" s="78" t="b">
        <f t="shared" si="1197"/>
        <v>0</v>
      </c>
      <c r="AL1390" s="78" t="b">
        <f t="shared" si="1198"/>
        <v>0</v>
      </c>
      <c r="AM1390" s="78" t="b">
        <f t="shared" si="1199"/>
        <v>0</v>
      </c>
      <c r="AN1390" s="78" t="b">
        <f t="shared" si="1200"/>
        <v>0</v>
      </c>
      <c r="AO1390" s="78" t="b">
        <f t="shared" si="1201"/>
        <v>0</v>
      </c>
    </row>
    <row r="1391" spans="7:41" x14ac:dyDescent="0.35">
      <c r="G1391" s="77">
        <f t="shared" si="1171"/>
        <v>0</v>
      </c>
      <c r="H1391" s="78">
        <f t="shared" si="1172"/>
        <v>0</v>
      </c>
      <c r="I1391" s="77">
        <f t="shared" si="1173"/>
        <v>0</v>
      </c>
      <c r="J1391" s="78">
        <f t="shared" si="1174"/>
        <v>0</v>
      </c>
      <c r="K1391" s="78" t="str">
        <f t="shared" si="1175"/>
        <v>1900-01-00 00:0:00</v>
      </c>
      <c r="L1391" s="78" t="str">
        <f t="shared" si="1176"/>
        <v>1900-01-00 00:0:00</v>
      </c>
      <c r="M1391" s="79">
        <f t="shared" si="1177"/>
        <v>0</v>
      </c>
      <c r="N1391">
        <f t="shared" si="1202"/>
        <v>1</v>
      </c>
      <c r="O1391" t="str">
        <f>IFERROR(_xlfn.XLOOKUP(A1391,HC!A:A,HC!C:C),"")</f>
        <v>Workforce</v>
      </c>
      <c r="R1391" s="78" t="b">
        <f t="shared" si="1178"/>
        <v>0</v>
      </c>
      <c r="S1391" s="78" t="b">
        <f t="shared" si="1179"/>
        <v>0</v>
      </c>
      <c r="T1391" s="78" t="b">
        <f t="shared" si="1180"/>
        <v>0</v>
      </c>
      <c r="U1391" s="78" t="b">
        <f t="shared" si="1181"/>
        <v>0</v>
      </c>
      <c r="V1391" s="78" t="b">
        <f t="shared" si="1182"/>
        <v>0</v>
      </c>
      <c r="W1391" s="78" t="b">
        <f t="shared" si="1183"/>
        <v>0</v>
      </c>
      <c r="X1391" s="78" t="b">
        <f t="shared" si="1184"/>
        <v>0</v>
      </c>
      <c r="Y1391" s="78" t="b">
        <f t="shared" si="1185"/>
        <v>0</v>
      </c>
      <c r="Z1391" s="78" t="b">
        <f t="shared" si="1186"/>
        <v>0</v>
      </c>
      <c r="AA1391" s="78" t="b">
        <f t="shared" si="1187"/>
        <v>0</v>
      </c>
      <c r="AB1391" s="78" t="b">
        <f t="shared" si="1188"/>
        <v>0</v>
      </c>
      <c r="AC1391" s="78" t="b">
        <f t="shared" si="1189"/>
        <v>0</v>
      </c>
      <c r="AD1391" s="78" t="b">
        <f t="shared" si="1190"/>
        <v>0</v>
      </c>
      <c r="AE1391" s="78" t="b">
        <f t="shared" si="1191"/>
        <v>0</v>
      </c>
      <c r="AF1391" s="78" t="b">
        <f t="shared" si="1192"/>
        <v>0</v>
      </c>
      <c r="AG1391" s="78" t="b">
        <f t="shared" si="1193"/>
        <v>0</v>
      </c>
      <c r="AH1391" s="78" t="b">
        <f t="shared" si="1194"/>
        <v>0</v>
      </c>
      <c r="AI1391" s="78" t="b">
        <f t="shared" si="1195"/>
        <v>0</v>
      </c>
      <c r="AJ1391" s="78" t="b">
        <f t="shared" si="1196"/>
        <v>0</v>
      </c>
      <c r="AK1391" s="78" t="b">
        <f t="shared" si="1197"/>
        <v>0</v>
      </c>
      <c r="AL1391" s="78" t="b">
        <f t="shared" si="1198"/>
        <v>0</v>
      </c>
      <c r="AM1391" s="78" t="b">
        <f t="shared" si="1199"/>
        <v>0</v>
      </c>
      <c r="AN1391" s="78" t="b">
        <f t="shared" si="1200"/>
        <v>0</v>
      </c>
      <c r="AO1391" s="78" t="b">
        <f t="shared" si="1201"/>
        <v>0</v>
      </c>
    </row>
    <row r="1392" spans="7:41" x14ac:dyDescent="0.35">
      <c r="G1392" s="77">
        <f t="shared" si="1171"/>
        <v>0</v>
      </c>
      <c r="H1392" s="78">
        <f t="shared" si="1172"/>
        <v>0</v>
      </c>
      <c r="I1392" s="77">
        <f t="shared" si="1173"/>
        <v>0</v>
      </c>
      <c r="J1392" s="78">
        <f t="shared" si="1174"/>
        <v>0</v>
      </c>
      <c r="K1392" s="78" t="str">
        <f t="shared" si="1175"/>
        <v>1900-01-00 00:0:00</v>
      </c>
      <c r="L1392" s="78" t="str">
        <f t="shared" si="1176"/>
        <v>1900-01-00 00:0:00</v>
      </c>
      <c r="M1392" s="79">
        <f t="shared" si="1177"/>
        <v>0</v>
      </c>
      <c r="N1392">
        <f t="shared" si="1202"/>
        <v>1</v>
      </c>
      <c r="O1392" t="str">
        <f>IFERROR(_xlfn.XLOOKUP(A1392,HC!A:A,HC!C:C),"")</f>
        <v>Workforce</v>
      </c>
      <c r="R1392" s="78" t="b">
        <f t="shared" si="1178"/>
        <v>0</v>
      </c>
      <c r="S1392" s="78" t="b">
        <f t="shared" si="1179"/>
        <v>0</v>
      </c>
      <c r="T1392" s="78" t="b">
        <f t="shared" si="1180"/>
        <v>0</v>
      </c>
      <c r="U1392" s="78" t="b">
        <f t="shared" si="1181"/>
        <v>0</v>
      </c>
      <c r="V1392" s="78" t="b">
        <f t="shared" si="1182"/>
        <v>0</v>
      </c>
      <c r="W1392" s="78" t="b">
        <f t="shared" si="1183"/>
        <v>0</v>
      </c>
      <c r="X1392" s="78" t="b">
        <f t="shared" si="1184"/>
        <v>0</v>
      </c>
      <c r="Y1392" s="78" t="b">
        <f t="shared" si="1185"/>
        <v>0</v>
      </c>
      <c r="Z1392" s="78" t="b">
        <f t="shared" si="1186"/>
        <v>0</v>
      </c>
      <c r="AA1392" s="78" t="b">
        <f t="shared" si="1187"/>
        <v>0</v>
      </c>
      <c r="AB1392" s="78" t="b">
        <f t="shared" si="1188"/>
        <v>0</v>
      </c>
      <c r="AC1392" s="78" t="b">
        <f t="shared" si="1189"/>
        <v>0</v>
      </c>
      <c r="AD1392" s="78" t="b">
        <f t="shared" si="1190"/>
        <v>0</v>
      </c>
      <c r="AE1392" s="78" t="b">
        <f t="shared" si="1191"/>
        <v>0</v>
      </c>
      <c r="AF1392" s="78" t="b">
        <f t="shared" si="1192"/>
        <v>0</v>
      </c>
      <c r="AG1392" s="78" t="b">
        <f t="shared" si="1193"/>
        <v>0</v>
      </c>
      <c r="AH1392" s="78" t="b">
        <f t="shared" si="1194"/>
        <v>0</v>
      </c>
      <c r="AI1392" s="78" t="b">
        <f t="shared" si="1195"/>
        <v>0</v>
      </c>
      <c r="AJ1392" s="78" t="b">
        <f t="shared" si="1196"/>
        <v>0</v>
      </c>
      <c r="AK1392" s="78" t="b">
        <f t="shared" si="1197"/>
        <v>0</v>
      </c>
      <c r="AL1392" s="78" t="b">
        <f t="shared" si="1198"/>
        <v>0</v>
      </c>
      <c r="AM1392" s="78" t="b">
        <f t="shared" si="1199"/>
        <v>0</v>
      </c>
      <c r="AN1392" s="78" t="b">
        <f t="shared" si="1200"/>
        <v>0</v>
      </c>
      <c r="AO1392" s="78" t="b">
        <f t="shared" si="1201"/>
        <v>0</v>
      </c>
    </row>
    <row r="1393" spans="7:41" x14ac:dyDescent="0.35">
      <c r="G1393" s="77">
        <f t="shared" si="1171"/>
        <v>0</v>
      </c>
      <c r="H1393" s="78">
        <f t="shared" si="1172"/>
        <v>0</v>
      </c>
      <c r="I1393" s="77">
        <f t="shared" si="1173"/>
        <v>0</v>
      </c>
      <c r="J1393" s="78">
        <f t="shared" si="1174"/>
        <v>0</v>
      </c>
      <c r="K1393" s="78" t="str">
        <f t="shared" si="1175"/>
        <v>1900-01-00 00:0:00</v>
      </c>
      <c r="L1393" s="78" t="str">
        <f t="shared" si="1176"/>
        <v>1900-01-00 00:0:00</v>
      </c>
      <c r="M1393" s="79">
        <f t="shared" si="1177"/>
        <v>0</v>
      </c>
      <c r="N1393">
        <f t="shared" si="1202"/>
        <v>1</v>
      </c>
      <c r="O1393" t="str">
        <f>IFERROR(_xlfn.XLOOKUP(A1393,HC!A:A,HC!C:C),"")</f>
        <v>Workforce</v>
      </c>
      <c r="R1393" s="78" t="b">
        <f t="shared" si="1178"/>
        <v>0</v>
      </c>
      <c r="S1393" s="78" t="b">
        <f t="shared" si="1179"/>
        <v>0</v>
      </c>
      <c r="T1393" s="78" t="b">
        <f t="shared" si="1180"/>
        <v>0</v>
      </c>
      <c r="U1393" s="78" t="b">
        <f t="shared" si="1181"/>
        <v>0</v>
      </c>
      <c r="V1393" s="78" t="b">
        <f t="shared" si="1182"/>
        <v>0</v>
      </c>
      <c r="W1393" s="78" t="b">
        <f t="shared" si="1183"/>
        <v>0</v>
      </c>
      <c r="X1393" s="78" t="b">
        <f t="shared" si="1184"/>
        <v>0</v>
      </c>
      <c r="Y1393" s="78" t="b">
        <f t="shared" si="1185"/>
        <v>0</v>
      </c>
      <c r="Z1393" s="78" t="b">
        <f t="shared" si="1186"/>
        <v>0</v>
      </c>
      <c r="AA1393" s="78" t="b">
        <f t="shared" si="1187"/>
        <v>0</v>
      </c>
      <c r="AB1393" s="78" t="b">
        <f t="shared" si="1188"/>
        <v>0</v>
      </c>
      <c r="AC1393" s="78" t="b">
        <f t="shared" si="1189"/>
        <v>0</v>
      </c>
      <c r="AD1393" s="78" t="b">
        <f t="shared" si="1190"/>
        <v>0</v>
      </c>
      <c r="AE1393" s="78" t="b">
        <f t="shared" si="1191"/>
        <v>0</v>
      </c>
      <c r="AF1393" s="78" t="b">
        <f t="shared" si="1192"/>
        <v>0</v>
      </c>
      <c r="AG1393" s="78" t="b">
        <f t="shared" si="1193"/>
        <v>0</v>
      </c>
      <c r="AH1393" s="78" t="b">
        <f t="shared" si="1194"/>
        <v>0</v>
      </c>
      <c r="AI1393" s="78" t="b">
        <f t="shared" si="1195"/>
        <v>0</v>
      </c>
      <c r="AJ1393" s="78" t="b">
        <f t="shared" si="1196"/>
        <v>0</v>
      </c>
      <c r="AK1393" s="78" t="b">
        <f t="shared" si="1197"/>
        <v>0</v>
      </c>
      <c r="AL1393" s="78" t="b">
        <f t="shared" si="1198"/>
        <v>0</v>
      </c>
      <c r="AM1393" s="78" t="b">
        <f t="shared" si="1199"/>
        <v>0</v>
      </c>
      <c r="AN1393" s="78" t="b">
        <f t="shared" si="1200"/>
        <v>0</v>
      </c>
      <c r="AO1393" s="78" t="b">
        <f t="shared" si="1201"/>
        <v>0</v>
      </c>
    </row>
    <row r="1394" spans="7:41" x14ac:dyDescent="0.35">
      <c r="G1394" s="77">
        <f t="shared" si="1171"/>
        <v>0</v>
      </c>
      <c r="H1394" s="78">
        <f t="shared" si="1172"/>
        <v>0</v>
      </c>
      <c r="I1394" s="77">
        <f t="shared" si="1173"/>
        <v>0</v>
      </c>
      <c r="J1394" s="78">
        <f t="shared" si="1174"/>
        <v>0</v>
      </c>
      <c r="K1394" s="78" t="str">
        <f t="shared" si="1175"/>
        <v>1900-01-00 00:0:00</v>
      </c>
      <c r="L1394" s="78" t="str">
        <f t="shared" si="1176"/>
        <v>1900-01-00 00:0:00</v>
      </c>
      <c r="M1394" s="79">
        <f t="shared" si="1177"/>
        <v>0</v>
      </c>
      <c r="N1394">
        <f t="shared" si="1202"/>
        <v>1</v>
      </c>
      <c r="O1394" t="str">
        <f>IFERROR(_xlfn.XLOOKUP(A1394,HC!A:A,HC!C:C),"")</f>
        <v>Workforce</v>
      </c>
      <c r="R1394" s="78" t="b">
        <f t="shared" si="1178"/>
        <v>0</v>
      </c>
      <c r="S1394" s="78" t="b">
        <f t="shared" si="1179"/>
        <v>0</v>
      </c>
      <c r="T1394" s="78" t="b">
        <f t="shared" si="1180"/>
        <v>0</v>
      </c>
      <c r="U1394" s="78" t="b">
        <f t="shared" si="1181"/>
        <v>0</v>
      </c>
      <c r="V1394" s="78" t="b">
        <f t="shared" si="1182"/>
        <v>0</v>
      </c>
      <c r="W1394" s="78" t="b">
        <f t="shared" si="1183"/>
        <v>0</v>
      </c>
      <c r="X1394" s="78" t="b">
        <f t="shared" si="1184"/>
        <v>0</v>
      </c>
      <c r="Y1394" s="78" t="b">
        <f t="shared" si="1185"/>
        <v>0</v>
      </c>
      <c r="Z1394" s="78" t="b">
        <f t="shared" si="1186"/>
        <v>0</v>
      </c>
      <c r="AA1394" s="78" t="b">
        <f t="shared" si="1187"/>
        <v>0</v>
      </c>
      <c r="AB1394" s="78" t="b">
        <f t="shared" si="1188"/>
        <v>0</v>
      </c>
      <c r="AC1394" s="78" t="b">
        <f t="shared" si="1189"/>
        <v>0</v>
      </c>
      <c r="AD1394" s="78" t="b">
        <f t="shared" si="1190"/>
        <v>0</v>
      </c>
      <c r="AE1394" s="78" t="b">
        <f t="shared" si="1191"/>
        <v>0</v>
      </c>
      <c r="AF1394" s="78" t="b">
        <f t="shared" si="1192"/>
        <v>0</v>
      </c>
      <c r="AG1394" s="78" t="b">
        <f t="shared" si="1193"/>
        <v>0</v>
      </c>
      <c r="AH1394" s="78" t="b">
        <f t="shared" si="1194"/>
        <v>0</v>
      </c>
      <c r="AI1394" s="78" t="b">
        <f t="shared" si="1195"/>
        <v>0</v>
      </c>
      <c r="AJ1394" s="78" t="b">
        <f t="shared" si="1196"/>
        <v>0</v>
      </c>
      <c r="AK1394" s="78" t="b">
        <f t="shared" si="1197"/>
        <v>0</v>
      </c>
      <c r="AL1394" s="78" t="b">
        <f t="shared" si="1198"/>
        <v>0</v>
      </c>
      <c r="AM1394" s="78" t="b">
        <f t="shared" si="1199"/>
        <v>0</v>
      </c>
      <c r="AN1394" s="78" t="b">
        <f t="shared" si="1200"/>
        <v>0</v>
      </c>
      <c r="AO1394" s="78" t="b">
        <f t="shared" si="1201"/>
        <v>0</v>
      </c>
    </row>
    <row r="1395" spans="7:41" x14ac:dyDescent="0.35">
      <c r="G1395" s="77">
        <f t="shared" si="1171"/>
        <v>0</v>
      </c>
      <c r="H1395" s="78">
        <f t="shared" si="1172"/>
        <v>0</v>
      </c>
      <c r="I1395" s="77">
        <f t="shared" si="1173"/>
        <v>0</v>
      </c>
      <c r="J1395" s="78">
        <f t="shared" si="1174"/>
        <v>0</v>
      </c>
      <c r="K1395" s="78" t="str">
        <f t="shared" si="1175"/>
        <v>1900-01-00 00:0:00</v>
      </c>
      <c r="L1395" s="78" t="str">
        <f t="shared" si="1176"/>
        <v>1900-01-00 00:0:00</v>
      </c>
      <c r="M1395" s="79">
        <f t="shared" si="1177"/>
        <v>0</v>
      </c>
      <c r="N1395">
        <f t="shared" si="1202"/>
        <v>1</v>
      </c>
      <c r="O1395" t="str">
        <f>IFERROR(_xlfn.XLOOKUP(A1395,HC!A:A,HC!C:C),"")</f>
        <v>Workforce</v>
      </c>
      <c r="R1395" s="78" t="b">
        <f t="shared" si="1178"/>
        <v>0</v>
      </c>
      <c r="S1395" s="78" t="b">
        <f t="shared" si="1179"/>
        <v>0</v>
      </c>
      <c r="T1395" s="78" t="b">
        <f t="shared" si="1180"/>
        <v>0</v>
      </c>
      <c r="U1395" s="78" t="b">
        <f t="shared" si="1181"/>
        <v>0</v>
      </c>
      <c r="V1395" s="78" t="b">
        <f t="shared" si="1182"/>
        <v>0</v>
      </c>
      <c r="W1395" s="78" t="b">
        <f t="shared" si="1183"/>
        <v>0</v>
      </c>
      <c r="X1395" s="78" t="b">
        <f t="shared" si="1184"/>
        <v>0</v>
      </c>
      <c r="Y1395" s="78" t="b">
        <f t="shared" si="1185"/>
        <v>0</v>
      </c>
      <c r="Z1395" s="78" t="b">
        <f t="shared" si="1186"/>
        <v>0</v>
      </c>
      <c r="AA1395" s="78" t="b">
        <f t="shared" si="1187"/>
        <v>0</v>
      </c>
      <c r="AB1395" s="78" t="b">
        <f t="shared" si="1188"/>
        <v>0</v>
      </c>
      <c r="AC1395" s="78" t="b">
        <f t="shared" si="1189"/>
        <v>0</v>
      </c>
      <c r="AD1395" s="78" t="b">
        <f t="shared" si="1190"/>
        <v>0</v>
      </c>
      <c r="AE1395" s="78" t="b">
        <f t="shared" si="1191"/>
        <v>0</v>
      </c>
      <c r="AF1395" s="78" t="b">
        <f t="shared" si="1192"/>
        <v>0</v>
      </c>
      <c r="AG1395" s="78" t="b">
        <f t="shared" si="1193"/>
        <v>0</v>
      </c>
      <c r="AH1395" s="78" t="b">
        <f t="shared" si="1194"/>
        <v>0</v>
      </c>
      <c r="AI1395" s="78" t="b">
        <f t="shared" si="1195"/>
        <v>0</v>
      </c>
      <c r="AJ1395" s="78" t="b">
        <f t="shared" si="1196"/>
        <v>0</v>
      </c>
      <c r="AK1395" s="78" t="b">
        <f t="shared" si="1197"/>
        <v>0</v>
      </c>
      <c r="AL1395" s="78" t="b">
        <f t="shared" si="1198"/>
        <v>0</v>
      </c>
      <c r="AM1395" s="78" t="b">
        <f t="shared" si="1199"/>
        <v>0</v>
      </c>
      <c r="AN1395" s="78" t="b">
        <f t="shared" si="1200"/>
        <v>0</v>
      </c>
      <c r="AO1395" s="78" t="b">
        <f t="shared" si="1201"/>
        <v>0</v>
      </c>
    </row>
    <row r="1396" spans="7:41" x14ac:dyDescent="0.35">
      <c r="G1396" s="77">
        <f t="shared" si="1171"/>
        <v>0</v>
      </c>
      <c r="H1396" s="78">
        <f t="shared" si="1172"/>
        <v>0</v>
      </c>
      <c r="I1396" s="77">
        <f t="shared" si="1173"/>
        <v>0</v>
      </c>
      <c r="J1396" s="78">
        <f t="shared" si="1174"/>
        <v>0</v>
      </c>
      <c r="K1396" s="78" t="str">
        <f t="shared" si="1175"/>
        <v>1900-01-00 00:0:00</v>
      </c>
      <c r="L1396" s="78" t="str">
        <f t="shared" si="1176"/>
        <v>1900-01-00 00:0:00</v>
      </c>
      <c r="M1396" s="79">
        <f t="shared" si="1177"/>
        <v>0</v>
      </c>
      <c r="N1396">
        <f t="shared" si="1202"/>
        <v>1</v>
      </c>
      <c r="O1396" t="str">
        <f>IFERROR(_xlfn.XLOOKUP(A1396,HC!A:A,HC!C:C),"")</f>
        <v>Workforce</v>
      </c>
      <c r="R1396" s="78" t="b">
        <f t="shared" si="1178"/>
        <v>0</v>
      </c>
      <c r="S1396" s="78" t="b">
        <f t="shared" si="1179"/>
        <v>0</v>
      </c>
      <c r="T1396" s="78" t="b">
        <f t="shared" si="1180"/>
        <v>0</v>
      </c>
      <c r="U1396" s="78" t="b">
        <f t="shared" si="1181"/>
        <v>0</v>
      </c>
      <c r="V1396" s="78" t="b">
        <f t="shared" si="1182"/>
        <v>0</v>
      </c>
      <c r="W1396" s="78" t="b">
        <f t="shared" si="1183"/>
        <v>0</v>
      </c>
      <c r="X1396" s="78" t="b">
        <f t="shared" si="1184"/>
        <v>0</v>
      </c>
      <c r="Y1396" s="78" t="b">
        <f t="shared" si="1185"/>
        <v>0</v>
      </c>
      <c r="Z1396" s="78" t="b">
        <f t="shared" si="1186"/>
        <v>0</v>
      </c>
      <c r="AA1396" s="78" t="b">
        <f t="shared" si="1187"/>
        <v>0</v>
      </c>
      <c r="AB1396" s="78" t="b">
        <f t="shared" si="1188"/>
        <v>0</v>
      </c>
      <c r="AC1396" s="78" t="b">
        <f t="shared" si="1189"/>
        <v>0</v>
      </c>
      <c r="AD1396" s="78" t="b">
        <f t="shared" si="1190"/>
        <v>0</v>
      </c>
      <c r="AE1396" s="78" t="b">
        <f t="shared" si="1191"/>
        <v>0</v>
      </c>
      <c r="AF1396" s="78" t="b">
        <f t="shared" si="1192"/>
        <v>0</v>
      </c>
      <c r="AG1396" s="78" t="b">
        <f t="shared" si="1193"/>
        <v>0</v>
      </c>
      <c r="AH1396" s="78" t="b">
        <f t="shared" si="1194"/>
        <v>0</v>
      </c>
      <c r="AI1396" s="78" t="b">
        <f t="shared" si="1195"/>
        <v>0</v>
      </c>
      <c r="AJ1396" s="78" t="b">
        <f t="shared" si="1196"/>
        <v>0</v>
      </c>
      <c r="AK1396" s="78" t="b">
        <f t="shared" si="1197"/>
        <v>0</v>
      </c>
      <c r="AL1396" s="78" t="b">
        <f t="shared" si="1198"/>
        <v>0</v>
      </c>
      <c r="AM1396" s="78" t="b">
        <f t="shared" si="1199"/>
        <v>0</v>
      </c>
      <c r="AN1396" s="78" t="b">
        <f t="shared" si="1200"/>
        <v>0</v>
      </c>
      <c r="AO1396" s="78" t="b">
        <f t="shared" si="1201"/>
        <v>0</v>
      </c>
    </row>
    <row r="1397" spans="7:41" x14ac:dyDescent="0.35">
      <c r="G1397" s="77">
        <f t="shared" si="1171"/>
        <v>0</v>
      </c>
      <c r="H1397" s="78">
        <f t="shared" si="1172"/>
        <v>0</v>
      </c>
      <c r="I1397" s="77">
        <f t="shared" si="1173"/>
        <v>0</v>
      </c>
      <c r="J1397" s="78">
        <f t="shared" si="1174"/>
        <v>0</v>
      </c>
      <c r="K1397" s="78" t="str">
        <f t="shared" si="1175"/>
        <v>1900-01-00 00:0:00</v>
      </c>
      <c r="L1397" s="78" t="str">
        <f t="shared" si="1176"/>
        <v>1900-01-00 00:0:00</v>
      </c>
      <c r="M1397" s="79">
        <f t="shared" si="1177"/>
        <v>0</v>
      </c>
      <c r="N1397">
        <f t="shared" si="1202"/>
        <v>1</v>
      </c>
      <c r="O1397" t="str">
        <f>IFERROR(_xlfn.XLOOKUP(A1397,HC!A:A,HC!C:C),"")</f>
        <v>Workforce</v>
      </c>
      <c r="R1397" s="78" t="b">
        <f t="shared" si="1178"/>
        <v>0</v>
      </c>
      <c r="S1397" s="78" t="b">
        <f t="shared" si="1179"/>
        <v>0</v>
      </c>
      <c r="T1397" s="78" t="b">
        <f t="shared" si="1180"/>
        <v>0</v>
      </c>
      <c r="U1397" s="78" t="b">
        <f t="shared" si="1181"/>
        <v>0</v>
      </c>
      <c r="V1397" s="78" t="b">
        <f t="shared" si="1182"/>
        <v>0</v>
      </c>
      <c r="W1397" s="78" t="b">
        <f t="shared" si="1183"/>
        <v>0</v>
      </c>
      <c r="X1397" s="78" t="b">
        <f t="shared" si="1184"/>
        <v>0</v>
      </c>
      <c r="Y1397" s="78" t="b">
        <f t="shared" si="1185"/>
        <v>0</v>
      </c>
      <c r="Z1397" s="78" t="b">
        <f t="shared" si="1186"/>
        <v>0</v>
      </c>
      <c r="AA1397" s="78" t="b">
        <f t="shared" si="1187"/>
        <v>0</v>
      </c>
      <c r="AB1397" s="78" t="b">
        <f t="shared" si="1188"/>
        <v>0</v>
      </c>
      <c r="AC1397" s="78" t="b">
        <f t="shared" si="1189"/>
        <v>0</v>
      </c>
      <c r="AD1397" s="78" t="b">
        <f t="shared" si="1190"/>
        <v>0</v>
      </c>
      <c r="AE1397" s="78" t="b">
        <f t="shared" si="1191"/>
        <v>0</v>
      </c>
      <c r="AF1397" s="78" t="b">
        <f t="shared" si="1192"/>
        <v>0</v>
      </c>
      <c r="AG1397" s="78" t="b">
        <f t="shared" si="1193"/>
        <v>0</v>
      </c>
      <c r="AH1397" s="78" t="b">
        <f t="shared" si="1194"/>
        <v>0</v>
      </c>
      <c r="AI1397" s="78" t="b">
        <f t="shared" si="1195"/>
        <v>0</v>
      </c>
      <c r="AJ1397" s="78" t="b">
        <f t="shared" si="1196"/>
        <v>0</v>
      </c>
      <c r="AK1397" s="78" t="b">
        <f t="shared" si="1197"/>
        <v>0</v>
      </c>
      <c r="AL1397" s="78" t="b">
        <f t="shared" si="1198"/>
        <v>0</v>
      </c>
      <c r="AM1397" s="78" t="b">
        <f t="shared" si="1199"/>
        <v>0</v>
      </c>
      <c r="AN1397" s="78" t="b">
        <f t="shared" si="1200"/>
        <v>0</v>
      </c>
      <c r="AO1397" s="78" t="b">
        <f t="shared" si="1201"/>
        <v>0</v>
      </c>
    </row>
    <row r="1398" spans="7:41" x14ac:dyDescent="0.35">
      <c r="G1398" s="77">
        <f t="shared" si="1171"/>
        <v>0</v>
      </c>
      <c r="H1398" s="78">
        <f t="shared" si="1172"/>
        <v>0</v>
      </c>
      <c r="I1398" s="77">
        <f t="shared" si="1173"/>
        <v>0</v>
      </c>
      <c r="J1398" s="78">
        <f t="shared" si="1174"/>
        <v>0</v>
      </c>
      <c r="K1398" s="78" t="str">
        <f t="shared" si="1175"/>
        <v>1900-01-00 00:0:00</v>
      </c>
      <c r="L1398" s="78" t="str">
        <f t="shared" si="1176"/>
        <v>1900-01-00 00:0:00</v>
      </c>
      <c r="M1398" s="79">
        <f t="shared" si="1177"/>
        <v>0</v>
      </c>
      <c r="N1398">
        <f t="shared" si="1202"/>
        <v>1</v>
      </c>
      <c r="O1398" t="str">
        <f>IFERROR(_xlfn.XLOOKUP(A1398,HC!A:A,HC!C:C),"")</f>
        <v>Workforce</v>
      </c>
      <c r="R1398" s="78" t="b">
        <f t="shared" si="1178"/>
        <v>0</v>
      </c>
      <c r="S1398" s="78" t="b">
        <f t="shared" si="1179"/>
        <v>0</v>
      </c>
      <c r="T1398" s="78" t="b">
        <f t="shared" si="1180"/>
        <v>0</v>
      </c>
      <c r="U1398" s="78" t="b">
        <f t="shared" si="1181"/>
        <v>0</v>
      </c>
      <c r="V1398" s="78" t="b">
        <f t="shared" si="1182"/>
        <v>0</v>
      </c>
      <c r="W1398" s="78" t="b">
        <f t="shared" si="1183"/>
        <v>0</v>
      </c>
      <c r="X1398" s="78" t="b">
        <f t="shared" si="1184"/>
        <v>0</v>
      </c>
      <c r="Y1398" s="78" t="b">
        <f t="shared" si="1185"/>
        <v>0</v>
      </c>
      <c r="Z1398" s="78" t="b">
        <f t="shared" si="1186"/>
        <v>0</v>
      </c>
      <c r="AA1398" s="78" t="b">
        <f t="shared" si="1187"/>
        <v>0</v>
      </c>
      <c r="AB1398" s="78" t="b">
        <f t="shared" si="1188"/>
        <v>0</v>
      </c>
      <c r="AC1398" s="78" t="b">
        <f t="shared" si="1189"/>
        <v>0</v>
      </c>
      <c r="AD1398" s="78" t="b">
        <f t="shared" si="1190"/>
        <v>0</v>
      </c>
      <c r="AE1398" s="78" t="b">
        <f t="shared" si="1191"/>
        <v>0</v>
      </c>
      <c r="AF1398" s="78" t="b">
        <f t="shared" si="1192"/>
        <v>0</v>
      </c>
      <c r="AG1398" s="78" t="b">
        <f t="shared" si="1193"/>
        <v>0</v>
      </c>
      <c r="AH1398" s="78" t="b">
        <f t="shared" si="1194"/>
        <v>0</v>
      </c>
      <c r="AI1398" s="78" t="b">
        <f t="shared" si="1195"/>
        <v>0</v>
      </c>
      <c r="AJ1398" s="78" t="b">
        <f t="shared" si="1196"/>
        <v>0</v>
      </c>
      <c r="AK1398" s="78" t="b">
        <f t="shared" si="1197"/>
        <v>0</v>
      </c>
      <c r="AL1398" s="78" t="b">
        <f t="shared" si="1198"/>
        <v>0</v>
      </c>
      <c r="AM1398" s="78" t="b">
        <f t="shared" si="1199"/>
        <v>0</v>
      </c>
      <c r="AN1398" s="78" t="b">
        <f t="shared" si="1200"/>
        <v>0</v>
      </c>
      <c r="AO1398" s="78" t="b">
        <f t="shared" si="1201"/>
        <v>0</v>
      </c>
    </row>
    <row r="1399" spans="7:41" x14ac:dyDescent="0.35">
      <c r="G1399" s="77">
        <f t="shared" si="1171"/>
        <v>0</v>
      </c>
      <c r="H1399" s="78">
        <f t="shared" si="1172"/>
        <v>0</v>
      </c>
      <c r="I1399" s="77">
        <f t="shared" si="1173"/>
        <v>0</v>
      </c>
      <c r="J1399" s="78">
        <f t="shared" si="1174"/>
        <v>0</v>
      </c>
      <c r="K1399" s="78" t="str">
        <f t="shared" si="1175"/>
        <v>1900-01-00 00:0:00</v>
      </c>
      <c r="L1399" s="78" t="str">
        <f t="shared" si="1176"/>
        <v>1900-01-00 00:0:00</v>
      </c>
      <c r="M1399" s="79">
        <f t="shared" si="1177"/>
        <v>0</v>
      </c>
      <c r="N1399">
        <f t="shared" si="1202"/>
        <v>1</v>
      </c>
      <c r="O1399" t="str">
        <f>IFERROR(_xlfn.XLOOKUP(A1399,HC!A:A,HC!C:C),"")</f>
        <v>Workforce</v>
      </c>
      <c r="R1399" s="78" t="b">
        <f t="shared" si="1178"/>
        <v>0</v>
      </c>
      <c r="S1399" s="78" t="b">
        <f t="shared" si="1179"/>
        <v>0</v>
      </c>
      <c r="T1399" s="78" t="b">
        <f t="shared" si="1180"/>
        <v>0</v>
      </c>
      <c r="U1399" s="78" t="b">
        <f t="shared" si="1181"/>
        <v>0</v>
      </c>
      <c r="V1399" s="78" t="b">
        <f t="shared" si="1182"/>
        <v>0</v>
      </c>
      <c r="W1399" s="78" t="b">
        <f t="shared" si="1183"/>
        <v>0</v>
      </c>
      <c r="X1399" s="78" t="b">
        <f t="shared" si="1184"/>
        <v>0</v>
      </c>
      <c r="Y1399" s="78" t="b">
        <f t="shared" si="1185"/>
        <v>0</v>
      </c>
      <c r="Z1399" s="78" t="b">
        <f t="shared" si="1186"/>
        <v>0</v>
      </c>
      <c r="AA1399" s="78" t="b">
        <f t="shared" si="1187"/>
        <v>0</v>
      </c>
      <c r="AB1399" s="78" t="b">
        <f t="shared" si="1188"/>
        <v>0</v>
      </c>
      <c r="AC1399" s="78" t="b">
        <f t="shared" si="1189"/>
        <v>0</v>
      </c>
      <c r="AD1399" s="78" t="b">
        <f t="shared" si="1190"/>
        <v>0</v>
      </c>
      <c r="AE1399" s="78" t="b">
        <f t="shared" si="1191"/>
        <v>0</v>
      </c>
      <c r="AF1399" s="78" t="b">
        <f t="shared" si="1192"/>
        <v>0</v>
      </c>
      <c r="AG1399" s="78" t="b">
        <f t="shared" si="1193"/>
        <v>0</v>
      </c>
      <c r="AH1399" s="78" t="b">
        <f t="shared" si="1194"/>
        <v>0</v>
      </c>
      <c r="AI1399" s="78" t="b">
        <f t="shared" si="1195"/>
        <v>0</v>
      </c>
      <c r="AJ1399" s="78" t="b">
        <f t="shared" si="1196"/>
        <v>0</v>
      </c>
      <c r="AK1399" s="78" t="b">
        <f t="shared" si="1197"/>
        <v>0</v>
      </c>
      <c r="AL1399" s="78" t="b">
        <f t="shared" si="1198"/>
        <v>0</v>
      </c>
      <c r="AM1399" s="78" t="b">
        <f t="shared" si="1199"/>
        <v>0</v>
      </c>
      <c r="AN1399" s="78" t="b">
        <f t="shared" si="1200"/>
        <v>0</v>
      </c>
      <c r="AO1399" s="78" t="b">
        <f t="shared" si="1201"/>
        <v>0</v>
      </c>
    </row>
    <row r="1400" spans="7:41" x14ac:dyDescent="0.35">
      <c r="G1400" s="77">
        <f t="shared" si="1171"/>
        <v>0</v>
      </c>
      <c r="H1400" s="78">
        <f t="shared" si="1172"/>
        <v>0</v>
      </c>
      <c r="I1400" s="77">
        <f t="shared" si="1173"/>
        <v>0</v>
      </c>
      <c r="J1400" s="78">
        <f t="shared" si="1174"/>
        <v>0</v>
      </c>
      <c r="K1400" s="78" t="str">
        <f t="shared" si="1175"/>
        <v>1900-01-00 00:0:00</v>
      </c>
      <c r="L1400" s="78" t="str">
        <f t="shared" si="1176"/>
        <v>1900-01-00 00:0:00</v>
      </c>
      <c r="M1400" s="79">
        <f t="shared" si="1177"/>
        <v>0</v>
      </c>
      <c r="N1400">
        <f t="shared" si="1202"/>
        <v>1</v>
      </c>
      <c r="O1400" t="str">
        <f>IFERROR(_xlfn.XLOOKUP(A1400,HC!A:A,HC!C:C),"")</f>
        <v>Workforce</v>
      </c>
      <c r="R1400" s="78" t="b">
        <f t="shared" si="1178"/>
        <v>0</v>
      </c>
      <c r="S1400" s="78" t="b">
        <f t="shared" si="1179"/>
        <v>0</v>
      </c>
      <c r="T1400" s="78" t="b">
        <f t="shared" si="1180"/>
        <v>0</v>
      </c>
      <c r="U1400" s="78" t="b">
        <f t="shared" si="1181"/>
        <v>0</v>
      </c>
      <c r="V1400" s="78" t="b">
        <f t="shared" si="1182"/>
        <v>0</v>
      </c>
      <c r="W1400" s="78" t="b">
        <f t="shared" si="1183"/>
        <v>0</v>
      </c>
      <c r="X1400" s="78" t="b">
        <f t="shared" si="1184"/>
        <v>0</v>
      </c>
      <c r="Y1400" s="78" t="b">
        <f t="shared" si="1185"/>
        <v>0</v>
      </c>
      <c r="Z1400" s="78" t="b">
        <f t="shared" si="1186"/>
        <v>0</v>
      </c>
      <c r="AA1400" s="78" t="b">
        <f t="shared" si="1187"/>
        <v>0</v>
      </c>
      <c r="AB1400" s="78" t="b">
        <f t="shared" si="1188"/>
        <v>0</v>
      </c>
      <c r="AC1400" s="78" t="b">
        <f t="shared" si="1189"/>
        <v>0</v>
      </c>
      <c r="AD1400" s="78" t="b">
        <f t="shared" si="1190"/>
        <v>0</v>
      </c>
      <c r="AE1400" s="78" t="b">
        <f t="shared" si="1191"/>
        <v>0</v>
      </c>
      <c r="AF1400" s="78" t="b">
        <f t="shared" si="1192"/>
        <v>0</v>
      </c>
      <c r="AG1400" s="78" t="b">
        <f t="shared" si="1193"/>
        <v>0</v>
      </c>
      <c r="AH1400" s="78" t="b">
        <f t="shared" si="1194"/>
        <v>0</v>
      </c>
      <c r="AI1400" s="78" t="b">
        <f t="shared" si="1195"/>
        <v>0</v>
      </c>
      <c r="AJ1400" s="78" t="b">
        <f t="shared" si="1196"/>
        <v>0</v>
      </c>
      <c r="AK1400" s="78" t="b">
        <f t="shared" si="1197"/>
        <v>0</v>
      </c>
      <c r="AL1400" s="78" t="b">
        <f t="shared" si="1198"/>
        <v>0</v>
      </c>
      <c r="AM1400" s="78" t="b">
        <f t="shared" si="1199"/>
        <v>0</v>
      </c>
      <c r="AN1400" s="78" t="b">
        <f t="shared" si="1200"/>
        <v>0</v>
      </c>
      <c r="AO1400" s="78" t="b">
        <f t="shared" si="1201"/>
        <v>0</v>
      </c>
    </row>
    <row r="1401" spans="7:41" x14ac:dyDescent="0.35">
      <c r="G1401" s="77">
        <f t="shared" si="1171"/>
        <v>0</v>
      </c>
      <c r="H1401" s="78">
        <f t="shared" si="1172"/>
        <v>0</v>
      </c>
      <c r="I1401" s="77">
        <f t="shared" si="1173"/>
        <v>0</v>
      </c>
      <c r="J1401" s="78">
        <f t="shared" si="1174"/>
        <v>0</v>
      </c>
      <c r="K1401" s="78" t="str">
        <f t="shared" si="1175"/>
        <v>1900-01-00 00:0:00</v>
      </c>
      <c r="L1401" s="78" t="str">
        <f t="shared" si="1176"/>
        <v>1900-01-00 00:0:00</v>
      </c>
      <c r="M1401" s="79">
        <f t="shared" si="1177"/>
        <v>0</v>
      </c>
      <c r="N1401">
        <f t="shared" si="1202"/>
        <v>1</v>
      </c>
      <c r="O1401" t="str">
        <f>IFERROR(_xlfn.XLOOKUP(A1401,HC!A:A,HC!C:C),"")</f>
        <v>Workforce</v>
      </c>
      <c r="R1401" s="78" t="b">
        <f t="shared" si="1178"/>
        <v>0</v>
      </c>
      <c r="S1401" s="78" t="b">
        <f t="shared" si="1179"/>
        <v>0</v>
      </c>
      <c r="T1401" s="78" t="b">
        <f t="shared" si="1180"/>
        <v>0</v>
      </c>
      <c r="U1401" s="78" t="b">
        <f t="shared" si="1181"/>
        <v>0</v>
      </c>
      <c r="V1401" s="78" t="b">
        <f t="shared" si="1182"/>
        <v>0</v>
      </c>
      <c r="W1401" s="78" t="b">
        <f t="shared" si="1183"/>
        <v>0</v>
      </c>
      <c r="X1401" s="78" t="b">
        <f t="shared" si="1184"/>
        <v>0</v>
      </c>
      <c r="Y1401" s="78" t="b">
        <f t="shared" si="1185"/>
        <v>0</v>
      </c>
      <c r="Z1401" s="78" t="b">
        <f t="shared" si="1186"/>
        <v>0</v>
      </c>
      <c r="AA1401" s="78" t="b">
        <f t="shared" si="1187"/>
        <v>0</v>
      </c>
      <c r="AB1401" s="78" t="b">
        <f t="shared" si="1188"/>
        <v>0</v>
      </c>
      <c r="AC1401" s="78" t="b">
        <f t="shared" si="1189"/>
        <v>0</v>
      </c>
      <c r="AD1401" s="78" t="b">
        <f t="shared" si="1190"/>
        <v>0</v>
      </c>
      <c r="AE1401" s="78" t="b">
        <f t="shared" si="1191"/>
        <v>0</v>
      </c>
      <c r="AF1401" s="78" t="b">
        <f t="shared" si="1192"/>
        <v>0</v>
      </c>
      <c r="AG1401" s="78" t="b">
        <f t="shared" si="1193"/>
        <v>0</v>
      </c>
      <c r="AH1401" s="78" t="b">
        <f t="shared" si="1194"/>
        <v>0</v>
      </c>
      <c r="AI1401" s="78" t="b">
        <f t="shared" si="1195"/>
        <v>0</v>
      </c>
      <c r="AJ1401" s="78" t="b">
        <f t="shared" si="1196"/>
        <v>0</v>
      </c>
      <c r="AK1401" s="78" t="b">
        <f t="shared" si="1197"/>
        <v>0</v>
      </c>
      <c r="AL1401" s="78" t="b">
        <f t="shared" si="1198"/>
        <v>0</v>
      </c>
      <c r="AM1401" s="78" t="b">
        <f t="shared" si="1199"/>
        <v>0</v>
      </c>
      <c r="AN1401" s="78" t="b">
        <f t="shared" si="1200"/>
        <v>0</v>
      </c>
      <c r="AO1401" s="78" t="b">
        <f t="shared" si="1201"/>
        <v>0</v>
      </c>
    </row>
    <row r="1402" spans="7:41" x14ac:dyDescent="0.35">
      <c r="G1402" s="77">
        <f t="shared" ref="G1402:G1465" si="1203">INT(D1402)</f>
        <v>0</v>
      </c>
      <c r="H1402" s="78">
        <f t="shared" ref="H1402:H1465" si="1204">D1402-G1402</f>
        <v>0</v>
      </c>
      <c r="I1402" s="77">
        <f t="shared" ref="I1402:I1465" si="1205">INT(E1402)</f>
        <v>0</v>
      </c>
      <c r="J1402" s="78">
        <f t="shared" ref="J1402:J1465" si="1206">E1402-I1402</f>
        <v>0</v>
      </c>
      <c r="K1402" s="78" t="str">
        <f t="shared" ref="K1402:K1465" si="1207">TEXT(G1402+H1402,"yyyy-mm-dd hh:m:ss")</f>
        <v>1900-01-00 00:0:00</v>
      </c>
      <c r="L1402" s="78" t="str">
        <f t="shared" ref="L1402:L1465" si="1208">TEXT(I1402+J1402,"yyyy-mm-dd hh:m:ss")</f>
        <v>1900-01-00 00:0:00</v>
      </c>
      <c r="M1402" s="79">
        <f t="shared" ref="M1402:M1465" si="1209">E1402-D1402</f>
        <v>0</v>
      </c>
      <c r="N1402">
        <f t="shared" si="1202"/>
        <v>1</v>
      </c>
      <c r="O1402" t="str">
        <f>IFERROR(_xlfn.XLOOKUP(A1402,HC!A:A,HC!C:C),"")</f>
        <v>Workforce</v>
      </c>
      <c r="R1402" s="78" t="b">
        <f t="shared" si="1178"/>
        <v>0</v>
      </c>
      <c r="S1402" s="78" t="b">
        <f t="shared" si="1179"/>
        <v>0</v>
      </c>
      <c r="T1402" s="78" t="b">
        <f t="shared" si="1180"/>
        <v>0</v>
      </c>
      <c r="U1402" s="78" t="b">
        <f t="shared" si="1181"/>
        <v>0</v>
      </c>
      <c r="V1402" s="78" t="b">
        <f t="shared" si="1182"/>
        <v>0</v>
      </c>
      <c r="W1402" s="78" t="b">
        <f t="shared" si="1183"/>
        <v>0</v>
      </c>
      <c r="X1402" s="78" t="b">
        <f t="shared" si="1184"/>
        <v>0</v>
      </c>
      <c r="Y1402" s="78" t="b">
        <f t="shared" si="1185"/>
        <v>0</v>
      </c>
      <c r="Z1402" s="78" t="b">
        <f t="shared" si="1186"/>
        <v>0</v>
      </c>
      <c r="AA1402" s="78" t="b">
        <f t="shared" si="1187"/>
        <v>0</v>
      </c>
      <c r="AB1402" s="78" t="b">
        <f t="shared" si="1188"/>
        <v>0</v>
      </c>
      <c r="AC1402" s="78" t="b">
        <f t="shared" si="1189"/>
        <v>0</v>
      </c>
      <c r="AD1402" s="78" t="b">
        <f t="shared" si="1190"/>
        <v>0</v>
      </c>
      <c r="AE1402" s="78" t="b">
        <f t="shared" si="1191"/>
        <v>0</v>
      </c>
      <c r="AF1402" s="78" t="b">
        <f t="shared" si="1192"/>
        <v>0</v>
      </c>
      <c r="AG1402" s="78" t="b">
        <f t="shared" si="1193"/>
        <v>0</v>
      </c>
      <c r="AH1402" s="78" t="b">
        <f t="shared" si="1194"/>
        <v>0</v>
      </c>
      <c r="AI1402" s="78" t="b">
        <f t="shared" si="1195"/>
        <v>0</v>
      </c>
      <c r="AJ1402" s="78" t="b">
        <f t="shared" si="1196"/>
        <v>0</v>
      </c>
      <c r="AK1402" s="78" t="b">
        <f t="shared" si="1197"/>
        <v>0</v>
      </c>
      <c r="AL1402" s="78" t="b">
        <f t="shared" si="1198"/>
        <v>0</v>
      </c>
      <c r="AM1402" s="78" t="b">
        <f t="shared" si="1199"/>
        <v>0</v>
      </c>
      <c r="AN1402" s="78" t="b">
        <f t="shared" si="1200"/>
        <v>0</v>
      </c>
      <c r="AO1402" s="78" t="b">
        <f t="shared" si="1201"/>
        <v>0</v>
      </c>
    </row>
    <row r="1403" spans="7:41" x14ac:dyDescent="0.35">
      <c r="G1403" s="77">
        <f t="shared" si="1203"/>
        <v>0</v>
      </c>
      <c r="H1403" s="78">
        <f t="shared" si="1204"/>
        <v>0</v>
      </c>
      <c r="I1403" s="77">
        <f t="shared" si="1205"/>
        <v>0</v>
      </c>
      <c r="J1403" s="78">
        <f t="shared" si="1206"/>
        <v>0</v>
      </c>
      <c r="K1403" s="78" t="str">
        <f t="shared" si="1207"/>
        <v>1900-01-00 00:0:00</v>
      </c>
      <c r="L1403" s="78" t="str">
        <f t="shared" si="1208"/>
        <v>1900-01-00 00:0:00</v>
      </c>
      <c r="M1403" s="79">
        <f t="shared" si="1209"/>
        <v>0</v>
      </c>
      <c r="N1403">
        <f t="shared" si="1202"/>
        <v>1</v>
      </c>
      <c r="O1403" t="str">
        <f>IFERROR(_xlfn.XLOOKUP(A1403,HC!A:A,HC!C:C),"")</f>
        <v>Workforce</v>
      </c>
      <c r="R1403" s="78" t="b">
        <f t="shared" si="1178"/>
        <v>0</v>
      </c>
      <c r="S1403" s="78" t="b">
        <f t="shared" si="1179"/>
        <v>0</v>
      </c>
      <c r="T1403" s="78" t="b">
        <f t="shared" si="1180"/>
        <v>0</v>
      </c>
      <c r="U1403" s="78" t="b">
        <f t="shared" si="1181"/>
        <v>0</v>
      </c>
      <c r="V1403" s="78" t="b">
        <f t="shared" si="1182"/>
        <v>0</v>
      </c>
      <c r="W1403" s="78" t="b">
        <f t="shared" si="1183"/>
        <v>0</v>
      </c>
      <c r="X1403" s="78" t="b">
        <f t="shared" si="1184"/>
        <v>0</v>
      </c>
      <c r="Y1403" s="78" t="b">
        <f t="shared" si="1185"/>
        <v>0</v>
      </c>
      <c r="Z1403" s="78" t="b">
        <f t="shared" si="1186"/>
        <v>0</v>
      </c>
      <c r="AA1403" s="78" t="b">
        <f t="shared" si="1187"/>
        <v>0</v>
      </c>
      <c r="AB1403" s="78" t="b">
        <f t="shared" si="1188"/>
        <v>0</v>
      </c>
      <c r="AC1403" s="78" t="b">
        <f t="shared" si="1189"/>
        <v>0</v>
      </c>
      <c r="AD1403" s="78" t="b">
        <f t="shared" si="1190"/>
        <v>0</v>
      </c>
      <c r="AE1403" s="78" t="b">
        <f t="shared" si="1191"/>
        <v>0</v>
      </c>
      <c r="AF1403" s="78" t="b">
        <f t="shared" si="1192"/>
        <v>0</v>
      </c>
      <c r="AG1403" s="78" t="b">
        <f t="shared" si="1193"/>
        <v>0</v>
      </c>
      <c r="AH1403" s="78" t="b">
        <f t="shared" si="1194"/>
        <v>0</v>
      </c>
      <c r="AI1403" s="78" t="b">
        <f t="shared" si="1195"/>
        <v>0</v>
      </c>
      <c r="AJ1403" s="78" t="b">
        <f t="shared" si="1196"/>
        <v>0</v>
      </c>
      <c r="AK1403" s="78" t="b">
        <f t="shared" si="1197"/>
        <v>0</v>
      </c>
      <c r="AL1403" s="78" t="b">
        <f t="shared" si="1198"/>
        <v>0</v>
      </c>
      <c r="AM1403" s="78" t="b">
        <f t="shared" si="1199"/>
        <v>0</v>
      </c>
      <c r="AN1403" s="78" t="b">
        <f t="shared" si="1200"/>
        <v>0</v>
      </c>
      <c r="AO1403" s="78" t="b">
        <f t="shared" si="1201"/>
        <v>0</v>
      </c>
    </row>
    <row r="1404" spans="7:41" x14ac:dyDescent="0.35">
      <c r="G1404" s="77">
        <f t="shared" si="1203"/>
        <v>0</v>
      </c>
      <c r="H1404" s="78">
        <f t="shared" si="1204"/>
        <v>0</v>
      </c>
      <c r="I1404" s="77">
        <f t="shared" si="1205"/>
        <v>0</v>
      </c>
      <c r="J1404" s="78">
        <f t="shared" si="1206"/>
        <v>0</v>
      </c>
      <c r="K1404" s="78" t="str">
        <f t="shared" si="1207"/>
        <v>1900-01-00 00:0:00</v>
      </c>
      <c r="L1404" s="78" t="str">
        <f t="shared" si="1208"/>
        <v>1900-01-00 00:0:00</v>
      </c>
      <c r="M1404" s="79">
        <f t="shared" si="1209"/>
        <v>0</v>
      </c>
      <c r="N1404">
        <f t="shared" si="1202"/>
        <v>1</v>
      </c>
      <c r="O1404" t="str">
        <f>IFERROR(_xlfn.XLOOKUP(A1404,HC!A:A,HC!C:C),"")</f>
        <v>Workforce</v>
      </c>
      <c r="R1404" s="78" t="b">
        <f t="shared" ref="R1404:R1467" si="1210">IFERROR(IF($B1404=$D$1,IF(AND($K1404&lt;R$1,$L1404&lt;R$1),"",IF(AND($K1404&gt;S$1,$L1404&gt;S$1),"",IF(AND($K1404&lt;R$1,$L1404&lt;=S$1),$L1404-R$1,IF(AND($K1404&gt;=R$1,$L1404&gt;S$1),S$1-$K1404,IF(AND($K1404&gt;=R$1,$L1404&lt;=S$1),$L1404-$K1404,IF(AND($K1404&lt;R$1,$L1404&gt;S$1),S$1-R$1,""))))))),"")</f>
        <v>0</v>
      </c>
      <c r="S1404" s="78" t="b">
        <f t="shared" ref="S1404:S1467" si="1211">IFERROR(IF($B1404=$D$1,IF(AND($K1404&lt;S$1,$L1404&lt;S$1),"",IF(AND($K1404&gt;T$1,$L1404&gt;T$1),"",IF(AND($K1404&lt;S$1,$L1404&lt;=T$1),$L1404-S$1,IF(AND($K1404&gt;=S$1,$L1404&gt;T$1),T$1-$K1404,IF(AND($K1404&gt;=S$1,$L1404&lt;=T$1),$L1404-$K1404,IF(AND($K1404&lt;S$1,$L1404&gt;T$1),T$1-S$1,""))))))),"")</f>
        <v>0</v>
      </c>
      <c r="T1404" s="78" t="b">
        <f t="shared" ref="T1404:T1467" si="1212">IFERROR(IF($B1404=$D$1,IF(AND($K1404&lt;T$1,$L1404&lt;T$1),"",IF(AND($K1404&gt;U$1,$L1404&gt;U$1),"",IF(AND($K1404&lt;T$1,$L1404&lt;=U$1),$L1404-T$1,IF(AND($K1404&gt;=T$1,$L1404&gt;U$1),U$1-$K1404,IF(AND($K1404&gt;=T$1,$L1404&lt;=U$1),$L1404-$K1404,IF(AND($K1404&lt;T$1,$L1404&gt;U$1),U$1-T$1,""))))))),"")</f>
        <v>0</v>
      </c>
      <c r="U1404" s="78" t="b">
        <f t="shared" ref="U1404:U1467" si="1213">IFERROR(IF($B1404=$D$1,IF(AND($K1404&lt;U$1,$L1404&lt;U$1),"",IF(AND($K1404&gt;V$1,$L1404&gt;V$1),"",IF(AND($K1404&lt;U$1,$L1404&lt;=V$1),$L1404-U$1,IF(AND($K1404&gt;=U$1,$L1404&gt;V$1),V$1-$K1404,IF(AND($K1404&gt;=U$1,$L1404&lt;=V$1),$L1404-$K1404,IF(AND($K1404&lt;U$1,$L1404&gt;V$1),V$1-U$1,""))))))),"")</f>
        <v>0</v>
      </c>
      <c r="V1404" s="78" t="b">
        <f t="shared" ref="V1404:V1467" si="1214">IFERROR(IF($B1404=$D$1,IF(AND($K1404&lt;V$1,$L1404&lt;V$1),"",IF(AND($K1404&gt;W$1,$L1404&gt;W$1),"",IF(AND($K1404&lt;V$1,$L1404&lt;=W$1),$L1404-V$1,IF(AND($K1404&gt;=V$1,$L1404&gt;W$1),W$1-$K1404,IF(AND($K1404&gt;=V$1,$L1404&lt;=W$1),$L1404-$K1404,IF(AND($K1404&lt;V$1,$L1404&gt;W$1),W$1-V$1,""))))))),"")</f>
        <v>0</v>
      </c>
      <c r="W1404" s="78" t="b">
        <f t="shared" ref="W1404:W1467" si="1215">IFERROR(IF($B1404=$D$1,IF(AND($K1404&lt;W$1,$L1404&lt;W$1),"",IF(AND($K1404&gt;X$1,$L1404&gt;X$1),"",IF(AND($K1404&lt;W$1,$L1404&lt;=X$1),$L1404-W$1,IF(AND($K1404&gt;=W$1,$L1404&gt;X$1),X$1-$K1404,IF(AND($K1404&gt;=W$1,$L1404&lt;=X$1),$L1404-$K1404,IF(AND($K1404&lt;W$1,$L1404&gt;X$1),X$1-W$1,""))))))),"")</f>
        <v>0</v>
      </c>
      <c r="X1404" s="78" t="b">
        <f t="shared" ref="X1404:X1467" si="1216">IFERROR(IF($B1404=$D$1,IF(AND($K1404&lt;X$1,$L1404&lt;X$1),"",IF(AND($K1404&gt;Y$1,$L1404&gt;Y$1),"",IF(AND($K1404&lt;X$1,$L1404&lt;=Y$1),$L1404-X$1,IF(AND($K1404&gt;=X$1,$L1404&gt;Y$1),Y$1-$K1404,IF(AND($K1404&gt;=X$1,$L1404&lt;=Y$1),$L1404-$K1404,IF(AND($K1404&lt;X$1,$L1404&gt;Y$1),Y$1-X$1,""))))))),"")</f>
        <v>0</v>
      </c>
      <c r="Y1404" s="78" t="b">
        <f t="shared" ref="Y1404:Y1467" si="1217">IFERROR(IF($B1404=$D$1,IF(AND($K1404&lt;Y$1,$L1404&lt;Y$1),"",IF(AND($K1404&gt;Z$1,$L1404&gt;Z$1),"",IF(AND($K1404&lt;Y$1,$L1404&lt;=Z$1),$L1404-Y$1,IF(AND($K1404&gt;=Y$1,$L1404&gt;Z$1),Z$1-$K1404,IF(AND($K1404&gt;=Y$1,$L1404&lt;=Z$1),$L1404-$K1404,IF(AND($K1404&lt;Y$1,$L1404&gt;Z$1),Z$1-Y$1,""))))))),"")</f>
        <v>0</v>
      </c>
      <c r="Z1404" s="78" t="b">
        <f t="shared" ref="Z1404:Z1467" si="1218">IFERROR(IF($B1404=$D$1,IF(AND($K1404&lt;Z$1,$L1404&lt;Z$1),"",IF(AND($K1404&gt;AA$1,$L1404&gt;AA$1),"",IF(AND($K1404&lt;Z$1,$L1404&lt;=AA$1),$L1404-Z$1,IF(AND($K1404&gt;=Z$1,$L1404&gt;AA$1),AA$1-$K1404,IF(AND($K1404&gt;=Z$1,$L1404&lt;=AA$1),$L1404-$K1404,IF(AND($K1404&lt;Z$1,$L1404&gt;AA$1),AA$1-Z$1,""))))))),"")</f>
        <v>0</v>
      </c>
      <c r="AA1404" s="78" t="b">
        <f t="shared" ref="AA1404:AA1467" si="1219">IFERROR(IF($B1404=$D$1,IF(AND($K1404&lt;AA$1,$L1404&lt;AA$1),"",IF(AND($K1404&gt;AB$1,$L1404&gt;AB$1),"",IF(AND($K1404&lt;AA$1,$L1404&lt;=AB$1),$L1404-AA$1,IF(AND($K1404&gt;=AA$1,$L1404&gt;AB$1),AB$1-$K1404,IF(AND($K1404&gt;=AA$1,$L1404&lt;=AB$1),$L1404-$K1404,IF(AND($K1404&lt;AA$1,$L1404&gt;AB$1),AB$1-AA$1,""))))))),"")</f>
        <v>0</v>
      </c>
      <c r="AB1404" s="78" t="b">
        <f t="shared" ref="AB1404:AB1467" si="1220">IFERROR(IF($B1404=$D$1,IF(AND($K1404&lt;AB$1,$L1404&lt;AB$1),"",IF(AND($K1404&gt;AC$1,$L1404&gt;AC$1),"",IF(AND($K1404&lt;AB$1,$L1404&lt;=AC$1),$L1404-AB$1,IF(AND($K1404&gt;=AB$1,$L1404&gt;AC$1),AC$1-$K1404,IF(AND($K1404&gt;=AB$1,$L1404&lt;=AC$1),$L1404-$K1404,IF(AND($K1404&lt;AB$1,$L1404&gt;AC$1),AC$1-AB$1,""))))))),"")</f>
        <v>0</v>
      </c>
      <c r="AC1404" s="78" t="b">
        <f t="shared" ref="AC1404:AC1467" si="1221">IFERROR(IF($B1404=$D$1,IF(AND($K1404&lt;AC$1,$L1404&lt;AC$1),"",IF(AND($K1404&gt;AD$1,$L1404&gt;AD$1),"",IF(AND($K1404&lt;AC$1,$L1404&lt;=AD$1),$L1404-AC$1,IF(AND($K1404&gt;=AC$1,$L1404&gt;AD$1),AD$1-$K1404,IF(AND($K1404&gt;=AC$1,$L1404&lt;=AD$1),$L1404-$K1404,IF(AND($K1404&lt;AC$1,$L1404&gt;AD$1),AD$1-AC$1,""))))))),"")</f>
        <v>0</v>
      </c>
      <c r="AD1404" s="78" t="b">
        <f t="shared" ref="AD1404:AD1467" si="1222">IFERROR(IF($B1404=$D$1,IF(AND($K1404&lt;AD$1,$L1404&lt;AD$1),"",IF(AND($K1404&gt;AE$1,$L1404&gt;AE$1),"",IF(AND($K1404&lt;AD$1,$L1404&lt;=AE$1),$L1404-AD$1,IF(AND($K1404&gt;=AD$1,$L1404&gt;AE$1),AE$1-$K1404,IF(AND($K1404&gt;=AD$1,$L1404&lt;=AE$1),$L1404-$K1404,IF(AND($K1404&lt;AD$1,$L1404&gt;AE$1),AE$1-AD$1,""))))))),"")</f>
        <v>0</v>
      </c>
      <c r="AE1404" s="78" t="b">
        <f t="shared" ref="AE1404:AE1467" si="1223">IFERROR(IF($B1404=$D$1,IF(AND($K1404&lt;AE$1,$L1404&lt;AE$1),"",IF(AND($K1404&gt;AF$1,$L1404&gt;AF$1),"",IF(AND($K1404&lt;AE$1,$L1404&lt;=AF$1),$L1404-AE$1,IF(AND($K1404&gt;=AE$1,$L1404&gt;AF$1),AF$1-$K1404,IF(AND($K1404&gt;=AE$1,$L1404&lt;=AF$1),$L1404-$K1404,IF(AND($K1404&lt;AE$1,$L1404&gt;AF$1),AF$1-AE$1,""))))))),"")</f>
        <v>0</v>
      </c>
      <c r="AF1404" s="78" t="b">
        <f t="shared" ref="AF1404:AF1467" si="1224">IFERROR(IF($B1404=$D$1,IF(AND($K1404&lt;AF$1,$L1404&lt;AF$1),"",IF(AND($K1404&gt;AG$1,$L1404&gt;AG$1),"",IF(AND($K1404&lt;AF$1,$L1404&lt;=AG$1),$L1404-AF$1,IF(AND($K1404&gt;=AF$1,$L1404&gt;AG$1),AG$1-$K1404,IF(AND($K1404&gt;=AF$1,$L1404&lt;=AG$1),$L1404-$K1404,IF(AND($K1404&lt;AF$1,$L1404&gt;AG$1),AG$1-AF$1,""))))))),"")</f>
        <v>0</v>
      </c>
      <c r="AG1404" s="78" t="b">
        <f t="shared" ref="AG1404:AG1467" si="1225">IFERROR(IF($B1404=$D$1,IF(AND($K1404&lt;AG$1,$L1404&lt;AG$1),"",IF(AND($K1404&gt;AH$1,$L1404&gt;AH$1),"",IF(AND($K1404&lt;AG$1,$L1404&lt;=AH$1),$L1404-AG$1,IF(AND($K1404&gt;=AG$1,$L1404&gt;AH$1),AH$1-$K1404,IF(AND($K1404&gt;=AG$1,$L1404&lt;=AH$1),$L1404-$K1404,IF(AND($K1404&lt;AG$1,$L1404&gt;AH$1),AH$1-AG$1,""))))))),"")</f>
        <v>0</v>
      </c>
      <c r="AH1404" s="78" t="b">
        <f t="shared" ref="AH1404:AH1467" si="1226">IFERROR(IF($B1404=$D$1,IF(AND($K1404&lt;AH$1,$L1404&lt;AH$1),"",IF(AND($K1404&gt;AI$1,$L1404&gt;AI$1),"",IF(AND($K1404&lt;AH$1,$L1404&lt;=AI$1),$L1404-AH$1,IF(AND($K1404&gt;=AH$1,$L1404&gt;AI$1),AI$1-$K1404,IF(AND($K1404&gt;=AH$1,$L1404&lt;=AI$1),$L1404-$K1404,IF(AND($K1404&lt;AH$1,$L1404&gt;AI$1),AI$1-AH$1,""))))))),"")</f>
        <v>0</v>
      </c>
      <c r="AI1404" s="78" t="b">
        <f t="shared" ref="AI1404:AI1467" si="1227">IFERROR(IF($B1404=$D$1,IF(AND($K1404&lt;AI$1,$L1404&lt;AI$1),"",IF(AND($K1404&gt;AJ$1,$L1404&gt;AJ$1),"",IF(AND($K1404&lt;AI$1,$L1404&lt;=AJ$1),$L1404-AI$1,IF(AND($K1404&gt;=AI$1,$L1404&gt;AJ$1),AJ$1-$K1404,IF(AND($K1404&gt;=AI$1,$L1404&lt;=AJ$1),$L1404-$K1404,IF(AND($K1404&lt;AI$1,$L1404&gt;AJ$1),AJ$1-AI$1,""))))))),"")</f>
        <v>0</v>
      </c>
      <c r="AJ1404" s="78" t="b">
        <f t="shared" ref="AJ1404:AJ1467" si="1228">IFERROR(IF($B1404=$D$1,IF(AND($K1404&lt;AJ$1,$L1404&lt;AJ$1),"",IF(AND($K1404&gt;AK$1,$L1404&gt;AK$1),"",IF(AND($K1404&lt;AJ$1,$L1404&lt;=AK$1),$L1404-AJ$1,IF(AND($K1404&gt;=AJ$1,$L1404&gt;AK$1),AK$1-$K1404,IF(AND($K1404&gt;=AJ$1,$L1404&lt;=AK$1),$L1404-$K1404,IF(AND($K1404&lt;AJ$1,$L1404&gt;AK$1),AK$1-AJ$1,""))))))),"")</f>
        <v>0</v>
      </c>
      <c r="AK1404" s="78" t="b">
        <f t="shared" ref="AK1404:AK1467" si="1229">IFERROR(IF($B1404=$D$1,IF(AND($K1404&lt;AK$1,$L1404&lt;AK$1),"",IF(AND($K1404&gt;AL$1,$L1404&gt;AL$1),"",IF(AND($K1404&lt;AK$1,$L1404&lt;=AL$1),$L1404-AK$1,IF(AND($K1404&gt;=AK$1,$L1404&gt;AL$1),AL$1-$K1404,IF(AND($K1404&gt;=AK$1,$L1404&lt;=AL$1),$L1404-$K1404,IF(AND($K1404&lt;AK$1,$L1404&gt;AL$1),AL$1-AK$1,""))))))),"")</f>
        <v>0</v>
      </c>
      <c r="AL1404" s="78" t="b">
        <f t="shared" ref="AL1404:AL1467" si="1230">IFERROR(IF($B1404=$D$1,IF(AND($K1404&lt;AL$1,$L1404&lt;AL$1),"",IF(AND($K1404&gt;AM$1,$L1404&gt;AM$1),"",IF(AND($K1404&lt;AL$1,$L1404&lt;=AM$1),$L1404-AL$1,IF(AND($K1404&gt;=AL$1,$L1404&gt;AM$1),AM$1-$K1404,IF(AND($K1404&gt;=AL$1,$L1404&lt;=AM$1),$L1404-$K1404,IF(AND($K1404&lt;AL$1,$L1404&gt;AM$1),AM$1-AL$1,""))))))),"")</f>
        <v>0</v>
      </c>
      <c r="AM1404" s="78" t="b">
        <f t="shared" ref="AM1404:AM1467" si="1231">IFERROR(IF($B1404=$D$1,IF(AND($K1404&lt;AM$1,$L1404&lt;AM$1),"",IF(AND($K1404&gt;AN$1,$L1404&gt;AN$1),"",IF(AND($K1404&lt;AM$1,$L1404&lt;=AN$1),$L1404-AM$1,IF(AND($K1404&gt;=AM$1,$L1404&gt;AN$1),AN$1-$K1404,IF(AND($K1404&gt;=AM$1,$L1404&lt;=AN$1),$L1404-$K1404,IF(AND($K1404&lt;AM$1,$L1404&gt;AN$1),AN$1-AM$1,""))))))),"")</f>
        <v>0</v>
      </c>
      <c r="AN1404" s="78" t="b">
        <f t="shared" ref="AN1404:AN1467" si="1232">IFERROR(IF($B1404=$D$1,IF(AND($K1404&lt;AN$1,$L1404&lt;AN$1),"",IF(AND($K1404&gt;AO$1,$L1404&gt;AO$1),"",IF(AND($K1404&lt;AN$1,$L1404&lt;=AO$1),$L1404-AN$1,IF(AND($K1404&gt;=AN$1,$L1404&gt;AO$1),AO$1-$K1404,IF(AND($K1404&gt;=AN$1,$L1404&lt;=AO$1),$L1404-$K1404,IF(AND($K1404&lt;AN$1,$L1404&gt;AO$1),AO$1-AN$1,""))))))),"")</f>
        <v>0</v>
      </c>
      <c r="AO1404" s="78" t="b">
        <f t="shared" ref="AO1404:AO1467" si="1233">IFERROR(IF($B1404=$D$1,IF(AND($K1404&lt;AO$1,$L1404&lt;AO$1),"",IF(AND($K1404&gt;AP$1,$L1404&gt;AP$1),"",IF(AND($K1404&lt;AO$1,$L1404&lt;=AP$1),$L1404-AO$1,IF(AND($K1404&gt;=AO$1,$L1404&gt;AP$1),AP$1-$K1404,IF(AND($K1404&gt;=AO$1,$L1404&lt;=AP$1),$L1404-$K1404,IF(AND($K1404&lt;AO$1,$L1404&gt;AP$1),AP$1-AO$1,""))))))),"")</f>
        <v>0</v>
      </c>
    </row>
    <row r="1405" spans="7:41" x14ac:dyDescent="0.35">
      <c r="G1405" s="77">
        <f t="shared" si="1203"/>
        <v>0</v>
      </c>
      <c r="H1405" s="78">
        <f t="shared" si="1204"/>
        <v>0</v>
      </c>
      <c r="I1405" s="77">
        <f t="shared" si="1205"/>
        <v>0</v>
      </c>
      <c r="J1405" s="78">
        <f t="shared" si="1206"/>
        <v>0</v>
      </c>
      <c r="K1405" s="78" t="str">
        <f t="shared" si="1207"/>
        <v>1900-01-00 00:0:00</v>
      </c>
      <c r="L1405" s="78" t="str">
        <f t="shared" si="1208"/>
        <v>1900-01-00 00:0:00</v>
      </c>
      <c r="M1405" s="79">
        <f t="shared" si="1209"/>
        <v>0</v>
      </c>
      <c r="N1405">
        <f t="shared" si="1202"/>
        <v>1</v>
      </c>
      <c r="O1405" t="str">
        <f>IFERROR(_xlfn.XLOOKUP(A1405,HC!A:A,HC!C:C),"")</f>
        <v>Workforce</v>
      </c>
      <c r="R1405" s="78" t="b">
        <f t="shared" si="1210"/>
        <v>0</v>
      </c>
      <c r="S1405" s="78" t="b">
        <f t="shared" si="1211"/>
        <v>0</v>
      </c>
      <c r="T1405" s="78" t="b">
        <f t="shared" si="1212"/>
        <v>0</v>
      </c>
      <c r="U1405" s="78" t="b">
        <f t="shared" si="1213"/>
        <v>0</v>
      </c>
      <c r="V1405" s="78" t="b">
        <f t="shared" si="1214"/>
        <v>0</v>
      </c>
      <c r="W1405" s="78" t="b">
        <f t="shared" si="1215"/>
        <v>0</v>
      </c>
      <c r="X1405" s="78" t="b">
        <f t="shared" si="1216"/>
        <v>0</v>
      </c>
      <c r="Y1405" s="78" t="b">
        <f t="shared" si="1217"/>
        <v>0</v>
      </c>
      <c r="Z1405" s="78" t="b">
        <f t="shared" si="1218"/>
        <v>0</v>
      </c>
      <c r="AA1405" s="78" t="b">
        <f t="shared" si="1219"/>
        <v>0</v>
      </c>
      <c r="AB1405" s="78" t="b">
        <f t="shared" si="1220"/>
        <v>0</v>
      </c>
      <c r="AC1405" s="78" t="b">
        <f t="shared" si="1221"/>
        <v>0</v>
      </c>
      <c r="AD1405" s="78" t="b">
        <f t="shared" si="1222"/>
        <v>0</v>
      </c>
      <c r="AE1405" s="78" t="b">
        <f t="shared" si="1223"/>
        <v>0</v>
      </c>
      <c r="AF1405" s="78" t="b">
        <f t="shared" si="1224"/>
        <v>0</v>
      </c>
      <c r="AG1405" s="78" t="b">
        <f t="shared" si="1225"/>
        <v>0</v>
      </c>
      <c r="AH1405" s="78" t="b">
        <f t="shared" si="1226"/>
        <v>0</v>
      </c>
      <c r="AI1405" s="78" t="b">
        <f t="shared" si="1227"/>
        <v>0</v>
      </c>
      <c r="AJ1405" s="78" t="b">
        <f t="shared" si="1228"/>
        <v>0</v>
      </c>
      <c r="AK1405" s="78" t="b">
        <f t="shared" si="1229"/>
        <v>0</v>
      </c>
      <c r="AL1405" s="78" t="b">
        <f t="shared" si="1230"/>
        <v>0</v>
      </c>
      <c r="AM1405" s="78" t="b">
        <f t="shared" si="1231"/>
        <v>0</v>
      </c>
      <c r="AN1405" s="78" t="b">
        <f t="shared" si="1232"/>
        <v>0</v>
      </c>
      <c r="AO1405" s="78" t="b">
        <f t="shared" si="1233"/>
        <v>0</v>
      </c>
    </row>
    <row r="1406" spans="7:41" x14ac:dyDescent="0.35">
      <c r="G1406" s="77">
        <f t="shared" si="1203"/>
        <v>0</v>
      </c>
      <c r="H1406" s="78">
        <f t="shared" si="1204"/>
        <v>0</v>
      </c>
      <c r="I1406" s="77">
        <f t="shared" si="1205"/>
        <v>0</v>
      </c>
      <c r="J1406" s="78">
        <f t="shared" si="1206"/>
        <v>0</v>
      </c>
      <c r="K1406" s="78" t="str">
        <f t="shared" si="1207"/>
        <v>1900-01-00 00:0:00</v>
      </c>
      <c r="L1406" s="78" t="str">
        <f t="shared" si="1208"/>
        <v>1900-01-00 00:0:00</v>
      </c>
      <c r="M1406" s="79">
        <f t="shared" si="1209"/>
        <v>0</v>
      </c>
      <c r="N1406">
        <f t="shared" si="1202"/>
        <v>1</v>
      </c>
      <c r="O1406" t="str">
        <f>IFERROR(_xlfn.XLOOKUP(A1406,HC!A:A,HC!C:C),"")</f>
        <v>Workforce</v>
      </c>
      <c r="R1406" s="78" t="b">
        <f t="shared" si="1210"/>
        <v>0</v>
      </c>
      <c r="S1406" s="78" t="b">
        <f t="shared" si="1211"/>
        <v>0</v>
      </c>
      <c r="T1406" s="78" t="b">
        <f t="shared" si="1212"/>
        <v>0</v>
      </c>
      <c r="U1406" s="78" t="b">
        <f t="shared" si="1213"/>
        <v>0</v>
      </c>
      <c r="V1406" s="78" t="b">
        <f t="shared" si="1214"/>
        <v>0</v>
      </c>
      <c r="W1406" s="78" t="b">
        <f t="shared" si="1215"/>
        <v>0</v>
      </c>
      <c r="X1406" s="78" t="b">
        <f t="shared" si="1216"/>
        <v>0</v>
      </c>
      <c r="Y1406" s="78" t="b">
        <f t="shared" si="1217"/>
        <v>0</v>
      </c>
      <c r="Z1406" s="78" t="b">
        <f t="shared" si="1218"/>
        <v>0</v>
      </c>
      <c r="AA1406" s="78" t="b">
        <f t="shared" si="1219"/>
        <v>0</v>
      </c>
      <c r="AB1406" s="78" t="b">
        <f t="shared" si="1220"/>
        <v>0</v>
      </c>
      <c r="AC1406" s="78" t="b">
        <f t="shared" si="1221"/>
        <v>0</v>
      </c>
      <c r="AD1406" s="78" t="b">
        <f t="shared" si="1222"/>
        <v>0</v>
      </c>
      <c r="AE1406" s="78" t="b">
        <f t="shared" si="1223"/>
        <v>0</v>
      </c>
      <c r="AF1406" s="78" t="b">
        <f t="shared" si="1224"/>
        <v>0</v>
      </c>
      <c r="AG1406" s="78" t="b">
        <f t="shared" si="1225"/>
        <v>0</v>
      </c>
      <c r="AH1406" s="78" t="b">
        <f t="shared" si="1226"/>
        <v>0</v>
      </c>
      <c r="AI1406" s="78" t="b">
        <f t="shared" si="1227"/>
        <v>0</v>
      </c>
      <c r="AJ1406" s="78" t="b">
        <f t="shared" si="1228"/>
        <v>0</v>
      </c>
      <c r="AK1406" s="78" t="b">
        <f t="shared" si="1229"/>
        <v>0</v>
      </c>
      <c r="AL1406" s="78" t="b">
        <f t="shared" si="1230"/>
        <v>0</v>
      </c>
      <c r="AM1406" s="78" t="b">
        <f t="shared" si="1231"/>
        <v>0</v>
      </c>
      <c r="AN1406" s="78" t="b">
        <f t="shared" si="1232"/>
        <v>0</v>
      </c>
      <c r="AO1406" s="78" t="b">
        <f t="shared" si="1233"/>
        <v>0</v>
      </c>
    </row>
    <row r="1407" spans="7:41" x14ac:dyDescent="0.35">
      <c r="G1407" s="77">
        <f t="shared" si="1203"/>
        <v>0</v>
      </c>
      <c r="H1407" s="78">
        <f t="shared" si="1204"/>
        <v>0</v>
      </c>
      <c r="I1407" s="77">
        <f t="shared" si="1205"/>
        <v>0</v>
      </c>
      <c r="J1407" s="78">
        <f t="shared" si="1206"/>
        <v>0</v>
      </c>
      <c r="K1407" s="78" t="str">
        <f t="shared" si="1207"/>
        <v>1900-01-00 00:0:00</v>
      </c>
      <c r="L1407" s="78" t="str">
        <f t="shared" si="1208"/>
        <v>1900-01-00 00:0:00</v>
      </c>
      <c r="M1407" s="79">
        <f t="shared" si="1209"/>
        <v>0</v>
      </c>
      <c r="N1407">
        <f t="shared" si="1202"/>
        <v>1</v>
      </c>
      <c r="O1407" t="str">
        <f>IFERROR(_xlfn.XLOOKUP(A1407,HC!A:A,HC!C:C),"")</f>
        <v>Workforce</v>
      </c>
      <c r="R1407" s="78" t="b">
        <f t="shared" si="1210"/>
        <v>0</v>
      </c>
      <c r="S1407" s="78" t="b">
        <f t="shared" si="1211"/>
        <v>0</v>
      </c>
      <c r="T1407" s="78" t="b">
        <f t="shared" si="1212"/>
        <v>0</v>
      </c>
      <c r="U1407" s="78" t="b">
        <f t="shared" si="1213"/>
        <v>0</v>
      </c>
      <c r="V1407" s="78" t="b">
        <f t="shared" si="1214"/>
        <v>0</v>
      </c>
      <c r="W1407" s="78" t="b">
        <f t="shared" si="1215"/>
        <v>0</v>
      </c>
      <c r="X1407" s="78" t="b">
        <f t="shared" si="1216"/>
        <v>0</v>
      </c>
      <c r="Y1407" s="78" t="b">
        <f t="shared" si="1217"/>
        <v>0</v>
      </c>
      <c r="Z1407" s="78" t="b">
        <f t="shared" si="1218"/>
        <v>0</v>
      </c>
      <c r="AA1407" s="78" t="b">
        <f t="shared" si="1219"/>
        <v>0</v>
      </c>
      <c r="AB1407" s="78" t="b">
        <f t="shared" si="1220"/>
        <v>0</v>
      </c>
      <c r="AC1407" s="78" t="b">
        <f t="shared" si="1221"/>
        <v>0</v>
      </c>
      <c r="AD1407" s="78" t="b">
        <f t="shared" si="1222"/>
        <v>0</v>
      </c>
      <c r="AE1407" s="78" t="b">
        <f t="shared" si="1223"/>
        <v>0</v>
      </c>
      <c r="AF1407" s="78" t="b">
        <f t="shared" si="1224"/>
        <v>0</v>
      </c>
      <c r="AG1407" s="78" t="b">
        <f t="shared" si="1225"/>
        <v>0</v>
      </c>
      <c r="AH1407" s="78" t="b">
        <f t="shared" si="1226"/>
        <v>0</v>
      </c>
      <c r="AI1407" s="78" t="b">
        <f t="shared" si="1227"/>
        <v>0</v>
      </c>
      <c r="AJ1407" s="78" t="b">
        <f t="shared" si="1228"/>
        <v>0</v>
      </c>
      <c r="AK1407" s="78" t="b">
        <f t="shared" si="1229"/>
        <v>0</v>
      </c>
      <c r="AL1407" s="78" t="b">
        <f t="shared" si="1230"/>
        <v>0</v>
      </c>
      <c r="AM1407" s="78" t="b">
        <f t="shared" si="1231"/>
        <v>0</v>
      </c>
      <c r="AN1407" s="78" t="b">
        <f t="shared" si="1232"/>
        <v>0</v>
      </c>
      <c r="AO1407" s="78" t="b">
        <f t="shared" si="1233"/>
        <v>0</v>
      </c>
    </row>
    <row r="1408" spans="7:41" x14ac:dyDescent="0.35">
      <c r="G1408" s="77">
        <f t="shared" si="1203"/>
        <v>0</v>
      </c>
      <c r="H1408" s="78">
        <f t="shared" si="1204"/>
        <v>0</v>
      </c>
      <c r="I1408" s="77">
        <f t="shared" si="1205"/>
        <v>0</v>
      </c>
      <c r="J1408" s="78">
        <f t="shared" si="1206"/>
        <v>0</v>
      </c>
      <c r="K1408" s="78" t="str">
        <f t="shared" si="1207"/>
        <v>1900-01-00 00:0:00</v>
      </c>
      <c r="L1408" s="78" t="str">
        <f t="shared" si="1208"/>
        <v>1900-01-00 00:0:00</v>
      </c>
      <c r="M1408" s="79">
        <f t="shared" si="1209"/>
        <v>0</v>
      </c>
      <c r="N1408">
        <f t="shared" si="1202"/>
        <v>1</v>
      </c>
      <c r="O1408" t="str">
        <f>IFERROR(_xlfn.XLOOKUP(A1408,HC!A:A,HC!C:C),"")</f>
        <v>Workforce</v>
      </c>
      <c r="R1408" s="78" t="b">
        <f t="shared" si="1210"/>
        <v>0</v>
      </c>
      <c r="S1408" s="78" t="b">
        <f t="shared" si="1211"/>
        <v>0</v>
      </c>
      <c r="T1408" s="78" t="b">
        <f t="shared" si="1212"/>
        <v>0</v>
      </c>
      <c r="U1408" s="78" t="b">
        <f t="shared" si="1213"/>
        <v>0</v>
      </c>
      <c r="V1408" s="78" t="b">
        <f t="shared" si="1214"/>
        <v>0</v>
      </c>
      <c r="W1408" s="78" t="b">
        <f t="shared" si="1215"/>
        <v>0</v>
      </c>
      <c r="X1408" s="78" t="b">
        <f t="shared" si="1216"/>
        <v>0</v>
      </c>
      <c r="Y1408" s="78" t="b">
        <f t="shared" si="1217"/>
        <v>0</v>
      </c>
      <c r="Z1408" s="78" t="b">
        <f t="shared" si="1218"/>
        <v>0</v>
      </c>
      <c r="AA1408" s="78" t="b">
        <f t="shared" si="1219"/>
        <v>0</v>
      </c>
      <c r="AB1408" s="78" t="b">
        <f t="shared" si="1220"/>
        <v>0</v>
      </c>
      <c r="AC1408" s="78" t="b">
        <f t="shared" si="1221"/>
        <v>0</v>
      </c>
      <c r="AD1408" s="78" t="b">
        <f t="shared" si="1222"/>
        <v>0</v>
      </c>
      <c r="AE1408" s="78" t="b">
        <f t="shared" si="1223"/>
        <v>0</v>
      </c>
      <c r="AF1408" s="78" t="b">
        <f t="shared" si="1224"/>
        <v>0</v>
      </c>
      <c r="AG1408" s="78" t="b">
        <f t="shared" si="1225"/>
        <v>0</v>
      </c>
      <c r="AH1408" s="78" t="b">
        <f t="shared" si="1226"/>
        <v>0</v>
      </c>
      <c r="AI1408" s="78" t="b">
        <f t="shared" si="1227"/>
        <v>0</v>
      </c>
      <c r="AJ1408" s="78" t="b">
        <f t="shared" si="1228"/>
        <v>0</v>
      </c>
      <c r="AK1408" s="78" t="b">
        <f t="shared" si="1229"/>
        <v>0</v>
      </c>
      <c r="AL1408" s="78" t="b">
        <f t="shared" si="1230"/>
        <v>0</v>
      </c>
      <c r="AM1408" s="78" t="b">
        <f t="shared" si="1231"/>
        <v>0</v>
      </c>
      <c r="AN1408" s="78" t="b">
        <f t="shared" si="1232"/>
        <v>0</v>
      </c>
      <c r="AO1408" s="78" t="b">
        <f t="shared" si="1233"/>
        <v>0</v>
      </c>
    </row>
    <row r="1409" spans="7:41" x14ac:dyDescent="0.35">
      <c r="G1409" s="77">
        <f t="shared" si="1203"/>
        <v>0</v>
      </c>
      <c r="H1409" s="78">
        <f t="shared" si="1204"/>
        <v>0</v>
      </c>
      <c r="I1409" s="77">
        <f t="shared" si="1205"/>
        <v>0</v>
      </c>
      <c r="J1409" s="78">
        <f t="shared" si="1206"/>
        <v>0</v>
      </c>
      <c r="K1409" s="78" t="str">
        <f t="shared" si="1207"/>
        <v>1900-01-00 00:0:00</v>
      </c>
      <c r="L1409" s="78" t="str">
        <f t="shared" si="1208"/>
        <v>1900-01-00 00:0:00</v>
      </c>
      <c r="M1409" s="79">
        <f t="shared" si="1209"/>
        <v>0</v>
      </c>
      <c r="N1409">
        <f t="shared" si="1202"/>
        <v>1</v>
      </c>
      <c r="O1409" t="str">
        <f>IFERROR(_xlfn.XLOOKUP(A1409,HC!A:A,HC!C:C),"")</f>
        <v>Workforce</v>
      </c>
      <c r="R1409" s="78" t="b">
        <f t="shared" si="1210"/>
        <v>0</v>
      </c>
      <c r="S1409" s="78" t="b">
        <f t="shared" si="1211"/>
        <v>0</v>
      </c>
      <c r="T1409" s="78" t="b">
        <f t="shared" si="1212"/>
        <v>0</v>
      </c>
      <c r="U1409" s="78" t="b">
        <f t="shared" si="1213"/>
        <v>0</v>
      </c>
      <c r="V1409" s="78" t="b">
        <f t="shared" si="1214"/>
        <v>0</v>
      </c>
      <c r="W1409" s="78" t="b">
        <f t="shared" si="1215"/>
        <v>0</v>
      </c>
      <c r="X1409" s="78" t="b">
        <f t="shared" si="1216"/>
        <v>0</v>
      </c>
      <c r="Y1409" s="78" t="b">
        <f t="shared" si="1217"/>
        <v>0</v>
      </c>
      <c r="Z1409" s="78" t="b">
        <f t="shared" si="1218"/>
        <v>0</v>
      </c>
      <c r="AA1409" s="78" t="b">
        <f t="shared" si="1219"/>
        <v>0</v>
      </c>
      <c r="AB1409" s="78" t="b">
        <f t="shared" si="1220"/>
        <v>0</v>
      </c>
      <c r="AC1409" s="78" t="b">
        <f t="shared" si="1221"/>
        <v>0</v>
      </c>
      <c r="AD1409" s="78" t="b">
        <f t="shared" si="1222"/>
        <v>0</v>
      </c>
      <c r="AE1409" s="78" t="b">
        <f t="shared" si="1223"/>
        <v>0</v>
      </c>
      <c r="AF1409" s="78" t="b">
        <f t="shared" si="1224"/>
        <v>0</v>
      </c>
      <c r="AG1409" s="78" t="b">
        <f t="shared" si="1225"/>
        <v>0</v>
      </c>
      <c r="AH1409" s="78" t="b">
        <f t="shared" si="1226"/>
        <v>0</v>
      </c>
      <c r="AI1409" s="78" t="b">
        <f t="shared" si="1227"/>
        <v>0</v>
      </c>
      <c r="AJ1409" s="78" t="b">
        <f t="shared" si="1228"/>
        <v>0</v>
      </c>
      <c r="AK1409" s="78" t="b">
        <f t="shared" si="1229"/>
        <v>0</v>
      </c>
      <c r="AL1409" s="78" t="b">
        <f t="shared" si="1230"/>
        <v>0</v>
      </c>
      <c r="AM1409" s="78" t="b">
        <f t="shared" si="1231"/>
        <v>0</v>
      </c>
      <c r="AN1409" s="78" t="b">
        <f t="shared" si="1232"/>
        <v>0</v>
      </c>
      <c r="AO1409" s="78" t="b">
        <f t="shared" si="1233"/>
        <v>0</v>
      </c>
    </row>
    <row r="1410" spans="7:41" x14ac:dyDescent="0.35">
      <c r="G1410" s="77">
        <f t="shared" si="1203"/>
        <v>0</v>
      </c>
      <c r="H1410" s="78">
        <f t="shared" si="1204"/>
        <v>0</v>
      </c>
      <c r="I1410" s="77">
        <f t="shared" si="1205"/>
        <v>0</v>
      </c>
      <c r="J1410" s="78">
        <f t="shared" si="1206"/>
        <v>0</v>
      </c>
      <c r="K1410" s="78" t="str">
        <f t="shared" si="1207"/>
        <v>1900-01-00 00:0:00</v>
      </c>
      <c r="L1410" s="78" t="str">
        <f t="shared" si="1208"/>
        <v>1900-01-00 00:0:00</v>
      </c>
      <c r="M1410" s="79">
        <f t="shared" si="1209"/>
        <v>0</v>
      </c>
      <c r="N1410">
        <f t="shared" si="1202"/>
        <v>1</v>
      </c>
      <c r="O1410" t="str">
        <f>IFERROR(_xlfn.XLOOKUP(A1410,HC!A:A,HC!C:C),"")</f>
        <v>Workforce</v>
      </c>
      <c r="R1410" s="78" t="b">
        <f t="shared" si="1210"/>
        <v>0</v>
      </c>
      <c r="S1410" s="78" t="b">
        <f t="shared" si="1211"/>
        <v>0</v>
      </c>
      <c r="T1410" s="78" t="b">
        <f t="shared" si="1212"/>
        <v>0</v>
      </c>
      <c r="U1410" s="78" t="b">
        <f t="shared" si="1213"/>
        <v>0</v>
      </c>
      <c r="V1410" s="78" t="b">
        <f t="shared" si="1214"/>
        <v>0</v>
      </c>
      <c r="W1410" s="78" t="b">
        <f t="shared" si="1215"/>
        <v>0</v>
      </c>
      <c r="X1410" s="78" t="b">
        <f t="shared" si="1216"/>
        <v>0</v>
      </c>
      <c r="Y1410" s="78" t="b">
        <f t="shared" si="1217"/>
        <v>0</v>
      </c>
      <c r="Z1410" s="78" t="b">
        <f t="shared" si="1218"/>
        <v>0</v>
      </c>
      <c r="AA1410" s="78" t="b">
        <f t="shared" si="1219"/>
        <v>0</v>
      </c>
      <c r="AB1410" s="78" t="b">
        <f t="shared" si="1220"/>
        <v>0</v>
      </c>
      <c r="AC1410" s="78" t="b">
        <f t="shared" si="1221"/>
        <v>0</v>
      </c>
      <c r="AD1410" s="78" t="b">
        <f t="shared" si="1222"/>
        <v>0</v>
      </c>
      <c r="AE1410" s="78" t="b">
        <f t="shared" si="1223"/>
        <v>0</v>
      </c>
      <c r="AF1410" s="78" t="b">
        <f t="shared" si="1224"/>
        <v>0</v>
      </c>
      <c r="AG1410" s="78" t="b">
        <f t="shared" si="1225"/>
        <v>0</v>
      </c>
      <c r="AH1410" s="78" t="b">
        <f t="shared" si="1226"/>
        <v>0</v>
      </c>
      <c r="AI1410" s="78" t="b">
        <f t="shared" si="1227"/>
        <v>0</v>
      </c>
      <c r="AJ1410" s="78" t="b">
        <f t="shared" si="1228"/>
        <v>0</v>
      </c>
      <c r="AK1410" s="78" t="b">
        <f t="shared" si="1229"/>
        <v>0</v>
      </c>
      <c r="AL1410" s="78" t="b">
        <f t="shared" si="1230"/>
        <v>0</v>
      </c>
      <c r="AM1410" s="78" t="b">
        <f t="shared" si="1231"/>
        <v>0</v>
      </c>
      <c r="AN1410" s="78" t="b">
        <f t="shared" si="1232"/>
        <v>0</v>
      </c>
      <c r="AO1410" s="78" t="b">
        <f t="shared" si="1233"/>
        <v>0</v>
      </c>
    </row>
    <row r="1411" spans="7:41" x14ac:dyDescent="0.35">
      <c r="G1411" s="77">
        <f t="shared" si="1203"/>
        <v>0</v>
      </c>
      <c r="H1411" s="78">
        <f t="shared" si="1204"/>
        <v>0</v>
      </c>
      <c r="I1411" s="77">
        <f t="shared" si="1205"/>
        <v>0</v>
      </c>
      <c r="J1411" s="78">
        <f t="shared" si="1206"/>
        <v>0</v>
      </c>
      <c r="K1411" s="78" t="str">
        <f t="shared" si="1207"/>
        <v>1900-01-00 00:0:00</v>
      </c>
      <c r="L1411" s="78" t="str">
        <f t="shared" si="1208"/>
        <v>1900-01-00 00:0:00</v>
      </c>
      <c r="M1411" s="79">
        <f t="shared" si="1209"/>
        <v>0</v>
      </c>
      <c r="N1411">
        <f t="shared" si="1202"/>
        <v>1</v>
      </c>
      <c r="O1411" t="str">
        <f>IFERROR(_xlfn.XLOOKUP(A1411,HC!A:A,HC!C:C),"")</f>
        <v>Workforce</v>
      </c>
      <c r="R1411" s="78" t="b">
        <f t="shared" si="1210"/>
        <v>0</v>
      </c>
      <c r="S1411" s="78" t="b">
        <f t="shared" si="1211"/>
        <v>0</v>
      </c>
      <c r="T1411" s="78" t="b">
        <f t="shared" si="1212"/>
        <v>0</v>
      </c>
      <c r="U1411" s="78" t="b">
        <f t="shared" si="1213"/>
        <v>0</v>
      </c>
      <c r="V1411" s="78" t="b">
        <f t="shared" si="1214"/>
        <v>0</v>
      </c>
      <c r="W1411" s="78" t="b">
        <f t="shared" si="1215"/>
        <v>0</v>
      </c>
      <c r="X1411" s="78" t="b">
        <f t="shared" si="1216"/>
        <v>0</v>
      </c>
      <c r="Y1411" s="78" t="b">
        <f t="shared" si="1217"/>
        <v>0</v>
      </c>
      <c r="Z1411" s="78" t="b">
        <f t="shared" si="1218"/>
        <v>0</v>
      </c>
      <c r="AA1411" s="78" t="b">
        <f t="shared" si="1219"/>
        <v>0</v>
      </c>
      <c r="AB1411" s="78" t="b">
        <f t="shared" si="1220"/>
        <v>0</v>
      </c>
      <c r="AC1411" s="78" t="b">
        <f t="shared" si="1221"/>
        <v>0</v>
      </c>
      <c r="AD1411" s="78" t="b">
        <f t="shared" si="1222"/>
        <v>0</v>
      </c>
      <c r="AE1411" s="78" t="b">
        <f t="shared" si="1223"/>
        <v>0</v>
      </c>
      <c r="AF1411" s="78" t="b">
        <f t="shared" si="1224"/>
        <v>0</v>
      </c>
      <c r="AG1411" s="78" t="b">
        <f t="shared" si="1225"/>
        <v>0</v>
      </c>
      <c r="AH1411" s="78" t="b">
        <f t="shared" si="1226"/>
        <v>0</v>
      </c>
      <c r="AI1411" s="78" t="b">
        <f t="shared" si="1227"/>
        <v>0</v>
      </c>
      <c r="AJ1411" s="78" t="b">
        <f t="shared" si="1228"/>
        <v>0</v>
      </c>
      <c r="AK1411" s="78" t="b">
        <f t="shared" si="1229"/>
        <v>0</v>
      </c>
      <c r="AL1411" s="78" t="b">
        <f t="shared" si="1230"/>
        <v>0</v>
      </c>
      <c r="AM1411" s="78" t="b">
        <f t="shared" si="1231"/>
        <v>0</v>
      </c>
      <c r="AN1411" s="78" t="b">
        <f t="shared" si="1232"/>
        <v>0</v>
      </c>
      <c r="AO1411" s="78" t="b">
        <f t="shared" si="1233"/>
        <v>0</v>
      </c>
    </row>
    <row r="1412" spans="7:41" x14ac:dyDescent="0.35">
      <c r="G1412" s="77">
        <f t="shared" si="1203"/>
        <v>0</v>
      </c>
      <c r="H1412" s="78">
        <f t="shared" si="1204"/>
        <v>0</v>
      </c>
      <c r="I1412" s="77">
        <f t="shared" si="1205"/>
        <v>0</v>
      </c>
      <c r="J1412" s="78">
        <f t="shared" si="1206"/>
        <v>0</v>
      </c>
      <c r="K1412" s="78" t="str">
        <f t="shared" si="1207"/>
        <v>1900-01-00 00:0:00</v>
      </c>
      <c r="L1412" s="78" t="str">
        <f t="shared" si="1208"/>
        <v>1900-01-00 00:0:00</v>
      </c>
      <c r="M1412" s="79">
        <f t="shared" si="1209"/>
        <v>0</v>
      </c>
      <c r="N1412">
        <f t="shared" ref="N1412:N1475" si="1234">IF(M1412&lt;$BA$1,1,0)</f>
        <v>1</v>
      </c>
      <c r="O1412" t="str">
        <f>IFERROR(_xlfn.XLOOKUP(A1412,HC!A:A,HC!C:C),"")</f>
        <v>Workforce</v>
      </c>
      <c r="R1412" s="78" t="b">
        <f t="shared" si="1210"/>
        <v>0</v>
      </c>
      <c r="S1412" s="78" t="b">
        <f t="shared" si="1211"/>
        <v>0</v>
      </c>
      <c r="T1412" s="78" t="b">
        <f t="shared" si="1212"/>
        <v>0</v>
      </c>
      <c r="U1412" s="78" t="b">
        <f t="shared" si="1213"/>
        <v>0</v>
      </c>
      <c r="V1412" s="78" t="b">
        <f t="shared" si="1214"/>
        <v>0</v>
      </c>
      <c r="W1412" s="78" t="b">
        <f t="shared" si="1215"/>
        <v>0</v>
      </c>
      <c r="X1412" s="78" t="b">
        <f t="shared" si="1216"/>
        <v>0</v>
      </c>
      <c r="Y1412" s="78" t="b">
        <f t="shared" si="1217"/>
        <v>0</v>
      </c>
      <c r="Z1412" s="78" t="b">
        <f t="shared" si="1218"/>
        <v>0</v>
      </c>
      <c r="AA1412" s="78" t="b">
        <f t="shared" si="1219"/>
        <v>0</v>
      </c>
      <c r="AB1412" s="78" t="b">
        <f t="shared" si="1220"/>
        <v>0</v>
      </c>
      <c r="AC1412" s="78" t="b">
        <f t="shared" si="1221"/>
        <v>0</v>
      </c>
      <c r="AD1412" s="78" t="b">
        <f t="shared" si="1222"/>
        <v>0</v>
      </c>
      <c r="AE1412" s="78" t="b">
        <f t="shared" si="1223"/>
        <v>0</v>
      </c>
      <c r="AF1412" s="78" t="b">
        <f t="shared" si="1224"/>
        <v>0</v>
      </c>
      <c r="AG1412" s="78" t="b">
        <f t="shared" si="1225"/>
        <v>0</v>
      </c>
      <c r="AH1412" s="78" t="b">
        <f t="shared" si="1226"/>
        <v>0</v>
      </c>
      <c r="AI1412" s="78" t="b">
        <f t="shared" si="1227"/>
        <v>0</v>
      </c>
      <c r="AJ1412" s="78" t="b">
        <f t="shared" si="1228"/>
        <v>0</v>
      </c>
      <c r="AK1412" s="78" t="b">
        <f t="shared" si="1229"/>
        <v>0</v>
      </c>
      <c r="AL1412" s="78" t="b">
        <f t="shared" si="1230"/>
        <v>0</v>
      </c>
      <c r="AM1412" s="78" t="b">
        <f t="shared" si="1231"/>
        <v>0</v>
      </c>
      <c r="AN1412" s="78" t="b">
        <f t="shared" si="1232"/>
        <v>0</v>
      </c>
      <c r="AO1412" s="78" t="b">
        <f t="shared" si="1233"/>
        <v>0</v>
      </c>
    </row>
    <row r="1413" spans="7:41" x14ac:dyDescent="0.35">
      <c r="G1413" s="77">
        <f t="shared" si="1203"/>
        <v>0</v>
      </c>
      <c r="H1413" s="78">
        <f t="shared" si="1204"/>
        <v>0</v>
      </c>
      <c r="I1413" s="77">
        <f t="shared" si="1205"/>
        <v>0</v>
      </c>
      <c r="J1413" s="78">
        <f t="shared" si="1206"/>
        <v>0</v>
      </c>
      <c r="K1413" s="78" t="str">
        <f t="shared" si="1207"/>
        <v>1900-01-00 00:0:00</v>
      </c>
      <c r="L1413" s="78" t="str">
        <f t="shared" si="1208"/>
        <v>1900-01-00 00:0:00</v>
      </c>
      <c r="M1413" s="79">
        <f t="shared" si="1209"/>
        <v>0</v>
      </c>
      <c r="N1413">
        <f t="shared" si="1234"/>
        <v>1</v>
      </c>
      <c r="O1413" t="str">
        <f>IFERROR(_xlfn.XLOOKUP(A1413,HC!A:A,HC!C:C),"")</f>
        <v>Workforce</v>
      </c>
      <c r="R1413" s="78" t="b">
        <f t="shared" si="1210"/>
        <v>0</v>
      </c>
      <c r="S1413" s="78" t="b">
        <f t="shared" si="1211"/>
        <v>0</v>
      </c>
      <c r="T1413" s="78" t="b">
        <f t="shared" si="1212"/>
        <v>0</v>
      </c>
      <c r="U1413" s="78" t="b">
        <f t="shared" si="1213"/>
        <v>0</v>
      </c>
      <c r="V1413" s="78" t="b">
        <f t="shared" si="1214"/>
        <v>0</v>
      </c>
      <c r="W1413" s="78" t="b">
        <f t="shared" si="1215"/>
        <v>0</v>
      </c>
      <c r="X1413" s="78" t="b">
        <f t="shared" si="1216"/>
        <v>0</v>
      </c>
      <c r="Y1413" s="78" t="b">
        <f t="shared" si="1217"/>
        <v>0</v>
      </c>
      <c r="Z1413" s="78" t="b">
        <f t="shared" si="1218"/>
        <v>0</v>
      </c>
      <c r="AA1413" s="78" t="b">
        <f t="shared" si="1219"/>
        <v>0</v>
      </c>
      <c r="AB1413" s="78" t="b">
        <f t="shared" si="1220"/>
        <v>0</v>
      </c>
      <c r="AC1413" s="78" t="b">
        <f t="shared" si="1221"/>
        <v>0</v>
      </c>
      <c r="AD1413" s="78" t="b">
        <f t="shared" si="1222"/>
        <v>0</v>
      </c>
      <c r="AE1413" s="78" t="b">
        <f t="shared" si="1223"/>
        <v>0</v>
      </c>
      <c r="AF1413" s="78" t="b">
        <f t="shared" si="1224"/>
        <v>0</v>
      </c>
      <c r="AG1413" s="78" t="b">
        <f t="shared" si="1225"/>
        <v>0</v>
      </c>
      <c r="AH1413" s="78" t="b">
        <f t="shared" si="1226"/>
        <v>0</v>
      </c>
      <c r="AI1413" s="78" t="b">
        <f t="shared" si="1227"/>
        <v>0</v>
      </c>
      <c r="AJ1413" s="78" t="b">
        <f t="shared" si="1228"/>
        <v>0</v>
      </c>
      <c r="AK1413" s="78" t="b">
        <f t="shared" si="1229"/>
        <v>0</v>
      </c>
      <c r="AL1413" s="78" t="b">
        <f t="shared" si="1230"/>
        <v>0</v>
      </c>
      <c r="AM1413" s="78" t="b">
        <f t="shared" si="1231"/>
        <v>0</v>
      </c>
      <c r="AN1413" s="78" t="b">
        <f t="shared" si="1232"/>
        <v>0</v>
      </c>
      <c r="AO1413" s="78" t="b">
        <f t="shared" si="1233"/>
        <v>0</v>
      </c>
    </row>
    <row r="1414" spans="7:41" x14ac:dyDescent="0.35">
      <c r="G1414" s="77">
        <f t="shared" si="1203"/>
        <v>0</v>
      </c>
      <c r="H1414" s="78">
        <f t="shared" si="1204"/>
        <v>0</v>
      </c>
      <c r="I1414" s="77">
        <f t="shared" si="1205"/>
        <v>0</v>
      </c>
      <c r="J1414" s="78">
        <f t="shared" si="1206"/>
        <v>0</v>
      </c>
      <c r="K1414" s="78" t="str">
        <f t="shared" si="1207"/>
        <v>1900-01-00 00:0:00</v>
      </c>
      <c r="L1414" s="78" t="str">
        <f t="shared" si="1208"/>
        <v>1900-01-00 00:0:00</v>
      </c>
      <c r="M1414" s="79">
        <f t="shared" si="1209"/>
        <v>0</v>
      </c>
      <c r="N1414">
        <f t="shared" si="1234"/>
        <v>1</v>
      </c>
      <c r="O1414" t="str">
        <f>IFERROR(_xlfn.XLOOKUP(A1414,HC!A:A,HC!C:C),"")</f>
        <v>Workforce</v>
      </c>
      <c r="R1414" s="78" t="b">
        <f t="shared" si="1210"/>
        <v>0</v>
      </c>
      <c r="S1414" s="78" t="b">
        <f t="shared" si="1211"/>
        <v>0</v>
      </c>
      <c r="T1414" s="78" t="b">
        <f t="shared" si="1212"/>
        <v>0</v>
      </c>
      <c r="U1414" s="78" t="b">
        <f t="shared" si="1213"/>
        <v>0</v>
      </c>
      <c r="V1414" s="78" t="b">
        <f t="shared" si="1214"/>
        <v>0</v>
      </c>
      <c r="W1414" s="78" t="b">
        <f t="shared" si="1215"/>
        <v>0</v>
      </c>
      <c r="X1414" s="78" t="b">
        <f t="shared" si="1216"/>
        <v>0</v>
      </c>
      <c r="Y1414" s="78" t="b">
        <f t="shared" si="1217"/>
        <v>0</v>
      </c>
      <c r="Z1414" s="78" t="b">
        <f t="shared" si="1218"/>
        <v>0</v>
      </c>
      <c r="AA1414" s="78" t="b">
        <f t="shared" si="1219"/>
        <v>0</v>
      </c>
      <c r="AB1414" s="78" t="b">
        <f t="shared" si="1220"/>
        <v>0</v>
      </c>
      <c r="AC1414" s="78" t="b">
        <f t="shared" si="1221"/>
        <v>0</v>
      </c>
      <c r="AD1414" s="78" t="b">
        <f t="shared" si="1222"/>
        <v>0</v>
      </c>
      <c r="AE1414" s="78" t="b">
        <f t="shared" si="1223"/>
        <v>0</v>
      </c>
      <c r="AF1414" s="78" t="b">
        <f t="shared" si="1224"/>
        <v>0</v>
      </c>
      <c r="AG1414" s="78" t="b">
        <f t="shared" si="1225"/>
        <v>0</v>
      </c>
      <c r="AH1414" s="78" t="b">
        <f t="shared" si="1226"/>
        <v>0</v>
      </c>
      <c r="AI1414" s="78" t="b">
        <f t="shared" si="1227"/>
        <v>0</v>
      </c>
      <c r="AJ1414" s="78" t="b">
        <f t="shared" si="1228"/>
        <v>0</v>
      </c>
      <c r="AK1414" s="78" t="b">
        <f t="shared" si="1229"/>
        <v>0</v>
      </c>
      <c r="AL1414" s="78" t="b">
        <f t="shared" si="1230"/>
        <v>0</v>
      </c>
      <c r="AM1414" s="78" t="b">
        <f t="shared" si="1231"/>
        <v>0</v>
      </c>
      <c r="AN1414" s="78" t="b">
        <f t="shared" si="1232"/>
        <v>0</v>
      </c>
      <c r="AO1414" s="78" t="b">
        <f t="shared" si="1233"/>
        <v>0</v>
      </c>
    </row>
    <row r="1415" spans="7:41" x14ac:dyDescent="0.35">
      <c r="G1415" s="77">
        <f t="shared" si="1203"/>
        <v>0</v>
      </c>
      <c r="H1415" s="78">
        <f t="shared" si="1204"/>
        <v>0</v>
      </c>
      <c r="I1415" s="77">
        <f t="shared" si="1205"/>
        <v>0</v>
      </c>
      <c r="J1415" s="78">
        <f t="shared" si="1206"/>
        <v>0</v>
      </c>
      <c r="K1415" s="78" t="str">
        <f t="shared" si="1207"/>
        <v>1900-01-00 00:0:00</v>
      </c>
      <c r="L1415" s="78" t="str">
        <f t="shared" si="1208"/>
        <v>1900-01-00 00:0:00</v>
      </c>
      <c r="M1415" s="79">
        <f t="shared" si="1209"/>
        <v>0</v>
      </c>
      <c r="N1415">
        <f t="shared" si="1234"/>
        <v>1</v>
      </c>
      <c r="O1415" t="str">
        <f>IFERROR(_xlfn.XLOOKUP(A1415,HC!A:A,HC!C:C),"")</f>
        <v>Workforce</v>
      </c>
      <c r="R1415" s="78" t="b">
        <f t="shared" si="1210"/>
        <v>0</v>
      </c>
      <c r="S1415" s="78" t="b">
        <f t="shared" si="1211"/>
        <v>0</v>
      </c>
      <c r="T1415" s="78" t="b">
        <f t="shared" si="1212"/>
        <v>0</v>
      </c>
      <c r="U1415" s="78" t="b">
        <f t="shared" si="1213"/>
        <v>0</v>
      </c>
      <c r="V1415" s="78" t="b">
        <f t="shared" si="1214"/>
        <v>0</v>
      </c>
      <c r="W1415" s="78" t="b">
        <f t="shared" si="1215"/>
        <v>0</v>
      </c>
      <c r="X1415" s="78" t="b">
        <f t="shared" si="1216"/>
        <v>0</v>
      </c>
      <c r="Y1415" s="78" t="b">
        <f t="shared" si="1217"/>
        <v>0</v>
      </c>
      <c r="Z1415" s="78" t="b">
        <f t="shared" si="1218"/>
        <v>0</v>
      </c>
      <c r="AA1415" s="78" t="b">
        <f t="shared" si="1219"/>
        <v>0</v>
      </c>
      <c r="AB1415" s="78" t="b">
        <f t="shared" si="1220"/>
        <v>0</v>
      </c>
      <c r="AC1415" s="78" t="b">
        <f t="shared" si="1221"/>
        <v>0</v>
      </c>
      <c r="AD1415" s="78" t="b">
        <f t="shared" si="1222"/>
        <v>0</v>
      </c>
      <c r="AE1415" s="78" t="b">
        <f t="shared" si="1223"/>
        <v>0</v>
      </c>
      <c r="AF1415" s="78" t="b">
        <f t="shared" si="1224"/>
        <v>0</v>
      </c>
      <c r="AG1415" s="78" t="b">
        <f t="shared" si="1225"/>
        <v>0</v>
      </c>
      <c r="AH1415" s="78" t="b">
        <f t="shared" si="1226"/>
        <v>0</v>
      </c>
      <c r="AI1415" s="78" t="b">
        <f t="shared" si="1227"/>
        <v>0</v>
      </c>
      <c r="AJ1415" s="78" t="b">
        <f t="shared" si="1228"/>
        <v>0</v>
      </c>
      <c r="AK1415" s="78" t="b">
        <f t="shared" si="1229"/>
        <v>0</v>
      </c>
      <c r="AL1415" s="78" t="b">
        <f t="shared" si="1230"/>
        <v>0</v>
      </c>
      <c r="AM1415" s="78" t="b">
        <f t="shared" si="1231"/>
        <v>0</v>
      </c>
      <c r="AN1415" s="78" t="b">
        <f t="shared" si="1232"/>
        <v>0</v>
      </c>
      <c r="AO1415" s="78" t="b">
        <f t="shared" si="1233"/>
        <v>0</v>
      </c>
    </row>
    <row r="1416" spans="7:41" x14ac:dyDescent="0.35">
      <c r="G1416" s="77">
        <f t="shared" si="1203"/>
        <v>0</v>
      </c>
      <c r="H1416" s="78">
        <f t="shared" si="1204"/>
        <v>0</v>
      </c>
      <c r="I1416" s="77">
        <f t="shared" si="1205"/>
        <v>0</v>
      </c>
      <c r="J1416" s="78">
        <f t="shared" si="1206"/>
        <v>0</v>
      </c>
      <c r="K1416" s="78" t="str">
        <f t="shared" si="1207"/>
        <v>1900-01-00 00:0:00</v>
      </c>
      <c r="L1416" s="78" t="str">
        <f t="shared" si="1208"/>
        <v>1900-01-00 00:0:00</v>
      </c>
      <c r="M1416" s="79">
        <f t="shared" si="1209"/>
        <v>0</v>
      </c>
      <c r="N1416">
        <f t="shared" si="1234"/>
        <v>1</v>
      </c>
      <c r="O1416" t="str">
        <f>IFERROR(_xlfn.XLOOKUP(A1416,HC!A:A,HC!C:C),"")</f>
        <v>Workforce</v>
      </c>
      <c r="R1416" s="78" t="b">
        <f t="shared" si="1210"/>
        <v>0</v>
      </c>
      <c r="S1416" s="78" t="b">
        <f t="shared" si="1211"/>
        <v>0</v>
      </c>
      <c r="T1416" s="78" t="b">
        <f t="shared" si="1212"/>
        <v>0</v>
      </c>
      <c r="U1416" s="78" t="b">
        <f t="shared" si="1213"/>
        <v>0</v>
      </c>
      <c r="V1416" s="78" t="b">
        <f t="shared" si="1214"/>
        <v>0</v>
      </c>
      <c r="W1416" s="78" t="b">
        <f t="shared" si="1215"/>
        <v>0</v>
      </c>
      <c r="X1416" s="78" t="b">
        <f t="shared" si="1216"/>
        <v>0</v>
      </c>
      <c r="Y1416" s="78" t="b">
        <f t="shared" si="1217"/>
        <v>0</v>
      </c>
      <c r="Z1416" s="78" t="b">
        <f t="shared" si="1218"/>
        <v>0</v>
      </c>
      <c r="AA1416" s="78" t="b">
        <f t="shared" si="1219"/>
        <v>0</v>
      </c>
      <c r="AB1416" s="78" t="b">
        <f t="shared" si="1220"/>
        <v>0</v>
      </c>
      <c r="AC1416" s="78" t="b">
        <f t="shared" si="1221"/>
        <v>0</v>
      </c>
      <c r="AD1416" s="78" t="b">
        <f t="shared" si="1222"/>
        <v>0</v>
      </c>
      <c r="AE1416" s="78" t="b">
        <f t="shared" si="1223"/>
        <v>0</v>
      </c>
      <c r="AF1416" s="78" t="b">
        <f t="shared" si="1224"/>
        <v>0</v>
      </c>
      <c r="AG1416" s="78" t="b">
        <f t="shared" si="1225"/>
        <v>0</v>
      </c>
      <c r="AH1416" s="78" t="b">
        <f t="shared" si="1226"/>
        <v>0</v>
      </c>
      <c r="AI1416" s="78" t="b">
        <f t="shared" si="1227"/>
        <v>0</v>
      </c>
      <c r="AJ1416" s="78" t="b">
        <f t="shared" si="1228"/>
        <v>0</v>
      </c>
      <c r="AK1416" s="78" t="b">
        <f t="shared" si="1229"/>
        <v>0</v>
      </c>
      <c r="AL1416" s="78" t="b">
        <f t="shared" si="1230"/>
        <v>0</v>
      </c>
      <c r="AM1416" s="78" t="b">
        <f t="shared" si="1231"/>
        <v>0</v>
      </c>
      <c r="AN1416" s="78" t="b">
        <f t="shared" si="1232"/>
        <v>0</v>
      </c>
      <c r="AO1416" s="78" t="b">
        <f t="shared" si="1233"/>
        <v>0</v>
      </c>
    </row>
    <row r="1417" spans="7:41" x14ac:dyDescent="0.35">
      <c r="G1417" s="77">
        <f t="shared" si="1203"/>
        <v>0</v>
      </c>
      <c r="H1417" s="78">
        <f t="shared" si="1204"/>
        <v>0</v>
      </c>
      <c r="I1417" s="77">
        <f t="shared" si="1205"/>
        <v>0</v>
      </c>
      <c r="J1417" s="78">
        <f t="shared" si="1206"/>
        <v>0</v>
      </c>
      <c r="K1417" s="78" t="str">
        <f t="shared" si="1207"/>
        <v>1900-01-00 00:0:00</v>
      </c>
      <c r="L1417" s="78" t="str">
        <f t="shared" si="1208"/>
        <v>1900-01-00 00:0:00</v>
      </c>
      <c r="M1417" s="79">
        <f t="shared" si="1209"/>
        <v>0</v>
      </c>
      <c r="N1417">
        <f t="shared" si="1234"/>
        <v>1</v>
      </c>
      <c r="O1417" t="str">
        <f>IFERROR(_xlfn.XLOOKUP(A1417,HC!A:A,HC!C:C),"")</f>
        <v>Workforce</v>
      </c>
      <c r="R1417" s="78" t="b">
        <f t="shared" si="1210"/>
        <v>0</v>
      </c>
      <c r="S1417" s="78" t="b">
        <f t="shared" si="1211"/>
        <v>0</v>
      </c>
      <c r="T1417" s="78" t="b">
        <f t="shared" si="1212"/>
        <v>0</v>
      </c>
      <c r="U1417" s="78" t="b">
        <f t="shared" si="1213"/>
        <v>0</v>
      </c>
      <c r="V1417" s="78" t="b">
        <f t="shared" si="1214"/>
        <v>0</v>
      </c>
      <c r="W1417" s="78" t="b">
        <f t="shared" si="1215"/>
        <v>0</v>
      </c>
      <c r="X1417" s="78" t="b">
        <f t="shared" si="1216"/>
        <v>0</v>
      </c>
      <c r="Y1417" s="78" t="b">
        <f t="shared" si="1217"/>
        <v>0</v>
      </c>
      <c r="Z1417" s="78" t="b">
        <f t="shared" si="1218"/>
        <v>0</v>
      </c>
      <c r="AA1417" s="78" t="b">
        <f t="shared" si="1219"/>
        <v>0</v>
      </c>
      <c r="AB1417" s="78" t="b">
        <f t="shared" si="1220"/>
        <v>0</v>
      </c>
      <c r="AC1417" s="78" t="b">
        <f t="shared" si="1221"/>
        <v>0</v>
      </c>
      <c r="AD1417" s="78" t="b">
        <f t="shared" si="1222"/>
        <v>0</v>
      </c>
      <c r="AE1417" s="78" t="b">
        <f t="shared" si="1223"/>
        <v>0</v>
      </c>
      <c r="AF1417" s="78" t="b">
        <f t="shared" si="1224"/>
        <v>0</v>
      </c>
      <c r="AG1417" s="78" t="b">
        <f t="shared" si="1225"/>
        <v>0</v>
      </c>
      <c r="AH1417" s="78" t="b">
        <f t="shared" si="1226"/>
        <v>0</v>
      </c>
      <c r="AI1417" s="78" t="b">
        <f t="shared" si="1227"/>
        <v>0</v>
      </c>
      <c r="AJ1417" s="78" t="b">
        <f t="shared" si="1228"/>
        <v>0</v>
      </c>
      <c r="AK1417" s="78" t="b">
        <f t="shared" si="1229"/>
        <v>0</v>
      </c>
      <c r="AL1417" s="78" t="b">
        <f t="shared" si="1230"/>
        <v>0</v>
      </c>
      <c r="AM1417" s="78" t="b">
        <f t="shared" si="1231"/>
        <v>0</v>
      </c>
      <c r="AN1417" s="78" t="b">
        <f t="shared" si="1232"/>
        <v>0</v>
      </c>
      <c r="AO1417" s="78" t="b">
        <f t="shared" si="1233"/>
        <v>0</v>
      </c>
    </row>
    <row r="1418" spans="7:41" x14ac:dyDescent="0.35">
      <c r="G1418" s="77">
        <f t="shared" si="1203"/>
        <v>0</v>
      </c>
      <c r="H1418" s="78">
        <f t="shared" si="1204"/>
        <v>0</v>
      </c>
      <c r="I1418" s="77">
        <f t="shared" si="1205"/>
        <v>0</v>
      </c>
      <c r="J1418" s="78">
        <f t="shared" si="1206"/>
        <v>0</v>
      </c>
      <c r="K1418" s="78" t="str">
        <f t="shared" si="1207"/>
        <v>1900-01-00 00:0:00</v>
      </c>
      <c r="L1418" s="78" t="str">
        <f t="shared" si="1208"/>
        <v>1900-01-00 00:0:00</v>
      </c>
      <c r="M1418" s="79">
        <f t="shared" si="1209"/>
        <v>0</v>
      </c>
      <c r="N1418">
        <f t="shared" si="1234"/>
        <v>1</v>
      </c>
      <c r="O1418" t="str">
        <f>IFERROR(_xlfn.XLOOKUP(A1418,HC!A:A,HC!C:C),"")</f>
        <v>Workforce</v>
      </c>
      <c r="R1418" s="78" t="b">
        <f t="shared" si="1210"/>
        <v>0</v>
      </c>
      <c r="S1418" s="78" t="b">
        <f t="shared" si="1211"/>
        <v>0</v>
      </c>
      <c r="T1418" s="78" t="b">
        <f t="shared" si="1212"/>
        <v>0</v>
      </c>
      <c r="U1418" s="78" t="b">
        <f t="shared" si="1213"/>
        <v>0</v>
      </c>
      <c r="V1418" s="78" t="b">
        <f t="shared" si="1214"/>
        <v>0</v>
      </c>
      <c r="W1418" s="78" t="b">
        <f t="shared" si="1215"/>
        <v>0</v>
      </c>
      <c r="X1418" s="78" t="b">
        <f t="shared" si="1216"/>
        <v>0</v>
      </c>
      <c r="Y1418" s="78" t="b">
        <f t="shared" si="1217"/>
        <v>0</v>
      </c>
      <c r="Z1418" s="78" t="b">
        <f t="shared" si="1218"/>
        <v>0</v>
      </c>
      <c r="AA1418" s="78" t="b">
        <f t="shared" si="1219"/>
        <v>0</v>
      </c>
      <c r="AB1418" s="78" t="b">
        <f t="shared" si="1220"/>
        <v>0</v>
      </c>
      <c r="AC1418" s="78" t="b">
        <f t="shared" si="1221"/>
        <v>0</v>
      </c>
      <c r="AD1418" s="78" t="b">
        <f t="shared" si="1222"/>
        <v>0</v>
      </c>
      <c r="AE1418" s="78" t="b">
        <f t="shared" si="1223"/>
        <v>0</v>
      </c>
      <c r="AF1418" s="78" t="b">
        <f t="shared" si="1224"/>
        <v>0</v>
      </c>
      <c r="AG1418" s="78" t="b">
        <f t="shared" si="1225"/>
        <v>0</v>
      </c>
      <c r="AH1418" s="78" t="b">
        <f t="shared" si="1226"/>
        <v>0</v>
      </c>
      <c r="AI1418" s="78" t="b">
        <f t="shared" si="1227"/>
        <v>0</v>
      </c>
      <c r="AJ1418" s="78" t="b">
        <f t="shared" si="1228"/>
        <v>0</v>
      </c>
      <c r="AK1418" s="78" t="b">
        <f t="shared" si="1229"/>
        <v>0</v>
      </c>
      <c r="AL1418" s="78" t="b">
        <f t="shared" si="1230"/>
        <v>0</v>
      </c>
      <c r="AM1418" s="78" t="b">
        <f t="shared" si="1231"/>
        <v>0</v>
      </c>
      <c r="AN1418" s="78" t="b">
        <f t="shared" si="1232"/>
        <v>0</v>
      </c>
      <c r="AO1418" s="78" t="b">
        <f t="shared" si="1233"/>
        <v>0</v>
      </c>
    </row>
    <row r="1419" spans="7:41" x14ac:dyDescent="0.35">
      <c r="G1419" s="77">
        <f t="shared" si="1203"/>
        <v>0</v>
      </c>
      <c r="H1419" s="78">
        <f t="shared" si="1204"/>
        <v>0</v>
      </c>
      <c r="I1419" s="77">
        <f t="shared" si="1205"/>
        <v>0</v>
      </c>
      <c r="J1419" s="78">
        <f t="shared" si="1206"/>
        <v>0</v>
      </c>
      <c r="K1419" s="78" t="str">
        <f t="shared" si="1207"/>
        <v>1900-01-00 00:0:00</v>
      </c>
      <c r="L1419" s="78" t="str">
        <f t="shared" si="1208"/>
        <v>1900-01-00 00:0:00</v>
      </c>
      <c r="M1419" s="79">
        <f t="shared" si="1209"/>
        <v>0</v>
      </c>
      <c r="N1419">
        <f t="shared" si="1234"/>
        <v>1</v>
      </c>
      <c r="O1419" t="str">
        <f>IFERROR(_xlfn.XLOOKUP(A1419,HC!A:A,HC!C:C),"")</f>
        <v>Workforce</v>
      </c>
      <c r="R1419" s="78" t="b">
        <f t="shared" si="1210"/>
        <v>0</v>
      </c>
      <c r="S1419" s="78" t="b">
        <f t="shared" si="1211"/>
        <v>0</v>
      </c>
      <c r="T1419" s="78" t="b">
        <f t="shared" si="1212"/>
        <v>0</v>
      </c>
      <c r="U1419" s="78" t="b">
        <f t="shared" si="1213"/>
        <v>0</v>
      </c>
      <c r="V1419" s="78" t="b">
        <f t="shared" si="1214"/>
        <v>0</v>
      </c>
      <c r="W1419" s="78" t="b">
        <f t="shared" si="1215"/>
        <v>0</v>
      </c>
      <c r="X1419" s="78" t="b">
        <f t="shared" si="1216"/>
        <v>0</v>
      </c>
      <c r="Y1419" s="78" t="b">
        <f t="shared" si="1217"/>
        <v>0</v>
      </c>
      <c r="Z1419" s="78" t="b">
        <f t="shared" si="1218"/>
        <v>0</v>
      </c>
      <c r="AA1419" s="78" t="b">
        <f t="shared" si="1219"/>
        <v>0</v>
      </c>
      <c r="AB1419" s="78" t="b">
        <f t="shared" si="1220"/>
        <v>0</v>
      </c>
      <c r="AC1419" s="78" t="b">
        <f t="shared" si="1221"/>
        <v>0</v>
      </c>
      <c r="AD1419" s="78" t="b">
        <f t="shared" si="1222"/>
        <v>0</v>
      </c>
      <c r="AE1419" s="78" t="b">
        <f t="shared" si="1223"/>
        <v>0</v>
      </c>
      <c r="AF1419" s="78" t="b">
        <f t="shared" si="1224"/>
        <v>0</v>
      </c>
      <c r="AG1419" s="78" t="b">
        <f t="shared" si="1225"/>
        <v>0</v>
      </c>
      <c r="AH1419" s="78" t="b">
        <f t="shared" si="1226"/>
        <v>0</v>
      </c>
      <c r="AI1419" s="78" t="b">
        <f t="shared" si="1227"/>
        <v>0</v>
      </c>
      <c r="AJ1419" s="78" t="b">
        <f t="shared" si="1228"/>
        <v>0</v>
      </c>
      <c r="AK1419" s="78" t="b">
        <f t="shared" si="1229"/>
        <v>0</v>
      </c>
      <c r="AL1419" s="78" t="b">
        <f t="shared" si="1230"/>
        <v>0</v>
      </c>
      <c r="AM1419" s="78" t="b">
        <f t="shared" si="1231"/>
        <v>0</v>
      </c>
      <c r="AN1419" s="78" t="b">
        <f t="shared" si="1232"/>
        <v>0</v>
      </c>
      <c r="AO1419" s="78" t="b">
        <f t="shared" si="1233"/>
        <v>0</v>
      </c>
    </row>
    <row r="1420" spans="7:41" x14ac:dyDescent="0.35">
      <c r="G1420" s="77">
        <f t="shared" si="1203"/>
        <v>0</v>
      </c>
      <c r="H1420" s="78">
        <f t="shared" si="1204"/>
        <v>0</v>
      </c>
      <c r="I1420" s="77">
        <f t="shared" si="1205"/>
        <v>0</v>
      </c>
      <c r="J1420" s="78">
        <f t="shared" si="1206"/>
        <v>0</v>
      </c>
      <c r="K1420" s="78" t="str">
        <f t="shared" si="1207"/>
        <v>1900-01-00 00:0:00</v>
      </c>
      <c r="L1420" s="78" t="str">
        <f t="shared" si="1208"/>
        <v>1900-01-00 00:0:00</v>
      </c>
      <c r="M1420" s="79">
        <f t="shared" si="1209"/>
        <v>0</v>
      </c>
      <c r="N1420">
        <f t="shared" si="1234"/>
        <v>1</v>
      </c>
      <c r="O1420" t="str">
        <f>IFERROR(_xlfn.XLOOKUP(A1420,HC!A:A,HC!C:C),"")</f>
        <v>Workforce</v>
      </c>
      <c r="R1420" s="78" t="b">
        <f t="shared" si="1210"/>
        <v>0</v>
      </c>
      <c r="S1420" s="78" t="b">
        <f t="shared" si="1211"/>
        <v>0</v>
      </c>
      <c r="T1420" s="78" t="b">
        <f t="shared" si="1212"/>
        <v>0</v>
      </c>
      <c r="U1420" s="78" t="b">
        <f t="shared" si="1213"/>
        <v>0</v>
      </c>
      <c r="V1420" s="78" t="b">
        <f t="shared" si="1214"/>
        <v>0</v>
      </c>
      <c r="W1420" s="78" t="b">
        <f t="shared" si="1215"/>
        <v>0</v>
      </c>
      <c r="X1420" s="78" t="b">
        <f t="shared" si="1216"/>
        <v>0</v>
      </c>
      <c r="Y1420" s="78" t="b">
        <f t="shared" si="1217"/>
        <v>0</v>
      </c>
      <c r="Z1420" s="78" t="b">
        <f t="shared" si="1218"/>
        <v>0</v>
      </c>
      <c r="AA1420" s="78" t="b">
        <f t="shared" si="1219"/>
        <v>0</v>
      </c>
      <c r="AB1420" s="78" t="b">
        <f t="shared" si="1220"/>
        <v>0</v>
      </c>
      <c r="AC1420" s="78" t="b">
        <f t="shared" si="1221"/>
        <v>0</v>
      </c>
      <c r="AD1420" s="78" t="b">
        <f t="shared" si="1222"/>
        <v>0</v>
      </c>
      <c r="AE1420" s="78" t="b">
        <f t="shared" si="1223"/>
        <v>0</v>
      </c>
      <c r="AF1420" s="78" t="b">
        <f t="shared" si="1224"/>
        <v>0</v>
      </c>
      <c r="AG1420" s="78" t="b">
        <f t="shared" si="1225"/>
        <v>0</v>
      </c>
      <c r="AH1420" s="78" t="b">
        <f t="shared" si="1226"/>
        <v>0</v>
      </c>
      <c r="AI1420" s="78" t="b">
        <f t="shared" si="1227"/>
        <v>0</v>
      </c>
      <c r="AJ1420" s="78" t="b">
        <f t="shared" si="1228"/>
        <v>0</v>
      </c>
      <c r="AK1420" s="78" t="b">
        <f t="shared" si="1229"/>
        <v>0</v>
      </c>
      <c r="AL1420" s="78" t="b">
        <f t="shared" si="1230"/>
        <v>0</v>
      </c>
      <c r="AM1420" s="78" t="b">
        <f t="shared" si="1231"/>
        <v>0</v>
      </c>
      <c r="AN1420" s="78" t="b">
        <f t="shared" si="1232"/>
        <v>0</v>
      </c>
      <c r="AO1420" s="78" t="b">
        <f t="shared" si="1233"/>
        <v>0</v>
      </c>
    </row>
    <row r="1421" spans="7:41" x14ac:dyDescent="0.35">
      <c r="G1421" s="77">
        <f t="shared" si="1203"/>
        <v>0</v>
      </c>
      <c r="H1421" s="78">
        <f t="shared" si="1204"/>
        <v>0</v>
      </c>
      <c r="I1421" s="77">
        <f t="shared" si="1205"/>
        <v>0</v>
      </c>
      <c r="J1421" s="78">
        <f t="shared" si="1206"/>
        <v>0</v>
      </c>
      <c r="K1421" s="78" t="str">
        <f t="shared" si="1207"/>
        <v>1900-01-00 00:0:00</v>
      </c>
      <c r="L1421" s="78" t="str">
        <f t="shared" si="1208"/>
        <v>1900-01-00 00:0:00</v>
      </c>
      <c r="M1421" s="79">
        <f t="shared" si="1209"/>
        <v>0</v>
      </c>
      <c r="N1421">
        <f t="shared" si="1234"/>
        <v>1</v>
      </c>
      <c r="O1421" t="str">
        <f>IFERROR(_xlfn.XLOOKUP(A1421,HC!A:A,HC!C:C),"")</f>
        <v>Workforce</v>
      </c>
      <c r="R1421" s="78" t="b">
        <f t="shared" si="1210"/>
        <v>0</v>
      </c>
      <c r="S1421" s="78" t="b">
        <f t="shared" si="1211"/>
        <v>0</v>
      </c>
      <c r="T1421" s="78" t="b">
        <f t="shared" si="1212"/>
        <v>0</v>
      </c>
      <c r="U1421" s="78" t="b">
        <f t="shared" si="1213"/>
        <v>0</v>
      </c>
      <c r="V1421" s="78" t="b">
        <f t="shared" si="1214"/>
        <v>0</v>
      </c>
      <c r="W1421" s="78" t="b">
        <f t="shared" si="1215"/>
        <v>0</v>
      </c>
      <c r="X1421" s="78" t="b">
        <f t="shared" si="1216"/>
        <v>0</v>
      </c>
      <c r="Y1421" s="78" t="b">
        <f t="shared" si="1217"/>
        <v>0</v>
      </c>
      <c r="Z1421" s="78" t="b">
        <f t="shared" si="1218"/>
        <v>0</v>
      </c>
      <c r="AA1421" s="78" t="b">
        <f t="shared" si="1219"/>
        <v>0</v>
      </c>
      <c r="AB1421" s="78" t="b">
        <f t="shared" si="1220"/>
        <v>0</v>
      </c>
      <c r="AC1421" s="78" t="b">
        <f t="shared" si="1221"/>
        <v>0</v>
      </c>
      <c r="AD1421" s="78" t="b">
        <f t="shared" si="1222"/>
        <v>0</v>
      </c>
      <c r="AE1421" s="78" t="b">
        <f t="shared" si="1223"/>
        <v>0</v>
      </c>
      <c r="AF1421" s="78" t="b">
        <f t="shared" si="1224"/>
        <v>0</v>
      </c>
      <c r="AG1421" s="78" t="b">
        <f t="shared" si="1225"/>
        <v>0</v>
      </c>
      <c r="AH1421" s="78" t="b">
        <f t="shared" si="1226"/>
        <v>0</v>
      </c>
      <c r="AI1421" s="78" t="b">
        <f t="shared" si="1227"/>
        <v>0</v>
      </c>
      <c r="AJ1421" s="78" t="b">
        <f t="shared" si="1228"/>
        <v>0</v>
      </c>
      <c r="AK1421" s="78" t="b">
        <f t="shared" si="1229"/>
        <v>0</v>
      </c>
      <c r="AL1421" s="78" t="b">
        <f t="shared" si="1230"/>
        <v>0</v>
      </c>
      <c r="AM1421" s="78" t="b">
        <f t="shared" si="1231"/>
        <v>0</v>
      </c>
      <c r="AN1421" s="78" t="b">
        <f t="shared" si="1232"/>
        <v>0</v>
      </c>
      <c r="AO1421" s="78" t="b">
        <f t="shared" si="1233"/>
        <v>0</v>
      </c>
    </row>
    <row r="1422" spans="7:41" x14ac:dyDescent="0.35">
      <c r="G1422" s="77">
        <f t="shared" si="1203"/>
        <v>0</v>
      </c>
      <c r="H1422" s="78">
        <f t="shared" si="1204"/>
        <v>0</v>
      </c>
      <c r="I1422" s="77">
        <f t="shared" si="1205"/>
        <v>0</v>
      </c>
      <c r="J1422" s="78">
        <f t="shared" si="1206"/>
        <v>0</v>
      </c>
      <c r="K1422" s="78" t="str">
        <f t="shared" si="1207"/>
        <v>1900-01-00 00:0:00</v>
      </c>
      <c r="L1422" s="78" t="str">
        <f t="shared" si="1208"/>
        <v>1900-01-00 00:0:00</v>
      </c>
      <c r="M1422" s="79">
        <f t="shared" si="1209"/>
        <v>0</v>
      </c>
      <c r="N1422">
        <f t="shared" si="1234"/>
        <v>1</v>
      </c>
      <c r="O1422" t="str">
        <f>IFERROR(_xlfn.XLOOKUP(A1422,HC!A:A,HC!C:C),"")</f>
        <v>Workforce</v>
      </c>
      <c r="R1422" s="78" t="b">
        <f t="shared" si="1210"/>
        <v>0</v>
      </c>
      <c r="S1422" s="78" t="b">
        <f t="shared" si="1211"/>
        <v>0</v>
      </c>
      <c r="T1422" s="78" t="b">
        <f t="shared" si="1212"/>
        <v>0</v>
      </c>
      <c r="U1422" s="78" t="b">
        <f t="shared" si="1213"/>
        <v>0</v>
      </c>
      <c r="V1422" s="78" t="b">
        <f t="shared" si="1214"/>
        <v>0</v>
      </c>
      <c r="W1422" s="78" t="b">
        <f t="shared" si="1215"/>
        <v>0</v>
      </c>
      <c r="X1422" s="78" t="b">
        <f t="shared" si="1216"/>
        <v>0</v>
      </c>
      <c r="Y1422" s="78" t="b">
        <f t="shared" si="1217"/>
        <v>0</v>
      </c>
      <c r="Z1422" s="78" t="b">
        <f t="shared" si="1218"/>
        <v>0</v>
      </c>
      <c r="AA1422" s="78" t="b">
        <f t="shared" si="1219"/>
        <v>0</v>
      </c>
      <c r="AB1422" s="78" t="b">
        <f t="shared" si="1220"/>
        <v>0</v>
      </c>
      <c r="AC1422" s="78" t="b">
        <f t="shared" si="1221"/>
        <v>0</v>
      </c>
      <c r="AD1422" s="78" t="b">
        <f t="shared" si="1222"/>
        <v>0</v>
      </c>
      <c r="AE1422" s="78" t="b">
        <f t="shared" si="1223"/>
        <v>0</v>
      </c>
      <c r="AF1422" s="78" t="b">
        <f t="shared" si="1224"/>
        <v>0</v>
      </c>
      <c r="AG1422" s="78" t="b">
        <f t="shared" si="1225"/>
        <v>0</v>
      </c>
      <c r="AH1422" s="78" t="b">
        <f t="shared" si="1226"/>
        <v>0</v>
      </c>
      <c r="AI1422" s="78" t="b">
        <f t="shared" si="1227"/>
        <v>0</v>
      </c>
      <c r="AJ1422" s="78" t="b">
        <f t="shared" si="1228"/>
        <v>0</v>
      </c>
      <c r="AK1422" s="78" t="b">
        <f t="shared" si="1229"/>
        <v>0</v>
      </c>
      <c r="AL1422" s="78" t="b">
        <f t="shared" si="1230"/>
        <v>0</v>
      </c>
      <c r="AM1422" s="78" t="b">
        <f t="shared" si="1231"/>
        <v>0</v>
      </c>
      <c r="AN1422" s="78" t="b">
        <f t="shared" si="1232"/>
        <v>0</v>
      </c>
      <c r="AO1422" s="78" t="b">
        <f t="shared" si="1233"/>
        <v>0</v>
      </c>
    </row>
    <row r="1423" spans="7:41" x14ac:dyDescent="0.35">
      <c r="G1423" s="77">
        <f t="shared" si="1203"/>
        <v>0</v>
      </c>
      <c r="H1423" s="78">
        <f t="shared" si="1204"/>
        <v>0</v>
      </c>
      <c r="I1423" s="77">
        <f t="shared" si="1205"/>
        <v>0</v>
      </c>
      <c r="J1423" s="78">
        <f t="shared" si="1206"/>
        <v>0</v>
      </c>
      <c r="K1423" s="78" t="str">
        <f t="shared" si="1207"/>
        <v>1900-01-00 00:0:00</v>
      </c>
      <c r="L1423" s="78" t="str">
        <f t="shared" si="1208"/>
        <v>1900-01-00 00:0:00</v>
      </c>
      <c r="M1423" s="79">
        <f t="shared" si="1209"/>
        <v>0</v>
      </c>
      <c r="N1423">
        <f t="shared" si="1234"/>
        <v>1</v>
      </c>
      <c r="O1423" t="str">
        <f>IFERROR(_xlfn.XLOOKUP(A1423,HC!A:A,HC!C:C),"")</f>
        <v>Workforce</v>
      </c>
      <c r="R1423" s="78" t="b">
        <f t="shared" si="1210"/>
        <v>0</v>
      </c>
      <c r="S1423" s="78" t="b">
        <f t="shared" si="1211"/>
        <v>0</v>
      </c>
      <c r="T1423" s="78" t="b">
        <f t="shared" si="1212"/>
        <v>0</v>
      </c>
      <c r="U1423" s="78" t="b">
        <f t="shared" si="1213"/>
        <v>0</v>
      </c>
      <c r="V1423" s="78" t="b">
        <f t="shared" si="1214"/>
        <v>0</v>
      </c>
      <c r="W1423" s="78" t="b">
        <f t="shared" si="1215"/>
        <v>0</v>
      </c>
      <c r="X1423" s="78" t="b">
        <f t="shared" si="1216"/>
        <v>0</v>
      </c>
      <c r="Y1423" s="78" t="b">
        <f t="shared" si="1217"/>
        <v>0</v>
      </c>
      <c r="Z1423" s="78" t="b">
        <f t="shared" si="1218"/>
        <v>0</v>
      </c>
      <c r="AA1423" s="78" t="b">
        <f t="shared" si="1219"/>
        <v>0</v>
      </c>
      <c r="AB1423" s="78" t="b">
        <f t="shared" si="1220"/>
        <v>0</v>
      </c>
      <c r="AC1423" s="78" t="b">
        <f t="shared" si="1221"/>
        <v>0</v>
      </c>
      <c r="AD1423" s="78" t="b">
        <f t="shared" si="1222"/>
        <v>0</v>
      </c>
      <c r="AE1423" s="78" t="b">
        <f t="shared" si="1223"/>
        <v>0</v>
      </c>
      <c r="AF1423" s="78" t="b">
        <f t="shared" si="1224"/>
        <v>0</v>
      </c>
      <c r="AG1423" s="78" t="b">
        <f t="shared" si="1225"/>
        <v>0</v>
      </c>
      <c r="AH1423" s="78" t="b">
        <f t="shared" si="1226"/>
        <v>0</v>
      </c>
      <c r="AI1423" s="78" t="b">
        <f t="shared" si="1227"/>
        <v>0</v>
      </c>
      <c r="AJ1423" s="78" t="b">
        <f t="shared" si="1228"/>
        <v>0</v>
      </c>
      <c r="AK1423" s="78" t="b">
        <f t="shared" si="1229"/>
        <v>0</v>
      </c>
      <c r="AL1423" s="78" t="b">
        <f t="shared" si="1230"/>
        <v>0</v>
      </c>
      <c r="AM1423" s="78" t="b">
        <f t="shared" si="1231"/>
        <v>0</v>
      </c>
      <c r="AN1423" s="78" t="b">
        <f t="shared" si="1232"/>
        <v>0</v>
      </c>
      <c r="AO1423" s="78" t="b">
        <f t="shared" si="1233"/>
        <v>0</v>
      </c>
    </row>
    <row r="1424" spans="7:41" x14ac:dyDescent="0.35">
      <c r="G1424" s="77">
        <f t="shared" si="1203"/>
        <v>0</v>
      </c>
      <c r="H1424" s="78">
        <f t="shared" si="1204"/>
        <v>0</v>
      </c>
      <c r="I1424" s="77">
        <f t="shared" si="1205"/>
        <v>0</v>
      </c>
      <c r="J1424" s="78">
        <f t="shared" si="1206"/>
        <v>0</v>
      </c>
      <c r="K1424" s="78" t="str">
        <f t="shared" si="1207"/>
        <v>1900-01-00 00:0:00</v>
      </c>
      <c r="L1424" s="78" t="str">
        <f t="shared" si="1208"/>
        <v>1900-01-00 00:0:00</v>
      </c>
      <c r="M1424" s="79">
        <f t="shared" si="1209"/>
        <v>0</v>
      </c>
      <c r="N1424">
        <f t="shared" si="1234"/>
        <v>1</v>
      </c>
      <c r="O1424" t="str">
        <f>IFERROR(_xlfn.XLOOKUP(A1424,HC!A:A,HC!C:C),"")</f>
        <v>Workforce</v>
      </c>
      <c r="R1424" s="78" t="b">
        <f t="shared" si="1210"/>
        <v>0</v>
      </c>
      <c r="S1424" s="78" t="b">
        <f t="shared" si="1211"/>
        <v>0</v>
      </c>
      <c r="T1424" s="78" t="b">
        <f t="shared" si="1212"/>
        <v>0</v>
      </c>
      <c r="U1424" s="78" t="b">
        <f t="shared" si="1213"/>
        <v>0</v>
      </c>
      <c r="V1424" s="78" t="b">
        <f t="shared" si="1214"/>
        <v>0</v>
      </c>
      <c r="W1424" s="78" t="b">
        <f t="shared" si="1215"/>
        <v>0</v>
      </c>
      <c r="X1424" s="78" t="b">
        <f t="shared" si="1216"/>
        <v>0</v>
      </c>
      <c r="Y1424" s="78" t="b">
        <f t="shared" si="1217"/>
        <v>0</v>
      </c>
      <c r="Z1424" s="78" t="b">
        <f t="shared" si="1218"/>
        <v>0</v>
      </c>
      <c r="AA1424" s="78" t="b">
        <f t="shared" si="1219"/>
        <v>0</v>
      </c>
      <c r="AB1424" s="78" t="b">
        <f t="shared" si="1220"/>
        <v>0</v>
      </c>
      <c r="AC1424" s="78" t="b">
        <f t="shared" si="1221"/>
        <v>0</v>
      </c>
      <c r="AD1424" s="78" t="b">
        <f t="shared" si="1222"/>
        <v>0</v>
      </c>
      <c r="AE1424" s="78" t="b">
        <f t="shared" si="1223"/>
        <v>0</v>
      </c>
      <c r="AF1424" s="78" t="b">
        <f t="shared" si="1224"/>
        <v>0</v>
      </c>
      <c r="AG1424" s="78" t="b">
        <f t="shared" si="1225"/>
        <v>0</v>
      </c>
      <c r="AH1424" s="78" t="b">
        <f t="shared" si="1226"/>
        <v>0</v>
      </c>
      <c r="AI1424" s="78" t="b">
        <f t="shared" si="1227"/>
        <v>0</v>
      </c>
      <c r="AJ1424" s="78" t="b">
        <f t="shared" si="1228"/>
        <v>0</v>
      </c>
      <c r="AK1424" s="78" t="b">
        <f t="shared" si="1229"/>
        <v>0</v>
      </c>
      <c r="AL1424" s="78" t="b">
        <f t="shared" si="1230"/>
        <v>0</v>
      </c>
      <c r="AM1424" s="78" t="b">
        <f t="shared" si="1231"/>
        <v>0</v>
      </c>
      <c r="AN1424" s="78" t="b">
        <f t="shared" si="1232"/>
        <v>0</v>
      </c>
      <c r="AO1424" s="78" t="b">
        <f t="shared" si="1233"/>
        <v>0</v>
      </c>
    </row>
    <row r="1425" spans="7:41" x14ac:dyDescent="0.35">
      <c r="G1425" s="77">
        <f t="shared" si="1203"/>
        <v>0</v>
      </c>
      <c r="H1425" s="78">
        <f t="shared" si="1204"/>
        <v>0</v>
      </c>
      <c r="I1425" s="77">
        <f t="shared" si="1205"/>
        <v>0</v>
      </c>
      <c r="J1425" s="78">
        <f t="shared" si="1206"/>
        <v>0</v>
      </c>
      <c r="K1425" s="78" t="str">
        <f t="shared" si="1207"/>
        <v>1900-01-00 00:0:00</v>
      </c>
      <c r="L1425" s="78" t="str">
        <f t="shared" si="1208"/>
        <v>1900-01-00 00:0:00</v>
      </c>
      <c r="M1425" s="79">
        <f t="shared" si="1209"/>
        <v>0</v>
      </c>
      <c r="N1425">
        <f t="shared" si="1234"/>
        <v>1</v>
      </c>
      <c r="O1425" t="str">
        <f>IFERROR(_xlfn.XLOOKUP(A1425,HC!A:A,HC!C:C),"")</f>
        <v>Workforce</v>
      </c>
      <c r="R1425" s="78" t="b">
        <f t="shared" si="1210"/>
        <v>0</v>
      </c>
      <c r="S1425" s="78" t="b">
        <f t="shared" si="1211"/>
        <v>0</v>
      </c>
      <c r="T1425" s="78" t="b">
        <f t="shared" si="1212"/>
        <v>0</v>
      </c>
      <c r="U1425" s="78" t="b">
        <f t="shared" si="1213"/>
        <v>0</v>
      </c>
      <c r="V1425" s="78" t="b">
        <f t="shared" si="1214"/>
        <v>0</v>
      </c>
      <c r="W1425" s="78" t="b">
        <f t="shared" si="1215"/>
        <v>0</v>
      </c>
      <c r="X1425" s="78" t="b">
        <f t="shared" si="1216"/>
        <v>0</v>
      </c>
      <c r="Y1425" s="78" t="b">
        <f t="shared" si="1217"/>
        <v>0</v>
      </c>
      <c r="Z1425" s="78" t="b">
        <f t="shared" si="1218"/>
        <v>0</v>
      </c>
      <c r="AA1425" s="78" t="b">
        <f t="shared" si="1219"/>
        <v>0</v>
      </c>
      <c r="AB1425" s="78" t="b">
        <f t="shared" si="1220"/>
        <v>0</v>
      </c>
      <c r="AC1425" s="78" t="b">
        <f t="shared" si="1221"/>
        <v>0</v>
      </c>
      <c r="AD1425" s="78" t="b">
        <f t="shared" si="1222"/>
        <v>0</v>
      </c>
      <c r="AE1425" s="78" t="b">
        <f t="shared" si="1223"/>
        <v>0</v>
      </c>
      <c r="AF1425" s="78" t="b">
        <f t="shared" si="1224"/>
        <v>0</v>
      </c>
      <c r="AG1425" s="78" t="b">
        <f t="shared" si="1225"/>
        <v>0</v>
      </c>
      <c r="AH1425" s="78" t="b">
        <f t="shared" si="1226"/>
        <v>0</v>
      </c>
      <c r="AI1425" s="78" t="b">
        <f t="shared" si="1227"/>
        <v>0</v>
      </c>
      <c r="AJ1425" s="78" t="b">
        <f t="shared" si="1228"/>
        <v>0</v>
      </c>
      <c r="AK1425" s="78" t="b">
        <f t="shared" si="1229"/>
        <v>0</v>
      </c>
      <c r="AL1425" s="78" t="b">
        <f t="shared" si="1230"/>
        <v>0</v>
      </c>
      <c r="AM1425" s="78" t="b">
        <f t="shared" si="1231"/>
        <v>0</v>
      </c>
      <c r="AN1425" s="78" t="b">
        <f t="shared" si="1232"/>
        <v>0</v>
      </c>
      <c r="AO1425" s="78" t="b">
        <f t="shared" si="1233"/>
        <v>0</v>
      </c>
    </row>
    <row r="1426" spans="7:41" x14ac:dyDescent="0.35">
      <c r="G1426" s="77">
        <f t="shared" si="1203"/>
        <v>0</v>
      </c>
      <c r="H1426" s="78">
        <f t="shared" si="1204"/>
        <v>0</v>
      </c>
      <c r="I1426" s="77">
        <f t="shared" si="1205"/>
        <v>0</v>
      </c>
      <c r="J1426" s="78">
        <f t="shared" si="1206"/>
        <v>0</v>
      </c>
      <c r="K1426" s="78" t="str">
        <f t="shared" si="1207"/>
        <v>1900-01-00 00:0:00</v>
      </c>
      <c r="L1426" s="78" t="str">
        <f t="shared" si="1208"/>
        <v>1900-01-00 00:0:00</v>
      </c>
      <c r="M1426" s="79">
        <f t="shared" si="1209"/>
        <v>0</v>
      </c>
      <c r="N1426">
        <f t="shared" si="1234"/>
        <v>1</v>
      </c>
      <c r="O1426" t="str">
        <f>IFERROR(_xlfn.XLOOKUP(A1426,HC!A:A,HC!C:C),"")</f>
        <v>Workforce</v>
      </c>
      <c r="R1426" s="78" t="b">
        <f t="shared" si="1210"/>
        <v>0</v>
      </c>
      <c r="S1426" s="78" t="b">
        <f t="shared" si="1211"/>
        <v>0</v>
      </c>
      <c r="T1426" s="78" t="b">
        <f t="shared" si="1212"/>
        <v>0</v>
      </c>
      <c r="U1426" s="78" t="b">
        <f t="shared" si="1213"/>
        <v>0</v>
      </c>
      <c r="V1426" s="78" t="b">
        <f t="shared" si="1214"/>
        <v>0</v>
      </c>
      <c r="W1426" s="78" t="b">
        <f t="shared" si="1215"/>
        <v>0</v>
      </c>
      <c r="X1426" s="78" t="b">
        <f t="shared" si="1216"/>
        <v>0</v>
      </c>
      <c r="Y1426" s="78" t="b">
        <f t="shared" si="1217"/>
        <v>0</v>
      </c>
      <c r="Z1426" s="78" t="b">
        <f t="shared" si="1218"/>
        <v>0</v>
      </c>
      <c r="AA1426" s="78" t="b">
        <f t="shared" si="1219"/>
        <v>0</v>
      </c>
      <c r="AB1426" s="78" t="b">
        <f t="shared" si="1220"/>
        <v>0</v>
      </c>
      <c r="AC1426" s="78" t="b">
        <f t="shared" si="1221"/>
        <v>0</v>
      </c>
      <c r="AD1426" s="78" t="b">
        <f t="shared" si="1222"/>
        <v>0</v>
      </c>
      <c r="AE1426" s="78" t="b">
        <f t="shared" si="1223"/>
        <v>0</v>
      </c>
      <c r="AF1426" s="78" t="b">
        <f t="shared" si="1224"/>
        <v>0</v>
      </c>
      <c r="AG1426" s="78" t="b">
        <f t="shared" si="1225"/>
        <v>0</v>
      </c>
      <c r="AH1426" s="78" t="b">
        <f t="shared" si="1226"/>
        <v>0</v>
      </c>
      <c r="AI1426" s="78" t="b">
        <f t="shared" si="1227"/>
        <v>0</v>
      </c>
      <c r="AJ1426" s="78" t="b">
        <f t="shared" si="1228"/>
        <v>0</v>
      </c>
      <c r="AK1426" s="78" t="b">
        <f t="shared" si="1229"/>
        <v>0</v>
      </c>
      <c r="AL1426" s="78" t="b">
        <f t="shared" si="1230"/>
        <v>0</v>
      </c>
      <c r="AM1426" s="78" t="b">
        <f t="shared" si="1231"/>
        <v>0</v>
      </c>
      <c r="AN1426" s="78" t="b">
        <f t="shared" si="1232"/>
        <v>0</v>
      </c>
      <c r="AO1426" s="78" t="b">
        <f t="shared" si="1233"/>
        <v>0</v>
      </c>
    </row>
    <row r="1427" spans="7:41" x14ac:dyDescent="0.35">
      <c r="G1427" s="77">
        <f t="shared" si="1203"/>
        <v>0</v>
      </c>
      <c r="H1427" s="78">
        <f t="shared" si="1204"/>
        <v>0</v>
      </c>
      <c r="I1427" s="77">
        <f t="shared" si="1205"/>
        <v>0</v>
      </c>
      <c r="J1427" s="78">
        <f t="shared" si="1206"/>
        <v>0</v>
      </c>
      <c r="K1427" s="78" t="str">
        <f t="shared" si="1207"/>
        <v>1900-01-00 00:0:00</v>
      </c>
      <c r="L1427" s="78" t="str">
        <f t="shared" si="1208"/>
        <v>1900-01-00 00:0:00</v>
      </c>
      <c r="M1427" s="79">
        <f t="shared" si="1209"/>
        <v>0</v>
      </c>
      <c r="N1427">
        <f t="shared" si="1234"/>
        <v>1</v>
      </c>
      <c r="O1427" t="str">
        <f>IFERROR(_xlfn.XLOOKUP(A1427,HC!A:A,HC!C:C),"")</f>
        <v>Workforce</v>
      </c>
      <c r="R1427" s="78" t="b">
        <f t="shared" si="1210"/>
        <v>0</v>
      </c>
      <c r="S1427" s="78" t="b">
        <f t="shared" si="1211"/>
        <v>0</v>
      </c>
      <c r="T1427" s="78" t="b">
        <f t="shared" si="1212"/>
        <v>0</v>
      </c>
      <c r="U1427" s="78" t="b">
        <f t="shared" si="1213"/>
        <v>0</v>
      </c>
      <c r="V1427" s="78" t="b">
        <f t="shared" si="1214"/>
        <v>0</v>
      </c>
      <c r="W1427" s="78" t="b">
        <f t="shared" si="1215"/>
        <v>0</v>
      </c>
      <c r="X1427" s="78" t="b">
        <f t="shared" si="1216"/>
        <v>0</v>
      </c>
      <c r="Y1427" s="78" t="b">
        <f t="shared" si="1217"/>
        <v>0</v>
      </c>
      <c r="Z1427" s="78" t="b">
        <f t="shared" si="1218"/>
        <v>0</v>
      </c>
      <c r="AA1427" s="78" t="b">
        <f t="shared" si="1219"/>
        <v>0</v>
      </c>
      <c r="AB1427" s="78" t="b">
        <f t="shared" si="1220"/>
        <v>0</v>
      </c>
      <c r="AC1427" s="78" t="b">
        <f t="shared" si="1221"/>
        <v>0</v>
      </c>
      <c r="AD1427" s="78" t="b">
        <f t="shared" si="1222"/>
        <v>0</v>
      </c>
      <c r="AE1427" s="78" t="b">
        <f t="shared" si="1223"/>
        <v>0</v>
      </c>
      <c r="AF1427" s="78" t="b">
        <f t="shared" si="1224"/>
        <v>0</v>
      </c>
      <c r="AG1427" s="78" t="b">
        <f t="shared" si="1225"/>
        <v>0</v>
      </c>
      <c r="AH1427" s="78" t="b">
        <f t="shared" si="1226"/>
        <v>0</v>
      </c>
      <c r="AI1427" s="78" t="b">
        <f t="shared" si="1227"/>
        <v>0</v>
      </c>
      <c r="AJ1427" s="78" t="b">
        <f t="shared" si="1228"/>
        <v>0</v>
      </c>
      <c r="AK1427" s="78" t="b">
        <f t="shared" si="1229"/>
        <v>0</v>
      </c>
      <c r="AL1427" s="78" t="b">
        <f t="shared" si="1230"/>
        <v>0</v>
      </c>
      <c r="AM1427" s="78" t="b">
        <f t="shared" si="1231"/>
        <v>0</v>
      </c>
      <c r="AN1427" s="78" t="b">
        <f t="shared" si="1232"/>
        <v>0</v>
      </c>
      <c r="AO1427" s="78" t="b">
        <f t="shared" si="1233"/>
        <v>0</v>
      </c>
    </row>
    <row r="1428" spans="7:41" x14ac:dyDescent="0.35">
      <c r="G1428" s="77">
        <f t="shared" si="1203"/>
        <v>0</v>
      </c>
      <c r="H1428" s="78">
        <f t="shared" si="1204"/>
        <v>0</v>
      </c>
      <c r="I1428" s="77">
        <f t="shared" si="1205"/>
        <v>0</v>
      </c>
      <c r="J1428" s="78">
        <f t="shared" si="1206"/>
        <v>0</v>
      </c>
      <c r="K1428" s="78" t="str">
        <f t="shared" si="1207"/>
        <v>1900-01-00 00:0:00</v>
      </c>
      <c r="L1428" s="78" t="str">
        <f t="shared" si="1208"/>
        <v>1900-01-00 00:0:00</v>
      </c>
      <c r="M1428" s="79">
        <f t="shared" si="1209"/>
        <v>0</v>
      </c>
      <c r="N1428">
        <f t="shared" si="1234"/>
        <v>1</v>
      </c>
      <c r="O1428" t="str">
        <f>IFERROR(_xlfn.XLOOKUP(A1428,HC!A:A,HC!C:C),"")</f>
        <v>Workforce</v>
      </c>
      <c r="R1428" s="78" t="b">
        <f t="shared" si="1210"/>
        <v>0</v>
      </c>
      <c r="S1428" s="78" t="b">
        <f t="shared" si="1211"/>
        <v>0</v>
      </c>
      <c r="T1428" s="78" t="b">
        <f t="shared" si="1212"/>
        <v>0</v>
      </c>
      <c r="U1428" s="78" t="b">
        <f t="shared" si="1213"/>
        <v>0</v>
      </c>
      <c r="V1428" s="78" t="b">
        <f t="shared" si="1214"/>
        <v>0</v>
      </c>
      <c r="W1428" s="78" t="b">
        <f t="shared" si="1215"/>
        <v>0</v>
      </c>
      <c r="X1428" s="78" t="b">
        <f t="shared" si="1216"/>
        <v>0</v>
      </c>
      <c r="Y1428" s="78" t="b">
        <f t="shared" si="1217"/>
        <v>0</v>
      </c>
      <c r="Z1428" s="78" t="b">
        <f t="shared" si="1218"/>
        <v>0</v>
      </c>
      <c r="AA1428" s="78" t="b">
        <f t="shared" si="1219"/>
        <v>0</v>
      </c>
      <c r="AB1428" s="78" t="b">
        <f t="shared" si="1220"/>
        <v>0</v>
      </c>
      <c r="AC1428" s="78" t="b">
        <f t="shared" si="1221"/>
        <v>0</v>
      </c>
      <c r="AD1428" s="78" t="b">
        <f t="shared" si="1222"/>
        <v>0</v>
      </c>
      <c r="AE1428" s="78" t="b">
        <f t="shared" si="1223"/>
        <v>0</v>
      </c>
      <c r="AF1428" s="78" t="b">
        <f t="shared" si="1224"/>
        <v>0</v>
      </c>
      <c r="AG1428" s="78" t="b">
        <f t="shared" si="1225"/>
        <v>0</v>
      </c>
      <c r="AH1428" s="78" t="b">
        <f t="shared" si="1226"/>
        <v>0</v>
      </c>
      <c r="AI1428" s="78" t="b">
        <f t="shared" si="1227"/>
        <v>0</v>
      </c>
      <c r="AJ1428" s="78" t="b">
        <f t="shared" si="1228"/>
        <v>0</v>
      </c>
      <c r="AK1428" s="78" t="b">
        <f t="shared" si="1229"/>
        <v>0</v>
      </c>
      <c r="AL1428" s="78" t="b">
        <f t="shared" si="1230"/>
        <v>0</v>
      </c>
      <c r="AM1428" s="78" t="b">
        <f t="shared" si="1231"/>
        <v>0</v>
      </c>
      <c r="AN1428" s="78" t="b">
        <f t="shared" si="1232"/>
        <v>0</v>
      </c>
      <c r="AO1428" s="78" t="b">
        <f t="shared" si="1233"/>
        <v>0</v>
      </c>
    </row>
    <row r="1429" spans="7:41" x14ac:dyDescent="0.35">
      <c r="G1429" s="77">
        <f t="shared" si="1203"/>
        <v>0</v>
      </c>
      <c r="H1429" s="78">
        <f t="shared" si="1204"/>
        <v>0</v>
      </c>
      <c r="I1429" s="77">
        <f t="shared" si="1205"/>
        <v>0</v>
      </c>
      <c r="J1429" s="78">
        <f t="shared" si="1206"/>
        <v>0</v>
      </c>
      <c r="K1429" s="78" t="str">
        <f t="shared" si="1207"/>
        <v>1900-01-00 00:0:00</v>
      </c>
      <c r="L1429" s="78" t="str">
        <f t="shared" si="1208"/>
        <v>1900-01-00 00:0:00</v>
      </c>
      <c r="M1429" s="79">
        <f t="shared" si="1209"/>
        <v>0</v>
      </c>
      <c r="N1429">
        <f t="shared" si="1234"/>
        <v>1</v>
      </c>
      <c r="O1429" t="str">
        <f>IFERROR(_xlfn.XLOOKUP(A1429,HC!A:A,HC!C:C),"")</f>
        <v>Workforce</v>
      </c>
      <c r="R1429" s="78" t="b">
        <f t="shared" si="1210"/>
        <v>0</v>
      </c>
      <c r="S1429" s="78" t="b">
        <f t="shared" si="1211"/>
        <v>0</v>
      </c>
      <c r="T1429" s="78" t="b">
        <f t="shared" si="1212"/>
        <v>0</v>
      </c>
      <c r="U1429" s="78" t="b">
        <f t="shared" si="1213"/>
        <v>0</v>
      </c>
      <c r="V1429" s="78" t="b">
        <f t="shared" si="1214"/>
        <v>0</v>
      </c>
      <c r="W1429" s="78" t="b">
        <f t="shared" si="1215"/>
        <v>0</v>
      </c>
      <c r="X1429" s="78" t="b">
        <f t="shared" si="1216"/>
        <v>0</v>
      </c>
      <c r="Y1429" s="78" t="b">
        <f t="shared" si="1217"/>
        <v>0</v>
      </c>
      <c r="Z1429" s="78" t="b">
        <f t="shared" si="1218"/>
        <v>0</v>
      </c>
      <c r="AA1429" s="78" t="b">
        <f t="shared" si="1219"/>
        <v>0</v>
      </c>
      <c r="AB1429" s="78" t="b">
        <f t="shared" si="1220"/>
        <v>0</v>
      </c>
      <c r="AC1429" s="78" t="b">
        <f t="shared" si="1221"/>
        <v>0</v>
      </c>
      <c r="AD1429" s="78" t="b">
        <f t="shared" si="1222"/>
        <v>0</v>
      </c>
      <c r="AE1429" s="78" t="b">
        <f t="shared" si="1223"/>
        <v>0</v>
      </c>
      <c r="AF1429" s="78" t="b">
        <f t="shared" si="1224"/>
        <v>0</v>
      </c>
      <c r="AG1429" s="78" t="b">
        <f t="shared" si="1225"/>
        <v>0</v>
      </c>
      <c r="AH1429" s="78" t="b">
        <f t="shared" si="1226"/>
        <v>0</v>
      </c>
      <c r="AI1429" s="78" t="b">
        <f t="shared" si="1227"/>
        <v>0</v>
      </c>
      <c r="AJ1429" s="78" t="b">
        <f t="shared" si="1228"/>
        <v>0</v>
      </c>
      <c r="AK1429" s="78" t="b">
        <f t="shared" si="1229"/>
        <v>0</v>
      </c>
      <c r="AL1429" s="78" t="b">
        <f t="shared" si="1230"/>
        <v>0</v>
      </c>
      <c r="AM1429" s="78" t="b">
        <f t="shared" si="1231"/>
        <v>0</v>
      </c>
      <c r="AN1429" s="78" t="b">
        <f t="shared" si="1232"/>
        <v>0</v>
      </c>
      <c r="AO1429" s="78" t="b">
        <f t="shared" si="1233"/>
        <v>0</v>
      </c>
    </row>
    <row r="1430" spans="7:41" x14ac:dyDescent="0.35">
      <c r="G1430" s="77">
        <f t="shared" si="1203"/>
        <v>0</v>
      </c>
      <c r="H1430" s="78">
        <f t="shared" si="1204"/>
        <v>0</v>
      </c>
      <c r="I1430" s="77">
        <f t="shared" si="1205"/>
        <v>0</v>
      </c>
      <c r="J1430" s="78">
        <f t="shared" si="1206"/>
        <v>0</v>
      </c>
      <c r="K1430" s="78" t="str">
        <f t="shared" si="1207"/>
        <v>1900-01-00 00:0:00</v>
      </c>
      <c r="L1430" s="78" t="str">
        <f t="shared" si="1208"/>
        <v>1900-01-00 00:0:00</v>
      </c>
      <c r="M1430" s="79">
        <f t="shared" si="1209"/>
        <v>0</v>
      </c>
      <c r="N1430">
        <f t="shared" si="1234"/>
        <v>1</v>
      </c>
      <c r="O1430" t="str">
        <f>IFERROR(_xlfn.XLOOKUP(A1430,HC!A:A,HC!C:C),"")</f>
        <v>Workforce</v>
      </c>
      <c r="R1430" s="78" t="b">
        <f t="shared" si="1210"/>
        <v>0</v>
      </c>
      <c r="S1430" s="78" t="b">
        <f t="shared" si="1211"/>
        <v>0</v>
      </c>
      <c r="T1430" s="78" t="b">
        <f t="shared" si="1212"/>
        <v>0</v>
      </c>
      <c r="U1430" s="78" t="b">
        <f t="shared" si="1213"/>
        <v>0</v>
      </c>
      <c r="V1430" s="78" t="b">
        <f t="shared" si="1214"/>
        <v>0</v>
      </c>
      <c r="W1430" s="78" t="b">
        <f t="shared" si="1215"/>
        <v>0</v>
      </c>
      <c r="X1430" s="78" t="b">
        <f t="shared" si="1216"/>
        <v>0</v>
      </c>
      <c r="Y1430" s="78" t="b">
        <f t="shared" si="1217"/>
        <v>0</v>
      </c>
      <c r="Z1430" s="78" t="b">
        <f t="shared" si="1218"/>
        <v>0</v>
      </c>
      <c r="AA1430" s="78" t="b">
        <f t="shared" si="1219"/>
        <v>0</v>
      </c>
      <c r="AB1430" s="78" t="b">
        <f t="shared" si="1220"/>
        <v>0</v>
      </c>
      <c r="AC1430" s="78" t="b">
        <f t="shared" si="1221"/>
        <v>0</v>
      </c>
      <c r="AD1430" s="78" t="b">
        <f t="shared" si="1222"/>
        <v>0</v>
      </c>
      <c r="AE1430" s="78" t="b">
        <f t="shared" si="1223"/>
        <v>0</v>
      </c>
      <c r="AF1430" s="78" t="b">
        <f t="shared" si="1224"/>
        <v>0</v>
      </c>
      <c r="AG1430" s="78" t="b">
        <f t="shared" si="1225"/>
        <v>0</v>
      </c>
      <c r="AH1430" s="78" t="b">
        <f t="shared" si="1226"/>
        <v>0</v>
      </c>
      <c r="AI1430" s="78" t="b">
        <f t="shared" si="1227"/>
        <v>0</v>
      </c>
      <c r="AJ1430" s="78" t="b">
        <f t="shared" si="1228"/>
        <v>0</v>
      </c>
      <c r="AK1430" s="78" t="b">
        <f t="shared" si="1229"/>
        <v>0</v>
      </c>
      <c r="AL1430" s="78" t="b">
        <f t="shared" si="1230"/>
        <v>0</v>
      </c>
      <c r="AM1430" s="78" t="b">
        <f t="shared" si="1231"/>
        <v>0</v>
      </c>
      <c r="AN1430" s="78" t="b">
        <f t="shared" si="1232"/>
        <v>0</v>
      </c>
      <c r="AO1430" s="78" t="b">
        <f t="shared" si="1233"/>
        <v>0</v>
      </c>
    </row>
    <row r="1431" spans="7:41" x14ac:dyDescent="0.35">
      <c r="G1431" s="77">
        <f t="shared" si="1203"/>
        <v>0</v>
      </c>
      <c r="H1431" s="78">
        <f t="shared" si="1204"/>
        <v>0</v>
      </c>
      <c r="I1431" s="77">
        <f t="shared" si="1205"/>
        <v>0</v>
      </c>
      <c r="J1431" s="78">
        <f t="shared" si="1206"/>
        <v>0</v>
      </c>
      <c r="K1431" s="78" t="str">
        <f t="shared" si="1207"/>
        <v>1900-01-00 00:0:00</v>
      </c>
      <c r="L1431" s="78" t="str">
        <f t="shared" si="1208"/>
        <v>1900-01-00 00:0:00</v>
      </c>
      <c r="M1431" s="79">
        <f t="shared" si="1209"/>
        <v>0</v>
      </c>
      <c r="N1431">
        <f t="shared" si="1234"/>
        <v>1</v>
      </c>
      <c r="O1431" t="str">
        <f>IFERROR(_xlfn.XLOOKUP(A1431,HC!A:A,HC!C:C),"")</f>
        <v>Workforce</v>
      </c>
      <c r="R1431" s="78" t="b">
        <f t="shared" si="1210"/>
        <v>0</v>
      </c>
      <c r="S1431" s="78" t="b">
        <f t="shared" si="1211"/>
        <v>0</v>
      </c>
      <c r="T1431" s="78" t="b">
        <f t="shared" si="1212"/>
        <v>0</v>
      </c>
      <c r="U1431" s="78" t="b">
        <f t="shared" si="1213"/>
        <v>0</v>
      </c>
      <c r="V1431" s="78" t="b">
        <f t="shared" si="1214"/>
        <v>0</v>
      </c>
      <c r="W1431" s="78" t="b">
        <f t="shared" si="1215"/>
        <v>0</v>
      </c>
      <c r="X1431" s="78" t="b">
        <f t="shared" si="1216"/>
        <v>0</v>
      </c>
      <c r="Y1431" s="78" t="b">
        <f t="shared" si="1217"/>
        <v>0</v>
      </c>
      <c r="Z1431" s="78" t="b">
        <f t="shared" si="1218"/>
        <v>0</v>
      </c>
      <c r="AA1431" s="78" t="b">
        <f t="shared" si="1219"/>
        <v>0</v>
      </c>
      <c r="AB1431" s="78" t="b">
        <f t="shared" si="1220"/>
        <v>0</v>
      </c>
      <c r="AC1431" s="78" t="b">
        <f t="shared" si="1221"/>
        <v>0</v>
      </c>
      <c r="AD1431" s="78" t="b">
        <f t="shared" si="1222"/>
        <v>0</v>
      </c>
      <c r="AE1431" s="78" t="b">
        <f t="shared" si="1223"/>
        <v>0</v>
      </c>
      <c r="AF1431" s="78" t="b">
        <f t="shared" si="1224"/>
        <v>0</v>
      </c>
      <c r="AG1431" s="78" t="b">
        <f t="shared" si="1225"/>
        <v>0</v>
      </c>
      <c r="AH1431" s="78" t="b">
        <f t="shared" si="1226"/>
        <v>0</v>
      </c>
      <c r="AI1431" s="78" t="b">
        <f t="shared" si="1227"/>
        <v>0</v>
      </c>
      <c r="AJ1431" s="78" t="b">
        <f t="shared" si="1228"/>
        <v>0</v>
      </c>
      <c r="AK1431" s="78" t="b">
        <f t="shared" si="1229"/>
        <v>0</v>
      </c>
      <c r="AL1431" s="78" t="b">
        <f t="shared" si="1230"/>
        <v>0</v>
      </c>
      <c r="AM1431" s="78" t="b">
        <f t="shared" si="1231"/>
        <v>0</v>
      </c>
      <c r="AN1431" s="78" t="b">
        <f t="shared" si="1232"/>
        <v>0</v>
      </c>
      <c r="AO1431" s="78" t="b">
        <f t="shared" si="1233"/>
        <v>0</v>
      </c>
    </row>
    <row r="1432" spans="7:41" x14ac:dyDescent="0.35">
      <c r="G1432" s="77">
        <f t="shared" si="1203"/>
        <v>0</v>
      </c>
      <c r="H1432" s="78">
        <f t="shared" si="1204"/>
        <v>0</v>
      </c>
      <c r="I1432" s="77">
        <f t="shared" si="1205"/>
        <v>0</v>
      </c>
      <c r="J1432" s="78">
        <f t="shared" si="1206"/>
        <v>0</v>
      </c>
      <c r="K1432" s="78" t="str">
        <f t="shared" si="1207"/>
        <v>1900-01-00 00:0:00</v>
      </c>
      <c r="L1432" s="78" t="str">
        <f t="shared" si="1208"/>
        <v>1900-01-00 00:0:00</v>
      </c>
      <c r="M1432" s="79">
        <f t="shared" si="1209"/>
        <v>0</v>
      </c>
      <c r="N1432">
        <f t="shared" si="1234"/>
        <v>1</v>
      </c>
      <c r="O1432" t="str">
        <f>IFERROR(_xlfn.XLOOKUP(A1432,HC!A:A,HC!C:C),"")</f>
        <v>Workforce</v>
      </c>
      <c r="R1432" s="78" t="b">
        <f t="shared" si="1210"/>
        <v>0</v>
      </c>
      <c r="S1432" s="78" t="b">
        <f t="shared" si="1211"/>
        <v>0</v>
      </c>
      <c r="T1432" s="78" t="b">
        <f t="shared" si="1212"/>
        <v>0</v>
      </c>
      <c r="U1432" s="78" t="b">
        <f t="shared" si="1213"/>
        <v>0</v>
      </c>
      <c r="V1432" s="78" t="b">
        <f t="shared" si="1214"/>
        <v>0</v>
      </c>
      <c r="W1432" s="78" t="b">
        <f t="shared" si="1215"/>
        <v>0</v>
      </c>
      <c r="X1432" s="78" t="b">
        <f t="shared" si="1216"/>
        <v>0</v>
      </c>
      <c r="Y1432" s="78" t="b">
        <f t="shared" si="1217"/>
        <v>0</v>
      </c>
      <c r="Z1432" s="78" t="b">
        <f t="shared" si="1218"/>
        <v>0</v>
      </c>
      <c r="AA1432" s="78" t="b">
        <f t="shared" si="1219"/>
        <v>0</v>
      </c>
      <c r="AB1432" s="78" t="b">
        <f t="shared" si="1220"/>
        <v>0</v>
      </c>
      <c r="AC1432" s="78" t="b">
        <f t="shared" si="1221"/>
        <v>0</v>
      </c>
      <c r="AD1432" s="78" t="b">
        <f t="shared" si="1222"/>
        <v>0</v>
      </c>
      <c r="AE1432" s="78" t="b">
        <f t="shared" si="1223"/>
        <v>0</v>
      </c>
      <c r="AF1432" s="78" t="b">
        <f t="shared" si="1224"/>
        <v>0</v>
      </c>
      <c r="AG1432" s="78" t="b">
        <f t="shared" si="1225"/>
        <v>0</v>
      </c>
      <c r="AH1432" s="78" t="b">
        <f t="shared" si="1226"/>
        <v>0</v>
      </c>
      <c r="AI1432" s="78" t="b">
        <f t="shared" si="1227"/>
        <v>0</v>
      </c>
      <c r="AJ1432" s="78" t="b">
        <f t="shared" si="1228"/>
        <v>0</v>
      </c>
      <c r="AK1432" s="78" t="b">
        <f t="shared" si="1229"/>
        <v>0</v>
      </c>
      <c r="AL1432" s="78" t="b">
        <f t="shared" si="1230"/>
        <v>0</v>
      </c>
      <c r="AM1432" s="78" t="b">
        <f t="shared" si="1231"/>
        <v>0</v>
      </c>
      <c r="AN1432" s="78" t="b">
        <f t="shared" si="1232"/>
        <v>0</v>
      </c>
      <c r="AO1432" s="78" t="b">
        <f t="shared" si="1233"/>
        <v>0</v>
      </c>
    </row>
    <row r="1433" spans="7:41" x14ac:dyDescent="0.35">
      <c r="G1433" s="77">
        <f t="shared" si="1203"/>
        <v>0</v>
      </c>
      <c r="H1433" s="78">
        <f t="shared" si="1204"/>
        <v>0</v>
      </c>
      <c r="I1433" s="77">
        <f t="shared" si="1205"/>
        <v>0</v>
      </c>
      <c r="J1433" s="78">
        <f t="shared" si="1206"/>
        <v>0</v>
      </c>
      <c r="K1433" s="78" t="str">
        <f t="shared" si="1207"/>
        <v>1900-01-00 00:0:00</v>
      </c>
      <c r="L1433" s="78" t="str">
        <f t="shared" si="1208"/>
        <v>1900-01-00 00:0:00</v>
      </c>
      <c r="M1433" s="79">
        <f t="shared" si="1209"/>
        <v>0</v>
      </c>
      <c r="N1433">
        <f t="shared" si="1234"/>
        <v>1</v>
      </c>
      <c r="O1433" t="str">
        <f>IFERROR(_xlfn.XLOOKUP(A1433,HC!A:A,HC!C:C),"")</f>
        <v>Workforce</v>
      </c>
      <c r="R1433" s="78" t="b">
        <f t="shared" si="1210"/>
        <v>0</v>
      </c>
      <c r="S1433" s="78" t="b">
        <f t="shared" si="1211"/>
        <v>0</v>
      </c>
      <c r="T1433" s="78" t="b">
        <f t="shared" si="1212"/>
        <v>0</v>
      </c>
      <c r="U1433" s="78" t="b">
        <f t="shared" si="1213"/>
        <v>0</v>
      </c>
      <c r="V1433" s="78" t="b">
        <f t="shared" si="1214"/>
        <v>0</v>
      </c>
      <c r="W1433" s="78" t="b">
        <f t="shared" si="1215"/>
        <v>0</v>
      </c>
      <c r="X1433" s="78" t="b">
        <f t="shared" si="1216"/>
        <v>0</v>
      </c>
      <c r="Y1433" s="78" t="b">
        <f t="shared" si="1217"/>
        <v>0</v>
      </c>
      <c r="Z1433" s="78" t="b">
        <f t="shared" si="1218"/>
        <v>0</v>
      </c>
      <c r="AA1433" s="78" t="b">
        <f t="shared" si="1219"/>
        <v>0</v>
      </c>
      <c r="AB1433" s="78" t="b">
        <f t="shared" si="1220"/>
        <v>0</v>
      </c>
      <c r="AC1433" s="78" t="b">
        <f t="shared" si="1221"/>
        <v>0</v>
      </c>
      <c r="AD1433" s="78" t="b">
        <f t="shared" si="1222"/>
        <v>0</v>
      </c>
      <c r="AE1433" s="78" t="b">
        <f t="shared" si="1223"/>
        <v>0</v>
      </c>
      <c r="AF1433" s="78" t="b">
        <f t="shared" si="1224"/>
        <v>0</v>
      </c>
      <c r="AG1433" s="78" t="b">
        <f t="shared" si="1225"/>
        <v>0</v>
      </c>
      <c r="AH1433" s="78" t="b">
        <f t="shared" si="1226"/>
        <v>0</v>
      </c>
      <c r="AI1433" s="78" t="b">
        <f t="shared" si="1227"/>
        <v>0</v>
      </c>
      <c r="AJ1433" s="78" t="b">
        <f t="shared" si="1228"/>
        <v>0</v>
      </c>
      <c r="AK1433" s="78" t="b">
        <f t="shared" si="1229"/>
        <v>0</v>
      </c>
      <c r="AL1433" s="78" t="b">
        <f t="shared" si="1230"/>
        <v>0</v>
      </c>
      <c r="AM1433" s="78" t="b">
        <f t="shared" si="1231"/>
        <v>0</v>
      </c>
      <c r="AN1433" s="78" t="b">
        <f t="shared" si="1232"/>
        <v>0</v>
      </c>
      <c r="AO1433" s="78" t="b">
        <f t="shared" si="1233"/>
        <v>0</v>
      </c>
    </row>
    <row r="1434" spans="7:41" x14ac:dyDescent="0.35">
      <c r="G1434" s="77">
        <f t="shared" si="1203"/>
        <v>0</v>
      </c>
      <c r="H1434" s="78">
        <f t="shared" si="1204"/>
        <v>0</v>
      </c>
      <c r="I1434" s="77">
        <f t="shared" si="1205"/>
        <v>0</v>
      </c>
      <c r="J1434" s="78">
        <f t="shared" si="1206"/>
        <v>0</v>
      </c>
      <c r="K1434" s="78" t="str">
        <f t="shared" si="1207"/>
        <v>1900-01-00 00:0:00</v>
      </c>
      <c r="L1434" s="78" t="str">
        <f t="shared" si="1208"/>
        <v>1900-01-00 00:0:00</v>
      </c>
      <c r="M1434" s="79">
        <f t="shared" si="1209"/>
        <v>0</v>
      </c>
      <c r="N1434">
        <f t="shared" si="1234"/>
        <v>1</v>
      </c>
      <c r="O1434" t="str">
        <f>IFERROR(_xlfn.XLOOKUP(A1434,HC!A:A,HC!C:C),"")</f>
        <v>Workforce</v>
      </c>
      <c r="R1434" s="78" t="b">
        <f t="shared" si="1210"/>
        <v>0</v>
      </c>
      <c r="S1434" s="78" t="b">
        <f t="shared" si="1211"/>
        <v>0</v>
      </c>
      <c r="T1434" s="78" t="b">
        <f t="shared" si="1212"/>
        <v>0</v>
      </c>
      <c r="U1434" s="78" t="b">
        <f t="shared" si="1213"/>
        <v>0</v>
      </c>
      <c r="V1434" s="78" t="b">
        <f t="shared" si="1214"/>
        <v>0</v>
      </c>
      <c r="W1434" s="78" t="b">
        <f t="shared" si="1215"/>
        <v>0</v>
      </c>
      <c r="X1434" s="78" t="b">
        <f t="shared" si="1216"/>
        <v>0</v>
      </c>
      <c r="Y1434" s="78" t="b">
        <f t="shared" si="1217"/>
        <v>0</v>
      </c>
      <c r="Z1434" s="78" t="b">
        <f t="shared" si="1218"/>
        <v>0</v>
      </c>
      <c r="AA1434" s="78" t="b">
        <f t="shared" si="1219"/>
        <v>0</v>
      </c>
      <c r="AB1434" s="78" t="b">
        <f t="shared" si="1220"/>
        <v>0</v>
      </c>
      <c r="AC1434" s="78" t="b">
        <f t="shared" si="1221"/>
        <v>0</v>
      </c>
      <c r="AD1434" s="78" t="b">
        <f t="shared" si="1222"/>
        <v>0</v>
      </c>
      <c r="AE1434" s="78" t="b">
        <f t="shared" si="1223"/>
        <v>0</v>
      </c>
      <c r="AF1434" s="78" t="b">
        <f t="shared" si="1224"/>
        <v>0</v>
      </c>
      <c r="AG1434" s="78" t="b">
        <f t="shared" si="1225"/>
        <v>0</v>
      </c>
      <c r="AH1434" s="78" t="b">
        <f t="shared" si="1226"/>
        <v>0</v>
      </c>
      <c r="AI1434" s="78" t="b">
        <f t="shared" si="1227"/>
        <v>0</v>
      </c>
      <c r="AJ1434" s="78" t="b">
        <f t="shared" si="1228"/>
        <v>0</v>
      </c>
      <c r="AK1434" s="78" t="b">
        <f t="shared" si="1229"/>
        <v>0</v>
      </c>
      <c r="AL1434" s="78" t="b">
        <f t="shared" si="1230"/>
        <v>0</v>
      </c>
      <c r="AM1434" s="78" t="b">
        <f t="shared" si="1231"/>
        <v>0</v>
      </c>
      <c r="AN1434" s="78" t="b">
        <f t="shared" si="1232"/>
        <v>0</v>
      </c>
      <c r="AO1434" s="78" t="b">
        <f t="shared" si="1233"/>
        <v>0</v>
      </c>
    </row>
    <row r="1435" spans="7:41" x14ac:dyDescent="0.35">
      <c r="G1435" s="77">
        <f t="shared" si="1203"/>
        <v>0</v>
      </c>
      <c r="H1435" s="78">
        <f t="shared" si="1204"/>
        <v>0</v>
      </c>
      <c r="I1435" s="77">
        <f t="shared" si="1205"/>
        <v>0</v>
      </c>
      <c r="J1435" s="78">
        <f t="shared" si="1206"/>
        <v>0</v>
      </c>
      <c r="K1435" s="78" t="str">
        <f t="shared" si="1207"/>
        <v>1900-01-00 00:0:00</v>
      </c>
      <c r="L1435" s="78" t="str">
        <f t="shared" si="1208"/>
        <v>1900-01-00 00:0:00</v>
      </c>
      <c r="M1435" s="79">
        <f t="shared" si="1209"/>
        <v>0</v>
      </c>
      <c r="N1435">
        <f t="shared" si="1234"/>
        <v>1</v>
      </c>
      <c r="O1435" t="str">
        <f>IFERROR(_xlfn.XLOOKUP(A1435,HC!A:A,HC!C:C),"")</f>
        <v>Workforce</v>
      </c>
      <c r="R1435" s="78" t="b">
        <f t="shared" si="1210"/>
        <v>0</v>
      </c>
      <c r="S1435" s="78" t="b">
        <f t="shared" si="1211"/>
        <v>0</v>
      </c>
      <c r="T1435" s="78" t="b">
        <f t="shared" si="1212"/>
        <v>0</v>
      </c>
      <c r="U1435" s="78" t="b">
        <f t="shared" si="1213"/>
        <v>0</v>
      </c>
      <c r="V1435" s="78" t="b">
        <f t="shared" si="1214"/>
        <v>0</v>
      </c>
      <c r="W1435" s="78" t="b">
        <f t="shared" si="1215"/>
        <v>0</v>
      </c>
      <c r="X1435" s="78" t="b">
        <f t="shared" si="1216"/>
        <v>0</v>
      </c>
      <c r="Y1435" s="78" t="b">
        <f t="shared" si="1217"/>
        <v>0</v>
      </c>
      <c r="Z1435" s="78" t="b">
        <f t="shared" si="1218"/>
        <v>0</v>
      </c>
      <c r="AA1435" s="78" t="b">
        <f t="shared" si="1219"/>
        <v>0</v>
      </c>
      <c r="AB1435" s="78" t="b">
        <f t="shared" si="1220"/>
        <v>0</v>
      </c>
      <c r="AC1435" s="78" t="b">
        <f t="shared" si="1221"/>
        <v>0</v>
      </c>
      <c r="AD1435" s="78" t="b">
        <f t="shared" si="1222"/>
        <v>0</v>
      </c>
      <c r="AE1435" s="78" t="b">
        <f t="shared" si="1223"/>
        <v>0</v>
      </c>
      <c r="AF1435" s="78" t="b">
        <f t="shared" si="1224"/>
        <v>0</v>
      </c>
      <c r="AG1435" s="78" t="b">
        <f t="shared" si="1225"/>
        <v>0</v>
      </c>
      <c r="AH1435" s="78" t="b">
        <f t="shared" si="1226"/>
        <v>0</v>
      </c>
      <c r="AI1435" s="78" t="b">
        <f t="shared" si="1227"/>
        <v>0</v>
      </c>
      <c r="AJ1435" s="78" t="b">
        <f t="shared" si="1228"/>
        <v>0</v>
      </c>
      <c r="AK1435" s="78" t="b">
        <f t="shared" si="1229"/>
        <v>0</v>
      </c>
      <c r="AL1435" s="78" t="b">
        <f t="shared" si="1230"/>
        <v>0</v>
      </c>
      <c r="AM1435" s="78" t="b">
        <f t="shared" si="1231"/>
        <v>0</v>
      </c>
      <c r="AN1435" s="78" t="b">
        <f t="shared" si="1232"/>
        <v>0</v>
      </c>
      <c r="AO1435" s="78" t="b">
        <f t="shared" si="1233"/>
        <v>0</v>
      </c>
    </row>
    <row r="1436" spans="7:41" x14ac:dyDescent="0.35">
      <c r="G1436" s="77">
        <f t="shared" si="1203"/>
        <v>0</v>
      </c>
      <c r="H1436" s="78">
        <f t="shared" si="1204"/>
        <v>0</v>
      </c>
      <c r="I1436" s="77">
        <f t="shared" si="1205"/>
        <v>0</v>
      </c>
      <c r="J1436" s="78">
        <f t="shared" si="1206"/>
        <v>0</v>
      </c>
      <c r="K1436" s="78" t="str">
        <f t="shared" si="1207"/>
        <v>1900-01-00 00:0:00</v>
      </c>
      <c r="L1436" s="78" t="str">
        <f t="shared" si="1208"/>
        <v>1900-01-00 00:0:00</v>
      </c>
      <c r="M1436" s="79">
        <f t="shared" si="1209"/>
        <v>0</v>
      </c>
      <c r="N1436">
        <f t="shared" si="1234"/>
        <v>1</v>
      </c>
      <c r="O1436" t="str">
        <f>IFERROR(_xlfn.XLOOKUP(A1436,HC!A:A,HC!C:C),"")</f>
        <v>Workforce</v>
      </c>
      <c r="R1436" s="78" t="b">
        <f t="shared" si="1210"/>
        <v>0</v>
      </c>
      <c r="S1436" s="78" t="b">
        <f t="shared" si="1211"/>
        <v>0</v>
      </c>
      <c r="T1436" s="78" t="b">
        <f t="shared" si="1212"/>
        <v>0</v>
      </c>
      <c r="U1436" s="78" t="b">
        <f t="shared" si="1213"/>
        <v>0</v>
      </c>
      <c r="V1436" s="78" t="b">
        <f t="shared" si="1214"/>
        <v>0</v>
      </c>
      <c r="W1436" s="78" t="b">
        <f t="shared" si="1215"/>
        <v>0</v>
      </c>
      <c r="X1436" s="78" t="b">
        <f t="shared" si="1216"/>
        <v>0</v>
      </c>
      <c r="Y1436" s="78" t="b">
        <f t="shared" si="1217"/>
        <v>0</v>
      </c>
      <c r="Z1436" s="78" t="b">
        <f t="shared" si="1218"/>
        <v>0</v>
      </c>
      <c r="AA1436" s="78" t="b">
        <f t="shared" si="1219"/>
        <v>0</v>
      </c>
      <c r="AB1436" s="78" t="b">
        <f t="shared" si="1220"/>
        <v>0</v>
      </c>
      <c r="AC1436" s="78" t="b">
        <f t="shared" si="1221"/>
        <v>0</v>
      </c>
      <c r="AD1436" s="78" t="b">
        <f t="shared" si="1222"/>
        <v>0</v>
      </c>
      <c r="AE1436" s="78" t="b">
        <f t="shared" si="1223"/>
        <v>0</v>
      </c>
      <c r="AF1436" s="78" t="b">
        <f t="shared" si="1224"/>
        <v>0</v>
      </c>
      <c r="AG1436" s="78" t="b">
        <f t="shared" si="1225"/>
        <v>0</v>
      </c>
      <c r="AH1436" s="78" t="b">
        <f t="shared" si="1226"/>
        <v>0</v>
      </c>
      <c r="AI1436" s="78" t="b">
        <f t="shared" si="1227"/>
        <v>0</v>
      </c>
      <c r="AJ1436" s="78" t="b">
        <f t="shared" si="1228"/>
        <v>0</v>
      </c>
      <c r="AK1436" s="78" t="b">
        <f t="shared" si="1229"/>
        <v>0</v>
      </c>
      <c r="AL1436" s="78" t="b">
        <f t="shared" si="1230"/>
        <v>0</v>
      </c>
      <c r="AM1436" s="78" t="b">
        <f t="shared" si="1231"/>
        <v>0</v>
      </c>
      <c r="AN1436" s="78" t="b">
        <f t="shared" si="1232"/>
        <v>0</v>
      </c>
      <c r="AO1436" s="78" t="b">
        <f t="shared" si="1233"/>
        <v>0</v>
      </c>
    </row>
    <row r="1437" spans="7:41" x14ac:dyDescent="0.35">
      <c r="G1437" s="77">
        <f t="shared" si="1203"/>
        <v>0</v>
      </c>
      <c r="H1437" s="78">
        <f t="shared" si="1204"/>
        <v>0</v>
      </c>
      <c r="I1437" s="77">
        <f t="shared" si="1205"/>
        <v>0</v>
      </c>
      <c r="J1437" s="78">
        <f t="shared" si="1206"/>
        <v>0</v>
      </c>
      <c r="K1437" s="78" t="str">
        <f t="shared" si="1207"/>
        <v>1900-01-00 00:0:00</v>
      </c>
      <c r="L1437" s="78" t="str">
        <f t="shared" si="1208"/>
        <v>1900-01-00 00:0:00</v>
      </c>
      <c r="M1437" s="79">
        <f t="shared" si="1209"/>
        <v>0</v>
      </c>
      <c r="N1437">
        <f t="shared" si="1234"/>
        <v>1</v>
      </c>
      <c r="O1437" t="str">
        <f>IFERROR(_xlfn.XLOOKUP(A1437,HC!A:A,HC!C:C),"")</f>
        <v>Workforce</v>
      </c>
      <c r="R1437" s="78" t="b">
        <f t="shared" si="1210"/>
        <v>0</v>
      </c>
      <c r="S1437" s="78" t="b">
        <f t="shared" si="1211"/>
        <v>0</v>
      </c>
      <c r="T1437" s="78" t="b">
        <f t="shared" si="1212"/>
        <v>0</v>
      </c>
      <c r="U1437" s="78" t="b">
        <f t="shared" si="1213"/>
        <v>0</v>
      </c>
      <c r="V1437" s="78" t="b">
        <f t="shared" si="1214"/>
        <v>0</v>
      </c>
      <c r="W1437" s="78" t="b">
        <f t="shared" si="1215"/>
        <v>0</v>
      </c>
      <c r="X1437" s="78" t="b">
        <f t="shared" si="1216"/>
        <v>0</v>
      </c>
      <c r="Y1437" s="78" t="b">
        <f t="shared" si="1217"/>
        <v>0</v>
      </c>
      <c r="Z1437" s="78" t="b">
        <f t="shared" si="1218"/>
        <v>0</v>
      </c>
      <c r="AA1437" s="78" t="b">
        <f t="shared" si="1219"/>
        <v>0</v>
      </c>
      <c r="AB1437" s="78" t="b">
        <f t="shared" si="1220"/>
        <v>0</v>
      </c>
      <c r="AC1437" s="78" t="b">
        <f t="shared" si="1221"/>
        <v>0</v>
      </c>
      <c r="AD1437" s="78" t="b">
        <f t="shared" si="1222"/>
        <v>0</v>
      </c>
      <c r="AE1437" s="78" t="b">
        <f t="shared" si="1223"/>
        <v>0</v>
      </c>
      <c r="AF1437" s="78" t="b">
        <f t="shared" si="1224"/>
        <v>0</v>
      </c>
      <c r="AG1437" s="78" t="b">
        <f t="shared" si="1225"/>
        <v>0</v>
      </c>
      <c r="AH1437" s="78" t="b">
        <f t="shared" si="1226"/>
        <v>0</v>
      </c>
      <c r="AI1437" s="78" t="b">
        <f t="shared" si="1227"/>
        <v>0</v>
      </c>
      <c r="AJ1437" s="78" t="b">
        <f t="shared" si="1228"/>
        <v>0</v>
      </c>
      <c r="AK1437" s="78" t="b">
        <f t="shared" si="1229"/>
        <v>0</v>
      </c>
      <c r="AL1437" s="78" t="b">
        <f t="shared" si="1230"/>
        <v>0</v>
      </c>
      <c r="AM1437" s="78" t="b">
        <f t="shared" si="1231"/>
        <v>0</v>
      </c>
      <c r="AN1437" s="78" t="b">
        <f t="shared" si="1232"/>
        <v>0</v>
      </c>
      <c r="AO1437" s="78" t="b">
        <f t="shared" si="1233"/>
        <v>0</v>
      </c>
    </row>
    <row r="1438" spans="7:41" x14ac:dyDescent="0.35">
      <c r="G1438" s="77">
        <f t="shared" si="1203"/>
        <v>0</v>
      </c>
      <c r="H1438" s="78">
        <f t="shared" si="1204"/>
        <v>0</v>
      </c>
      <c r="I1438" s="77">
        <f t="shared" si="1205"/>
        <v>0</v>
      </c>
      <c r="J1438" s="78">
        <f t="shared" si="1206"/>
        <v>0</v>
      </c>
      <c r="K1438" s="78" t="str">
        <f t="shared" si="1207"/>
        <v>1900-01-00 00:0:00</v>
      </c>
      <c r="L1438" s="78" t="str">
        <f t="shared" si="1208"/>
        <v>1900-01-00 00:0:00</v>
      </c>
      <c r="M1438" s="79">
        <f t="shared" si="1209"/>
        <v>0</v>
      </c>
      <c r="N1438">
        <f t="shared" si="1234"/>
        <v>1</v>
      </c>
      <c r="O1438" t="str">
        <f>IFERROR(_xlfn.XLOOKUP(A1438,HC!A:A,HC!C:C),"")</f>
        <v>Workforce</v>
      </c>
      <c r="R1438" s="78" t="b">
        <f t="shared" si="1210"/>
        <v>0</v>
      </c>
      <c r="S1438" s="78" t="b">
        <f t="shared" si="1211"/>
        <v>0</v>
      </c>
      <c r="T1438" s="78" t="b">
        <f t="shared" si="1212"/>
        <v>0</v>
      </c>
      <c r="U1438" s="78" t="b">
        <f t="shared" si="1213"/>
        <v>0</v>
      </c>
      <c r="V1438" s="78" t="b">
        <f t="shared" si="1214"/>
        <v>0</v>
      </c>
      <c r="W1438" s="78" t="b">
        <f t="shared" si="1215"/>
        <v>0</v>
      </c>
      <c r="X1438" s="78" t="b">
        <f t="shared" si="1216"/>
        <v>0</v>
      </c>
      <c r="Y1438" s="78" t="b">
        <f t="shared" si="1217"/>
        <v>0</v>
      </c>
      <c r="Z1438" s="78" t="b">
        <f t="shared" si="1218"/>
        <v>0</v>
      </c>
      <c r="AA1438" s="78" t="b">
        <f t="shared" si="1219"/>
        <v>0</v>
      </c>
      <c r="AB1438" s="78" t="b">
        <f t="shared" si="1220"/>
        <v>0</v>
      </c>
      <c r="AC1438" s="78" t="b">
        <f t="shared" si="1221"/>
        <v>0</v>
      </c>
      <c r="AD1438" s="78" t="b">
        <f t="shared" si="1222"/>
        <v>0</v>
      </c>
      <c r="AE1438" s="78" t="b">
        <f t="shared" si="1223"/>
        <v>0</v>
      </c>
      <c r="AF1438" s="78" t="b">
        <f t="shared" si="1224"/>
        <v>0</v>
      </c>
      <c r="AG1438" s="78" t="b">
        <f t="shared" si="1225"/>
        <v>0</v>
      </c>
      <c r="AH1438" s="78" t="b">
        <f t="shared" si="1226"/>
        <v>0</v>
      </c>
      <c r="AI1438" s="78" t="b">
        <f t="shared" si="1227"/>
        <v>0</v>
      </c>
      <c r="AJ1438" s="78" t="b">
        <f t="shared" si="1228"/>
        <v>0</v>
      </c>
      <c r="AK1438" s="78" t="b">
        <f t="shared" si="1229"/>
        <v>0</v>
      </c>
      <c r="AL1438" s="78" t="b">
        <f t="shared" si="1230"/>
        <v>0</v>
      </c>
      <c r="AM1438" s="78" t="b">
        <f t="shared" si="1231"/>
        <v>0</v>
      </c>
      <c r="AN1438" s="78" t="b">
        <f t="shared" si="1232"/>
        <v>0</v>
      </c>
      <c r="AO1438" s="78" t="b">
        <f t="shared" si="1233"/>
        <v>0</v>
      </c>
    </row>
    <row r="1439" spans="7:41" x14ac:dyDescent="0.35">
      <c r="G1439" s="77">
        <f t="shared" si="1203"/>
        <v>0</v>
      </c>
      <c r="H1439" s="78">
        <f t="shared" si="1204"/>
        <v>0</v>
      </c>
      <c r="I1439" s="77">
        <f t="shared" si="1205"/>
        <v>0</v>
      </c>
      <c r="J1439" s="78">
        <f t="shared" si="1206"/>
        <v>0</v>
      </c>
      <c r="K1439" s="78" t="str">
        <f t="shared" si="1207"/>
        <v>1900-01-00 00:0:00</v>
      </c>
      <c r="L1439" s="78" t="str">
        <f t="shared" si="1208"/>
        <v>1900-01-00 00:0:00</v>
      </c>
      <c r="M1439" s="79">
        <f t="shared" si="1209"/>
        <v>0</v>
      </c>
      <c r="N1439">
        <f t="shared" si="1234"/>
        <v>1</v>
      </c>
      <c r="O1439" t="str">
        <f>IFERROR(_xlfn.XLOOKUP(A1439,HC!A:A,HC!C:C),"")</f>
        <v>Workforce</v>
      </c>
      <c r="R1439" s="78" t="b">
        <f t="shared" si="1210"/>
        <v>0</v>
      </c>
      <c r="S1439" s="78" t="b">
        <f t="shared" si="1211"/>
        <v>0</v>
      </c>
      <c r="T1439" s="78" t="b">
        <f t="shared" si="1212"/>
        <v>0</v>
      </c>
      <c r="U1439" s="78" t="b">
        <f t="shared" si="1213"/>
        <v>0</v>
      </c>
      <c r="V1439" s="78" t="b">
        <f t="shared" si="1214"/>
        <v>0</v>
      </c>
      <c r="W1439" s="78" t="b">
        <f t="shared" si="1215"/>
        <v>0</v>
      </c>
      <c r="X1439" s="78" t="b">
        <f t="shared" si="1216"/>
        <v>0</v>
      </c>
      <c r="Y1439" s="78" t="b">
        <f t="shared" si="1217"/>
        <v>0</v>
      </c>
      <c r="Z1439" s="78" t="b">
        <f t="shared" si="1218"/>
        <v>0</v>
      </c>
      <c r="AA1439" s="78" t="b">
        <f t="shared" si="1219"/>
        <v>0</v>
      </c>
      <c r="AB1439" s="78" t="b">
        <f t="shared" si="1220"/>
        <v>0</v>
      </c>
      <c r="AC1439" s="78" t="b">
        <f t="shared" si="1221"/>
        <v>0</v>
      </c>
      <c r="AD1439" s="78" t="b">
        <f t="shared" si="1222"/>
        <v>0</v>
      </c>
      <c r="AE1439" s="78" t="b">
        <f t="shared" si="1223"/>
        <v>0</v>
      </c>
      <c r="AF1439" s="78" t="b">
        <f t="shared" si="1224"/>
        <v>0</v>
      </c>
      <c r="AG1439" s="78" t="b">
        <f t="shared" si="1225"/>
        <v>0</v>
      </c>
      <c r="AH1439" s="78" t="b">
        <f t="shared" si="1226"/>
        <v>0</v>
      </c>
      <c r="AI1439" s="78" t="b">
        <f t="shared" si="1227"/>
        <v>0</v>
      </c>
      <c r="AJ1439" s="78" t="b">
        <f t="shared" si="1228"/>
        <v>0</v>
      </c>
      <c r="AK1439" s="78" t="b">
        <f t="shared" si="1229"/>
        <v>0</v>
      </c>
      <c r="AL1439" s="78" t="b">
        <f t="shared" si="1230"/>
        <v>0</v>
      </c>
      <c r="AM1439" s="78" t="b">
        <f t="shared" si="1231"/>
        <v>0</v>
      </c>
      <c r="AN1439" s="78" t="b">
        <f t="shared" si="1232"/>
        <v>0</v>
      </c>
      <c r="AO1439" s="78" t="b">
        <f t="shared" si="1233"/>
        <v>0</v>
      </c>
    </row>
    <row r="1440" spans="7:41" x14ac:dyDescent="0.35">
      <c r="G1440" s="77">
        <f t="shared" si="1203"/>
        <v>0</v>
      </c>
      <c r="H1440" s="78">
        <f t="shared" si="1204"/>
        <v>0</v>
      </c>
      <c r="I1440" s="77">
        <f t="shared" si="1205"/>
        <v>0</v>
      </c>
      <c r="J1440" s="78">
        <f t="shared" si="1206"/>
        <v>0</v>
      </c>
      <c r="K1440" s="78" t="str">
        <f t="shared" si="1207"/>
        <v>1900-01-00 00:0:00</v>
      </c>
      <c r="L1440" s="78" t="str">
        <f t="shared" si="1208"/>
        <v>1900-01-00 00:0:00</v>
      </c>
      <c r="M1440" s="79">
        <f t="shared" si="1209"/>
        <v>0</v>
      </c>
      <c r="N1440">
        <f t="shared" si="1234"/>
        <v>1</v>
      </c>
      <c r="O1440" t="str">
        <f>IFERROR(_xlfn.XLOOKUP(A1440,HC!A:A,HC!C:C),"")</f>
        <v>Workforce</v>
      </c>
      <c r="R1440" s="78" t="b">
        <f t="shared" si="1210"/>
        <v>0</v>
      </c>
      <c r="S1440" s="78" t="b">
        <f t="shared" si="1211"/>
        <v>0</v>
      </c>
      <c r="T1440" s="78" t="b">
        <f t="shared" si="1212"/>
        <v>0</v>
      </c>
      <c r="U1440" s="78" t="b">
        <f t="shared" si="1213"/>
        <v>0</v>
      </c>
      <c r="V1440" s="78" t="b">
        <f t="shared" si="1214"/>
        <v>0</v>
      </c>
      <c r="W1440" s="78" t="b">
        <f t="shared" si="1215"/>
        <v>0</v>
      </c>
      <c r="X1440" s="78" t="b">
        <f t="shared" si="1216"/>
        <v>0</v>
      </c>
      <c r="Y1440" s="78" t="b">
        <f t="shared" si="1217"/>
        <v>0</v>
      </c>
      <c r="Z1440" s="78" t="b">
        <f t="shared" si="1218"/>
        <v>0</v>
      </c>
      <c r="AA1440" s="78" t="b">
        <f t="shared" si="1219"/>
        <v>0</v>
      </c>
      <c r="AB1440" s="78" t="b">
        <f t="shared" si="1220"/>
        <v>0</v>
      </c>
      <c r="AC1440" s="78" t="b">
        <f t="shared" si="1221"/>
        <v>0</v>
      </c>
      <c r="AD1440" s="78" t="b">
        <f t="shared" si="1222"/>
        <v>0</v>
      </c>
      <c r="AE1440" s="78" t="b">
        <f t="shared" si="1223"/>
        <v>0</v>
      </c>
      <c r="AF1440" s="78" t="b">
        <f t="shared" si="1224"/>
        <v>0</v>
      </c>
      <c r="AG1440" s="78" t="b">
        <f t="shared" si="1225"/>
        <v>0</v>
      </c>
      <c r="AH1440" s="78" t="b">
        <f t="shared" si="1226"/>
        <v>0</v>
      </c>
      <c r="AI1440" s="78" t="b">
        <f t="shared" si="1227"/>
        <v>0</v>
      </c>
      <c r="AJ1440" s="78" t="b">
        <f t="shared" si="1228"/>
        <v>0</v>
      </c>
      <c r="AK1440" s="78" t="b">
        <f t="shared" si="1229"/>
        <v>0</v>
      </c>
      <c r="AL1440" s="78" t="b">
        <f t="shared" si="1230"/>
        <v>0</v>
      </c>
      <c r="AM1440" s="78" t="b">
        <f t="shared" si="1231"/>
        <v>0</v>
      </c>
      <c r="AN1440" s="78" t="b">
        <f t="shared" si="1232"/>
        <v>0</v>
      </c>
      <c r="AO1440" s="78" t="b">
        <f t="shared" si="1233"/>
        <v>0</v>
      </c>
    </row>
    <row r="1441" spans="7:41" x14ac:dyDescent="0.35">
      <c r="G1441" s="77">
        <f t="shared" si="1203"/>
        <v>0</v>
      </c>
      <c r="H1441" s="78">
        <f t="shared" si="1204"/>
        <v>0</v>
      </c>
      <c r="I1441" s="77">
        <f t="shared" si="1205"/>
        <v>0</v>
      </c>
      <c r="J1441" s="78">
        <f t="shared" si="1206"/>
        <v>0</v>
      </c>
      <c r="K1441" s="78" t="str">
        <f t="shared" si="1207"/>
        <v>1900-01-00 00:0:00</v>
      </c>
      <c r="L1441" s="78" t="str">
        <f t="shared" si="1208"/>
        <v>1900-01-00 00:0:00</v>
      </c>
      <c r="M1441" s="79">
        <f t="shared" si="1209"/>
        <v>0</v>
      </c>
      <c r="N1441">
        <f t="shared" si="1234"/>
        <v>1</v>
      </c>
      <c r="O1441" t="str">
        <f>IFERROR(_xlfn.XLOOKUP(A1441,HC!A:A,HC!C:C),"")</f>
        <v>Workforce</v>
      </c>
      <c r="R1441" s="78" t="b">
        <f t="shared" si="1210"/>
        <v>0</v>
      </c>
      <c r="S1441" s="78" t="b">
        <f t="shared" si="1211"/>
        <v>0</v>
      </c>
      <c r="T1441" s="78" t="b">
        <f t="shared" si="1212"/>
        <v>0</v>
      </c>
      <c r="U1441" s="78" t="b">
        <f t="shared" si="1213"/>
        <v>0</v>
      </c>
      <c r="V1441" s="78" t="b">
        <f t="shared" si="1214"/>
        <v>0</v>
      </c>
      <c r="W1441" s="78" t="b">
        <f t="shared" si="1215"/>
        <v>0</v>
      </c>
      <c r="X1441" s="78" t="b">
        <f t="shared" si="1216"/>
        <v>0</v>
      </c>
      <c r="Y1441" s="78" t="b">
        <f t="shared" si="1217"/>
        <v>0</v>
      </c>
      <c r="Z1441" s="78" t="b">
        <f t="shared" si="1218"/>
        <v>0</v>
      </c>
      <c r="AA1441" s="78" t="b">
        <f t="shared" si="1219"/>
        <v>0</v>
      </c>
      <c r="AB1441" s="78" t="b">
        <f t="shared" si="1220"/>
        <v>0</v>
      </c>
      <c r="AC1441" s="78" t="b">
        <f t="shared" si="1221"/>
        <v>0</v>
      </c>
      <c r="AD1441" s="78" t="b">
        <f t="shared" si="1222"/>
        <v>0</v>
      </c>
      <c r="AE1441" s="78" t="b">
        <f t="shared" si="1223"/>
        <v>0</v>
      </c>
      <c r="AF1441" s="78" t="b">
        <f t="shared" si="1224"/>
        <v>0</v>
      </c>
      <c r="AG1441" s="78" t="b">
        <f t="shared" si="1225"/>
        <v>0</v>
      </c>
      <c r="AH1441" s="78" t="b">
        <f t="shared" si="1226"/>
        <v>0</v>
      </c>
      <c r="AI1441" s="78" t="b">
        <f t="shared" si="1227"/>
        <v>0</v>
      </c>
      <c r="AJ1441" s="78" t="b">
        <f t="shared" si="1228"/>
        <v>0</v>
      </c>
      <c r="AK1441" s="78" t="b">
        <f t="shared" si="1229"/>
        <v>0</v>
      </c>
      <c r="AL1441" s="78" t="b">
        <f t="shared" si="1230"/>
        <v>0</v>
      </c>
      <c r="AM1441" s="78" t="b">
        <f t="shared" si="1231"/>
        <v>0</v>
      </c>
      <c r="AN1441" s="78" t="b">
        <f t="shared" si="1232"/>
        <v>0</v>
      </c>
      <c r="AO1441" s="78" t="b">
        <f t="shared" si="1233"/>
        <v>0</v>
      </c>
    </row>
    <row r="1442" spans="7:41" x14ac:dyDescent="0.35">
      <c r="G1442" s="77">
        <f t="shared" si="1203"/>
        <v>0</v>
      </c>
      <c r="H1442" s="78">
        <f t="shared" si="1204"/>
        <v>0</v>
      </c>
      <c r="I1442" s="77">
        <f t="shared" si="1205"/>
        <v>0</v>
      </c>
      <c r="J1442" s="78">
        <f t="shared" si="1206"/>
        <v>0</v>
      </c>
      <c r="K1442" s="78" t="str">
        <f t="shared" si="1207"/>
        <v>1900-01-00 00:0:00</v>
      </c>
      <c r="L1442" s="78" t="str">
        <f t="shared" si="1208"/>
        <v>1900-01-00 00:0:00</v>
      </c>
      <c r="M1442" s="79">
        <f t="shared" si="1209"/>
        <v>0</v>
      </c>
      <c r="N1442">
        <f t="shared" si="1234"/>
        <v>1</v>
      </c>
      <c r="O1442" t="str">
        <f>IFERROR(_xlfn.XLOOKUP(A1442,HC!A:A,HC!C:C),"")</f>
        <v>Workforce</v>
      </c>
      <c r="R1442" s="78" t="b">
        <f t="shared" si="1210"/>
        <v>0</v>
      </c>
      <c r="S1442" s="78" t="b">
        <f t="shared" si="1211"/>
        <v>0</v>
      </c>
      <c r="T1442" s="78" t="b">
        <f t="shared" si="1212"/>
        <v>0</v>
      </c>
      <c r="U1442" s="78" t="b">
        <f t="shared" si="1213"/>
        <v>0</v>
      </c>
      <c r="V1442" s="78" t="b">
        <f t="shared" si="1214"/>
        <v>0</v>
      </c>
      <c r="W1442" s="78" t="b">
        <f t="shared" si="1215"/>
        <v>0</v>
      </c>
      <c r="X1442" s="78" t="b">
        <f t="shared" si="1216"/>
        <v>0</v>
      </c>
      <c r="Y1442" s="78" t="b">
        <f t="shared" si="1217"/>
        <v>0</v>
      </c>
      <c r="Z1442" s="78" t="b">
        <f t="shared" si="1218"/>
        <v>0</v>
      </c>
      <c r="AA1442" s="78" t="b">
        <f t="shared" si="1219"/>
        <v>0</v>
      </c>
      <c r="AB1442" s="78" t="b">
        <f t="shared" si="1220"/>
        <v>0</v>
      </c>
      <c r="AC1442" s="78" t="b">
        <f t="shared" si="1221"/>
        <v>0</v>
      </c>
      <c r="AD1442" s="78" t="b">
        <f t="shared" si="1222"/>
        <v>0</v>
      </c>
      <c r="AE1442" s="78" t="b">
        <f t="shared" si="1223"/>
        <v>0</v>
      </c>
      <c r="AF1442" s="78" t="b">
        <f t="shared" si="1224"/>
        <v>0</v>
      </c>
      <c r="AG1442" s="78" t="b">
        <f t="shared" si="1225"/>
        <v>0</v>
      </c>
      <c r="AH1442" s="78" t="b">
        <f t="shared" si="1226"/>
        <v>0</v>
      </c>
      <c r="AI1442" s="78" t="b">
        <f t="shared" si="1227"/>
        <v>0</v>
      </c>
      <c r="AJ1442" s="78" t="b">
        <f t="shared" si="1228"/>
        <v>0</v>
      </c>
      <c r="AK1442" s="78" t="b">
        <f t="shared" si="1229"/>
        <v>0</v>
      </c>
      <c r="AL1442" s="78" t="b">
        <f t="shared" si="1230"/>
        <v>0</v>
      </c>
      <c r="AM1442" s="78" t="b">
        <f t="shared" si="1231"/>
        <v>0</v>
      </c>
      <c r="AN1442" s="78" t="b">
        <f t="shared" si="1232"/>
        <v>0</v>
      </c>
      <c r="AO1442" s="78" t="b">
        <f t="shared" si="1233"/>
        <v>0</v>
      </c>
    </row>
    <row r="1443" spans="7:41" x14ac:dyDescent="0.35">
      <c r="G1443" s="77">
        <f t="shared" si="1203"/>
        <v>0</v>
      </c>
      <c r="H1443" s="78">
        <f t="shared" si="1204"/>
        <v>0</v>
      </c>
      <c r="I1443" s="77">
        <f t="shared" si="1205"/>
        <v>0</v>
      </c>
      <c r="J1443" s="78">
        <f t="shared" si="1206"/>
        <v>0</v>
      </c>
      <c r="K1443" s="78" t="str">
        <f t="shared" si="1207"/>
        <v>1900-01-00 00:0:00</v>
      </c>
      <c r="L1443" s="78" t="str">
        <f t="shared" si="1208"/>
        <v>1900-01-00 00:0:00</v>
      </c>
      <c r="M1443" s="79">
        <f t="shared" si="1209"/>
        <v>0</v>
      </c>
      <c r="N1443">
        <f t="shared" si="1234"/>
        <v>1</v>
      </c>
      <c r="O1443" t="str">
        <f>IFERROR(_xlfn.XLOOKUP(A1443,HC!A:A,HC!C:C),"")</f>
        <v>Workforce</v>
      </c>
      <c r="R1443" s="78" t="b">
        <f t="shared" si="1210"/>
        <v>0</v>
      </c>
      <c r="S1443" s="78" t="b">
        <f t="shared" si="1211"/>
        <v>0</v>
      </c>
      <c r="T1443" s="78" t="b">
        <f t="shared" si="1212"/>
        <v>0</v>
      </c>
      <c r="U1443" s="78" t="b">
        <f t="shared" si="1213"/>
        <v>0</v>
      </c>
      <c r="V1443" s="78" t="b">
        <f t="shared" si="1214"/>
        <v>0</v>
      </c>
      <c r="W1443" s="78" t="b">
        <f t="shared" si="1215"/>
        <v>0</v>
      </c>
      <c r="X1443" s="78" t="b">
        <f t="shared" si="1216"/>
        <v>0</v>
      </c>
      <c r="Y1443" s="78" t="b">
        <f t="shared" si="1217"/>
        <v>0</v>
      </c>
      <c r="Z1443" s="78" t="b">
        <f t="shared" si="1218"/>
        <v>0</v>
      </c>
      <c r="AA1443" s="78" t="b">
        <f t="shared" si="1219"/>
        <v>0</v>
      </c>
      <c r="AB1443" s="78" t="b">
        <f t="shared" si="1220"/>
        <v>0</v>
      </c>
      <c r="AC1443" s="78" t="b">
        <f t="shared" si="1221"/>
        <v>0</v>
      </c>
      <c r="AD1443" s="78" t="b">
        <f t="shared" si="1222"/>
        <v>0</v>
      </c>
      <c r="AE1443" s="78" t="b">
        <f t="shared" si="1223"/>
        <v>0</v>
      </c>
      <c r="AF1443" s="78" t="b">
        <f t="shared" si="1224"/>
        <v>0</v>
      </c>
      <c r="AG1443" s="78" t="b">
        <f t="shared" si="1225"/>
        <v>0</v>
      </c>
      <c r="AH1443" s="78" t="b">
        <f t="shared" si="1226"/>
        <v>0</v>
      </c>
      <c r="AI1443" s="78" t="b">
        <f t="shared" si="1227"/>
        <v>0</v>
      </c>
      <c r="AJ1443" s="78" t="b">
        <f t="shared" si="1228"/>
        <v>0</v>
      </c>
      <c r="AK1443" s="78" t="b">
        <f t="shared" si="1229"/>
        <v>0</v>
      </c>
      <c r="AL1443" s="78" t="b">
        <f t="shared" si="1230"/>
        <v>0</v>
      </c>
      <c r="AM1443" s="78" t="b">
        <f t="shared" si="1231"/>
        <v>0</v>
      </c>
      <c r="AN1443" s="78" t="b">
        <f t="shared" si="1232"/>
        <v>0</v>
      </c>
      <c r="AO1443" s="78" t="b">
        <f t="shared" si="1233"/>
        <v>0</v>
      </c>
    </row>
    <row r="1444" spans="7:41" x14ac:dyDescent="0.35">
      <c r="G1444" s="77">
        <f t="shared" si="1203"/>
        <v>0</v>
      </c>
      <c r="H1444" s="78">
        <f t="shared" si="1204"/>
        <v>0</v>
      </c>
      <c r="I1444" s="77">
        <f t="shared" si="1205"/>
        <v>0</v>
      </c>
      <c r="J1444" s="78">
        <f t="shared" si="1206"/>
        <v>0</v>
      </c>
      <c r="K1444" s="78" t="str">
        <f t="shared" si="1207"/>
        <v>1900-01-00 00:0:00</v>
      </c>
      <c r="L1444" s="78" t="str">
        <f t="shared" si="1208"/>
        <v>1900-01-00 00:0:00</v>
      </c>
      <c r="M1444" s="79">
        <f t="shared" si="1209"/>
        <v>0</v>
      </c>
      <c r="N1444">
        <f t="shared" si="1234"/>
        <v>1</v>
      </c>
      <c r="O1444" t="str">
        <f>IFERROR(_xlfn.XLOOKUP(A1444,HC!A:A,HC!C:C),"")</f>
        <v>Workforce</v>
      </c>
      <c r="R1444" s="78" t="b">
        <f t="shared" si="1210"/>
        <v>0</v>
      </c>
      <c r="S1444" s="78" t="b">
        <f t="shared" si="1211"/>
        <v>0</v>
      </c>
      <c r="T1444" s="78" t="b">
        <f t="shared" si="1212"/>
        <v>0</v>
      </c>
      <c r="U1444" s="78" t="b">
        <f t="shared" si="1213"/>
        <v>0</v>
      </c>
      <c r="V1444" s="78" t="b">
        <f t="shared" si="1214"/>
        <v>0</v>
      </c>
      <c r="W1444" s="78" t="b">
        <f t="shared" si="1215"/>
        <v>0</v>
      </c>
      <c r="X1444" s="78" t="b">
        <f t="shared" si="1216"/>
        <v>0</v>
      </c>
      <c r="Y1444" s="78" t="b">
        <f t="shared" si="1217"/>
        <v>0</v>
      </c>
      <c r="Z1444" s="78" t="b">
        <f t="shared" si="1218"/>
        <v>0</v>
      </c>
      <c r="AA1444" s="78" t="b">
        <f t="shared" si="1219"/>
        <v>0</v>
      </c>
      <c r="AB1444" s="78" t="b">
        <f t="shared" si="1220"/>
        <v>0</v>
      </c>
      <c r="AC1444" s="78" t="b">
        <f t="shared" si="1221"/>
        <v>0</v>
      </c>
      <c r="AD1444" s="78" t="b">
        <f t="shared" si="1222"/>
        <v>0</v>
      </c>
      <c r="AE1444" s="78" t="b">
        <f t="shared" si="1223"/>
        <v>0</v>
      </c>
      <c r="AF1444" s="78" t="b">
        <f t="shared" si="1224"/>
        <v>0</v>
      </c>
      <c r="AG1444" s="78" t="b">
        <f t="shared" si="1225"/>
        <v>0</v>
      </c>
      <c r="AH1444" s="78" t="b">
        <f t="shared" si="1226"/>
        <v>0</v>
      </c>
      <c r="AI1444" s="78" t="b">
        <f t="shared" si="1227"/>
        <v>0</v>
      </c>
      <c r="AJ1444" s="78" t="b">
        <f t="shared" si="1228"/>
        <v>0</v>
      </c>
      <c r="AK1444" s="78" t="b">
        <f t="shared" si="1229"/>
        <v>0</v>
      </c>
      <c r="AL1444" s="78" t="b">
        <f t="shared" si="1230"/>
        <v>0</v>
      </c>
      <c r="AM1444" s="78" t="b">
        <f t="shared" si="1231"/>
        <v>0</v>
      </c>
      <c r="AN1444" s="78" t="b">
        <f t="shared" si="1232"/>
        <v>0</v>
      </c>
      <c r="AO1444" s="78" t="b">
        <f t="shared" si="1233"/>
        <v>0</v>
      </c>
    </row>
    <row r="1445" spans="7:41" x14ac:dyDescent="0.35">
      <c r="G1445" s="77">
        <f t="shared" si="1203"/>
        <v>0</v>
      </c>
      <c r="H1445" s="78">
        <f t="shared" si="1204"/>
        <v>0</v>
      </c>
      <c r="I1445" s="77">
        <f t="shared" si="1205"/>
        <v>0</v>
      </c>
      <c r="J1445" s="78">
        <f t="shared" si="1206"/>
        <v>0</v>
      </c>
      <c r="K1445" s="78" t="str">
        <f t="shared" si="1207"/>
        <v>1900-01-00 00:0:00</v>
      </c>
      <c r="L1445" s="78" t="str">
        <f t="shared" si="1208"/>
        <v>1900-01-00 00:0:00</v>
      </c>
      <c r="M1445" s="79">
        <f t="shared" si="1209"/>
        <v>0</v>
      </c>
      <c r="N1445">
        <f t="shared" si="1234"/>
        <v>1</v>
      </c>
      <c r="O1445" t="str">
        <f>IFERROR(_xlfn.XLOOKUP(A1445,HC!A:A,HC!C:C),"")</f>
        <v>Workforce</v>
      </c>
      <c r="R1445" s="78" t="b">
        <f t="shared" si="1210"/>
        <v>0</v>
      </c>
      <c r="S1445" s="78" t="b">
        <f t="shared" si="1211"/>
        <v>0</v>
      </c>
      <c r="T1445" s="78" t="b">
        <f t="shared" si="1212"/>
        <v>0</v>
      </c>
      <c r="U1445" s="78" t="b">
        <f t="shared" si="1213"/>
        <v>0</v>
      </c>
      <c r="V1445" s="78" t="b">
        <f t="shared" si="1214"/>
        <v>0</v>
      </c>
      <c r="W1445" s="78" t="b">
        <f t="shared" si="1215"/>
        <v>0</v>
      </c>
      <c r="X1445" s="78" t="b">
        <f t="shared" si="1216"/>
        <v>0</v>
      </c>
      <c r="Y1445" s="78" t="b">
        <f t="shared" si="1217"/>
        <v>0</v>
      </c>
      <c r="Z1445" s="78" t="b">
        <f t="shared" si="1218"/>
        <v>0</v>
      </c>
      <c r="AA1445" s="78" t="b">
        <f t="shared" si="1219"/>
        <v>0</v>
      </c>
      <c r="AB1445" s="78" t="b">
        <f t="shared" si="1220"/>
        <v>0</v>
      </c>
      <c r="AC1445" s="78" t="b">
        <f t="shared" si="1221"/>
        <v>0</v>
      </c>
      <c r="AD1445" s="78" t="b">
        <f t="shared" si="1222"/>
        <v>0</v>
      </c>
      <c r="AE1445" s="78" t="b">
        <f t="shared" si="1223"/>
        <v>0</v>
      </c>
      <c r="AF1445" s="78" t="b">
        <f t="shared" si="1224"/>
        <v>0</v>
      </c>
      <c r="AG1445" s="78" t="b">
        <f t="shared" si="1225"/>
        <v>0</v>
      </c>
      <c r="AH1445" s="78" t="b">
        <f t="shared" si="1226"/>
        <v>0</v>
      </c>
      <c r="AI1445" s="78" t="b">
        <f t="shared" si="1227"/>
        <v>0</v>
      </c>
      <c r="AJ1445" s="78" t="b">
        <f t="shared" si="1228"/>
        <v>0</v>
      </c>
      <c r="AK1445" s="78" t="b">
        <f t="shared" si="1229"/>
        <v>0</v>
      </c>
      <c r="AL1445" s="78" t="b">
        <f t="shared" si="1230"/>
        <v>0</v>
      </c>
      <c r="AM1445" s="78" t="b">
        <f t="shared" si="1231"/>
        <v>0</v>
      </c>
      <c r="AN1445" s="78" t="b">
        <f t="shared" si="1232"/>
        <v>0</v>
      </c>
      <c r="AO1445" s="78" t="b">
        <f t="shared" si="1233"/>
        <v>0</v>
      </c>
    </row>
    <row r="1446" spans="7:41" x14ac:dyDescent="0.35">
      <c r="G1446" s="77">
        <f t="shared" si="1203"/>
        <v>0</v>
      </c>
      <c r="H1446" s="78">
        <f t="shared" si="1204"/>
        <v>0</v>
      </c>
      <c r="I1446" s="77">
        <f t="shared" si="1205"/>
        <v>0</v>
      </c>
      <c r="J1446" s="78">
        <f t="shared" si="1206"/>
        <v>0</v>
      </c>
      <c r="K1446" s="78" t="str">
        <f t="shared" si="1207"/>
        <v>1900-01-00 00:0:00</v>
      </c>
      <c r="L1446" s="78" t="str">
        <f t="shared" si="1208"/>
        <v>1900-01-00 00:0:00</v>
      </c>
      <c r="M1446" s="79">
        <f t="shared" si="1209"/>
        <v>0</v>
      </c>
      <c r="N1446">
        <f t="shared" si="1234"/>
        <v>1</v>
      </c>
      <c r="O1446" t="str">
        <f>IFERROR(_xlfn.XLOOKUP(A1446,HC!A:A,HC!C:C),"")</f>
        <v>Workforce</v>
      </c>
      <c r="R1446" s="78" t="b">
        <f t="shared" si="1210"/>
        <v>0</v>
      </c>
      <c r="S1446" s="78" t="b">
        <f t="shared" si="1211"/>
        <v>0</v>
      </c>
      <c r="T1446" s="78" t="b">
        <f t="shared" si="1212"/>
        <v>0</v>
      </c>
      <c r="U1446" s="78" t="b">
        <f t="shared" si="1213"/>
        <v>0</v>
      </c>
      <c r="V1446" s="78" t="b">
        <f t="shared" si="1214"/>
        <v>0</v>
      </c>
      <c r="W1446" s="78" t="b">
        <f t="shared" si="1215"/>
        <v>0</v>
      </c>
      <c r="X1446" s="78" t="b">
        <f t="shared" si="1216"/>
        <v>0</v>
      </c>
      <c r="Y1446" s="78" t="b">
        <f t="shared" si="1217"/>
        <v>0</v>
      </c>
      <c r="Z1446" s="78" t="b">
        <f t="shared" si="1218"/>
        <v>0</v>
      </c>
      <c r="AA1446" s="78" t="b">
        <f t="shared" si="1219"/>
        <v>0</v>
      </c>
      <c r="AB1446" s="78" t="b">
        <f t="shared" si="1220"/>
        <v>0</v>
      </c>
      <c r="AC1446" s="78" t="b">
        <f t="shared" si="1221"/>
        <v>0</v>
      </c>
      <c r="AD1446" s="78" t="b">
        <f t="shared" si="1222"/>
        <v>0</v>
      </c>
      <c r="AE1446" s="78" t="b">
        <f t="shared" si="1223"/>
        <v>0</v>
      </c>
      <c r="AF1446" s="78" t="b">
        <f t="shared" si="1224"/>
        <v>0</v>
      </c>
      <c r="AG1446" s="78" t="b">
        <f t="shared" si="1225"/>
        <v>0</v>
      </c>
      <c r="AH1446" s="78" t="b">
        <f t="shared" si="1226"/>
        <v>0</v>
      </c>
      <c r="AI1446" s="78" t="b">
        <f t="shared" si="1227"/>
        <v>0</v>
      </c>
      <c r="AJ1446" s="78" t="b">
        <f t="shared" si="1228"/>
        <v>0</v>
      </c>
      <c r="AK1446" s="78" t="b">
        <f t="shared" si="1229"/>
        <v>0</v>
      </c>
      <c r="AL1446" s="78" t="b">
        <f t="shared" si="1230"/>
        <v>0</v>
      </c>
      <c r="AM1446" s="78" t="b">
        <f t="shared" si="1231"/>
        <v>0</v>
      </c>
      <c r="AN1446" s="78" t="b">
        <f t="shared" si="1232"/>
        <v>0</v>
      </c>
      <c r="AO1446" s="78" t="b">
        <f t="shared" si="1233"/>
        <v>0</v>
      </c>
    </row>
    <row r="1447" spans="7:41" x14ac:dyDescent="0.35">
      <c r="G1447" s="77">
        <f t="shared" si="1203"/>
        <v>0</v>
      </c>
      <c r="H1447" s="78">
        <f t="shared" si="1204"/>
        <v>0</v>
      </c>
      <c r="I1447" s="77">
        <f t="shared" si="1205"/>
        <v>0</v>
      </c>
      <c r="J1447" s="78">
        <f t="shared" si="1206"/>
        <v>0</v>
      </c>
      <c r="K1447" s="78" t="str">
        <f t="shared" si="1207"/>
        <v>1900-01-00 00:0:00</v>
      </c>
      <c r="L1447" s="78" t="str">
        <f t="shared" si="1208"/>
        <v>1900-01-00 00:0:00</v>
      </c>
      <c r="M1447" s="79">
        <f t="shared" si="1209"/>
        <v>0</v>
      </c>
      <c r="N1447">
        <f t="shared" si="1234"/>
        <v>1</v>
      </c>
      <c r="O1447" t="str">
        <f>IFERROR(_xlfn.XLOOKUP(A1447,HC!A:A,HC!C:C),"")</f>
        <v>Workforce</v>
      </c>
      <c r="R1447" s="78" t="b">
        <f t="shared" si="1210"/>
        <v>0</v>
      </c>
      <c r="S1447" s="78" t="b">
        <f t="shared" si="1211"/>
        <v>0</v>
      </c>
      <c r="T1447" s="78" t="b">
        <f t="shared" si="1212"/>
        <v>0</v>
      </c>
      <c r="U1447" s="78" t="b">
        <f t="shared" si="1213"/>
        <v>0</v>
      </c>
      <c r="V1447" s="78" t="b">
        <f t="shared" si="1214"/>
        <v>0</v>
      </c>
      <c r="W1447" s="78" t="b">
        <f t="shared" si="1215"/>
        <v>0</v>
      </c>
      <c r="X1447" s="78" t="b">
        <f t="shared" si="1216"/>
        <v>0</v>
      </c>
      <c r="Y1447" s="78" t="b">
        <f t="shared" si="1217"/>
        <v>0</v>
      </c>
      <c r="Z1447" s="78" t="b">
        <f t="shared" si="1218"/>
        <v>0</v>
      </c>
      <c r="AA1447" s="78" t="b">
        <f t="shared" si="1219"/>
        <v>0</v>
      </c>
      <c r="AB1447" s="78" t="b">
        <f t="shared" si="1220"/>
        <v>0</v>
      </c>
      <c r="AC1447" s="78" t="b">
        <f t="shared" si="1221"/>
        <v>0</v>
      </c>
      <c r="AD1447" s="78" t="b">
        <f t="shared" si="1222"/>
        <v>0</v>
      </c>
      <c r="AE1447" s="78" t="b">
        <f t="shared" si="1223"/>
        <v>0</v>
      </c>
      <c r="AF1447" s="78" t="b">
        <f t="shared" si="1224"/>
        <v>0</v>
      </c>
      <c r="AG1447" s="78" t="b">
        <f t="shared" si="1225"/>
        <v>0</v>
      </c>
      <c r="AH1447" s="78" t="b">
        <f t="shared" si="1226"/>
        <v>0</v>
      </c>
      <c r="AI1447" s="78" t="b">
        <f t="shared" si="1227"/>
        <v>0</v>
      </c>
      <c r="AJ1447" s="78" t="b">
        <f t="shared" si="1228"/>
        <v>0</v>
      </c>
      <c r="AK1447" s="78" t="b">
        <f t="shared" si="1229"/>
        <v>0</v>
      </c>
      <c r="AL1447" s="78" t="b">
        <f t="shared" si="1230"/>
        <v>0</v>
      </c>
      <c r="AM1447" s="78" t="b">
        <f t="shared" si="1231"/>
        <v>0</v>
      </c>
      <c r="AN1447" s="78" t="b">
        <f t="shared" si="1232"/>
        <v>0</v>
      </c>
      <c r="AO1447" s="78" t="b">
        <f t="shared" si="1233"/>
        <v>0</v>
      </c>
    </row>
    <row r="1448" spans="7:41" x14ac:dyDescent="0.35">
      <c r="G1448" s="77">
        <f t="shared" si="1203"/>
        <v>0</v>
      </c>
      <c r="H1448" s="78">
        <f t="shared" si="1204"/>
        <v>0</v>
      </c>
      <c r="I1448" s="77">
        <f t="shared" si="1205"/>
        <v>0</v>
      </c>
      <c r="J1448" s="78">
        <f t="shared" si="1206"/>
        <v>0</v>
      </c>
      <c r="K1448" s="78" t="str">
        <f t="shared" si="1207"/>
        <v>1900-01-00 00:0:00</v>
      </c>
      <c r="L1448" s="78" t="str">
        <f t="shared" si="1208"/>
        <v>1900-01-00 00:0:00</v>
      </c>
      <c r="M1448" s="79">
        <f t="shared" si="1209"/>
        <v>0</v>
      </c>
      <c r="N1448">
        <f t="shared" si="1234"/>
        <v>1</v>
      </c>
      <c r="O1448" t="str">
        <f>IFERROR(_xlfn.XLOOKUP(A1448,HC!A:A,HC!C:C),"")</f>
        <v>Workforce</v>
      </c>
      <c r="R1448" s="78" t="b">
        <f t="shared" si="1210"/>
        <v>0</v>
      </c>
      <c r="S1448" s="78" t="b">
        <f t="shared" si="1211"/>
        <v>0</v>
      </c>
      <c r="T1448" s="78" t="b">
        <f t="shared" si="1212"/>
        <v>0</v>
      </c>
      <c r="U1448" s="78" t="b">
        <f t="shared" si="1213"/>
        <v>0</v>
      </c>
      <c r="V1448" s="78" t="b">
        <f t="shared" si="1214"/>
        <v>0</v>
      </c>
      <c r="W1448" s="78" t="b">
        <f t="shared" si="1215"/>
        <v>0</v>
      </c>
      <c r="X1448" s="78" t="b">
        <f t="shared" si="1216"/>
        <v>0</v>
      </c>
      <c r="Y1448" s="78" t="b">
        <f t="shared" si="1217"/>
        <v>0</v>
      </c>
      <c r="Z1448" s="78" t="b">
        <f t="shared" si="1218"/>
        <v>0</v>
      </c>
      <c r="AA1448" s="78" t="b">
        <f t="shared" si="1219"/>
        <v>0</v>
      </c>
      <c r="AB1448" s="78" t="b">
        <f t="shared" si="1220"/>
        <v>0</v>
      </c>
      <c r="AC1448" s="78" t="b">
        <f t="shared" si="1221"/>
        <v>0</v>
      </c>
      <c r="AD1448" s="78" t="b">
        <f t="shared" si="1222"/>
        <v>0</v>
      </c>
      <c r="AE1448" s="78" t="b">
        <f t="shared" si="1223"/>
        <v>0</v>
      </c>
      <c r="AF1448" s="78" t="b">
        <f t="shared" si="1224"/>
        <v>0</v>
      </c>
      <c r="AG1448" s="78" t="b">
        <f t="shared" si="1225"/>
        <v>0</v>
      </c>
      <c r="AH1448" s="78" t="b">
        <f t="shared" si="1226"/>
        <v>0</v>
      </c>
      <c r="AI1448" s="78" t="b">
        <f t="shared" si="1227"/>
        <v>0</v>
      </c>
      <c r="AJ1448" s="78" t="b">
        <f t="shared" si="1228"/>
        <v>0</v>
      </c>
      <c r="AK1448" s="78" t="b">
        <f t="shared" si="1229"/>
        <v>0</v>
      </c>
      <c r="AL1448" s="78" t="b">
        <f t="shared" si="1230"/>
        <v>0</v>
      </c>
      <c r="AM1448" s="78" t="b">
        <f t="shared" si="1231"/>
        <v>0</v>
      </c>
      <c r="AN1448" s="78" t="b">
        <f t="shared" si="1232"/>
        <v>0</v>
      </c>
      <c r="AO1448" s="78" t="b">
        <f t="shared" si="1233"/>
        <v>0</v>
      </c>
    </row>
    <row r="1449" spans="7:41" x14ac:dyDescent="0.35">
      <c r="G1449" s="77">
        <f t="shared" si="1203"/>
        <v>0</v>
      </c>
      <c r="H1449" s="78">
        <f t="shared" si="1204"/>
        <v>0</v>
      </c>
      <c r="I1449" s="77">
        <f t="shared" si="1205"/>
        <v>0</v>
      </c>
      <c r="J1449" s="78">
        <f t="shared" si="1206"/>
        <v>0</v>
      </c>
      <c r="K1449" s="78" t="str">
        <f t="shared" si="1207"/>
        <v>1900-01-00 00:0:00</v>
      </c>
      <c r="L1449" s="78" t="str">
        <f t="shared" si="1208"/>
        <v>1900-01-00 00:0:00</v>
      </c>
      <c r="M1449" s="79">
        <f t="shared" si="1209"/>
        <v>0</v>
      </c>
      <c r="N1449">
        <f t="shared" si="1234"/>
        <v>1</v>
      </c>
      <c r="O1449" t="str">
        <f>IFERROR(_xlfn.XLOOKUP(A1449,HC!A:A,HC!C:C),"")</f>
        <v>Workforce</v>
      </c>
      <c r="R1449" s="78" t="b">
        <f t="shared" si="1210"/>
        <v>0</v>
      </c>
      <c r="S1449" s="78" t="b">
        <f t="shared" si="1211"/>
        <v>0</v>
      </c>
      <c r="T1449" s="78" t="b">
        <f t="shared" si="1212"/>
        <v>0</v>
      </c>
      <c r="U1449" s="78" t="b">
        <f t="shared" si="1213"/>
        <v>0</v>
      </c>
      <c r="V1449" s="78" t="b">
        <f t="shared" si="1214"/>
        <v>0</v>
      </c>
      <c r="W1449" s="78" t="b">
        <f t="shared" si="1215"/>
        <v>0</v>
      </c>
      <c r="X1449" s="78" t="b">
        <f t="shared" si="1216"/>
        <v>0</v>
      </c>
      <c r="Y1449" s="78" t="b">
        <f t="shared" si="1217"/>
        <v>0</v>
      </c>
      <c r="Z1449" s="78" t="b">
        <f t="shared" si="1218"/>
        <v>0</v>
      </c>
      <c r="AA1449" s="78" t="b">
        <f t="shared" si="1219"/>
        <v>0</v>
      </c>
      <c r="AB1449" s="78" t="b">
        <f t="shared" si="1220"/>
        <v>0</v>
      </c>
      <c r="AC1449" s="78" t="b">
        <f t="shared" si="1221"/>
        <v>0</v>
      </c>
      <c r="AD1449" s="78" t="b">
        <f t="shared" si="1222"/>
        <v>0</v>
      </c>
      <c r="AE1449" s="78" t="b">
        <f t="shared" si="1223"/>
        <v>0</v>
      </c>
      <c r="AF1449" s="78" t="b">
        <f t="shared" si="1224"/>
        <v>0</v>
      </c>
      <c r="AG1449" s="78" t="b">
        <f t="shared" si="1225"/>
        <v>0</v>
      </c>
      <c r="AH1449" s="78" t="b">
        <f t="shared" si="1226"/>
        <v>0</v>
      </c>
      <c r="AI1449" s="78" t="b">
        <f t="shared" si="1227"/>
        <v>0</v>
      </c>
      <c r="AJ1449" s="78" t="b">
        <f t="shared" si="1228"/>
        <v>0</v>
      </c>
      <c r="AK1449" s="78" t="b">
        <f t="shared" si="1229"/>
        <v>0</v>
      </c>
      <c r="AL1449" s="78" t="b">
        <f t="shared" si="1230"/>
        <v>0</v>
      </c>
      <c r="AM1449" s="78" t="b">
        <f t="shared" si="1231"/>
        <v>0</v>
      </c>
      <c r="AN1449" s="78" t="b">
        <f t="shared" si="1232"/>
        <v>0</v>
      </c>
      <c r="AO1449" s="78" t="b">
        <f t="shared" si="1233"/>
        <v>0</v>
      </c>
    </row>
    <row r="1450" spans="7:41" x14ac:dyDescent="0.35">
      <c r="G1450" s="77">
        <f t="shared" si="1203"/>
        <v>0</v>
      </c>
      <c r="H1450" s="78">
        <f t="shared" si="1204"/>
        <v>0</v>
      </c>
      <c r="I1450" s="77">
        <f t="shared" si="1205"/>
        <v>0</v>
      </c>
      <c r="J1450" s="78">
        <f t="shared" si="1206"/>
        <v>0</v>
      </c>
      <c r="K1450" s="78" t="str">
        <f t="shared" si="1207"/>
        <v>1900-01-00 00:0:00</v>
      </c>
      <c r="L1450" s="78" t="str">
        <f t="shared" si="1208"/>
        <v>1900-01-00 00:0:00</v>
      </c>
      <c r="M1450" s="79">
        <f t="shared" si="1209"/>
        <v>0</v>
      </c>
      <c r="N1450">
        <f t="shared" si="1234"/>
        <v>1</v>
      </c>
      <c r="O1450" t="str">
        <f>IFERROR(_xlfn.XLOOKUP(A1450,HC!A:A,HC!C:C),"")</f>
        <v>Workforce</v>
      </c>
      <c r="R1450" s="78" t="b">
        <f t="shared" si="1210"/>
        <v>0</v>
      </c>
      <c r="S1450" s="78" t="b">
        <f t="shared" si="1211"/>
        <v>0</v>
      </c>
      <c r="T1450" s="78" t="b">
        <f t="shared" si="1212"/>
        <v>0</v>
      </c>
      <c r="U1450" s="78" t="b">
        <f t="shared" si="1213"/>
        <v>0</v>
      </c>
      <c r="V1450" s="78" t="b">
        <f t="shared" si="1214"/>
        <v>0</v>
      </c>
      <c r="W1450" s="78" t="b">
        <f t="shared" si="1215"/>
        <v>0</v>
      </c>
      <c r="X1450" s="78" t="b">
        <f t="shared" si="1216"/>
        <v>0</v>
      </c>
      <c r="Y1450" s="78" t="b">
        <f t="shared" si="1217"/>
        <v>0</v>
      </c>
      <c r="Z1450" s="78" t="b">
        <f t="shared" si="1218"/>
        <v>0</v>
      </c>
      <c r="AA1450" s="78" t="b">
        <f t="shared" si="1219"/>
        <v>0</v>
      </c>
      <c r="AB1450" s="78" t="b">
        <f t="shared" si="1220"/>
        <v>0</v>
      </c>
      <c r="AC1450" s="78" t="b">
        <f t="shared" si="1221"/>
        <v>0</v>
      </c>
      <c r="AD1450" s="78" t="b">
        <f t="shared" si="1222"/>
        <v>0</v>
      </c>
      <c r="AE1450" s="78" t="b">
        <f t="shared" si="1223"/>
        <v>0</v>
      </c>
      <c r="AF1450" s="78" t="b">
        <f t="shared" si="1224"/>
        <v>0</v>
      </c>
      <c r="AG1450" s="78" t="b">
        <f t="shared" si="1225"/>
        <v>0</v>
      </c>
      <c r="AH1450" s="78" t="b">
        <f t="shared" si="1226"/>
        <v>0</v>
      </c>
      <c r="AI1450" s="78" t="b">
        <f t="shared" si="1227"/>
        <v>0</v>
      </c>
      <c r="AJ1450" s="78" t="b">
        <f t="shared" si="1228"/>
        <v>0</v>
      </c>
      <c r="AK1450" s="78" t="b">
        <f t="shared" si="1229"/>
        <v>0</v>
      </c>
      <c r="AL1450" s="78" t="b">
        <f t="shared" si="1230"/>
        <v>0</v>
      </c>
      <c r="AM1450" s="78" t="b">
        <f t="shared" si="1231"/>
        <v>0</v>
      </c>
      <c r="AN1450" s="78" t="b">
        <f t="shared" si="1232"/>
        <v>0</v>
      </c>
      <c r="AO1450" s="78" t="b">
        <f t="shared" si="1233"/>
        <v>0</v>
      </c>
    </row>
    <row r="1451" spans="7:41" x14ac:dyDescent="0.35">
      <c r="G1451" s="77">
        <f t="shared" si="1203"/>
        <v>0</v>
      </c>
      <c r="H1451" s="78">
        <f t="shared" si="1204"/>
        <v>0</v>
      </c>
      <c r="I1451" s="77">
        <f t="shared" si="1205"/>
        <v>0</v>
      </c>
      <c r="J1451" s="78">
        <f t="shared" si="1206"/>
        <v>0</v>
      </c>
      <c r="K1451" s="78" t="str">
        <f t="shared" si="1207"/>
        <v>1900-01-00 00:0:00</v>
      </c>
      <c r="L1451" s="78" t="str">
        <f t="shared" si="1208"/>
        <v>1900-01-00 00:0:00</v>
      </c>
      <c r="M1451" s="79">
        <f t="shared" si="1209"/>
        <v>0</v>
      </c>
      <c r="N1451">
        <f t="shared" si="1234"/>
        <v>1</v>
      </c>
      <c r="O1451" t="str">
        <f>IFERROR(_xlfn.XLOOKUP(A1451,HC!A:A,HC!C:C),"")</f>
        <v>Workforce</v>
      </c>
      <c r="R1451" s="78" t="b">
        <f t="shared" si="1210"/>
        <v>0</v>
      </c>
      <c r="S1451" s="78" t="b">
        <f t="shared" si="1211"/>
        <v>0</v>
      </c>
      <c r="T1451" s="78" t="b">
        <f t="shared" si="1212"/>
        <v>0</v>
      </c>
      <c r="U1451" s="78" t="b">
        <f t="shared" si="1213"/>
        <v>0</v>
      </c>
      <c r="V1451" s="78" t="b">
        <f t="shared" si="1214"/>
        <v>0</v>
      </c>
      <c r="W1451" s="78" t="b">
        <f t="shared" si="1215"/>
        <v>0</v>
      </c>
      <c r="X1451" s="78" t="b">
        <f t="shared" si="1216"/>
        <v>0</v>
      </c>
      <c r="Y1451" s="78" t="b">
        <f t="shared" si="1217"/>
        <v>0</v>
      </c>
      <c r="Z1451" s="78" t="b">
        <f t="shared" si="1218"/>
        <v>0</v>
      </c>
      <c r="AA1451" s="78" t="b">
        <f t="shared" si="1219"/>
        <v>0</v>
      </c>
      <c r="AB1451" s="78" t="b">
        <f t="shared" si="1220"/>
        <v>0</v>
      </c>
      <c r="AC1451" s="78" t="b">
        <f t="shared" si="1221"/>
        <v>0</v>
      </c>
      <c r="AD1451" s="78" t="b">
        <f t="shared" si="1222"/>
        <v>0</v>
      </c>
      <c r="AE1451" s="78" t="b">
        <f t="shared" si="1223"/>
        <v>0</v>
      </c>
      <c r="AF1451" s="78" t="b">
        <f t="shared" si="1224"/>
        <v>0</v>
      </c>
      <c r="AG1451" s="78" t="b">
        <f t="shared" si="1225"/>
        <v>0</v>
      </c>
      <c r="AH1451" s="78" t="b">
        <f t="shared" si="1226"/>
        <v>0</v>
      </c>
      <c r="AI1451" s="78" t="b">
        <f t="shared" si="1227"/>
        <v>0</v>
      </c>
      <c r="AJ1451" s="78" t="b">
        <f t="shared" si="1228"/>
        <v>0</v>
      </c>
      <c r="AK1451" s="78" t="b">
        <f t="shared" si="1229"/>
        <v>0</v>
      </c>
      <c r="AL1451" s="78" t="b">
        <f t="shared" si="1230"/>
        <v>0</v>
      </c>
      <c r="AM1451" s="78" t="b">
        <f t="shared" si="1231"/>
        <v>0</v>
      </c>
      <c r="AN1451" s="78" t="b">
        <f t="shared" si="1232"/>
        <v>0</v>
      </c>
      <c r="AO1451" s="78" t="b">
        <f t="shared" si="1233"/>
        <v>0</v>
      </c>
    </row>
    <row r="1452" spans="7:41" x14ac:dyDescent="0.35">
      <c r="G1452" s="77">
        <f t="shared" si="1203"/>
        <v>0</v>
      </c>
      <c r="H1452" s="78">
        <f t="shared" si="1204"/>
        <v>0</v>
      </c>
      <c r="I1452" s="77">
        <f t="shared" si="1205"/>
        <v>0</v>
      </c>
      <c r="J1452" s="78">
        <f t="shared" si="1206"/>
        <v>0</v>
      </c>
      <c r="K1452" s="78" t="str">
        <f t="shared" si="1207"/>
        <v>1900-01-00 00:0:00</v>
      </c>
      <c r="L1452" s="78" t="str">
        <f t="shared" si="1208"/>
        <v>1900-01-00 00:0:00</v>
      </c>
      <c r="M1452" s="79">
        <f t="shared" si="1209"/>
        <v>0</v>
      </c>
      <c r="N1452">
        <f t="shared" si="1234"/>
        <v>1</v>
      </c>
      <c r="O1452" t="str">
        <f>IFERROR(_xlfn.XLOOKUP(A1452,HC!A:A,HC!C:C),"")</f>
        <v>Workforce</v>
      </c>
      <c r="R1452" s="78" t="b">
        <f t="shared" si="1210"/>
        <v>0</v>
      </c>
      <c r="S1452" s="78" t="b">
        <f t="shared" si="1211"/>
        <v>0</v>
      </c>
      <c r="T1452" s="78" t="b">
        <f t="shared" si="1212"/>
        <v>0</v>
      </c>
      <c r="U1452" s="78" t="b">
        <f t="shared" si="1213"/>
        <v>0</v>
      </c>
      <c r="V1452" s="78" t="b">
        <f t="shared" si="1214"/>
        <v>0</v>
      </c>
      <c r="W1452" s="78" t="b">
        <f t="shared" si="1215"/>
        <v>0</v>
      </c>
      <c r="X1452" s="78" t="b">
        <f t="shared" si="1216"/>
        <v>0</v>
      </c>
      <c r="Y1452" s="78" t="b">
        <f t="shared" si="1217"/>
        <v>0</v>
      </c>
      <c r="Z1452" s="78" t="b">
        <f t="shared" si="1218"/>
        <v>0</v>
      </c>
      <c r="AA1452" s="78" t="b">
        <f t="shared" si="1219"/>
        <v>0</v>
      </c>
      <c r="AB1452" s="78" t="b">
        <f t="shared" si="1220"/>
        <v>0</v>
      </c>
      <c r="AC1452" s="78" t="b">
        <f t="shared" si="1221"/>
        <v>0</v>
      </c>
      <c r="AD1452" s="78" t="b">
        <f t="shared" si="1222"/>
        <v>0</v>
      </c>
      <c r="AE1452" s="78" t="b">
        <f t="shared" si="1223"/>
        <v>0</v>
      </c>
      <c r="AF1452" s="78" t="b">
        <f t="shared" si="1224"/>
        <v>0</v>
      </c>
      <c r="AG1452" s="78" t="b">
        <f t="shared" si="1225"/>
        <v>0</v>
      </c>
      <c r="AH1452" s="78" t="b">
        <f t="shared" si="1226"/>
        <v>0</v>
      </c>
      <c r="AI1452" s="78" t="b">
        <f t="shared" si="1227"/>
        <v>0</v>
      </c>
      <c r="AJ1452" s="78" t="b">
        <f t="shared" si="1228"/>
        <v>0</v>
      </c>
      <c r="AK1452" s="78" t="b">
        <f t="shared" si="1229"/>
        <v>0</v>
      </c>
      <c r="AL1452" s="78" t="b">
        <f t="shared" si="1230"/>
        <v>0</v>
      </c>
      <c r="AM1452" s="78" t="b">
        <f t="shared" si="1231"/>
        <v>0</v>
      </c>
      <c r="AN1452" s="78" t="b">
        <f t="shared" si="1232"/>
        <v>0</v>
      </c>
      <c r="AO1452" s="78" t="b">
        <f t="shared" si="1233"/>
        <v>0</v>
      </c>
    </row>
    <row r="1453" spans="7:41" x14ac:dyDescent="0.35">
      <c r="G1453" s="77">
        <f t="shared" si="1203"/>
        <v>0</v>
      </c>
      <c r="H1453" s="78">
        <f t="shared" si="1204"/>
        <v>0</v>
      </c>
      <c r="I1453" s="77">
        <f t="shared" si="1205"/>
        <v>0</v>
      </c>
      <c r="J1453" s="78">
        <f t="shared" si="1206"/>
        <v>0</v>
      </c>
      <c r="K1453" s="78" t="str">
        <f t="shared" si="1207"/>
        <v>1900-01-00 00:0:00</v>
      </c>
      <c r="L1453" s="78" t="str">
        <f t="shared" si="1208"/>
        <v>1900-01-00 00:0:00</v>
      </c>
      <c r="M1453" s="79">
        <f t="shared" si="1209"/>
        <v>0</v>
      </c>
      <c r="N1453">
        <f t="shared" si="1234"/>
        <v>1</v>
      </c>
      <c r="O1453" t="str">
        <f>IFERROR(_xlfn.XLOOKUP(A1453,HC!A:A,HC!C:C),"")</f>
        <v>Workforce</v>
      </c>
      <c r="R1453" s="78" t="b">
        <f t="shared" si="1210"/>
        <v>0</v>
      </c>
      <c r="S1453" s="78" t="b">
        <f t="shared" si="1211"/>
        <v>0</v>
      </c>
      <c r="T1453" s="78" t="b">
        <f t="shared" si="1212"/>
        <v>0</v>
      </c>
      <c r="U1453" s="78" t="b">
        <f t="shared" si="1213"/>
        <v>0</v>
      </c>
      <c r="V1453" s="78" t="b">
        <f t="shared" si="1214"/>
        <v>0</v>
      </c>
      <c r="W1453" s="78" t="b">
        <f t="shared" si="1215"/>
        <v>0</v>
      </c>
      <c r="X1453" s="78" t="b">
        <f t="shared" si="1216"/>
        <v>0</v>
      </c>
      <c r="Y1453" s="78" t="b">
        <f t="shared" si="1217"/>
        <v>0</v>
      </c>
      <c r="Z1453" s="78" t="b">
        <f t="shared" si="1218"/>
        <v>0</v>
      </c>
      <c r="AA1453" s="78" t="b">
        <f t="shared" si="1219"/>
        <v>0</v>
      </c>
      <c r="AB1453" s="78" t="b">
        <f t="shared" si="1220"/>
        <v>0</v>
      </c>
      <c r="AC1453" s="78" t="b">
        <f t="shared" si="1221"/>
        <v>0</v>
      </c>
      <c r="AD1453" s="78" t="b">
        <f t="shared" si="1222"/>
        <v>0</v>
      </c>
      <c r="AE1453" s="78" t="b">
        <f t="shared" si="1223"/>
        <v>0</v>
      </c>
      <c r="AF1453" s="78" t="b">
        <f t="shared" si="1224"/>
        <v>0</v>
      </c>
      <c r="AG1453" s="78" t="b">
        <f t="shared" si="1225"/>
        <v>0</v>
      </c>
      <c r="AH1453" s="78" t="b">
        <f t="shared" si="1226"/>
        <v>0</v>
      </c>
      <c r="AI1453" s="78" t="b">
        <f t="shared" si="1227"/>
        <v>0</v>
      </c>
      <c r="AJ1453" s="78" t="b">
        <f t="shared" si="1228"/>
        <v>0</v>
      </c>
      <c r="AK1453" s="78" t="b">
        <f t="shared" si="1229"/>
        <v>0</v>
      </c>
      <c r="AL1453" s="78" t="b">
        <f t="shared" si="1230"/>
        <v>0</v>
      </c>
      <c r="AM1453" s="78" t="b">
        <f t="shared" si="1231"/>
        <v>0</v>
      </c>
      <c r="AN1453" s="78" t="b">
        <f t="shared" si="1232"/>
        <v>0</v>
      </c>
      <c r="AO1453" s="78" t="b">
        <f t="shared" si="1233"/>
        <v>0</v>
      </c>
    </row>
    <row r="1454" spans="7:41" x14ac:dyDescent="0.35">
      <c r="G1454" s="77">
        <f t="shared" si="1203"/>
        <v>0</v>
      </c>
      <c r="H1454" s="78">
        <f t="shared" si="1204"/>
        <v>0</v>
      </c>
      <c r="I1454" s="77">
        <f t="shared" si="1205"/>
        <v>0</v>
      </c>
      <c r="J1454" s="78">
        <f t="shared" si="1206"/>
        <v>0</v>
      </c>
      <c r="K1454" s="78" t="str">
        <f t="shared" si="1207"/>
        <v>1900-01-00 00:0:00</v>
      </c>
      <c r="L1454" s="78" t="str">
        <f t="shared" si="1208"/>
        <v>1900-01-00 00:0:00</v>
      </c>
      <c r="M1454" s="79">
        <f t="shared" si="1209"/>
        <v>0</v>
      </c>
      <c r="N1454">
        <f t="shared" si="1234"/>
        <v>1</v>
      </c>
      <c r="O1454" t="str">
        <f>IFERROR(_xlfn.XLOOKUP(A1454,HC!A:A,HC!C:C),"")</f>
        <v>Workforce</v>
      </c>
      <c r="R1454" s="78" t="b">
        <f t="shared" si="1210"/>
        <v>0</v>
      </c>
      <c r="S1454" s="78" t="b">
        <f t="shared" si="1211"/>
        <v>0</v>
      </c>
      <c r="T1454" s="78" t="b">
        <f t="shared" si="1212"/>
        <v>0</v>
      </c>
      <c r="U1454" s="78" t="b">
        <f t="shared" si="1213"/>
        <v>0</v>
      </c>
      <c r="V1454" s="78" t="b">
        <f t="shared" si="1214"/>
        <v>0</v>
      </c>
      <c r="W1454" s="78" t="b">
        <f t="shared" si="1215"/>
        <v>0</v>
      </c>
      <c r="X1454" s="78" t="b">
        <f t="shared" si="1216"/>
        <v>0</v>
      </c>
      <c r="Y1454" s="78" t="b">
        <f t="shared" si="1217"/>
        <v>0</v>
      </c>
      <c r="Z1454" s="78" t="b">
        <f t="shared" si="1218"/>
        <v>0</v>
      </c>
      <c r="AA1454" s="78" t="b">
        <f t="shared" si="1219"/>
        <v>0</v>
      </c>
      <c r="AB1454" s="78" t="b">
        <f t="shared" si="1220"/>
        <v>0</v>
      </c>
      <c r="AC1454" s="78" t="b">
        <f t="shared" si="1221"/>
        <v>0</v>
      </c>
      <c r="AD1454" s="78" t="b">
        <f t="shared" si="1222"/>
        <v>0</v>
      </c>
      <c r="AE1454" s="78" t="b">
        <f t="shared" si="1223"/>
        <v>0</v>
      </c>
      <c r="AF1454" s="78" t="b">
        <f t="shared" si="1224"/>
        <v>0</v>
      </c>
      <c r="AG1454" s="78" t="b">
        <f t="shared" si="1225"/>
        <v>0</v>
      </c>
      <c r="AH1454" s="78" t="b">
        <f t="shared" si="1226"/>
        <v>0</v>
      </c>
      <c r="AI1454" s="78" t="b">
        <f t="shared" si="1227"/>
        <v>0</v>
      </c>
      <c r="AJ1454" s="78" t="b">
        <f t="shared" si="1228"/>
        <v>0</v>
      </c>
      <c r="AK1454" s="78" t="b">
        <f t="shared" si="1229"/>
        <v>0</v>
      </c>
      <c r="AL1454" s="78" t="b">
        <f t="shared" si="1230"/>
        <v>0</v>
      </c>
      <c r="AM1454" s="78" t="b">
        <f t="shared" si="1231"/>
        <v>0</v>
      </c>
      <c r="AN1454" s="78" t="b">
        <f t="shared" si="1232"/>
        <v>0</v>
      </c>
      <c r="AO1454" s="78" t="b">
        <f t="shared" si="1233"/>
        <v>0</v>
      </c>
    </row>
    <row r="1455" spans="7:41" x14ac:dyDescent="0.35">
      <c r="G1455" s="77">
        <f t="shared" si="1203"/>
        <v>0</v>
      </c>
      <c r="H1455" s="78">
        <f t="shared" si="1204"/>
        <v>0</v>
      </c>
      <c r="I1455" s="77">
        <f t="shared" si="1205"/>
        <v>0</v>
      </c>
      <c r="J1455" s="78">
        <f t="shared" si="1206"/>
        <v>0</v>
      </c>
      <c r="K1455" s="78" t="str">
        <f t="shared" si="1207"/>
        <v>1900-01-00 00:0:00</v>
      </c>
      <c r="L1455" s="78" t="str">
        <f t="shared" si="1208"/>
        <v>1900-01-00 00:0:00</v>
      </c>
      <c r="M1455" s="79">
        <f t="shared" si="1209"/>
        <v>0</v>
      </c>
      <c r="N1455">
        <f t="shared" si="1234"/>
        <v>1</v>
      </c>
      <c r="O1455" t="str">
        <f>IFERROR(_xlfn.XLOOKUP(A1455,HC!A:A,HC!C:C),"")</f>
        <v>Workforce</v>
      </c>
      <c r="R1455" s="78" t="b">
        <f t="shared" si="1210"/>
        <v>0</v>
      </c>
      <c r="S1455" s="78" t="b">
        <f t="shared" si="1211"/>
        <v>0</v>
      </c>
      <c r="T1455" s="78" t="b">
        <f t="shared" si="1212"/>
        <v>0</v>
      </c>
      <c r="U1455" s="78" t="b">
        <f t="shared" si="1213"/>
        <v>0</v>
      </c>
      <c r="V1455" s="78" t="b">
        <f t="shared" si="1214"/>
        <v>0</v>
      </c>
      <c r="W1455" s="78" t="b">
        <f t="shared" si="1215"/>
        <v>0</v>
      </c>
      <c r="X1455" s="78" t="b">
        <f t="shared" si="1216"/>
        <v>0</v>
      </c>
      <c r="Y1455" s="78" t="b">
        <f t="shared" si="1217"/>
        <v>0</v>
      </c>
      <c r="Z1455" s="78" t="b">
        <f t="shared" si="1218"/>
        <v>0</v>
      </c>
      <c r="AA1455" s="78" t="b">
        <f t="shared" si="1219"/>
        <v>0</v>
      </c>
      <c r="AB1455" s="78" t="b">
        <f t="shared" si="1220"/>
        <v>0</v>
      </c>
      <c r="AC1455" s="78" t="b">
        <f t="shared" si="1221"/>
        <v>0</v>
      </c>
      <c r="AD1455" s="78" t="b">
        <f t="shared" si="1222"/>
        <v>0</v>
      </c>
      <c r="AE1455" s="78" t="b">
        <f t="shared" si="1223"/>
        <v>0</v>
      </c>
      <c r="AF1455" s="78" t="b">
        <f t="shared" si="1224"/>
        <v>0</v>
      </c>
      <c r="AG1455" s="78" t="b">
        <f t="shared" si="1225"/>
        <v>0</v>
      </c>
      <c r="AH1455" s="78" t="b">
        <f t="shared" si="1226"/>
        <v>0</v>
      </c>
      <c r="AI1455" s="78" t="b">
        <f t="shared" si="1227"/>
        <v>0</v>
      </c>
      <c r="AJ1455" s="78" t="b">
        <f t="shared" si="1228"/>
        <v>0</v>
      </c>
      <c r="AK1455" s="78" t="b">
        <f t="shared" si="1229"/>
        <v>0</v>
      </c>
      <c r="AL1455" s="78" t="b">
        <f t="shared" si="1230"/>
        <v>0</v>
      </c>
      <c r="AM1455" s="78" t="b">
        <f t="shared" si="1231"/>
        <v>0</v>
      </c>
      <c r="AN1455" s="78" t="b">
        <f t="shared" si="1232"/>
        <v>0</v>
      </c>
      <c r="AO1455" s="78" t="b">
        <f t="shared" si="1233"/>
        <v>0</v>
      </c>
    </row>
    <row r="1456" spans="7:41" x14ac:dyDescent="0.35">
      <c r="G1456" s="77">
        <f t="shared" si="1203"/>
        <v>0</v>
      </c>
      <c r="H1456" s="78">
        <f t="shared" si="1204"/>
        <v>0</v>
      </c>
      <c r="I1456" s="77">
        <f t="shared" si="1205"/>
        <v>0</v>
      </c>
      <c r="J1456" s="78">
        <f t="shared" si="1206"/>
        <v>0</v>
      </c>
      <c r="K1456" s="78" t="str">
        <f t="shared" si="1207"/>
        <v>1900-01-00 00:0:00</v>
      </c>
      <c r="L1456" s="78" t="str">
        <f t="shared" si="1208"/>
        <v>1900-01-00 00:0:00</v>
      </c>
      <c r="M1456" s="79">
        <f t="shared" si="1209"/>
        <v>0</v>
      </c>
      <c r="N1456">
        <f t="shared" si="1234"/>
        <v>1</v>
      </c>
      <c r="O1456" t="str">
        <f>IFERROR(_xlfn.XLOOKUP(A1456,HC!A:A,HC!C:C),"")</f>
        <v>Workforce</v>
      </c>
      <c r="R1456" s="78" t="b">
        <f t="shared" si="1210"/>
        <v>0</v>
      </c>
      <c r="S1456" s="78" t="b">
        <f t="shared" si="1211"/>
        <v>0</v>
      </c>
      <c r="T1456" s="78" t="b">
        <f t="shared" si="1212"/>
        <v>0</v>
      </c>
      <c r="U1456" s="78" t="b">
        <f t="shared" si="1213"/>
        <v>0</v>
      </c>
      <c r="V1456" s="78" t="b">
        <f t="shared" si="1214"/>
        <v>0</v>
      </c>
      <c r="W1456" s="78" t="b">
        <f t="shared" si="1215"/>
        <v>0</v>
      </c>
      <c r="X1456" s="78" t="b">
        <f t="shared" si="1216"/>
        <v>0</v>
      </c>
      <c r="Y1456" s="78" t="b">
        <f t="shared" si="1217"/>
        <v>0</v>
      </c>
      <c r="Z1456" s="78" t="b">
        <f t="shared" si="1218"/>
        <v>0</v>
      </c>
      <c r="AA1456" s="78" t="b">
        <f t="shared" si="1219"/>
        <v>0</v>
      </c>
      <c r="AB1456" s="78" t="b">
        <f t="shared" si="1220"/>
        <v>0</v>
      </c>
      <c r="AC1456" s="78" t="b">
        <f t="shared" si="1221"/>
        <v>0</v>
      </c>
      <c r="AD1456" s="78" t="b">
        <f t="shared" si="1222"/>
        <v>0</v>
      </c>
      <c r="AE1456" s="78" t="b">
        <f t="shared" si="1223"/>
        <v>0</v>
      </c>
      <c r="AF1456" s="78" t="b">
        <f t="shared" si="1224"/>
        <v>0</v>
      </c>
      <c r="AG1456" s="78" t="b">
        <f t="shared" si="1225"/>
        <v>0</v>
      </c>
      <c r="AH1456" s="78" t="b">
        <f t="shared" si="1226"/>
        <v>0</v>
      </c>
      <c r="AI1456" s="78" t="b">
        <f t="shared" si="1227"/>
        <v>0</v>
      </c>
      <c r="AJ1456" s="78" t="b">
        <f t="shared" si="1228"/>
        <v>0</v>
      </c>
      <c r="AK1456" s="78" t="b">
        <f t="shared" si="1229"/>
        <v>0</v>
      </c>
      <c r="AL1456" s="78" t="b">
        <f t="shared" si="1230"/>
        <v>0</v>
      </c>
      <c r="AM1456" s="78" t="b">
        <f t="shared" si="1231"/>
        <v>0</v>
      </c>
      <c r="AN1456" s="78" t="b">
        <f t="shared" si="1232"/>
        <v>0</v>
      </c>
      <c r="AO1456" s="78" t="b">
        <f t="shared" si="1233"/>
        <v>0</v>
      </c>
    </row>
    <row r="1457" spans="7:41" x14ac:dyDescent="0.35">
      <c r="G1457" s="77">
        <f t="shared" si="1203"/>
        <v>0</v>
      </c>
      <c r="H1457" s="78">
        <f t="shared" si="1204"/>
        <v>0</v>
      </c>
      <c r="I1457" s="77">
        <f t="shared" si="1205"/>
        <v>0</v>
      </c>
      <c r="J1457" s="78">
        <f t="shared" si="1206"/>
        <v>0</v>
      </c>
      <c r="K1457" s="78" t="str">
        <f t="shared" si="1207"/>
        <v>1900-01-00 00:0:00</v>
      </c>
      <c r="L1457" s="78" t="str">
        <f t="shared" si="1208"/>
        <v>1900-01-00 00:0:00</v>
      </c>
      <c r="M1457" s="79">
        <f t="shared" si="1209"/>
        <v>0</v>
      </c>
      <c r="N1457">
        <f t="shared" si="1234"/>
        <v>1</v>
      </c>
      <c r="O1457" t="str">
        <f>IFERROR(_xlfn.XLOOKUP(A1457,HC!A:A,HC!C:C),"")</f>
        <v>Workforce</v>
      </c>
      <c r="R1457" s="78" t="b">
        <f t="shared" si="1210"/>
        <v>0</v>
      </c>
      <c r="S1457" s="78" t="b">
        <f t="shared" si="1211"/>
        <v>0</v>
      </c>
      <c r="T1457" s="78" t="b">
        <f t="shared" si="1212"/>
        <v>0</v>
      </c>
      <c r="U1457" s="78" t="b">
        <f t="shared" si="1213"/>
        <v>0</v>
      </c>
      <c r="V1457" s="78" t="b">
        <f t="shared" si="1214"/>
        <v>0</v>
      </c>
      <c r="W1457" s="78" t="b">
        <f t="shared" si="1215"/>
        <v>0</v>
      </c>
      <c r="X1457" s="78" t="b">
        <f t="shared" si="1216"/>
        <v>0</v>
      </c>
      <c r="Y1457" s="78" t="b">
        <f t="shared" si="1217"/>
        <v>0</v>
      </c>
      <c r="Z1457" s="78" t="b">
        <f t="shared" si="1218"/>
        <v>0</v>
      </c>
      <c r="AA1457" s="78" t="b">
        <f t="shared" si="1219"/>
        <v>0</v>
      </c>
      <c r="AB1457" s="78" t="b">
        <f t="shared" si="1220"/>
        <v>0</v>
      </c>
      <c r="AC1457" s="78" t="b">
        <f t="shared" si="1221"/>
        <v>0</v>
      </c>
      <c r="AD1457" s="78" t="b">
        <f t="shared" si="1222"/>
        <v>0</v>
      </c>
      <c r="AE1457" s="78" t="b">
        <f t="shared" si="1223"/>
        <v>0</v>
      </c>
      <c r="AF1457" s="78" t="b">
        <f t="shared" si="1224"/>
        <v>0</v>
      </c>
      <c r="AG1457" s="78" t="b">
        <f t="shared" si="1225"/>
        <v>0</v>
      </c>
      <c r="AH1457" s="78" t="b">
        <f t="shared" si="1226"/>
        <v>0</v>
      </c>
      <c r="AI1457" s="78" t="b">
        <f t="shared" si="1227"/>
        <v>0</v>
      </c>
      <c r="AJ1457" s="78" t="b">
        <f t="shared" si="1228"/>
        <v>0</v>
      </c>
      <c r="AK1457" s="78" t="b">
        <f t="shared" si="1229"/>
        <v>0</v>
      </c>
      <c r="AL1457" s="78" t="b">
        <f t="shared" si="1230"/>
        <v>0</v>
      </c>
      <c r="AM1457" s="78" t="b">
        <f t="shared" si="1231"/>
        <v>0</v>
      </c>
      <c r="AN1457" s="78" t="b">
        <f t="shared" si="1232"/>
        <v>0</v>
      </c>
      <c r="AO1457" s="78" t="b">
        <f t="shared" si="1233"/>
        <v>0</v>
      </c>
    </row>
    <row r="1458" spans="7:41" x14ac:dyDescent="0.35">
      <c r="G1458" s="77">
        <f t="shared" si="1203"/>
        <v>0</v>
      </c>
      <c r="H1458" s="78">
        <f t="shared" si="1204"/>
        <v>0</v>
      </c>
      <c r="I1458" s="77">
        <f t="shared" si="1205"/>
        <v>0</v>
      </c>
      <c r="J1458" s="78">
        <f t="shared" si="1206"/>
        <v>0</v>
      </c>
      <c r="K1458" s="78" t="str">
        <f t="shared" si="1207"/>
        <v>1900-01-00 00:0:00</v>
      </c>
      <c r="L1458" s="78" t="str">
        <f t="shared" si="1208"/>
        <v>1900-01-00 00:0:00</v>
      </c>
      <c r="M1458" s="79">
        <f t="shared" si="1209"/>
        <v>0</v>
      </c>
      <c r="N1458">
        <f t="shared" si="1234"/>
        <v>1</v>
      </c>
      <c r="O1458" t="str">
        <f>IFERROR(_xlfn.XLOOKUP(A1458,HC!A:A,HC!C:C),"")</f>
        <v>Workforce</v>
      </c>
      <c r="R1458" s="78" t="b">
        <f t="shared" si="1210"/>
        <v>0</v>
      </c>
      <c r="S1458" s="78" t="b">
        <f t="shared" si="1211"/>
        <v>0</v>
      </c>
      <c r="T1458" s="78" t="b">
        <f t="shared" si="1212"/>
        <v>0</v>
      </c>
      <c r="U1458" s="78" t="b">
        <f t="shared" si="1213"/>
        <v>0</v>
      </c>
      <c r="V1458" s="78" t="b">
        <f t="shared" si="1214"/>
        <v>0</v>
      </c>
      <c r="W1458" s="78" t="b">
        <f t="shared" si="1215"/>
        <v>0</v>
      </c>
      <c r="X1458" s="78" t="b">
        <f t="shared" si="1216"/>
        <v>0</v>
      </c>
      <c r="Y1458" s="78" t="b">
        <f t="shared" si="1217"/>
        <v>0</v>
      </c>
      <c r="Z1458" s="78" t="b">
        <f t="shared" si="1218"/>
        <v>0</v>
      </c>
      <c r="AA1458" s="78" t="b">
        <f t="shared" si="1219"/>
        <v>0</v>
      </c>
      <c r="AB1458" s="78" t="b">
        <f t="shared" si="1220"/>
        <v>0</v>
      </c>
      <c r="AC1458" s="78" t="b">
        <f t="shared" si="1221"/>
        <v>0</v>
      </c>
      <c r="AD1458" s="78" t="b">
        <f t="shared" si="1222"/>
        <v>0</v>
      </c>
      <c r="AE1458" s="78" t="b">
        <f t="shared" si="1223"/>
        <v>0</v>
      </c>
      <c r="AF1458" s="78" t="b">
        <f t="shared" si="1224"/>
        <v>0</v>
      </c>
      <c r="AG1458" s="78" t="b">
        <f t="shared" si="1225"/>
        <v>0</v>
      </c>
      <c r="AH1458" s="78" t="b">
        <f t="shared" si="1226"/>
        <v>0</v>
      </c>
      <c r="AI1458" s="78" t="b">
        <f t="shared" si="1227"/>
        <v>0</v>
      </c>
      <c r="AJ1458" s="78" t="b">
        <f t="shared" si="1228"/>
        <v>0</v>
      </c>
      <c r="AK1458" s="78" t="b">
        <f t="shared" si="1229"/>
        <v>0</v>
      </c>
      <c r="AL1458" s="78" t="b">
        <f t="shared" si="1230"/>
        <v>0</v>
      </c>
      <c r="AM1458" s="78" t="b">
        <f t="shared" si="1231"/>
        <v>0</v>
      </c>
      <c r="AN1458" s="78" t="b">
        <f t="shared" si="1232"/>
        <v>0</v>
      </c>
      <c r="AO1458" s="78" t="b">
        <f t="shared" si="1233"/>
        <v>0</v>
      </c>
    </row>
    <row r="1459" spans="7:41" x14ac:dyDescent="0.35">
      <c r="G1459" s="77">
        <f t="shared" si="1203"/>
        <v>0</v>
      </c>
      <c r="H1459" s="78">
        <f t="shared" si="1204"/>
        <v>0</v>
      </c>
      <c r="I1459" s="77">
        <f t="shared" si="1205"/>
        <v>0</v>
      </c>
      <c r="J1459" s="78">
        <f t="shared" si="1206"/>
        <v>0</v>
      </c>
      <c r="K1459" s="78" t="str">
        <f t="shared" si="1207"/>
        <v>1900-01-00 00:0:00</v>
      </c>
      <c r="L1459" s="78" t="str">
        <f t="shared" si="1208"/>
        <v>1900-01-00 00:0:00</v>
      </c>
      <c r="M1459" s="79">
        <f t="shared" si="1209"/>
        <v>0</v>
      </c>
      <c r="N1459">
        <f t="shared" si="1234"/>
        <v>1</v>
      </c>
      <c r="O1459" t="str">
        <f>IFERROR(_xlfn.XLOOKUP(A1459,HC!A:A,HC!C:C),"")</f>
        <v>Workforce</v>
      </c>
      <c r="R1459" s="78" t="b">
        <f t="shared" si="1210"/>
        <v>0</v>
      </c>
      <c r="S1459" s="78" t="b">
        <f t="shared" si="1211"/>
        <v>0</v>
      </c>
      <c r="T1459" s="78" t="b">
        <f t="shared" si="1212"/>
        <v>0</v>
      </c>
      <c r="U1459" s="78" t="b">
        <f t="shared" si="1213"/>
        <v>0</v>
      </c>
      <c r="V1459" s="78" t="b">
        <f t="shared" si="1214"/>
        <v>0</v>
      </c>
      <c r="W1459" s="78" t="b">
        <f t="shared" si="1215"/>
        <v>0</v>
      </c>
      <c r="X1459" s="78" t="b">
        <f t="shared" si="1216"/>
        <v>0</v>
      </c>
      <c r="Y1459" s="78" t="b">
        <f t="shared" si="1217"/>
        <v>0</v>
      </c>
      <c r="Z1459" s="78" t="b">
        <f t="shared" si="1218"/>
        <v>0</v>
      </c>
      <c r="AA1459" s="78" t="b">
        <f t="shared" si="1219"/>
        <v>0</v>
      </c>
      <c r="AB1459" s="78" t="b">
        <f t="shared" si="1220"/>
        <v>0</v>
      </c>
      <c r="AC1459" s="78" t="b">
        <f t="shared" si="1221"/>
        <v>0</v>
      </c>
      <c r="AD1459" s="78" t="b">
        <f t="shared" si="1222"/>
        <v>0</v>
      </c>
      <c r="AE1459" s="78" t="b">
        <f t="shared" si="1223"/>
        <v>0</v>
      </c>
      <c r="AF1459" s="78" t="b">
        <f t="shared" si="1224"/>
        <v>0</v>
      </c>
      <c r="AG1459" s="78" t="b">
        <f t="shared" si="1225"/>
        <v>0</v>
      </c>
      <c r="AH1459" s="78" t="b">
        <f t="shared" si="1226"/>
        <v>0</v>
      </c>
      <c r="AI1459" s="78" t="b">
        <f t="shared" si="1227"/>
        <v>0</v>
      </c>
      <c r="AJ1459" s="78" t="b">
        <f t="shared" si="1228"/>
        <v>0</v>
      </c>
      <c r="AK1459" s="78" t="b">
        <f t="shared" si="1229"/>
        <v>0</v>
      </c>
      <c r="AL1459" s="78" t="b">
        <f t="shared" si="1230"/>
        <v>0</v>
      </c>
      <c r="AM1459" s="78" t="b">
        <f t="shared" si="1231"/>
        <v>0</v>
      </c>
      <c r="AN1459" s="78" t="b">
        <f t="shared" si="1232"/>
        <v>0</v>
      </c>
      <c r="AO1459" s="78" t="b">
        <f t="shared" si="1233"/>
        <v>0</v>
      </c>
    </row>
    <row r="1460" spans="7:41" x14ac:dyDescent="0.35">
      <c r="G1460" s="77">
        <f t="shared" si="1203"/>
        <v>0</v>
      </c>
      <c r="H1460" s="78">
        <f t="shared" si="1204"/>
        <v>0</v>
      </c>
      <c r="I1460" s="77">
        <f t="shared" si="1205"/>
        <v>0</v>
      </c>
      <c r="J1460" s="78">
        <f t="shared" si="1206"/>
        <v>0</v>
      </c>
      <c r="K1460" s="78" t="str">
        <f t="shared" si="1207"/>
        <v>1900-01-00 00:0:00</v>
      </c>
      <c r="L1460" s="78" t="str">
        <f t="shared" si="1208"/>
        <v>1900-01-00 00:0:00</v>
      </c>
      <c r="M1460" s="79">
        <f t="shared" si="1209"/>
        <v>0</v>
      </c>
      <c r="N1460">
        <f t="shared" si="1234"/>
        <v>1</v>
      </c>
      <c r="O1460" t="str">
        <f>IFERROR(_xlfn.XLOOKUP(A1460,HC!A:A,HC!C:C),"")</f>
        <v>Workforce</v>
      </c>
      <c r="R1460" s="78" t="b">
        <f t="shared" si="1210"/>
        <v>0</v>
      </c>
      <c r="S1460" s="78" t="b">
        <f t="shared" si="1211"/>
        <v>0</v>
      </c>
      <c r="T1460" s="78" t="b">
        <f t="shared" si="1212"/>
        <v>0</v>
      </c>
      <c r="U1460" s="78" t="b">
        <f t="shared" si="1213"/>
        <v>0</v>
      </c>
      <c r="V1460" s="78" t="b">
        <f t="shared" si="1214"/>
        <v>0</v>
      </c>
      <c r="W1460" s="78" t="b">
        <f t="shared" si="1215"/>
        <v>0</v>
      </c>
      <c r="X1460" s="78" t="b">
        <f t="shared" si="1216"/>
        <v>0</v>
      </c>
      <c r="Y1460" s="78" t="b">
        <f t="shared" si="1217"/>
        <v>0</v>
      </c>
      <c r="Z1460" s="78" t="b">
        <f t="shared" si="1218"/>
        <v>0</v>
      </c>
      <c r="AA1460" s="78" t="b">
        <f t="shared" si="1219"/>
        <v>0</v>
      </c>
      <c r="AB1460" s="78" t="b">
        <f t="shared" si="1220"/>
        <v>0</v>
      </c>
      <c r="AC1460" s="78" t="b">
        <f t="shared" si="1221"/>
        <v>0</v>
      </c>
      <c r="AD1460" s="78" t="b">
        <f t="shared" si="1222"/>
        <v>0</v>
      </c>
      <c r="AE1460" s="78" t="b">
        <f t="shared" si="1223"/>
        <v>0</v>
      </c>
      <c r="AF1460" s="78" t="b">
        <f t="shared" si="1224"/>
        <v>0</v>
      </c>
      <c r="AG1460" s="78" t="b">
        <f t="shared" si="1225"/>
        <v>0</v>
      </c>
      <c r="AH1460" s="78" t="b">
        <f t="shared" si="1226"/>
        <v>0</v>
      </c>
      <c r="AI1460" s="78" t="b">
        <f t="shared" si="1227"/>
        <v>0</v>
      </c>
      <c r="AJ1460" s="78" t="b">
        <f t="shared" si="1228"/>
        <v>0</v>
      </c>
      <c r="AK1460" s="78" t="b">
        <f t="shared" si="1229"/>
        <v>0</v>
      </c>
      <c r="AL1460" s="78" t="b">
        <f t="shared" si="1230"/>
        <v>0</v>
      </c>
      <c r="AM1460" s="78" t="b">
        <f t="shared" si="1231"/>
        <v>0</v>
      </c>
      <c r="AN1460" s="78" t="b">
        <f t="shared" si="1232"/>
        <v>0</v>
      </c>
      <c r="AO1460" s="78" t="b">
        <f t="shared" si="1233"/>
        <v>0</v>
      </c>
    </row>
    <row r="1461" spans="7:41" x14ac:dyDescent="0.35">
      <c r="G1461" s="77">
        <f t="shared" si="1203"/>
        <v>0</v>
      </c>
      <c r="H1461" s="78">
        <f t="shared" si="1204"/>
        <v>0</v>
      </c>
      <c r="I1461" s="77">
        <f t="shared" si="1205"/>
        <v>0</v>
      </c>
      <c r="J1461" s="78">
        <f t="shared" si="1206"/>
        <v>0</v>
      </c>
      <c r="K1461" s="78" t="str">
        <f t="shared" si="1207"/>
        <v>1900-01-00 00:0:00</v>
      </c>
      <c r="L1461" s="78" t="str">
        <f t="shared" si="1208"/>
        <v>1900-01-00 00:0:00</v>
      </c>
      <c r="M1461" s="79">
        <f t="shared" si="1209"/>
        <v>0</v>
      </c>
      <c r="N1461">
        <f t="shared" si="1234"/>
        <v>1</v>
      </c>
      <c r="O1461" t="str">
        <f>IFERROR(_xlfn.XLOOKUP(A1461,HC!A:A,HC!C:C),"")</f>
        <v>Workforce</v>
      </c>
      <c r="R1461" s="78" t="b">
        <f t="shared" si="1210"/>
        <v>0</v>
      </c>
      <c r="S1461" s="78" t="b">
        <f t="shared" si="1211"/>
        <v>0</v>
      </c>
      <c r="T1461" s="78" t="b">
        <f t="shared" si="1212"/>
        <v>0</v>
      </c>
      <c r="U1461" s="78" t="b">
        <f t="shared" si="1213"/>
        <v>0</v>
      </c>
      <c r="V1461" s="78" t="b">
        <f t="shared" si="1214"/>
        <v>0</v>
      </c>
      <c r="W1461" s="78" t="b">
        <f t="shared" si="1215"/>
        <v>0</v>
      </c>
      <c r="X1461" s="78" t="b">
        <f t="shared" si="1216"/>
        <v>0</v>
      </c>
      <c r="Y1461" s="78" t="b">
        <f t="shared" si="1217"/>
        <v>0</v>
      </c>
      <c r="Z1461" s="78" t="b">
        <f t="shared" si="1218"/>
        <v>0</v>
      </c>
      <c r="AA1461" s="78" t="b">
        <f t="shared" si="1219"/>
        <v>0</v>
      </c>
      <c r="AB1461" s="78" t="b">
        <f t="shared" si="1220"/>
        <v>0</v>
      </c>
      <c r="AC1461" s="78" t="b">
        <f t="shared" si="1221"/>
        <v>0</v>
      </c>
      <c r="AD1461" s="78" t="b">
        <f t="shared" si="1222"/>
        <v>0</v>
      </c>
      <c r="AE1461" s="78" t="b">
        <f t="shared" si="1223"/>
        <v>0</v>
      </c>
      <c r="AF1461" s="78" t="b">
        <f t="shared" si="1224"/>
        <v>0</v>
      </c>
      <c r="AG1461" s="78" t="b">
        <f t="shared" si="1225"/>
        <v>0</v>
      </c>
      <c r="AH1461" s="78" t="b">
        <f t="shared" si="1226"/>
        <v>0</v>
      </c>
      <c r="AI1461" s="78" t="b">
        <f t="shared" si="1227"/>
        <v>0</v>
      </c>
      <c r="AJ1461" s="78" t="b">
        <f t="shared" si="1228"/>
        <v>0</v>
      </c>
      <c r="AK1461" s="78" t="b">
        <f t="shared" si="1229"/>
        <v>0</v>
      </c>
      <c r="AL1461" s="78" t="b">
        <f t="shared" si="1230"/>
        <v>0</v>
      </c>
      <c r="AM1461" s="78" t="b">
        <f t="shared" si="1231"/>
        <v>0</v>
      </c>
      <c r="AN1461" s="78" t="b">
        <f t="shared" si="1232"/>
        <v>0</v>
      </c>
      <c r="AO1461" s="78" t="b">
        <f t="shared" si="1233"/>
        <v>0</v>
      </c>
    </row>
    <row r="1462" spans="7:41" x14ac:dyDescent="0.35">
      <c r="G1462" s="77">
        <f t="shared" si="1203"/>
        <v>0</v>
      </c>
      <c r="H1462" s="78">
        <f t="shared" si="1204"/>
        <v>0</v>
      </c>
      <c r="I1462" s="77">
        <f t="shared" si="1205"/>
        <v>0</v>
      </c>
      <c r="J1462" s="78">
        <f t="shared" si="1206"/>
        <v>0</v>
      </c>
      <c r="K1462" s="78" t="str">
        <f t="shared" si="1207"/>
        <v>1900-01-00 00:0:00</v>
      </c>
      <c r="L1462" s="78" t="str">
        <f t="shared" si="1208"/>
        <v>1900-01-00 00:0:00</v>
      </c>
      <c r="M1462" s="79">
        <f t="shared" si="1209"/>
        <v>0</v>
      </c>
      <c r="N1462">
        <f t="shared" si="1234"/>
        <v>1</v>
      </c>
      <c r="O1462" t="str">
        <f>IFERROR(_xlfn.XLOOKUP(A1462,HC!A:A,HC!C:C),"")</f>
        <v>Workforce</v>
      </c>
      <c r="R1462" s="78" t="b">
        <f t="shared" si="1210"/>
        <v>0</v>
      </c>
      <c r="S1462" s="78" t="b">
        <f t="shared" si="1211"/>
        <v>0</v>
      </c>
      <c r="T1462" s="78" t="b">
        <f t="shared" si="1212"/>
        <v>0</v>
      </c>
      <c r="U1462" s="78" t="b">
        <f t="shared" si="1213"/>
        <v>0</v>
      </c>
      <c r="V1462" s="78" t="b">
        <f t="shared" si="1214"/>
        <v>0</v>
      </c>
      <c r="W1462" s="78" t="b">
        <f t="shared" si="1215"/>
        <v>0</v>
      </c>
      <c r="X1462" s="78" t="b">
        <f t="shared" si="1216"/>
        <v>0</v>
      </c>
      <c r="Y1462" s="78" t="b">
        <f t="shared" si="1217"/>
        <v>0</v>
      </c>
      <c r="Z1462" s="78" t="b">
        <f t="shared" si="1218"/>
        <v>0</v>
      </c>
      <c r="AA1462" s="78" t="b">
        <f t="shared" si="1219"/>
        <v>0</v>
      </c>
      <c r="AB1462" s="78" t="b">
        <f t="shared" si="1220"/>
        <v>0</v>
      </c>
      <c r="AC1462" s="78" t="b">
        <f t="shared" si="1221"/>
        <v>0</v>
      </c>
      <c r="AD1462" s="78" t="b">
        <f t="shared" si="1222"/>
        <v>0</v>
      </c>
      <c r="AE1462" s="78" t="b">
        <f t="shared" si="1223"/>
        <v>0</v>
      </c>
      <c r="AF1462" s="78" t="b">
        <f t="shared" si="1224"/>
        <v>0</v>
      </c>
      <c r="AG1462" s="78" t="b">
        <f t="shared" si="1225"/>
        <v>0</v>
      </c>
      <c r="AH1462" s="78" t="b">
        <f t="shared" si="1226"/>
        <v>0</v>
      </c>
      <c r="AI1462" s="78" t="b">
        <f t="shared" si="1227"/>
        <v>0</v>
      </c>
      <c r="AJ1462" s="78" t="b">
        <f t="shared" si="1228"/>
        <v>0</v>
      </c>
      <c r="AK1462" s="78" t="b">
        <f t="shared" si="1229"/>
        <v>0</v>
      </c>
      <c r="AL1462" s="78" t="b">
        <f t="shared" si="1230"/>
        <v>0</v>
      </c>
      <c r="AM1462" s="78" t="b">
        <f t="shared" si="1231"/>
        <v>0</v>
      </c>
      <c r="AN1462" s="78" t="b">
        <f t="shared" si="1232"/>
        <v>0</v>
      </c>
      <c r="AO1462" s="78" t="b">
        <f t="shared" si="1233"/>
        <v>0</v>
      </c>
    </row>
    <row r="1463" spans="7:41" x14ac:dyDescent="0.35">
      <c r="G1463" s="77">
        <f t="shared" si="1203"/>
        <v>0</v>
      </c>
      <c r="H1463" s="78">
        <f t="shared" si="1204"/>
        <v>0</v>
      </c>
      <c r="I1463" s="77">
        <f t="shared" si="1205"/>
        <v>0</v>
      </c>
      <c r="J1463" s="78">
        <f t="shared" si="1206"/>
        <v>0</v>
      </c>
      <c r="K1463" s="78" t="str">
        <f t="shared" si="1207"/>
        <v>1900-01-00 00:0:00</v>
      </c>
      <c r="L1463" s="78" t="str">
        <f t="shared" si="1208"/>
        <v>1900-01-00 00:0:00</v>
      </c>
      <c r="M1463" s="79">
        <f t="shared" si="1209"/>
        <v>0</v>
      </c>
      <c r="N1463">
        <f t="shared" si="1234"/>
        <v>1</v>
      </c>
      <c r="O1463" t="str">
        <f>IFERROR(_xlfn.XLOOKUP(A1463,HC!A:A,HC!C:C),"")</f>
        <v>Workforce</v>
      </c>
      <c r="R1463" s="78" t="b">
        <f t="shared" si="1210"/>
        <v>0</v>
      </c>
      <c r="S1463" s="78" t="b">
        <f t="shared" si="1211"/>
        <v>0</v>
      </c>
      <c r="T1463" s="78" t="b">
        <f t="shared" si="1212"/>
        <v>0</v>
      </c>
      <c r="U1463" s="78" t="b">
        <f t="shared" si="1213"/>
        <v>0</v>
      </c>
      <c r="V1463" s="78" t="b">
        <f t="shared" si="1214"/>
        <v>0</v>
      </c>
      <c r="W1463" s="78" t="b">
        <f t="shared" si="1215"/>
        <v>0</v>
      </c>
      <c r="X1463" s="78" t="b">
        <f t="shared" si="1216"/>
        <v>0</v>
      </c>
      <c r="Y1463" s="78" t="b">
        <f t="shared" si="1217"/>
        <v>0</v>
      </c>
      <c r="Z1463" s="78" t="b">
        <f t="shared" si="1218"/>
        <v>0</v>
      </c>
      <c r="AA1463" s="78" t="b">
        <f t="shared" si="1219"/>
        <v>0</v>
      </c>
      <c r="AB1463" s="78" t="b">
        <f t="shared" si="1220"/>
        <v>0</v>
      </c>
      <c r="AC1463" s="78" t="b">
        <f t="shared" si="1221"/>
        <v>0</v>
      </c>
      <c r="AD1463" s="78" t="b">
        <f t="shared" si="1222"/>
        <v>0</v>
      </c>
      <c r="AE1463" s="78" t="b">
        <f t="shared" si="1223"/>
        <v>0</v>
      </c>
      <c r="AF1463" s="78" t="b">
        <f t="shared" si="1224"/>
        <v>0</v>
      </c>
      <c r="AG1463" s="78" t="b">
        <f t="shared" si="1225"/>
        <v>0</v>
      </c>
      <c r="AH1463" s="78" t="b">
        <f t="shared" si="1226"/>
        <v>0</v>
      </c>
      <c r="AI1463" s="78" t="b">
        <f t="shared" si="1227"/>
        <v>0</v>
      </c>
      <c r="AJ1463" s="78" t="b">
        <f t="shared" si="1228"/>
        <v>0</v>
      </c>
      <c r="AK1463" s="78" t="b">
        <f t="shared" si="1229"/>
        <v>0</v>
      </c>
      <c r="AL1463" s="78" t="b">
        <f t="shared" si="1230"/>
        <v>0</v>
      </c>
      <c r="AM1463" s="78" t="b">
        <f t="shared" si="1231"/>
        <v>0</v>
      </c>
      <c r="AN1463" s="78" t="b">
        <f t="shared" si="1232"/>
        <v>0</v>
      </c>
      <c r="AO1463" s="78" t="b">
        <f t="shared" si="1233"/>
        <v>0</v>
      </c>
    </row>
    <row r="1464" spans="7:41" x14ac:dyDescent="0.35">
      <c r="G1464" s="77">
        <f t="shared" si="1203"/>
        <v>0</v>
      </c>
      <c r="H1464" s="78">
        <f t="shared" si="1204"/>
        <v>0</v>
      </c>
      <c r="I1464" s="77">
        <f t="shared" si="1205"/>
        <v>0</v>
      </c>
      <c r="J1464" s="78">
        <f t="shared" si="1206"/>
        <v>0</v>
      </c>
      <c r="K1464" s="78" t="str">
        <f t="shared" si="1207"/>
        <v>1900-01-00 00:0:00</v>
      </c>
      <c r="L1464" s="78" t="str">
        <f t="shared" si="1208"/>
        <v>1900-01-00 00:0:00</v>
      </c>
      <c r="M1464" s="79">
        <f t="shared" si="1209"/>
        <v>0</v>
      </c>
      <c r="N1464">
        <f t="shared" si="1234"/>
        <v>1</v>
      </c>
      <c r="O1464" t="str">
        <f>IFERROR(_xlfn.XLOOKUP(A1464,HC!A:A,HC!C:C),"")</f>
        <v>Workforce</v>
      </c>
      <c r="R1464" s="78" t="b">
        <f t="shared" si="1210"/>
        <v>0</v>
      </c>
      <c r="S1464" s="78" t="b">
        <f t="shared" si="1211"/>
        <v>0</v>
      </c>
      <c r="T1464" s="78" t="b">
        <f t="shared" si="1212"/>
        <v>0</v>
      </c>
      <c r="U1464" s="78" t="b">
        <f t="shared" si="1213"/>
        <v>0</v>
      </c>
      <c r="V1464" s="78" t="b">
        <f t="shared" si="1214"/>
        <v>0</v>
      </c>
      <c r="W1464" s="78" t="b">
        <f t="shared" si="1215"/>
        <v>0</v>
      </c>
      <c r="X1464" s="78" t="b">
        <f t="shared" si="1216"/>
        <v>0</v>
      </c>
      <c r="Y1464" s="78" t="b">
        <f t="shared" si="1217"/>
        <v>0</v>
      </c>
      <c r="Z1464" s="78" t="b">
        <f t="shared" si="1218"/>
        <v>0</v>
      </c>
      <c r="AA1464" s="78" t="b">
        <f t="shared" si="1219"/>
        <v>0</v>
      </c>
      <c r="AB1464" s="78" t="b">
        <f t="shared" si="1220"/>
        <v>0</v>
      </c>
      <c r="AC1464" s="78" t="b">
        <f t="shared" si="1221"/>
        <v>0</v>
      </c>
      <c r="AD1464" s="78" t="b">
        <f t="shared" si="1222"/>
        <v>0</v>
      </c>
      <c r="AE1464" s="78" t="b">
        <f t="shared" si="1223"/>
        <v>0</v>
      </c>
      <c r="AF1464" s="78" t="b">
        <f t="shared" si="1224"/>
        <v>0</v>
      </c>
      <c r="AG1464" s="78" t="b">
        <f t="shared" si="1225"/>
        <v>0</v>
      </c>
      <c r="AH1464" s="78" t="b">
        <f t="shared" si="1226"/>
        <v>0</v>
      </c>
      <c r="AI1464" s="78" t="b">
        <f t="shared" si="1227"/>
        <v>0</v>
      </c>
      <c r="AJ1464" s="78" t="b">
        <f t="shared" si="1228"/>
        <v>0</v>
      </c>
      <c r="AK1464" s="78" t="b">
        <f t="shared" si="1229"/>
        <v>0</v>
      </c>
      <c r="AL1464" s="78" t="b">
        <f t="shared" si="1230"/>
        <v>0</v>
      </c>
      <c r="AM1464" s="78" t="b">
        <f t="shared" si="1231"/>
        <v>0</v>
      </c>
      <c r="AN1464" s="78" t="b">
        <f t="shared" si="1232"/>
        <v>0</v>
      </c>
      <c r="AO1464" s="78" t="b">
        <f t="shared" si="1233"/>
        <v>0</v>
      </c>
    </row>
    <row r="1465" spans="7:41" x14ac:dyDescent="0.35">
      <c r="G1465" s="77">
        <f t="shared" si="1203"/>
        <v>0</v>
      </c>
      <c r="H1465" s="78">
        <f t="shared" si="1204"/>
        <v>0</v>
      </c>
      <c r="I1465" s="77">
        <f t="shared" si="1205"/>
        <v>0</v>
      </c>
      <c r="J1465" s="78">
        <f t="shared" si="1206"/>
        <v>0</v>
      </c>
      <c r="K1465" s="78" t="str">
        <f t="shared" si="1207"/>
        <v>1900-01-00 00:0:00</v>
      </c>
      <c r="L1465" s="78" t="str">
        <f t="shared" si="1208"/>
        <v>1900-01-00 00:0:00</v>
      </c>
      <c r="M1465" s="79">
        <f t="shared" si="1209"/>
        <v>0</v>
      </c>
      <c r="N1465">
        <f t="shared" si="1234"/>
        <v>1</v>
      </c>
      <c r="O1465" t="str">
        <f>IFERROR(_xlfn.XLOOKUP(A1465,HC!A:A,HC!C:C),"")</f>
        <v>Workforce</v>
      </c>
      <c r="R1465" s="78" t="b">
        <f t="shared" si="1210"/>
        <v>0</v>
      </c>
      <c r="S1465" s="78" t="b">
        <f t="shared" si="1211"/>
        <v>0</v>
      </c>
      <c r="T1465" s="78" t="b">
        <f t="shared" si="1212"/>
        <v>0</v>
      </c>
      <c r="U1465" s="78" t="b">
        <f t="shared" si="1213"/>
        <v>0</v>
      </c>
      <c r="V1465" s="78" t="b">
        <f t="shared" si="1214"/>
        <v>0</v>
      </c>
      <c r="W1465" s="78" t="b">
        <f t="shared" si="1215"/>
        <v>0</v>
      </c>
      <c r="X1465" s="78" t="b">
        <f t="shared" si="1216"/>
        <v>0</v>
      </c>
      <c r="Y1465" s="78" t="b">
        <f t="shared" si="1217"/>
        <v>0</v>
      </c>
      <c r="Z1465" s="78" t="b">
        <f t="shared" si="1218"/>
        <v>0</v>
      </c>
      <c r="AA1465" s="78" t="b">
        <f t="shared" si="1219"/>
        <v>0</v>
      </c>
      <c r="AB1465" s="78" t="b">
        <f t="shared" si="1220"/>
        <v>0</v>
      </c>
      <c r="AC1465" s="78" t="b">
        <f t="shared" si="1221"/>
        <v>0</v>
      </c>
      <c r="AD1465" s="78" t="b">
        <f t="shared" si="1222"/>
        <v>0</v>
      </c>
      <c r="AE1465" s="78" t="b">
        <f t="shared" si="1223"/>
        <v>0</v>
      </c>
      <c r="AF1465" s="78" t="b">
        <f t="shared" si="1224"/>
        <v>0</v>
      </c>
      <c r="AG1465" s="78" t="b">
        <f t="shared" si="1225"/>
        <v>0</v>
      </c>
      <c r="AH1465" s="78" t="b">
        <f t="shared" si="1226"/>
        <v>0</v>
      </c>
      <c r="AI1465" s="78" t="b">
        <f t="shared" si="1227"/>
        <v>0</v>
      </c>
      <c r="AJ1465" s="78" t="b">
        <f t="shared" si="1228"/>
        <v>0</v>
      </c>
      <c r="AK1465" s="78" t="b">
        <f t="shared" si="1229"/>
        <v>0</v>
      </c>
      <c r="AL1465" s="78" t="b">
        <f t="shared" si="1230"/>
        <v>0</v>
      </c>
      <c r="AM1465" s="78" t="b">
        <f t="shared" si="1231"/>
        <v>0</v>
      </c>
      <c r="AN1465" s="78" t="b">
        <f t="shared" si="1232"/>
        <v>0</v>
      </c>
      <c r="AO1465" s="78" t="b">
        <f t="shared" si="1233"/>
        <v>0</v>
      </c>
    </row>
    <row r="1466" spans="7:41" x14ac:dyDescent="0.35">
      <c r="G1466" s="77">
        <f t="shared" ref="G1466:G1529" si="1235">INT(D1466)</f>
        <v>0</v>
      </c>
      <c r="H1466" s="78">
        <f t="shared" ref="H1466:H1529" si="1236">D1466-G1466</f>
        <v>0</v>
      </c>
      <c r="I1466" s="77">
        <f t="shared" ref="I1466:I1529" si="1237">INT(E1466)</f>
        <v>0</v>
      </c>
      <c r="J1466" s="78">
        <f t="shared" ref="J1466:J1529" si="1238">E1466-I1466</f>
        <v>0</v>
      </c>
      <c r="K1466" s="78" t="str">
        <f t="shared" ref="K1466:K1529" si="1239">TEXT(G1466+H1466,"yyyy-mm-dd hh:m:ss")</f>
        <v>1900-01-00 00:0:00</v>
      </c>
      <c r="L1466" s="78" t="str">
        <f t="shared" ref="L1466:L1529" si="1240">TEXT(I1466+J1466,"yyyy-mm-dd hh:m:ss")</f>
        <v>1900-01-00 00:0:00</v>
      </c>
      <c r="M1466" s="79">
        <f t="shared" ref="M1466:M1529" si="1241">E1466-D1466</f>
        <v>0</v>
      </c>
      <c r="N1466">
        <f t="shared" si="1234"/>
        <v>1</v>
      </c>
      <c r="O1466" t="str">
        <f>IFERROR(_xlfn.XLOOKUP(A1466,HC!A:A,HC!C:C),"")</f>
        <v>Workforce</v>
      </c>
      <c r="R1466" s="78" t="b">
        <f t="shared" si="1210"/>
        <v>0</v>
      </c>
      <c r="S1466" s="78" t="b">
        <f t="shared" si="1211"/>
        <v>0</v>
      </c>
      <c r="T1466" s="78" t="b">
        <f t="shared" si="1212"/>
        <v>0</v>
      </c>
      <c r="U1466" s="78" t="b">
        <f t="shared" si="1213"/>
        <v>0</v>
      </c>
      <c r="V1466" s="78" t="b">
        <f t="shared" si="1214"/>
        <v>0</v>
      </c>
      <c r="W1466" s="78" t="b">
        <f t="shared" si="1215"/>
        <v>0</v>
      </c>
      <c r="X1466" s="78" t="b">
        <f t="shared" si="1216"/>
        <v>0</v>
      </c>
      <c r="Y1466" s="78" t="b">
        <f t="shared" si="1217"/>
        <v>0</v>
      </c>
      <c r="Z1466" s="78" t="b">
        <f t="shared" si="1218"/>
        <v>0</v>
      </c>
      <c r="AA1466" s="78" t="b">
        <f t="shared" si="1219"/>
        <v>0</v>
      </c>
      <c r="AB1466" s="78" t="b">
        <f t="shared" si="1220"/>
        <v>0</v>
      </c>
      <c r="AC1466" s="78" t="b">
        <f t="shared" si="1221"/>
        <v>0</v>
      </c>
      <c r="AD1466" s="78" t="b">
        <f t="shared" si="1222"/>
        <v>0</v>
      </c>
      <c r="AE1466" s="78" t="b">
        <f t="shared" si="1223"/>
        <v>0</v>
      </c>
      <c r="AF1466" s="78" t="b">
        <f t="shared" si="1224"/>
        <v>0</v>
      </c>
      <c r="AG1466" s="78" t="b">
        <f t="shared" si="1225"/>
        <v>0</v>
      </c>
      <c r="AH1466" s="78" t="b">
        <f t="shared" si="1226"/>
        <v>0</v>
      </c>
      <c r="AI1466" s="78" t="b">
        <f t="shared" si="1227"/>
        <v>0</v>
      </c>
      <c r="AJ1466" s="78" t="b">
        <f t="shared" si="1228"/>
        <v>0</v>
      </c>
      <c r="AK1466" s="78" t="b">
        <f t="shared" si="1229"/>
        <v>0</v>
      </c>
      <c r="AL1466" s="78" t="b">
        <f t="shared" si="1230"/>
        <v>0</v>
      </c>
      <c r="AM1466" s="78" t="b">
        <f t="shared" si="1231"/>
        <v>0</v>
      </c>
      <c r="AN1466" s="78" t="b">
        <f t="shared" si="1232"/>
        <v>0</v>
      </c>
      <c r="AO1466" s="78" t="b">
        <f t="shared" si="1233"/>
        <v>0</v>
      </c>
    </row>
    <row r="1467" spans="7:41" x14ac:dyDescent="0.35">
      <c r="G1467" s="77">
        <f t="shared" si="1235"/>
        <v>0</v>
      </c>
      <c r="H1467" s="78">
        <f t="shared" si="1236"/>
        <v>0</v>
      </c>
      <c r="I1467" s="77">
        <f t="shared" si="1237"/>
        <v>0</v>
      </c>
      <c r="J1467" s="78">
        <f t="shared" si="1238"/>
        <v>0</v>
      </c>
      <c r="K1467" s="78" t="str">
        <f t="shared" si="1239"/>
        <v>1900-01-00 00:0:00</v>
      </c>
      <c r="L1467" s="78" t="str">
        <f t="shared" si="1240"/>
        <v>1900-01-00 00:0:00</v>
      </c>
      <c r="M1467" s="79">
        <f t="shared" si="1241"/>
        <v>0</v>
      </c>
      <c r="N1467">
        <f t="shared" si="1234"/>
        <v>1</v>
      </c>
      <c r="O1467" t="str">
        <f>IFERROR(_xlfn.XLOOKUP(A1467,HC!A:A,HC!C:C),"")</f>
        <v>Workforce</v>
      </c>
      <c r="R1467" s="78" t="b">
        <f t="shared" si="1210"/>
        <v>0</v>
      </c>
      <c r="S1467" s="78" t="b">
        <f t="shared" si="1211"/>
        <v>0</v>
      </c>
      <c r="T1467" s="78" t="b">
        <f t="shared" si="1212"/>
        <v>0</v>
      </c>
      <c r="U1467" s="78" t="b">
        <f t="shared" si="1213"/>
        <v>0</v>
      </c>
      <c r="V1467" s="78" t="b">
        <f t="shared" si="1214"/>
        <v>0</v>
      </c>
      <c r="W1467" s="78" t="b">
        <f t="shared" si="1215"/>
        <v>0</v>
      </c>
      <c r="X1467" s="78" t="b">
        <f t="shared" si="1216"/>
        <v>0</v>
      </c>
      <c r="Y1467" s="78" t="b">
        <f t="shared" si="1217"/>
        <v>0</v>
      </c>
      <c r="Z1467" s="78" t="b">
        <f t="shared" si="1218"/>
        <v>0</v>
      </c>
      <c r="AA1467" s="78" t="b">
        <f t="shared" si="1219"/>
        <v>0</v>
      </c>
      <c r="AB1467" s="78" t="b">
        <f t="shared" si="1220"/>
        <v>0</v>
      </c>
      <c r="AC1467" s="78" t="b">
        <f t="shared" si="1221"/>
        <v>0</v>
      </c>
      <c r="AD1467" s="78" t="b">
        <f t="shared" si="1222"/>
        <v>0</v>
      </c>
      <c r="AE1467" s="78" t="b">
        <f t="shared" si="1223"/>
        <v>0</v>
      </c>
      <c r="AF1467" s="78" t="b">
        <f t="shared" si="1224"/>
        <v>0</v>
      </c>
      <c r="AG1467" s="78" t="b">
        <f t="shared" si="1225"/>
        <v>0</v>
      </c>
      <c r="AH1467" s="78" t="b">
        <f t="shared" si="1226"/>
        <v>0</v>
      </c>
      <c r="AI1467" s="78" t="b">
        <f t="shared" si="1227"/>
        <v>0</v>
      </c>
      <c r="AJ1467" s="78" t="b">
        <f t="shared" si="1228"/>
        <v>0</v>
      </c>
      <c r="AK1467" s="78" t="b">
        <f t="shared" si="1229"/>
        <v>0</v>
      </c>
      <c r="AL1467" s="78" t="b">
        <f t="shared" si="1230"/>
        <v>0</v>
      </c>
      <c r="AM1467" s="78" t="b">
        <f t="shared" si="1231"/>
        <v>0</v>
      </c>
      <c r="AN1467" s="78" t="b">
        <f t="shared" si="1232"/>
        <v>0</v>
      </c>
      <c r="AO1467" s="78" t="b">
        <f t="shared" si="1233"/>
        <v>0</v>
      </c>
    </row>
    <row r="1468" spans="7:41" x14ac:dyDescent="0.35">
      <c r="G1468" s="77">
        <f t="shared" si="1235"/>
        <v>0</v>
      </c>
      <c r="H1468" s="78">
        <f t="shared" si="1236"/>
        <v>0</v>
      </c>
      <c r="I1468" s="77">
        <f t="shared" si="1237"/>
        <v>0</v>
      </c>
      <c r="J1468" s="78">
        <f t="shared" si="1238"/>
        <v>0</v>
      </c>
      <c r="K1468" s="78" t="str">
        <f t="shared" si="1239"/>
        <v>1900-01-00 00:0:00</v>
      </c>
      <c r="L1468" s="78" t="str">
        <f t="shared" si="1240"/>
        <v>1900-01-00 00:0:00</v>
      </c>
      <c r="M1468" s="79">
        <f t="shared" si="1241"/>
        <v>0</v>
      </c>
      <c r="N1468">
        <f t="shared" si="1234"/>
        <v>1</v>
      </c>
      <c r="O1468" t="str">
        <f>IFERROR(_xlfn.XLOOKUP(A1468,HC!A:A,HC!C:C),"")</f>
        <v>Workforce</v>
      </c>
      <c r="R1468" s="78" t="b">
        <f t="shared" ref="R1468:R1531" si="1242">IFERROR(IF($B1468=$D$1,IF(AND($K1468&lt;R$1,$L1468&lt;R$1),"",IF(AND($K1468&gt;S$1,$L1468&gt;S$1),"",IF(AND($K1468&lt;R$1,$L1468&lt;=S$1),$L1468-R$1,IF(AND($K1468&gt;=R$1,$L1468&gt;S$1),S$1-$K1468,IF(AND($K1468&gt;=R$1,$L1468&lt;=S$1),$L1468-$K1468,IF(AND($K1468&lt;R$1,$L1468&gt;S$1),S$1-R$1,""))))))),"")</f>
        <v>0</v>
      </c>
      <c r="S1468" s="78" t="b">
        <f t="shared" ref="S1468:S1531" si="1243">IFERROR(IF($B1468=$D$1,IF(AND($K1468&lt;S$1,$L1468&lt;S$1),"",IF(AND($K1468&gt;T$1,$L1468&gt;T$1),"",IF(AND($K1468&lt;S$1,$L1468&lt;=T$1),$L1468-S$1,IF(AND($K1468&gt;=S$1,$L1468&gt;T$1),T$1-$K1468,IF(AND($K1468&gt;=S$1,$L1468&lt;=T$1),$L1468-$K1468,IF(AND($K1468&lt;S$1,$L1468&gt;T$1),T$1-S$1,""))))))),"")</f>
        <v>0</v>
      </c>
      <c r="T1468" s="78" t="b">
        <f t="shared" ref="T1468:T1531" si="1244">IFERROR(IF($B1468=$D$1,IF(AND($K1468&lt;T$1,$L1468&lt;T$1),"",IF(AND($K1468&gt;U$1,$L1468&gt;U$1),"",IF(AND($K1468&lt;T$1,$L1468&lt;=U$1),$L1468-T$1,IF(AND($K1468&gt;=T$1,$L1468&gt;U$1),U$1-$K1468,IF(AND($K1468&gt;=T$1,$L1468&lt;=U$1),$L1468-$K1468,IF(AND($K1468&lt;T$1,$L1468&gt;U$1),U$1-T$1,""))))))),"")</f>
        <v>0</v>
      </c>
      <c r="U1468" s="78" t="b">
        <f t="shared" ref="U1468:U1531" si="1245">IFERROR(IF($B1468=$D$1,IF(AND($K1468&lt;U$1,$L1468&lt;U$1),"",IF(AND($K1468&gt;V$1,$L1468&gt;V$1),"",IF(AND($K1468&lt;U$1,$L1468&lt;=V$1),$L1468-U$1,IF(AND($K1468&gt;=U$1,$L1468&gt;V$1),V$1-$K1468,IF(AND($K1468&gt;=U$1,$L1468&lt;=V$1),$L1468-$K1468,IF(AND($K1468&lt;U$1,$L1468&gt;V$1),V$1-U$1,""))))))),"")</f>
        <v>0</v>
      </c>
      <c r="V1468" s="78" t="b">
        <f t="shared" ref="V1468:V1531" si="1246">IFERROR(IF($B1468=$D$1,IF(AND($K1468&lt;V$1,$L1468&lt;V$1),"",IF(AND($K1468&gt;W$1,$L1468&gt;W$1),"",IF(AND($K1468&lt;V$1,$L1468&lt;=W$1),$L1468-V$1,IF(AND($K1468&gt;=V$1,$L1468&gt;W$1),W$1-$K1468,IF(AND($K1468&gt;=V$1,$L1468&lt;=W$1),$L1468-$K1468,IF(AND($K1468&lt;V$1,$L1468&gt;W$1),W$1-V$1,""))))))),"")</f>
        <v>0</v>
      </c>
      <c r="W1468" s="78" t="b">
        <f t="shared" ref="W1468:W1531" si="1247">IFERROR(IF($B1468=$D$1,IF(AND($K1468&lt;W$1,$L1468&lt;W$1),"",IF(AND($K1468&gt;X$1,$L1468&gt;X$1),"",IF(AND($K1468&lt;W$1,$L1468&lt;=X$1),$L1468-W$1,IF(AND($K1468&gt;=W$1,$L1468&gt;X$1),X$1-$K1468,IF(AND($K1468&gt;=W$1,$L1468&lt;=X$1),$L1468-$K1468,IF(AND($K1468&lt;W$1,$L1468&gt;X$1),X$1-W$1,""))))))),"")</f>
        <v>0</v>
      </c>
      <c r="X1468" s="78" t="b">
        <f t="shared" ref="X1468:X1531" si="1248">IFERROR(IF($B1468=$D$1,IF(AND($K1468&lt;X$1,$L1468&lt;X$1),"",IF(AND($K1468&gt;Y$1,$L1468&gt;Y$1),"",IF(AND($K1468&lt;X$1,$L1468&lt;=Y$1),$L1468-X$1,IF(AND($K1468&gt;=X$1,$L1468&gt;Y$1),Y$1-$K1468,IF(AND($K1468&gt;=X$1,$L1468&lt;=Y$1),$L1468-$K1468,IF(AND($K1468&lt;X$1,$L1468&gt;Y$1),Y$1-X$1,""))))))),"")</f>
        <v>0</v>
      </c>
      <c r="Y1468" s="78" t="b">
        <f t="shared" ref="Y1468:Y1531" si="1249">IFERROR(IF($B1468=$D$1,IF(AND($K1468&lt;Y$1,$L1468&lt;Y$1),"",IF(AND($K1468&gt;Z$1,$L1468&gt;Z$1),"",IF(AND($K1468&lt;Y$1,$L1468&lt;=Z$1),$L1468-Y$1,IF(AND($K1468&gt;=Y$1,$L1468&gt;Z$1),Z$1-$K1468,IF(AND($K1468&gt;=Y$1,$L1468&lt;=Z$1),$L1468-$K1468,IF(AND($K1468&lt;Y$1,$L1468&gt;Z$1),Z$1-Y$1,""))))))),"")</f>
        <v>0</v>
      </c>
      <c r="Z1468" s="78" t="b">
        <f t="shared" ref="Z1468:Z1531" si="1250">IFERROR(IF($B1468=$D$1,IF(AND($K1468&lt;Z$1,$L1468&lt;Z$1),"",IF(AND($K1468&gt;AA$1,$L1468&gt;AA$1),"",IF(AND($K1468&lt;Z$1,$L1468&lt;=AA$1),$L1468-Z$1,IF(AND($K1468&gt;=Z$1,$L1468&gt;AA$1),AA$1-$K1468,IF(AND($K1468&gt;=Z$1,$L1468&lt;=AA$1),$L1468-$K1468,IF(AND($K1468&lt;Z$1,$L1468&gt;AA$1),AA$1-Z$1,""))))))),"")</f>
        <v>0</v>
      </c>
      <c r="AA1468" s="78" t="b">
        <f t="shared" ref="AA1468:AA1531" si="1251">IFERROR(IF($B1468=$D$1,IF(AND($K1468&lt;AA$1,$L1468&lt;AA$1),"",IF(AND($K1468&gt;AB$1,$L1468&gt;AB$1),"",IF(AND($K1468&lt;AA$1,$L1468&lt;=AB$1),$L1468-AA$1,IF(AND($K1468&gt;=AA$1,$L1468&gt;AB$1),AB$1-$K1468,IF(AND($K1468&gt;=AA$1,$L1468&lt;=AB$1),$L1468-$K1468,IF(AND($K1468&lt;AA$1,$L1468&gt;AB$1),AB$1-AA$1,""))))))),"")</f>
        <v>0</v>
      </c>
      <c r="AB1468" s="78" t="b">
        <f t="shared" ref="AB1468:AB1531" si="1252">IFERROR(IF($B1468=$D$1,IF(AND($K1468&lt;AB$1,$L1468&lt;AB$1),"",IF(AND($K1468&gt;AC$1,$L1468&gt;AC$1),"",IF(AND($K1468&lt;AB$1,$L1468&lt;=AC$1),$L1468-AB$1,IF(AND($K1468&gt;=AB$1,$L1468&gt;AC$1),AC$1-$K1468,IF(AND($K1468&gt;=AB$1,$L1468&lt;=AC$1),$L1468-$K1468,IF(AND($K1468&lt;AB$1,$L1468&gt;AC$1),AC$1-AB$1,""))))))),"")</f>
        <v>0</v>
      </c>
      <c r="AC1468" s="78" t="b">
        <f t="shared" ref="AC1468:AC1531" si="1253">IFERROR(IF($B1468=$D$1,IF(AND($K1468&lt;AC$1,$L1468&lt;AC$1),"",IF(AND($K1468&gt;AD$1,$L1468&gt;AD$1),"",IF(AND($K1468&lt;AC$1,$L1468&lt;=AD$1),$L1468-AC$1,IF(AND($K1468&gt;=AC$1,$L1468&gt;AD$1),AD$1-$K1468,IF(AND($K1468&gt;=AC$1,$L1468&lt;=AD$1),$L1468-$K1468,IF(AND($K1468&lt;AC$1,$L1468&gt;AD$1),AD$1-AC$1,""))))))),"")</f>
        <v>0</v>
      </c>
      <c r="AD1468" s="78" t="b">
        <f t="shared" ref="AD1468:AD1531" si="1254">IFERROR(IF($B1468=$D$1,IF(AND($K1468&lt;AD$1,$L1468&lt;AD$1),"",IF(AND($K1468&gt;AE$1,$L1468&gt;AE$1),"",IF(AND($K1468&lt;AD$1,$L1468&lt;=AE$1),$L1468-AD$1,IF(AND($K1468&gt;=AD$1,$L1468&gt;AE$1),AE$1-$K1468,IF(AND($K1468&gt;=AD$1,$L1468&lt;=AE$1),$L1468-$K1468,IF(AND($K1468&lt;AD$1,$L1468&gt;AE$1),AE$1-AD$1,""))))))),"")</f>
        <v>0</v>
      </c>
      <c r="AE1468" s="78" t="b">
        <f t="shared" ref="AE1468:AE1531" si="1255">IFERROR(IF($B1468=$D$1,IF(AND($K1468&lt;AE$1,$L1468&lt;AE$1),"",IF(AND($K1468&gt;AF$1,$L1468&gt;AF$1),"",IF(AND($K1468&lt;AE$1,$L1468&lt;=AF$1),$L1468-AE$1,IF(AND($K1468&gt;=AE$1,$L1468&gt;AF$1),AF$1-$K1468,IF(AND($K1468&gt;=AE$1,$L1468&lt;=AF$1),$L1468-$K1468,IF(AND($K1468&lt;AE$1,$L1468&gt;AF$1),AF$1-AE$1,""))))))),"")</f>
        <v>0</v>
      </c>
      <c r="AF1468" s="78" t="b">
        <f t="shared" ref="AF1468:AF1531" si="1256">IFERROR(IF($B1468=$D$1,IF(AND($K1468&lt;AF$1,$L1468&lt;AF$1),"",IF(AND($K1468&gt;AG$1,$L1468&gt;AG$1),"",IF(AND($K1468&lt;AF$1,$L1468&lt;=AG$1),$L1468-AF$1,IF(AND($K1468&gt;=AF$1,$L1468&gt;AG$1),AG$1-$K1468,IF(AND($K1468&gt;=AF$1,$L1468&lt;=AG$1),$L1468-$K1468,IF(AND($K1468&lt;AF$1,$L1468&gt;AG$1),AG$1-AF$1,""))))))),"")</f>
        <v>0</v>
      </c>
      <c r="AG1468" s="78" t="b">
        <f t="shared" ref="AG1468:AG1531" si="1257">IFERROR(IF($B1468=$D$1,IF(AND($K1468&lt;AG$1,$L1468&lt;AG$1),"",IF(AND($K1468&gt;AH$1,$L1468&gt;AH$1),"",IF(AND($K1468&lt;AG$1,$L1468&lt;=AH$1),$L1468-AG$1,IF(AND($K1468&gt;=AG$1,$L1468&gt;AH$1),AH$1-$K1468,IF(AND($K1468&gt;=AG$1,$L1468&lt;=AH$1),$L1468-$K1468,IF(AND($K1468&lt;AG$1,$L1468&gt;AH$1),AH$1-AG$1,""))))))),"")</f>
        <v>0</v>
      </c>
      <c r="AH1468" s="78" t="b">
        <f t="shared" ref="AH1468:AH1531" si="1258">IFERROR(IF($B1468=$D$1,IF(AND($K1468&lt;AH$1,$L1468&lt;AH$1),"",IF(AND($K1468&gt;AI$1,$L1468&gt;AI$1),"",IF(AND($K1468&lt;AH$1,$L1468&lt;=AI$1),$L1468-AH$1,IF(AND($K1468&gt;=AH$1,$L1468&gt;AI$1),AI$1-$K1468,IF(AND($K1468&gt;=AH$1,$L1468&lt;=AI$1),$L1468-$K1468,IF(AND($K1468&lt;AH$1,$L1468&gt;AI$1),AI$1-AH$1,""))))))),"")</f>
        <v>0</v>
      </c>
      <c r="AI1468" s="78" t="b">
        <f t="shared" ref="AI1468:AI1531" si="1259">IFERROR(IF($B1468=$D$1,IF(AND($K1468&lt;AI$1,$L1468&lt;AI$1),"",IF(AND($K1468&gt;AJ$1,$L1468&gt;AJ$1),"",IF(AND($K1468&lt;AI$1,$L1468&lt;=AJ$1),$L1468-AI$1,IF(AND($K1468&gt;=AI$1,$L1468&gt;AJ$1),AJ$1-$K1468,IF(AND($K1468&gt;=AI$1,$L1468&lt;=AJ$1),$L1468-$K1468,IF(AND($K1468&lt;AI$1,$L1468&gt;AJ$1),AJ$1-AI$1,""))))))),"")</f>
        <v>0</v>
      </c>
      <c r="AJ1468" s="78" t="b">
        <f t="shared" ref="AJ1468:AJ1531" si="1260">IFERROR(IF($B1468=$D$1,IF(AND($K1468&lt;AJ$1,$L1468&lt;AJ$1),"",IF(AND($K1468&gt;AK$1,$L1468&gt;AK$1),"",IF(AND($K1468&lt;AJ$1,$L1468&lt;=AK$1),$L1468-AJ$1,IF(AND($K1468&gt;=AJ$1,$L1468&gt;AK$1),AK$1-$K1468,IF(AND($K1468&gt;=AJ$1,$L1468&lt;=AK$1),$L1468-$K1468,IF(AND($K1468&lt;AJ$1,$L1468&gt;AK$1),AK$1-AJ$1,""))))))),"")</f>
        <v>0</v>
      </c>
      <c r="AK1468" s="78" t="b">
        <f t="shared" ref="AK1468:AK1531" si="1261">IFERROR(IF($B1468=$D$1,IF(AND($K1468&lt;AK$1,$L1468&lt;AK$1),"",IF(AND($K1468&gt;AL$1,$L1468&gt;AL$1),"",IF(AND($K1468&lt;AK$1,$L1468&lt;=AL$1),$L1468-AK$1,IF(AND($K1468&gt;=AK$1,$L1468&gt;AL$1),AL$1-$K1468,IF(AND($K1468&gt;=AK$1,$L1468&lt;=AL$1),$L1468-$K1468,IF(AND($K1468&lt;AK$1,$L1468&gt;AL$1),AL$1-AK$1,""))))))),"")</f>
        <v>0</v>
      </c>
      <c r="AL1468" s="78" t="b">
        <f t="shared" ref="AL1468:AL1531" si="1262">IFERROR(IF($B1468=$D$1,IF(AND($K1468&lt;AL$1,$L1468&lt;AL$1),"",IF(AND($K1468&gt;AM$1,$L1468&gt;AM$1),"",IF(AND($K1468&lt;AL$1,$L1468&lt;=AM$1),$L1468-AL$1,IF(AND($K1468&gt;=AL$1,$L1468&gt;AM$1),AM$1-$K1468,IF(AND($K1468&gt;=AL$1,$L1468&lt;=AM$1),$L1468-$K1468,IF(AND($K1468&lt;AL$1,$L1468&gt;AM$1),AM$1-AL$1,""))))))),"")</f>
        <v>0</v>
      </c>
      <c r="AM1468" s="78" t="b">
        <f t="shared" ref="AM1468:AM1531" si="1263">IFERROR(IF($B1468=$D$1,IF(AND($K1468&lt;AM$1,$L1468&lt;AM$1),"",IF(AND($K1468&gt;AN$1,$L1468&gt;AN$1),"",IF(AND($K1468&lt;AM$1,$L1468&lt;=AN$1),$L1468-AM$1,IF(AND($K1468&gt;=AM$1,$L1468&gt;AN$1),AN$1-$K1468,IF(AND($K1468&gt;=AM$1,$L1468&lt;=AN$1),$L1468-$K1468,IF(AND($K1468&lt;AM$1,$L1468&gt;AN$1),AN$1-AM$1,""))))))),"")</f>
        <v>0</v>
      </c>
      <c r="AN1468" s="78" t="b">
        <f t="shared" ref="AN1468:AN1531" si="1264">IFERROR(IF($B1468=$D$1,IF(AND($K1468&lt;AN$1,$L1468&lt;AN$1),"",IF(AND($K1468&gt;AO$1,$L1468&gt;AO$1),"",IF(AND($K1468&lt;AN$1,$L1468&lt;=AO$1),$L1468-AN$1,IF(AND($K1468&gt;=AN$1,$L1468&gt;AO$1),AO$1-$K1468,IF(AND($K1468&gt;=AN$1,$L1468&lt;=AO$1),$L1468-$K1468,IF(AND($K1468&lt;AN$1,$L1468&gt;AO$1),AO$1-AN$1,""))))))),"")</f>
        <v>0</v>
      </c>
      <c r="AO1468" s="78" t="b">
        <f t="shared" ref="AO1468:AO1531" si="1265">IFERROR(IF($B1468=$D$1,IF(AND($K1468&lt;AO$1,$L1468&lt;AO$1),"",IF(AND($K1468&gt;AP$1,$L1468&gt;AP$1),"",IF(AND($K1468&lt;AO$1,$L1468&lt;=AP$1),$L1468-AO$1,IF(AND($K1468&gt;=AO$1,$L1468&gt;AP$1),AP$1-$K1468,IF(AND($K1468&gt;=AO$1,$L1468&lt;=AP$1),$L1468-$K1468,IF(AND($K1468&lt;AO$1,$L1468&gt;AP$1),AP$1-AO$1,""))))))),"")</f>
        <v>0</v>
      </c>
    </row>
    <row r="1469" spans="7:41" x14ac:dyDescent="0.35">
      <c r="G1469" s="77">
        <f t="shared" si="1235"/>
        <v>0</v>
      </c>
      <c r="H1469" s="78">
        <f t="shared" si="1236"/>
        <v>0</v>
      </c>
      <c r="I1469" s="77">
        <f t="shared" si="1237"/>
        <v>0</v>
      </c>
      <c r="J1469" s="78">
        <f t="shared" si="1238"/>
        <v>0</v>
      </c>
      <c r="K1469" s="78" t="str">
        <f t="shared" si="1239"/>
        <v>1900-01-00 00:0:00</v>
      </c>
      <c r="L1469" s="78" t="str">
        <f t="shared" si="1240"/>
        <v>1900-01-00 00:0:00</v>
      </c>
      <c r="M1469" s="79">
        <f t="shared" si="1241"/>
        <v>0</v>
      </c>
      <c r="N1469">
        <f t="shared" si="1234"/>
        <v>1</v>
      </c>
      <c r="O1469" t="str">
        <f>IFERROR(_xlfn.XLOOKUP(A1469,HC!A:A,HC!C:C),"")</f>
        <v>Workforce</v>
      </c>
      <c r="R1469" s="78" t="b">
        <f t="shared" si="1242"/>
        <v>0</v>
      </c>
      <c r="S1469" s="78" t="b">
        <f t="shared" si="1243"/>
        <v>0</v>
      </c>
      <c r="T1469" s="78" t="b">
        <f t="shared" si="1244"/>
        <v>0</v>
      </c>
      <c r="U1469" s="78" t="b">
        <f t="shared" si="1245"/>
        <v>0</v>
      </c>
      <c r="V1469" s="78" t="b">
        <f t="shared" si="1246"/>
        <v>0</v>
      </c>
      <c r="W1469" s="78" t="b">
        <f t="shared" si="1247"/>
        <v>0</v>
      </c>
      <c r="X1469" s="78" t="b">
        <f t="shared" si="1248"/>
        <v>0</v>
      </c>
      <c r="Y1469" s="78" t="b">
        <f t="shared" si="1249"/>
        <v>0</v>
      </c>
      <c r="Z1469" s="78" t="b">
        <f t="shared" si="1250"/>
        <v>0</v>
      </c>
      <c r="AA1469" s="78" t="b">
        <f t="shared" si="1251"/>
        <v>0</v>
      </c>
      <c r="AB1469" s="78" t="b">
        <f t="shared" si="1252"/>
        <v>0</v>
      </c>
      <c r="AC1469" s="78" t="b">
        <f t="shared" si="1253"/>
        <v>0</v>
      </c>
      <c r="AD1469" s="78" t="b">
        <f t="shared" si="1254"/>
        <v>0</v>
      </c>
      <c r="AE1469" s="78" t="b">
        <f t="shared" si="1255"/>
        <v>0</v>
      </c>
      <c r="AF1469" s="78" t="b">
        <f t="shared" si="1256"/>
        <v>0</v>
      </c>
      <c r="AG1469" s="78" t="b">
        <f t="shared" si="1257"/>
        <v>0</v>
      </c>
      <c r="AH1469" s="78" t="b">
        <f t="shared" si="1258"/>
        <v>0</v>
      </c>
      <c r="AI1469" s="78" t="b">
        <f t="shared" si="1259"/>
        <v>0</v>
      </c>
      <c r="AJ1469" s="78" t="b">
        <f t="shared" si="1260"/>
        <v>0</v>
      </c>
      <c r="AK1469" s="78" t="b">
        <f t="shared" si="1261"/>
        <v>0</v>
      </c>
      <c r="AL1469" s="78" t="b">
        <f t="shared" si="1262"/>
        <v>0</v>
      </c>
      <c r="AM1469" s="78" t="b">
        <f t="shared" si="1263"/>
        <v>0</v>
      </c>
      <c r="AN1469" s="78" t="b">
        <f t="shared" si="1264"/>
        <v>0</v>
      </c>
      <c r="AO1469" s="78" t="b">
        <f t="shared" si="1265"/>
        <v>0</v>
      </c>
    </row>
    <row r="1470" spans="7:41" x14ac:dyDescent="0.35">
      <c r="G1470" s="77">
        <f t="shared" si="1235"/>
        <v>0</v>
      </c>
      <c r="H1470" s="78">
        <f t="shared" si="1236"/>
        <v>0</v>
      </c>
      <c r="I1470" s="77">
        <f t="shared" si="1237"/>
        <v>0</v>
      </c>
      <c r="J1470" s="78">
        <f t="shared" si="1238"/>
        <v>0</v>
      </c>
      <c r="K1470" s="78" t="str">
        <f t="shared" si="1239"/>
        <v>1900-01-00 00:0:00</v>
      </c>
      <c r="L1470" s="78" t="str">
        <f t="shared" si="1240"/>
        <v>1900-01-00 00:0:00</v>
      </c>
      <c r="M1470" s="79">
        <f t="shared" si="1241"/>
        <v>0</v>
      </c>
      <c r="N1470">
        <f t="shared" si="1234"/>
        <v>1</v>
      </c>
      <c r="O1470" t="str">
        <f>IFERROR(_xlfn.XLOOKUP(A1470,HC!A:A,HC!C:C),"")</f>
        <v>Workforce</v>
      </c>
      <c r="R1470" s="78" t="b">
        <f t="shared" si="1242"/>
        <v>0</v>
      </c>
      <c r="S1470" s="78" t="b">
        <f t="shared" si="1243"/>
        <v>0</v>
      </c>
      <c r="T1470" s="78" t="b">
        <f t="shared" si="1244"/>
        <v>0</v>
      </c>
      <c r="U1470" s="78" t="b">
        <f t="shared" si="1245"/>
        <v>0</v>
      </c>
      <c r="V1470" s="78" t="b">
        <f t="shared" si="1246"/>
        <v>0</v>
      </c>
      <c r="W1470" s="78" t="b">
        <f t="shared" si="1247"/>
        <v>0</v>
      </c>
      <c r="X1470" s="78" t="b">
        <f t="shared" si="1248"/>
        <v>0</v>
      </c>
      <c r="Y1470" s="78" t="b">
        <f t="shared" si="1249"/>
        <v>0</v>
      </c>
      <c r="Z1470" s="78" t="b">
        <f t="shared" si="1250"/>
        <v>0</v>
      </c>
      <c r="AA1470" s="78" t="b">
        <f t="shared" si="1251"/>
        <v>0</v>
      </c>
      <c r="AB1470" s="78" t="b">
        <f t="shared" si="1252"/>
        <v>0</v>
      </c>
      <c r="AC1470" s="78" t="b">
        <f t="shared" si="1253"/>
        <v>0</v>
      </c>
      <c r="AD1470" s="78" t="b">
        <f t="shared" si="1254"/>
        <v>0</v>
      </c>
      <c r="AE1470" s="78" t="b">
        <f t="shared" si="1255"/>
        <v>0</v>
      </c>
      <c r="AF1470" s="78" t="b">
        <f t="shared" si="1256"/>
        <v>0</v>
      </c>
      <c r="AG1470" s="78" t="b">
        <f t="shared" si="1257"/>
        <v>0</v>
      </c>
      <c r="AH1470" s="78" t="b">
        <f t="shared" si="1258"/>
        <v>0</v>
      </c>
      <c r="AI1470" s="78" t="b">
        <f t="shared" si="1259"/>
        <v>0</v>
      </c>
      <c r="AJ1470" s="78" t="b">
        <f t="shared" si="1260"/>
        <v>0</v>
      </c>
      <c r="AK1470" s="78" t="b">
        <f t="shared" si="1261"/>
        <v>0</v>
      </c>
      <c r="AL1470" s="78" t="b">
        <f t="shared" si="1262"/>
        <v>0</v>
      </c>
      <c r="AM1470" s="78" t="b">
        <f t="shared" si="1263"/>
        <v>0</v>
      </c>
      <c r="AN1470" s="78" t="b">
        <f t="shared" si="1264"/>
        <v>0</v>
      </c>
      <c r="AO1470" s="78" t="b">
        <f t="shared" si="1265"/>
        <v>0</v>
      </c>
    </row>
    <row r="1471" spans="7:41" x14ac:dyDescent="0.35">
      <c r="G1471" s="77">
        <f t="shared" si="1235"/>
        <v>0</v>
      </c>
      <c r="H1471" s="78">
        <f t="shared" si="1236"/>
        <v>0</v>
      </c>
      <c r="I1471" s="77">
        <f t="shared" si="1237"/>
        <v>0</v>
      </c>
      <c r="J1471" s="78">
        <f t="shared" si="1238"/>
        <v>0</v>
      </c>
      <c r="K1471" s="78" t="str">
        <f t="shared" si="1239"/>
        <v>1900-01-00 00:0:00</v>
      </c>
      <c r="L1471" s="78" t="str">
        <f t="shared" si="1240"/>
        <v>1900-01-00 00:0:00</v>
      </c>
      <c r="M1471" s="79">
        <f t="shared" si="1241"/>
        <v>0</v>
      </c>
      <c r="N1471">
        <f t="shared" si="1234"/>
        <v>1</v>
      </c>
      <c r="O1471" t="str">
        <f>IFERROR(_xlfn.XLOOKUP(A1471,HC!A:A,HC!C:C),"")</f>
        <v>Workforce</v>
      </c>
      <c r="R1471" s="78" t="b">
        <f t="shared" si="1242"/>
        <v>0</v>
      </c>
      <c r="S1471" s="78" t="b">
        <f t="shared" si="1243"/>
        <v>0</v>
      </c>
      <c r="T1471" s="78" t="b">
        <f t="shared" si="1244"/>
        <v>0</v>
      </c>
      <c r="U1471" s="78" t="b">
        <f t="shared" si="1245"/>
        <v>0</v>
      </c>
      <c r="V1471" s="78" t="b">
        <f t="shared" si="1246"/>
        <v>0</v>
      </c>
      <c r="W1471" s="78" t="b">
        <f t="shared" si="1247"/>
        <v>0</v>
      </c>
      <c r="X1471" s="78" t="b">
        <f t="shared" si="1248"/>
        <v>0</v>
      </c>
      <c r="Y1471" s="78" t="b">
        <f t="shared" si="1249"/>
        <v>0</v>
      </c>
      <c r="Z1471" s="78" t="b">
        <f t="shared" si="1250"/>
        <v>0</v>
      </c>
      <c r="AA1471" s="78" t="b">
        <f t="shared" si="1251"/>
        <v>0</v>
      </c>
      <c r="AB1471" s="78" t="b">
        <f t="shared" si="1252"/>
        <v>0</v>
      </c>
      <c r="AC1471" s="78" t="b">
        <f t="shared" si="1253"/>
        <v>0</v>
      </c>
      <c r="AD1471" s="78" t="b">
        <f t="shared" si="1254"/>
        <v>0</v>
      </c>
      <c r="AE1471" s="78" t="b">
        <f t="shared" si="1255"/>
        <v>0</v>
      </c>
      <c r="AF1471" s="78" t="b">
        <f t="shared" si="1256"/>
        <v>0</v>
      </c>
      <c r="AG1471" s="78" t="b">
        <f t="shared" si="1257"/>
        <v>0</v>
      </c>
      <c r="AH1471" s="78" t="b">
        <f t="shared" si="1258"/>
        <v>0</v>
      </c>
      <c r="AI1471" s="78" t="b">
        <f t="shared" si="1259"/>
        <v>0</v>
      </c>
      <c r="AJ1471" s="78" t="b">
        <f t="shared" si="1260"/>
        <v>0</v>
      </c>
      <c r="AK1471" s="78" t="b">
        <f t="shared" si="1261"/>
        <v>0</v>
      </c>
      <c r="AL1471" s="78" t="b">
        <f t="shared" si="1262"/>
        <v>0</v>
      </c>
      <c r="AM1471" s="78" t="b">
        <f t="shared" si="1263"/>
        <v>0</v>
      </c>
      <c r="AN1471" s="78" t="b">
        <f t="shared" si="1264"/>
        <v>0</v>
      </c>
      <c r="AO1471" s="78" t="b">
        <f t="shared" si="1265"/>
        <v>0</v>
      </c>
    </row>
    <row r="1472" spans="7:41" x14ac:dyDescent="0.35">
      <c r="G1472" s="77">
        <f t="shared" si="1235"/>
        <v>0</v>
      </c>
      <c r="H1472" s="78">
        <f t="shared" si="1236"/>
        <v>0</v>
      </c>
      <c r="I1472" s="77">
        <f t="shared" si="1237"/>
        <v>0</v>
      </c>
      <c r="J1472" s="78">
        <f t="shared" si="1238"/>
        <v>0</v>
      </c>
      <c r="K1472" s="78" t="str">
        <f t="shared" si="1239"/>
        <v>1900-01-00 00:0:00</v>
      </c>
      <c r="L1472" s="78" t="str">
        <f t="shared" si="1240"/>
        <v>1900-01-00 00:0:00</v>
      </c>
      <c r="M1472" s="79">
        <f t="shared" si="1241"/>
        <v>0</v>
      </c>
      <c r="N1472">
        <f t="shared" si="1234"/>
        <v>1</v>
      </c>
      <c r="O1472" t="str">
        <f>IFERROR(_xlfn.XLOOKUP(A1472,HC!A:A,HC!C:C),"")</f>
        <v>Workforce</v>
      </c>
      <c r="R1472" s="78" t="b">
        <f t="shared" si="1242"/>
        <v>0</v>
      </c>
      <c r="S1472" s="78" t="b">
        <f t="shared" si="1243"/>
        <v>0</v>
      </c>
      <c r="T1472" s="78" t="b">
        <f t="shared" si="1244"/>
        <v>0</v>
      </c>
      <c r="U1472" s="78" t="b">
        <f t="shared" si="1245"/>
        <v>0</v>
      </c>
      <c r="V1472" s="78" t="b">
        <f t="shared" si="1246"/>
        <v>0</v>
      </c>
      <c r="W1472" s="78" t="b">
        <f t="shared" si="1247"/>
        <v>0</v>
      </c>
      <c r="X1472" s="78" t="b">
        <f t="shared" si="1248"/>
        <v>0</v>
      </c>
      <c r="Y1472" s="78" t="b">
        <f t="shared" si="1249"/>
        <v>0</v>
      </c>
      <c r="Z1472" s="78" t="b">
        <f t="shared" si="1250"/>
        <v>0</v>
      </c>
      <c r="AA1472" s="78" t="b">
        <f t="shared" si="1251"/>
        <v>0</v>
      </c>
      <c r="AB1472" s="78" t="b">
        <f t="shared" si="1252"/>
        <v>0</v>
      </c>
      <c r="AC1472" s="78" t="b">
        <f t="shared" si="1253"/>
        <v>0</v>
      </c>
      <c r="AD1472" s="78" t="b">
        <f t="shared" si="1254"/>
        <v>0</v>
      </c>
      <c r="AE1472" s="78" t="b">
        <f t="shared" si="1255"/>
        <v>0</v>
      </c>
      <c r="AF1472" s="78" t="b">
        <f t="shared" si="1256"/>
        <v>0</v>
      </c>
      <c r="AG1472" s="78" t="b">
        <f t="shared" si="1257"/>
        <v>0</v>
      </c>
      <c r="AH1472" s="78" t="b">
        <f t="shared" si="1258"/>
        <v>0</v>
      </c>
      <c r="AI1472" s="78" t="b">
        <f t="shared" si="1259"/>
        <v>0</v>
      </c>
      <c r="AJ1472" s="78" t="b">
        <f t="shared" si="1260"/>
        <v>0</v>
      </c>
      <c r="AK1472" s="78" t="b">
        <f t="shared" si="1261"/>
        <v>0</v>
      </c>
      <c r="AL1472" s="78" t="b">
        <f t="shared" si="1262"/>
        <v>0</v>
      </c>
      <c r="AM1472" s="78" t="b">
        <f t="shared" si="1263"/>
        <v>0</v>
      </c>
      <c r="AN1472" s="78" t="b">
        <f t="shared" si="1264"/>
        <v>0</v>
      </c>
      <c r="AO1472" s="78" t="b">
        <f t="shared" si="1265"/>
        <v>0</v>
      </c>
    </row>
    <row r="1473" spans="7:41" x14ac:dyDescent="0.35">
      <c r="G1473" s="77">
        <f t="shared" si="1235"/>
        <v>0</v>
      </c>
      <c r="H1473" s="78">
        <f t="shared" si="1236"/>
        <v>0</v>
      </c>
      <c r="I1473" s="77">
        <f t="shared" si="1237"/>
        <v>0</v>
      </c>
      <c r="J1473" s="78">
        <f t="shared" si="1238"/>
        <v>0</v>
      </c>
      <c r="K1473" s="78" t="str">
        <f t="shared" si="1239"/>
        <v>1900-01-00 00:0:00</v>
      </c>
      <c r="L1473" s="78" t="str">
        <f t="shared" si="1240"/>
        <v>1900-01-00 00:0:00</v>
      </c>
      <c r="M1473" s="79">
        <f t="shared" si="1241"/>
        <v>0</v>
      </c>
      <c r="N1473">
        <f t="shared" si="1234"/>
        <v>1</v>
      </c>
      <c r="O1473" t="str">
        <f>IFERROR(_xlfn.XLOOKUP(A1473,HC!A:A,HC!C:C),"")</f>
        <v>Workforce</v>
      </c>
      <c r="R1473" s="78" t="b">
        <f t="shared" si="1242"/>
        <v>0</v>
      </c>
      <c r="S1473" s="78" t="b">
        <f t="shared" si="1243"/>
        <v>0</v>
      </c>
      <c r="T1473" s="78" t="b">
        <f t="shared" si="1244"/>
        <v>0</v>
      </c>
      <c r="U1473" s="78" t="b">
        <f t="shared" si="1245"/>
        <v>0</v>
      </c>
      <c r="V1473" s="78" t="b">
        <f t="shared" si="1246"/>
        <v>0</v>
      </c>
      <c r="W1473" s="78" t="b">
        <f t="shared" si="1247"/>
        <v>0</v>
      </c>
      <c r="X1473" s="78" t="b">
        <f t="shared" si="1248"/>
        <v>0</v>
      </c>
      <c r="Y1473" s="78" t="b">
        <f t="shared" si="1249"/>
        <v>0</v>
      </c>
      <c r="Z1473" s="78" t="b">
        <f t="shared" si="1250"/>
        <v>0</v>
      </c>
      <c r="AA1473" s="78" t="b">
        <f t="shared" si="1251"/>
        <v>0</v>
      </c>
      <c r="AB1473" s="78" t="b">
        <f t="shared" si="1252"/>
        <v>0</v>
      </c>
      <c r="AC1473" s="78" t="b">
        <f t="shared" si="1253"/>
        <v>0</v>
      </c>
      <c r="AD1473" s="78" t="b">
        <f t="shared" si="1254"/>
        <v>0</v>
      </c>
      <c r="AE1473" s="78" t="b">
        <f t="shared" si="1255"/>
        <v>0</v>
      </c>
      <c r="AF1473" s="78" t="b">
        <f t="shared" si="1256"/>
        <v>0</v>
      </c>
      <c r="AG1473" s="78" t="b">
        <f t="shared" si="1257"/>
        <v>0</v>
      </c>
      <c r="AH1473" s="78" t="b">
        <f t="shared" si="1258"/>
        <v>0</v>
      </c>
      <c r="AI1473" s="78" t="b">
        <f t="shared" si="1259"/>
        <v>0</v>
      </c>
      <c r="AJ1473" s="78" t="b">
        <f t="shared" si="1260"/>
        <v>0</v>
      </c>
      <c r="AK1473" s="78" t="b">
        <f t="shared" si="1261"/>
        <v>0</v>
      </c>
      <c r="AL1473" s="78" t="b">
        <f t="shared" si="1262"/>
        <v>0</v>
      </c>
      <c r="AM1473" s="78" t="b">
        <f t="shared" si="1263"/>
        <v>0</v>
      </c>
      <c r="AN1473" s="78" t="b">
        <f t="shared" si="1264"/>
        <v>0</v>
      </c>
      <c r="AO1473" s="78" t="b">
        <f t="shared" si="1265"/>
        <v>0</v>
      </c>
    </row>
    <row r="1474" spans="7:41" x14ac:dyDescent="0.35">
      <c r="G1474" s="77">
        <f t="shared" si="1235"/>
        <v>0</v>
      </c>
      <c r="H1474" s="78">
        <f t="shared" si="1236"/>
        <v>0</v>
      </c>
      <c r="I1474" s="77">
        <f t="shared" si="1237"/>
        <v>0</v>
      </c>
      <c r="J1474" s="78">
        <f t="shared" si="1238"/>
        <v>0</v>
      </c>
      <c r="K1474" s="78" t="str">
        <f t="shared" si="1239"/>
        <v>1900-01-00 00:0:00</v>
      </c>
      <c r="L1474" s="78" t="str">
        <f t="shared" si="1240"/>
        <v>1900-01-00 00:0:00</v>
      </c>
      <c r="M1474" s="79">
        <f t="shared" si="1241"/>
        <v>0</v>
      </c>
      <c r="N1474">
        <f t="shared" si="1234"/>
        <v>1</v>
      </c>
      <c r="O1474" t="str">
        <f>IFERROR(_xlfn.XLOOKUP(A1474,HC!A:A,HC!C:C),"")</f>
        <v>Workforce</v>
      </c>
      <c r="R1474" s="78" t="b">
        <f t="shared" si="1242"/>
        <v>0</v>
      </c>
      <c r="S1474" s="78" t="b">
        <f t="shared" si="1243"/>
        <v>0</v>
      </c>
      <c r="T1474" s="78" t="b">
        <f t="shared" si="1244"/>
        <v>0</v>
      </c>
      <c r="U1474" s="78" t="b">
        <f t="shared" si="1245"/>
        <v>0</v>
      </c>
      <c r="V1474" s="78" t="b">
        <f t="shared" si="1246"/>
        <v>0</v>
      </c>
      <c r="W1474" s="78" t="b">
        <f t="shared" si="1247"/>
        <v>0</v>
      </c>
      <c r="X1474" s="78" t="b">
        <f t="shared" si="1248"/>
        <v>0</v>
      </c>
      <c r="Y1474" s="78" t="b">
        <f t="shared" si="1249"/>
        <v>0</v>
      </c>
      <c r="Z1474" s="78" t="b">
        <f t="shared" si="1250"/>
        <v>0</v>
      </c>
      <c r="AA1474" s="78" t="b">
        <f t="shared" si="1251"/>
        <v>0</v>
      </c>
      <c r="AB1474" s="78" t="b">
        <f t="shared" si="1252"/>
        <v>0</v>
      </c>
      <c r="AC1474" s="78" t="b">
        <f t="shared" si="1253"/>
        <v>0</v>
      </c>
      <c r="AD1474" s="78" t="b">
        <f t="shared" si="1254"/>
        <v>0</v>
      </c>
      <c r="AE1474" s="78" t="b">
        <f t="shared" si="1255"/>
        <v>0</v>
      </c>
      <c r="AF1474" s="78" t="b">
        <f t="shared" si="1256"/>
        <v>0</v>
      </c>
      <c r="AG1474" s="78" t="b">
        <f t="shared" si="1257"/>
        <v>0</v>
      </c>
      <c r="AH1474" s="78" t="b">
        <f t="shared" si="1258"/>
        <v>0</v>
      </c>
      <c r="AI1474" s="78" t="b">
        <f t="shared" si="1259"/>
        <v>0</v>
      </c>
      <c r="AJ1474" s="78" t="b">
        <f t="shared" si="1260"/>
        <v>0</v>
      </c>
      <c r="AK1474" s="78" t="b">
        <f t="shared" si="1261"/>
        <v>0</v>
      </c>
      <c r="AL1474" s="78" t="b">
        <f t="shared" si="1262"/>
        <v>0</v>
      </c>
      <c r="AM1474" s="78" t="b">
        <f t="shared" si="1263"/>
        <v>0</v>
      </c>
      <c r="AN1474" s="78" t="b">
        <f t="shared" si="1264"/>
        <v>0</v>
      </c>
      <c r="AO1474" s="78" t="b">
        <f t="shared" si="1265"/>
        <v>0</v>
      </c>
    </row>
    <row r="1475" spans="7:41" x14ac:dyDescent="0.35">
      <c r="G1475" s="77">
        <f t="shared" si="1235"/>
        <v>0</v>
      </c>
      <c r="H1475" s="78">
        <f t="shared" si="1236"/>
        <v>0</v>
      </c>
      <c r="I1475" s="77">
        <f t="shared" si="1237"/>
        <v>0</v>
      </c>
      <c r="J1475" s="78">
        <f t="shared" si="1238"/>
        <v>0</v>
      </c>
      <c r="K1475" s="78" t="str">
        <f t="shared" si="1239"/>
        <v>1900-01-00 00:0:00</v>
      </c>
      <c r="L1475" s="78" t="str">
        <f t="shared" si="1240"/>
        <v>1900-01-00 00:0:00</v>
      </c>
      <c r="M1475" s="79">
        <f t="shared" si="1241"/>
        <v>0</v>
      </c>
      <c r="N1475">
        <f t="shared" si="1234"/>
        <v>1</v>
      </c>
      <c r="O1475" t="str">
        <f>IFERROR(_xlfn.XLOOKUP(A1475,HC!A:A,HC!C:C),"")</f>
        <v>Workforce</v>
      </c>
      <c r="R1475" s="78" t="b">
        <f t="shared" si="1242"/>
        <v>0</v>
      </c>
      <c r="S1475" s="78" t="b">
        <f t="shared" si="1243"/>
        <v>0</v>
      </c>
      <c r="T1475" s="78" t="b">
        <f t="shared" si="1244"/>
        <v>0</v>
      </c>
      <c r="U1475" s="78" t="b">
        <f t="shared" si="1245"/>
        <v>0</v>
      </c>
      <c r="V1475" s="78" t="b">
        <f t="shared" si="1246"/>
        <v>0</v>
      </c>
      <c r="W1475" s="78" t="b">
        <f t="shared" si="1247"/>
        <v>0</v>
      </c>
      <c r="X1475" s="78" t="b">
        <f t="shared" si="1248"/>
        <v>0</v>
      </c>
      <c r="Y1475" s="78" t="b">
        <f t="shared" si="1249"/>
        <v>0</v>
      </c>
      <c r="Z1475" s="78" t="b">
        <f t="shared" si="1250"/>
        <v>0</v>
      </c>
      <c r="AA1475" s="78" t="b">
        <f t="shared" si="1251"/>
        <v>0</v>
      </c>
      <c r="AB1475" s="78" t="b">
        <f t="shared" si="1252"/>
        <v>0</v>
      </c>
      <c r="AC1475" s="78" t="b">
        <f t="shared" si="1253"/>
        <v>0</v>
      </c>
      <c r="AD1475" s="78" t="b">
        <f t="shared" si="1254"/>
        <v>0</v>
      </c>
      <c r="AE1475" s="78" t="b">
        <f t="shared" si="1255"/>
        <v>0</v>
      </c>
      <c r="AF1475" s="78" t="b">
        <f t="shared" si="1256"/>
        <v>0</v>
      </c>
      <c r="AG1475" s="78" t="b">
        <f t="shared" si="1257"/>
        <v>0</v>
      </c>
      <c r="AH1475" s="78" t="b">
        <f t="shared" si="1258"/>
        <v>0</v>
      </c>
      <c r="AI1475" s="78" t="b">
        <f t="shared" si="1259"/>
        <v>0</v>
      </c>
      <c r="AJ1475" s="78" t="b">
        <f t="shared" si="1260"/>
        <v>0</v>
      </c>
      <c r="AK1475" s="78" t="b">
        <f t="shared" si="1261"/>
        <v>0</v>
      </c>
      <c r="AL1475" s="78" t="b">
        <f t="shared" si="1262"/>
        <v>0</v>
      </c>
      <c r="AM1475" s="78" t="b">
        <f t="shared" si="1263"/>
        <v>0</v>
      </c>
      <c r="AN1475" s="78" t="b">
        <f t="shared" si="1264"/>
        <v>0</v>
      </c>
      <c r="AO1475" s="78" t="b">
        <f t="shared" si="1265"/>
        <v>0</v>
      </c>
    </row>
    <row r="1476" spans="7:41" x14ac:dyDescent="0.35">
      <c r="G1476" s="77">
        <f t="shared" si="1235"/>
        <v>0</v>
      </c>
      <c r="H1476" s="78">
        <f t="shared" si="1236"/>
        <v>0</v>
      </c>
      <c r="I1476" s="77">
        <f t="shared" si="1237"/>
        <v>0</v>
      </c>
      <c r="J1476" s="78">
        <f t="shared" si="1238"/>
        <v>0</v>
      </c>
      <c r="K1476" s="78" t="str">
        <f t="shared" si="1239"/>
        <v>1900-01-00 00:0:00</v>
      </c>
      <c r="L1476" s="78" t="str">
        <f t="shared" si="1240"/>
        <v>1900-01-00 00:0:00</v>
      </c>
      <c r="M1476" s="79">
        <f t="shared" si="1241"/>
        <v>0</v>
      </c>
      <c r="N1476">
        <f t="shared" ref="N1476:N1539" si="1266">IF(M1476&lt;$BA$1,1,0)</f>
        <v>1</v>
      </c>
      <c r="O1476" t="str">
        <f>IFERROR(_xlfn.XLOOKUP(A1476,HC!A:A,HC!C:C),"")</f>
        <v>Workforce</v>
      </c>
      <c r="R1476" s="78" t="b">
        <f t="shared" si="1242"/>
        <v>0</v>
      </c>
      <c r="S1476" s="78" t="b">
        <f t="shared" si="1243"/>
        <v>0</v>
      </c>
      <c r="T1476" s="78" t="b">
        <f t="shared" si="1244"/>
        <v>0</v>
      </c>
      <c r="U1476" s="78" t="b">
        <f t="shared" si="1245"/>
        <v>0</v>
      </c>
      <c r="V1476" s="78" t="b">
        <f t="shared" si="1246"/>
        <v>0</v>
      </c>
      <c r="W1476" s="78" t="b">
        <f t="shared" si="1247"/>
        <v>0</v>
      </c>
      <c r="X1476" s="78" t="b">
        <f t="shared" si="1248"/>
        <v>0</v>
      </c>
      <c r="Y1476" s="78" t="b">
        <f t="shared" si="1249"/>
        <v>0</v>
      </c>
      <c r="Z1476" s="78" t="b">
        <f t="shared" si="1250"/>
        <v>0</v>
      </c>
      <c r="AA1476" s="78" t="b">
        <f t="shared" si="1251"/>
        <v>0</v>
      </c>
      <c r="AB1476" s="78" t="b">
        <f t="shared" si="1252"/>
        <v>0</v>
      </c>
      <c r="AC1476" s="78" t="b">
        <f t="shared" si="1253"/>
        <v>0</v>
      </c>
      <c r="AD1476" s="78" t="b">
        <f t="shared" si="1254"/>
        <v>0</v>
      </c>
      <c r="AE1476" s="78" t="b">
        <f t="shared" si="1255"/>
        <v>0</v>
      </c>
      <c r="AF1476" s="78" t="b">
        <f t="shared" si="1256"/>
        <v>0</v>
      </c>
      <c r="AG1476" s="78" t="b">
        <f t="shared" si="1257"/>
        <v>0</v>
      </c>
      <c r="AH1476" s="78" t="b">
        <f t="shared" si="1258"/>
        <v>0</v>
      </c>
      <c r="AI1476" s="78" t="b">
        <f t="shared" si="1259"/>
        <v>0</v>
      </c>
      <c r="AJ1476" s="78" t="b">
        <f t="shared" si="1260"/>
        <v>0</v>
      </c>
      <c r="AK1476" s="78" t="b">
        <f t="shared" si="1261"/>
        <v>0</v>
      </c>
      <c r="AL1476" s="78" t="b">
        <f t="shared" si="1262"/>
        <v>0</v>
      </c>
      <c r="AM1476" s="78" t="b">
        <f t="shared" si="1263"/>
        <v>0</v>
      </c>
      <c r="AN1476" s="78" t="b">
        <f t="shared" si="1264"/>
        <v>0</v>
      </c>
      <c r="AO1476" s="78" t="b">
        <f t="shared" si="1265"/>
        <v>0</v>
      </c>
    </row>
    <row r="1477" spans="7:41" x14ac:dyDescent="0.35">
      <c r="G1477" s="77">
        <f t="shared" si="1235"/>
        <v>0</v>
      </c>
      <c r="H1477" s="78">
        <f t="shared" si="1236"/>
        <v>0</v>
      </c>
      <c r="I1477" s="77">
        <f t="shared" si="1237"/>
        <v>0</v>
      </c>
      <c r="J1477" s="78">
        <f t="shared" si="1238"/>
        <v>0</v>
      </c>
      <c r="K1477" s="78" t="str">
        <f t="shared" si="1239"/>
        <v>1900-01-00 00:0:00</v>
      </c>
      <c r="L1477" s="78" t="str">
        <f t="shared" si="1240"/>
        <v>1900-01-00 00:0:00</v>
      </c>
      <c r="M1477" s="79">
        <f t="shared" si="1241"/>
        <v>0</v>
      </c>
      <c r="N1477">
        <f t="shared" si="1266"/>
        <v>1</v>
      </c>
      <c r="O1477" t="str">
        <f>IFERROR(_xlfn.XLOOKUP(A1477,HC!A:A,HC!C:C),"")</f>
        <v>Workforce</v>
      </c>
      <c r="R1477" s="78" t="b">
        <f t="shared" si="1242"/>
        <v>0</v>
      </c>
      <c r="S1477" s="78" t="b">
        <f t="shared" si="1243"/>
        <v>0</v>
      </c>
      <c r="T1477" s="78" t="b">
        <f t="shared" si="1244"/>
        <v>0</v>
      </c>
      <c r="U1477" s="78" t="b">
        <f t="shared" si="1245"/>
        <v>0</v>
      </c>
      <c r="V1477" s="78" t="b">
        <f t="shared" si="1246"/>
        <v>0</v>
      </c>
      <c r="W1477" s="78" t="b">
        <f t="shared" si="1247"/>
        <v>0</v>
      </c>
      <c r="X1477" s="78" t="b">
        <f t="shared" si="1248"/>
        <v>0</v>
      </c>
      <c r="Y1477" s="78" t="b">
        <f t="shared" si="1249"/>
        <v>0</v>
      </c>
      <c r="Z1477" s="78" t="b">
        <f t="shared" si="1250"/>
        <v>0</v>
      </c>
      <c r="AA1477" s="78" t="b">
        <f t="shared" si="1251"/>
        <v>0</v>
      </c>
      <c r="AB1477" s="78" t="b">
        <f t="shared" si="1252"/>
        <v>0</v>
      </c>
      <c r="AC1477" s="78" t="b">
        <f t="shared" si="1253"/>
        <v>0</v>
      </c>
      <c r="AD1477" s="78" t="b">
        <f t="shared" si="1254"/>
        <v>0</v>
      </c>
      <c r="AE1477" s="78" t="b">
        <f t="shared" si="1255"/>
        <v>0</v>
      </c>
      <c r="AF1477" s="78" t="b">
        <f t="shared" si="1256"/>
        <v>0</v>
      </c>
      <c r="AG1477" s="78" t="b">
        <f t="shared" si="1257"/>
        <v>0</v>
      </c>
      <c r="AH1477" s="78" t="b">
        <f t="shared" si="1258"/>
        <v>0</v>
      </c>
      <c r="AI1477" s="78" t="b">
        <f t="shared" si="1259"/>
        <v>0</v>
      </c>
      <c r="AJ1477" s="78" t="b">
        <f t="shared" si="1260"/>
        <v>0</v>
      </c>
      <c r="AK1477" s="78" t="b">
        <f t="shared" si="1261"/>
        <v>0</v>
      </c>
      <c r="AL1477" s="78" t="b">
        <f t="shared" si="1262"/>
        <v>0</v>
      </c>
      <c r="AM1477" s="78" t="b">
        <f t="shared" si="1263"/>
        <v>0</v>
      </c>
      <c r="AN1477" s="78" t="b">
        <f t="shared" si="1264"/>
        <v>0</v>
      </c>
      <c r="AO1477" s="78" t="b">
        <f t="shared" si="1265"/>
        <v>0</v>
      </c>
    </row>
    <row r="1478" spans="7:41" x14ac:dyDescent="0.35">
      <c r="G1478" s="77">
        <f t="shared" si="1235"/>
        <v>0</v>
      </c>
      <c r="H1478" s="78">
        <f t="shared" si="1236"/>
        <v>0</v>
      </c>
      <c r="I1478" s="77">
        <f t="shared" si="1237"/>
        <v>0</v>
      </c>
      <c r="J1478" s="78">
        <f t="shared" si="1238"/>
        <v>0</v>
      </c>
      <c r="K1478" s="78" t="str">
        <f t="shared" si="1239"/>
        <v>1900-01-00 00:0:00</v>
      </c>
      <c r="L1478" s="78" t="str">
        <f t="shared" si="1240"/>
        <v>1900-01-00 00:0:00</v>
      </c>
      <c r="M1478" s="79">
        <f t="shared" si="1241"/>
        <v>0</v>
      </c>
      <c r="N1478">
        <f t="shared" si="1266"/>
        <v>1</v>
      </c>
      <c r="O1478" t="str">
        <f>IFERROR(_xlfn.XLOOKUP(A1478,HC!A:A,HC!C:C),"")</f>
        <v>Workforce</v>
      </c>
      <c r="R1478" s="78" t="b">
        <f t="shared" si="1242"/>
        <v>0</v>
      </c>
      <c r="S1478" s="78" t="b">
        <f t="shared" si="1243"/>
        <v>0</v>
      </c>
      <c r="T1478" s="78" t="b">
        <f t="shared" si="1244"/>
        <v>0</v>
      </c>
      <c r="U1478" s="78" t="b">
        <f t="shared" si="1245"/>
        <v>0</v>
      </c>
      <c r="V1478" s="78" t="b">
        <f t="shared" si="1246"/>
        <v>0</v>
      </c>
      <c r="W1478" s="78" t="b">
        <f t="shared" si="1247"/>
        <v>0</v>
      </c>
      <c r="X1478" s="78" t="b">
        <f t="shared" si="1248"/>
        <v>0</v>
      </c>
      <c r="Y1478" s="78" t="b">
        <f t="shared" si="1249"/>
        <v>0</v>
      </c>
      <c r="Z1478" s="78" t="b">
        <f t="shared" si="1250"/>
        <v>0</v>
      </c>
      <c r="AA1478" s="78" t="b">
        <f t="shared" si="1251"/>
        <v>0</v>
      </c>
      <c r="AB1478" s="78" t="b">
        <f t="shared" si="1252"/>
        <v>0</v>
      </c>
      <c r="AC1478" s="78" t="b">
        <f t="shared" si="1253"/>
        <v>0</v>
      </c>
      <c r="AD1478" s="78" t="b">
        <f t="shared" si="1254"/>
        <v>0</v>
      </c>
      <c r="AE1478" s="78" t="b">
        <f t="shared" si="1255"/>
        <v>0</v>
      </c>
      <c r="AF1478" s="78" t="b">
        <f t="shared" si="1256"/>
        <v>0</v>
      </c>
      <c r="AG1478" s="78" t="b">
        <f t="shared" si="1257"/>
        <v>0</v>
      </c>
      <c r="AH1478" s="78" t="b">
        <f t="shared" si="1258"/>
        <v>0</v>
      </c>
      <c r="AI1478" s="78" t="b">
        <f t="shared" si="1259"/>
        <v>0</v>
      </c>
      <c r="AJ1478" s="78" t="b">
        <f t="shared" si="1260"/>
        <v>0</v>
      </c>
      <c r="AK1478" s="78" t="b">
        <f t="shared" si="1261"/>
        <v>0</v>
      </c>
      <c r="AL1478" s="78" t="b">
        <f t="shared" si="1262"/>
        <v>0</v>
      </c>
      <c r="AM1478" s="78" t="b">
        <f t="shared" si="1263"/>
        <v>0</v>
      </c>
      <c r="AN1478" s="78" t="b">
        <f t="shared" si="1264"/>
        <v>0</v>
      </c>
      <c r="AO1478" s="78" t="b">
        <f t="shared" si="1265"/>
        <v>0</v>
      </c>
    </row>
    <row r="1479" spans="7:41" x14ac:dyDescent="0.35">
      <c r="G1479" s="77">
        <f t="shared" si="1235"/>
        <v>0</v>
      </c>
      <c r="H1479" s="78">
        <f t="shared" si="1236"/>
        <v>0</v>
      </c>
      <c r="I1479" s="77">
        <f t="shared" si="1237"/>
        <v>0</v>
      </c>
      <c r="J1479" s="78">
        <f t="shared" si="1238"/>
        <v>0</v>
      </c>
      <c r="K1479" s="78" t="str">
        <f t="shared" si="1239"/>
        <v>1900-01-00 00:0:00</v>
      </c>
      <c r="L1479" s="78" t="str">
        <f t="shared" si="1240"/>
        <v>1900-01-00 00:0:00</v>
      </c>
      <c r="M1479" s="79">
        <f t="shared" si="1241"/>
        <v>0</v>
      </c>
      <c r="N1479">
        <f t="shared" si="1266"/>
        <v>1</v>
      </c>
      <c r="O1479" t="str">
        <f>IFERROR(_xlfn.XLOOKUP(A1479,HC!A:A,HC!C:C),"")</f>
        <v>Workforce</v>
      </c>
      <c r="R1479" s="78" t="b">
        <f t="shared" si="1242"/>
        <v>0</v>
      </c>
      <c r="S1479" s="78" t="b">
        <f t="shared" si="1243"/>
        <v>0</v>
      </c>
      <c r="T1479" s="78" t="b">
        <f t="shared" si="1244"/>
        <v>0</v>
      </c>
      <c r="U1479" s="78" t="b">
        <f t="shared" si="1245"/>
        <v>0</v>
      </c>
      <c r="V1479" s="78" t="b">
        <f t="shared" si="1246"/>
        <v>0</v>
      </c>
      <c r="W1479" s="78" t="b">
        <f t="shared" si="1247"/>
        <v>0</v>
      </c>
      <c r="X1479" s="78" t="b">
        <f t="shared" si="1248"/>
        <v>0</v>
      </c>
      <c r="Y1479" s="78" t="b">
        <f t="shared" si="1249"/>
        <v>0</v>
      </c>
      <c r="Z1479" s="78" t="b">
        <f t="shared" si="1250"/>
        <v>0</v>
      </c>
      <c r="AA1479" s="78" t="b">
        <f t="shared" si="1251"/>
        <v>0</v>
      </c>
      <c r="AB1479" s="78" t="b">
        <f t="shared" si="1252"/>
        <v>0</v>
      </c>
      <c r="AC1479" s="78" t="b">
        <f t="shared" si="1253"/>
        <v>0</v>
      </c>
      <c r="AD1479" s="78" t="b">
        <f t="shared" si="1254"/>
        <v>0</v>
      </c>
      <c r="AE1479" s="78" t="b">
        <f t="shared" si="1255"/>
        <v>0</v>
      </c>
      <c r="AF1479" s="78" t="b">
        <f t="shared" si="1256"/>
        <v>0</v>
      </c>
      <c r="AG1479" s="78" t="b">
        <f t="shared" si="1257"/>
        <v>0</v>
      </c>
      <c r="AH1479" s="78" t="b">
        <f t="shared" si="1258"/>
        <v>0</v>
      </c>
      <c r="AI1479" s="78" t="b">
        <f t="shared" si="1259"/>
        <v>0</v>
      </c>
      <c r="AJ1479" s="78" t="b">
        <f t="shared" si="1260"/>
        <v>0</v>
      </c>
      <c r="AK1479" s="78" t="b">
        <f t="shared" si="1261"/>
        <v>0</v>
      </c>
      <c r="AL1479" s="78" t="b">
        <f t="shared" si="1262"/>
        <v>0</v>
      </c>
      <c r="AM1479" s="78" t="b">
        <f t="shared" si="1263"/>
        <v>0</v>
      </c>
      <c r="AN1479" s="78" t="b">
        <f t="shared" si="1264"/>
        <v>0</v>
      </c>
      <c r="AO1479" s="78" t="b">
        <f t="shared" si="1265"/>
        <v>0</v>
      </c>
    </row>
    <row r="1480" spans="7:41" x14ac:dyDescent="0.35">
      <c r="G1480" s="77">
        <f t="shared" si="1235"/>
        <v>0</v>
      </c>
      <c r="H1480" s="78">
        <f t="shared" si="1236"/>
        <v>0</v>
      </c>
      <c r="I1480" s="77">
        <f t="shared" si="1237"/>
        <v>0</v>
      </c>
      <c r="J1480" s="78">
        <f t="shared" si="1238"/>
        <v>0</v>
      </c>
      <c r="K1480" s="78" t="str">
        <f t="shared" si="1239"/>
        <v>1900-01-00 00:0:00</v>
      </c>
      <c r="L1480" s="78" t="str">
        <f t="shared" si="1240"/>
        <v>1900-01-00 00:0:00</v>
      </c>
      <c r="M1480" s="79">
        <f t="shared" si="1241"/>
        <v>0</v>
      </c>
      <c r="N1480">
        <f t="shared" si="1266"/>
        <v>1</v>
      </c>
      <c r="O1480" t="str">
        <f>IFERROR(_xlfn.XLOOKUP(A1480,HC!A:A,HC!C:C),"")</f>
        <v>Workforce</v>
      </c>
      <c r="R1480" s="78" t="b">
        <f t="shared" si="1242"/>
        <v>0</v>
      </c>
      <c r="S1480" s="78" t="b">
        <f t="shared" si="1243"/>
        <v>0</v>
      </c>
      <c r="T1480" s="78" t="b">
        <f t="shared" si="1244"/>
        <v>0</v>
      </c>
      <c r="U1480" s="78" t="b">
        <f t="shared" si="1245"/>
        <v>0</v>
      </c>
      <c r="V1480" s="78" t="b">
        <f t="shared" si="1246"/>
        <v>0</v>
      </c>
      <c r="W1480" s="78" t="b">
        <f t="shared" si="1247"/>
        <v>0</v>
      </c>
      <c r="X1480" s="78" t="b">
        <f t="shared" si="1248"/>
        <v>0</v>
      </c>
      <c r="Y1480" s="78" t="b">
        <f t="shared" si="1249"/>
        <v>0</v>
      </c>
      <c r="Z1480" s="78" t="b">
        <f t="shared" si="1250"/>
        <v>0</v>
      </c>
      <c r="AA1480" s="78" t="b">
        <f t="shared" si="1251"/>
        <v>0</v>
      </c>
      <c r="AB1480" s="78" t="b">
        <f t="shared" si="1252"/>
        <v>0</v>
      </c>
      <c r="AC1480" s="78" t="b">
        <f t="shared" si="1253"/>
        <v>0</v>
      </c>
      <c r="AD1480" s="78" t="b">
        <f t="shared" si="1254"/>
        <v>0</v>
      </c>
      <c r="AE1480" s="78" t="b">
        <f t="shared" si="1255"/>
        <v>0</v>
      </c>
      <c r="AF1480" s="78" t="b">
        <f t="shared" si="1256"/>
        <v>0</v>
      </c>
      <c r="AG1480" s="78" t="b">
        <f t="shared" si="1257"/>
        <v>0</v>
      </c>
      <c r="AH1480" s="78" t="b">
        <f t="shared" si="1258"/>
        <v>0</v>
      </c>
      <c r="AI1480" s="78" t="b">
        <f t="shared" si="1259"/>
        <v>0</v>
      </c>
      <c r="AJ1480" s="78" t="b">
        <f t="shared" si="1260"/>
        <v>0</v>
      </c>
      <c r="AK1480" s="78" t="b">
        <f t="shared" si="1261"/>
        <v>0</v>
      </c>
      <c r="AL1480" s="78" t="b">
        <f t="shared" si="1262"/>
        <v>0</v>
      </c>
      <c r="AM1480" s="78" t="b">
        <f t="shared" si="1263"/>
        <v>0</v>
      </c>
      <c r="AN1480" s="78" t="b">
        <f t="shared" si="1264"/>
        <v>0</v>
      </c>
      <c r="AO1480" s="78" t="b">
        <f t="shared" si="1265"/>
        <v>0</v>
      </c>
    </row>
    <row r="1481" spans="7:41" x14ac:dyDescent="0.35">
      <c r="G1481" s="77">
        <f t="shared" si="1235"/>
        <v>0</v>
      </c>
      <c r="H1481" s="78">
        <f t="shared" si="1236"/>
        <v>0</v>
      </c>
      <c r="I1481" s="77">
        <f t="shared" si="1237"/>
        <v>0</v>
      </c>
      <c r="J1481" s="78">
        <f t="shared" si="1238"/>
        <v>0</v>
      </c>
      <c r="K1481" s="78" t="str">
        <f t="shared" si="1239"/>
        <v>1900-01-00 00:0:00</v>
      </c>
      <c r="L1481" s="78" t="str">
        <f t="shared" si="1240"/>
        <v>1900-01-00 00:0:00</v>
      </c>
      <c r="M1481" s="79">
        <f t="shared" si="1241"/>
        <v>0</v>
      </c>
      <c r="N1481">
        <f t="shared" si="1266"/>
        <v>1</v>
      </c>
      <c r="O1481" t="str">
        <f>IFERROR(_xlfn.XLOOKUP(A1481,HC!A:A,HC!C:C),"")</f>
        <v>Workforce</v>
      </c>
      <c r="R1481" s="78" t="b">
        <f t="shared" si="1242"/>
        <v>0</v>
      </c>
      <c r="S1481" s="78" t="b">
        <f t="shared" si="1243"/>
        <v>0</v>
      </c>
      <c r="T1481" s="78" t="b">
        <f t="shared" si="1244"/>
        <v>0</v>
      </c>
      <c r="U1481" s="78" t="b">
        <f t="shared" si="1245"/>
        <v>0</v>
      </c>
      <c r="V1481" s="78" t="b">
        <f t="shared" si="1246"/>
        <v>0</v>
      </c>
      <c r="W1481" s="78" t="b">
        <f t="shared" si="1247"/>
        <v>0</v>
      </c>
      <c r="X1481" s="78" t="b">
        <f t="shared" si="1248"/>
        <v>0</v>
      </c>
      <c r="Y1481" s="78" t="b">
        <f t="shared" si="1249"/>
        <v>0</v>
      </c>
      <c r="Z1481" s="78" t="b">
        <f t="shared" si="1250"/>
        <v>0</v>
      </c>
      <c r="AA1481" s="78" t="b">
        <f t="shared" si="1251"/>
        <v>0</v>
      </c>
      <c r="AB1481" s="78" t="b">
        <f t="shared" si="1252"/>
        <v>0</v>
      </c>
      <c r="AC1481" s="78" t="b">
        <f t="shared" si="1253"/>
        <v>0</v>
      </c>
      <c r="AD1481" s="78" t="b">
        <f t="shared" si="1254"/>
        <v>0</v>
      </c>
      <c r="AE1481" s="78" t="b">
        <f t="shared" si="1255"/>
        <v>0</v>
      </c>
      <c r="AF1481" s="78" t="b">
        <f t="shared" si="1256"/>
        <v>0</v>
      </c>
      <c r="AG1481" s="78" t="b">
        <f t="shared" si="1257"/>
        <v>0</v>
      </c>
      <c r="AH1481" s="78" t="b">
        <f t="shared" si="1258"/>
        <v>0</v>
      </c>
      <c r="AI1481" s="78" t="b">
        <f t="shared" si="1259"/>
        <v>0</v>
      </c>
      <c r="AJ1481" s="78" t="b">
        <f t="shared" si="1260"/>
        <v>0</v>
      </c>
      <c r="AK1481" s="78" t="b">
        <f t="shared" si="1261"/>
        <v>0</v>
      </c>
      <c r="AL1481" s="78" t="b">
        <f t="shared" si="1262"/>
        <v>0</v>
      </c>
      <c r="AM1481" s="78" t="b">
        <f t="shared" si="1263"/>
        <v>0</v>
      </c>
      <c r="AN1481" s="78" t="b">
        <f t="shared" si="1264"/>
        <v>0</v>
      </c>
      <c r="AO1481" s="78" t="b">
        <f t="shared" si="1265"/>
        <v>0</v>
      </c>
    </row>
    <row r="1482" spans="7:41" x14ac:dyDescent="0.35">
      <c r="G1482" s="77">
        <f t="shared" si="1235"/>
        <v>0</v>
      </c>
      <c r="H1482" s="78">
        <f t="shared" si="1236"/>
        <v>0</v>
      </c>
      <c r="I1482" s="77">
        <f t="shared" si="1237"/>
        <v>0</v>
      </c>
      <c r="J1482" s="78">
        <f t="shared" si="1238"/>
        <v>0</v>
      </c>
      <c r="K1482" s="78" t="str">
        <f t="shared" si="1239"/>
        <v>1900-01-00 00:0:00</v>
      </c>
      <c r="L1482" s="78" t="str">
        <f t="shared" si="1240"/>
        <v>1900-01-00 00:0:00</v>
      </c>
      <c r="M1482" s="79">
        <f t="shared" si="1241"/>
        <v>0</v>
      </c>
      <c r="N1482">
        <f t="shared" si="1266"/>
        <v>1</v>
      </c>
      <c r="O1482" t="str">
        <f>IFERROR(_xlfn.XLOOKUP(A1482,HC!A:A,HC!C:C),"")</f>
        <v>Workforce</v>
      </c>
      <c r="R1482" s="78" t="b">
        <f t="shared" si="1242"/>
        <v>0</v>
      </c>
      <c r="S1482" s="78" t="b">
        <f t="shared" si="1243"/>
        <v>0</v>
      </c>
      <c r="T1482" s="78" t="b">
        <f t="shared" si="1244"/>
        <v>0</v>
      </c>
      <c r="U1482" s="78" t="b">
        <f t="shared" si="1245"/>
        <v>0</v>
      </c>
      <c r="V1482" s="78" t="b">
        <f t="shared" si="1246"/>
        <v>0</v>
      </c>
      <c r="W1482" s="78" t="b">
        <f t="shared" si="1247"/>
        <v>0</v>
      </c>
      <c r="X1482" s="78" t="b">
        <f t="shared" si="1248"/>
        <v>0</v>
      </c>
      <c r="Y1482" s="78" t="b">
        <f t="shared" si="1249"/>
        <v>0</v>
      </c>
      <c r="Z1482" s="78" t="b">
        <f t="shared" si="1250"/>
        <v>0</v>
      </c>
      <c r="AA1482" s="78" t="b">
        <f t="shared" si="1251"/>
        <v>0</v>
      </c>
      <c r="AB1482" s="78" t="b">
        <f t="shared" si="1252"/>
        <v>0</v>
      </c>
      <c r="AC1482" s="78" t="b">
        <f t="shared" si="1253"/>
        <v>0</v>
      </c>
      <c r="AD1482" s="78" t="b">
        <f t="shared" si="1254"/>
        <v>0</v>
      </c>
      <c r="AE1482" s="78" t="b">
        <f t="shared" si="1255"/>
        <v>0</v>
      </c>
      <c r="AF1482" s="78" t="b">
        <f t="shared" si="1256"/>
        <v>0</v>
      </c>
      <c r="AG1482" s="78" t="b">
        <f t="shared" si="1257"/>
        <v>0</v>
      </c>
      <c r="AH1482" s="78" t="b">
        <f t="shared" si="1258"/>
        <v>0</v>
      </c>
      <c r="AI1482" s="78" t="b">
        <f t="shared" si="1259"/>
        <v>0</v>
      </c>
      <c r="AJ1482" s="78" t="b">
        <f t="shared" si="1260"/>
        <v>0</v>
      </c>
      <c r="AK1482" s="78" t="b">
        <f t="shared" si="1261"/>
        <v>0</v>
      </c>
      <c r="AL1482" s="78" t="b">
        <f t="shared" si="1262"/>
        <v>0</v>
      </c>
      <c r="AM1482" s="78" t="b">
        <f t="shared" si="1263"/>
        <v>0</v>
      </c>
      <c r="AN1482" s="78" t="b">
        <f t="shared" si="1264"/>
        <v>0</v>
      </c>
      <c r="AO1482" s="78" t="b">
        <f t="shared" si="1265"/>
        <v>0</v>
      </c>
    </row>
    <row r="1483" spans="7:41" x14ac:dyDescent="0.35">
      <c r="G1483" s="77">
        <f t="shared" si="1235"/>
        <v>0</v>
      </c>
      <c r="H1483" s="78">
        <f t="shared" si="1236"/>
        <v>0</v>
      </c>
      <c r="I1483" s="77">
        <f t="shared" si="1237"/>
        <v>0</v>
      </c>
      <c r="J1483" s="78">
        <f t="shared" si="1238"/>
        <v>0</v>
      </c>
      <c r="K1483" s="78" t="str">
        <f t="shared" si="1239"/>
        <v>1900-01-00 00:0:00</v>
      </c>
      <c r="L1483" s="78" t="str">
        <f t="shared" si="1240"/>
        <v>1900-01-00 00:0:00</v>
      </c>
      <c r="M1483" s="79">
        <f t="shared" si="1241"/>
        <v>0</v>
      </c>
      <c r="N1483">
        <f t="shared" si="1266"/>
        <v>1</v>
      </c>
      <c r="O1483" t="str">
        <f>IFERROR(_xlfn.XLOOKUP(A1483,HC!A:A,HC!C:C),"")</f>
        <v>Workforce</v>
      </c>
      <c r="R1483" s="78" t="b">
        <f t="shared" si="1242"/>
        <v>0</v>
      </c>
      <c r="S1483" s="78" t="b">
        <f t="shared" si="1243"/>
        <v>0</v>
      </c>
      <c r="T1483" s="78" t="b">
        <f t="shared" si="1244"/>
        <v>0</v>
      </c>
      <c r="U1483" s="78" t="b">
        <f t="shared" si="1245"/>
        <v>0</v>
      </c>
      <c r="V1483" s="78" t="b">
        <f t="shared" si="1246"/>
        <v>0</v>
      </c>
      <c r="W1483" s="78" t="b">
        <f t="shared" si="1247"/>
        <v>0</v>
      </c>
      <c r="X1483" s="78" t="b">
        <f t="shared" si="1248"/>
        <v>0</v>
      </c>
      <c r="Y1483" s="78" t="b">
        <f t="shared" si="1249"/>
        <v>0</v>
      </c>
      <c r="Z1483" s="78" t="b">
        <f t="shared" si="1250"/>
        <v>0</v>
      </c>
      <c r="AA1483" s="78" t="b">
        <f t="shared" si="1251"/>
        <v>0</v>
      </c>
      <c r="AB1483" s="78" t="b">
        <f t="shared" si="1252"/>
        <v>0</v>
      </c>
      <c r="AC1483" s="78" t="b">
        <f t="shared" si="1253"/>
        <v>0</v>
      </c>
      <c r="AD1483" s="78" t="b">
        <f t="shared" si="1254"/>
        <v>0</v>
      </c>
      <c r="AE1483" s="78" t="b">
        <f t="shared" si="1255"/>
        <v>0</v>
      </c>
      <c r="AF1483" s="78" t="b">
        <f t="shared" si="1256"/>
        <v>0</v>
      </c>
      <c r="AG1483" s="78" t="b">
        <f t="shared" si="1257"/>
        <v>0</v>
      </c>
      <c r="AH1483" s="78" t="b">
        <f t="shared" si="1258"/>
        <v>0</v>
      </c>
      <c r="AI1483" s="78" t="b">
        <f t="shared" si="1259"/>
        <v>0</v>
      </c>
      <c r="AJ1483" s="78" t="b">
        <f t="shared" si="1260"/>
        <v>0</v>
      </c>
      <c r="AK1483" s="78" t="b">
        <f t="shared" si="1261"/>
        <v>0</v>
      </c>
      <c r="AL1483" s="78" t="b">
        <f t="shared" si="1262"/>
        <v>0</v>
      </c>
      <c r="AM1483" s="78" t="b">
        <f t="shared" si="1263"/>
        <v>0</v>
      </c>
      <c r="AN1483" s="78" t="b">
        <f t="shared" si="1264"/>
        <v>0</v>
      </c>
      <c r="AO1483" s="78" t="b">
        <f t="shared" si="1265"/>
        <v>0</v>
      </c>
    </row>
    <row r="1484" spans="7:41" x14ac:dyDescent="0.35">
      <c r="G1484" s="77">
        <f t="shared" si="1235"/>
        <v>0</v>
      </c>
      <c r="H1484" s="78">
        <f t="shared" si="1236"/>
        <v>0</v>
      </c>
      <c r="I1484" s="77">
        <f t="shared" si="1237"/>
        <v>0</v>
      </c>
      <c r="J1484" s="78">
        <f t="shared" si="1238"/>
        <v>0</v>
      </c>
      <c r="K1484" s="78" t="str">
        <f t="shared" si="1239"/>
        <v>1900-01-00 00:0:00</v>
      </c>
      <c r="L1484" s="78" t="str">
        <f t="shared" si="1240"/>
        <v>1900-01-00 00:0:00</v>
      </c>
      <c r="M1484" s="79">
        <f t="shared" si="1241"/>
        <v>0</v>
      </c>
      <c r="N1484">
        <f t="shared" si="1266"/>
        <v>1</v>
      </c>
      <c r="O1484" t="str">
        <f>IFERROR(_xlfn.XLOOKUP(A1484,HC!A:A,HC!C:C),"")</f>
        <v>Workforce</v>
      </c>
      <c r="R1484" s="78" t="b">
        <f t="shared" si="1242"/>
        <v>0</v>
      </c>
      <c r="S1484" s="78" t="b">
        <f t="shared" si="1243"/>
        <v>0</v>
      </c>
      <c r="T1484" s="78" t="b">
        <f t="shared" si="1244"/>
        <v>0</v>
      </c>
      <c r="U1484" s="78" t="b">
        <f t="shared" si="1245"/>
        <v>0</v>
      </c>
      <c r="V1484" s="78" t="b">
        <f t="shared" si="1246"/>
        <v>0</v>
      </c>
      <c r="W1484" s="78" t="b">
        <f t="shared" si="1247"/>
        <v>0</v>
      </c>
      <c r="X1484" s="78" t="b">
        <f t="shared" si="1248"/>
        <v>0</v>
      </c>
      <c r="Y1484" s="78" t="b">
        <f t="shared" si="1249"/>
        <v>0</v>
      </c>
      <c r="Z1484" s="78" t="b">
        <f t="shared" si="1250"/>
        <v>0</v>
      </c>
      <c r="AA1484" s="78" t="b">
        <f t="shared" si="1251"/>
        <v>0</v>
      </c>
      <c r="AB1484" s="78" t="b">
        <f t="shared" si="1252"/>
        <v>0</v>
      </c>
      <c r="AC1484" s="78" t="b">
        <f t="shared" si="1253"/>
        <v>0</v>
      </c>
      <c r="AD1484" s="78" t="b">
        <f t="shared" si="1254"/>
        <v>0</v>
      </c>
      <c r="AE1484" s="78" t="b">
        <f t="shared" si="1255"/>
        <v>0</v>
      </c>
      <c r="AF1484" s="78" t="b">
        <f t="shared" si="1256"/>
        <v>0</v>
      </c>
      <c r="AG1484" s="78" t="b">
        <f t="shared" si="1257"/>
        <v>0</v>
      </c>
      <c r="AH1484" s="78" t="b">
        <f t="shared" si="1258"/>
        <v>0</v>
      </c>
      <c r="AI1484" s="78" t="b">
        <f t="shared" si="1259"/>
        <v>0</v>
      </c>
      <c r="AJ1484" s="78" t="b">
        <f t="shared" si="1260"/>
        <v>0</v>
      </c>
      <c r="AK1484" s="78" t="b">
        <f t="shared" si="1261"/>
        <v>0</v>
      </c>
      <c r="AL1484" s="78" t="b">
        <f t="shared" si="1262"/>
        <v>0</v>
      </c>
      <c r="AM1484" s="78" t="b">
        <f t="shared" si="1263"/>
        <v>0</v>
      </c>
      <c r="AN1484" s="78" t="b">
        <f t="shared" si="1264"/>
        <v>0</v>
      </c>
      <c r="AO1484" s="78" t="b">
        <f t="shared" si="1265"/>
        <v>0</v>
      </c>
    </row>
    <row r="1485" spans="7:41" x14ac:dyDescent="0.35">
      <c r="G1485" s="77">
        <f t="shared" si="1235"/>
        <v>0</v>
      </c>
      <c r="H1485" s="78">
        <f t="shared" si="1236"/>
        <v>0</v>
      </c>
      <c r="I1485" s="77">
        <f t="shared" si="1237"/>
        <v>0</v>
      </c>
      <c r="J1485" s="78">
        <f t="shared" si="1238"/>
        <v>0</v>
      </c>
      <c r="K1485" s="78" t="str">
        <f t="shared" si="1239"/>
        <v>1900-01-00 00:0:00</v>
      </c>
      <c r="L1485" s="78" t="str">
        <f t="shared" si="1240"/>
        <v>1900-01-00 00:0:00</v>
      </c>
      <c r="M1485" s="79">
        <f t="shared" si="1241"/>
        <v>0</v>
      </c>
      <c r="N1485">
        <f t="shared" si="1266"/>
        <v>1</v>
      </c>
      <c r="O1485" t="str">
        <f>IFERROR(_xlfn.XLOOKUP(A1485,HC!A:A,HC!C:C),"")</f>
        <v>Workforce</v>
      </c>
      <c r="R1485" s="78" t="b">
        <f t="shared" si="1242"/>
        <v>0</v>
      </c>
      <c r="S1485" s="78" t="b">
        <f t="shared" si="1243"/>
        <v>0</v>
      </c>
      <c r="T1485" s="78" t="b">
        <f t="shared" si="1244"/>
        <v>0</v>
      </c>
      <c r="U1485" s="78" t="b">
        <f t="shared" si="1245"/>
        <v>0</v>
      </c>
      <c r="V1485" s="78" t="b">
        <f t="shared" si="1246"/>
        <v>0</v>
      </c>
      <c r="W1485" s="78" t="b">
        <f t="shared" si="1247"/>
        <v>0</v>
      </c>
      <c r="X1485" s="78" t="b">
        <f t="shared" si="1248"/>
        <v>0</v>
      </c>
      <c r="Y1485" s="78" t="b">
        <f t="shared" si="1249"/>
        <v>0</v>
      </c>
      <c r="Z1485" s="78" t="b">
        <f t="shared" si="1250"/>
        <v>0</v>
      </c>
      <c r="AA1485" s="78" t="b">
        <f t="shared" si="1251"/>
        <v>0</v>
      </c>
      <c r="AB1485" s="78" t="b">
        <f t="shared" si="1252"/>
        <v>0</v>
      </c>
      <c r="AC1485" s="78" t="b">
        <f t="shared" si="1253"/>
        <v>0</v>
      </c>
      <c r="AD1485" s="78" t="b">
        <f t="shared" si="1254"/>
        <v>0</v>
      </c>
      <c r="AE1485" s="78" t="b">
        <f t="shared" si="1255"/>
        <v>0</v>
      </c>
      <c r="AF1485" s="78" t="b">
        <f t="shared" si="1256"/>
        <v>0</v>
      </c>
      <c r="AG1485" s="78" t="b">
        <f t="shared" si="1257"/>
        <v>0</v>
      </c>
      <c r="AH1485" s="78" t="b">
        <f t="shared" si="1258"/>
        <v>0</v>
      </c>
      <c r="AI1485" s="78" t="b">
        <f t="shared" si="1259"/>
        <v>0</v>
      </c>
      <c r="AJ1485" s="78" t="b">
        <f t="shared" si="1260"/>
        <v>0</v>
      </c>
      <c r="AK1485" s="78" t="b">
        <f t="shared" si="1261"/>
        <v>0</v>
      </c>
      <c r="AL1485" s="78" t="b">
        <f t="shared" si="1262"/>
        <v>0</v>
      </c>
      <c r="AM1485" s="78" t="b">
        <f t="shared" si="1263"/>
        <v>0</v>
      </c>
      <c r="AN1485" s="78" t="b">
        <f t="shared" si="1264"/>
        <v>0</v>
      </c>
      <c r="AO1485" s="78" t="b">
        <f t="shared" si="1265"/>
        <v>0</v>
      </c>
    </row>
    <row r="1486" spans="7:41" x14ac:dyDescent="0.35">
      <c r="G1486" s="77">
        <f t="shared" si="1235"/>
        <v>0</v>
      </c>
      <c r="H1486" s="78">
        <f t="shared" si="1236"/>
        <v>0</v>
      </c>
      <c r="I1486" s="77">
        <f t="shared" si="1237"/>
        <v>0</v>
      </c>
      <c r="J1486" s="78">
        <f t="shared" si="1238"/>
        <v>0</v>
      </c>
      <c r="K1486" s="78" t="str">
        <f t="shared" si="1239"/>
        <v>1900-01-00 00:0:00</v>
      </c>
      <c r="L1486" s="78" t="str">
        <f t="shared" si="1240"/>
        <v>1900-01-00 00:0:00</v>
      </c>
      <c r="M1486" s="79">
        <f t="shared" si="1241"/>
        <v>0</v>
      </c>
      <c r="N1486">
        <f t="shared" si="1266"/>
        <v>1</v>
      </c>
      <c r="O1486" t="str">
        <f>IFERROR(_xlfn.XLOOKUP(A1486,HC!A:A,HC!C:C),"")</f>
        <v>Workforce</v>
      </c>
      <c r="R1486" s="78" t="b">
        <f t="shared" si="1242"/>
        <v>0</v>
      </c>
      <c r="S1486" s="78" t="b">
        <f t="shared" si="1243"/>
        <v>0</v>
      </c>
      <c r="T1486" s="78" t="b">
        <f t="shared" si="1244"/>
        <v>0</v>
      </c>
      <c r="U1486" s="78" t="b">
        <f t="shared" si="1245"/>
        <v>0</v>
      </c>
      <c r="V1486" s="78" t="b">
        <f t="shared" si="1246"/>
        <v>0</v>
      </c>
      <c r="W1486" s="78" t="b">
        <f t="shared" si="1247"/>
        <v>0</v>
      </c>
      <c r="X1486" s="78" t="b">
        <f t="shared" si="1248"/>
        <v>0</v>
      </c>
      <c r="Y1486" s="78" t="b">
        <f t="shared" si="1249"/>
        <v>0</v>
      </c>
      <c r="Z1486" s="78" t="b">
        <f t="shared" si="1250"/>
        <v>0</v>
      </c>
      <c r="AA1486" s="78" t="b">
        <f t="shared" si="1251"/>
        <v>0</v>
      </c>
      <c r="AB1486" s="78" t="b">
        <f t="shared" si="1252"/>
        <v>0</v>
      </c>
      <c r="AC1486" s="78" t="b">
        <f t="shared" si="1253"/>
        <v>0</v>
      </c>
      <c r="AD1486" s="78" t="b">
        <f t="shared" si="1254"/>
        <v>0</v>
      </c>
      <c r="AE1486" s="78" t="b">
        <f t="shared" si="1255"/>
        <v>0</v>
      </c>
      <c r="AF1486" s="78" t="b">
        <f t="shared" si="1256"/>
        <v>0</v>
      </c>
      <c r="AG1486" s="78" t="b">
        <f t="shared" si="1257"/>
        <v>0</v>
      </c>
      <c r="AH1486" s="78" t="b">
        <f t="shared" si="1258"/>
        <v>0</v>
      </c>
      <c r="AI1486" s="78" t="b">
        <f t="shared" si="1259"/>
        <v>0</v>
      </c>
      <c r="AJ1486" s="78" t="b">
        <f t="shared" si="1260"/>
        <v>0</v>
      </c>
      <c r="AK1486" s="78" t="b">
        <f t="shared" si="1261"/>
        <v>0</v>
      </c>
      <c r="AL1486" s="78" t="b">
        <f t="shared" si="1262"/>
        <v>0</v>
      </c>
      <c r="AM1486" s="78" t="b">
        <f t="shared" si="1263"/>
        <v>0</v>
      </c>
      <c r="AN1486" s="78" t="b">
        <f t="shared" si="1264"/>
        <v>0</v>
      </c>
      <c r="AO1486" s="78" t="b">
        <f t="shared" si="1265"/>
        <v>0</v>
      </c>
    </row>
    <row r="1487" spans="7:41" x14ac:dyDescent="0.35">
      <c r="G1487" s="77">
        <f t="shared" si="1235"/>
        <v>0</v>
      </c>
      <c r="H1487" s="78">
        <f t="shared" si="1236"/>
        <v>0</v>
      </c>
      <c r="I1487" s="77">
        <f t="shared" si="1237"/>
        <v>0</v>
      </c>
      <c r="J1487" s="78">
        <f t="shared" si="1238"/>
        <v>0</v>
      </c>
      <c r="K1487" s="78" t="str">
        <f t="shared" si="1239"/>
        <v>1900-01-00 00:0:00</v>
      </c>
      <c r="L1487" s="78" t="str">
        <f t="shared" si="1240"/>
        <v>1900-01-00 00:0:00</v>
      </c>
      <c r="M1487" s="79">
        <f t="shared" si="1241"/>
        <v>0</v>
      </c>
      <c r="N1487">
        <f t="shared" si="1266"/>
        <v>1</v>
      </c>
      <c r="O1487" t="str">
        <f>IFERROR(_xlfn.XLOOKUP(A1487,HC!A:A,HC!C:C),"")</f>
        <v>Workforce</v>
      </c>
      <c r="R1487" s="78" t="b">
        <f t="shared" si="1242"/>
        <v>0</v>
      </c>
      <c r="S1487" s="78" t="b">
        <f t="shared" si="1243"/>
        <v>0</v>
      </c>
      <c r="T1487" s="78" t="b">
        <f t="shared" si="1244"/>
        <v>0</v>
      </c>
      <c r="U1487" s="78" t="b">
        <f t="shared" si="1245"/>
        <v>0</v>
      </c>
      <c r="V1487" s="78" t="b">
        <f t="shared" si="1246"/>
        <v>0</v>
      </c>
      <c r="W1487" s="78" t="b">
        <f t="shared" si="1247"/>
        <v>0</v>
      </c>
      <c r="X1487" s="78" t="b">
        <f t="shared" si="1248"/>
        <v>0</v>
      </c>
      <c r="Y1487" s="78" t="b">
        <f t="shared" si="1249"/>
        <v>0</v>
      </c>
      <c r="Z1487" s="78" t="b">
        <f t="shared" si="1250"/>
        <v>0</v>
      </c>
      <c r="AA1487" s="78" t="b">
        <f t="shared" si="1251"/>
        <v>0</v>
      </c>
      <c r="AB1487" s="78" t="b">
        <f t="shared" si="1252"/>
        <v>0</v>
      </c>
      <c r="AC1487" s="78" t="b">
        <f t="shared" si="1253"/>
        <v>0</v>
      </c>
      <c r="AD1487" s="78" t="b">
        <f t="shared" si="1254"/>
        <v>0</v>
      </c>
      <c r="AE1487" s="78" t="b">
        <f t="shared" si="1255"/>
        <v>0</v>
      </c>
      <c r="AF1487" s="78" t="b">
        <f t="shared" si="1256"/>
        <v>0</v>
      </c>
      <c r="AG1487" s="78" t="b">
        <f t="shared" si="1257"/>
        <v>0</v>
      </c>
      <c r="AH1487" s="78" t="b">
        <f t="shared" si="1258"/>
        <v>0</v>
      </c>
      <c r="AI1487" s="78" t="b">
        <f t="shared" si="1259"/>
        <v>0</v>
      </c>
      <c r="AJ1487" s="78" t="b">
        <f t="shared" si="1260"/>
        <v>0</v>
      </c>
      <c r="AK1487" s="78" t="b">
        <f t="shared" si="1261"/>
        <v>0</v>
      </c>
      <c r="AL1487" s="78" t="b">
        <f t="shared" si="1262"/>
        <v>0</v>
      </c>
      <c r="AM1487" s="78" t="b">
        <f t="shared" si="1263"/>
        <v>0</v>
      </c>
      <c r="AN1487" s="78" t="b">
        <f t="shared" si="1264"/>
        <v>0</v>
      </c>
      <c r="AO1487" s="78" t="b">
        <f t="shared" si="1265"/>
        <v>0</v>
      </c>
    </row>
    <row r="1488" spans="7:41" x14ac:dyDescent="0.35">
      <c r="G1488" s="77">
        <f t="shared" si="1235"/>
        <v>0</v>
      </c>
      <c r="H1488" s="78">
        <f t="shared" si="1236"/>
        <v>0</v>
      </c>
      <c r="I1488" s="77">
        <f t="shared" si="1237"/>
        <v>0</v>
      </c>
      <c r="J1488" s="78">
        <f t="shared" si="1238"/>
        <v>0</v>
      </c>
      <c r="K1488" s="78" t="str">
        <f t="shared" si="1239"/>
        <v>1900-01-00 00:0:00</v>
      </c>
      <c r="L1488" s="78" t="str">
        <f t="shared" si="1240"/>
        <v>1900-01-00 00:0:00</v>
      </c>
      <c r="M1488" s="79">
        <f t="shared" si="1241"/>
        <v>0</v>
      </c>
      <c r="N1488">
        <f t="shared" si="1266"/>
        <v>1</v>
      </c>
      <c r="O1488" t="str">
        <f>IFERROR(_xlfn.XLOOKUP(A1488,HC!A:A,HC!C:C),"")</f>
        <v>Workforce</v>
      </c>
      <c r="R1488" s="78" t="b">
        <f t="shared" si="1242"/>
        <v>0</v>
      </c>
      <c r="S1488" s="78" t="b">
        <f t="shared" si="1243"/>
        <v>0</v>
      </c>
      <c r="T1488" s="78" t="b">
        <f t="shared" si="1244"/>
        <v>0</v>
      </c>
      <c r="U1488" s="78" t="b">
        <f t="shared" si="1245"/>
        <v>0</v>
      </c>
      <c r="V1488" s="78" t="b">
        <f t="shared" si="1246"/>
        <v>0</v>
      </c>
      <c r="W1488" s="78" t="b">
        <f t="shared" si="1247"/>
        <v>0</v>
      </c>
      <c r="X1488" s="78" t="b">
        <f t="shared" si="1248"/>
        <v>0</v>
      </c>
      <c r="Y1488" s="78" t="b">
        <f t="shared" si="1249"/>
        <v>0</v>
      </c>
      <c r="Z1488" s="78" t="b">
        <f t="shared" si="1250"/>
        <v>0</v>
      </c>
      <c r="AA1488" s="78" t="b">
        <f t="shared" si="1251"/>
        <v>0</v>
      </c>
      <c r="AB1488" s="78" t="b">
        <f t="shared" si="1252"/>
        <v>0</v>
      </c>
      <c r="AC1488" s="78" t="b">
        <f t="shared" si="1253"/>
        <v>0</v>
      </c>
      <c r="AD1488" s="78" t="b">
        <f t="shared" si="1254"/>
        <v>0</v>
      </c>
      <c r="AE1488" s="78" t="b">
        <f t="shared" si="1255"/>
        <v>0</v>
      </c>
      <c r="AF1488" s="78" t="b">
        <f t="shared" si="1256"/>
        <v>0</v>
      </c>
      <c r="AG1488" s="78" t="b">
        <f t="shared" si="1257"/>
        <v>0</v>
      </c>
      <c r="AH1488" s="78" t="b">
        <f t="shared" si="1258"/>
        <v>0</v>
      </c>
      <c r="AI1488" s="78" t="b">
        <f t="shared" si="1259"/>
        <v>0</v>
      </c>
      <c r="AJ1488" s="78" t="b">
        <f t="shared" si="1260"/>
        <v>0</v>
      </c>
      <c r="AK1488" s="78" t="b">
        <f t="shared" si="1261"/>
        <v>0</v>
      </c>
      <c r="AL1488" s="78" t="b">
        <f t="shared" si="1262"/>
        <v>0</v>
      </c>
      <c r="AM1488" s="78" t="b">
        <f t="shared" si="1263"/>
        <v>0</v>
      </c>
      <c r="AN1488" s="78" t="b">
        <f t="shared" si="1264"/>
        <v>0</v>
      </c>
      <c r="AO1488" s="78" t="b">
        <f t="shared" si="1265"/>
        <v>0</v>
      </c>
    </row>
    <row r="1489" spans="7:41" x14ac:dyDescent="0.35">
      <c r="G1489" s="77">
        <f t="shared" si="1235"/>
        <v>0</v>
      </c>
      <c r="H1489" s="78">
        <f t="shared" si="1236"/>
        <v>0</v>
      </c>
      <c r="I1489" s="77">
        <f t="shared" si="1237"/>
        <v>0</v>
      </c>
      <c r="J1489" s="78">
        <f t="shared" si="1238"/>
        <v>0</v>
      </c>
      <c r="K1489" s="78" t="str">
        <f t="shared" si="1239"/>
        <v>1900-01-00 00:0:00</v>
      </c>
      <c r="L1489" s="78" t="str">
        <f t="shared" si="1240"/>
        <v>1900-01-00 00:0:00</v>
      </c>
      <c r="M1489" s="79">
        <f t="shared" si="1241"/>
        <v>0</v>
      </c>
      <c r="N1489">
        <f t="shared" si="1266"/>
        <v>1</v>
      </c>
      <c r="O1489" t="str">
        <f>IFERROR(_xlfn.XLOOKUP(A1489,HC!A:A,HC!C:C),"")</f>
        <v>Workforce</v>
      </c>
      <c r="R1489" s="78" t="b">
        <f t="shared" si="1242"/>
        <v>0</v>
      </c>
      <c r="S1489" s="78" t="b">
        <f t="shared" si="1243"/>
        <v>0</v>
      </c>
      <c r="T1489" s="78" t="b">
        <f t="shared" si="1244"/>
        <v>0</v>
      </c>
      <c r="U1489" s="78" t="b">
        <f t="shared" si="1245"/>
        <v>0</v>
      </c>
      <c r="V1489" s="78" t="b">
        <f t="shared" si="1246"/>
        <v>0</v>
      </c>
      <c r="W1489" s="78" t="b">
        <f t="shared" si="1247"/>
        <v>0</v>
      </c>
      <c r="X1489" s="78" t="b">
        <f t="shared" si="1248"/>
        <v>0</v>
      </c>
      <c r="Y1489" s="78" t="b">
        <f t="shared" si="1249"/>
        <v>0</v>
      </c>
      <c r="Z1489" s="78" t="b">
        <f t="shared" si="1250"/>
        <v>0</v>
      </c>
      <c r="AA1489" s="78" t="b">
        <f t="shared" si="1251"/>
        <v>0</v>
      </c>
      <c r="AB1489" s="78" t="b">
        <f t="shared" si="1252"/>
        <v>0</v>
      </c>
      <c r="AC1489" s="78" t="b">
        <f t="shared" si="1253"/>
        <v>0</v>
      </c>
      <c r="AD1489" s="78" t="b">
        <f t="shared" si="1254"/>
        <v>0</v>
      </c>
      <c r="AE1489" s="78" t="b">
        <f t="shared" si="1255"/>
        <v>0</v>
      </c>
      <c r="AF1489" s="78" t="b">
        <f t="shared" si="1256"/>
        <v>0</v>
      </c>
      <c r="AG1489" s="78" t="b">
        <f t="shared" si="1257"/>
        <v>0</v>
      </c>
      <c r="AH1489" s="78" t="b">
        <f t="shared" si="1258"/>
        <v>0</v>
      </c>
      <c r="AI1489" s="78" t="b">
        <f t="shared" si="1259"/>
        <v>0</v>
      </c>
      <c r="AJ1489" s="78" t="b">
        <f t="shared" si="1260"/>
        <v>0</v>
      </c>
      <c r="AK1489" s="78" t="b">
        <f t="shared" si="1261"/>
        <v>0</v>
      </c>
      <c r="AL1489" s="78" t="b">
        <f t="shared" si="1262"/>
        <v>0</v>
      </c>
      <c r="AM1489" s="78" t="b">
        <f t="shared" si="1263"/>
        <v>0</v>
      </c>
      <c r="AN1489" s="78" t="b">
        <f t="shared" si="1264"/>
        <v>0</v>
      </c>
      <c r="AO1489" s="78" t="b">
        <f t="shared" si="1265"/>
        <v>0</v>
      </c>
    </row>
    <row r="1490" spans="7:41" x14ac:dyDescent="0.35">
      <c r="G1490" s="77">
        <f t="shared" si="1235"/>
        <v>0</v>
      </c>
      <c r="H1490" s="78">
        <f t="shared" si="1236"/>
        <v>0</v>
      </c>
      <c r="I1490" s="77">
        <f t="shared" si="1237"/>
        <v>0</v>
      </c>
      <c r="J1490" s="78">
        <f t="shared" si="1238"/>
        <v>0</v>
      </c>
      <c r="K1490" s="78" t="str">
        <f t="shared" si="1239"/>
        <v>1900-01-00 00:0:00</v>
      </c>
      <c r="L1490" s="78" t="str">
        <f t="shared" si="1240"/>
        <v>1900-01-00 00:0:00</v>
      </c>
      <c r="M1490" s="79">
        <f t="shared" si="1241"/>
        <v>0</v>
      </c>
      <c r="N1490">
        <f t="shared" si="1266"/>
        <v>1</v>
      </c>
      <c r="O1490" t="str">
        <f>IFERROR(_xlfn.XLOOKUP(A1490,HC!A:A,HC!C:C),"")</f>
        <v>Workforce</v>
      </c>
      <c r="R1490" s="78" t="b">
        <f t="shared" si="1242"/>
        <v>0</v>
      </c>
      <c r="S1490" s="78" t="b">
        <f t="shared" si="1243"/>
        <v>0</v>
      </c>
      <c r="T1490" s="78" t="b">
        <f t="shared" si="1244"/>
        <v>0</v>
      </c>
      <c r="U1490" s="78" t="b">
        <f t="shared" si="1245"/>
        <v>0</v>
      </c>
      <c r="V1490" s="78" t="b">
        <f t="shared" si="1246"/>
        <v>0</v>
      </c>
      <c r="W1490" s="78" t="b">
        <f t="shared" si="1247"/>
        <v>0</v>
      </c>
      <c r="X1490" s="78" t="b">
        <f t="shared" si="1248"/>
        <v>0</v>
      </c>
      <c r="Y1490" s="78" t="b">
        <f t="shared" si="1249"/>
        <v>0</v>
      </c>
      <c r="Z1490" s="78" t="b">
        <f t="shared" si="1250"/>
        <v>0</v>
      </c>
      <c r="AA1490" s="78" t="b">
        <f t="shared" si="1251"/>
        <v>0</v>
      </c>
      <c r="AB1490" s="78" t="b">
        <f t="shared" si="1252"/>
        <v>0</v>
      </c>
      <c r="AC1490" s="78" t="b">
        <f t="shared" si="1253"/>
        <v>0</v>
      </c>
      <c r="AD1490" s="78" t="b">
        <f t="shared" si="1254"/>
        <v>0</v>
      </c>
      <c r="AE1490" s="78" t="b">
        <f t="shared" si="1255"/>
        <v>0</v>
      </c>
      <c r="AF1490" s="78" t="b">
        <f t="shared" si="1256"/>
        <v>0</v>
      </c>
      <c r="AG1490" s="78" t="b">
        <f t="shared" si="1257"/>
        <v>0</v>
      </c>
      <c r="AH1490" s="78" t="b">
        <f t="shared" si="1258"/>
        <v>0</v>
      </c>
      <c r="AI1490" s="78" t="b">
        <f t="shared" si="1259"/>
        <v>0</v>
      </c>
      <c r="AJ1490" s="78" t="b">
        <f t="shared" si="1260"/>
        <v>0</v>
      </c>
      <c r="AK1490" s="78" t="b">
        <f t="shared" si="1261"/>
        <v>0</v>
      </c>
      <c r="AL1490" s="78" t="b">
        <f t="shared" si="1262"/>
        <v>0</v>
      </c>
      <c r="AM1490" s="78" t="b">
        <f t="shared" si="1263"/>
        <v>0</v>
      </c>
      <c r="AN1490" s="78" t="b">
        <f t="shared" si="1264"/>
        <v>0</v>
      </c>
      <c r="AO1490" s="78" t="b">
        <f t="shared" si="1265"/>
        <v>0</v>
      </c>
    </row>
    <row r="1491" spans="7:41" x14ac:dyDescent="0.35">
      <c r="G1491" s="77">
        <f t="shared" si="1235"/>
        <v>0</v>
      </c>
      <c r="H1491" s="78">
        <f t="shared" si="1236"/>
        <v>0</v>
      </c>
      <c r="I1491" s="77">
        <f t="shared" si="1237"/>
        <v>0</v>
      </c>
      <c r="J1491" s="78">
        <f t="shared" si="1238"/>
        <v>0</v>
      </c>
      <c r="K1491" s="78" t="str">
        <f t="shared" si="1239"/>
        <v>1900-01-00 00:0:00</v>
      </c>
      <c r="L1491" s="78" t="str">
        <f t="shared" si="1240"/>
        <v>1900-01-00 00:0:00</v>
      </c>
      <c r="M1491" s="79">
        <f t="shared" si="1241"/>
        <v>0</v>
      </c>
      <c r="N1491">
        <f t="shared" si="1266"/>
        <v>1</v>
      </c>
      <c r="O1491" t="str">
        <f>IFERROR(_xlfn.XLOOKUP(A1491,HC!A:A,HC!C:C),"")</f>
        <v>Workforce</v>
      </c>
      <c r="R1491" s="78" t="b">
        <f t="shared" si="1242"/>
        <v>0</v>
      </c>
      <c r="S1491" s="78" t="b">
        <f t="shared" si="1243"/>
        <v>0</v>
      </c>
      <c r="T1491" s="78" t="b">
        <f t="shared" si="1244"/>
        <v>0</v>
      </c>
      <c r="U1491" s="78" t="b">
        <f t="shared" si="1245"/>
        <v>0</v>
      </c>
      <c r="V1491" s="78" t="b">
        <f t="shared" si="1246"/>
        <v>0</v>
      </c>
      <c r="W1491" s="78" t="b">
        <f t="shared" si="1247"/>
        <v>0</v>
      </c>
      <c r="X1491" s="78" t="b">
        <f t="shared" si="1248"/>
        <v>0</v>
      </c>
      <c r="Y1491" s="78" t="b">
        <f t="shared" si="1249"/>
        <v>0</v>
      </c>
      <c r="Z1491" s="78" t="b">
        <f t="shared" si="1250"/>
        <v>0</v>
      </c>
      <c r="AA1491" s="78" t="b">
        <f t="shared" si="1251"/>
        <v>0</v>
      </c>
      <c r="AB1491" s="78" t="b">
        <f t="shared" si="1252"/>
        <v>0</v>
      </c>
      <c r="AC1491" s="78" t="b">
        <f t="shared" si="1253"/>
        <v>0</v>
      </c>
      <c r="AD1491" s="78" t="b">
        <f t="shared" si="1254"/>
        <v>0</v>
      </c>
      <c r="AE1491" s="78" t="b">
        <f t="shared" si="1255"/>
        <v>0</v>
      </c>
      <c r="AF1491" s="78" t="b">
        <f t="shared" si="1256"/>
        <v>0</v>
      </c>
      <c r="AG1491" s="78" t="b">
        <f t="shared" si="1257"/>
        <v>0</v>
      </c>
      <c r="AH1491" s="78" t="b">
        <f t="shared" si="1258"/>
        <v>0</v>
      </c>
      <c r="AI1491" s="78" t="b">
        <f t="shared" si="1259"/>
        <v>0</v>
      </c>
      <c r="AJ1491" s="78" t="b">
        <f t="shared" si="1260"/>
        <v>0</v>
      </c>
      <c r="AK1491" s="78" t="b">
        <f t="shared" si="1261"/>
        <v>0</v>
      </c>
      <c r="AL1491" s="78" t="b">
        <f t="shared" si="1262"/>
        <v>0</v>
      </c>
      <c r="AM1491" s="78" t="b">
        <f t="shared" si="1263"/>
        <v>0</v>
      </c>
      <c r="AN1491" s="78" t="b">
        <f t="shared" si="1264"/>
        <v>0</v>
      </c>
      <c r="AO1491" s="78" t="b">
        <f t="shared" si="1265"/>
        <v>0</v>
      </c>
    </row>
    <row r="1492" spans="7:41" x14ac:dyDescent="0.35">
      <c r="G1492" s="77">
        <f t="shared" si="1235"/>
        <v>0</v>
      </c>
      <c r="H1492" s="78">
        <f t="shared" si="1236"/>
        <v>0</v>
      </c>
      <c r="I1492" s="77">
        <f t="shared" si="1237"/>
        <v>0</v>
      </c>
      <c r="J1492" s="78">
        <f t="shared" si="1238"/>
        <v>0</v>
      </c>
      <c r="K1492" s="78" t="str">
        <f t="shared" si="1239"/>
        <v>1900-01-00 00:0:00</v>
      </c>
      <c r="L1492" s="78" t="str">
        <f t="shared" si="1240"/>
        <v>1900-01-00 00:0:00</v>
      </c>
      <c r="M1492" s="79">
        <f t="shared" si="1241"/>
        <v>0</v>
      </c>
      <c r="N1492">
        <f t="shared" si="1266"/>
        <v>1</v>
      </c>
      <c r="O1492" t="str">
        <f>IFERROR(_xlfn.XLOOKUP(A1492,HC!A:A,HC!C:C),"")</f>
        <v>Workforce</v>
      </c>
      <c r="R1492" s="78" t="b">
        <f t="shared" si="1242"/>
        <v>0</v>
      </c>
      <c r="S1492" s="78" t="b">
        <f t="shared" si="1243"/>
        <v>0</v>
      </c>
      <c r="T1492" s="78" t="b">
        <f t="shared" si="1244"/>
        <v>0</v>
      </c>
      <c r="U1492" s="78" t="b">
        <f t="shared" si="1245"/>
        <v>0</v>
      </c>
      <c r="V1492" s="78" t="b">
        <f t="shared" si="1246"/>
        <v>0</v>
      </c>
      <c r="W1492" s="78" t="b">
        <f t="shared" si="1247"/>
        <v>0</v>
      </c>
      <c r="X1492" s="78" t="b">
        <f t="shared" si="1248"/>
        <v>0</v>
      </c>
      <c r="Y1492" s="78" t="b">
        <f t="shared" si="1249"/>
        <v>0</v>
      </c>
      <c r="Z1492" s="78" t="b">
        <f t="shared" si="1250"/>
        <v>0</v>
      </c>
      <c r="AA1492" s="78" t="b">
        <f t="shared" si="1251"/>
        <v>0</v>
      </c>
      <c r="AB1492" s="78" t="b">
        <f t="shared" si="1252"/>
        <v>0</v>
      </c>
      <c r="AC1492" s="78" t="b">
        <f t="shared" si="1253"/>
        <v>0</v>
      </c>
      <c r="AD1492" s="78" t="b">
        <f t="shared" si="1254"/>
        <v>0</v>
      </c>
      <c r="AE1492" s="78" t="b">
        <f t="shared" si="1255"/>
        <v>0</v>
      </c>
      <c r="AF1492" s="78" t="b">
        <f t="shared" si="1256"/>
        <v>0</v>
      </c>
      <c r="AG1492" s="78" t="b">
        <f t="shared" si="1257"/>
        <v>0</v>
      </c>
      <c r="AH1492" s="78" t="b">
        <f t="shared" si="1258"/>
        <v>0</v>
      </c>
      <c r="AI1492" s="78" t="b">
        <f t="shared" si="1259"/>
        <v>0</v>
      </c>
      <c r="AJ1492" s="78" t="b">
        <f t="shared" si="1260"/>
        <v>0</v>
      </c>
      <c r="AK1492" s="78" t="b">
        <f t="shared" si="1261"/>
        <v>0</v>
      </c>
      <c r="AL1492" s="78" t="b">
        <f t="shared" si="1262"/>
        <v>0</v>
      </c>
      <c r="AM1492" s="78" t="b">
        <f t="shared" si="1263"/>
        <v>0</v>
      </c>
      <c r="AN1492" s="78" t="b">
        <f t="shared" si="1264"/>
        <v>0</v>
      </c>
      <c r="AO1492" s="78" t="b">
        <f t="shared" si="1265"/>
        <v>0</v>
      </c>
    </row>
    <row r="1493" spans="7:41" x14ac:dyDescent="0.35">
      <c r="G1493" s="77">
        <f t="shared" si="1235"/>
        <v>0</v>
      </c>
      <c r="H1493" s="78">
        <f t="shared" si="1236"/>
        <v>0</v>
      </c>
      <c r="I1493" s="77">
        <f t="shared" si="1237"/>
        <v>0</v>
      </c>
      <c r="J1493" s="78">
        <f t="shared" si="1238"/>
        <v>0</v>
      </c>
      <c r="K1493" s="78" t="str">
        <f t="shared" si="1239"/>
        <v>1900-01-00 00:0:00</v>
      </c>
      <c r="L1493" s="78" t="str">
        <f t="shared" si="1240"/>
        <v>1900-01-00 00:0:00</v>
      </c>
      <c r="M1493" s="79">
        <f t="shared" si="1241"/>
        <v>0</v>
      </c>
      <c r="N1493">
        <f t="shared" si="1266"/>
        <v>1</v>
      </c>
      <c r="O1493" t="str">
        <f>IFERROR(_xlfn.XLOOKUP(A1493,HC!A:A,HC!C:C),"")</f>
        <v>Workforce</v>
      </c>
      <c r="R1493" s="78" t="b">
        <f t="shared" si="1242"/>
        <v>0</v>
      </c>
      <c r="S1493" s="78" t="b">
        <f t="shared" si="1243"/>
        <v>0</v>
      </c>
      <c r="T1493" s="78" t="b">
        <f t="shared" si="1244"/>
        <v>0</v>
      </c>
      <c r="U1493" s="78" t="b">
        <f t="shared" si="1245"/>
        <v>0</v>
      </c>
      <c r="V1493" s="78" t="b">
        <f t="shared" si="1246"/>
        <v>0</v>
      </c>
      <c r="W1493" s="78" t="b">
        <f t="shared" si="1247"/>
        <v>0</v>
      </c>
      <c r="X1493" s="78" t="b">
        <f t="shared" si="1248"/>
        <v>0</v>
      </c>
      <c r="Y1493" s="78" t="b">
        <f t="shared" si="1249"/>
        <v>0</v>
      </c>
      <c r="Z1493" s="78" t="b">
        <f t="shared" si="1250"/>
        <v>0</v>
      </c>
      <c r="AA1493" s="78" t="b">
        <f t="shared" si="1251"/>
        <v>0</v>
      </c>
      <c r="AB1493" s="78" t="b">
        <f t="shared" si="1252"/>
        <v>0</v>
      </c>
      <c r="AC1493" s="78" t="b">
        <f t="shared" si="1253"/>
        <v>0</v>
      </c>
      <c r="AD1493" s="78" t="b">
        <f t="shared" si="1254"/>
        <v>0</v>
      </c>
      <c r="AE1493" s="78" t="b">
        <f t="shared" si="1255"/>
        <v>0</v>
      </c>
      <c r="AF1493" s="78" t="b">
        <f t="shared" si="1256"/>
        <v>0</v>
      </c>
      <c r="AG1493" s="78" t="b">
        <f t="shared" si="1257"/>
        <v>0</v>
      </c>
      <c r="AH1493" s="78" t="b">
        <f t="shared" si="1258"/>
        <v>0</v>
      </c>
      <c r="AI1493" s="78" t="b">
        <f t="shared" si="1259"/>
        <v>0</v>
      </c>
      <c r="AJ1493" s="78" t="b">
        <f t="shared" si="1260"/>
        <v>0</v>
      </c>
      <c r="AK1493" s="78" t="b">
        <f t="shared" si="1261"/>
        <v>0</v>
      </c>
      <c r="AL1493" s="78" t="b">
        <f t="shared" si="1262"/>
        <v>0</v>
      </c>
      <c r="AM1493" s="78" t="b">
        <f t="shared" si="1263"/>
        <v>0</v>
      </c>
      <c r="AN1493" s="78" t="b">
        <f t="shared" si="1264"/>
        <v>0</v>
      </c>
      <c r="AO1493" s="78" t="b">
        <f t="shared" si="1265"/>
        <v>0</v>
      </c>
    </row>
    <row r="1494" spans="7:41" x14ac:dyDescent="0.35">
      <c r="G1494" s="77">
        <f t="shared" si="1235"/>
        <v>0</v>
      </c>
      <c r="H1494" s="78">
        <f t="shared" si="1236"/>
        <v>0</v>
      </c>
      <c r="I1494" s="77">
        <f t="shared" si="1237"/>
        <v>0</v>
      </c>
      <c r="J1494" s="78">
        <f t="shared" si="1238"/>
        <v>0</v>
      </c>
      <c r="K1494" s="78" t="str">
        <f t="shared" si="1239"/>
        <v>1900-01-00 00:0:00</v>
      </c>
      <c r="L1494" s="78" t="str">
        <f t="shared" si="1240"/>
        <v>1900-01-00 00:0:00</v>
      </c>
      <c r="M1494" s="79">
        <f t="shared" si="1241"/>
        <v>0</v>
      </c>
      <c r="N1494">
        <f t="shared" si="1266"/>
        <v>1</v>
      </c>
      <c r="O1494" t="str">
        <f>IFERROR(_xlfn.XLOOKUP(A1494,HC!A:A,HC!C:C),"")</f>
        <v>Workforce</v>
      </c>
      <c r="R1494" s="78" t="b">
        <f t="shared" si="1242"/>
        <v>0</v>
      </c>
      <c r="S1494" s="78" t="b">
        <f t="shared" si="1243"/>
        <v>0</v>
      </c>
      <c r="T1494" s="78" t="b">
        <f t="shared" si="1244"/>
        <v>0</v>
      </c>
      <c r="U1494" s="78" t="b">
        <f t="shared" si="1245"/>
        <v>0</v>
      </c>
      <c r="V1494" s="78" t="b">
        <f t="shared" si="1246"/>
        <v>0</v>
      </c>
      <c r="W1494" s="78" t="b">
        <f t="shared" si="1247"/>
        <v>0</v>
      </c>
      <c r="X1494" s="78" t="b">
        <f t="shared" si="1248"/>
        <v>0</v>
      </c>
      <c r="Y1494" s="78" t="b">
        <f t="shared" si="1249"/>
        <v>0</v>
      </c>
      <c r="Z1494" s="78" t="b">
        <f t="shared" si="1250"/>
        <v>0</v>
      </c>
      <c r="AA1494" s="78" t="b">
        <f t="shared" si="1251"/>
        <v>0</v>
      </c>
      <c r="AB1494" s="78" t="b">
        <f t="shared" si="1252"/>
        <v>0</v>
      </c>
      <c r="AC1494" s="78" t="b">
        <f t="shared" si="1253"/>
        <v>0</v>
      </c>
      <c r="AD1494" s="78" t="b">
        <f t="shared" si="1254"/>
        <v>0</v>
      </c>
      <c r="AE1494" s="78" t="b">
        <f t="shared" si="1255"/>
        <v>0</v>
      </c>
      <c r="AF1494" s="78" t="b">
        <f t="shared" si="1256"/>
        <v>0</v>
      </c>
      <c r="AG1494" s="78" t="b">
        <f t="shared" si="1257"/>
        <v>0</v>
      </c>
      <c r="AH1494" s="78" t="b">
        <f t="shared" si="1258"/>
        <v>0</v>
      </c>
      <c r="AI1494" s="78" t="b">
        <f t="shared" si="1259"/>
        <v>0</v>
      </c>
      <c r="AJ1494" s="78" t="b">
        <f t="shared" si="1260"/>
        <v>0</v>
      </c>
      <c r="AK1494" s="78" t="b">
        <f t="shared" si="1261"/>
        <v>0</v>
      </c>
      <c r="AL1494" s="78" t="b">
        <f t="shared" si="1262"/>
        <v>0</v>
      </c>
      <c r="AM1494" s="78" t="b">
        <f t="shared" si="1263"/>
        <v>0</v>
      </c>
      <c r="AN1494" s="78" t="b">
        <f t="shared" si="1264"/>
        <v>0</v>
      </c>
      <c r="AO1494" s="78" t="b">
        <f t="shared" si="1265"/>
        <v>0</v>
      </c>
    </row>
    <row r="1495" spans="7:41" x14ac:dyDescent="0.35">
      <c r="G1495" s="77">
        <f t="shared" si="1235"/>
        <v>0</v>
      </c>
      <c r="H1495" s="78">
        <f t="shared" si="1236"/>
        <v>0</v>
      </c>
      <c r="I1495" s="77">
        <f t="shared" si="1237"/>
        <v>0</v>
      </c>
      <c r="J1495" s="78">
        <f t="shared" si="1238"/>
        <v>0</v>
      </c>
      <c r="K1495" s="78" t="str">
        <f t="shared" si="1239"/>
        <v>1900-01-00 00:0:00</v>
      </c>
      <c r="L1495" s="78" t="str">
        <f t="shared" si="1240"/>
        <v>1900-01-00 00:0:00</v>
      </c>
      <c r="M1495" s="79">
        <f t="shared" si="1241"/>
        <v>0</v>
      </c>
      <c r="N1495">
        <f t="shared" si="1266"/>
        <v>1</v>
      </c>
      <c r="O1495" t="str">
        <f>IFERROR(_xlfn.XLOOKUP(A1495,HC!A:A,HC!C:C),"")</f>
        <v>Workforce</v>
      </c>
      <c r="R1495" s="78" t="b">
        <f t="shared" si="1242"/>
        <v>0</v>
      </c>
      <c r="S1495" s="78" t="b">
        <f t="shared" si="1243"/>
        <v>0</v>
      </c>
      <c r="T1495" s="78" t="b">
        <f t="shared" si="1244"/>
        <v>0</v>
      </c>
      <c r="U1495" s="78" t="b">
        <f t="shared" si="1245"/>
        <v>0</v>
      </c>
      <c r="V1495" s="78" t="b">
        <f t="shared" si="1246"/>
        <v>0</v>
      </c>
      <c r="W1495" s="78" t="b">
        <f t="shared" si="1247"/>
        <v>0</v>
      </c>
      <c r="X1495" s="78" t="b">
        <f t="shared" si="1248"/>
        <v>0</v>
      </c>
      <c r="Y1495" s="78" t="b">
        <f t="shared" si="1249"/>
        <v>0</v>
      </c>
      <c r="Z1495" s="78" t="b">
        <f t="shared" si="1250"/>
        <v>0</v>
      </c>
      <c r="AA1495" s="78" t="b">
        <f t="shared" si="1251"/>
        <v>0</v>
      </c>
      <c r="AB1495" s="78" t="b">
        <f t="shared" si="1252"/>
        <v>0</v>
      </c>
      <c r="AC1495" s="78" t="b">
        <f t="shared" si="1253"/>
        <v>0</v>
      </c>
      <c r="AD1495" s="78" t="b">
        <f t="shared" si="1254"/>
        <v>0</v>
      </c>
      <c r="AE1495" s="78" t="b">
        <f t="shared" si="1255"/>
        <v>0</v>
      </c>
      <c r="AF1495" s="78" t="b">
        <f t="shared" si="1256"/>
        <v>0</v>
      </c>
      <c r="AG1495" s="78" t="b">
        <f t="shared" si="1257"/>
        <v>0</v>
      </c>
      <c r="AH1495" s="78" t="b">
        <f t="shared" si="1258"/>
        <v>0</v>
      </c>
      <c r="AI1495" s="78" t="b">
        <f t="shared" si="1259"/>
        <v>0</v>
      </c>
      <c r="AJ1495" s="78" t="b">
        <f t="shared" si="1260"/>
        <v>0</v>
      </c>
      <c r="AK1495" s="78" t="b">
        <f t="shared" si="1261"/>
        <v>0</v>
      </c>
      <c r="AL1495" s="78" t="b">
        <f t="shared" si="1262"/>
        <v>0</v>
      </c>
      <c r="AM1495" s="78" t="b">
        <f t="shared" si="1263"/>
        <v>0</v>
      </c>
      <c r="AN1495" s="78" t="b">
        <f t="shared" si="1264"/>
        <v>0</v>
      </c>
      <c r="AO1495" s="78" t="b">
        <f t="shared" si="1265"/>
        <v>0</v>
      </c>
    </row>
    <row r="1496" spans="7:41" x14ac:dyDescent="0.35">
      <c r="G1496" s="77">
        <f t="shared" si="1235"/>
        <v>0</v>
      </c>
      <c r="H1496" s="78">
        <f t="shared" si="1236"/>
        <v>0</v>
      </c>
      <c r="I1496" s="77">
        <f t="shared" si="1237"/>
        <v>0</v>
      </c>
      <c r="J1496" s="78">
        <f t="shared" si="1238"/>
        <v>0</v>
      </c>
      <c r="K1496" s="78" t="str">
        <f t="shared" si="1239"/>
        <v>1900-01-00 00:0:00</v>
      </c>
      <c r="L1496" s="78" t="str">
        <f t="shared" si="1240"/>
        <v>1900-01-00 00:0:00</v>
      </c>
      <c r="M1496" s="79">
        <f t="shared" si="1241"/>
        <v>0</v>
      </c>
      <c r="N1496">
        <f t="shared" si="1266"/>
        <v>1</v>
      </c>
      <c r="O1496" t="str">
        <f>IFERROR(_xlfn.XLOOKUP(A1496,HC!A:A,HC!C:C),"")</f>
        <v>Workforce</v>
      </c>
      <c r="R1496" s="78" t="b">
        <f t="shared" si="1242"/>
        <v>0</v>
      </c>
      <c r="S1496" s="78" t="b">
        <f t="shared" si="1243"/>
        <v>0</v>
      </c>
      <c r="T1496" s="78" t="b">
        <f t="shared" si="1244"/>
        <v>0</v>
      </c>
      <c r="U1496" s="78" t="b">
        <f t="shared" si="1245"/>
        <v>0</v>
      </c>
      <c r="V1496" s="78" t="b">
        <f t="shared" si="1246"/>
        <v>0</v>
      </c>
      <c r="W1496" s="78" t="b">
        <f t="shared" si="1247"/>
        <v>0</v>
      </c>
      <c r="X1496" s="78" t="b">
        <f t="shared" si="1248"/>
        <v>0</v>
      </c>
      <c r="Y1496" s="78" t="b">
        <f t="shared" si="1249"/>
        <v>0</v>
      </c>
      <c r="Z1496" s="78" t="b">
        <f t="shared" si="1250"/>
        <v>0</v>
      </c>
      <c r="AA1496" s="78" t="b">
        <f t="shared" si="1251"/>
        <v>0</v>
      </c>
      <c r="AB1496" s="78" t="b">
        <f t="shared" si="1252"/>
        <v>0</v>
      </c>
      <c r="AC1496" s="78" t="b">
        <f t="shared" si="1253"/>
        <v>0</v>
      </c>
      <c r="AD1496" s="78" t="b">
        <f t="shared" si="1254"/>
        <v>0</v>
      </c>
      <c r="AE1496" s="78" t="b">
        <f t="shared" si="1255"/>
        <v>0</v>
      </c>
      <c r="AF1496" s="78" t="b">
        <f t="shared" si="1256"/>
        <v>0</v>
      </c>
      <c r="AG1496" s="78" t="b">
        <f t="shared" si="1257"/>
        <v>0</v>
      </c>
      <c r="AH1496" s="78" t="b">
        <f t="shared" si="1258"/>
        <v>0</v>
      </c>
      <c r="AI1496" s="78" t="b">
        <f t="shared" si="1259"/>
        <v>0</v>
      </c>
      <c r="AJ1496" s="78" t="b">
        <f t="shared" si="1260"/>
        <v>0</v>
      </c>
      <c r="AK1496" s="78" t="b">
        <f t="shared" si="1261"/>
        <v>0</v>
      </c>
      <c r="AL1496" s="78" t="b">
        <f t="shared" si="1262"/>
        <v>0</v>
      </c>
      <c r="AM1496" s="78" t="b">
        <f t="shared" si="1263"/>
        <v>0</v>
      </c>
      <c r="AN1496" s="78" t="b">
        <f t="shared" si="1264"/>
        <v>0</v>
      </c>
      <c r="AO1496" s="78" t="b">
        <f t="shared" si="1265"/>
        <v>0</v>
      </c>
    </row>
    <row r="1497" spans="7:41" x14ac:dyDescent="0.35">
      <c r="G1497" s="77">
        <f t="shared" si="1235"/>
        <v>0</v>
      </c>
      <c r="H1497" s="78">
        <f t="shared" si="1236"/>
        <v>0</v>
      </c>
      <c r="I1497" s="77">
        <f t="shared" si="1237"/>
        <v>0</v>
      </c>
      <c r="J1497" s="78">
        <f t="shared" si="1238"/>
        <v>0</v>
      </c>
      <c r="K1497" s="78" t="str">
        <f t="shared" si="1239"/>
        <v>1900-01-00 00:0:00</v>
      </c>
      <c r="L1497" s="78" t="str">
        <f t="shared" si="1240"/>
        <v>1900-01-00 00:0:00</v>
      </c>
      <c r="M1497" s="79">
        <f t="shared" si="1241"/>
        <v>0</v>
      </c>
      <c r="N1497">
        <f t="shared" si="1266"/>
        <v>1</v>
      </c>
      <c r="O1497" t="str">
        <f>IFERROR(_xlfn.XLOOKUP(A1497,HC!A:A,HC!C:C),"")</f>
        <v>Workforce</v>
      </c>
      <c r="R1497" s="78" t="b">
        <f t="shared" si="1242"/>
        <v>0</v>
      </c>
      <c r="S1497" s="78" t="b">
        <f t="shared" si="1243"/>
        <v>0</v>
      </c>
      <c r="T1497" s="78" t="b">
        <f t="shared" si="1244"/>
        <v>0</v>
      </c>
      <c r="U1497" s="78" t="b">
        <f t="shared" si="1245"/>
        <v>0</v>
      </c>
      <c r="V1497" s="78" t="b">
        <f t="shared" si="1246"/>
        <v>0</v>
      </c>
      <c r="W1497" s="78" t="b">
        <f t="shared" si="1247"/>
        <v>0</v>
      </c>
      <c r="X1497" s="78" t="b">
        <f t="shared" si="1248"/>
        <v>0</v>
      </c>
      <c r="Y1497" s="78" t="b">
        <f t="shared" si="1249"/>
        <v>0</v>
      </c>
      <c r="Z1497" s="78" t="b">
        <f t="shared" si="1250"/>
        <v>0</v>
      </c>
      <c r="AA1497" s="78" t="b">
        <f t="shared" si="1251"/>
        <v>0</v>
      </c>
      <c r="AB1497" s="78" t="b">
        <f t="shared" si="1252"/>
        <v>0</v>
      </c>
      <c r="AC1497" s="78" t="b">
        <f t="shared" si="1253"/>
        <v>0</v>
      </c>
      <c r="AD1497" s="78" t="b">
        <f t="shared" si="1254"/>
        <v>0</v>
      </c>
      <c r="AE1497" s="78" t="b">
        <f t="shared" si="1255"/>
        <v>0</v>
      </c>
      <c r="AF1497" s="78" t="b">
        <f t="shared" si="1256"/>
        <v>0</v>
      </c>
      <c r="AG1497" s="78" t="b">
        <f t="shared" si="1257"/>
        <v>0</v>
      </c>
      <c r="AH1497" s="78" t="b">
        <f t="shared" si="1258"/>
        <v>0</v>
      </c>
      <c r="AI1497" s="78" t="b">
        <f t="shared" si="1259"/>
        <v>0</v>
      </c>
      <c r="AJ1497" s="78" t="b">
        <f t="shared" si="1260"/>
        <v>0</v>
      </c>
      <c r="AK1497" s="78" t="b">
        <f t="shared" si="1261"/>
        <v>0</v>
      </c>
      <c r="AL1497" s="78" t="b">
        <f t="shared" si="1262"/>
        <v>0</v>
      </c>
      <c r="AM1497" s="78" t="b">
        <f t="shared" si="1263"/>
        <v>0</v>
      </c>
      <c r="AN1497" s="78" t="b">
        <f t="shared" si="1264"/>
        <v>0</v>
      </c>
      <c r="AO1497" s="78" t="b">
        <f t="shared" si="1265"/>
        <v>0</v>
      </c>
    </row>
    <row r="1498" spans="7:41" x14ac:dyDescent="0.35">
      <c r="G1498" s="77">
        <f t="shared" si="1235"/>
        <v>0</v>
      </c>
      <c r="H1498" s="78">
        <f t="shared" si="1236"/>
        <v>0</v>
      </c>
      <c r="I1498" s="77">
        <f t="shared" si="1237"/>
        <v>0</v>
      </c>
      <c r="J1498" s="78">
        <f t="shared" si="1238"/>
        <v>0</v>
      </c>
      <c r="K1498" s="78" t="str">
        <f t="shared" si="1239"/>
        <v>1900-01-00 00:0:00</v>
      </c>
      <c r="L1498" s="78" t="str">
        <f t="shared" si="1240"/>
        <v>1900-01-00 00:0:00</v>
      </c>
      <c r="M1498" s="79">
        <f t="shared" si="1241"/>
        <v>0</v>
      </c>
      <c r="N1498">
        <f t="shared" si="1266"/>
        <v>1</v>
      </c>
      <c r="O1498" t="str">
        <f>IFERROR(_xlfn.XLOOKUP(A1498,HC!A:A,HC!C:C),"")</f>
        <v>Workforce</v>
      </c>
      <c r="R1498" s="78" t="b">
        <f t="shared" si="1242"/>
        <v>0</v>
      </c>
      <c r="S1498" s="78" t="b">
        <f t="shared" si="1243"/>
        <v>0</v>
      </c>
      <c r="T1498" s="78" t="b">
        <f t="shared" si="1244"/>
        <v>0</v>
      </c>
      <c r="U1498" s="78" t="b">
        <f t="shared" si="1245"/>
        <v>0</v>
      </c>
      <c r="V1498" s="78" t="b">
        <f t="shared" si="1246"/>
        <v>0</v>
      </c>
      <c r="W1498" s="78" t="b">
        <f t="shared" si="1247"/>
        <v>0</v>
      </c>
      <c r="X1498" s="78" t="b">
        <f t="shared" si="1248"/>
        <v>0</v>
      </c>
      <c r="Y1498" s="78" t="b">
        <f t="shared" si="1249"/>
        <v>0</v>
      </c>
      <c r="Z1498" s="78" t="b">
        <f t="shared" si="1250"/>
        <v>0</v>
      </c>
      <c r="AA1498" s="78" t="b">
        <f t="shared" si="1251"/>
        <v>0</v>
      </c>
      <c r="AB1498" s="78" t="b">
        <f t="shared" si="1252"/>
        <v>0</v>
      </c>
      <c r="AC1498" s="78" t="b">
        <f t="shared" si="1253"/>
        <v>0</v>
      </c>
      <c r="AD1498" s="78" t="b">
        <f t="shared" si="1254"/>
        <v>0</v>
      </c>
      <c r="AE1498" s="78" t="b">
        <f t="shared" si="1255"/>
        <v>0</v>
      </c>
      <c r="AF1498" s="78" t="b">
        <f t="shared" si="1256"/>
        <v>0</v>
      </c>
      <c r="AG1498" s="78" t="b">
        <f t="shared" si="1257"/>
        <v>0</v>
      </c>
      <c r="AH1498" s="78" t="b">
        <f t="shared" si="1258"/>
        <v>0</v>
      </c>
      <c r="AI1498" s="78" t="b">
        <f t="shared" si="1259"/>
        <v>0</v>
      </c>
      <c r="AJ1498" s="78" t="b">
        <f t="shared" si="1260"/>
        <v>0</v>
      </c>
      <c r="AK1498" s="78" t="b">
        <f t="shared" si="1261"/>
        <v>0</v>
      </c>
      <c r="AL1498" s="78" t="b">
        <f t="shared" si="1262"/>
        <v>0</v>
      </c>
      <c r="AM1498" s="78" t="b">
        <f t="shared" si="1263"/>
        <v>0</v>
      </c>
      <c r="AN1498" s="78" t="b">
        <f t="shared" si="1264"/>
        <v>0</v>
      </c>
      <c r="AO1498" s="78" t="b">
        <f t="shared" si="1265"/>
        <v>0</v>
      </c>
    </row>
    <row r="1499" spans="7:41" x14ac:dyDescent="0.35">
      <c r="G1499" s="77">
        <f t="shared" si="1235"/>
        <v>0</v>
      </c>
      <c r="H1499" s="78">
        <f t="shared" si="1236"/>
        <v>0</v>
      </c>
      <c r="I1499" s="77">
        <f t="shared" si="1237"/>
        <v>0</v>
      </c>
      <c r="J1499" s="78">
        <f t="shared" si="1238"/>
        <v>0</v>
      </c>
      <c r="K1499" s="78" t="str">
        <f t="shared" si="1239"/>
        <v>1900-01-00 00:0:00</v>
      </c>
      <c r="L1499" s="78" t="str">
        <f t="shared" si="1240"/>
        <v>1900-01-00 00:0:00</v>
      </c>
      <c r="M1499" s="79">
        <f t="shared" si="1241"/>
        <v>0</v>
      </c>
      <c r="N1499">
        <f t="shared" si="1266"/>
        <v>1</v>
      </c>
      <c r="O1499" t="str">
        <f>IFERROR(_xlfn.XLOOKUP(A1499,HC!A:A,HC!C:C),"")</f>
        <v>Workforce</v>
      </c>
      <c r="R1499" s="78" t="b">
        <f t="shared" si="1242"/>
        <v>0</v>
      </c>
      <c r="S1499" s="78" t="b">
        <f t="shared" si="1243"/>
        <v>0</v>
      </c>
      <c r="T1499" s="78" t="b">
        <f t="shared" si="1244"/>
        <v>0</v>
      </c>
      <c r="U1499" s="78" t="b">
        <f t="shared" si="1245"/>
        <v>0</v>
      </c>
      <c r="V1499" s="78" t="b">
        <f t="shared" si="1246"/>
        <v>0</v>
      </c>
      <c r="W1499" s="78" t="b">
        <f t="shared" si="1247"/>
        <v>0</v>
      </c>
      <c r="X1499" s="78" t="b">
        <f t="shared" si="1248"/>
        <v>0</v>
      </c>
      <c r="Y1499" s="78" t="b">
        <f t="shared" si="1249"/>
        <v>0</v>
      </c>
      <c r="Z1499" s="78" t="b">
        <f t="shared" si="1250"/>
        <v>0</v>
      </c>
      <c r="AA1499" s="78" t="b">
        <f t="shared" si="1251"/>
        <v>0</v>
      </c>
      <c r="AB1499" s="78" t="b">
        <f t="shared" si="1252"/>
        <v>0</v>
      </c>
      <c r="AC1499" s="78" t="b">
        <f t="shared" si="1253"/>
        <v>0</v>
      </c>
      <c r="AD1499" s="78" t="b">
        <f t="shared" si="1254"/>
        <v>0</v>
      </c>
      <c r="AE1499" s="78" t="b">
        <f t="shared" si="1255"/>
        <v>0</v>
      </c>
      <c r="AF1499" s="78" t="b">
        <f t="shared" si="1256"/>
        <v>0</v>
      </c>
      <c r="AG1499" s="78" t="b">
        <f t="shared" si="1257"/>
        <v>0</v>
      </c>
      <c r="AH1499" s="78" t="b">
        <f t="shared" si="1258"/>
        <v>0</v>
      </c>
      <c r="AI1499" s="78" t="b">
        <f t="shared" si="1259"/>
        <v>0</v>
      </c>
      <c r="AJ1499" s="78" t="b">
        <f t="shared" si="1260"/>
        <v>0</v>
      </c>
      <c r="AK1499" s="78" t="b">
        <f t="shared" si="1261"/>
        <v>0</v>
      </c>
      <c r="AL1499" s="78" t="b">
        <f t="shared" si="1262"/>
        <v>0</v>
      </c>
      <c r="AM1499" s="78" t="b">
        <f t="shared" si="1263"/>
        <v>0</v>
      </c>
      <c r="AN1499" s="78" t="b">
        <f t="shared" si="1264"/>
        <v>0</v>
      </c>
      <c r="AO1499" s="78" t="b">
        <f t="shared" si="1265"/>
        <v>0</v>
      </c>
    </row>
    <row r="1500" spans="7:41" x14ac:dyDescent="0.35">
      <c r="G1500" s="77">
        <f t="shared" si="1235"/>
        <v>0</v>
      </c>
      <c r="H1500" s="78">
        <f t="shared" si="1236"/>
        <v>0</v>
      </c>
      <c r="I1500" s="77">
        <f t="shared" si="1237"/>
        <v>0</v>
      </c>
      <c r="J1500" s="78">
        <f t="shared" si="1238"/>
        <v>0</v>
      </c>
      <c r="K1500" s="78" t="str">
        <f t="shared" si="1239"/>
        <v>1900-01-00 00:0:00</v>
      </c>
      <c r="L1500" s="78" t="str">
        <f t="shared" si="1240"/>
        <v>1900-01-00 00:0:00</v>
      </c>
      <c r="M1500" s="79">
        <f t="shared" si="1241"/>
        <v>0</v>
      </c>
      <c r="N1500">
        <f t="shared" si="1266"/>
        <v>1</v>
      </c>
      <c r="O1500" t="str">
        <f>IFERROR(_xlfn.XLOOKUP(A1500,HC!A:A,HC!C:C),"")</f>
        <v>Workforce</v>
      </c>
      <c r="R1500" s="78" t="b">
        <f t="shared" si="1242"/>
        <v>0</v>
      </c>
      <c r="S1500" s="78" t="b">
        <f t="shared" si="1243"/>
        <v>0</v>
      </c>
      <c r="T1500" s="78" t="b">
        <f t="shared" si="1244"/>
        <v>0</v>
      </c>
      <c r="U1500" s="78" t="b">
        <f t="shared" si="1245"/>
        <v>0</v>
      </c>
      <c r="V1500" s="78" t="b">
        <f t="shared" si="1246"/>
        <v>0</v>
      </c>
      <c r="W1500" s="78" t="b">
        <f t="shared" si="1247"/>
        <v>0</v>
      </c>
      <c r="X1500" s="78" t="b">
        <f t="shared" si="1248"/>
        <v>0</v>
      </c>
      <c r="Y1500" s="78" t="b">
        <f t="shared" si="1249"/>
        <v>0</v>
      </c>
      <c r="Z1500" s="78" t="b">
        <f t="shared" si="1250"/>
        <v>0</v>
      </c>
      <c r="AA1500" s="78" t="b">
        <f t="shared" si="1251"/>
        <v>0</v>
      </c>
      <c r="AB1500" s="78" t="b">
        <f t="shared" si="1252"/>
        <v>0</v>
      </c>
      <c r="AC1500" s="78" t="b">
        <f t="shared" si="1253"/>
        <v>0</v>
      </c>
      <c r="AD1500" s="78" t="b">
        <f t="shared" si="1254"/>
        <v>0</v>
      </c>
      <c r="AE1500" s="78" t="b">
        <f t="shared" si="1255"/>
        <v>0</v>
      </c>
      <c r="AF1500" s="78" t="b">
        <f t="shared" si="1256"/>
        <v>0</v>
      </c>
      <c r="AG1500" s="78" t="b">
        <f t="shared" si="1257"/>
        <v>0</v>
      </c>
      <c r="AH1500" s="78" t="b">
        <f t="shared" si="1258"/>
        <v>0</v>
      </c>
      <c r="AI1500" s="78" t="b">
        <f t="shared" si="1259"/>
        <v>0</v>
      </c>
      <c r="AJ1500" s="78" t="b">
        <f t="shared" si="1260"/>
        <v>0</v>
      </c>
      <c r="AK1500" s="78" t="b">
        <f t="shared" si="1261"/>
        <v>0</v>
      </c>
      <c r="AL1500" s="78" t="b">
        <f t="shared" si="1262"/>
        <v>0</v>
      </c>
      <c r="AM1500" s="78" t="b">
        <f t="shared" si="1263"/>
        <v>0</v>
      </c>
      <c r="AN1500" s="78" t="b">
        <f t="shared" si="1264"/>
        <v>0</v>
      </c>
      <c r="AO1500" s="78" t="b">
        <f t="shared" si="1265"/>
        <v>0</v>
      </c>
    </row>
    <row r="1501" spans="7:41" x14ac:dyDescent="0.35">
      <c r="G1501" s="77">
        <f t="shared" si="1235"/>
        <v>0</v>
      </c>
      <c r="H1501" s="78">
        <f t="shared" si="1236"/>
        <v>0</v>
      </c>
      <c r="I1501" s="77">
        <f t="shared" si="1237"/>
        <v>0</v>
      </c>
      <c r="J1501" s="78">
        <f t="shared" si="1238"/>
        <v>0</v>
      </c>
      <c r="K1501" s="78" t="str">
        <f t="shared" si="1239"/>
        <v>1900-01-00 00:0:00</v>
      </c>
      <c r="L1501" s="78" t="str">
        <f t="shared" si="1240"/>
        <v>1900-01-00 00:0:00</v>
      </c>
      <c r="M1501" s="79">
        <f t="shared" si="1241"/>
        <v>0</v>
      </c>
      <c r="N1501">
        <f t="shared" si="1266"/>
        <v>1</v>
      </c>
      <c r="O1501" t="str">
        <f>IFERROR(_xlfn.XLOOKUP(A1501,HC!A:A,HC!C:C),"")</f>
        <v>Workforce</v>
      </c>
      <c r="R1501" s="78" t="b">
        <f t="shared" si="1242"/>
        <v>0</v>
      </c>
      <c r="S1501" s="78" t="b">
        <f t="shared" si="1243"/>
        <v>0</v>
      </c>
      <c r="T1501" s="78" t="b">
        <f t="shared" si="1244"/>
        <v>0</v>
      </c>
      <c r="U1501" s="78" t="b">
        <f t="shared" si="1245"/>
        <v>0</v>
      </c>
      <c r="V1501" s="78" t="b">
        <f t="shared" si="1246"/>
        <v>0</v>
      </c>
      <c r="W1501" s="78" t="b">
        <f t="shared" si="1247"/>
        <v>0</v>
      </c>
      <c r="X1501" s="78" t="b">
        <f t="shared" si="1248"/>
        <v>0</v>
      </c>
      <c r="Y1501" s="78" t="b">
        <f t="shared" si="1249"/>
        <v>0</v>
      </c>
      <c r="Z1501" s="78" t="b">
        <f t="shared" si="1250"/>
        <v>0</v>
      </c>
      <c r="AA1501" s="78" t="b">
        <f t="shared" si="1251"/>
        <v>0</v>
      </c>
      <c r="AB1501" s="78" t="b">
        <f t="shared" si="1252"/>
        <v>0</v>
      </c>
      <c r="AC1501" s="78" t="b">
        <f t="shared" si="1253"/>
        <v>0</v>
      </c>
      <c r="AD1501" s="78" t="b">
        <f t="shared" si="1254"/>
        <v>0</v>
      </c>
      <c r="AE1501" s="78" t="b">
        <f t="shared" si="1255"/>
        <v>0</v>
      </c>
      <c r="AF1501" s="78" t="b">
        <f t="shared" si="1256"/>
        <v>0</v>
      </c>
      <c r="AG1501" s="78" t="b">
        <f t="shared" si="1257"/>
        <v>0</v>
      </c>
      <c r="AH1501" s="78" t="b">
        <f t="shared" si="1258"/>
        <v>0</v>
      </c>
      <c r="AI1501" s="78" t="b">
        <f t="shared" si="1259"/>
        <v>0</v>
      </c>
      <c r="AJ1501" s="78" t="b">
        <f t="shared" si="1260"/>
        <v>0</v>
      </c>
      <c r="AK1501" s="78" t="b">
        <f t="shared" si="1261"/>
        <v>0</v>
      </c>
      <c r="AL1501" s="78" t="b">
        <f t="shared" si="1262"/>
        <v>0</v>
      </c>
      <c r="AM1501" s="78" t="b">
        <f t="shared" si="1263"/>
        <v>0</v>
      </c>
      <c r="AN1501" s="78" t="b">
        <f t="shared" si="1264"/>
        <v>0</v>
      </c>
      <c r="AO1501" s="78" t="b">
        <f t="shared" si="1265"/>
        <v>0</v>
      </c>
    </row>
    <row r="1502" spans="7:41" x14ac:dyDescent="0.35">
      <c r="G1502" s="77">
        <f t="shared" si="1235"/>
        <v>0</v>
      </c>
      <c r="H1502" s="78">
        <f t="shared" si="1236"/>
        <v>0</v>
      </c>
      <c r="I1502" s="77">
        <f t="shared" si="1237"/>
        <v>0</v>
      </c>
      <c r="J1502" s="78">
        <f t="shared" si="1238"/>
        <v>0</v>
      </c>
      <c r="K1502" s="78" t="str">
        <f t="shared" si="1239"/>
        <v>1900-01-00 00:0:00</v>
      </c>
      <c r="L1502" s="78" t="str">
        <f t="shared" si="1240"/>
        <v>1900-01-00 00:0:00</v>
      </c>
      <c r="M1502" s="79">
        <f t="shared" si="1241"/>
        <v>0</v>
      </c>
      <c r="N1502">
        <f t="shared" si="1266"/>
        <v>1</v>
      </c>
      <c r="O1502" t="str">
        <f>IFERROR(_xlfn.XLOOKUP(A1502,HC!A:A,HC!C:C),"")</f>
        <v>Workforce</v>
      </c>
      <c r="R1502" s="78" t="b">
        <f t="shared" si="1242"/>
        <v>0</v>
      </c>
      <c r="S1502" s="78" t="b">
        <f t="shared" si="1243"/>
        <v>0</v>
      </c>
      <c r="T1502" s="78" t="b">
        <f t="shared" si="1244"/>
        <v>0</v>
      </c>
      <c r="U1502" s="78" t="b">
        <f t="shared" si="1245"/>
        <v>0</v>
      </c>
      <c r="V1502" s="78" t="b">
        <f t="shared" si="1246"/>
        <v>0</v>
      </c>
      <c r="W1502" s="78" t="b">
        <f t="shared" si="1247"/>
        <v>0</v>
      </c>
      <c r="X1502" s="78" t="b">
        <f t="shared" si="1248"/>
        <v>0</v>
      </c>
      <c r="Y1502" s="78" t="b">
        <f t="shared" si="1249"/>
        <v>0</v>
      </c>
      <c r="Z1502" s="78" t="b">
        <f t="shared" si="1250"/>
        <v>0</v>
      </c>
      <c r="AA1502" s="78" t="b">
        <f t="shared" si="1251"/>
        <v>0</v>
      </c>
      <c r="AB1502" s="78" t="b">
        <f t="shared" si="1252"/>
        <v>0</v>
      </c>
      <c r="AC1502" s="78" t="b">
        <f t="shared" si="1253"/>
        <v>0</v>
      </c>
      <c r="AD1502" s="78" t="b">
        <f t="shared" si="1254"/>
        <v>0</v>
      </c>
      <c r="AE1502" s="78" t="b">
        <f t="shared" si="1255"/>
        <v>0</v>
      </c>
      <c r="AF1502" s="78" t="b">
        <f t="shared" si="1256"/>
        <v>0</v>
      </c>
      <c r="AG1502" s="78" t="b">
        <f t="shared" si="1257"/>
        <v>0</v>
      </c>
      <c r="AH1502" s="78" t="b">
        <f t="shared" si="1258"/>
        <v>0</v>
      </c>
      <c r="AI1502" s="78" t="b">
        <f t="shared" si="1259"/>
        <v>0</v>
      </c>
      <c r="AJ1502" s="78" t="b">
        <f t="shared" si="1260"/>
        <v>0</v>
      </c>
      <c r="AK1502" s="78" t="b">
        <f t="shared" si="1261"/>
        <v>0</v>
      </c>
      <c r="AL1502" s="78" t="b">
        <f t="shared" si="1262"/>
        <v>0</v>
      </c>
      <c r="AM1502" s="78" t="b">
        <f t="shared" si="1263"/>
        <v>0</v>
      </c>
      <c r="AN1502" s="78" t="b">
        <f t="shared" si="1264"/>
        <v>0</v>
      </c>
      <c r="AO1502" s="78" t="b">
        <f t="shared" si="1265"/>
        <v>0</v>
      </c>
    </row>
    <row r="1503" spans="7:41" x14ac:dyDescent="0.35">
      <c r="G1503" s="77">
        <f t="shared" si="1235"/>
        <v>0</v>
      </c>
      <c r="H1503" s="78">
        <f t="shared" si="1236"/>
        <v>0</v>
      </c>
      <c r="I1503" s="77">
        <f t="shared" si="1237"/>
        <v>0</v>
      </c>
      <c r="J1503" s="78">
        <f t="shared" si="1238"/>
        <v>0</v>
      </c>
      <c r="K1503" s="78" t="str">
        <f t="shared" si="1239"/>
        <v>1900-01-00 00:0:00</v>
      </c>
      <c r="L1503" s="78" t="str">
        <f t="shared" si="1240"/>
        <v>1900-01-00 00:0:00</v>
      </c>
      <c r="M1503" s="79">
        <f t="shared" si="1241"/>
        <v>0</v>
      </c>
      <c r="N1503">
        <f t="shared" si="1266"/>
        <v>1</v>
      </c>
      <c r="O1503" t="str">
        <f>IFERROR(_xlfn.XLOOKUP(A1503,HC!A:A,HC!C:C),"")</f>
        <v>Workforce</v>
      </c>
      <c r="R1503" s="78" t="b">
        <f t="shared" si="1242"/>
        <v>0</v>
      </c>
      <c r="S1503" s="78" t="b">
        <f t="shared" si="1243"/>
        <v>0</v>
      </c>
      <c r="T1503" s="78" t="b">
        <f t="shared" si="1244"/>
        <v>0</v>
      </c>
      <c r="U1503" s="78" t="b">
        <f t="shared" si="1245"/>
        <v>0</v>
      </c>
      <c r="V1503" s="78" t="b">
        <f t="shared" si="1246"/>
        <v>0</v>
      </c>
      <c r="W1503" s="78" t="b">
        <f t="shared" si="1247"/>
        <v>0</v>
      </c>
      <c r="X1503" s="78" t="b">
        <f t="shared" si="1248"/>
        <v>0</v>
      </c>
      <c r="Y1503" s="78" t="b">
        <f t="shared" si="1249"/>
        <v>0</v>
      </c>
      <c r="Z1503" s="78" t="b">
        <f t="shared" si="1250"/>
        <v>0</v>
      </c>
      <c r="AA1503" s="78" t="b">
        <f t="shared" si="1251"/>
        <v>0</v>
      </c>
      <c r="AB1503" s="78" t="b">
        <f t="shared" si="1252"/>
        <v>0</v>
      </c>
      <c r="AC1503" s="78" t="b">
        <f t="shared" si="1253"/>
        <v>0</v>
      </c>
      <c r="AD1503" s="78" t="b">
        <f t="shared" si="1254"/>
        <v>0</v>
      </c>
      <c r="AE1503" s="78" t="b">
        <f t="shared" si="1255"/>
        <v>0</v>
      </c>
      <c r="AF1503" s="78" t="b">
        <f t="shared" si="1256"/>
        <v>0</v>
      </c>
      <c r="AG1503" s="78" t="b">
        <f t="shared" si="1257"/>
        <v>0</v>
      </c>
      <c r="AH1503" s="78" t="b">
        <f t="shared" si="1258"/>
        <v>0</v>
      </c>
      <c r="AI1503" s="78" t="b">
        <f t="shared" si="1259"/>
        <v>0</v>
      </c>
      <c r="AJ1503" s="78" t="b">
        <f t="shared" si="1260"/>
        <v>0</v>
      </c>
      <c r="AK1503" s="78" t="b">
        <f t="shared" si="1261"/>
        <v>0</v>
      </c>
      <c r="AL1503" s="78" t="b">
        <f t="shared" si="1262"/>
        <v>0</v>
      </c>
      <c r="AM1503" s="78" t="b">
        <f t="shared" si="1263"/>
        <v>0</v>
      </c>
      <c r="AN1503" s="78" t="b">
        <f t="shared" si="1264"/>
        <v>0</v>
      </c>
      <c r="AO1503" s="78" t="b">
        <f t="shared" si="1265"/>
        <v>0</v>
      </c>
    </row>
    <row r="1504" spans="7:41" x14ac:dyDescent="0.35">
      <c r="G1504" s="77">
        <f t="shared" si="1235"/>
        <v>0</v>
      </c>
      <c r="H1504" s="78">
        <f t="shared" si="1236"/>
        <v>0</v>
      </c>
      <c r="I1504" s="77">
        <f t="shared" si="1237"/>
        <v>0</v>
      </c>
      <c r="J1504" s="78">
        <f t="shared" si="1238"/>
        <v>0</v>
      </c>
      <c r="K1504" s="78" t="str">
        <f t="shared" si="1239"/>
        <v>1900-01-00 00:0:00</v>
      </c>
      <c r="L1504" s="78" t="str">
        <f t="shared" si="1240"/>
        <v>1900-01-00 00:0:00</v>
      </c>
      <c r="M1504" s="79">
        <f t="shared" si="1241"/>
        <v>0</v>
      </c>
      <c r="N1504">
        <f t="shared" si="1266"/>
        <v>1</v>
      </c>
      <c r="O1504" t="str">
        <f>IFERROR(_xlfn.XLOOKUP(A1504,HC!A:A,HC!C:C),"")</f>
        <v>Workforce</v>
      </c>
      <c r="R1504" s="78" t="b">
        <f t="shared" si="1242"/>
        <v>0</v>
      </c>
      <c r="S1504" s="78" t="b">
        <f t="shared" si="1243"/>
        <v>0</v>
      </c>
      <c r="T1504" s="78" t="b">
        <f t="shared" si="1244"/>
        <v>0</v>
      </c>
      <c r="U1504" s="78" t="b">
        <f t="shared" si="1245"/>
        <v>0</v>
      </c>
      <c r="V1504" s="78" t="b">
        <f t="shared" si="1246"/>
        <v>0</v>
      </c>
      <c r="W1504" s="78" t="b">
        <f t="shared" si="1247"/>
        <v>0</v>
      </c>
      <c r="X1504" s="78" t="b">
        <f t="shared" si="1248"/>
        <v>0</v>
      </c>
      <c r="Y1504" s="78" t="b">
        <f t="shared" si="1249"/>
        <v>0</v>
      </c>
      <c r="Z1504" s="78" t="b">
        <f t="shared" si="1250"/>
        <v>0</v>
      </c>
      <c r="AA1504" s="78" t="b">
        <f t="shared" si="1251"/>
        <v>0</v>
      </c>
      <c r="AB1504" s="78" t="b">
        <f t="shared" si="1252"/>
        <v>0</v>
      </c>
      <c r="AC1504" s="78" t="b">
        <f t="shared" si="1253"/>
        <v>0</v>
      </c>
      <c r="AD1504" s="78" t="b">
        <f t="shared" si="1254"/>
        <v>0</v>
      </c>
      <c r="AE1504" s="78" t="b">
        <f t="shared" si="1255"/>
        <v>0</v>
      </c>
      <c r="AF1504" s="78" t="b">
        <f t="shared" si="1256"/>
        <v>0</v>
      </c>
      <c r="AG1504" s="78" t="b">
        <f t="shared" si="1257"/>
        <v>0</v>
      </c>
      <c r="AH1504" s="78" t="b">
        <f t="shared" si="1258"/>
        <v>0</v>
      </c>
      <c r="AI1504" s="78" t="b">
        <f t="shared" si="1259"/>
        <v>0</v>
      </c>
      <c r="AJ1504" s="78" t="b">
        <f t="shared" si="1260"/>
        <v>0</v>
      </c>
      <c r="AK1504" s="78" t="b">
        <f t="shared" si="1261"/>
        <v>0</v>
      </c>
      <c r="AL1504" s="78" t="b">
        <f t="shared" si="1262"/>
        <v>0</v>
      </c>
      <c r="AM1504" s="78" t="b">
        <f t="shared" si="1263"/>
        <v>0</v>
      </c>
      <c r="AN1504" s="78" t="b">
        <f t="shared" si="1264"/>
        <v>0</v>
      </c>
      <c r="AO1504" s="78" t="b">
        <f t="shared" si="1265"/>
        <v>0</v>
      </c>
    </row>
    <row r="1505" spans="7:41" x14ac:dyDescent="0.35">
      <c r="G1505" s="77">
        <f t="shared" si="1235"/>
        <v>0</v>
      </c>
      <c r="H1505" s="78">
        <f t="shared" si="1236"/>
        <v>0</v>
      </c>
      <c r="I1505" s="77">
        <f t="shared" si="1237"/>
        <v>0</v>
      </c>
      <c r="J1505" s="78">
        <f t="shared" si="1238"/>
        <v>0</v>
      </c>
      <c r="K1505" s="78" t="str">
        <f t="shared" si="1239"/>
        <v>1900-01-00 00:0:00</v>
      </c>
      <c r="L1505" s="78" t="str">
        <f t="shared" si="1240"/>
        <v>1900-01-00 00:0:00</v>
      </c>
      <c r="M1505" s="79">
        <f t="shared" si="1241"/>
        <v>0</v>
      </c>
      <c r="N1505">
        <f t="shared" si="1266"/>
        <v>1</v>
      </c>
      <c r="O1505" t="str">
        <f>IFERROR(_xlfn.XLOOKUP(A1505,HC!A:A,HC!C:C),"")</f>
        <v>Workforce</v>
      </c>
      <c r="R1505" s="78" t="b">
        <f t="shared" si="1242"/>
        <v>0</v>
      </c>
      <c r="S1505" s="78" t="b">
        <f t="shared" si="1243"/>
        <v>0</v>
      </c>
      <c r="T1505" s="78" t="b">
        <f t="shared" si="1244"/>
        <v>0</v>
      </c>
      <c r="U1505" s="78" t="b">
        <f t="shared" si="1245"/>
        <v>0</v>
      </c>
      <c r="V1505" s="78" t="b">
        <f t="shared" si="1246"/>
        <v>0</v>
      </c>
      <c r="W1505" s="78" t="b">
        <f t="shared" si="1247"/>
        <v>0</v>
      </c>
      <c r="X1505" s="78" t="b">
        <f t="shared" si="1248"/>
        <v>0</v>
      </c>
      <c r="Y1505" s="78" t="b">
        <f t="shared" si="1249"/>
        <v>0</v>
      </c>
      <c r="Z1505" s="78" t="b">
        <f t="shared" si="1250"/>
        <v>0</v>
      </c>
      <c r="AA1505" s="78" t="b">
        <f t="shared" si="1251"/>
        <v>0</v>
      </c>
      <c r="AB1505" s="78" t="b">
        <f t="shared" si="1252"/>
        <v>0</v>
      </c>
      <c r="AC1505" s="78" t="b">
        <f t="shared" si="1253"/>
        <v>0</v>
      </c>
      <c r="AD1505" s="78" t="b">
        <f t="shared" si="1254"/>
        <v>0</v>
      </c>
      <c r="AE1505" s="78" t="b">
        <f t="shared" si="1255"/>
        <v>0</v>
      </c>
      <c r="AF1505" s="78" t="b">
        <f t="shared" si="1256"/>
        <v>0</v>
      </c>
      <c r="AG1505" s="78" t="b">
        <f t="shared" si="1257"/>
        <v>0</v>
      </c>
      <c r="AH1505" s="78" t="b">
        <f t="shared" si="1258"/>
        <v>0</v>
      </c>
      <c r="AI1505" s="78" t="b">
        <f t="shared" si="1259"/>
        <v>0</v>
      </c>
      <c r="AJ1505" s="78" t="b">
        <f t="shared" si="1260"/>
        <v>0</v>
      </c>
      <c r="AK1505" s="78" t="b">
        <f t="shared" si="1261"/>
        <v>0</v>
      </c>
      <c r="AL1505" s="78" t="b">
        <f t="shared" si="1262"/>
        <v>0</v>
      </c>
      <c r="AM1505" s="78" t="b">
        <f t="shared" si="1263"/>
        <v>0</v>
      </c>
      <c r="AN1505" s="78" t="b">
        <f t="shared" si="1264"/>
        <v>0</v>
      </c>
      <c r="AO1505" s="78" t="b">
        <f t="shared" si="1265"/>
        <v>0</v>
      </c>
    </row>
    <row r="1506" spans="7:41" x14ac:dyDescent="0.35">
      <c r="G1506" s="77">
        <f t="shared" si="1235"/>
        <v>0</v>
      </c>
      <c r="H1506" s="78">
        <f t="shared" si="1236"/>
        <v>0</v>
      </c>
      <c r="I1506" s="77">
        <f t="shared" si="1237"/>
        <v>0</v>
      </c>
      <c r="J1506" s="78">
        <f t="shared" si="1238"/>
        <v>0</v>
      </c>
      <c r="K1506" s="78" t="str">
        <f t="shared" si="1239"/>
        <v>1900-01-00 00:0:00</v>
      </c>
      <c r="L1506" s="78" t="str">
        <f t="shared" si="1240"/>
        <v>1900-01-00 00:0:00</v>
      </c>
      <c r="M1506" s="79">
        <f t="shared" si="1241"/>
        <v>0</v>
      </c>
      <c r="N1506">
        <f t="shared" si="1266"/>
        <v>1</v>
      </c>
      <c r="O1506" t="str">
        <f>IFERROR(_xlfn.XLOOKUP(A1506,HC!A:A,HC!C:C),"")</f>
        <v>Workforce</v>
      </c>
      <c r="R1506" s="78" t="b">
        <f t="shared" si="1242"/>
        <v>0</v>
      </c>
      <c r="S1506" s="78" t="b">
        <f t="shared" si="1243"/>
        <v>0</v>
      </c>
      <c r="T1506" s="78" t="b">
        <f t="shared" si="1244"/>
        <v>0</v>
      </c>
      <c r="U1506" s="78" t="b">
        <f t="shared" si="1245"/>
        <v>0</v>
      </c>
      <c r="V1506" s="78" t="b">
        <f t="shared" si="1246"/>
        <v>0</v>
      </c>
      <c r="W1506" s="78" t="b">
        <f t="shared" si="1247"/>
        <v>0</v>
      </c>
      <c r="X1506" s="78" t="b">
        <f t="shared" si="1248"/>
        <v>0</v>
      </c>
      <c r="Y1506" s="78" t="b">
        <f t="shared" si="1249"/>
        <v>0</v>
      </c>
      <c r="Z1506" s="78" t="b">
        <f t="shared" si="1250"/>
        <v>0</v>
      </c>
      <c r="AA1506" s="78" t="b">
        <f t="shared" si="1251"/>
        <v>0</v>
      </c>
      <c r="AB1506" s="78" t="b">
        <f t="shared" si="1252"/>
        <v>0</v>
      </c>
      <c r="AC1506" s="78" t="b">
        <f t="shared" si="1253"/>
        <v>0</v>
      </c>
      <c r="AD1506" s="78" t="b">
        <f t="shared" si="1254"/>
        <v>0</v>
      </c>
      <c r="AE1506" s="78" t="b">
        <f t="shared" si="1255"/>
        <v>0</v>
      </c>
      <c r="AF1506" s="78" t="b">
        <f t="shared" si="1256"/>
        <v>0</v>
      </c>
      <c r="AG1506" s="78" t="b">
        <f t="shared" si="1257"/>
        <v>0</v>
      </c>
      <c r="AH1506" s="78" t="b">
        <f t="shared" si="1258"/>
        <v>0</v>
      </c>
      <c r="AI1506" s="78" t="b">
        <f t="shared" si="1259"/>
        <v>0</v>
      </c>
      <c r="AJ1506" s="78" t="b">
        <f t="shared" si="1260"/>
        <v>0</v>
      </c>
      <c r="AK1506" s="78" t="b">
        <f t="shared" si="1261"/>
        <v>0</v>
      </c>
      <c r="AL1506" s="78" t="b">
        <f t="shared" si="1262"/>
        <v>0</v>
      </c>
      <c r="AM1506" s="78" t="b">
        <f t="shared" si="1263"/>
        <v>0</v>
      </c>
      <c r="AN1506" s="78" t="b">
        <f t="shared" si="1264"/>
        <v>0</v>
      </c>
      <c r="AO1506" s="78" t="b">
        <f t="shared" si="1265"/>
        <v>0</v>
      </c>
    </row>
    <row r="1507" spans="7:41" x14ac:dyDescent="0.35">
      <c r="G1507" s="77">
        <f t="shared" si="1235"/>
        <v>0</v>
      </c>
      <c r="H1507" s="78">
        <f t="shared" si="1236"/>
        <v>0</v>
      </c>
      <c r="I1507" s="77">
        <f t="shared" si="1237"/>
        <v>0</v>
      </c>
      <c r="J1507" s="78">
        <f t="shared" si="1238"/>
        <v>0</v>
      </c>
      <c r="K1507" s="78" t="str">
        <f t="shared" si="1239"/>
        <v>1900-01-00 00:0:00</v>
      </c>
      <c r="L1507" s="78" t="str">
        <f t="shared" si="1240"/>
        <v>1900-01-00 00:0:00</v>
      </c>
      <c r="M1507" s="79">
        <f t="shared" si="1241"/>
        <v>0</v>
      </c>
      <c r="N1507">
        <f t="shared" si="1266"/>
        <v>1</v>
      </c>
      <c r="O1507" t="str">
        <f>IFERROR(_xlfn.XLOOKUP(A1507,HC!A:A,HC!C:C),"")</f>
        <v>Workforce</v>
      </c>
      <c r="R1507" s="78" t="b">
        <f t="shared" si="1242"/>
        <v>0</v>
      </c>
      <c r="S1507" s="78" t="b">
        <f t="shared" si="1243"/>
        <v>0</v>
      </c>
      <c r="T1507" s="78" t="b">
        <f t="shared" si="1244"/>
        <v>0</v>
      </c>
      <c r="U1507" s="78" t="b">
        <f t="shared" si="1245"/>
        <v>0</v>
      </c>
      <c r="V1507" s="78" t="b">
        <f t="shared" si="1246"/>
        <v>0</v>
      </c>
      <c r="W1507" s="78" t="b">
        <f t="shared" si="1247"/>
        <v>0</v>
      </c>
      <c r="X1507" s="78" t="b">
        <f t="shared" si="1248"/>
        <v>0</v>
      </c>
      <c r="Y1507" s="78" t="b">
        <f t="shared" si="1249"/>
        <v>0</v>
      </c>
      <c r="Z1507" s="78" t="b">
        <f t="shared" si="1250"/>
        <v>0</v>
      </c>
      <c r="AA1507" s="78" t="b">
        <f t="shared" si="1251"/>
        <v>0</v>
      </c>
      <c r="AB1507" s="78" t="b">
        <f t="shared" si="1252"/>
        <v>0</v>
      </c>
      <c r="AC1507" s="78" t="b">
        <f t="shared" si="1253"/>
        <v>0</v>
      </c>
      <c r="AD1507" s="78" t="b">
        <f t="shared" si="1254"/>
        <v>0</v>
      </c>
      <c r="AE1507" s="78" t="b">
        <f t="shared" si="1255"/>
        <v>0</v>
      </c>
      <c r="AF1507" s="78" t="b">
        <f t="shared" si="1256"/>
        <v>0</v>
      </c>
      <c r="AG1507" s="78" t="b">
        <f t="shared" si="1257"/>
        <v>0</v>
      </c>
      <c r="AH1507" s="78" t="b">
        <f t="shared" si="1258"/>
        <v>0</v>
      </c>
      <c r="AI1507" s="78" t="b">
        <f t="shared" si="1259"/>
        <v>0</v>
      </c>
      <c r="AJ1507" s="78" t="b">
        <f t="shared" si="1260"/>
        <v>0</v>
      </c>
      <c r="AK1507" s="78" t="b">
        <f t="shared" si="1261"/>
        <v>0</v>
      </c>
      <c r="AL1507" s="78" t="b">
        <f t="shared" si="1262"/>
        <v>0</v>
      </c>
      <c r="AM1507" s="78" t="b">
        <f t="shared" si="1263"/>
        <v>0</v>
      </c>
      <c r="AN1507" s="78" t="b">
        <f t="shared" si="1264"/>
        <v>0</v>
      </c>
      <c r="AO1507" s="78" t="b">
        <f t="shared" si="1265"/>
        <v>0</v>
      </c>
    </row>
    <row r="1508" spans="7:41" x14ac:dyDescent="0.35">
      <c r="G1508" s="77">
        <f t="shared" si="1235"/>
        <v>0</v>
      </c>
      <c r="H1508" s="78">
        <f t="shared" si="1236"/>
        <v>0</v>
      </c>
      <c r="I1508" s="77">
        <f t="shared" si="1237"/>
        <v>0</v>
      </c>
      <c r="J1508" s="78">
        <f t="shared" si="1238"/>
        <v>0</v>
      </c>
      <c r="K1508" s="78" t="str">
        <f t="shared" si="1239"/>
        <v>1900-01-00 00:0:00</v>
      </c>
      <c r="L1508" s="78" t="str">
        <f t="shared" si="1240"/>
        <v>1900-01-00 00:0:00</v>
      </c>
      <c r="M1508" s="79">
        <f t="shared" si="1241"/>
        <v>0</v>
      </c>
      <c r="N1508">
        <f t="shared" si="1266"/>
        <v>1</v>
      </c>
      <c r="O1508" t="str">
        <f>IFERROR(_xlfn.XLOOKUP(A1508,HC!A:A,HC!C:C),"")</f>
        <v>Workforce</v>
      </c>
      <c r="R1508" s="78" t="b">
        <f t="shared" si="1242"/>
        <v>0</v>
      </c>
      <c r="S1508" s="78" t="b">
        <f t="shared" si="1243"/>
        <v>0</v>
      </c>
      <c r="T1508" s="78" t="b">
        <f t="shared" si="1244"/>
        <v>0</v>
      </c>
      <c r="U1508" s="78" t="b">
        <f t="shared" si="1245"/>
        <v>0</v>
      </c>
      <c r="V1508" s="78" t="b">
        <f t="shared" si="1246"/>
        <v>0</v>
      </c>
      <c r="W1508" s="78" t="b">
        <f t="shared" si="1247"/>
        <v>0</v>
      </c>
      <c r="X1508" s="78" t="b">
        <f t="shared" si="1248"/>
        <v>0</v>
      </c>
      <c r="Y1508" s="78" t="b">
        <f t="shared" si="1249"/>
        <v>0</v>
      </c>
      <c r="Z1508" s="78" t="b">
        <f t="shared" si="1250"/>
        <v>0</v>
      </c>
      <c r="AA1508" s="78" t="b">
        <f t="shared" si="1251"/>
        <v>0</v>
      </c>
      <c r="AB1508" s="78" t="b">
        <f t="shared" si="1252"/>
        <v>0</v>
      </c>
      <c r="AC1508" s="78" t="b">
        <f t="shared" si="1253"/>
        <v>0</v>
      </c>
      <c r="AD1508" s="78" t="b">
        <f t="shared" si="1254"/>
        <v>0</v>
      </c>
      <c r="AE1508" s="78" t="b">
        <f t="shared" si="1255"/>
        <v>0</v>
      </c>
      <c r="AF1508" s="78" t="b">
        <f t="shared" si="1256"/>
        <v>0</v>
      </c>
      <c r="AG1508" s="78" t="b">
        <f t="shared" si="1257"/>
        <v>0</v>
      </c>
      <c r="AH1508" s="78" t="b">
        <f t="shared" si="1258"/>
        <v>0</v>
      </c>
      <c r="AI1508" s="78" t="b">
        <f t="shared" si="1259"/>
        <v>0</v>
      </c>
      <c r="AJ1508" s="78" t="b">
        <f t="shared" si="1260"/>
        <v>0</v>
      </c>
      <c r="AK1508" s="78" t="b">
        <f t="shared" si="1261"/>
        <v>0</v>
      </c>
      <c r="AL1508" s="78" t="b">
        <f t="shared" si="1262"/>
        <v>0</v>
      </c>
      <c r="AM1508" s="78" t="b">
        <f t="shared" si="1263"/>
        <v>0</v>
      </c>
      <c r="AN1508" s="78" t="b">
        <f t="shared" si="1264"/>
        <v>0</v>
      </c>
      <c r="AO1508" s="78" t="b">
        <f t="shared" si="1265"/>
        <v>0</v>
      </c>
    </row>
    <row r="1509" spans="7:41" x14ac:dyDescent="0.35">
      <c r="G1509" s="77">
        <f t="shared" si="1235"/>
        <v>0</v>
      </c>
      <c r="H1509" s="78">
        <f t="shared" si="1236"/>
        <v>0</v>
      </c>
      <c r="I1509" s="77">
        <f t="shared" si="1237"/>
        <v>0</v>
      </c>
      <c r="J1509" s="78">
        <f t="shared" si="1238"/>
        <v>0</v>
      </c>
      <c r="K1509" s="78" t="str">
        <f t="shared" si="1239"/>
        <v>1900-01-00 00:0:00</v>
      </c>
      <c r="L1509" s="78" t="str">
        <f t="shared" si="1240"/>
        <v>1900-01-00 00:0:00</v>
      </c>
      <c r="M1509" s="79">
        <f t="shared" si="1241"/>
        <v>0</v>
      </c>
      <c r="N1509">
        <f t="shared" si="1266"/>
        <v>1</v>
      </c>
      <c r="O1509" t="str">
        <f>IFERROR(_xlfn.XLOOKUP(A1509,HC!A:A,HC!C:C),"")</f>
        <v>Workforce</v>
      </c>
      <c r="R1509" s="78" t="b">
        <f t="shared" si="1242"/>
        <v>0</v>
      </c>
      <c r="S1509" s="78" t="b">
        <f t="shared" si="1243"/>
        <v>0</v>
      </c>
      <c r="T1509" s="78" t="b">
        <f t="shared" si="1244"/>
        <v>0</v>
      </c>
      <c r="U1509" s="78" t="b">
        <f t="shared" si="1245"/>
        <v>0</v>
      </c>
      <c r="V1509" s="78" t="b">
        <f t="shared" si="1246"/>
        <v>0</v>
      </c>
      <c r="W1509" s="78" t="b">
        <f t="shared" si="1247"/>
        <v>0</v>
      </c>
      <c r="X1509" s="78" t="b">
        <f t="shared" si="1248"/>
        <v>0</v>
      </c>
      <c r="Y1509" s="78" t="b">
        <f t="shared" si="1249"/>
        <v>0</v>
      </c>
      <c r="Z1509" s="78" t="b">
        <f t="shared" si="1250"/>
        <v>0</v>
      </c>
      <c r="AA1509" s="78" t="b">
        <f t="shared" si="1251"/>
        <v>0</v>
      </c>
      <c r="AB1509" s="78" t="b">
        <f t="shared" si="1252"/>
        <v>0</v>
      </c>
      <c r="AC1509" s="78" t="b">
        <f t="shared" si="1253"/>
        <v>0</v>
      </c>
      <c r="AD1509" s="78" t="b">
        <f t="shared" si="1254"/>
        <v>0</v>
      </c>
      <c r="AE1509" s="78" t="b">
        <f t="shared" si="1255"/>
        <v>0</v>
      </c>
      <c r="AF1509" s="78" t="b">
        <f t="shared" si="1256"/>
        <v>0</v>
      </c>
      <c r="AG1509" s="78" t="b">
        <f t="shared" si="1257"/>
        <v>0</v>
      </c>
      <c r="AH1509" s="78" t="b">
        <f t="shared" si="1258"/>
        <v>0</v>
      </c>
      <c r="AI1509" s="78" t="b">
        <f t="shared" si="1259"/>
        <v>0</v>
      </c>
      <c r="AJ1509" s="78" t="b">
        <f t="shared" si="1260"/>
        <v>0</v>
      </c>
      <c r="AK1509" s="78" t="b">
        <f t="shared" si="1261"/>
        <v>0</v>
      </c>
      <c r="AL1509" s="78" t="b">
        <f t="shared" si="1262"/>
        <v>0</v>
      </c>
      <c r="AM1509" s="78" t="b">
        <f t="shared" si="1263"/>
        <v>0</v>
      </c>
      <c r="AN1509" s="78" t="b">
        <f t="shared" si="1264"/>
        <v>0</v>
      </c>
      <c r="AO1509" s="78" t="b">
        <f t="shared" si="1265"/>
        <v>0</v>
      </c>
    </row>
    <row r="1510" spans="7:41" x14ac:dyDescent="0.35">
      <c r="G1510" s="77">
        <f t="shared" si="1235"/>
        <v>0</v>
      </c>
      <c r="H1510" s="78">
        <f t="shared" si="1236"/>
        <v>0</v>
      </c>
      <c r="I1510" s="77">
        <f t="shared" si="1237"/>
        <v>0</v>
      </c>
      <c r="J1510" s="78">
        <f t="shared" si="1238"/>
        <v>0</v>
      </c>
      <c r="K1510" s="78" t="str">
        <f t="shared" si="1239"/>
        <v>1900-01-00 00:0:00</v>
      </c>
      <c r="L1510" s="78" t="str">
        <f t="shared" si="1240"/>
        <v>1900-01-00 00:0:00</v>
      </c>
      <c r="M1510" s="79">
        <f t="shared" si="1241"/>
        <v>0</v>
      </c>
      <c r="N1510">
        <f t="shared" si="1266"/>
        <v>1</v>
      </c>
      <c r="O1510" t="str">
        <f>IFERROR(_xlfn.XLOOKUP(A1510,HC!A:A,HC!C:C),"")</f>
        <v>Workforce</v>
      </c>
      <c r="R1510" s="78" t="b">
        <f t="shared" si="1242"/>
        <v>0</v>
      </c>
      <c r="S1510" s="78" t="b">
        <f t="shared" si="1243"/>
        <v>0</v>
      </c>
      <c r="T1510" s="78" t="b">
        <f t="shared" si="1244"/>
        <v>0</v>
      </c>
      <c r="U1510" s="78" t="b">
        <f t="shared" si="1245"/>
        <v>0</v>
      </c>
      <c r="V1510" s="78" t="b">
        <f t="shared" si="1246"/>
        <v>0</v>
      </c>
      <c r="W1510" s="78" t="b">
        <f t="shared" si="1247"/>
        <v>0</v>
      </c>
      <c r="X1510" s="78" t="b">
        <f t="shared" si="1248"/>
        <v>0</v>
      </c>
      <c r="Y1510" s="78" t="b">
        <f t="shared" si="1249"/>
        <v>0</v>
      </c>
      <c r="Z1510" s="78" t="b">
        <f t="shared" si="1250"/>
        <v>0</v>
      </c>
      <c r="AA1510" s="78" t="b">
        <f t="shared" si="1251"/>
        <v>0</v>
      </c>
      <c r="AB1510" s="78" t="b">
        <f t="shared" si="1252"/>
        <v>0</v>
      </c>
      <c r="AC1510" s="78" t="b">
        <f t="shared" si="1253"/>
        <v>0</v>
      </c>
      <c r="AD1510" s="78" t="b">
        <f t="shared" si="1254"/>
        <v>0</v>
      </c>
      <c r="AE1510" s="78" t="b">
        <f t="shared" si="1255"/>
        <v>0</v>
      </c>
      <c r="AF1510" s="78" t="b">
        <f t="shared" si="1256"/>
        <v>0</v>
      </c>
      <c r="AG1510" s="78" t="b">
        <f t="shared" si="1257"/>
        <v>0</v>
      </c>
      <c r="AH1510" s="78" t="b">
        <f t="shared" si="1258"/>
        <v>0</v>
      </c>
      <c r="AI1510" s="78" t="b">
        <f t="shared" si="1259"/>
        <v>0</v>
      </c>
      <c r="AJ1510" s="78" t="b">
        <f t="shared" si="1260"/>
        <v>0</v>
      </c>
      <c r="AK1510" s="78" t="b">
        <f t="shared" si="1261"/>
        <v>0</v>
      </c>
      <c r="AL1510" s="78" t="b">
        <f t="shared" si="1262"/>
        <v>0</v>
      </c>
      <c r="AM1510" s="78" t="b">
        <f t="shared" si="1263"/>
        <v>0</v>
      </c>
      <c r="AN1510" s="78" t="b">
        <f t="shared" si="1264"/>
        <v>0</v>
      </c>
      <c r="AO1510" s="78" t="b">
        <f t="shared" si="1265"/>
        <v>0</v>
      </c>
    </row>
    <row r="1511" spans="7:41" x14ac:dyDescent="0.35">
      <c r="G1511" s="77">
        <f t="shared" si="1235"/>
        <v>0</v>
      </c>
      <c r="H1511" s="78">
        <f t="shared" si="1236"/>
        <v>0</v>
      </c>
      <c r="I1511" s="77">
        <f t="shared" si="1237"/>
        <v>0</v>
      </c>
      <c r="J1511" s="78">
        <f t="shared" si="1238"/>
        <v>0</v>
      </c>
      <c r="K1511" s="78" t="str">
        <f t="shared" si="1239"/>
        <v>1900-01-00 00:0:00</v>
      </c>
      <c r="L1511" s="78" t="str">
        <f t="shared" si="1240"/>
        <v>1900-01-00 00:0:00</v>
      </c>
      <c r="M1511" s="79">
        <f t="shared" si="1241"/>
        <v>0</v>
      </c>
      <c r="N1511">
        <f t="shared" si="1266"/>
        <v>1</v>
      </c>
      <c r="O1511" t="str">
        <f>IFERROR(_xlfn.XLOOKUP(A1511,HC!A:A,HC!C:C),"")</f>
        <v>Workforce</v>
      </c>
      <c r="R1511" s="78" t="b">
        <f t="shared" si="1242"/>
        <v>0</v>
      </c>
      <c r="S1511" s="78" t="b">
        <f t="shared" si="1243"/>
        <v>0</v>
      </c>
      <c r="T1511" s="78" t="b">
        <f t="shared" si="1244"/>
        <v>0</v>
      </c>
      <c r="U1511" s="78" t="b">
        <f t="shared" si="1245"/>
        <v>0</v>
      </c>
      <c r="V1511" s="78" t="b">
        <f t="shared" si="1246"/>
        <v>0</v>
      </c>
      <c r="W1511" s="78" t="b">
        <f t="shared" si="1247"/>
        <v>0</v>
      </c>
      <c r="X1511" s="78" t="b">
        <f t="shared" si="1248"/>
        <v>0</v>
      </c>
      <c r="Y1511" s="78" t="b">
        <f t="shared" si="1249"/>
        <v>0</v>
      </c>
      <c r="Z1511" s="78" t="b">
        <f t="shared" si="1250"/>
        <v>0</v>
      </c>
      <c r="AA1511" s="78" t="b">
        <f t="shared" si="1251"/>
        <v>0</v>
      </c>
      <c r="AB1511" s="78" t="b">
        <f t="shared" si="1252"/>
        <v>0</v>
      </c>
      <c r="AC1511" s="78" t="b">
        <f t="shared" si="1253"/>
        <v>0</v>
      </c>
      <c r="AD1511" s="78" t="b">
        <f t="shared" si="1254"/>
        <v>0</v>
      </c>
      <c r="AE1511" s="78" t="b">
        <f t="shared" si="1255"/>
        <v>0</v>
      </c>
      <c r="AF1511" s="78" t="b">
        <f t="shared" si="1256"/>
        <v>0</v>
      </c>
      <c r="AG1511" s="78" t="b">
        <f t="shared" si="1257"/>
        <v>0</v>
      </c>
      <c r="AH1511" s="78" t="b">
        <f t="shared" si="1258"/>
        <v>0</v>
      </c>
      <c r="AI1511" s="78" t="b">
        <f t="shared" si="1259"/>
        <v>0</v>
      </c>
      <c r="AJ1511" s="78" t="b">
        <f t="shared" si="1260"/>
        <v>0</v>
      </c>
      <c r="AK1511" s="78" t="b">
        <f t="shared" si="1261"/>
        <v>0</v>
      </c>
      <c r="AL1511" s="78" t="b">
        <f t="shared" si="1262"/>
        <v>0</v>
      </c>
      <c r="AM1511" s="78" t="b">
        <f t="shared" si="1263"/>
        <v>0</v>
      </c>
      <c r="AN1511" s="78" t="b">
        <f t="shared" si="1264"/>
        <v>0</v>
      </c>
      <c r="AO1511" s="78" t="b">
        <f t="shared" si="1265"/>
        <v>0</v>
      </c>
    </row>
    <row r="1512" spans="7:41" x14ac:dyDescent="0.35">
      <c r="G1512" s="77">
        <f t="shared" si="1235"/>
        <v>0</v>
      </c>
      <c r="H1512" s="78">
        <f t="shared" si="1236"/>
        <v>0</v>
      </c>
      <c r="I1512" s="77">
        <f t="shared" si="1237"/>
        <v>0</v>
      </c>
      <c r="J1512" s="78">
        <f t="shared" si="1238"/>
        <v>0</v>
      </c>
      <c r="K1512" s="78" t="str">
        <f t="shared" si="1239"/>
        <v>1900-01-00 00:0:00</v>
      </c>
      <c r="L1512" s="78" t="str">
        <f t="shared" si="1240"/>
        <v>1900-01-00 00:0:00</v>
      </c>
      <c r="M1512" s="79">
        <f t="shared" si="1241"/>
        <v>0</v>
      </c>
      <c r="N1512">
        <f t="shared" si="1266"/>
        <v>1</v>
      </c>
      <c r="O1512" t="str">
        <f>IFERROR(_xlfn.XLOOKUP(A1512,HC!A:A,HC!C:C),"")</f>
        <v>Workforce</v>
      </c>
      <c r="R1512" s="78" t="b">
        <f t="shared" si="1242"/>
        <v>0</v>
      </c>
      <c r="S1512" s="78" t="b">
        <f t="shared" si="1243"/>
        <v>0</v>
      </c>
      <c r="T1512" s="78" t="b">
        <f t="shared" si="1244"/>
        <v>0</v>
      </c>
      <c r="U1512" s="78" t="b">
        <f t="shared" si="1245"/>
        <v>0</v>
      </c>
      <c r="V1512" s="78" t="b">
        <f t="shared" si="1246"/>
        <v>0</v>
      </c>
      <c r="W1512" s="78" t="b">
        <f t="shared" si="1247"/>
        <v>0</v>
      </c>
      <c r="X1512" s="78" t="b">
        <f t="shared" si="1248"/>
        <v>0</v>
      </c>
      <c r="Y1512" s="78" t="b">
        <f t="shared" si="1249"/>
        <v>0</v>
      </c>
      <c r="Z1512" s="78" t="b">
        <f t="shared" si="1250"/>
        <v>0</v>
      </c>
      <c r="AA1512" s="78" t="b">
        <f t="shared" si="1251"/>
        <v>0</v>
      </c>
      <c r="AB1512" s="78" t="b">
        <f t="shared" si="1252"/>
        <v>0</v>
      </c>
      <c r="AC1512" s="78" t="b">
        <f t="shared" si="1253"/>
        <v>0</v>
      </c>
      <c r="AD1512" s="78" t="b">
        <f t="shared" si="1254"/>
        <v>0</v>
      </c>
      <c r="AE1512" s="78" t="b">
        <f t="shared" si="1255"/>
        <v>0</v>
      </c>
      <c r="AF1512" s="78" t="b">
        <f t="shared" si="1256"/>
        <v>0</v>
      </c>
      <c r="AG1512" s="78" t="b">
        <f t="shared" si="1257"/>
        <v>0</v>
      </c>
      <c r="AH1512" s="78" t="b">
        <f t="shared" si="1258"/>
        <v>0</v>
      </c>
      <c r="AI1512" s="78" t="b">
        <f t="shared" si="1259"/>
        <v>0</v>
      </c>
      <c r="AJ1512" s="78" t="b">
        <f t="shared" si="1260"/>
        <v>0</v>
      </c>
      <c r="AK1512" s="78" t="b">
        <f t="shared" si="1261"/>
        <v>0</v>
      </c>
      <c r="AL1512" s="78" t="b">
        <f t="shared" si="1262"/>
        <v>0</v>
      </c>
      <c r="AM1512" s="78" t="b">
        <f t="shared" si="1263"/>
        <v>0</v>
      </c>
      <c r="AN1512" s="78" t="b">
        <f t="shared" si="1264"/>
        <v>0</v>
      </c>
      <c r="AO1512" s="78" t="b">
        <f t="shared" si="1265"/>
        <v>0</v>
      </c>
    </row>
    <row r="1513" spans="7:41" x14ac:dyDescent="0.35">
      <c r="G1513" s="77">
        <f t="shared" si="1235"/>
        <v>0</v>
      </c>
      <c r="H1513" s="78">
        <f t="shared" si="1236"/>
        <v>0</v>
      </c>
      <c r="I1513" s="77">
        <f t="shared" si="1237"/>
        <v>0</v>
      </c>
      <c r="J1513" s="78">
        <f t="shared" si="1238"/>
        <v>0</v>
      </c>
      <c r="K1513" s="78" t="str">
        <f t="shared" si="1239"/>
        <v>1900-01-00 00:0:00</v>
      </c>
      <c r="L1513" s="78" t="str">
        <f t="shared" si="1240"/>
        <v>1900-01-00 00:0:00</v>
      </c>
      <c r="M1513" s="79">
        <f t="shared" si="1241"/>
        <v>0</v>
      </c>
      <c r="N1513">
        <f t="shared" si="1266"/>
        <v>1</v>
      </c>
      <c r="O1513" t="str">
        <f>IFERROR(_xlfn.XLOOKUP(A1513,HC!A:A,HC!C:C),"")</f>
        <v>Workforce</v>
      </c>
      <c r="R1513" s="78" t="b">
        <f t="shared" si="1242"/>
        <v>0</v>
      </c>
      <c r="S1513" s="78" t="b">
        <f t="shared" si="1243"/>
        <v>0</v>
      </c>
      <c r="T1513" s="78" t="b">
        <f t="shared" si="1244"/>
        <v>0</v>
      </c>
      <c r="U1513" s="78" t="b">
        <f t="shared" si="1245"/>
        <v>0</v>
      </c>
      <c r="V1513" s="78" t="b">
        <f t="shared" si="1246"/>
        <v>0</v>
      </c>
      <c r="W1513" s="78" t="b">
        <f t="shared" si="1247"/>
        <v>0</v>
      </c>
      <c r="X1513" s="78" t="b">
        <f t="shared" si="1248"/>
        <v>0</v>
      </c>
      <c r="Y1513" s="78" t="b">
        <f t="shared" si="1249"/>
        <v>0</v>
      </c>
      <c r="Z1513" s="78" t="b">
        <f t="shared" si="1250"/>
        <v>0</v>
      </c>
      <c r="AA1513" s="78" t="b">
        <f t="shared" si="1251"/>
        <v>0</v>
      </c>
      <c r="AB1513" s="78" t="b">
        <f t="shared" si="1252"/>
        <v>0</v>
      </c>
      <c r="AC1513" s="78" t="b">
        <f t="shared" si="1253"/>
        <v>0</v>
      </c>
      <c r="AD1513" s="78" t="b">
        <f t="shared" si="1254"/>
        <v>0</v>
      </c>
      <c r="AE1513" s="78" t="b">
        <f t="shared" si="1255"/>
        <v>0</v>
      </c>
      <c r="AF1513" s="78" t="b">
        <f t="shared" si="1256"/>
        <v>0</v>
      </c>
      <c r="AG1513" s="78" t="b">
        <f t="shared" si="1257"/>
        <v>0</v>
      </c>
      <c r="AH1513" s="78" t="b">
        <f t="shared" si="1258"/>
        <v>0</v>
      </c>
      <c r="AI1513" s="78" t="b">
        <f t="shared" si="1259"/>
        <v>0</v>
      </c>
      <c r="AJ1513" s="78" t="b">
        <f t="shared" si="1260"/>
        <v>0</v>
      </c>
      <c r="AK1513" s="78" t="b">
        <f t="shared" si="1261"/>
        <v>0</v>
      </c>
      <c r="AL1513" s="78" t="b">
        <f t="shared" si="1262"/>
        <v>0</v>
      </c>
      <c r="AM1513" s="78" t="b">
        <f t="shared" si="1263"/>
        <v>0</v>
      </c>
      <c r="AN1513" s="78" t="b">
        <f t="shared" si="1264"/>
        <v>0</v>
      </c>
      <c r="AO1513" s="78" t="b">
        <f t="shared" si="1265"/>
        <v>0</v>
      </c>
    </row>
    <row r="1514" spans="7:41" x14ac:dyDescent="0.35">
      <c r="G1514" s="77">
        <f t="shared" si="1235"/>
        <v>0</v>
      </c>
      <c r="H1514" s="78">
        <f t="shared" si="1236"/>
        <v>0</v>
      </c>
      <c r="I1514" s="77">
        <f t="shared" si="1237"/>
        <v>0</v>
      </c>
      <c r="J1514" s="78">
        <f t="shared" si="1238"/>
        <v>0</v>
      </c>
      <c r="K1514" s="78" t="str">
        <f t="shared" si="1239"/>
        <v>1900-01-00 00:0:00</v>
      </c>
      <c r="L1514" s="78" t="str">
        <f t="shared" si="1240"/>
        <v>1900-01-00 00:0:00</v>
      </c>
      <c r="M1514" s="79">
        <f t="shared" si="1241"/>
        <v>0</v>
      </c>
      <c r="N1514">
        <f t="shared" si="1266"/>
        <v>1</v>
      </c>
      <c r="O1514" t="str">
        <f>IFERROR(_xlfn.XLOOKUP(A1514,HC!A:A,HC!C:C),"")</f>
        <v>Workforce</v>
      </c>
      <c r="R1514" s="78" t="b">
        <f t="shared" si="1242"/>
        <v>0</v>
      </c>
      <c r="S1514" s="78" t="b">
        <f t="shared" si="1243"/>
        <v>0</v>
      </c>
      <c r="T1514" s="78" t="b">
        <f t="shared" si="1244"/>
        <v>0</v>
      </c>
      <c r="U1514" s="78" t="b">
        <f t="shared" si="1245"/>
        <v>0</v>
      </c>
      <c r="V1514" s="78" t="b">
        <f t="shared" si="1246"/>
        <v>0</v>
      </c>
      <c r="W1514" s="78" t="b">
        <f t="shared" si="1247"/>
        <v>0</v>
      </c>
      <c r="X1514" s="78" t="b">
        <f t="shared" si="1248"/>
        <v>0</v>
      </c>
      <c r="Y1514" s="78" t="b">
        <f t="shared" si="1249"/>
        <v>0</v>
      </c>
      <c r="Z1514" s="78" t="b">
        <f t="shared" si="1250"/>
        <v>0</v>
      </c>
      <c r="AA1514" s="78" t="b">
        <f t="shared" si="1251"/>
        <v>0</v>
      </c>
      <c r="AB1514" s="78" t="b">
        <f t="shared" si="1252"/>
        <v>0</v>
      </c>
      <c r="AC1514" s="78" t="b">
        <f t="shared" si="1253"/>
        <v>0</v>
      </c>
      <c r="AD1514" s="78" t="b">
        <f t="shared" si="1254"/>
        <v>0</v>
      </c>
      <c r="AE1514" s="78" t="b">
        <f t="shared" si="1255"/>
        <v>0</v>
      </c>
      <c r="AF1514" s="78" t="b">
        <f t="shared" si="1256"/>
        <v>0</v>
      </c>
      <c r="AG1514" s="78" t="b">
        <f t="shared" si="1257"/>
        <v>0</v>
      </c>
      <c r="AH1514" s="78" t="b">
        <f t="shared" si="1258"/>
        <v>0</v>
      </c>
      <c r="AI1514" s="78" t="b">
        <f t="shared" si="1259"/>
        <v>0</v>
      </c>
      <c r="AJ1514" s="78" t="b">
        <f t="shared" si="1260"/>
        <v>0</v>
      </c>
      <c r="AK1514" s="78" t="b">
        <f t="shared" si="1261"/>
        <v>0</v>
      </c>
      <c r="AL1514" s="78" t="b">
        <f t="shared" si="1262"/>
        <v>0</v>
      </c>
      <c r="AM1514" s="78" t="b">
        <f t="shared" si="1263"/>
        <v>0</v>
      </c>
      <c r="AN1514" s="78" t="b">
        <f t="shared" si="1264"/>
        <v>0</v>
      </c>
      <c r="AO1514" s="78" t="b">
        <f t="shared" si="1265"/>
        <v>0</v>
      </c>
    </row>
    <row r="1515" spans="7:41" x14ac:dyDescent="0.35">
      <c r="G1515" s="77">
        <f t="shared" si="1235"/>
        <v>0</v>
      </c>
      <c r="H1515" s="78">
        <f t="shared" si="1236"/>
        <v>0</v>
      </c>
      <c r="I1515" s="77">
        <f t="shared" si="1237"/>
        <v>0</v>
      </c>
      <c r="J1515" s="78">
        <f t="shared" si="1238"/>
        <v>0</v>
      </c>
      <c r="K1515" s="78" t="str">
        <f t="shared" si="1239"/>
        <v>1900-01-00 00:0:00</v>
      </c>
      <c r="L1515" s="78" t="str">
        <f t="shared" si="1240"/>
        <v>1900-01-00 00:0:00</v>
      </c>
      <c r="M1515" s="79">
        <f t="shared" si="1241"/>
        <v>0</v>
      </c>
      <c r="N1515">
        <f t="shared" si="1266"/>
        <v>1</v>
      </c>
      <c r="O1515" t="str">
        <f>IFERROR(_xlfn.XLOOKUP(A1515,HC!A:A,HC!C:C),"")</f>
        <v>Workforce</v>
      </c>
      <c r="R1515" s="78" t="b">
        <f t="shared" si="1242"/>
        <v>0</v>
      </c>
      <c r="S1515" s="78" t="b">
        <f t="shared" si="1243"/>
        <v>0</v>
      </c>
      <c r="T1515" s="78" t="b">
        <f t="shared" si="1244"/>
        <v>0</v>
      </c>
      <c r="U1515" s="78" t="b">
        <f t="shared" si="1245"/>
        <v>0</v>
      </c>
      <c r="V1515" s="78" t="b">
        <f t="shared" si="1246"/>
        <v>0</v>
      </c>
      <c r="W1515" s="78" t="b">
        <f t="shared" si="1247"/>
        <v>0</v>
      </c>
      <c r="X1515" s="78" t="b">
        <f t="shared" si="1248"/>
        <v>0</v>
      </c>
      <c r="Y1515" s="78" t="b">
        <f t="shared" si="1249"/>
        <v>0</v>
      </c>
      <c r="Z1515" s="78" t="b">
        <f t="shared" si="1250"/>
        <v>0</v>
      </c>
      <c r="AA1515" s="78" t="b">
        <f t="shared" si="1251"/>
        <v>0</v>
      </c>
      <c r="AB1515" s="78" t="b">
        <f t="shared" si="1252"/>
        <v>0</v>
      </c>
      <c r="AC1515" s="78" t="b">
        <f t="shared" si="1253"/>
        <v>0</v>
      </c>
      <c r="AD1515" s="78" t="b">
        <f t="shared" si="1254"/>
        <v>0</v>
      </c>
      <c r="AE1515" s="78" t="b">
        <f t="shared" si="1255"/>
        <v>0</v>
      </c>
      <c r="AF1515" s="78" t="b">
        <f t="shared" si="1256"/>
        <v>0</v>
      </c>
      <c r="AG1515" s="78" t="b">
        <f t="shared" si="1257"/>
        <v>0</v>
      </c>
      <c r="AH1515" s="78" t="b">
        <f t="shared" si="1258"/>
        <v>0</v>
      </c>
      <c r="AI1515" s="78" t="b">
        <f t="shared" si="1259"/>
        <v>0</v>
      </c>
      <c r="AJ1515" s="78" t="b">
        <f t="shared" si="1260"/>
        <v>0</v>
      </c>
      <c r="AK1515" s="78" t="b">
        <f t="shared" si="1261"/>
        <v>0</v>
      </c>
      <c r="AL1515" s="78" t="b">
        <f t="shared" si="1262"/>
        <v>0</v>
      </c>
      <c r="AM1515" s="78" t="b">
        <f t="shared" si="1263"/>
        <v>0</v>
      </c>
      <c r="AN1515" s="78" t="b">
        <f t="shared" si="1264"/>
        <v>0</v>
      </c>
      <c r="AO1515" s="78" t="b">
        <f t="shared" si="1265"/>
        <v>0</v>
      </c>
    </row>
    <row r="1516" spans="7:41" x14ac:dyDescent="0.35">
      <c r="G1516" s="77">
        <f t="shared" si="1235"/>
        <v>0</v>
      </c>
      <c r="H1516" s="78">
        <f t="shared" si="1236"/>
        <v>0</v>
      </c>
      <c r="I1516" s="77">
        <f t="shared" si="1237"/>
        <v>0</v>
      </c>
      <c r="J1516" s="78">
        <f t="shared" si="1238"/>
        <v>0</v>
      </c>
      <c r="K1516" s="78" t="str">
        <f t="shared" si="1239"/>
        <v>1900-01-00 00:0:00</v>
      </c>
      <c r="L1516" s="78" t="str">
        <f t="shared" si="1240"/>
        <v>1900-01-00 00:0:00</v>
      </c>
      <c r="M1516" s="79">
        <f t="shared" si="1241"/>
        <v>0</v>
      </c>
      <c r="N1516">
        <f t="shared" si="1266"/>
        <v>1</v>
      </c>
      <c r="O1516" t="str">
        <f>IFERROR(_xlfn.XLOOKUP(A1516,HC!A:A,HC!C:C),"")</f>
        <v>Workforce</v>
      </c>
      <c r="R1516" s="78" t="b">
        <f t="shared" si="1242"/>
        <v>0</v>
      </c>
      <c r="S1516" s="78" t="b">
        <f t="shared" si="1243"/>
        <v>0</v>
      </c>
      <c r="T1516" s="78" t="b">
        <f t="shared" si="1244"/>
        <v>0</v>
      </c>
      <c r="U1516" s="78" t="b">
        <f t="shared" si="1245"/>
        <v>0</v>
      </c>
      <c r="V1516" s="78" t="b">
        <f t="shared" si="1246"/>
        <v>0</v>
      </c>
      <c r="W1516" s="78" t="b">
        <f t="shared" si="1247"/>
        <v>0</v>
      </c>
      <c r="X1516" s="78" t="b">
        <f t="shared" si="1248"/>
        <v>0</v>
      </c>
      <c r="Y1516" s="78" t="b">
        <f t="shared" si="1249"/>
        <v>0</v>
      </c>
      <c r="Z1516" s="78" t="b">
        <f t="shared" si="1250"/>
        <v>0</v>
      </c>
      <c r="AA1516" s="78" t="b">
        <f t="shared" si="1251"/>
        <v>0</v>
      </c>
      <c r="AB1516" s="78" t="b">
        <f t="shared" si="1252"/>
        <v>0</v>
      </c>
      <c r="AC1516" s="78" t="b">
        <f t="shared" si="1253"/>
        <v>0</v>
      </c>
      <c r="AD1516" s="78" t="b">
        <f t="shared" si="1254"/>
        <v>0</v>
      </c>
      <c r="AE1516" s="78" t="b">
        <f t="shared" si="1255"/>
        <v>0</v>
      </c>
      <c r="AF1516" s="78" t="b">
        <f t="shared" si="1256"/>
        <v>0</v>
      </c>
      <c r="AG1516" s="78" t="b">
        <f t="shared" si="1257"/>
        <v>0</v>
      </c>
      <c r="AH1516" s="78" t="b">
        <f t="shared" si="1258"/>
        <v>0</v>
      </c>
      <c r="AI1516" s="78" t="b">
        <f t="shared" si="1259"/>
        <v>0</v>
      </c>
      <c r="AJ1516" s="78" t="b">
        <f t="shared" si="1260"/>
        <v>0</v>
      </c>
      <c r="AK1516" s="78" t="b">
        <f t="shared" si="1261"/>
        <v>0</v>
      </c>
      <c r="AL1516" s="78" t="b">
        <f t="shared" si="1262"/>
        <v>0</v>
      </c>
      <c r="AM1516" s="78" t="b">
        <f t="shared" si="1263"/>
        <v>0</v>
      </c>
      <c r="AN1516" s="78" t="b">
        <f t="shared" si="1264"/>
        <v>0</v>
      </c>
      <c r="AO1516" s="78" t="b">
        <f t="shared" si="1265"/>
        <v>0</v>
      </c>
    </row>
    <row r="1517" spans="7:41" x14ac:dyDescent="0.35">
      <c r="G1517" s="77">
        <f t="shared" si="1235"/>
        <v>0</v>
      </c>
      <c r="H1517" s="78">
        <f t="shared" si="1236"/>
        <v>0</v>
      </c>
      <c r="I1517" s="77">
        <f t="shared" si="1237"/>
        <v>0</v>
      </c>
      <c r="J1517" s="78">
        <f t="shared" si="1238"/>
        <v>0</v>
      </c>
      <c r="K1517" s="78" t="str">
        <f t="shared" si="1239"/>
        <v>1900-01-00 00:0:00</v>
      </c>
      <c r="L1517" s="78" t="str">
        <f t="shared" si="1240"/>
        <v>1900-01-00 00:0:00</v>
      </c>
      <c r="M1517" s="79">
        <f t="shared" si="1241"/>
        <v>0</v>
      </c>
      <c r="N1517">
        <f t="shared" si="1266"/>
        <v>1</v>
      </c>
      <c r="O1517" t="str">
        <f>IFERROR(_xlfn.XLOOKUP(A1517,HC!A:A,HC!C:C),"")</f>
        <v>Workforce</v>
      </c>
      <c r="R1517" s="78" t="b">
        <f t="shared" si="1242"/>
        <v>0</v>
      </c>
      <c r="S1517" s="78" t="b">
        <f t="shared" si="1243"/>
        <v>0</v>
      </c>
      <c r="T1517" s="78" t="b">
        <f t="shared" si="1244"/>
        <v>0</v>
      </c>
      <c r="U1517" s="78" t="b">
        <f t="shared" si="1245"/>
        <v>0</v>
      </c>
      <c r="V1517" s="78" t="b">
        <f t="shared" si="1246"/>
        <v>0</v>
      </c>
      <c r="W1517" s="78" t="b">
        <f t="shared" si="1247"/>
        <v>0</v>
      </c>
      <c r="X1517" s="78" t="b">
        <f t="shared" si="1248"/>
        <v>0</v>
      </c>
      <c r="Y1517" s="78" t="b">
        <f t="shared" si="1249"/>
        <v>0</v>
      </c>
      <c r="Z1517" s="78" t="b">
        <f t="shared" si="1250"/>
        <v>0</v>
      </c>
      <c r="AA1517" s="78" t="b">
        <f t="shared" si="1251"/>
        <v>0</v>
      </c>
      <c r="AB1517" s="78" t="b">
        <f t="shared" si="1252"/>
        <v>0</v>
      </c>
      <c r="AC1517" s="78" t="b">
        <f t="shared" si="1253"/>
        <v>0</v>
      </c>
      <c r="AD1517" s="78" t="b">
        <f t="shared" si="1254"/>
        <v>0</v>
      </c>
      <c r="AE1517" s="78" t="b">
        <f t="shared" si="1255"/>
        <v>0</v>
      </c>
      <c r="AF1517" s="78" t="b">
        <f t="shared" si="1256"/>
        <v>0</v>
      </c>
      <c r="AG1517" s="78" t="b">
        <f t="shared" si="1257"/>
        <v>0</v>
      </c>
      <c r="AH1517" s="78" t="b">
        <f t="shared" si="1258"/>
        <v>0</v>
      </c>
      <c r="AI1517" s="78" t="b">
        <f t="shared" si="1259"/>
        <v>0</v>
      </c>
      <c r="AJ1517" s="78" t="b">
        <f t="shared" si="1260"/>
        <v>0</v>
      </c>
      <c r="AK1517" s="78" t="b">
        <f t="shared" si="1261"/>
        <v>0</v>
      </c>
      <c r="AL1517" s="78" t="b">
        <f t="shared" si="1262"/>
        <v>0</v>
      </c>
      <c r="AM1517" s="78" t="b">
        <f t="shared" si="1263"/>
        <v>0</v>
      </c>
      <c r="AN1517" s="78" t="b">
        <f t="shared" si="1264"/>
        <v>0</v>
      </c>
      <c r="AO1517" s="78" t="b">
        <f t="shared" si="1265"/>
        <v>0</v>
      </c>
    </row>
    <row r="1518" spans="7:41" x14ac:dyDescent="0.35">
      <c r="G1518" s="77">
        <f t="shared" si="1235"/>
        <v>0</v>
      </c>
      <c r="H1518" s="78">
        <f t="shared" si="1236"/>
        <v>0</v>
      </c>
      <c r="I1518" s="77">
        <f t="shared" si="1237"/>
        <v>0</v>
      </c>
      <c r="J1518" s="78">
        <f t="shared" si="1238"/>
        <v>0</v>
      </c>
      <c r="K1518" s="78" t="str">
        <f t="shared" si="1239"/>
        <v>1900-01-00 00:0:00</v>
      </c>
      <c r="L1518" s="78" t="str">
        <f t="shared" si="1240"/>
        <v>1900-01-00 00:0:00</v>
      </c>
      <c r="M1518" s="79">
        <f t="shared" si="1241"/>
        <v>0</v>
      </c>
      <c r="N1518">
        <f t="shared" si="1266"/>
        <v>1</v>
      </c>
      <c r="O1518" t="str">
        <f>IFERROR(_xlfn.XLOOKUP(A1518,HC!A:A,HC!C:C),"")</f>
        <v>Workforce</v>
      </c>
      <c r="R1518" s="78" t="b">
        <f t="shared" si="1242"/>
        <v>0</v>
      </c>
      <c r="S1518" s="78" t="b">
        <f t="shared" si="1243"/>
        <v>0</v>
      </c>
      <c r="T1518" s="78" t="b">
        <f t="shared" si="1244"/>
        <v>0</v>
      </c>
      <c r="U1518" s="78" t="b">
        <f t="shared" si="1245"/>
        <v>0</v>
      </c>
      <c r="V1518" s="78" t="b">
        <f t="shared" si="1246"/>
        <v>0</v>
      </c>
      <c r="W1518" s="78" t="b">
        <f t="shared" si="1247"/>
        <v>0</v>
      </c>
      <c r="X1518" s="78" t="b">
        <f t="shared" si="1248"/>
        <v>0</v>
      </c>
      <c r="Y1518" s="78" t="b">
        <f t="shared" si="1249"/>
        <v>0</v>
      </c>
      <c r="Z1518" s="78" t="b">
        <f t="shared" si="1250"/>
        <v>0</v>
      </c>
      <c r="AA1518" s="78" t="b">
        <f t="shared" si="1251"/>
        <v>0</v>
      </c>
      <c r="AB1518" s="78" t="b">
        <f t="shared" si="1252"/>
        <v>0</v>
      </c>
      <c r="AC1518" s="78" t="b">
        <f t="shared" si="1253"/>
        <v>0</v>
      </c>
      <c r="AD1518" s="78" t="b">
        <f t="shared" si="1254"/>
        <v>0</v>
      </c>
      <c r="AE1518" s="78" t="b">
        <f t="shared" si="1255"/>
        <v>0</v>
      </c>
      <c r="AF1518" s="78" t="b">
        <f t="shared" si="1256"/>
        <v>0</v>
      </c>
      <c r="AG1518" s="78" t="b">
        <f t="shared" si="1257"/>
        <v>0</v>
      </c>
      <c r="AH1518" s="78" t="b">
        <f t="shared" si="1258"/>
        <v>0</v>
      </c>
      <c r="AI1518" s="78" t="b">
        <f t="shared" si="1259"/>
        <v>0</v>
      </c>
      <c r="AJ1518" s="78" t="b">
        <f t="shared" si="1260"/>
        <v>0</v>
      </c>
      <c r="AK1518" s="78" t="b">
        <f t="shared" si="1261"/>
        <v>0</v>
      </c>
      <c r="AL1518" s="78" t="b">
        <f t="shared" si="1262"/>
        <v>0</v>
      </c>
      <c r="AM1518" s="78" t="b">
        <f t="shared" si="1263"/>
        <v>0</v>
      </c>
      <c r="AN1518" s="78" t="b">
        <f t="shared" si="1264"/>
        <v>0</v>
      </c>
      <c r="AO1518" s="78" t="b">
        <f t="shared" si="1265"/>
        <v>0</v>
      </c>
    </row>
    <row r="1519" spans="7:41" x14ac:dyDescent="0.35">
      <c r="G1519" s="77">
        <f t="shared" si="1235"/>
        <v>0</v>
      </c>
      <c r="H1519" s="78">
        <f t="shared" si="1236"/>
        <v>0</v>
      </c>
      <c r="I1519" s="77">
        <f t="shared" si="1237"/>
        <v>0</v>
      </c>
      <c r="J1519" s="78">
        <f t="shared" si="1238"/>
        <v>0</v>
      </c>
      <c r="K1519" s="78" t="str">
        <f t="shared" si="1239"/>
        <v>1900-01-00 00:0:00</v>
      </c>
      <c r="L1519" s="78" t="str">
        <f t="shared" si="1240"/>
        <v>1900-01-00 00:0:00</v>
      </c>
      <c r="M1519" s="79">
        <f t="shared" si="1241"/>
        <v>0</v>
      </c>
      <c r="N1519">
        <f t="shared" si="1266"/>
        <v>1</v>
      </c>
      <c r="O1519" t="str">
        <f>IFERROR(_xlfn.XLOOKUP(A1519,HC!A:A,HC!C:C),"")</f>
        <v>Workforce</v>
      </c>
      <c r="R1519" s="78" t="b">
        <f t="shared" si="1242"/>
        <v>0</v>
      </c>
      <c r="S1519" s="78" t="b">
        <f t="shared" si="1243"/>
        <v>0</v>
      </c>
      <c r="T1519" s="78" t="b">
        <f t="shared" si="1244"/>
        <v>0</v>
      </c>
      <c r="U1519" s="78" t="b">
        <f t="shared" si="1245"/>
        <v>0</v>
      </c>
      <c r="V1519" s="78" t="b">
        <f t="shared" si="1246"/>
        <v>0</v>
      </c>
      <c r="W1519" s="78" t="b">
        <f t="shared" si="1247"/>
        <v>0</v>
      </c>
      <c r="X1519" s="78" t="b">
        <f t="shared" si="1248"/>
        <v>0</v>
      </c>
      <c r="Y1519" s="78" t="b">
        <f t="shared" si="1249"/>
        <v>0</v>
      </c>
      <c r="Z1519" s="78" t="b">
        <f t="shared" si="1250"/>
        <v>0</v>
      </c>
      <c r="AA1519" s="78" t="b">
        <f t="shared" si="1251"/>
        <v>0</v>
      </c>
      <c r="AB1519" s="78" t="b">
        <f t="shared" si="1252"/>
        <v>0</v>
      </c>
      <c r="AC1519" s="78" t="b">
        <f t="shared" si="1253"/>
        <v>0</v>
      </c>
      <c r="AD1519" s="78" t="b">
        <f t="shared" si="1254"/>
        <v>0</v>
      </c>
      <c r="AE1519" s="78" t="b">
        <f t="shared" si="1255"/>
        <v>0</v>
      </c>
      <c r="AF1519" s="78" t="b">
        <f t="shared" si="1256"/>
        <v>0</v>
      </c>
      <c r="AG1519" s="78" t="b">
        <f t="shared" si="1257"/>
        <v>0</v>
      </c>
      <c r="AH1519" s="78" t="b">
        <f t="shared" si="1258"/>
        <v>0</v>
      </c>
      <c r="AI1519" s="78" t="b">
        <f t="shared" si="1259"/>
        <v>0</v>
      </c>
      <c r="AJ1519" s="78" t="b">
        <f t="shared" si="1260"/>
        <v>0</v>
      </c>
      <c r="AK1519" s="78" t="b">
        <f t="shared" si="1261"/>
        <v>0</v>
      </c>
      <c r="AL1519" s="78" t="b">
        <f t="shared" si="1262"/>
        <v>0</v>
      </c>
      <c r="AM1519" s="78" t="b">
        <f t="shared" si="1263"/>
        <v>0</v>
      </c>
      <c r="AN1519" s="78" t="b">
        <f t="shared" si="1264"/>
        <v>0</v>
      </c>
      <c r="AO1519" s="78" t="b">
        <f t="shared" si="1265"/>
        <v>0</v>
      </c>
    </row>
    <row r="1520" spans="7:41" x14ac:dyDescent="0.35">
      <c r="G1520" s="77">
        <f t="shared" si="1235"/>
        <v>0</v>
      </c>
      <c r="H1520" s="78">
        <f t="shared" si="1236"/>
        <v>0</v>
      </c>
      <c r="I1520" s="77">
        <f t="shared" si="1237"/>
        <v>0</v>
      </c>
      <c r="J1520" s="78">
        <f t="shared" si="1238"/>
        <v>0</v>
      </c>
      <c r="K1520" s="78" t="str">
        <f t="shared" si="1239"/>
        <v>1900-01-00 00:0:00</v>
      </c>
      <c r="L1520" s="78" t="str">
        <f t="shared" si="1240"/>
        <v>1900-01-00 00:0:00</v>
      </c>
      <c r="M1520" s="79">
        <f t="shared" si="1241"/>
        <v>0</v>
      </c>
      <c r="N1520">
        <f t="shared" si="1266"/>
        <v>1</v>
      </c>
      <c r="O1520" t="str">
        <f>IFERROR(_xlfn.XLOOKUP(A1520,HC!A:A,HC!C:C),"")</f>
        <v>Workforce</v>
      </c>
      <c r="R1520" s="78" t="b">
        <f t="shared" si="1242"/>
        <v>0</v>
      </c>
      <c r="S1520" s="78" t="b">
        <f t="shared" si="1243"/>
        <v>0</v>
      </c>
      <c r="T1520" s="78" t="b">
        <f t="shared" si="1244"/>
        <v>0</v>
      </c>
      <c r="U1520" s="78" t="b">
        <f t="shared" si="1245"/>
        <v>0</v>
      </c>
      <c r="V1520" s="78" t="b">
        <f t="shared" si="1246"/>
        <v>0</v>
      </c>
      <c r="W1520" s="78" t="b">
        <f t="shared" si="1247"/>
        <v>0</v>
      </c>
      <c r="X1520" s="78" t="b">
        <f t="shared" si="1248"/>
        <v>0</v>
      </c>
      <c r="Y1520" s="78" t="b">
        <f t="shared" si="1249"/>
        <v>0</v>
      </c>
      <c r="Z1520" s="78" t="b">
        <f t="shared" si="1250"/>
        <v>0</v>
      </c>
      <c r="AA1520" s="78" t="b">
        <f t="shared" si="1251"/>
        <v>0</v>
      </c>
      <c r="AB1520" s="78" t="b">
        <f t="shared" si="1252"/>
        <v>0</v>
      </c>
      <c r="AC1520" s="78" t="b">
        <f t="shared" si="1253"/>
        <v>0</v>
      </c>
      <c r="AD1520" s="78" t="b">
        <f t="shared" si="1254"/>
        <v>0</v>
      </c>
      <c r="AE1520" s="78" t="b">
        <f t="shared" si="1255"/>
        <v>0</v>
      </c>
      <c r="AF1520" s="78" t="b">
        <f t="shared" si="1256"/>
        <v>0</v>
      </c>
      <c r="AG1520" s="78" t="b">
        <f t="shared" si="1257"/>
        <v>0</v>
      </c>
      <c r="AH1520" s="78" t="b">
        <f t="shared" si="1258"/>
        <v>0</v>
      </c>
      <c r="AI1520" s="78" t="b">
        <f t="shared" si="1259"/>
        <v>0</v>
      </c>
      <c r="AJ1520" s="78" t="b">
        <f t="shared" si="1260"/>
        <v>0</v>
      </c>
      <c r="AK1520" s="78" t="b">
        <f t="shared" si="1261"/>
        <v>0</v>
      </c>
      <c r="AL1520" s="78" t="b">
        <f t="shared" si="1262"/>
        <v>0</v>
      </c>
      <c r="AM1520" s="78" t="b">
        <f t="shared" si="1263"/>
        <v>0</v>
      </c>
      <c r="AN1520" s="78" t="b">
        <f t="shared" si="1264"/>
        <v>0</v>
      </c>
      <c r="AO1520" s="78" t="b">
        <f t="shared" si="1265"/>
        <v>0</v>
      </c>
    </row>
    <row r="1521" spans="7:41" x14ac:dyDescent="0.35">
      <c r="G1521" s="77">
        <f t="shared" si="1235"/>
        <v>0</v>
      </c>
      <c r="H1521" s="78">
        <f t="shared" si="1236"/>
        <v>0</v>
      </c>
      <c r="I1521" s="77">
        <f t="shared" si="1237"/>
        <v>0</v>
      </c>
      <c r="J1521" s="78">
        <f t="shared" si="1238"/>
        <v>0</v>
      </c>
      <c r="K1521" s="78" t="str">
        <f t="shared" si="1239"/>
        <v>1900-01-00 00:0:00</v>
      </c>
      <c r="L1521" s="78" t="str">
        <f t="shared" si="1240"/>
        <v>1900-01-00 00:0:00</v>
      </c>
      <c r="M1521" s="79">
        <f t="shared" si="1241"/>
        <v>0</v>
      </c>
      <c r="N1521">
        <f t="shared" si="1266"/>
        <v>1</v>
      </c>
      <c r="O1521" t="str">
        <f>IFERROR(_xlfn.XLOOKUP(A1521,HC!A:A,HC!C:C),"")</f>
        <v>Workforce</v>
      </c>
      <c r="R1521" s="78" t="b">
        <f t="shared" si="1242"/>
        <v>0</v>
      </c>
      <c r="S1521" s="78" t="b">
        <f t="shared" si="1243"/>
        <v>0</v>
      </c>
      <c r="T1521" s="78" t="b">
        <f t="shared" si="1244"/>
        <v>0</v>
      </c>
      <c r="U1521" s="78" t="b">
        <f t="shared" si="1245"/>
        <v>0</v>
      </c>
      <c r="V1521" s="78" t="b">
        <f t="shared" si="1246"/>
        <v>0</v>
      </c>
      <c r="W1521" s="78" t="b">
        <f t="shared" si="1247"/>
        <v>0</v>
      </c>
      <c r="X1521" s="78" t="b">
        <f t="shared" si="1248"/>
        <v>0</v>
      </c>
      <c r="Y1521" s="78" t="b">
        <f t="shared" si="1249"/>
        <v>0</v>
      </c>
      <c r="Z1521" s="78" t="b">
        <f t="shared" si="1250"/>
        <v>0</v>
      </c>
      <c r="AA1521" s="78" t="b">
        <f t="shared" si="1251"/>
        <v>0</v>
      </c>
      <c r="AB1521" s="78" t="b">
        <f t="shared" si="1252"/>
        <v>0</v>
      </c>
      <c r="AC1521" s="78" t="b">
        <f t="shared" si="1253"/>
        <v>0</v>
      </c>
      <c r="AD1521" s="78" t="b">
        <f t="shared" si="1254"/>
        <v>0</v>
      </c>
      <c r="AE1521" s="78" t="b">
        <f t="shared" si="1255"/>
        <v>0</v>
      </c>
      <c r="AF1521" s="78" t="b">
        <f t="shared" si="1256"/>
        <v>0</v>
      </c>
      <c r="AG1521" s="78" t="b">
        <f t="shared" si="1257"/>
        <v>0</v>
      </c>
      <c r="AH1521" s="78" t="b">
        <f t="shared" si="1258"/>
        <v>0</v>
      </c>
      <c r="AI1521" s="78" t="b">
        <f t="shared" si="1259"/>
        <v>0</v>
      </c>
      <c r="AJ1521" s="78" t="b">
        <f t="shared" si="1260"/>
        <v>0</v>
      </c>
      <c r="AK1521" s="78" t="b">
        <f t="shared" si="1261"/>
        <v>0</v>
      </c>
      <c r="AL1521" s="78" t="b">
        <f t="shared" si="1262"/>
        <v>0</v>
      </c>
      <c r="AM1521" s="78" t="b">
        <f t="shared" si="1263"/>
        <v>0</v>
      </c>
      <c r="AN1521" s="78" t="b">
        <f t="shared" si="1264"/>
        <v>0</v>
      </c>
      <c r="AO1521" s="78" t="b">
        <f t="shared" si="1265"/>
        <v>0</v>
      </c>
    </row>
    <row r="1522" spans="7:41" x14ac:dyDescent="0.35">
      <c r="G1522" s="77">
        <f t="shared" si="1235"/>
        <v>0</v>
      </c>
      <c r="H1522" s="78">
        <f t="shared" si="1236"/>
        <v>0</v>
      </c>
      <c r="I1522" s="77">
        <f t="shared" si="1237"/>
        <v>0</v>
      </c>
      <c r="J1522" s="78">
        <f t="shared" si="1238"/>
        <v>0</v>
      </c>
      <c r="K1522" s="78" t="str">
        <f t="shared" si="1239"/>
        <v>1900-01-00 00:0:00</v>
      </c>
      <c r="L1522" s="78" t="str">
        <f t="shared" si="1240"/>
        <v>1900-01-00 00:0:00</v>
      </c>
      <c r="M1522" s="79">
        <f t="shared" si="1241"/>
        <v>0</v>
      </c>
      <c r="N1522">
        <f t="shared" si="1266"/>
        <v>1</v>
      </c>
      <c r="O1522" t="str">
        <f>IFERROR(_xlfn.XLOOKUP(A1522,HC!A:A,HC!C:C),"")</f>
        <v>Workforce</v>
      </c>
      <c r="R1522" s="78" t="b">
        <f t="shared" si="1242"/>
        <v>0</v>
      </c>
      <c r="S1522" s="78" t="b">
        <f t="shared" si="1243"/>
        <v>0</v>
      </c>
      <c r="T1522" s="78" t="b">
        <f t="shared" si="1244"/>
        <v>0</v>
      </c>
      <c r="U1522" s="78" t="b">
        <f t="shared" si="1245"/>
        <v>0</v>
      </c>
      <c r="V1522" s="78" t="b">
        <f t="shared" si="1246"/>
        <v>0</v>
      </c>
      <c r="W1522" s="78" t="b">
        <f t="shared" si="1247"/>
        <v>0</v>
      </c>
      <c r="X1522" s="78" t="b">
        <f t="shared" si="1248"/>
        <v>0</v>
      </c>
      <c r="Y1522" s="78" t="b">
        <f t="shared" si="1249"/>
        <v>0</v>
      </c>
      <c r="Z1522" s="78" t="b">
        <f t="shared" si="1250"/>
        <v>0</v>
      </c>
      <c r="AA1522" s="78" t="b">
        <f t="shared" si="1251"/>
        <v>0</v>
      </c>
      <c r="AB1522" s="78" t="b">
        <f t="shared" si="1252"/>
        <v>0</v>
      </c>
      <c r="AC1522" s="78" t="b">
        <f t="shared" si="1253"/>
        <v>0</v>
      </c>
      <c r="AD1522" s="78" t="b">
        <f t="shared" si="1254"/>
        <v>0</v>
      </c>
      <c r="AE1522" s="78" t="b">
        <f t="shared" si="1255"/>
        <v>0</v>
      </c>
      <c r="AF1522" s="78" t="b">
        <f t="shared" si="1256"/>
        <v>0</v>
      </c>
      <c r="AG1522" s="78" t="b">
        <f t="shared" si="1257"/>
        <v>0</v>
      </c>
      <c r="AH1522" s="78" t="b">
        <f t="shared" si="1258"/>
        <v>0</v>
      </c>
      <c r="AI1522" s="78" t="b">
        <f t="shared" si="1259"/>
        <v>0</v>
      </c>
      <c r="AJ1522" s="78" t="b">
        <f t="shared" si="1260"/>
        <v>0</v>
      </c>
      <c r="AK1522" s="78" t="b">
        <f t="shared" si="1261"/>
        <v>0</v>
      </c>
      <c r="AL1522" s="78" t="b">
        <f t="shared" si="1262"/>
        <v>0</v>
      </c>
      <c r="AM1522" s="78" t="b">
        <f t="shared" si="1263"/>
        <v>0</v>
      </c>
      <c r="AN1522" s="78" t="b">
        <f t="shared" si="1264"/>
        <v>0</v>
      </c>
      <c r="AO1522" s="78" t="b">
        <f t="shared" si="1265"/>
        <v>0</v>
      </c>
    </row>
    <row r="1523" spans="7:41" x14ac:dyDescent="0.35">
      <c r="G1523" s="77">
        <f t="shared" si="1235"/>
        <v>0</v>
      </c>
      <c r="H1523" s="78">
        <f t="shared" si="1236"/>
        <v>0</v>
      </c>
      <c r="I1523" s="77">
        <f t="shared" si="1237"/>
        <v>0</v>
      </c>
      <c r="J1523" s="78">
        <f t="shared" si="1238"/>
        <v>0</v>
      </c>
      <c r="K1523" s="78" t="str">
        <f t="shared" si="1239"/>
        <v>1900-01-00 00:0:00</v>
      </c>
      <c r="L1523" s="78" t="str">
        <f t="shared" si="1240"/>
        <v>1900-01-00 00:0:00</v>
      </c>
      <c r="M1523" s="79">
        <f t="shared" si="1241"/>
        <v>0</v>
      </c>
      <c r="N1523">
        <f t="shared" si="1266"/>
        <v>1</v>
      </c>
      <c r="O1523" t="str">
        <f>IFERROR(_xlfn.XLOOKUP(A1523,HC!A:A,HC!C:C),"")</f>
        <v>Workforce</v>
      </c>
      <c r="R1523" s="78" t="b">
        <f t="shared" si="1242"/>
        <v>0</v>
      </c>
      <c r="S1523" s="78" t="b">
        <f t="shared" si="1243"/>
        <v>0</v>
      </c>
      <c r="T1523" s="78" t="b">
        <f t="shared" si="1244"/>
        <v>0</v>
      </c>
      <c r="U1523" s="78" t="b">
        <f t="shared" si="1245"/>
        <v>0</v>
      </c>
      <c r="V1523" s="78" t="b">
        <f t="shared" si="1246"/>
        <v>0</v>
      </c>
      <c r="W1523" s="78" t="b">
        <f t="shared" si="1247"/>
        <v>0</v>
      </c>
      <c r="X1523" s="78" t="b">
        <f t="shared" si="1248"/>
        <v>0</v>
      </c>
      <c r="Y1523" s="78" t="b">
        <f t="shared" si="1249"/>
        <v>0</v>
      </c>
      <c r="Z1523" s="78" t="b">
        <f t="shared" si="1250"/>
        <v>0</v>
      </c>
      <c r="AA1523" s="78" t="b">
        <f t="shared" si="1251"/>
        <v>0</v>
      </c>
      <c r="AB1523" s="78" t="b">
        <f t="shared" si="1252"/>
        <v>0</v>
      </c>
      <c r="AC1523" s="78" t="b">
        <f t="shared" si="1253"/>
        <v>0</v>
      </c>
      <c r="AD1523" s="78" t="b">
        <f t="shared" si="1254"/>
        <v>0</v>
      </c>
      <c r="AE1523" s="78" t="b">
        <f t="shared" si="1255"/>
        <v>0</v>
      </c>
      <c r="AF1523" s="78" t="b">
        <f t="shared" si="1256"/>
        <v>0</v>
      </c>
      <c r="AG1523" s="78" t="b">
        <f t="shared" si="1257"/>
        <v>0</v>
      </c>
      <c r="AH1523" s="78" t="b">
        <f t="shared" si="1258"/>
        <v>0</v>
      </c>
      <c r="AI1523" s="78" t="b">
        <f t="shared" si="1259"/>
        <v>0</v>
      </c>
      <c r="AJ1523" s="78" t="b">
        <f t="shared" si="1260"/>
        <v>0</v>
      </c>
      <c r="AK1523" s="78" t="b">
        <f t="shared" si="1261"/>
        <v>0</v>
      </c>
      <c r="AL1523" s="78" t="b">
        <f t="shared" si="1262"/>
        <v>0</v>
      </c>
      <c r="AM1523" s="78" t="b">
        <f t="shared" si="1263"/>
        <v>0</v>
      </c>
      <c r="AN1523" s="78" t="b">
        <f t="shared" si="1264"/>
        <v>0</v>
      </c>
      <c r="AO1523" s="78" t="b">
        <f t="shared" si="1265"/>
        <v>0</v>
      </c>
    </row>
    <row r="1524" spans="7:41" x14ac:dyDescent="0.35">
      <c r="G1524" s="77">
        <f t="shared" si="1235"/>
        <v>0</v>
      </c>
      <c r="H1524" s="78">
        <f t="shared" si="1236"/>
        <v>0</v>
      </c>
      <c r="I1524" s="77">
        <f t="shared" si="1237"/>
        <v>0</v>
      </c>
      <c r="J1524" s="78">
        <f t="shared" si="1238"/>
        <v>0</v>
      </c>
      <c r="K1524" s="78" t="str">
        <f t="shared" si="1239"/>
        <v>1900-01-00 00:0:00</v>
      </c>
      <c r="L1524" s="78" t="str">
        <f t="shared" si="1240"/>
        <v>1900-01-00 00:0:00</v>
      </c>
      <c r="M1524" s="79">
        <f t="shared" si="1241"/>
        <v>0</v>
      </c>
      <c r="N1524">
        <f t="shared" si="1266"/>
        <v>1</v>
      </c>
      <c r="O1524" t="str">
        <f>IFERROR(_xlfn.XLOOKUP(A1524,HC!A:A,HC!C:C),"")</f>
        <v>Workforce</v>
      </c>
      <c r="R1524" s="78" t="b">
        <f t="shared" si="1242"/>
        <v>0</v>
      </c>
      <c r="S1524" s="78" t="b">
        <f t="shared" si="1243"/>
        <v>0</v>
      </c>
      <c r="T1524" s="78" t="b">
        <f t="shared" si="1244"/>
        <v>0</v>
      </c>
      <c r="U1524" s="78" t="b">
        <f t="shared" si="1245"/>
        <v>0</v>
      </c>
      <c r="V1524" s="78" t="b">
        <f t="shared" si="1246"/>
        <v>0</v>
      </c>
      <c r="W1524" s="78" t="b">
        <f t="shared" si="1247"/>
        <v>0</v>
      </c>
      <c r="X1524" s="78" t="b">
        <f t="shared" si="1248"/>
        <v>0</v>
      </c>
      <c r="Y1524" s="78" t="b">
        <f t="shared" si="1249"/>
        <v>0</v>
      </c>
      <c r="Z1524" s="78" t="b">
        <f t="shared" si="1250"/>
        <v>0</v>
      </c>
      <c r="AA1524" s="78" t="b">
        <f t="shared" si="1251"/>
        <v>0</v>
      </c>
      <c r="AB1524" s="78" t="b">
        <f t="shared" si="1252"/>
        <v>0</v>
      </c>
      <c r="AC1524" s="78" t="b">
        <f t="shared" si="1253"/>
        <v>0</v>
      </c>
      <c r="AD1524" s="78" t="b">
        <f t="shared" si="1254"/>
        <v>0</v>
      </c>
      <c r="AE1524" s="78" t="b">
        <f t="shared" si="1255"/>
        <v>0</v>
      </c>
      <c r="AF1524" s="78" t="b">
        <f t="shared" si="1256"/>
        <v>0</v>
      </c>
      <c r="AG1524" s="78" t="b">
        <f t="shared" si="1257"/>
        <v>0</v>
      </c>
      <c r="AH1524" s="78" t="b">
        <f t="shared" si="1258"/>
        <v>0</v>
      </c>
      <c r="AI1524" s="78" t="b">
        <f t="shared" si="1259"/>
        <v>0</v>
      </c>
      <c r="AJ1524" s="78" t="b">
        <f t="shared" si="1260"/>
        <v>0</v>
      </c>
      <c r="AK1524" s="78" t="b">
        <f t="shared" si="1261"/>
        <v>0</v>
      </c>
      <c r="AL1524" s="78" t="b">
        <f t="shared" si="1262"/>
        <v>0</v>
      </c>
      <c r="AM1524" s="78" t="b">
        <f t="shared" si="1263"/>
        <v>0</v>
      </c>
      <c r="AN1524" s="78" t="b">
        <f t="shared" si="1264"/>
        <v>0</v>
      </c>
      <c r="AO1524" s="78" t="b">
        <f t="shared" si="1265"/>
        <v>0</v>
      </c>
    </row>
    <row r="1525" spans="7:41" x14ac:dyDescent="0.35">
      <c r="G1525" s="77">
        <f t="shared" si="1235"/>
        <v>0</v>
      </c>
      <c r="H1525" s="78">
        <f t="shared" si="1236"/>
        <v>0</v>
      </c>
      <c r="I1525" s="77">
        <f t="shared" si="1237"/>
        <v>0</v>
      </c>
      <c r="J1525" s="78">
        <f t="shared" si="1238"/>
        <v>0</v>
      </c>
      <c r="K1525" s="78" t="str">
        <f t="shared" si="1239"/>
        <v>1900-01-00 00:0:00</v>
      </c>
      <c r="L1525" s="78" t="str">
        <f t="shared" si="1240"/>
        <v>1900-01-00 00:0:00</v>
      </c>
      <c r="M1525" s="79">
        <f t="shared" si="1241"/>
        <v>0</v>
      </c>
      <c r="N1525">
        <f t="shared" si="1266"/>
        <v>1</v>
      </c>
      <c r="O1525" t="str">
        <f>IFERROR(_xlfn.XLOOKUP(A1525,HC!A:A,HC!C:C),"")</f>
        <v>Workforce</v>
      </c>
      <c r="R1525" s="78" t="b">
        <f t="shared" si="1242"/>
        <v>0</v>
      </c>
      <c r="S1525" s="78" t="b">
        <f t="shared" si="1243"/>
        <v>0</v>
      </c>
      <c r="T1525" s="78" t="b">
        <f t="shared" si="1244"/>
        <v>0</v>
      </c>
      <c r="U1525" s="78" t="b">
        <f t="shared" si="1245"/>
        <v>0</v>
      </c>
      <c r="V1525" s="78" t="b">
        <f t="shared" si="1246"/>
        <v>0</v>
      </c>
      <c r="W1525" s="78" t="b">
        <f t="shared" si="1247"/>
        <v>0</v>
      </c>
      <c r="X1525" s="78" t="b">
        <f t="shared" si="1248"/>
        <v>0</v>
      </c>
      <c r="Y1525" s="78" t="b">
        <f t="shared" si="1249"/>
        <v>0</v>
      </c>
      <c r="Z1525" s="78" t="b">
        <f t="shared" si="1250"/>
        <v>0</v>
      </c>
      <c r="AA1525" s="78" t="b">
        <f t="shared" si="1251"/>
        <v>0</v>
      </c>
      <c r="AB1525" s="78" t="b">
        <f t="shared" si="1252"/>
        <v>0</v>
      </c>
      <c r="AC1525" s="78" t="b">
        <f t="shared" si="1253"/>
        <v>0</v>
      </c>
      <c r="AD1525" s="78" t="b">
        <f t="shared" si="1254"/>
        <v>0</v>
      </c>
      <c r="AE1525" s="78" t="b">
        <f t="shared" si="1255"/>
        <v>0</v>
      </c>
      <c r="AF1525" s="78" t="b">
        <f t="shared" si="1256"/>
        <v>0</v>
      </c>
      <c r="AG1525" s="78" t="b">
        <f t="shared" si="1257"/>
        <v>0</v>
      </c>
      <c r="AH1525" s="78" t="b">
        <f t="shared" si="1258"/>
        <v>0</v>
      </c>
      <c r="AI1525" s="78" t="b">
        <f t="shared" si="1259"/>
        <v>0</v>
      </c>
      <c r="AJ1525" s="78" t="b">
        <f t="shared" si="1260"/>
        <v>0</v>
      </c>
      <c r="AK1525" s="78" t="b">
        <f t="shared" si="1261"/>
        <v>0</v>
      </c>
      <c r="AL1525" s="78" t="b">
        <f t="shared" si="1262"/>
        <v>0</v>
      </c>
      <c r="AM1525" s="78" t="b">
        <f t="shared" si="1263"/>
        <v>0</v>
      </c>
      <c r="AN1525" s="78" t="b">
        <f t="shared" si="1264"/>
        <v>0</v>
      </c>
      <c r="AO1525" s="78" t="b">
        <f t="shared" si="1265"/>
        <v>0</v>
      </c>
    </row>
    <row r="1526" spans="7:41" x14ac:dyDescent="0.35">
      <c r="G1526" s="77">
        <f t="shared" si="1235"/>
        <v>0</v>
      </c>
      <c r="H1526" s="78">
        <f t="shared" si="1236"/>
        <v>0</v>
      </c>
      <c r="I1526" s="77">
        <f t="shared" si="1237"/>
        <v>0</v>
      </c>
      <c r="J1526" s="78">
        <f t="shared" si="1238"/>
        <v>0</v>
      </c>
      <c r="K1526" s="78" t="str">
        <f t="shared" si="1239"/>
        <v>1900-01-00 00:0:00</v>
      </c>
      <c r="L1526" s="78" t="str">
        <f t="shared" si="1240"/>
        <v>1900-01-00 00:0:00</v>
      </c>
      <c r="M1526" s="79">
        <f t="shared" si="1241"/>
        <v>0</v>
      </c>
      <c r="N1526">
        <f t="shared" si="1266"/>
        <v>1</v>
      </c>
      <c r="O1526" t="str">
        <f>IFERROR(_xlfn.XLOOKUP(A1526,HC!A:A,HC!C:C),"")</f>
        <v>Workforce</v>
      </c>
      <c r="R1526" s="78" t="b">
        <f t="shared" si="1242"/>
        <v>0</v>
      </c>
      <c r="S1526" s="78" t="b">
        <f t="shared" si="1243"/>
        <v>0</v>
      </c>
      <c r="T1526" s="78" t="b">
        <f t="shared" si="1244"/>
        <v>0</v>
      </c>
      <c r="U1526" s="78" t="b">
        <f t="shared" si="1245"/>
        <v>0</v>
      </c>
      <c r="V1526" s="78" t="b">
        <f t="shared" si="1246"/>
        <v>0</v>
      </c>
      <c r="W1526" s="78" t="b">
        <f t="shared" si="1247"/>
        <v>0</v>
      </c>
      <c r="X1526" s="78" t="b">
        <f t="shared" si="1248"/>
        <v>0</v>
      </c>
      <c r="Y1526" s="78" t="b">
        <f t="shared" si="1249"/>
        <v>0</v>
      </c>
      <c r="Z1526" s="78" t="b">
        <f t="shared" si="1250"/>
        <v>0</v>
      </c>
      <c r="AA1526" s="78" t="b">
        <f t="shared" si="1251"/>
        <v>0</v>
      </c>
      <c r="AB1526" s="78" t="b">
        <f t="shared" si="1252"/>
        <v>0</v>
      </c>
      <c r="AC1526" s="78" t="b">
        <f t="shared" si="1253"/>
        <v>0</v>
      </c>
      <c r="AD1526" s="78" t="b">
        <f t="shared" si="1254"/>
        <v>0</v>
      </c>
      <c r="AE1526" s="78" t="b">
        <f t="shared" si="1255"/>
        <v>0</v>
      </c>
      <c r="AF1526" s="78" t="b">
        <f t="shared" si="1256"/>
        <v>0</v>
      </c>
      <c r="AG1526" s="78" t="b">
        <f t="shared" si="1257"/>
        <v>0</v>
      </c>
      <c r="AH1526" s="78" t="b">
        <f t="shared" si="1258"/>
        <v>0</v>
      </c>
      <c r="AI1526" s="78" t="b">
        <f t="shared" si="1259"/>
        <v>0</v>
      </c>
      <c r="AJ1526" s="78" t="b">
        <f t="shared" si="1260"/>
        <v>0</v>
      </c>
      <c r="AK1526" s="78" t="b">
        <f t="shared" si="1261"/>
        <v>0</v>
      </c>
      <c r="AL1526" s="78" t="b">
        <f t="shared" si="1262"/>
        <v>0</v>
      </c>
      <c r="AM1526" s="78" t="b">
        <f t="shared" si="1263"/>
        <v>0</v>
      </c>
      <c r="AN1526" s="78" t="b">
        <f t="shared" si="1264"/>
        <v>0</v>
      </c>
      <c r="AO1526" s="78" t="b">
        <f t="shared" si="1265"/>
        <v>0</v>
      </c>
    </row>
    <row r="1527" spans="7:41" x14ac:dyDescent="0.35">
      <c r="G1527" s="77">
        <f t="shared" si="1235"/>
        <v>0</v>
      </c>
      <c r="H1527" s="78">
        <f t="shared" si="1236"/>
        <v>0</v>
      </c>
      <c r="I1527" s="77">
        <f t="shared" si="1237"/>
        <v>0</v>
      </c>
      <c r="J1527" s="78">
        <f t="shared" si="1238"/>
        <v>0</v>
      </c>
      <c r="K1527" s="78" t="str">
        <f t="shared" si="1239"/>
        <v>1900-01-00 00:0:00</v>
      </c>
      <c r="L1527" s="78" t="str">
        <f t="shared" si="1240"/>
        <v>1900-01-00 00:0:00</v>
      </c>
      <c r="M1527" s="79">
        <f t="shared" si="1241"/>
        <v>0</v>
      </c>
      <c r="N1527">
        <f t="shared" si="1266"/>
        <v>1</v>
      </c>
      <c r="O1527" t="str">
        <f>IFERROR(_xlfn.XLOOKUP(A1527,HC!A:A,HC!C:C),"")</f>
        <v>Workforce</v>
      </c>
      <c r="R1527" s="78" t="b">
        <f t="shared" si="1242"/>
        <v>0</v>
      </c>
      <c r="S1527" s="78" t="b">
        <f t="shared" si="1243"/>
        <v>0</v>
      </c>
      <c r="T1527" s="78" t="b">
        <f t="shared" si="1244"/>
        <v>0</v>
      </c>
      <c r="U1527" s="78" t="b">
        <f t="shared" si="1245"/>
        <v>0</v>
      </c>
      <c r="V1527" s="78" t="b">
        <f t="shared" si="1246"/>
        <v>0</v>
      </c>
      <c r="W1527" s="78" t="b">
        <f t="shared" si="1247"/>
        <v>0</v>
      </c>
      <c r="X1527" s="78" t="b">
        <f t="shared" si="1248"/>
        <v>0</v>
      </c>
      <c r="Y1527" s="78" t="b">
        <f t="shared" si="1249"/>
        <v>0</v>
      </c>
      <c r="Z1527" s="78" t="b">
        <f t="shared" si="1250"/>
        <v>0</v>
      </c>
      <c r="AA1527" s="78" t="b">
        <f t="shared" si="1251"/>
        <v>0</v>
      </c>
      <c r="AB1527" s="78" t="b">
        <f t="shared" si="1252"/>
        <v>0</v>
      </c>
      <c r="AC1527" s="78" t="b">
        <f t="shared" si="1253"/>
        <v>0</v>
      </c>
      <c r="AD1527" s="78" t="b">
        <f t="shared" si="1254"/>
        <v>0</v>
      </c>
      <c r="AE1527" s="78" t="b">
        <f t="shared" si="1255"/>
        <v>0</v>
      </c>
      <c r="AF1527" s="78" t="b">
        <f t="shared" si="1256"/>
        <v>0</v>
      </c>
      <c r="AG1527" s="78" t="b">
        <f t="shared" si="1257"/>
        <v>0</v>
      </c>
      <c r="AH1527" s="78" t="b">
        <f t="shared" si="1258"/>
        <v>0</v>
      </c>
      <c r="AI1527" s="78" t="b">
        <f t="shared" si="1259"/>
        <v>0</v>
      </c>
      <c r="AJ1527" s="78" t="b">
        <f t="shared" si="1260"/>
        <v>0</v>
      </c>
      <c r="AK1527" s="78" t="b">
        <f t="shared" si="1261"/>
        <v>0</v>
      </c>
      <c r="AL1527" s="78" t="b">
        <f t="shared" si="1262"/>
        <v>0</v>
      </c>
      <c r="AM1527" s="78" t="b">
        <f t="shared" si="1263"/>
        <v>0</v>
      </c>
      <c r="AN1527" s="78" t="b">
        <f t="shared" si="1264"/>
        <v>0</v>
      </c>
      <c r="AO1527" s="78" t="b">
        <f t="shared" si="1265"/>
        <v>0</v>
      </c>
    </row>
    <row r="1528" spans="7:41" x14ac:dyDescent="0.35">
      <c r="G1528" s="77">
        <f t="shared" si="1235"/>
        <v>0</v>
      </c>
      <c r="H1528" s="78">
        <f t="shared" si="1236"/>
        <v>0</v>
      </c>
      <c r="I1528" s="77">
        <f t="shared" si="1237"/>
        <v>0</v>
      </c>
      <c r="J1528" s="78">
        <f t="shared" si="1238"/>
        <v>0</v>
      </c>
      <c r="K1528" s="78" t="str">
        <f t="shared" si="1239"/>
        <v>1900-01-00 00:0:00</v>
      </c>
      <c r="L1528" s="78" t="str">
        <f t="shared" si="1240"/>
        <v>1900-01-00 00:0:00</v>
      </c>
      <c r="M1528" s="79">
        <f t="shared" si="1241"/>
        <v>0</v>
      </c>
      <c r="N1528">
        <f t="shared" si="1266"/>
        <v>1</v>
      </c>
      <c r="O1528" t="str">
        <f>IFERROR(_xlfn.XLOOKUP(A1528,HC!A:A,HC!C:C),"")</f>
        <v>Workforce</v>
      </c>
      <c r="R1528" s="78" t="b">
        <f t="shared" si="1242"/>
        <v>0</v>
      </c>
      <c r="S1528" s="78" t="b">
        <f t="shared" si="1243"/>
        <v>0</v>
      </c>
      <c r="T1528" s="78" t="b">
        <f t="shared" si="1244"/>
        <v>0</v>
      </c>
      <c r="U1528" s="78" t="b">
        <f t="shared" si="1245"/>
        <v>0</v>
      </c>
      <c r="V1528" s="78" t="b">
        <f t="shared" si="1246"/>
        <v>0</v>
      </c>
      <c r="W1528" s="78" t="b">
        <f t="shared" si="1247"/>
        <v>0</v>
      </c>
      <c r="X1528" s="78" t="b">
        <f t="shared" si="1248"/>
        <v>0</v>
      </c>
      <c r="Y1528" s="78" t="b">
        <f t="shared" si="1249"/>
        <v>0</v>
      </c>
      <c r="Z1528" s="78" t="b">
        <f t="shared" si="1250"/>
        <v>0</v>
      </c>
      <c r="AA1528" s="78" t="b">
        <f t="shared" si="1251"/>
        <v>0</v>
      </c>
      <c r="AB1528" s="78" t="b">
        <f t="shared" si="1252"/>
        <v>0</v>
      </c>
      <c r="AC1528" s="78" t="b">
        <f t="shared" si="1253"/>
        <v>0</v>
      </c>
      <c r="AD1528" s="78" t="b">
        <f t="shared" si="1254"/>
        <v>0</v>
      </c>
      <c r="AE1528" s="78" t="b">
        <f t="shared" si="1255"/>
        <v>0</v>
      </c>
      <c r="AF1528" s="78" t="b">
        <f t="shared" si="1256"/>
        <v>0</v>
      </c>
      <c r="AG1528" s="78" t="b">
        <f t="shared" si="1257"/>
        <v>0</v>
      </c>
      <c r="AH1528" s="78" t="b">
        <f t="shared" si="1258"/>
        <v>0</v>
      </c>
      <c r="AI1528" s="78" t="b">
        <f t="shared" si="1259"/>
        <v>0</v>
      </c>
      <c r="AJ1528" s="78" t="b">
        <f t="shared" si="1260"/>
        <v>0</v>
      </c>
      <c r="AK1528" s="78" t="b">
        <f t="shared" si="1261"/>
        <v>0</v>
      </c>
      <c r="AL1528" s="78" t="b">
        <f t="shared" si="1262"/>
        <v>0</v>
      </c>
      <c r="AM1528" s="78" t="b">
        <f t="shared" si="1263"/>
        <v>0</v>
      </c>
      <c r="AN1528" s="78" t="b">
        <f t="shared" si="1264"/>
        <v>0</v>
      </c>
      <c r="AO1528" s="78" t="b">
        <f t="shared" si="1265"/>
        <v>0</v>
      </c>
    </row>
    <row r="1529" spans="7:41" x14ac:dyDescent="0.35">
      <c r="G1529" s="77">
        <f t="shared" si="1235"/>
        <v>0</v>
      </c>
      <c r="H1529" s="78">
        <f t="shared" si="1236"/>
        <v>0</v>
      </c>
      <c r="I1529" s="77">
        <f t="shared" si="1237"/>
        <v>0</v>
      </c>
      <c r="J1529" s="78">
        <f t="shared" si="1238"/>
        <v>0</v>
      </c>
      <c r="K1529" s="78" t="str">
        <f t="shared" si="1239"/>
        <v>1900-01-00 00:0:00</v>
      </c>
      <c r="L1529" s="78" t="str">
        <f t="shared" si="1240"/>
        <v>1900-01-00 00:0:00</v>
      </c>
      <c r="M1529" s="79">
        <f t="shared" si="1241"/>
        <v>0</v>
      </c>
      <c r="N1529">
        <f t="shared" si="1266"/>
        <v>1</v>
      </c>
      <c r="O1529" t="str">
        <f>IFERROR(_xlfn.XLOOKUP(A1529,HC!A:A,HC!C:C),"")</f>
        <v>Workforce</v>
      </c>
      <c r="R1529" s="78" t="b">
        <f t="shared" si="1242"/>
        <v>0</v>
      </c>
      <c r="S1529" s="78" t="b">
        <f t="shared" si="1243"/>
        <v>0</v>
      </c>
      <c r="T1529" s="78" t="b">
        <f t="shared" si="1244"/>
        <v>0</v>
      </c>
      <c r="U1529" s="78" t="b">
        <f t="shared" si="1245"/>
        <v>0</v>
      </c>
      <c r="V1529" s="78" t="b">
        <f t="shared" si="1246"/>
        <v>0</v>
      </c>
      <c r="W1529" s="78" t="b">
        <f t="shared" si="1247"/>
        <v>0</v>
      </c>
      <c r="X1529" s="78" t="b">
        <f t="shared" si="1248"/>
        <v>0</v>
      </c>
      <c r="Y1529" s="78" t="b">
        <f t="shared" si="1249"/>
        <v>0</v>
      </c>
      <c r="Z1529" s="78" t="b">
        <f t="shared" si="1250"/>
        <v>0</v>
      </c>
      <c r="AA1529" s="78" t="b">
        <f t="shared" si="1251"/>
        <v>0</v>
      </c>
      <c r="AB1529" s="78" t="b">
        <f t="shared" si="1252"/>
        <v>0</v>
      </c>
      <c r="AC1529" s="78" t="b">
        <f t="shared" si="1253"/>
        <v>0</v>
      </c>
      <c r="AD1529" s="78" t="b">
        <f t="shared" si="1254"/>
        <v>0</v>
      </c>
      <c r="AE1529" s="78" t="b">
        <f t="shared" si="1255"/>
        <v>0</v>
      </c>
      <c r="AF1529" s="78" t="b">
        <f t="shared" si="1256"/>
        <v>0</v>
      </c>
      <c r="AG1529" s="78" t="b">
        <f t="shared" si="1257"/>
        <v>0</v>
      </c>
      <c r="AH1529" s="78" t="b">
        <f t="shared" si="1258"/>
        <v>0</v>
      </c>
      <c r="AI1529" s="78" t="b">
        <f t="shared" si="1259"/>
        <v>0</v>
      </c>
      <c r="AJ1529" s="78" t="b">
        <f t="shared" si="1260"/>
        <v>0</v>
      </c>
      <c r="AK1529" s="78" t="b">
        <f t="shared" si="1261"/>
        <v>0</v>
      </c>
      <c r="AL1529" s="78" t="b">
        <f t="shared" si="1262"/>
        <v>0</v>
      </c>
      <c r="AM1529" s="78" t="b">
        <f t="shared" si="1263"/>
        <v>0</v>
      </c>
      <c r="AN1529" s="78" t="b">
        <f t="shared" si="1264"/>
        <v>0</v>
      </c>
      <c r="AO1529" s="78" t="b">
        <f t="shared" si="1265"/>
        <v>0</v>
      </c>
    </row>
    <row r="1530" spans="7:41" x14ac:dyDescent="0.35">
      <c r="G1530" s="77">
        <f t="shared" ref="G1530:G1593" si="1267">INT(D1530)</f>
        <v>0</v>
      </c>
      <c r="H1530" s="78">
        <f t="shared" ref="H1530:H1593" si="1268">D1530-G1530</f>
        <v>0</v>
      </c>
      <c r="I1530" s="77">
        <f t="shared" ref="I1530:I1593" si="1269">INT(E1530)</f>
        <v>0</v>
      </c>
      <c r="J1530" s="78">
        <f t="shared" ref="J1530:J1593" si="1270">E1530-I1530</f>
        <v>0</v>
      </c>
      <c r="K1530" s="78" t="str">
        <f t="shared" ref="K1530:K1593" si="1271">TEXT(G1530+H1530,"yyyy-mm-dd hh:m:ss")</f>
        <v>1900-01-00 00:0:00</v>
      </c>
      <c r="L1530" s="78" t="str">
        <f t="shared" ref="L1530:L1593" si="1272">TEXT(I1530+J1530,"yyyy-mm-dd hh:m:ss")</f>
        <v>1900-01-00 00:0:00</v>
      </c>
      <c r="M1530" s="79">
        <f t="shared" ref="M1530:M1593" si="1273">E1530-D1530</f>
        <v>0</v>
      </c>
      <c r="N1530">
        <f t="shared" si="1266"/>
        <v>1</v>
      </c>
      <c r="O1530" t="str">
        <f>IFERROR(_xlfn.XLOOKUP(A1530,HC!A:A,HC!C:C),"")</f>
        <v>Workforce</v>
      </c>
      <c r="R1530" s="78" t="b">
        <f t="shared" si="1242"/>
        <v>0</v>
      </c>
      <c r="S1530" s="78" t="b">
        <f t="shared" si="1243"/>
        <v>0</v>
      </c>
      <c r="T1530" s="78" t="b">
        <f t="shared" si="1244"/>
        <v>0</v>
      </c>
      <c r="U1530" s="78" t="b">
        <f t="shared" si="1245"/>
        <v>0</v>
      </c>
      <c r="V1530" s="78" t="b">
        <f t="shared" si="1246"/>
        <v>0</v>
      </c>
      <c r="W1530" s="78" t="b">
        <f t="shared" si="1247"/>
        <v>0</v>
      </c>
      <c r="X1530" s="78" t="b">
        <f t="shared" si="1248"/>
        <v>0</v>
      </c>
      <c r="Y1530" s="78" t="b">
        <f t="shared" si="1249"/>
        <v>0</v>
      </c>
      <c r="Z1530" s="78" t="b">
        <f t="shared" si="1250"/>
        <v>0</v>
      </c>
      <c r="AA1530" s="78" t="b">
        <f t="shared" si="1251"/>
        <v>0</v>
      </c>
      <c r="AB1530" s="78" t="b">
        <f t="shared" si="1252"/>
        <v>0</v>
      </c>
      <c r="AC1530" s="78" t="b">
        <f t="shared" si="1253"/>
        <v>0</v>
      </c>
      <c r="AD1530" s="78" t="b">
        <f t="shared" si="1254"/>
        <v>0</v>
      </c>
      <c r="AE1530" s="78" t="b">
        <f t="shared" si="1255"/>
        <v>0</v>
      </c>
      <c r="AF1530" s="78" t="b">
        <f t="shared" si="1256"/>
        <v>0</v>
      </c>
      <c r="AG1530" s="78" t="b">
        <f t="shared" si="1257"/>
        <v>0</v>
      </c>
      <c r="AH1530" s="78" t="b">
        <f t="shared" si="1258"/>
        <v>0</v>
      </c>
      <c r="AI1530" s="78" t="b">
        <f t="shared" si="1259"/>
        <v>0</v>
      </c>
      <c r="AJ1530" s="78" t="b">
        <f t="shared" si="1260"/>
        <v>0</v>
      </c>
      <c r="AK1530" s="78" t="b">
        <f t="shared" si="1261"/>
        <v>0</v>
      </c>
      <c r="AL1530" s="78" t="b">
        <f t="shared" si="1262"/>
        <v>0</v>
      </c>
      <c r="AM1530" s="78" t="b">
        <f t="shared" si="1263"/>
        <v>0</v>
      </c>
      <c r="AN1530" s="78" t="b">
        <f t="shared" si="1264"/>
        <v>0</v>
      </c>
      <c r="AO1530" s="78" t="b">
        <f t="shared" si="1265"/>
        <v>0</v>
      </c>
    </row>
    <row r="1531" spans="7:41" x14ac:dyDescent="0.35">
      <c r="G1531" s="77">
        <f t="shared" si="1267"/>
        <v>0</v>
      </c>
      <c r="H1531" s="78">
        <f t="shared" si="1268"/>
        <v>0</v>
      </c>
      <c r="I1531" s="77">
        <f t="shared" si="1269"/>
        <v>0</v>
      </c>
      <c r="J1531" s="78">
        <f t="shared" si="1270"/>
        <v>0</v>
      </c>
      <c r="K1531" s="78" t="str">
        <f t="shared" si="1271"/>
        <v>1900-01-00 00:0:00</v>
      </c>
      <c r="L1531" s="78" t="str">
        <f t="shared" si="1272"/>
        <v>1900-01-00 00:0:00</v>
      </c>
      <c r="M1531" s="79">
        <f t="shared" si="1273"/>
        <v>0</v>
      </c>
      <c r="N1531">
        <f t="shared" si="1266"/>
        <v>1</v>
      </c>
      <c r="O1531" t="str">
        <f>IFERROR(_xlfn.XLOOKUP(A1531,HC!A:A,HC!C:C),"")</f>
        <v>Workforce</v>
      </c>
      <c r="R1531" s="78" t="b">
        <f t="shared" si="1242"/>
        <v>0</v>
      </c>
      <c r="S1531" s="78" t="b">
        <f t="shared" si="1243"/>
        <v>0</v>
      </c>
      <c r="T1531" s="78" t="b">
        <f t="shared" si="1244"/>
        <v>0</v>
      </c>
      <c r="U1531" s="78" t="b">
        <f t="shared" si="1245"/>
        <v>0</v>
      </c>
      <c r="V1531" s="78" t="b">
        <f t="shared" si="1246"/>
        <v>0</v>
      </c>
      <c r="W1531" s="78" t="b">
        <f t="shared" si="1247"/>
        <v>0</v>
      </c>
      <c r="X1531" s="78" t="b">
        <f t="shared" si="1248"/>
        <v>0</v>
      </c>
      <c r="Y1531" s="78" t="b">
        <f t="shared" si="1249"/>
        <v>0</v>
      </c>
      <c r="Z1531" s="78" t="b">
        <f t="shared" si="1250"/>
        <v>0</v>
      </c>
      <c r="AA1531" s="78" t="b">
        <f t="shared" si="1251"/>
        <v>0</v>
      </c>
      <c r="AB1531" s="78" t="b">
        <f t="shared" si="1252"/>
        <v>0</v>
      </c>
      <c r="AC1531" s="78" t="b">
        <f t="shared" si="1253"/>
        <v>0</v>
      </c>
      <c r="AD1531" s="78" t="b">
        <f t="shared" si="1254"/>
        <v>0</v>
      </c>
      <c r="AE1531" s="78" t="b">
        <f t="shared" si="1255"/>
        <v>0</v>
      </c>
      <c r="AF1531" s="78" t="b">
        <f t="shared" si="1256"/>
        <v>0</v>
      </c>
      <c r="AG1531" s="78" t="b">
        <f t="shared" si="1257"/>
        <v>0</v>
      </c>
      <c r="AH1531" s="78" t="b">
        <f t="shared" si="1258"/>
        <v>0</v>
      </c>
      <c r="AI1531" s="78" t="b">
        <f t="shared" si="1259"/>
        <v>0</v>
      </c>
      <c r="AJ1531" s="78" t="b">
        <f t="shared" si="1260"/>
        <v>0</v>
      </c>
      <c r="AK1531" s="78" t="b">
        <f t="shared" si="1261"/>
        <v>0</v>
      </c>
      <c r="AL1531" s="78" t="b">
        <f t="shared" si="1262"/>
        <v>0</v>
      </c>
      <c r="AM1531" s="78" t="b">
        <f t="shared" si="1263"/>
        <v>0</v>
      </c>
      <c r="AN1531" s="78" t="b">
        <f t="shared" si="1264"/>
        <v>0</v>
      </c>
      <c r="AO1531" s="78" t="b">
        <f t="shared" si="1265"/>
        <v>0</v>
      </c>
    </row>
    <row r="1532" spans="7:41" x14ac:dyDescent="0.35">
      <c r="G1532" s="77">
        <f t="shared" si="1267"/>
        <v>0</v>
      </c>
      <c r="H1532" s="78">
        <f t="shared" si="1268"/>
        <v>0</v>
      </c>
      <c r="I1532" s="77">
        <f t="shared" si="1269"/>
        <v>0</v>
      </c>
      <c r="J1532" s="78">
        <f t="shared" si="1270"/>
        <v>0</v>
      </c>
      <c r="K1532" s="78" t="str">
        <f t="shared" si="1271"/>
        <v>1900-01-00 00:0:00</v>
      </c>
      <c r="L1532" s="78" t="str">
        <f t="shared" si="1272"/>
        <v>1900-01-00 00:0:00</v>
      </c>
      <c r="M1532" s="79">
        <f t="shared" si="1273"/>
        <v>0</v>
      </c>
      <c r="N1532">
        <f t="shared" si="1266"/>
        <v>1</v>
      </c>
      <c r="O1532" t="str">
        <f>IFERROR(_xlfn.XLOOKUP(A1532,HC!A:A,HC!C:C),"")</f>
        <v>Workforce</v>
      </c>
      <c r="R1532" s="78" t="b">
        <f t="shared" ref="R1532:R1595" si="1274">IFERROR(IF($B1532=$D$1,IF(AND($K1532&lt;R$1,$L1532&lt;R$1),"",IF(AND($K1532&gt;S$1,$L1532&gt;S$1),"",IF(AND($K1532&lt;R$1,$L1532&lt;=S$1),$L1532-R$1,IF(AND($K1532&gt;=R$1,$L1532&gt;S$1),S$1-$K1532,IF(AND($K1532&gt;=R$1,$L1532&lt;=S$1),$L1532-$K1532,IF(AND($K1532&lt;R$1,$L1532&gt;S$1),S$1-R$1,""))))))),"")</f>
        <v>0</v>
      </c>
      <c r="S1532" s="78" t="b">
        <f t="shared" ref="S1532:S1595" si="1275">IFERROR(IF($B1532=$D$1,IF(AND($K1532&lt;S$1,$L1532&lt;S$1),"",IF(AND($K1532&gt;T$1,$L1532&gt;T$1),"",IF(AND($K1532&lt;S$1,$L1532&lt;=T$1),$L1532-S$1,IF(AND($K1532&gt;=S$1,$L1532&gt;T$1),T$1-$K1532,IF(AND($K1532&gt;=S$1,$L1532&lt;=T$1),$L1532-$K1532,IF(AND($K1532&lt;S$1,$L1532&gt;T$1),T$1-S$1,""))))))),"")</f>
        <v>0</v>
      </c>
      <c r="T1532" s="78" t="b">
        <f t="shared" ref="T1532:T1595" si="1276">IFERROR(IF($B1532=$D$1,IF(AND($K1532&lt;T$1,$L1532&lt;T$1),"",IF(AND($K1532&gt;U$1,$L1532&gt;U$1),"",IF(AND($K1532&lt;T$1,$L1532&lt;=U$1),$L1532-T$1,IF(AND($K1532&gt;=T$1,$L1532&gt;U$1),U$1-$K1532,IF(AND($K1532&gt;=T$1,$L1532&lt;=U$1),$L1532-$K1532,IF(AND($K1532&lt;T$1,$L1532&gt;U$1),U$1-T$1,""))))))),"")</f>
        <v>0</v>
      </c>
      <c r="U1532" s="78" t="b">
        <f t="shared" ref="U1532:U1595" si="1277">IFERROR(IF($B1532=$D$1,IF(AND($K1532&lt;U$1,$L1532&lt;U$1),"",IF(AND($K1532&gt;V$1,$L1532&gt;V$1),"",IF(AND($K1532&lt;U$1,$L1532&lt;=V$1),$L1532-U$1,IF(AND($K1532&gt;=U$1,$L1532&gt;V$1),V$1-$K1532,IF(AND($K1532&gt;=U$1,$L1532&lt;=V$1),$L1532-$K1532,IF(AND($K1532&lt;U$1,$L1532&gt;V$1),V$1-U$1,""))))))),"")</f>
        <v>0</v>
      </c>
      <c r="V1532" s="78" t="b">
        <f t="shared" ref="V1532:V1595" si="1278">IFERROR(IF($B1532=$D$1,IF(AND($K1532&lt;V$1,$L1532&lt;V$1),"",IF(AND($K1532&gt;W$1,$L1532&gt;W$1),"",IF(AND($K1532&lt;V$1,$L1532&lt;=W$1),$L1532-V$1,IF(AND($K1532&gt;=V$1,$L1532&gt;W$1),W$1-$K1532,IF(AND($K1532&gt;=V$1,$L1532&lt;=W$1),$L1532-$K1532,IF(AND($K1532&lt;V$1,$L1532&gt;W$1),W$1-V$1,""))))))),"")</f>
        <v>0</v>
      </c>
      <c r="W1532" s="78" t="b">
        <f t="shared" ref="W1532:W1595" si="1279">IFERROR(IF($B1532=$D$1,IF(AND($K1532&lt;W$1,$L1532&lt;W$1),"",IF(AND($K1532&gt;X$1,$L1532&gt;X$1),"",IF(AND($K1532&lt;W$1,$L1532&lt;=X$1),$L1532-W$1,IF(AND($K1532&gt;=W$1,$L1532&gt;X$1),X$1-$K1532,IF(AND($K1532&gt;=W$1,$L1532&lt;=X$1),$L1532-$K1532,IF(AND($K1532&lt;W$1,$L1532&gt;X$1),X$1-W$1,""))))))),"")</f>
        <v>0</v>
      </c>
      <c r="X1532" s="78" t="b">
        <f t="shared" ref="X1532:X1595" si="1280">IFERROR(IF($B1532=$D$1,IF(AND($K1532&lt;X$1,$L1532&lt;X$1),"",IF(AND($K1532&gt;Y$1,$L1532&gt;Y$1),"",IF(AND($K1532&lt;X$1,$L1532&lt;=Y$1),$L1532-X$1,IF(AND($K1532&gt;=X$1,$L1532&gt;Y$1),Y$1-$K1532,IF(AND($K1532&gt;=X$1,$L1532&lt;=Y$1),$L1532-$K1532,IF(AND($K1532&lt;X$1,$L1532&gt;Y$1),Y$1-X$1,""))))))),"")</f>
        <v>0</v>
      </c>
      <c r="Y1532" s="78" t="b">
        <f t="shared" ref="Y1532:Y1595" si="1281">IFERROR(IF($B1532=$D$1,IF(AND($K1532&lt;Y$1,$L1532&lt;Y$1),"",IF(AND($K1532&gt;Z$1,$L1532&gt;Z$1),"",IF(AND($K1532&lt;Y$1,$L1532&lt;=Z$1),$L1532-Y$1,IF(AND($K1532&gt;=Y$1,$L1532&gt;Z$1),Z$1-$K1532,IF(AND($K1532&gt;=Y$1,$L1532&lt;=Z$1),$L1532-$K1532,IF(AND($K1532&lt;Y$1,$L1532&gt;Z$1),Z$1-Y$1,""))))))),"")</f>
        <v>0</v>
      </c>
      <c r="Z1532" s="78" t="b">
        <f t="shared" ref="Z1532:Z1595" si="1282">IFERROR(IF($B1532=$D$1,IF(AND($K1532&lt;Z$1,$L1532&lt;Z$1),"",IF(AND($K1532&gt;AA$1,$L1532&gt;AA$1),"",IF(AND($K1532&lt;Z$1,$L1532&lt;=AA$1),$L1532-Z$1,IF(AND($K1532&gt;=Z$1,$L1532&gt;AA$1),AA$1-$K1532,IF(AND($K1532&gt;=Z$1,$L1532&lt;=AA$1),$L1532-$K1532,IF(AND($K1532&lt;Z$1,$L1532&gt;AA$1),AA$1-Z$1,""))))))),"")</f>
        <v>0</v>
      </c>
      <c r="AA1532" s="78" t="b">
        <f t="shared" ref="AA1532:AA1595" si="1283">IFERROR(IF($B1532=$D$1,IF(AND($K1532&lt;AA$1,$L1532&lt;AA$1),"",IF(AND($K1532&gt;AB$1,$L1532&gt;AB$1),"",IF(AND($K1532&lt;AA$1,$L1532&lt;=AB$1),$L1532-AA$1,IF(AND($K1532&gt;=AA$1,$L1532&gt;AB$1),AB$1-$K1532,IF(AND($K1532&gt;=AA$1,$L1532&lt;=AB$1),$L1532-$K1532,IF(AND($K1532&lt;AA$1,$L1532&gt;AB$1),AB$1-AA$1,""))))))),"")</f>
        <v>0</v>
      </c>
      <c r="AB1532" s="78" t="b">
        <f t="shared" ref="AB1532:AB1595" si="1284">IFERROR(IF($B1532=$D$1,IF(AND($K1532&lt;AB$1,$L1532&lt;AB$1),"",IF(AND($K1532&gt;AC$1,$L1532&gt;AC$1),"",IF(AND($K1532&lt;AB$1,$L1532&lt;=AC$1),$L1532-AB$1,IF(AND($K1532&gt;=AB$1,$L1532&gt;AC$1),AC$1-$K1532,IF(AND($K1532&gt;=AB$1,$L1532&lt;=AC$1),$L1532-$K1532,IF(AND($K1532&lt;AB$1,$L1532&gt;AC$1),AC$1-AB$1,""))))))),"")</f>
        <v>0</v>
      </c>
      <c r="AC1532" s="78" t="b">
        <f t="shared" ref="AC1532:AC1595" si="1285">IFERROR(IF($B1532=$D$1,IF(AND($K1532&lt;AC$1,$L1532&lt;AC$1),"",IF(AND($K1532&gt;AD$1,$L1532&gt;AD$1),"",IF(AND($K1532&lt;AC$1,$L1532&lt;=AD$1),$L1532-AC$1,IF(AND($K1532&gt;=AC$1,$L1532&gt;AD$1),AD$1-$K1532,IF(AND($K1532&gt;=AC$1,$L1532&lt;=AD$1),$L1532-$K1532,IF(AND($K1532&lt;AC$1,$L1532&gt;AD$1),AD$1-AC$1,""))))))),"")</f>
        <v>0</v>
      </c>
      <c r="AD1532" s="78" t="b">
        <f t="shared" ref="AD1532:AD1595" si="1286">IFERROR(IF($B1532=$D$1,IF(AND($K1532&lt;AD$1,$L1532&lt;AD$1),"",IF(AND($K1532&gt;AE$1,$L1532&gt;AE$1),"",IF(AND($K1532&lt;AD$1,$L1532&lt;=AE$1),$L1532-AD$1,IF(AND($K1532&gt;=AD$1,$L1532&gt;AE$1),AE$1-$K1532,IF(AND($K1532&gt;=AD$1,$L1532&lt;=AE$1),$L1532-$K1532,IF(AND($K1532&lt;AD$1,$L1532&gt;AE$1),AE$1-AD$1,""))))))),"")</f>
        <v>0</v>
      </c>
      <c r="AE1532" s="78" t="b">
        <f t="shared" ref="AE1532:AE1595" si="1287">IFERROR(IF($B1532=$D$1,IF(AND($K1532&lt;AE$1,$L1532&lt;AE$1),"",IF(AND($K1532&gt;AF$1,$L1532&gt;AF$1),"",IF(AND($K1532&lt;AE$1,$L1532&lt;=AF$1),$L1532-AE$1,IF(AND($K1532&gt;=AE$1,$L1532&gt;AF$1),AF$1-$K1532,IF(AND($K1532&gt;=AE$1,$L1532&lt;=AF$1),$L1532-$K1532,IF(AND($K1532&lt;AE$1,$L1532&gt;AF$1),AF$1-AE$1,""))))))),"")</f>
        <v>0</v>
      </c>
      <c r="AF1532" s="78" t="b">
        <f t="shared" ref="AF1532:AF1595" si="1288">IFERROR(IF($B1532=$D$1,IF(AND($K1532&lt;AF$1,$L1532&lt;AF$1),"",IF(AND($K1532&gt;AG$1,$L1532&gt;AG$1),"",IF(AND($K1532&lt;AF$1,$L1532&lt;=AG$1),$L1532-AF$1,IF(AND($K1532&gt;=AF$1,$L1532&gt;AG$1),AG$1-$K1532,IF(AND($K1532&gt;=AF$1,$L1532&lt;=AG$1),$L1532-$K1532,IF(AND($K1532&lt;AF$1,$L1532&gt;AG$1),AG$1-AF$1,""))))))),"")</f>
        <v>0</v>
      </c>
      <c r="AG1532" s="78" t="b">
        <f t="shared" ref="AG1532:AG1595" si="1289">IFERROR(IF($B1532=$D$1,IF(AND($K1532&lt;AG$1,$L1532&lt;AG$1),"",IF(AND($K1532&gt;AH$1,$L1532&gt;AH$1),"",IF(AND($K1532&lt;AG$1,$L1532&lt;=AH$1),$L1532-AG$1,IF(AND($K1532&gt;=AG$1,$L1532&gt;AH$1),AH$1-$K1532,IF(AND($K1532&gt;=AG$1,$L1532&lt;=AH$1),$L1532-$K1532,IF(AND($K1532&lt;AG$1,$L1532&gt;AH$1),AH$1-AG$1,""))))))),"")</f>
        <v>0</v>
      </c>
      <c r="AH1532" s="78" t="b">
        <f t="shared" ref="AH1532:AH1595" si="1290">IFERROR(IF($B1532=$D$1,IF(AND($K1532&lt;AH$1,$L1532&lt;AH$1),"",IF(AND($K1532&gt;AI$1,$L1532&gt;AI$1),"",IF(AND($K1532&lt;AH$1,$L1532&lt;=AI$1),$L1532-AH$1,IF(AND($K1532&gt;=AH$1,$L1532&gt;AI$1),AI$1-$K1532,IF(AND($K1532&gt;=AH$1,$L1532&lt;=AI$1),$L1532-$K1532,IF(AND($K1532&lt;AH$1,$L1532&gt;AI$1),AI$1-AH$1,""))))))),"")</f>
        <v>0</v>
      </c>
      <c r="AI1532" s="78" t="b">
        <f t="shared" ref="AI1532:AI1595" si="1291">IFERROR(IF($B1532=$D$1,IF(AND($K1532&lt;AI$1,$L1532&lt;AI$1),"",IF(AND($K1532&gt;AJ$1,$L1532&gt;AJ$1),"",IF(AND($K1532&lt;AI$1,$L1532&lt;=AJ$1),$L1532-AI$1,IF(AND($K1532&gt;=AI$1,$L1532&gt;AJ$1),AJ$1-$K1532,IF(AND($K1532&gt;=AI$1,$L1532&lt;=AJ$1),$L1532-$K1532,IF(AND($K1532&lt;AI$1,$L1532&gt;AJ$1),AJ$1-AI$1,""))))))),"")</f>
        <v>0</v>
      </c>
      <c r="AJ1532" s="78" t="b">
        <f t="shared" ref="AJ1532:AJ1595" si="1292">IFERROR(IF($B1532=$D$1,IF(AND($K1532&lt;AJ$1,$L1532&lt;AJ$1),"",IF(AND($K1532&gt;AK$1,$L1532&gt;AK$1),"",IF(AND($K1532&lt;AJ$1,$L1532&lt;=AK$1),$L1532-AJ$1,IF(AND($K1532&gt;=AJ$1,$L1532&gt;AK$1),AK$1-$K1532,IF(AND($K1532&gt;=AJ$1,$L1532&lt;=AK$1),$L1532-$K1532,IF(AND($K1532&lt;AJ$1,$L1532&gt;AK$1),AK$1-AJ$1,""))))))),"")</f>
        <v>0</v>
      </c>
      <c r="AK1532" s="78" t="b">
        <f t="shared" ref="AK1532:AK1595" si="1293">IFERROR(IF($B1532=$D$1,IF(AND($K1532&lt;AK$1,$L1532&lt;AK$1),"",IF(AND($K1532&gt;AL$1,$L1532&gt;AL$1),"",IF(AND($K1532&lt;AK$1,$L1532&lt;=AL$1),$L1532-AK$1,IF(AND($K1532&gt;=AK$1,$L1532&gt;AL$1),AL$1-$K1532,IF(AND($K1532&gt;=AK$1,$L1532&lt;=AL$1),$L1532-$K1532,IF(AND($K1532&lt;AK$1,$L1532&gt;AL$1),AL$1-AK$1,""))))))),"")</f>
        <v>0</v>
      </c>
      <c r="AL1532" s="78" t="b">
        <f t="shared" ref="AL1532:AL1595" si="1294">IFERROR(IF($B1532=$D$1,IF(AND($K1532&lt;AL$1,$L1532&lt;AL$1),"",IF(AND($K1532&gt;AM$1,$L1532&gt;AM$1),"",IF(AND($K1532&lt;AL$1,$L1532&lt;=AM$1),$L1532-AL$1,IF(AND($K1532&gt;=AL$1,$L1532&gt;AM$1),AM$1-$K1532,IF(AND($K1532&gt;=AL$1,$L1532&lt;=AM$1),$L1532-$K1532,IF(AND($K1532&lt;AL$1,$L1532&gt;AM$1),AM$1-AL$1,""))))))),"")</f>
        <v>0</v>
      </c>
      <c r="AM1532" s="78" t="b">
        <f t="shared" ref="AM1532:AM1595" si="1295">IFERROR(IF($B1532=$D$1,IF(AND($K1532&lt;AM$1,$L1532&lt;AM$1),"",IF(AND($K1532&gt;AN$1,$L1532&gt;AN$1),"",IF(AND($K1532&lt;AM$1,$L1532&lt;=AN$1),$L1532-AM$1,IF(AND($K1532&gt;=AM$1,$L1532&gt;AN$1),AN$1-$K1532,IF(AND($K1532&gt;=AM$1,$L1532&lt;=AN$1),$L1532-$K1532,IF(AND($K1532&lt;AM$1,$L1532&gt;AN$1),AN$1-AM$1,""))))))),"")</f>
        <v>0</v>
      </c>
      <c r="AN1532" s="78" t="b">
        <f t="shared" ref="AN1532:AN1595" si="1296">IFERROR(IF($B1532=$D$1,IF(AND($K1532&lt;AN$1,$L1532&lt;AN$1),"",IF(AND($K1532&gt;AO$1,$L1532&gt;AO$1),"",IF(AND($K1532&lt;AN$1,$L1532&lt;=AO$1),$L1532-AN$1,IF(AND($K1532&gt;=AN$1,$L1532&gt;AO$1),AO$1-$K1532,IF(AND($K1532&gt;=AN$1,$L1532&lt;=AO$1),$L1532-$K1532,IF(AND($K1532&lt;AN$1,$L1532&gt;AO$1),AO$1-AN$1,""))))))),"")</f>
        <v>0</v>
      </c>
      <c r="AO1532" s="78" t="b">
        <f t="shared" ref="AO1532:AO1595" si="1297">IFERROR(IF($B1532=$D$1,IF(AND($K1532&lt;AO$1,$L1532&lt;AO$1),"",IF(AND($K1532&gt;AP$1,$L1532&gt;AP$1),"",IF(AND($K1532&lt;AO$1,$L1532&lt;=AP$1),$L1532-AO$1,IF(AND($K1532&gt;=AO$1,$L1532&gt;AP$1),AP$1-$K1532,IF(AND($K1532&gt;=AO$1,$L1532&lt;=AP$1),$L1532-$K1532,IF(AND($K1532&lt;AO$1,$L1532&gt;AP$1),AP$1-AO$1,""))))))),"")</f>
        <v>0</v>
      </c>
    </row>
    <row r="1533" spans="7:41" x14ac:dyDescent="0.35">
      <c r="G1533" s="77">
        <f t="shared" si="1267"/>
        <v>0</v>
      </c>
      <c r="H1533" s="78">
        <f t="shared" si="1268"/>
        <v>0</v>
      </c>
      <c r="I1533" s="77">
        <f t="shared" si="1269"/>
        <v>0</v>
      </c>
      <c r="J1533" s="78">
        <f t="shared" si="1270"/>
        <v>0</v>
      </c>
      <c r="K1533" s="78" t="str">
        <f t="shared" si="1271"/>
        <v>1900-01-00 00:0:00</v>
      </c>
      <c r="L1533" s="78" t="str">
        <f t="shared" si="1272"/>
        <v>1900-01-00 00:0:00</v>
      </c>
      <c r="M1533" s="79">
        <f t="shared" si="1273"/>
        <v>0</v>
      </c>
      <c r="N1533">
        <f t="shared" si="1266"/>
        <v>1</v>
      </c>
      <c r="O1533" t="str">
        <f>IFERROR(_xlfn.XLOOKUP(A1533,HC!A:A,HC!C:C),"")</f>
        <v>Workforce</v>
      </c>
      <c r="R1533" s="78" t="b">
        <f t="shared" si="1274"/>
        <v>0</v>
      </c>
      <c r="S1533" s="78" t="b">
        <f t="shared" si="1275"/>
        <v>0</v>
      </c>
      <c r="T1533" s="78" t="b">
        <f t="shared" si="1276"/>
        <v>0</v>
      </c>
      <c r="U1533" s="78" t="b">
        <f t="shared" si="1277"/>
        <v>0</v>
      </c>
      <c r="V1533" s="78" t="b">
        <f t="shared" si="1278"/>
        <v>0</v>
      </c>
      <c r="W1533" s="78" t="b">
        <f t="shared" si="1279"/>
        <v>0</v>
      </c>
      <c r="X1533" s="78" t="b">
        <f t="shared" si="1280"/>
        <v>0</v>
      </c>
      <c r="Y1533" s="78" t="b">
        <f t="shared" si="1281"/>
        <v>0</v>
      </c>
      <c r="Z1533" s="78" t="b">
        <f t="shared" si="1282"/>
        <v>0</v>
      </c>
      <c r="AA1533" s="78" t="b">
        <f t="shared" si="1283"/>
        <v>0</v>
      </c>
      <c r="AB1533" s="78" t="b">
        <f t="shared" si="1284"/>
        <v>0</v>
      </c>
      <c r="AC1533" s="78" t="b">
        <f t="shared" si="1285"/>
        <v>0</v>
      </c>
      <c r="AD1533" s="78" t="b">
        <f t="shared" si="1286"/>
        <v>0</v>
      </c>
      <c r="AE1533" s="78" t="b">
        <f t="shared" si="1287"/>
        <v>0</v>
      </c>
      <c r="AF1533" s="78" t="b">
        <f t="shared" si="1288"/>
        <v>0</v>
      </c>
      <c r="AG1533" s="78" t="b">
        <f t="shared" si="1289"/>
        <v>0</v>
      </c>
      <c r="AH1533" s="78" t="b">
        <f t="shared" si="1290"/>
        <v>0</v>
      </c>
      <c r="AI1533" s="78" t="b">
        <f t="shared" si="1291"/>
        <v>0</v>
      </c>
      <c r="AJ1533" s="78" t="b">
        <f t="shared" si="1292"/>
        <v>0</v>
      </c>
      <c r="AK1533" s="78" t="b">
        <f t="shared" si="1293"/>
        <v>0</v>
      </c>
      <c r="AL1533" s="78" t="b">
        <f t="shared" si="1294"/>
        <v>0</v>
      </c>
      <c r="AM1533" s="78" t="b">
        <f t="shared" si="1295"/>
        <v>0</v>
      </c>
      <c r="AN1533" s="78" t="b">
        <f t="shared" si="1296"/>
        <v>0</v>
      </c>
      <c r="AO1533" s="78" t="b">
        <f t="shared" si="1297"/>
        <v>0</v>
      </c>
    </row>
    <row r="1534" spans="7:41" x14ac:dyDescent="0.35">
      <c r="G1534" s="77">
        <f t="shared" si="1267"/>
        <v>0</v>
      </c>
      <c r="H1534" s="78">
        <f t="shared" si="1268"/>
        <v>0</v>
      </c>
      <c r="I1534" s="77">
        <f t="shared" si="1269"/>
        <v>0</v>
      </c>
      <c r="J1534" s="78">
        <f t="shared" si="1270"/>
        <v>0</v>
      </c>
      <c r="K1534" s="78" t="str">
        <f t="shared" si="1271"/>
        <v>1900-01-00 00:0:00</v>
      </c>
      <c r="L1534" s="78" t="str">
        <f t="shared" si="1272"/>
        <v>1900-01-00 00:0:00</v>
      </c>
      <c r="M1534" s="79">
        <f t="shared" si="1273"/>
        <v>0</v>
      </c>
      <c r="N1534">
        <f t="shared" si="1266"/>
        <v>1</v>
      </c>
      <c r="O1534" t="str">
        <f>IFERROR(_xlfn.XLOOKUP(A1534,HC!A:A,HC!C:C),"")</f>
        <v>Workforce</v>
      </c>
      <c r="R1534" s="78" t="b">
        <f t="shared" si="1274"/>
        <v>0</v>
      </c>
      <c r="S1534" s="78" t="b">
        <f t="shared" si="1275"/>
        <v>0</v>
      </c>
      <c r="T1534" s="78" t="b">
        <f t="shared" si="1276"/>
        <v>0</v>
      </c>
      <c r="U1534" s="78" t="b">
        <f t="shared" si="1277"/>
        <v>0</v>
      </c>
      <c r="V1534" s="78" t="b">
        <f t="shared" si="1278"/>
        <v>0</v>
      </c>
      <c r="W1534" s="78" t="b">
        <f t="shared" si="1279"/>
        <v>0</v>
      </c>
      <c r="X1534" s="78" t="b">
        <f t="shared" si="1280"/>
        <v>0</v>
      </c>
      <c r="Y1534" s="78" t="b">
        <f t="shared" si="1281"/>
        <v>0</v>
      </c>
      <c r="Z1534" s="78" t="b">
        <f t="shared" si="1282"/>
        <v>0</v>
      </c>
      <c r="AA1534" s="78" t="b">
        <f t="shared" si="1283"/>
        <v>0</v>
      </c>
      <c r="AB1534" s="78" t="b">
        <f t="shared" si="1284"/>
        <v>0</v>
      </c>
      <c r="AC1534" s="78" t="b">
        <f t="shared" si="1285"/>
        <v>0</v>
      </c>
      <c r="AD1534" s="78" t="b">
        <f t="shared" si="1286"/>
        <v>0</v>
      </c>
      <c r="AE1534" s="78" t="b">
        <f t="shared" si="1287"/>
        <v>0</v>
      </c>
      <c r="AF1534" s="78" t="b">
        <f t="shared" si="1288"/>
        <v>0</v>
      </c>
      <c r="AG1534" s="78" t="b">
        <f t="shared" si="1289"/>
        <v>0</v>
      </c>
      <c r="AH1534" s="78" t="b">
        <f t="shared" si="1290"/>
        <v>0</v>
      </c>
      <c r="AI1534" s="78" t="b">
        <f t="shared" si="1291"/>
        <v>0</v>
      </c>
      <c r="AJ1534" s="78" t="b">
        <f t="shared" si="1292"/>
        <v>0</v>
      </c>
      <c r="AK1534" s="78" t="b">
        <f t="shared" si="1293"/>
        <v>0</v>
      </c>
      <c r="AL1534" s="78" t="b">
        <f t="shared" si="1294"/>
        <v>0</v>
      </c>
      <c r="AM1534" s="78" t="b">
        <f t="shared" si="1295"/>
        <v>0</v>
      </c>
      <c r="AN1534" s="78" t="b">
        <f t="shared" si="1296"/>
        <v>0</v>
      </c>
      <c r="AO1534" s="78" t="b">
        <f t="shared" si="1297"/>
        <v>0</v>
      </c>
    </row>
    <row r="1535" spans="7:41" x14ac:dyDescent="0.35">
      <c r="G1535" s="77">
        <f t="shared" si="1267"/>
        <v>0</v>
      </c>
      <c r="H1535" s="78">
        <f t="shared" si="1268"/>
        <v>0</v>
      </c>
      <c r="I1535" s="77">
        <f t="shared" si="1269"/>
        <v>0</v>
      </c>
      <c r="J1535" s="78">
        <f t="shared" si="1270"/>
        <v>0</v>
      </c>
      <c r="K1535" s="78" t="str">
        <f t="shared" si="1271"/>
        <v>1900-01-00 00:0:00</v>
      </c>
      <c r="L1535" s="78" t="str">
        <f t="shared" si="1272"/>
        <v>1900-01-00 00:0:00</v>
      </c>
      <c r="M1535" s="79">
        <f t="shared" si="1273"/>
        <v>0</v>
      </c>
      <c r="N1535">
        <f t="shared" si="1266"/>
        <v>1</v>
      </c>
      <c r="O1535" t="str">
        <f>IFERROR(_xlfn.XLOOKUP(A1535,HC!A:A,HC!C:C),"")</f>
        <v>Workforce</v>
      </c>
      <c r="R1535" s="78" t="b">
        <f t="shared" si="1274"/>
        <v>0</v>
      </c>
      <c r="S1535" s="78" t="b">
        <f t="shared" si="1275"/>
        <v>0</v>
      </c>
      <c r="T1535" s="78" t="b">
        <f t="shared" si="1276"/>
        <v>0</v>
      </c>
      <c r="U1535" s="78" t="b">
        <f t="shared" si="1277"/>
        <v>0</v>
      </c>
      <c r="V1535" s="78" t="b">
        <f t="shared" si="1278"/>
        <v>0</v>
      </c>
      <c r="W1535" s="78" t="b">
        <f t="shared" si="1279"/>
        <v>0</v>
      </c>
      <c r="X1535" s="78" t="b">
        <f t="shared" si="1280"/>
        <v>0</v>
      </c>
      <c r="Y1535" s="78" t="b">
        <f t="shared" si="1281"/>
        <v>0</v>
      </c>
      <c r="Z1535" s="78" t="b">
        <f t="shared" si="1282"/>
        <v>0</v>
      </c>
      <c r="AA1535" s="78" t="b">
        <f t="shared" si="1283"/>
        <v>0</v>
      </c>
      <c r="AB1535" s="78" t="b">
        <f t="shared" si="1284"/>
        <v>0</v>
      </c>
      <c r="AC1535" s="78" t="b">
        <f t="shared" si="1285"/>
        <v>0</v>
      </c>
      <c r="AD1535" s="78" t="b">
        <f t="shared" si="1286"/>
        <v>0</v>
      </c>
      <c r="AE1535" s="78" t="b">
        <f t="shared" si="1287"/>
        <v>0</v>
      </c>
      <c r="AF1535" s="78" t="b">
        <f t="shared" si="1288"/>
        <v>0</v>
      </c>
      <c r="AG1535" s="78" t="b">
        <f t="shared" si="1289"/>
        <v>0</v>
      </c>
      <c r="AH1535" s="78" t="b">
        <f t="shared" si="1290"/>
        <v>0</v>
      </c>
      <c r="AI1535" s="78" t="b">
        <f t="shared" si="1291"/>
        <v>0</v>
      </c>
      <c r="AJ1535" s="78" t="b">
        <f t="shared" si="1292"/>
        <v>0</v>
      </c>
      <c r="AK1535" s="78" t="b">
        <f t="shared" si="1293"/>
        <v>0</v>
      </c>
      <c r="AL1535" s="78" t="b">
        <f t="shared" si="1294"/>
        <v>0</v>
      </c>
      <c r="AM1535" s="78" t="b">
        <f t="shared" si="1295"/>
        <v>0</v>
      </c>
      <c r="AN1535" s="78" t="b">
        <f t="shared" si="1296"/>
        <v>0</v>
      </c>
      <c r="AO1535" s="78" t="b">
        <f t="shared" si="1297"/>
        <v>0</v>
      </c>
    </row>
    <row r="1536" spans="7:41" x14ac:dyDescent="0.35">
      <c r="G1536" s="77">
        <f t="shared" si="1267"/>
        <v>0</v>
      </c>
      <c r="H1536" s="78">
        <f t="shared" si="1268"/>
        <v>0</v>
      </c>
      <c r="I1536" s="77">
        <f t="shared" si="1269"/>
        <v>0</v>
      </c>
      <c r="J1536" s="78">
        <f t="shared" si="1270"/>
        <v>0</v>
      </c>
      <c r="K1536" s="78" t="str">
        <f t="shared" si="1271"/>
        <v>1900-01-00 00:0:00</v>
      </c>
      <c r="L1536" s="78" t="str">
        <f t="shared" si="1272"/>
        <v>1900-01-00 00:0:00</v>
      </c>
      <c r="M1536" s="79">
        <f t="shared" si="1273"/>
        <v>0</v>
      </c>
      <c r="N1536">
        <f t="shared" si="1266"/>
        <v>1</v>
      </c>
      <c r="O1536" t="str">
        <f>IFERROR(_xlfn.XLOOKUP(A1536,HC!A:A,HC!C:C),"")</f>
        <v>Workforce</v>
      </c>
      <c r="R1536" s="78" t="b">
        <f t="shared" si="1274"/>
        <v>0</v>
      </c>
      <c r="S1536" s="78" t="b">
        <f t="shared" si="1275"/>
        <v>0</v>
      </c>
      <c r="T1536" s="78" t="b">
        <f t="shared" si="1276"/>
        <v>0</v>
      </c>
      <c r="U1536" s="78" t="b">
        <f t="shared" si="1277"/>
        <v>0</v>
      </c>
      <c r="V1536" s="78" t="b">
        <f t="shared" si="1278"/>
        <v>0</v>
      </c>
      <c r="W1536" s="78" t="b">
        <f t="shared" si="1279"/>
        <v>0</v>
      </c>
      <c r="X1536" s="78" t="b">
        <f t="shared" si="1280"/>
        <v>0</v>
      </c>
      <c r="Y1536" s="78" t="b">
        <f t="shared" si="1281"/>
        <v>0</v>
      </c>
      <c r="Z1536" s="78" t="b">
        <f t="shared" si="1282"/>
        <v>0</v>
      </c>
      <c r="AA1536" s="78" t="b">
        <f t="shared" si="1283"/>
        <v>0</v>
      </c>
      <c r="AB1536" s="78" t="b">
        <f t="shared" si="1284"/>
        <v>0</v>
      </c>
      <c r="AC1536" s="78" t="b">
        <f t="shared" si="1285"/>
        <v>0</v>
      </c>
      <c r="AD1536" s="78" t="b">
        <f t="shared" si="1286"/>
        <v>0</v>
      </c>
      <c r="AE1536" s="78" t="b">
        <f t="shared" si="1287"/>
        <v>0</v>
      </c>
      <c r="AF1536" s="78" t="b">
        <f t="shared" si="1288"/>
        <v>0</v>
      </c>
      <c r="AG1536" s="78" t="b">
        <f t="shared" si="1289"/>
        <v>0</v>
      </c>
      <c r="AH1536" s="78" t="b">
        <f t="shared" si="1290"/>
        <v>0</v>
      </c>
      <c r="AI1536" s="78" t="b">
        <f t="shared" si="1291"/>
        <v>0</v>
      </c>
      <c r="AJ1536" s="78" t="b">
        <f t="shared" si="1292"/>
        <v>0</v>
      </c>
      <c r="AK1536" s="78" t="b">
        <f t="shared" si="1293"/>
        <v>0</v>
      </c>
      <c r="AL1536" s="78" t="b">
        <f t="shared" si="1294"/>
        <v>0</v>
      </c>
      <c r="AM1536" s="78" t="b">
        <f t="shared" si="1295"/>
        <v>0</v>
      </c>
      <c r="AN1536" s="78" t="b">
        <f t="shared" si="1296"/>
        <v>0</v>
      </c>
      <c r="AO1536" s="78" t="b">
        <f t="shared" si="1297"/>
        <v>0</v>
      </c>
    </row>
    <row r="1537" spans="7:41" x14ac:dyDescent="0.35">
      <c r="G1537" s="77">
        <f t="shared" si="1267"/>
        <v>0</v>
      </c>
      <c r="H1537" s="78">
        <f t="shared" si="1268"/>
        <v>0</v>
      </c>
      <c r="I1537" s="77">
        <f t="shared" si="1269"/>
        <v>0</v>
      </c>
      <c r="J1537" s="78">
        <f t="shared" si="1270"/>
        <v>0</v>
      </c>
      <c r="K1537" s="78" t="str">
        <f t="shared" si="1271"/>
        <v>1900-01-00 00:0:00</v>
      </c>
      <c r="L1537" s="78" t="str">
        <f t="shared" si="1272"/>
        <v>1900-01-00 00:0:00</v>
      </c>
      <c r="M1537" s="79">
        <f t="shared" si="1273"/>
        <v>0</v>
      </c>
      <c r="N1537">
        <f t="shared" si="1266"/>
        <v>1</v>
      </c>
      <c r="O1537" t="str">
        <f>IFERROR(_xlfn.XLOOKUP(A1537,HC!A:A,HC!C:C),"")</f>
        <v>Workforce</v>
      </c>
      <c r="R1537" s="78" t="b">
        <f t="shared" si="1274"/>
        <v>0</v>
      </c>
      <c r="S1537" s="78" t="b">
        <f t="shared" si="1275"/>
        <v>0</v>
      </c>
      <c r="T1537" s="78" t="b">
        <f t="shared" si="1276"/>
        <v>0</v>
      </c>
      <c r="U1537" s="78" t="b">
        <f t="shared" si="1277"/>
        <v>0</v>
      </c>
      <c r="V1537" s="78" t="b">
        <f t="shared" si="1278"/>
        <v>0</v>
      </c>
      <c r="W1537" s="78" t="b">
        <f t="shared" si="1279"/>
        <v>0</v>
      </c>
      <c r="X1537" s="78" t="b">
        <f t="shared" si="1280"/>
        <v>0</v>
      </c>
      <c r="Y1537" s="78" t="b">
        <f t="shared" si="1281"/>
        <v>0</v>
      </c>
      <c r="Z1537" s="78" t="b">
        <f t="shared" si="1282"/>
        <v>0</v>
      </c>
      <c r="AA1537" s="78" t="b">
        <f t="shared" si="1283"/>
        <v>0</v>
      </c>
      <c r="AB1537" s="78" t="b">
        <f t="shared" si="1284"/>
        <v>0</v>
      </c>
      <c r="AC1537" s="78" t="b">
        <f t="shared" si="1285"/>
        <v>0</v>
      </c>
      <c r="AD1537" s="78" t="b">
        <f t="shared" si="1286"/>
        <v>0</v>
      </c>
      <c r="AE1537" s="78" t="b">
        <f t="shared" si="1287"/>
        <v>0</v>
      </c>
      <c r="AF1537" s="78" t="b">
        <f t="shared" si="1288"/>
        <v>0</v>
      </c>
      <c r="AG1537" s="78" t="b">
        <f t="shared" si="1289"/>
        <v>0</v>
      </c>
      <c r="AH1537" s="78" t="b">
        <f t="shared" si="1290"/>
        <v>0</v>
      </c>
      <c r="AI1537" s="78" t="b">
        <f t="shared" si="1291"/>
        <v>0</v>
      </c>
      <c r="AJ1537" s="78" t="b">
        <f t="shared" si="1292"/>
        <v>0</v>
      </c>
      <c r="AK1537" s="78" t="b">
        <f t="shared" si="1293"/>
        <v>0</v>
      </c>
      <c r="AL1537" s="78" t="b">
        <f t="shared" si="1294"/>
        <v>0</v>
      </c>
      <c r="AM1537" s="78" t="b">
        <f t="shared" si="1295"/>
        <v>0</v>
      </c>
      <c r="AN1537" s="78" t="b">
        <f t="shared" si="1296"/>
        <v>0</v>
      </c>
      <c r="AO1537" s="78" t="b">
        <f t="shared" si="1297"/>
        <v>0</v>
      </c>
    </row>
    <row r="1538" spans="7:41" x14ac:dyDescent="0.35">
      <c r="G1538" s="77">
        <f t="shared" si="1267"/>
        <v>0</v>
      </c>
      <c r="H1538" s="78">
        <f t="shared" si="1268"/>
        <v>0</v>
      </c>
      <c r="I1538" s="77">
        <f t="shared" si="1269"/>
        <v>0</v>
      </c>
      <c r="J1538" s="78">
        <f t="shared" si="1270"/>
        <v>0</v>
      </c>
      <c r="K1538" s="78" t="str">
        <f t="shared" si="1271"/>
        <v>1900-01-00 00:0:00</v>
      </c>
      <c r="L1538" s="78" t="str">
        <f t="shared" si="1272"/>
        <v>1900-01-00 00:0:00</v>
      </c>
      <c r="M1538" s="79">
        <f t="shared" si="1273"/>
        <v>0</v>
      </c>
      <c r="N1538">
        <f t="shared" si="1266"/>
        <v>1</v>
      </c>
      <c r="O1538" t="str">
        <f>IFERROR(_xlfn.XLOOKUP(A1538,HC!A:A,HC!C:C),"")</f>
        <v>Workforce</v>
      </c>
      <c r="R1538" s="78" t="b">
        <f t="shared" si="1274"/>
        <v>0</v>
      </c>
      <c r="S1538" s="78" t="b">
        <f t="shared" si="1275"/>
        <v>0</v>
      </c>
      <c r="T1538" s="78" t="b">
        <f t="shared" si="1276"/>
        <v>0</v>
      </c>
      <c r="U1538" s="78" t="b">
        <f t="shared" si="1277"/>
        <v>0</v>
      </c>
      <c r="V1538" s="78" t="b">
        <f t="shared" si="1278"/>
        <v>0</v>
      </c>
      <c r="W1538" s="78" t="b">
        <f t="shared" si="1279"/>
        <v>0</v>
      </c>
      <c r="X1538" s="78" t="b">
        <f t="shared" si="1280"/>
        <v>0</v>
      </c>
      <c r="Y1538" s="78" t="b">
        <f t="shared" si="1281"/>
        <v>0</v>
      </c>
      <c r="Z1538" s="78" t="b">
        <f t="shared" si="1282"/>
        <v>0</v>
      </c>
      <c r="AA1538" s="78" t="b">
        <f t="shared" si="1283"/>
        <v>0</v>
      </c>
      <c r="AB1538" s="78" t="b">
        <f t="shared" si="1284"/>
        <v>0</v>
      </c>
      <c r="AC1538" s="78" t="b">
        <f t="shared" si="1285"/>
        <v>0</v>
      </c>
      <c r="AD1538" s="78" t="b">
        <f t="shared" si="1286"/>
        <v>0</v>
      </c>
      <c r="AE1538" s="78" t="b">
        <f t="shared" si="1287"/>
        <v>0</v>
      </c>
      <c r="AF1538" s="78" t="b">
        <f t="shared" si="1288"/>
        <v>0</v>
      </c>
      <c r="AG1538" s="78" t="b">
        <f t="shared" si="1289"/>
        <v>0</v>
      </c>
      <c r="AH1538" s="78" t="b">
        <f t="shared" si="1290"/>
        <v>0</v>
      </c>
      <c r="AI1538" s="78" t="b">
        <f t="shared" si="1291"/>
        <v>0</v>
      </c>
      <c r="AJ1538" s="78" t="b">
        <f t="shared" si="1292"/>
        <v>0</v>
      </c>
      <c r="AK1538" s="78" t="b">
        <f t="shared" si="1293"/>
        <v>0</v>
      </c>
      <c r="AL1538" s="78" t="b">
        <f t="shared" si="1294"/>
        <v>0</v>
      </c>
      <c r="AM1538" s="78" t="b">
        <f t="shared" si="1295"/>
        <v>0</v>
      </c>
      <c r="AN1538" s="78" t="b">
        <f t="shared" si="1296"/>
        <v>0</v>
      </c>
      <c r="AO1538" s="78" t="b">
        <f t="shared" si="1297"/>
        <v>0</v>
      </c>
    </row>
    <row r="1539" spans="7:41" x14ac:dyDescent="0.35">
      <c r="G1539" s="77">
        <f t="shared" si="1267"/>
        <v>0</v>
      </c>
      <c r="H1539" s="78">
        <f t="shared" si="1268"/>
        <v>0</v>
      </c>
      <c r="I1539" s="77">
        <f t="shared" si="1269"/>
        <v>0</v>
      </c>
      <c r="J1539" s="78">
        <f t="shared" si="1270"/>
        <v>0</v>
      </c>
      <c r="K1539" s="78" t="str">
        <f t="shared" si="1271"/>
        <v>1900-01-00 00:0:00</v>
      </c>
      <c r="L1539" s="78" t="str">
        <f t="shared" si="1272"/>
        <v>1900-01-00 00:0:00</v>
      </c>
      <c r="M1539" s="79">
        <f t="shared" si="1273"/>
        <v>0</v>
      </c>
      <c r="N1539">
        <f t="shared" si="1266"/>
        <v>1</v>
      </c>
      <c r="O1539" t="str">
        <f>IFERROR(_xlfn.XLOOKUP(A1539,HC!A:A,HC!C:C),"")</f>
        <v>Workforce</v>
      </c>
      <c r="R1539" s="78" t="b">
        <f t="shared" si="1274"/>
        <v>0</v>
      </c>
      <c r="S1539" s="78" t="b">
        <f t="shared" si="1275"/>
        <v>0</v>
      </c>
      <c r="T1539" s="78" t="b">
        <f t="shared" si="1276"/>
        <v>0</v>
      </c>
      <c r="U1539" s="78" t="b">
        <f t="shared" si="1277"/>
        <v>0</v>
      </c>
      <c r="V1539" s="78" t="b">
        <f t="shared" si="1278"/>
        <v>0</v>
      </c>
      <c r="W1539" s="78" t="b">
        <f t="shared" si="1279"/>
        <v>0</v>
      </c>
      <c r="X1539" s="78" t="b">
        <f t="shared" si="1280"/>
        <v>0</v>
      </c>
      <c r="Y1539" s="78" t="b">
        <f t="shared" si="1281"/>
        <v>0</v>
      </c>
      <c r="Z1539" s="78" t="b">
        <f t="shared" si="1282"/>
        <v>0</v>
      </c>
      <c r="AA1539" s="78" t="b">
        <f t="shared" si="1283"/>
        <v>0</v>
      </c>
      <c r="AB1539" s="78" t="b">
        <f t="shared" si="1284"/>
        <v>0</v>
      </c>
      <c r="AC1539" s="78" t="b">
        <f t="shared" si="1285"/>
        <v>0</v>
      </c>
      <c r="AD1539" s="78" t="b">
        <f t="shared" si="1286"/>
        <v>0</v>
      </c>
      <c r="AE1539" s="78" t="b">
        <f t="shared" si="1287"/>
        <v>0</v>
      </c>
      <c r="AF1539" s="78" t="b">
        <f t="shared" si="1288"/>
        <v>0</v>
      </c>
      <c r="AG1539" s="78" t="b">
        <f t="shared" si="1289"/>
        <v>0</v>
      </c>
      <c r="AH1539" s="78" t="b">
        <f t="shared" si="1290"/>
        <v>0</v>
      </c>
      <c r="AI1539" s="78" t="b">
        <f t="shared" si="1291"/>
        <v>0</v>
      </c>
      <c r="AJ1539" s="78" t="b">
        <f t="shared" si="1292"/>
        <v>0</v>
      </c>
      <c r="AK1539" s="78" t="b">
        <f t="shared" si="1293"/>
        <v>0</v>
      </c>
      <c r="AL1539" s="78" t="b">
        <f t="shared" si="1294"/>
        <v>0</v>
      </c>
      <c r="AM1539" s="78" t="b">
        <f t="shared" si="1295"/>
        <v>0</v>
      </c>
      <c r="AN1539" s="78" t="b">
        <f t="shared" si="1296"/>
        <v>0</v>
      </c>
      <c r="AO1539" s="78" t="b">
        <f t="shared" si="1297"/>
        <v>0</v>
      </c>
    </row>
    <row r="1540" spans="7:41" x14ac:dyDescent="0.35">
      <c r="G1540" s="77">
        <f t="shared" si="1267"/>
        <v>0</v>
      </c>
      <c r="H1540" s="78">
        <f t="shared" si="1268"/>
        <v>0</v>
      </c>
      <c r="I1540" s="77">
        <f t="shared" si="1269"/>
        <v>0</v>
      </c>
      <c r="J1540" s="78">
        <f t="shared" si="1270"/>
        <v>0</v>
      </c>
      <c r="K1540" s="78" t="str">
        <f t="shared" si="1271"/>
        <v>1900-01-00 00:0:00</v>
      </c>
      <c r="L1540" s="78" t="str">
        <f t="shared" si="1272"/>
        <v>1900-01-00 00:0:00</v>
      </c>
      <c r="M1540" s="79">
        <f t="shared" si="1273"/>
        <v>0</v>
      </c>
      <c r="N1540">
        <f t="shared" ref="N1540:N1603" si="1298">IF(M1540&lt;$BA$1,1,0)</f>
        <v>1</v>
      </c>
      <c r="O1540" t="str">
        <f>IFERROR(_xlfn.XLOOKUP(A1540,HC!A:A,HC!C:C),"")</f>
        <v>Workforce</v>
      </c>
      <c r="R1540" s="78" t="b">
        <f t="shared" si="1274"/>
        <v>0</v>
      </c>
      <c r="S1540" s="78" t="b">
        <f t="shared" si="1275"/>
        <v>0</v>
      </c>
      <c r="T1540" s="78" t="b">
        <f t="shared" si="1276"/>
        <v>0</v>
      </c>
      <c r="U1540" s="78" t="b">
        <f t="shared" si="1277"/>
        <v>0</v>
      </c>
      <c r="V1540" s="78" t="b">
        <f t="shared" si="1278"/>
        <v>0</v>
      </c>
      <c r="W1540" s="78" t="b">
        <f t="shared" si="1279"/>
        <v>0</v>
      </c>
      <c r="X1540" s="78" t="b">
        <f t="shared" si="1280"/>
        <v>0</v>
      </c>
      <c r="Y1540" s="78" t="b">
        <f t="shared" si="1281"/>
        <v>0</v>
      </c>
      <c r="Z1540" s="78" t="b">
        <f t="shared" si="1282"/>
        <v>0</v>
      </c>
      <c r="AA1540" s="78" t="b">
        <f t="shared" si="1283"/>
        <v>0</v>
      </c>
      <c r="AB1540" s="78" t="b">
        <f t="shared" si="1284"/>
        <v>0</v>
      </c>
      <c r="AC1540" s="78" t="b">
        <f t="shared" si="1285"/>
        <v>0</v>
      </c>
      <c r="AD1540" s="78" t="b">
        <f t="shared" si="1286"/>
        <v>0</v>
      </c>
      <c r="AE1540" s="78" t="b">
        <f t="shared" si="1287"/>
        <v>0</v>
      </c>
      <c r="AF1540" s="78" t="b">
        <f t="shared" si="1288"/>
        <v>0</v>
      </c>
      <c r="AG1540" s="78" t="b">
        <f t="shared" si="1289"/>
        <v>0</v>
      </c>
      <c r="AH1540" s="78" t="b">
        <f t="shared" si="1290"/>
        <v>0</v>
      </c>
      <c r="AI1540" s="78" t="b">
        <f t="shared" si="1291"/>
        <v>0</v>
      </c>
      <c r="AJ1540" s="78" t="b">
        <f t="shared" si="1292"/>
        <v>0</v>
      </c>
      <c r="AK1540" s="78" t="b">
        <f t="shared" si="1293"/>
        <v>0</v>
      </c>
      <c r="AL1540" s="78" t="b">
        <f t="shared" si="1294"/>
        <v>0</v>
      </c>
      <c r="AM1540" s="78" t="b">
        <f t="shared" si="1295"/>
        <v>0</v>
      </c>
      <c r="AN1540" s="78" t="b">
        <f t="shared" si="1296"/>
        <v>0</v>
      </c>
      <c r="AO1540" s="78" t="b">
        <f t="shared" si="1297"/>
        <v>0</v>
      </c>
    </row>
    <row r="1541" spans="7:41" x14ac:dyDescent="0.35">
      <c r="G1541" s="77">
        <f t="shared" si="1267"/>
        <v>0</v>
      </c>
      <c r="H1541" s="78">
        <f t="shared" si="1268"/>
        <v>0</v>
      </c>
      <c r="I1541" s="77">
        <f t="shared" si="1269"/>
        <v>0</v>
      </c>
      <c r="J1541" s="78">
        <f t="shared" si="1270"/>
        <v>0</v>
      </c>
      <c r="K1541" s="78" t="str">
        <f t="shared" si="1271"/>
        <v>1900-01-00 00:0:00</v>
      </c>
      <c r="L1541" s="78" t="str">
        <f t="shared" si="1272"/>
        <v>1900-01-00 00:0:00</v>
      </c>
      <c r="M1541" s="79">
        <f t="shared" si="1273"/>
        <v>0</v>
      </c>
      <c r="N1541">
        <f t="shared" si="1298"/>
        <v>1</v>
      </c>
      <c r="O1541" t="str">
        <f>IFERROR(_xlfn.XLOOKUP(A1541,HC!A:A,HC!C:C),"")</f>
        <v>Workforce</v>
      </c>
      <c r="R1541" s="78" t="b">
        <f t="shared" si="1274"/>
        <v>0</v>
      </c>
      <c r="S1541" s="78" t="b">
        <f t="shared" si="1275"/>
        <v>0</v>
      </c>
      <c r="T1541" s="78" t="b">
        <f t="shared" si="1276"/>
        <v>0</v>
      </c>
      <c r="U1541" s="78" t="b">
        <f t="shared" si="1277"/>
        <v>0</v>
      </c>
      <c r="V1541" s="78" t="b">
        <f t="shared" si="1278"/>
        <v>0</v>
      </c>
      <c r="W1541" s="78" t="b">
        <f t="shared" si="1279"/>
        <v>0</v>
      </c>
      <c r="X1541" s="78" t="b">
        <f t="shared" si="1280"/>
        <v>0</v>
      </c>
      <c r="Y1541" s="78" t="b">
        <f t="shared" si="1281"/>
        <v>0</v>
      </c>
      <c r="Z1541" s="78" t="b">
        <f t="shared" si="1282"/>
        <v>0</v>
      </c>
      <c r="AA1541" s="78" t="b">
        <f t="shared" si="1283"/>
        <v>0</v>
      </c>
      <c r="AB1541" s="78" t="b">
        <f t="shared" si="1284"/>
        <v>0</v>
      </c>
      <c r="AC1541" s="78" t="b">
        <f t="shared" si="1285"/>
        <v>0</v>
      </c>
      <c r="AD1541" s="78" t="b">
        <f t="shared" si="1286"/>
        <v>0</v>
      </c>
      <c r="AE1541" s="78" t="b">
        <f t="shared" si="1287"/>
        <v>0</v>
      </c>
      <c r="AF1541" s="78" t="b">
        <f t="shared" si="1288"/>
        <v>0</v>
      </c>
      <c r="AG1541" s="78" t="b">
        <f t="shared" si="1289"/>
        <v>0</v>
      </c>
      <c r="AH1541" s="78" t="b">
        <f t="shared" si="1290"/>
        <v>0</v>
      </c>
      <c r="AI1541" s="78" t="b">
        <f t="shared" si="1291"/>
        <v>0</v>
      </c>
      <c r="AJ1541" s="78" t="b">
        <f t="shared" si="1292"/>
        <v>0</v>
      </c>
      <c r="AK1541" s="78" t="b">
        <f t="shared" si="1293"/>
        <v>0</v>
      </c>
      <c r="AL1541" s="78" t="b">
        <f t="shared" si="1294"/>
        <v>0</v>
      </c>
      <c r="AM1541" s="78" t="b">
        <f t="shared" si="1295"/>
        <v>0</v>
      </c>
      <c r="AN1541" s="78" t="b">
        <f t="shared" si="1296"/>
        <v>0</v>
      </c>
      <c r="AO1541" s="78" t="b">
        <f t="shared" si="1297"/>
        <v>0</v>
      </c>
    </row>
    <row r="1542" spans="7:41" x14ac:dyDescent="0.35">
      <c r="G1542" s="77">
        <f t="shared" si="1267"/>
        <v>0</v>
      </c>
      <c r="H1542" s="78">
        <f t="shared" si="1268"/>
        <v>0</v>
      </c>
      <c r="I1542" s="77">
        <f t="shared" si="1269"/>
        <v>0</v>
      </c>
      <c r="J1542" s="78">
        <f t="shared" si="1270"/>
        <v>0</v>
      </c>
      <c r="K1542" s="78" t="str">
        <f t="shared" si="1271"/>
        <v>1900-01-00 00:0:00</v>
      </c>
      <c r="L1542" s="78" t="str">
        <f t="shared" si="1272"/>
        <v>1900-01-00 00:0:00</v>
      </c>
      <c r="M1542" s="79">
        <f t="shared" si="1273"/>
        <v>0</v>
      </c>
      <c r="N1542">
        <f t="shared" si="1298"/>
        <v>1</v>
      </c>
      <c r="O1542" t="str">
        <f>IFERROR(_xlfn.XLOOKUP(A1542,HC!A:A,HC!C:C),"")</f>
        <v>Workforce</v>
      </c>
      <c r="R1542" s="78" t="b">
        <f t="shared" si="1274"/>
        <v>0</v>
      </c>
      <c r="S1542" s="78" t="b">
        <f t="shared" si="1275"/>
        <v>0</v>
      </c>
      <c r="T1542" s="78" t="b">
        <f t="shared" si="1276"/>
        <v>0</v>
      </c>
      <c r="U1542" s="78" t="b">
        <f t="shared" si="1277"/>
        <v>0</v>
      </c>
      <c r="V1542" s="78" t="b">
        <f t="shared" si="1278"/>
        <v>0</v>
      </c>
      <c r="W1542" s="78" t="b">
        <f t="shared" si="1279"/>
        <v>0</v>
      </c>
      <c r="X1542" s="78" t="b">
        <f t="shared" si="1280"/>
        <v>0</v>
      </c>
      <c r="Y1542" s="78" t="b">
        <f t="shared" si="1281"/>
        <v>0</v>
      </c>
      <c r="Z1542" s="78" t="b">
        <f t="shared" si="1282"/>
        <v>0</v>
      </c>
      <c r="AA1542" s="78" t="b">
        <f t="shared" si="1283"/>
        <v>0</v>
      </c>
      <c r="AB1542" s="78" t="b">
        <f t="shared" si="1284"/>
        <v>0</v>
      </c>
      <c r="AC1542" s="78" t="b">
        <f t="shared" si="1285"/>
        <v>0</v>
      </c>
      <c r="AD1542" s="78" t="b">
        <f t="shared" si="1286"/>
        <v>0</v>
      </c>
      <c r="AE1542" s="78" t="b">
        <f t="shared" si="1287"/>
        <v>0</v>
      </c>
      <c r="AF1542" s="78" t="b">
        <f t="shared" si="1288"/>
        <v>0</v>
      </c>
      <c r="AG1542" s="78" t="b">
        <f t="shared" si="1289"/>
        <v>0</v>
      </c>
      <c r="AH1542" s="78" t="b">
        <f t="shared" si="1290"/>
        <v>0</v>
      </c>
      <c r="AI1542" s="78" t="b">
        <f t="shared" si="1291"/>
        <v>0</v>
      </c>
      <c r="AJ1542" s="78" t="b">
        <f t="shared" si="1292"/>
        <v>0</v>
      </c>
      <c r="AK1542" s="78" t="b">
        <f t="shared" si="1293"/>
        <v>0</v>
      </c>
      <c r="AL1542" s="78" t="b">
        <f t="shared" si="1294"/>
        <v>0</v>
      </c>
      <c r="AM1542" s="78" t="b">
        <f t="shared" si="1295"/>
        <v>0</v>
      </c>
      <c r="AN1542" s="78" t="b">
        <f t="shared" si="1296"/>
        <v>0</v>
      </c>
      <c r="AO1542" s="78" t="b">
        <f t="shared" si="1297"/>
        <v>0</v>
      </c>
    </row>
    <row r="1543" spans="7:41" x14ac:dyDescent="0.35">
      <c r="G1543" s="77">
        <f t="shared" si="1267"/>
        <v>0</v>
      </c>
      <c r="H1543" s="78">
        <f t="shared" si="1268"/>
        <v>0</v>
      </c>
      <c r="I1543" s="77">
        <f t="shared" si="1269"/>
        <v>0</v>
      </c>
      <c r="J1543" s="78">
        <f t="shared" si="1270"/>
        <v>0</v>
      </c>
      <c r="K1543" s="78" t="str">
        <f t="shared" si="1271"/>
        <v>1900-01-00 00:0:00</v>
      </c>
      <c r="L1543" s="78" t="str">
        <f t="shared" si="1272"/>
        <v>1900-01-00 00:0:00</v>
      </c>
      <c r="M1543" s="79">
        <f t="shared" si="1273"/>
        <v>0</v>
      </c>
      <c r="N1543">
        <f t="shared" si="1298"/>
        <v>1</v>
      </c>
      <c r="O1543" t="str">
        <f>IFERROR(_xlfn.XLOOKUP(A1543,HC!A:A,HC!C:C),"")</f>
        <v>Workforce</v>
      </c>
      <c r="R1543" s="78" t="b">
        <f t="shared" si="1274"/>
        <v>0</v>
      </c>
      <c r="S1543" s="78" t="b">
        <f t="shared" si="1275"/>
        <v>0</v>
      </c>
      <c r="T1543" s="78" t="b">
        <f t="shared" si="1276"/>
        <v>0</v>
      </c>
      <c r="U1543" s="78" t="b">
        <f t="shared" si="1277"/>
        <v>0</v>
      </c>
      <c r="V1543" s="78" t="b">
        <f t="shared" si="1278"/>
        <v>0</v>
      </c>
      <c r="W1543" s="78" t="b">
        <f t="shared" si="1279"/>
        <v>0</v>
      </c>
      <c r="X1543" s="78" t="b">
        <f t="shared" si="1280"/>
        <v>0</v>
      </c>
      <c r="Y1543" s="78" t="b">
        <f t="shared" si="1281"/>
        <v>0</v>
      </c>
      <c r="Z1543" s="78" t="b">
        <f t="shared" si="1282"/>
        <v>0</v>
      </c>
      <c r="AA1543" s="78" t="b">
        <f t="shared" si="1283"/>
        <v>0</v>
      </c>
      <c r="AB1543" s="78" t="b">
        <f t="shared" si="1284"/>
        <v>0</v>
      </c>
      <c r="AC1543" s="78" t="b">
        <f t="shared" si="1285"/>
        <v>0</v>
      </c>
      <c r="AD1543" s="78" t="b">
        <f t="shared" si="1286"/>
        <v>0</v>
      </c>
      <c r="AE1543" s="78" t="b">
        <f t="shared" si="1287"/>
        <v>0</v>
      </c>
      <c r="AF1543" s="78" t="b">
        <f t="shared" si="1288"/>
        <v>0</v>
      </c>
      <c r="AG1543" s="78" t="b">
        <f t="shared" si="1289"/>
        <v>0</v>
      </c>
      <c r="AH1543" s="78" t="b">
        <f t="shared" si="1290"/>
        <v>0</v>
      </c>
      <c r="AI1543" s="78" t="b">
        <f t="shared" si="1291"/>
        <v>0</v>
      </c>
      <c r="AJ1543" s="78" t="b">
        <f t="shared" si="1292"/>
        <v>0</v>
      </c>
      <c r="AK1543" s="78" t="b">
        <f t="shared" si="1293"/>
        <v>0</v>
      </c>
      <c r="AL1543" s="78" t="b">
        <f t="shared" si="1294"/>
        <v>0</v>
      </c>
      <c r="AM1543" s="78" t="b">
        <f t="shared" si="1295"/>
        <v>0</v>
      </c>
      <c r="AN1543" s="78" t="b">
        <f t="shared" si="1296"/>
        <v>0</v>
      </c>
      <c r="AO1543" s="78" t="b">
        <f t="shared" si="1297"/>
        <v>0</v>
      </c>
    </row>
    <row r="1544" spans="7:41" x14ac:dyDescent="0.35">
      <c r="G1544" s="77">
        <f t="shared" si="1267"/>
        <v>0</v>
      </c>
      <c r="H1544" s="78">
        <f t="shared" si="1268"/>
        <v>0</v>
      </c>
      <c r="I1544" s="77">
        <f t="shared" si="1269"/>
        <v>0</v>
      </c>
      <c r="J1544" s="78">
        <f t="shared" si="1270"/>
        <v>0</v>
      </c>
      <c r="K1544" s="78" t="str">
        <f t="shared" si="1271"/>
        <v>1900-01-00 00:0:00</v>
      </c>
      <c r="L1544" s="78" t="str">
        <f t="shared" si="1272"/>
        <v>1900-01-00 00:0:00</v>
      </c>
      <c r="M1544" s="79">
        <f t="shared" si="1273"/>
        <v>0</v>
      </c>
      <c r="N1544">
        <f t="shared" si="1298"/>
        <v>1</v>
      </c>
      <c r="O1544" t="str">
        <f>IFERROR(_xlfn.XLOOKUP(A1544,HC!A:A,HC!C:C),"")</f>
        <v>Workforce</v>
      </c>
      <c r="R1544" s="78" t="b">
        <f t="shared" si="1274"/>
        <v>0</v>
      </c>
      <c r="S1544" s="78" t="b">
        <f t="shared" si="1275"/>
        <v>0</v>
      </c>
      <c r="T1544" s="78" t="b">
        <f t="shared" si="1276"/>
        <v>0</v>
      </c>
      <c r="U1544" s="78" t="b">
        <f t="shared" si="1277"/>
        <v>0</v>
      </c>
      <c r="V1544" s="78" t="b">
        <f t="shared" si="1278"/>
        <v>0</v>
      </c>
      <c r="W1544" s="78" t="b">
        <f t="shared" si="1279"/>
        <v>0</v>
      </c>
      <c r="X1544" s="78" t="b">
        <f t="shared" si="1280"/>
        <v>0</v>
      </c>
      <c r="Y1544" s="78" t="b">
        <f t="shared" si="1281"/>
        <v>0</v>
      </c>
      <c r="Z1544" s="78" t="b">
        <f t="shared" si="1282"/>
        <v>0</v>
      </c>
      <c r="AA1544" s="78" t="b">
        <f t="shared" si="1283"/>
        <v>0</v>
      </c>
      <c r="AB1544" s="78" t="b">
        <f t="shared" si="1284"/>
        <v>0</v>
      </c>
      <c r="AC1544" s="78" t="b">
        <f t="shared" si="1285"/>
        <v>0</v>
      </c>
      <c r="AD1544" s="78" t="b">
        <f t="shared" si="1286"/>
        <v>0</v>
      </c>
      <c r="AE1544" s="78" t="b">
        <f t="shared" si="1287"/>
        <v>0</v>
      </c>
      <c r="AF1544" s="78" t="b">
        <f t="shared" si="1288"/>
        <v>0</v>
      </c>
      <c r="AG1544" s="78" t="b">
        <f t="shared" si="1289"/>
        <v>0</v>
      </c>
      <c r="AH1544" s="78" t="b">
        <f t="shared" si="1290"/>
        <v>0</v>
      </c>
      <c r="AI1544" s="78" t="b">
        <f t="shared" si="1291"/>
        <v>0</v>
      </c>
      <c r="AJ1544" s="78" t="b">
        <f t="shared" si="1292"/>
        <v>0</v>
      </c>
      <c r="AK1544" s="78" t="b">
        <f t="shared" si="1293"/>
        <v>0</v>
      </c>
      <c r="AL1544" s="78" t="b">
        <f t="shared" si="1294"/>
        <v>0</v>
      </c>
      <c r="AM1544" s="78" t="b">
        <f t="shared" si="1295"/>
        <v>0</v>
      </c>
      <c r="AN1544" s="78" t="b">
        <f t="shared" si="1296"/>
        <v>0</v>
      </c>
      <c r="AO1544" s="78" t="b">
        <f t="shared" si="1297"/>
        <v>0</v>
      </c>
    </row>
    <row r="1545" spans="7:41" x14ac:dyDescent="0.35">
      <c r="G1545" s="77">
        <f t="shared" si="1267"/>
        <v>0</v>
      </c>
      <c r="H1545" s="78">
        <f t="shared" si="1268"/>
        <v>0</v>
      </c>
      <c r="I1545" s="77">
        <f t="shared" si="1269"/>
        <v>0</v>
      </c>
      <c r="J1545" s="78">
        <f t="shared" si="1270"/>
        <v>0</v>
      </c>
      <c r="K1545" s="78" t="str">
        <f t="shared" si="1271"/>
        <v>1900-01-00 00:0:00</v>
      </c>
      <c r="L1545" s="78" t="str">
        <f t="shared" si="1272"/>
        <v>1900-01-00 00:0:00</v>
      </c>
      <c r="M1545" s="79">
        <f t="shared" si="1273"/>
        <v>0</v>
      </c>
      <c r="N1545">
        <f t="shared" si="1298"/>
        <v>1</v>
      </c>
      <c r="O1545" t="str">
        <f>IFERROR(_xlfn.XLOOKUP(A1545,HC!A:A,HC!C:C),"")</f>
        <v>Workforce</v>
      </c>
      <c r="R1545" s="78" t="b">
        <f t="shared" si="1274"/>
        <v>0</v>
      </c>
      <c r="S1545" s="78" t="b">
        <f t="shared" si="1275"/>
        <v>0</v>
      </c>
      <c r="T1545" s="78" t="b">
        <f t="shared" si="1276"/>
        <v>0</v>
      </c>
      <c r="U1545" s="78" t="b">
        <f t="shared" si="1277"/>
        <v>0</v>
      </c>
      <c r="V1545" s="78" t="b">
        <f t="shared" si="1278"/>
        <v>0</v>
      </c>
      <c r="W1545" s="78" t="b">
        <f t="shared" si="1279"/>
        <v>0</v>
      </c>
      <c r="X1545" s="78" t="b">
        <f t="shared" si="1280"/>
        <v>0</v>
      </c>
      <c r="Y1545" s="78" t="b">
        <f t="shared" si="1281"/>
        <v>0</v>
      </c>
      <c r="Z1545" s="78" t="b">
        <f t="shared" si="1282"/>
        <v>0</v>
      </c>
      <c r="AA1545" s="78" t="b">
        <f t="shared" si="1283"/>
        <v>0</v>
      </c>
      <c r="AB1545" s="78" t="b">
        <f t="shared" si="1284"/>
        <v>0</v>
      </c>
      <c r="AC1545" s="78" t="b">
        <f t="shared" si="1285"/>
        <v>0</v>
      </c>
      <c r="AD1545" s="78" t="b">
        <f t="shared" si="1286"/>
        <v>0</v>
      </c>
      <c r="AE1545" s="78" t="b">
        <f t="shared" si="1287"/>
        <v>0</v>
      </c>
      <c r="AF1545" s="78" t="b">
        <f t="shared" si="1288"/>
        <v>0</v>
      </c>
      <c r="AG1545" s="78" t="b">
        <f t="shared" si="1289"/>
        <v>0</v>
      </c>
      <c r="AH1545" s="78" t="b">
        <f t="shared" si="1290"/>
        <v>0</v>
      </c>
      <c r="AI1545" s="78" t="b">
        <f t="shared" si="1291"/>
        <v>0</v>
      </c>
      <c r="AJ1545" s="78" t="b">
        <f t="shared" si="1292"/>
        <v>0</v>
      </c>
      <c r="AK1545" s="78" t="b">
        <f t="shared" si="1293"/>
        <v>0</v>
      </c>
      <c r="AL1545" s="78" t="b">
        <f t="shared" si="1294"/>
        <v>0</v>
      </c>
      <c r="AM1545" s="78" t="b">
        <f t="shared" si="1295"/>
        <v>0</v>
      </c>
      <c r="AN1545" s="78" t="b">
        <f t="shared" si="1296"/>
        <v>0</v>
      </c>
      <c r="AO1545" s="78" t="b">
        <f t="shared" si="1297"/>
        <v>0</v>
      </c>
    </row>
    <row r="1546" spans="7:41" x14ac:dyDescent="0.35">
      <c r="G1546" s="77">
        <f t="shared" si="1267"/>
        <v>0</v>
      </c>
      <c r="H1546" s="78">
        <f t="shared" si="1268"/>
        <v>0</v>
      </c>
      <c r="I1546" s="77">
        <f t="shared" si="1269"/>
        <v>0</v>
      </c>
      <c r="J1546" s="78">
        <f t="shared" si="1270"/>
        <v>0</v>
      </c>
      <c r="K1546" s="78" t="str">
        <f t="shared" si="1271"/>
        <v>1900-01-00 00:0:00</v>
      </c>
      <c r="L1546" s="78" t="str">
        <f t="shared" si="1272"/>
        <v>1900-01-00 00:0:00</v>
      </c>
      <c r="M1546" s="79">
        <f t="shared" si="1273"/>
        <v>0</v>
      </c>
      <c r="N1546">
        <f t="shared" si="1298"/>
        <v>1</v>
      </c>
      <c r="O1546" t="str">
        <f>IFERROR(_xlfn.XLOOKUP(A1546,HC!A:A,HC!C:C),"")</f>
        <v>Workforce</v>
      </c>
      <c r="R1546" s="78" t="b">
        <f t="shared" si="1274"/>
        <v>0</v>
      </c>
      <c r="S1546" s="78" t="b">
        <f t="shared" si="1275"/>
        <v>0</v>
      </c>
      <c r="T1546" s="78" t="b">
        <f t="shared" si="1276"/>
        <v>0</v>
      </c>
      <c r="U1546" s="78" t="b">
        <f t="shared" si="1277"/>
        <v>0</v>
      </c>
      <c r="V1546" s="78" t="b">
        <f t="shared" si="1278"/>
        <v>0</v>
      </c>
      <c r="W1546" s="78" t="b">
        <f t="shared" si="1279"/>
        <v>0</v>
      </c>
      <c r="X1546" s="78" t="b">
        <f t="shared" si="1280"/>
        <v>0</v>
      </c>
      <c r="Y1546" s="78" t="b">
        <f t="shared" si="1281"/>
        <v>0</v>
      </c>
      <c r="Z1546" s="78" t="b">
        <f t="shared" si="1282"/>
        <v>0</v>
      </c>
      <c r="AA1546" s="78" t="b">
        <f t="shared" si="1283"/>
        <v>0</v>
      </c>
      <c r="AB1546" s="78" t="b">
        <f t="shared" si="1284"/>
        <v>0</v>
      </c>
      <c r="AC1546" s="78" t="b">
        <f t="shared" si="1285"/>
        <v>0</v>
      </c>
      <c r="AD1546" s="78" t="b">
        <f t="shared" si="1286"/>
        <v>0</v>
      </c>
      <c r="AE1546" s="78" t="b">
        <f t="shared" si="1287"/>
        <v>0</v>
      </c>
      <c r="AF1546" s="78" t="b">
        <f t="shared" si="1288"/>
        <v>0</v>
      </c>
      <c r="AG1546" s="78" t="b">
        <f t="shared" si="1289"/>
        <v>0</v>
      </c>
      <c r="AH1546" s="78" t="b">
        <f t="shared" si="1290"/>
        <v>0</v>
      </c>
      <c r="AI1546" s="78" t="b">
        <f t="shared" si="1291"/>
        <v>0</v>
      </c>
      <c r="AJ1546" s="78" t="b">
        <f t="shared" si="1292"/>
        <v>0</v>
      </c>
      <c r="AK1546" s="78" t="b">
        <f t="shared" si="1293"/>
        <v>0</v>
      </c>
      <c r="AL1546" s="78" t="b">
        <f t="shared" si="1294"/>
        <v>0</v>
      </c>
      <c r="AM1546" s="78" t="b">
        <f t="shared" si="1295"/>
        <v>0</v>
      </c>
      <c r="AN1546" s="78" t="b">
        <f t="shared" si="1296"/>
        <v>0</v>
      </c>
      <c r="AO1546" s="78" t="b">
        <f t="shared" si="1297"/>
        <v>0</v>
      </c>
    </row>
    <row r="1547" spans="7:41" x14ac:dyDescent="0.35">
      <c r="G1547" s="77">
        <f t="shared" si="1267"/>
        <v>0</v>
      </c>
      <c r="H1547" s="78">
        <f t="shared" si="1268"/>
        <v>0</v>
      </c>
      <c r="I1547" s="77">
        <f t="shared" si="1269"/>
        <v>0</v>
      </c>
      <c r="J1547" s="78">
        <f t="shared" si="1270"/>
        <v>0</v>
      </c>
      <c r="K1547" s="78" t="str">
        <f t="shared" si="1271"/>
        <v>1900-01-00 00:0:00</v>
      </c>
      <c r="L1547" s="78" t="str">
        <f t="shared" si="1272"/>
        <v>1900-01-00 00:0:00</v>
      </c>
      <c r="M1547" s="79">
        <f t="shared" si="1273"/>
        <v>0</v>
      </c>
      <c r="N1547">
        <f t="shared" si="1298"/>
        <v>1</v>
      </c>
      <c r="O1547" t="str">
        <f>IFERROR(_xlfn.XLOOKUP(A1547,HC!A:A,HC!C:C),"")</f>
        <v>Workforce</v>
      </c>
      <c r="R1547" s="78" t="b">
        <f t="shared" si="1274"/>
        <v>0</v>
      </c>
      <c r="S1547" s="78" t="b">
        <f t="shared" si="1275"/>
        <v>0</v>
      </c>
      <c r="T1547" s="78" t="b">
        <f t="shared" si="1276"/>
        <v>0</v>
      </c>
      <c r="U1547" s="78" t="b">
        <f t="shared" si="1277"/>
        <v>0</v>
      </c>
      <c r="V1547" s="78" t="b">
        <f t="shared" si="1278"/>
        <v>0</v>
      </c>
      <c r="W1547" s="78" t="b">
        <f t="shared" si="1279"/>
        <v>0</v>
      </c>
      <c r="X1547" s="78" t="b">
        <f t="shared" si="1280"/>
        <v>0</v>
      </c>
      <c r="Y1547" s="78" t="b">
        <f t="shared" si="1281"/>
        <v>0</v>
      </c>
      <c r="Z1547" s="78" t="b">
        <f t="shared" si="1282"/>
        <v>0</v>
      </c>
      <c r="AA1547" s="78" t="b">
        <f t="shared" si="1283"/>
        <v>0</v>
      </c>
      <c r="AB1547" s="78" t="b">
        <f t="shared" si="1284"/>
        <v>0</v>
      </c>
      <c r="AC1547" s="78" t="b">
        <f t="shared" si="1285"/>
        <v>0</v>
      </c>
      <c r="AD1547" s="78" t="b">
        <f t="shared" si="1286"/>
        <v>0</v>
      </c>
      <c r="AE1547" s="78" t="b">
        <f t="shared" si="1287"/>
        <v>0</v>
      </c>
      <c r="AF1547" s="78" t="b">
        <f t="shared" si="1288"/>
        <v>0</v>
      </c>
      <c r="AG1547" s="78" t="b">
        <f t="shared" si="1289"/>
        <v>0</v>
      </c>
      <c r="AH1547" s="78" t="b">
        <f t="shared" si="1290"/>
        <v>0</v>
      </c>
      <c r="AI1547" s="78" t="b">
        <f t="shared" si="1291"/>
        <v>0</v>
      </c>
      <c r="AJ1547" s="78" t="b">
        <f t="shared" si="1292"/>
        <v>0</v>
      </c>
      <c r="AK1547" s="78" t="b">
        <f t="shared" si="1293"/>
        <v>0</v>
      </c>
      <c r="AL1547" s="78" t="b">
        <f t="shared" si="1294"/>
        <v>0</v>
      </c>
      <c r="AM1547" s="78" t="b">
        <f t="shared" si="1295"/>
        <v>0</v>
      </c>
      <c r="AN1547" s="78" t="b">
        <f t="shared" si="1296"/>
        <v>0</v>
      </c>
      <c r="AO1547" s="78" t="b">
        <f t="shared" si="1297"/>
        <v>0</v>
      </c>
    </row>
    <row r="1548" spans="7:41" x14ac:dyDescent="0.35">
      <c r="G1548" s="77">
        <f t="shared" si="1267"/>
        <v>0</v>
      </c>
      <c r="H1548" s="78">
        <f t="shared" si="1268"/>
        <v>0</v>
      </c>
      <c r="I1548" s="77">
        <f t="shared" si="1269"/>
        <v>0</v>
      </c>
      <c r="J1548" s="78">
        <f t="shared" si="1270"/>
        <v>0</v>
      </c>
      <c r="K1548" s="78" t="str">
        <f t="shared" si="1271"/>
        <v>1900-01-00 00:0:00</v>
      </c>
      <c r="L1548" s="78" t="str">
        <f t="shared" si="1272"/>
        <v>1900-01-00 00:0:00</v>
      </c>
      <c r="M1548" s="79">
        <f t="shared" si="1273"/>
        <v>0</v>
      </c>
      <c r="N1548">
        <f t="shared" si="1298"/>
        <v>1</v>
      </c>
      <c r="O1548" t="str">
        <f>IFERROR(_xlfn.XLOOKUP(A1548,HC!A:A,HC!C:C),"")</f>
        <v>Workforce</v>
      </c>
      <c r="R1548" s="78" t="b">
        <f t="shared" si="1274"/>
        <v>0</v>
      </c>
      <c r="S1548" s="78" t="b">
        <f t="shared" si="1275"/>
        <v>0</v>
      </c>
      <c r="T1548" s="78" t="b">
        <f t="shared" si="1276"/>
        <v>0</v>
      </c>
      <c r="U1548" s="78" t="b">
        <f t="shared" si="1277"/>
        <v>0</v>
      </c>
      <c r="V1548" s="78" t="b">
        <f t="shared" si="1278"/>
        <v>0</v>
      </c>
      <c r="W1548" s="78" t="b">
        <f t="shared" si="1279"/>
        <v>0</v>
      </c>
      <c r="X1548" s="78" t="b">
        <f t="shared" si="1280"/>
        <v>0</v>
      </c>
      <c r="Y1548" s="78" t="b">
        <f t="shared" si="1281"/>
        <v>0</v>
      </c>
      <c r="Z1548" s="78" t="b">
        <f t="shared" si="1282"/>
        <v>0</v>
      </c>
      <c r="AA1548" s="78" t="b">
        <f t="shared" si="1283"/>
        <v>0</v>
      </c>
      <c r="AB1548" s="78" t="b">
        <f t="shared" si="1284"/>
        <v>0</v>
      </c>
      <c r="AC1548" s="78" t="b">
        <f t="shared" si="1285"/>
        <v>0</v>
      </c>
      <c r="AD1548" s="78" t="b">
        <f t="shared" si="1286"/>
        <v>0</v>
      </c>
      <c r="AE1548" s="78" t="b">
        <f t="shared" si="1287"/>
        <v>0</v>
      </c>
      <c r="AF1548" s="78" t="b">
        <f t="shared" si="1288"/>
        <v>0</v>
      </c>
      <c r="AG1548" s="78" t="b">
        <f t="shared" si="1289"/>
        <v>0</v>
      </c>
      <c r="AH1548" s="78" t="b">
        <f t="shared" si="1290"/>
        <v>0</v>
      </c>
      <c r="AI1548" s="78" t="b">
        <f t="shared" si="1291"/>
        <v>0</v>
      </c>
      <c r="AJ1548" s="78" t="b">
        <f t="shared" si="1292"/>
        <v>0</v>
      </c>
      <c r="AK1548" s="78" t="b">
        <f t="shared" si="1293"/>
        <v>0</v>
      </c>
      <c r="AL1548" s="78" t="b">
        <f t="shared" si="1294"/>
        <v>0</v>
      </c>
      <c r="AM1548" s="78" t="b">
        <f t="shared" si="1295"/>
        <v>0</v>
      </c>
      <c r="AN1548" s="78" t="b">
        <f t="shared" si="1296"/>
        <v>0</v>
      </c>
      <c r="AO1548" s="78" t="b">
        <f t="shared" si="1297"/>
        <v>0</v>
      </c>
    </row>
    <row r="1549" spans="7:41" x14ac:dyDescent="0.35">
      <c r="G1549" s="77">
        <f t="shared" si="1267"/>
        <v>0</v>
      </c>
      <c r="H1549" s="78">
        <f t="shared" si="1268"/>
        <v>0</v>
      </c>
      <c r="I1549" s="77">
        <f t="shared" si="1269"/>
        <v>0</v>
      </c>
      <c r="J1549" s="78">
        <f t="shared" si="1270"/>
        <v>0</v>
      </c>
      <c r="K1549" s="78" t="str">
        <f t="shared" si="1271"/>
        <v>1900-01-00 00:0:00</v>
      </c>
      <c r="L1549" s="78" t="str">
        <f t="shared" si="1272"/>
        <v>1900-01-00 00:0:00</v>
      </c>
      <c r="M1549" s="79">
        <f t="shared" si="1273"/>
        <v>0</v>
      </c>
      <c r="N1549">
        <f t="shared" si="1298"/>
        <v>1</v>
      </c>
      <c r="O1549" t="str">
        <f>IFERROR(_xlfn.XLOOKUP(A1549,HC!A:A,HC!C:C),"")</f>
        <v>Workforce</v>
      </c>
      <c r="R1549" s="78" t="b">
        <f t="shared" si="1274"/>
        <v>0</v>
      </c>
      <c r="S1549" s="78" t="b">
        <f t="shared" si="1275"/>
        <v>0</v>
      </c>
      <c r="T1549" s="78" t="b">
        <f t="shared" si="1276"/>
        <v>0</v>
      </c>
      <c r="U1549" s="78" t="b">
        <f t="shared" si="1277"/>
        <v>0</v>
      </c>
      <c r="V1549" s="78" t="b">
        <f t="shared" si="1278"/>
        <v>0</v>
      </c>
      <c r="W1549" s="78" t="b">
        <f t="shared" si="1279"/>
        <v>0</v>
      </c>
      <c r="X1549" s="78" t="b">
        <f t="shared" si="1280"/>
        <v>0</v>
      </c>
      <c r="Y1549" s="78" t="b">
        <f t="shared" si="1281"/>
        <v>0</v>
      </c>
      <c r="Z1549" s="78" t="b">
        <f t="shared" si="1282"/>
        <v>0</v>
      </c>
      <c r="AA1549" s="78" t="b">
        <f t="shared" si="1283"/>
        <v>0</v>
      </c>
      <c r="AB1549" s="78" t="b">
        <f t="shared" si="1284"/>
        <v>0</v>
      </c>
      <c r="AC1549" s="78" t="b">
        <f t="shared" si="1285"/>
        <v>0</v>
      </c>
      <c r="AD1549" s="78" t="b">
        <f t="shared" si="1286"/>
        <v>0</v>
      </c>
      <c r="AE1549" s="78" t="b">
        <f t="shared" si="1287"/>
        <v>0</v>
      </c>
      <c r="AF1549" s="78" t="b">
        <f t="shared" si="1288"/>
        <v>0</v>
      </c>
      <c r="AG1549" s="78" t="b">
        <f t="shared" si="1289"/>
        <v>0</v>
      </c>
      <c r="AH1549" s="78" t="b">
        <f t="shared" si="1290"/>
        <v>0</v>
      </c>
      <c r="AI1549" s="78" t="b">
        <f t="shared" si="1291"/>
        <v>0</v>
      </c>
      <c r="AJ1549" s="78" t="b">
        <f t="shared" si="1292"/>
        <v>0</v>
      </c>
      <c r="AK1549" s="78" t="b">
        <f t="shared" si="1293"/>
        <v>0</v>
      </c>
      <c r="AL1549" s="78" t="b">
        <f t="shared" si="1294"/>
        <v>0</v>
      </c>
      <c r="AM1549" s="78" t="b">
        <f t="shared" si="1295"/>
        <v>0</v>
      </c>
      <c r="AN1549" s="78" t="b">
        <f t="shared" si="1296"/>
        <v>0</v>
      </c>
      <c r="AO1549" s="78" t="b">
        <f t="shared" si="1297"/>
        <v>0</v>
      </c>
    </row>
    <row r="1550" spans="7:41" x14ac:dyDescent="0.35">
      <c r="G1550" s="77">
        <f t="shared" si="1267"/>
        <v>0</v>
      </c>
      <c r="H1550" s="78">
        <f t="shared" si="1268"/>
        <v>0</v>
      </c>
      <c r="I1550" s="77">
        <f t="shared" si="1269"/>
        <v>0</v>
      </c>
      <c r="J1550" s="78">
        <f t="shared" si="1270"/>
        <v>0</v>
      </c>
      <c r="K1550" s="78" t="str">
        <f t="shared" si="1271"/>
        <v>1900-01-00 00:0:00</v>
      </c>
      <c r="L1550" s="78" t="str">
        <f t="shared" si="1272"/>
        <v>1900-01-00 00:0:00</v>
      </c>
      <c r="M1550" s="79">
        <f t="shared" si="1273"/>
        <v>0</v>
      </c>
      <c r="N1550">
        <f t="shared" si="1298"/>
        <v>1</v>
      </c>
      <c r="O1550" t="str">
        <f>IFERROR(_xlfn.XLOOKUP(A1550,HC!A:A,HC!C:C),"")</f>
        <v>Workforce</v>
      </c>
      <c r="R1550" s="78" t="b">
        <f t="shared" si="1274"/>
        <v>0</v>
      </c>
      <c r="S1550" s="78" t="b">
        <f t="shared" si="1275"/>
        <v>0</v>
      </c>
      <c r="T1550" s="78" t="b">
        <f t="shared" si="1276"/>
        <v>0</v>
      </c>
      <c r="U1550" s="78" t="b">
        <f t="shared" si="1277"/>
        <v>0</v>
      </c>
      <c r="V1550" s="78" t="b">
        <f t="shared" si="1278"/>
        <v>0</v>
      </c>
      <c r="W1550" s="78" t="b">
        <f t="shared" si="1279"/>
        <v>0</v>
      </c>
      <c r="X1550" s="78" t="b">
        <f t="shared" si="1280"/>
        <v>0</v>
      </c>
      <c r="Y1550" s="78" t="b">
        <f t="shared" si="1281"/>
        <v>0</v>
      </c>
      <c r="Z1550" s="78" t="b">
        <f t="shared" si="1282"/>
        <v>0</v>
      </c>
      <c r="AA1550" s="78" t="b">
        <f t="shared" si="1283"/>
        <v>0</v>
      </c>
      <c r="AB1550" s="78" t="b">
        <f t="shared" si="1284"/>
        <v>0</v>
      </c>
      <c r="AC1550" s="78" t="b">
        <f t="shared" si="1285"/>
        <v>0</v>
      </c>
      <c r="AD1550" s="78" t="b">
        <f t="shared" si="1286"/>
        <v>0</v>
      </c>
      <c r="AE1550" s="78" t="b">
        <f t="shared" si="1287"/>
        <v>0</v>
      </c>
      <c r="AF1550" s="78" t="b">
        <f t="shared" si="1288"/>
        <v>0</v>
      </c>
      <c r="AG1550" s="78" t="b">
        <f t="shared" si="1289"/>
        <v>0</v>
      </c>
      <c r="AH1550" s="78" t="b">
        <f t="shared" si="1290"/>
        <v>0</v>
      </c>
      <c r="AI1550" s="78" t="b">
        <f t="shared" si="1291"/>
        <v>0</v>
      </c>
      <c r="AJ1550" s="78" t="b">
        <f t="shared" si="1292"/>
        <v>0</v>
      </c>
      <c r="AK1550" s="78" t="b">
        <f t="shared" si="1293"/>
        <v>0</v>
      </c>
      <c r="AL1550" s="78" t="b">
        <f t="shared" si="1294"/>
        <v>0</v>
      </c>
      <c r="AM1550" s="78" t="b">
        <f t="shared" si="1295"/>
        <v>0</v>
      </c>
      <c r="AN1550" s="78" t="b">
        <f t="shared" si="1296"/>
        <v>0</v>
      </c>
      <c r="AO1550" s="78" t="b">
        <f t="shared" si="1297"/>
        <v>0</v>
      </c>
    </row>
    <row r="1551" spans="7:41" x14ac:dyDescent="0.35">
      <c r="G1551" s="77">
        <f t="shared" si="1267"/>
        <v>0</v>
      </c>
      <c r="H1551" s="78">
        <f t="shared" si="1268"/>
        <v>0</v>
      </c>
      <c r="I1551" s="77">
        <f t="shared" si="1269"/>
        <v>0</v>
      </c>
      <c r="J1551" s="78">
        <f t="shared" si="1270"/>
        <v>0</v>
      </c>
      <c r="K1551" s="78" t="str">
        <f t="shared" si="1271"/>
        <v>1900-01-00 00:0:00</v>
      </c>
      <c r="L1551" s="78" t="str">
        <f t="shared" si="1272"/>
        <v>1900-01-00 00:0:00</v>
      </c>
      <c r="M1551" s="79">
        <f t="shared" si="1273"/>
        <v>0</v>
      </c>
      <c r="N1551">
        <f t="shared" si="1298"/>
        <v>1</v>
      </c>
      <c r="O1551" t="str">
        <f>IFERROR(_xlfn.XLOOKUP(A1551,HC!A:A,HC!C:C),"")</f>
        <v>Workforce</v>
      </c>
      <c r="R1551" s="78" t="b">
        <f t="shared" si="1274"/>
        <v>0</v>
      </c>
      <c r="S1551" s="78" t="b">
        <f t="shared" si="1275"/>
        <v>0</v>
      </c>
      <c r="T1551" s="78" t="b">
        <f t="shared" si="1276"/>
        <v>0</v>
      </c>
      <c r="U1551" s="78" t="b">
        <f t="shared" si="1277"/>
        <v>0</v>
      </c>
      <c r="V1551" s="78" t="b">
        <f t="shared" si="1278"/>
        <v>0</v>
      </c>
      <c r="W1551" s="78" t="b">
        <f t="shared" si="1279"/>
        <v>0</v>
      </c>
      <c r="X1551" s="78" t="b">
        <f t="shared" si="1280"/>
        <v>0</v>
      </c>
      <c r="Y1551" s="78" t="b">
        <f t="shared" si="1281"/>
        <v>0</v>
      </c>
      <c r="Z1551" s="78" t="b">
        <f t="shared" si="1282"/>
        <v>0</v>
      </c>
      <c r="AA1551" s="78" t="b">
        <f t="shared" si="1283"/>
        <v>0</v>
      </c>
      <c r="AB1551" s="78" t="b">
        <f t="shared" si="1284"/>
        <v>0</v>
      </c>
      <c r="AC1551" s="78" t="b">
        <f t="shared" si="1285"/>
        <v>0</v>
      </c>
      <c r="AD1551" s="78" t="b">
        <f t="shared" si="1286"/>
        <v>0</v>
      </c>
      <c r="AE1551" s="78" t="b">
        <f t="shared" si="1287"/>
        <v>0</v>
      </c>
      <c r="AF1551" s="78" t="b">
        <f t="shared" si="1288"/>
        <v>0</v>
      </c>
      <c r="AG1551" s="78" t="b">
        <f t="shared" si="1289"/>
        <v>0</v>
      </c>
      <c r="AH1551" s="78" t="b">
        <f t="shared" si="1290"/>
        <v>0</v>
      </c>
      <c r="AI1551" s="78" t="b">
        <f t="shared" si="1291"/>
        <v>0</v>
      </c>
      <c r="AJ1551" s="78" t="b">
        <f t="shared" si="1292"/>
        <v>0</v>
      </c>
      <c r="AK1551" s="78" t="b">
        <f t="shared" si="1293"/>
        <v>0</v>
      </c>
      <c r="AL1551" s="78" t="b">
        <f t="shared" si="1294"/>
        <v>0</v>
      </c>
      <c r="AM1551" s="78" t="b">
        <f t="shared" si="1295"/>
        <v>0</v>
      </c>
      <c r="AN1551" s="78" t="b">
        <f t="shared" si="1296"/>
        <v>0</v>
      </c>
      <c r="AO1551" s="78" t="b">
        <f t="shared" si="1297"/>
        <v>0</v>
      </c>
    </row>
    <row r="1552" spans="7:41" x14ac:dyDescent="0.35">
      <c r="G1552" s="77">
        <f t="shared" si="1267"/>
        <v>0</v>
      </c>
      <c r="H1552" s="78">
        <f t="shared" si="1268"/>
        <v>0</v>
      </c>
      <c r="I1552" s="77">
        <f t="shared" si="1269"/>
        <v>0</v>
      </c>
      <c r="J1552" s="78">
        <f t="shared" si="1270"/>
        <v>0</v>
      </c>
      <c r="K1552" s="78" t="str">
        <f t="shared" si="1271"/>
        <v>1900-01-00 00:0:00</v>
      </c>
      <c r="L1552" s="78" t="str">
        <f t="shared" si="1272"/>
        <v>1900-01-00 00:0:00</v>
      </c>
      <c r="M1552" s="79">
        <f t="shared" si="1273"/>
        <v>0</v>
      </c>
      <c r="N1552">
        <f t="shared" si="1298"/>
        <v>1</v>
      </c>
      <c r="O1552" t="str">
        <f>IFERROR(_xlfn.XLOOKUP(A1552,HC!A:A,HC!C:C),"")</f>
        <v>Workforce</v>
      </c>
      <c r="R1552" s="78" t="b">
        <f t="shared" si="1274"/>
        <v>0</v>
      </c>
      <c r="S1552" s="78" t="b">
        <f t="shared" si="1275"/>
        <v>0</v>
      </c>
      <c r="T1552" s="78" t="b">
        <f t="shared" si="1276"/>
        <v>0</v>
      </c>
      <c r="U1552" s="78" t="b">
        <f t="shared" si="1277"/>
        <v>0</v>
      </c>
      <c r="V1552" s="78" t="b">
        <f t="shared" si="1278"/>
        <v>0</v>
      </c>
      <c r="W1552" s="78" t="b">
        <f t="shared" si="1279"/>
        <v>0</v>
      </c>
      <c r="X1552" s="78" t="b">
        <f t="shared" si="1280"/>
        <v>0</v>
      </c>
      <c r="Y1552" s="78" t="b">
        <f t="shared" si="1281"/>
        <v>0</v>
      </c>
      <c r="Z1552" s="78" t="b">
        <f t="shared" si="1282"/>
        <v>0</v>
      </c>
      <c r="AA1552" s="78" t="b">
        <f t="shared" si="1283"/>
        <v>0</v>
      </c>
      <c r="AB1552" s="78" t="b">
        <f t="shared" si="1284"/>
        <v>0</v>
      </c>
      <c r="AC1552" s="78" t="b">
        <f t="shared" si="1285"/>
        <v>0</v>
      </c>
      <c r="AD1552" s="78" t="b">
        <f t="shared" si="1286"/>
        <v>0</v>
      </c>
      <c r="AE1552" s="78" t="b">
        <f t="shared" si="1287"/>
        <v>0</v>
      </c>
      <c r="AF1552" s="78" t="b">
        <f t="shared" si="1288"/>
        <v>0</v>
      </c>
      <c r="AG1552" s="78" t="b">
        <f t="shared" si="1289"/>
        <v>0</v>
      </c>
      <c r="AH1552" s="78" t="b">
        <f t="shared" si="1290"/>
        <v>0</v>
      </c>
      <c r="AI1552" s="78" t="b">
        <f t="shared" si="1291"/>
        <v>0</v>
      </c>
      <c r="AJ1552" s="78" t="b">
        <f t="shared" si="1292"/>
        <v>0</v>
      </c>
      <c r="AK1552" s="78" t="b">
        <f t="shared" si="1293"/>
        <v>0</v>
      </c>
      <c r="AL1552" s="78" t="b">
        <f t="shared" si="1294"/>
        <v>0</v>
      </c>
      <c r="AM1552" s="78" t="b">
        <f t="shared" si="1295"/>
        <v>0</v>
      </c>
      <c r="AN1552" s="78" t="b">
        <f t="shared" si="1296"/>
        <v>0</v>
      </c>
      <c r="AO1552" s="78" t="b">
        <f t="shared" si="1297"/>
        <v>0</v>
      </c>
    </row>
    <row r="1553" spans="7:41" x14ac:dyDescent="0.35">
      <c r="G1553" s="77">
        <f t="shared" si="1267"/>
        <v>0</v>
      </c>
      <c r="H1553" s="78">
        <f t="shared" si="1268"/>
        <v>0</v>
      </c>
      <c r="I1553" s="77">
        <f t="shared" si="1269"/>
        <v>0</v>
      </c>
      <c r="J1553" s="78">
        <f t="shared" si="1270"/>
        <v>0</v>
      </c>
      <c r="K1553" s="78" t="str">
        <f t="shared" si="1271"/>
        <v>1900-01-00 00:0:00</v>
      </c>
      <c r="L1553" s="78" t="str">
        <f t="shared" si="1272"/>
        <v>1900-01-00 00:0:00</v>
      </c>
      <c r="M1553" s="79">
        <f t="shared" si="1273"/>
        <v>0</v>
      </c>
      <c r="N1553">
        <f t="shared" si="1298"/>
        <v>1</v>
      </c>
      <c r="O1553" t="str">
        <f>IFERROR(_xlfn.XLOOKUP(A1553,HC!A:A,HC!C:C),"")</f>
        <v>Workforce</v>
      </c>
      <c r="R1553" s="78" t="b">
        <f t="shared" si="1274"/>
        <v>0</v>
      </c>
      <c r="S1553" s="78" t="b">
        <f t="shared" si="1275"/>
        <v>0</v>
      </c>
      <c r="T1553" s="78" t="b">
        <f t="shared" si="1276"/>
        <v>0</v>
      </c>
      <c r="U1553" s="78" t="b">
        <f t="shared" si="1277"/>
        <v>0</v>
      </c>
      <c r="V1553" s="78" t="b">
        <f t="shared" si="1278"/>
        <v>0</v>
      </c>
      <c r="W1553" s="78" t="b">
        <f t="shared" si="1279"/>
        <v>0</v>
      </c>
      <c r="X1553" s="78" t="b">
        <f t="shared" si="1280"/>
        <v>0</v>
      </c>
      <c r="Y1553" s="78" t="b">
        <f t="shared" si="1281"/>
        <v>0</v>
      </c>
      <c r="Z1553" s="78" t="b">
        <f t="shared" si="1282"/>
        <v>0</v>
      </c>
      <c r="AA1553" s="78" t="b">
        <f t="shared" si="1283"/>
        <v>0</v>
      </c>
      <c r="AB1553" s="78" t="b">
        <f t="shared" si="1284"/>
        <v>0</v>
      </c>
      <c r="AC1553" s="78" t="b">
        <f t="shared" si="1285"/>
        <v>0</v>
      </c>
      <c r="AD1553" s="78" t="b">
        <f t="shared" si="1286"/>
        <v>0</v>
      </c>
      <c r="AE1553" s="78" t="b">
        <f t="shared" si="1287"/>
        <v>0</v>
      </c>
      <c r="AF1553" s="78" t="b">
        <f t="shared" si="1288"/>
        <v>0</v>
      </c>
      <c r="AG1553" s="78" t="b">
        <f t="shared" si="1289"/>
        <v>0</v>
      </c>
      <c r="AH1553" s="78" t="b">
        <f t="shared" si="1290"/>
        <v>0</v>
      </c>
      <c r="AI1553" s="78" t="b">
        <f t="shared" si="1291"/>
        <v>0</v>
      </c>
      <c r="AJ1553" s="78" t="b">
        <f t="shared" si="1292"/>
        <v>0</v>
      </c>
      <c r="AK1553" s="78" t="b">
        <f t="shared" si="1293"/>
        <v>0</v>
      </c>
      <c r="AL1553" s="78" t="b">
        <f t="shared" si="1294"/>
        <v>0</v>
      </c>
      <c r="AM1553" s="78" t="b">
        <f t="shared" si="1295"/>
        <v>0</v>
      </c>
      <c r="AN1553" s="78" t="b">
        <f t="shared" si="1296"/>
        <v>0</v>
      </c>
      <c r="AO1553" s="78" t="b">
        <f t="shared" si="1297"/>
        <v>0</v>
      </c>
    </row>
    <row r="1554" spans="7:41" x14ac:dyDescent="0.35">
      <c r="G1554" s="77">
        <f t="shared" si="1267"/>
        <v>0</v>
      </c>
      <c r="H1554" s="78">
        <f t="shared" si="1268"/>
        <v>0</v>
      </c>
      <c r="I1554" s="77">
        <f t="shared" si="1269"/>
        <v>0</v>
      </c>
      <c r="J1554" s="78">
        <f t="shared" si="1270"/>
        <v>0</v>
      </c>
      <c r="K1554" s="78" t="str">
        <f t="shared" si="1271"/>
        <v>1900-01-00 00:0:00</v>
      </c>
      <c r="L1554" s="78" t="str">
        <f t="shared" si="1272"/>
        <v>1900-01-00 00:0:00</v>
      </c>
      <c r="M1554" s="79">
        <f t="shared" si="1273"/>
        <v>0</v>
      </c>
      <c r="N1554">
        <f t="shared" si="1298"/>
        <v>1</v>
      </c>
      <c r="O1554" t="str">
        <f>IFERROR(_xlfn.XLOOKUP(A1554,HC!A:A,HC!C:C),"")</f>
        <v>Workforce</v>
      </c>
      <c r="R1554" s="78" t="b">
        <f t="shared" si="1274"/>
        <v>0</v>
      </c>
      <c r="S1554" s="78" t="b">
        <f t="shared" si="1275"/>
        <v>0</v>
      </c>
      <c r="T1554" s="78" t="b">
        <f t="shared" si="1276"/>
        <v>0</v>
      </c>
      <c r="U1554" s="78" t="b">
        <f t="shared" si="1277"/>
        <v>0</v>
      </c>
      <c r="V1554" s="78" t="b">
        <f t="shared" si="1278"/>
        <v>0</v>
      </c>
      <c r="W1554" s="78" t="b">
        <f t="shared" si="1279"/>
        <v>0</v>
      </c>
      <c r="X1554" s="78" t="b">
        <f t="shared" si="1280"/>
        <v>0</v>
      </c>
      <c r="Y1554" s="78" t="b">
        <f t="shared" si="1281"/>
        <v>0</v>
      </c>
      <c r="Z1554" s="78" t="b">
        <f t="shared" si="1282"/>
        <v>0</v>
      </c>
      <c r="AA1554" s="78" t="b">
        <f t="shared" si="1283"/>
        <v>0</v>
      </c>
      <c r="AB1554" s="78" t="b">
        <f t="shared" si="1284"/>
        <v>0</v>
      </c>
      <c r="AC1554" s="78" t="b">
        <f t="shared" si="1285"/>
        <v>0</v>
      </c>
      <c r="AD1554" s="78" t="b">
        <f t="shared" si="1286"/>
        <v>0</v>
      </c>
      <c r="AE1554" s="78" t="b">
        <f t="shared" si="1287"/>
        <v>0</v>
      </c>
      <c r="AF1554" s="78" t="b">
        <f t="shared" si="1288"/>
        <v>0</v>
      </c>
      <c r="AG1554" s="78" t="b">
        <f t="shared" si="1289"/>
        <v>0</v>
      </c>
      <c r="AH1554" s="78" t="b">
        <f t="shared" si="1290"/>
        <v>0</v>
      </c>
      <c r="AI1554" s="78" t="b">
        <f t="shared" si="1291"/>
        <v>0</v>
      </c>
      <c r="AJ1554" s="78" t="b">
        <f t="shared" si="1292"/>
        <v>0</v>
      </c>
      <c r="AK1554" s="78" t="b">
        <f t="shared" si="1293"/>
        <v>0</v>
      </c>
      <c r="AL1554" s="78" t="b">
        <f t="shared" si="1294"/>
        <v>0</v>
      </c>
      <c r="AM1554" s="78" t="b">
        <f t="shared" si="1295"/>
        <v>0</v>
      </c>
      <c r="AN1554" s="78" t="b">
        <f t="shared" si="1296"/>
        <v>0</v>
      </c>
      <c r="AO1554" s="78" t="b">
        <f t="shared" si="1297"/>
        <v>0</v>
      </c>
    </row>
    <row r="1555" spans="7:41" x14ac:dyDescent="0.35">
      <c r="G1555" s="77">
        <f t="shared" si="1267"/>
        <v>0</v>
      </c>
      <c r="H1555" s="78">
        <f t="shared" si="1268"/>
        <v>0</v>
      </c>
      <c r="I1555" s="77">
        <f t="shared" si="1269"/>
        <v>0</v>
      </c>
      <c r="J1555" s="78">
        <f t="shared" si="1270"/>
        <v>0</v>
      </c>
      <c r="K1555" s="78" t="str">
        <f t="shared" si="1271"/>
        <v>1900-01-00 00:0:00</v>
      </c>
      <c r="L1555" s="78" t="str">
        <f t="shared" si="1272"/>
        <v>1900-01-00 00:0:00</v>
      </c>
      <c r="M1555" s="79">
        <f t="shared" si="1273"/>
        <v>0</v>
      </c>
      <c r="N1555">
        <f t="shared" si="1298"/>
        <v>1</v>
      </c>
      <c r="O1555" t="str">
        <f>IFERROR(_xlfn.XLOOKUP(A1555,HC!A:A,HC!C:C),"")</f>
        <v>Workforce</v>
      </c>
      <c r="R1555" s="78" t="b">
        <f t="shared" si="1274"/>
        <v>0</v>
      </c>
      <c r="S1555" s="78" t="b">
        <f t="shared" si="1275"/>
        <v>0</v>
      </c>
      <c r="T1555" s="78" t="b">
        <f t="shared" si="1276"/>
        <v>0</v>
      </c>
      <c r="U1555" s="78" t="b">
        <f t="shared" si="1277"/>
        <v>0</v>
      </c>
      <c r="V1555" s="78" t="b">
        <f t="shared" si="1278"/>
        <v>0</v>
      </c>
      <c r="W1555" s="78" t="b">
        <f t="shared" si="1279"/>
        <v>0</v>
      </c>
      <c r="X1555" s="78" t="b">
        <f t="shared" si="1280"/>
        <v>0</v>
      </c>
      <c r="Y1555" s="78" t="b">
        <f t="shared" si="1281"/>
        <v>0</v>
      </c>
      <c r="Z1555" s="78" t="b">
        <f t="shared" si="1282"/>
        <v>0</v>
      </c>
      <c r="AA1555" s="78" t="b">
        <f t="shared" si="1283"/>
        <v>0</v>
      </c>
      <c r="AB1555" s="78" t="b">
        <f t="shared" si="1284"/>
        <v>0</v>
      </c>
      <c r="AC1555" s="78" t="b">
        <f t="shared" si="1285"/>
        <v>0</v>
      </c>
      <c r="AD1555" s="78" t="b">
        <f t="shared" si="1286"/>
        <v>0</v>
      </c>
      <c r="AE1555" s="78" t="b">
        <f t="shared" si="1287"/>
        <v>0</v>
      </c>
      <c r="AF1555" s="78" t="b">
        <f t="shared" si="1288"/>
        <v>0</v>
      </c>
      <c r="AG1555" s="78" t="b">
        <f t="shared" si="1289"/>
        <v>0</v>
      </c>
      <c r="AH1555" s="78" t="b">
        <f t="shared" si="1290"/>
        <v>0</v>
      </c>
      <c r="AI1555" s="78" t="b">
        <f t="shared" si="1291"/>
        <v>0</v>
      </c>
      <c r="AJ1555" s="78" t="b">
        <f t="shared" si="1292"/>
        <v>0</v>
      </c>
      <c r="AK1555" s="78" t="b">
        <f t="shared" si="1293"/>
        <v>0</v>
      </c>
      <c r="AL1555" s="78" t="b">
        <f t="shared" si="1294"/>
        <v>0</v>
      </c>
      <c r="AM1555" s="78" t="b">
        <f t="shared" si="1295"/>
        <v>0</v>
      </c>
      <c r="AN1555" s="78" t="b">
        <f t="shared" si="1296"/>
        <v>0</v>
      </c>
      <c r="AO1555" s="78" t="b">
        <f t="shared" si="1297"/>
        <v>0</v>
      </c>
    </row>
    <row r="1556" spans="7:41" x14ac:dyDescent="0.35">
      <c r="G1556" s="77">
        <f t="shared" si="1267"/>
        <v>0</v>
      </c>
      <c r="H1556" s="78">
        <f t="shared" si="1268"/>
        <v>0</v>
      </c>
      <c r="I1556" s="77">
        <f t="shared" si="1269"/>
        <v>0</v>
      </c>
      <c r="J1556" s="78">
        <f t="shared" si="1270"/>
        <v>0</v>
      </c>
      <c r="K1556" s="78" t="str">
        <f t="shared" si="1271"/>
        <v>1900-01-00 00:0:00</v>
      </c>
      <c r="L1556" s="78" t="str">
        <f t="shared" si="1272"/>
        <v>1900-01-00 00:0:00</v>
      </c>
      <c r="M1556" s="79">
        <f t="shared" si="1273"/>
        <v>0</v>
      </c>
      <c r="N1556">
        <f t="shared" si="1298"/>
        <v>1</v>
      </c>
      <c r="O1556" t="str">
        <f>IFERROR(_xlfn.XLOOKUP(A1556,HC!A:A,HC!C:C),"")</f>
        <v>Workforce</v>
      </c>
      <c r="R1556" s="78" t="b">
        <f t="shared" si="1274"/>
        <v>0</v>
      </c>
      <c r="S1556" s="78" t="b">
        <f t="shared" si="1275"/>
        <v>0</v>
      </c>
      <c r="T1556" s="78" t="b">
        <f t="shared" si="1276"/>
        <v>0</v>
      </c>
      <c r="U1556" s="78" t="b">
        <f t="shared" si="1277"/>
        <v>0</v>
      </c>
      <c r="V1556" s="78" t="b">
        <f t="shared" si="1278"/>
        <v>0</v>
      </c>
      <c r="W1556" s="78" t="b">
        <f t="shared" si="1279"/>
        <v>0</v>
      </c>
      <c r="X1556" s="78" t="b">
        <f t="shared" si="1280"/>
        <v>0</v>
      </c>
      <c r="Y1556" s="78" t="b">
        <f t="shared" si="1281"/>
        <v>0</v>
      </c>
      <c r="Z1556" s="78" t="b">
        <f t="shared" si="1282"/>
        <v>0</v>
      </c>
      <c r="AA1556" s="78" t="b">
        <f t="shared" si="1283"/>
        <v>0</v>
      </c>
      <c r="AB1556" s="78" t="b">
        <f t="shared" si="1284"/>
        <v>0</v>
      </c>
      <c r="AC1556" s="78" t="b">
        <f t="shared" si="1285"/>
        <v>0</v>
      </c>
      <c r="AD1556" s="78" t="b">
        <f t="shared" si="1286"/>
        <v>0</v>
      </c>
      <c r="AE1556" s="78" t="b">
        <f t="shared" si="1287"/>
        <v>0</v>
      </c>
      <c r="AF1556" s="78" t="b">
        <f t="shared" si="1288"/>
        <v>0</v>
      </c>
      <c r="AG1556" s="78" t="b">
        <f t="shared" si="1289"/>
        <v>0</v>
      </c>
      <c r="AH1556" s="78" t="b">
        <f t="shared" si="1290"/>
        <v>0</v>
      </c>
      <c r="AI1556" s="78" t="b">
        <f t="shared" si="1291"/>
        <v>0</v>
      </c>
      <c r="AJ1556" s="78" t="b">
        <f t="shared" si="1292"/>
        <v>0</v>
      </c>
      <c r="AK1556" s="78" t="b">
        <f t="shared" si="1293"/>
        <v>0</v>
      </c>
      <c r="AL1556" s="78" t="b">
        <f t="shared" si="1294"/>
        <v>0</v>
      </c>
      <c r="AM1556" s="78" t="b">
        <f t="shared" si="1295"/>
        <v>0</v>
      </c>
      <c r="AN1556" s="78" t="b">
        <f t="shared" si="1296"/>
        <v>0</v>
      </c>
      <c r="AO1556" s="78" t="b">
        <f t="shared" si="1297"/>
        <v>0</v>
      </c>
    </row>
    <row r="1557" spans="7:41" x14ac:dyDescent="0.35">
      <c r="G1557" s="77">
        <f t="shared" si="1267"/>
        <v>0</v>
      </c>
      <c r="H1557" s="78">
        <f t="shared" si="1268"/>
        <v>0</v>
      </c>
      <c r="I1557" s="77">
        <f t="shared" si="1269"/>
        <v>0</v>
      </c>
      <c r="J1557" s="78">
        <f t="shared" si="1270"/>
        <v>0</v>
      </c>
      <c r="K1557" s="78" t="str">
        <f t="shared" si="1271"/>
        <v>1900-01-00 00:0:00</v>
      </c>
      <c r="L1557" s="78" t="str">
        <f t="shared" si="1272"/>
        <v>1900-01-00 00:0:00</v>
      </c>
      <c r="M1557" s="79">
        <f t="shared" si="1273"/>
        <v>0</v>
      </c>
      <c r="N1557">
        <f t="shared" si="1298"/>
        <v>1</v>
      </c>
      <c r="O1557" t="str">
        <f>IFERROR(_xlfn.XLOOKUP(A1557,HC!A:A,HC!C:C),"")</f>
        <v>Workforce</v>
      </c>
      <c r="R1557" s="78" t="b">
        <f t="shared" si="1274"/>
        <v>0</v>
      </c>
      <c r="S1557" s="78" t="b">
        <f t="shared" si="1275"/>
        <v>0</v>
      </c>
      <c r="T1557" s="78" t="b">
        <f t="shared" si="1276"/>
        <v>0</v>
      </c>
      <c r="U1557" s="78" t="b">
        <f t="shared" si="1277"/>
        <v>0</v>
      </c>
      <c r="V1557" s="78" t="b">
        <f t="shared" si="1278"/>
        <v>0</v>
      </c>
      <c r="W1557" s="78" t="b">
        <f t="shared" si="1279"/>
        <v>0</v>
      </c>
      <c r="X1557" s="78" t="b">
        <f t="shared" si="1280"/>
        <v>0</v>
      </c>
      <c r="Y1557" s="78" t="b">
        <f t="shared" si="1281"/>
        <v>0</v>
      </c>
      <c r="Z1557" s="78" t="b">
        <f t="shared" si="1282"/>
        <v>0</v>
      </c>
      <c r="AA1557" s="78" t="b">
        <f t="shared" si="1283"/>
        <v>0</v>
      </c>
      <c r="AB1557" s="78" t="b">
        <f t="shared" si="1284"/>
        <v>0</v>
      </c>
      <c r="AC1557" s="78" t="b">
        <f t="shared" si="1285"/>
        <v>0</v>
      </c>
      <c r="AD1557" s="78" t="b">
        <f t="shared" si="1286"/>
        <v>0</v>
      </c>
      <c r="AE1557" s="78" t="b">
        <f t="shared" si="1287"/>
        <v>0</v>
      </c>
      <c r="AF1557" s="78" t="b">
        <f t="shared" si="1288"/>
        <v>0</v>
      </c>
      <c r="AG1557" s="78" t="b">
        <f t="shared" si="1289"/>
        <v>0</v>
      </c>
      <c r="AH1557" s="78" t="b">
        <f t="shared" si="1290"/>
        <v>0</v>
      </c>
      <c r="AI1557" s="78" t="b">
        <f t="shared" si="1291"/>
        <v>0</v>
      </c>
      <c r="AJ1557" s="78" t="b">
        <f t="shared" si="1292"/>
        <v>0</v>
      </c>
      <c r="AK1557" s="78" t="b">
        <f t="shared" si="1293"/>
        <v>0</v>
      </c>
      <c r="AL1557" s="78" t="b">
        <f t="shared" si="1294"/>
        <v>0</v>
      </c>
      <c r="AM1557" s="78" t="b">
        <f t="shared" si="1295"/>
        <v>0</v>
      </c>
      <c r="AN1557" s="78" t="b">
        <f t="shared" si="1296"/>
        <v>0</v>
      </c>
      <c r="AO1557" s="78" t="b">
        <f t="shared" si="1297"/>
        <v>0</v>
      </c>
    </row>
    <row r="1558" spans="7:41" x14ac:dyDescent="0.35">
      <c r="G1558" s="77">
        <f t="shared" si="1267"/>
        <v>0</v>
      </c>
      <c r="H1558" s="78">
        <f t="shared" si="1268"/>
        <v>0</v>
      </c>
      <c r="I1558" s="77">
        <f t="shared" si="1269"/>
        <v>0</v>
      </c>
      <c r="J1558" s="78">
        <f t="shared" si="1270"/>
        <v>0</v>
      </c>
      <c r="K1558" s="78" t="str">
        <f t="shared" si="1271"/>
        <v>1900-01-00 00:0:00</v>
      </c>
      <c r="L1558" s="78" t="str">
        <f t="shared" si="1272"/>
        <v>1900-01-00 00:0:00</v>
      </c>
      <c r="M1558" s="79">
        <f t="shared" si="1273"/>
        <v>0</v>
      </c>
      <c r="N1558">
        <f t="shared" si="1298"/>
        <v>1</v>
      </c>
      <c r="O1558" t="str">
        <f>IFERROR(_xlfn.XLOOKUP(A1558,HC!A:A,HC!C:C),"")</f>
        <v>Workforce</v>
      </c>
      <c r="R1558" s="78" t="b">
        <f t="shared" si="1274"/>
        <v>0</v>
      </c>
      <c r="S1558" s="78" t="b">
        <f t="shared" si="1275"/>
        <v>0</v>
      </c>
      <c r="T1558" s="78" t="b">
        <f t="shared" si="1276"/>
        <v>0</v>
      </c>
      <c r="U1558" s="78" t="b">
        <f t="shared" si="1277"/>
        <v>0</v>
      </c>
      <c r="V1558" s="78" t="b">
        <f t="shared" si="1278"/>
        <v>0</v>
      </c>
      <c r="W1558" s="78" t="b">
        <f t="shared" si="1279"/>
        <v>0</v>
      </c>
      <c r="X1558" s="78" t="b">
        <f t="shared" si="1280"/>
        <v>0</v>
      </c>
      <c r="Y1558" s="78" t="b">
        <f t="shared" si="1281"/>
        <v>0</v>
      </c>
      <c r="Z1558" s="78" t="b">
        <f t="shared" si="1282"/>
        <v>0</v>
      </c>
      <c r="AA1558" s="78" t="b">
        <f t="shared" si="1283"/>
        <v>0</v>
      </c>
      <c r="AB1558" s="78" t="b">
        <f t="shared" si="1284"/>
        <v>0</v>
      </c>
      <c r="AC1558" s="78" t="b">
        <f t="shared" si="1285"/>
        <v>0</v>
      </c>
      <c r="AD1558" s="78" t="b">
        <f t="shared" si="1286"/>
        <v>0</v>
      </c>
      <c r="AE1558" s="78" t="b">
        <f t="shared" si="1287"/>
        <v>0</v>
      </c>
      <c r="AF1558" s="78" t="b">
        <f t="shared" si="1288"/>
        <v>0</v>
      </c>
      <c r="AG1558" s="78" t="b">
        <f t="shared" si="1289"/>
        <v>0</v>
      </c>
      <c r="AH1558" s="78" t="b">
        <f t="shared" si="1290"/>
        <v>0</v>
      </c>
      <c r="AI1558" s="78" t="b">
        <f t="shared" si="1291"/>
        <v>0</v>
      </c>
      <c r="AJ1558" s="78" t="b">
        <f t="shared" si="1292"/>
        <v>0</v>
      </c>
      <c r="AK1558" s="78" t="b">
        <f t="shared" si="1293"/>
        <v>0</v>
      </c>
      <c r="AL1558" s="78" t="b">
        <f t="shared" si="1294"/>
        <v>0</v>
      </c>
      <c r="AM1558" s="78" t="b">
        <f t="shared" si="1295"/>
        <v>0</v>
      </c>
      <c r="AN1558" s="78" t="b">
        <f t="shared" si="1296"/>
        <v>0</v>
      </c>
      <c r="AO1558" s="78" t="b">
        <f t="shared" si="1297"/>
        <v>0</v>
      </c>
    </row>
    <row r="1559" spans="7:41" x14ac:dyDescent="0.35">
      <c r="G1559" s="77">
        <f t="shared" si="1267"/>
        <v>0</v>
      </c>
      <c r="H1559" s="78">
        <f t="shared" si="1268"/>
        <v>0</v>
      </c>
      <c r="I1559" s="77">
        <f t="shared" si="1269"/>
        <v>0</v>
      </c>
      <c r="J1559" s="78">
        <f t="shared" si="1270"/>
        <v>0</v>
      </c>
      <c r="K1559" s="78" t="str">
        <f t="shared" si="1271"/>
        <v>1900-01-00 00:0:00</v>
      </c>
      <c r="L1559" s="78" t="str">
        <f t="shared" si="1272"/>
        <v>1900-01-00 00:0:00</v>
      </c>
      <c r="M1559" s="79">
        <f t="shared" si="1273"/>
        <v>0</v>
      </c>
      <c r="N1559">
        <f t="shared" si="1298"/>
        <v>1</v>
      </c>
      <c r="O1559" t="str">
        <f>IFERROR(_xlfn.XLOOKUP(A1559,HC!A:A,HC!C:C),"")</f>
        <v>Workforce</v>
      </c>
      <c r="R1559" s="78" t="b">
        <f t="shared" si="1274"/>
        <v>0</v>
      </c>
      <c r="S1559" s="78" t="b">
        <f t="shared" si="1275"/>
        <v>0</v>
      </c>
      <c r="T1559" s="78" t="b">
        <f t="shared" si="1276"/>
        <v>0</v>
      </c>
      <c r="U1559" s="78" t="b">
        <f t="shared" si="1277"/>
        <v>0</v>
      </c>
      <c r="V1559" s="78" t="b">
        <f t="shared" si="1278"/>
        <v>0</v>
      </c>
      <c r="W1559" s="78" t="b">
        <f t="shared" si="1279"/>
        <v>0</v>
      </c>
      <c r="X1559" s="78" t="b">
        <f t="shared" si="1280"/>
        <v>0</v>
      </c>
      <c r="Y1559" s="78" t="b">
        <f t="shared" si="1281"/>
        <v>0</v>
      </c>
      <c r="Z1559" s="78" t="b">
        <f t="shared" si="1282"/>
        <v>0</v>
      </c>
      <c r="AA1559" s="78" t="b">
        <f t="shared" si="1283"/>
        <v>0</v>
      </c>
      <c r="AB1559" s="78" t="b">
        <f t="shared" si="1284"/>
        <v>0</v>
      </c>
      <c r="AC1559" s="78" t="b">
        <f t="shared" si="1285"/>
        <v>0</v>
      </c>
      <c r="AD1559" s="78" t="b">
        <f t="shared" si="1286"/>
        <v>0</v>
      </c>
      <c r="AE1559" s="78" t="b">
        <f t="shared" si="1287"/>
        <v>0</v>
      </c>
      <c r="AF1559" s="78" t="b">
        <f t="shared" si="1288"/>
        <v>0</v>
      </c>
      <c r="AG1559" s="78" t="b">
        <f t="shared" si="1289"/>
        <v>0</v>
      </c>
      <c r="AH1559" s="78" t="b">
        <f t="shared" si="1290"/>
        <v>0</v>
      </c>
      <c r="AI1559" s="78" t="b">
        <f t="shared" si="1291"/>
        <v>0</v>
      </c>
      <c r="AJ1559" s="78" t="b">
        <f t="shared" si="1292"/>
        <v>0</v>
      </c>
      <c r="AK1559" s="78" t="b">
        <f t="shared" si="1293"/>
        <v>0</v>
      </c>
      <c r="AL1559" s="78" t="b">
        <f t="shared" si="1294"/>
        <v>0</v>
      </c>
      <c r="AM1559" s="78" t="b">
        <f t="shared" si="1295"/>
        <v>0</v>
      </c>
      <c r="AN1559" s="78" t="b">
        <f t="shared" si="1296"/>
        <v>0</v>
      </c>
      <c r="AO1559" s="78" t="b">
        <f t="shared" si="1297"/>
        <v>0</v>
      </c>
    </row>
    <row r="1560" spans="7:41" x14ac:dyDescent="0.35">
      <c r="G1560" s="77">
        <f t="shared" si="1267"/>
        <v>0</v>
      </c>
      <c r="H1560" s="78">
        <f t="shared" si="1268"/>
        <v>0</v>
      </c>
      <c r="I1560" s="77">
        <f t="shared" si="1269"/>
        <v>0</v>
      </c>
      <c r="J1560" s="78">
        <f t="shared" si="1270"/>
        <v>0</v>
      </c>
      <c r="K1560" s="78" t="str">
        <f t="shared" si="1271"/>
        <v>1900-01-00 00:0:00</v>
      </c>
      <c r="L1560" s="78" t="str">
        <f t="shared" si="1272"/>
        <v>1900-01-00 00:0:00</v>
      </c>
      <c r="M1560" s="79">
        <f t="shared" si="1273"/>
        <v>0</v>
      </c>
      <c r="N1560">
        <f t="shared" si="1298"/>
        <v>1</v>
      </c>
      <c r="O1560" t="str">
        <f>IFERROR(_xlfn.XLOOKUP(A1560,HC!A:A,HC!C:C),"")</f>
        <v>Workforce</v>
      </c>
      <c r="R1560" s="78" t="b">
        <f t="shared" si="1274"/>
        <v>0</v>
      </c>
      <c r="S1560" s="78" t="b">
        <f t="shared" si="1275"/>
        <v>0</v>
      </c>
      <c r="T1560" s="78" t="b">
        <f t="shared" si="1276"/>
        <v>0</v>
      </c>
      <c r="U1560" s="78" t="b">
        <f t="shared" si="1277"/>
        <v>0</v>
      </c>
      <c r="V1560" s="78" t="b">
        <f t="shared" si="1278"/>
        <v>0</v>
      </c>
      <c r="W1560" s="78" t="b">
        <f t="shared" si="1279"/>
        <v>0</v>
      </c>
      <c r="X1560" s="78" t="b">
        <f t="shared" si="1280"/>
        <v>0</v>
      </c>
      <c r="Y1560" s="78" t="b">
        <f t="shared" si="1281"/>
        <v>0</v>
      </c>
      <c r="Z1560" s="78" t="b">
        <f t="shared" si="1282"/>
        <v>0</v>
      </c>
      <c r="AA1560" s="78" t="b">
        <f t="shared" si="1283"/>
        <v>0</v>
      </c>
      <c r="AB1560" s="78" t="b">
        <f t="shared" si="1284"/>
        <v>0</v>
      </c>
      <c r="AC1560" s="78" t="b">
        <f t="shared" si="1285"/>
        <v>0</v>
      </c>
      <c r="AD1560" s="78" t="b">
        <f t="shared" si="1286"/>
        <v>0</v>
      </c>
      <c r="AE1560" s="78" t="b">
        <f t="shared" si="1287"/>
        <v>0</v>
      </c>
      <c r="AF1560" s="78" t="b">
        <f t="shared" si="1288"/>
        <v>0</v>
      </c>
      <c r="AG1560" s="78" t="b">
        <f t="shared" si="1289"/>
        <v>0</v>
      </c>
      <c r="AH1560" s="78" t="b">
        <f t="shared" si="1290"/>
        <v>0</v>
      </c>
      <c r="AI1560" s="78" t="b">
        <f t="shared" si="1291"/>
        <v>0</v>
      </c>
      <c r="AJ1560" s="78" t="b">
        <f t="shared" si="1292"/>
        <v>0</v>
      </c>
      <c r="AK1560" s="78" t="b">
        <f t="shared" si="1293"/>
        <v>0</v>
      </c>
      <c r="AL1560" s="78" t="b">
        <f t="shared" si="1294"/>
        <v>0</v>
      </c>
      <c r="AM1560" s="78" t="b">
        <f t="shared" si="1295"/>
        <v>0</v>
      </c>
      <c r="AN1560" s="78" t="b">
        <f t="shared" si="1296"/>
        <v>0</v>
      </c>
      <c r="AO1560" s="78" t="b">
        <f t="shared" si="1297"/>
        <v>0</v>
      </c>
    </row>
    <row r="1561" spans="7:41" x14ac:dyDescent="0.35">
      <c r="G1561" s="77">
        <f t="shared" si="1267"/>
        <v>0</v>
      </c>
      <c r="H1561" s="78">
        <f t="shared" si="1268"/>
        <v>0</v>
      </c>
      <c r="I1561" s="77">
        <f t="shared" si="1269"/>
        <v>0</v>
      </c>
      <c r="J1561" s="78">
        <f t="shared" si="1270"/>
        <v>0</v>
      </c>
      <c r="K1561" s="78" t="str">
        <f t="shared" si="1271"/>
        <v>1900-01-00 00:0:00</v>
      </c>
      <c r="L1561" s="78" t="str">
        <f t="shared" si="1272"/>
        <v>1900-01-00 00:0:00</v>
      </c>
      <c r="M1561" s="79">
        <f t="shared" si="1273"/>
        <v>0</v>
      </c>
      <c r="N1561">
        <f t="shared" si="1298"/>
        <v>1</v>
      </c>
      <c r="O1561" t="str">
        <f>IFERROR(_xlfn.XLOOKUP(A1561,HC!A:A,HC!C:C),"")</f>
        <v>Workforce</v>
      </c>
      <c r="R1561" s="78" t="b">
        <f t="shared" si="1274"/>
        <v>0</v>
      </c>
      <c r="S1561" s="78" t="b">
        <f t="shared" si="1275"/>
        <v>0</v>
      </c>
      <c r="T1561" s="78" t="b">
        <f t="shared" si="1276"/>
        <v>0</v>
      </c>
      <c r="U1561" s="78" t="b">
        <f t="shared" si="1277"/>
        <v>0</v>
      </c>
      <c r="V1561" s="78" t="b">
        <f t="shared" si="1278"/>
        <v>0</v>
      </c>
      <c r="W1561" s="78" t="b">
        <f t="shared" si="1279"/>
        <v>0</v>
      </c>
      <c r="X1561" s="78" t="b">
        <f t="shared" si="1280"/>
        <v>0</v>
      </c>
      <c r="Y1561" s="78" t="b">
        <f t="shared" si="1281"/>
        <v>0</v>
      </c>
      <c r="Z1561" s="78" t="b">
        <f t="shared" si="1282"/>
        <v>0</v>
      </c>
      <c r="AA1561" s="78" t="b">
        <f t="shared" si="1283"/>
        <v>0</v>
      </c>
      <c r="AB1561" s="78" t="b">
        <f t="shared" si="1284"/>
        <v>0</v>
      </c>
      <c r="AC1561" s="78" t="b">
        <f t="shared" si="1285"/>
        <v>0</v>
      </c>
      <c r="AD1561" s="78" t="b">
        <f t="shared" si="1286"/>
        <v>0</v>
      </c>
      <c r="AE1561" s="78" t="b">
        <f t="shared" si="1287"/>
        <v>0</v>
      </c>
      <c r="AF1561" s="78" t="b">
        <f t="shared" si="1288"/>
        <v>0</v>
      </c>
      <c r="AG1561" s="78" t="b">
        <f t="shared" si="1289"/>
        <v>0</v>
      </c>
      <c r="AH1561" s="78" t="b">
        <f t="shared" si="1290"/>
        <v>0</v>
      </c>
      <c r="AI1561" s="78" t="b">
        <f t="shared" si="1291"/>
        <v>0</v>
      </c>
      <c r="AJ1561" s="78" t="b">
        <f t="shared" si="1292"/>
        <v>0</v>
      </c>
      <c r="AK1561" s="78" t="b">
        <f t="shared" si="1293"/>
        <v>0</v>
      </c>
      <c r="AL1561" s="78" t="b">
        <f t="shared" si="1294"/>
        <v>0</v>
      </c>
      <c r="AM1561" s="78" t="b">
        <f t="shared" si="1295"/>
        <v>0</v>
      </c>
      <c r="AN1561" s="78" t="b">
        <f t="shared" si="1296"/>
        <v>0</v>
      </c>
      <c r="AO1561" s="78" t="b">
        <f t="shared" si="1297"/>
        <v>0</v>
      </c>
    </row>
    <row r="1562" spans="7:41" x14ac:dyDescent="0.35">
      <c r="G1562" s="77">
        <f t="shared" si="1267"/>
        <v>0</v>
      </c>
      <c r="H1562" s="78">
        <f t="shared" si="1268"/>
        <v>0</v>
      </c>
      <c r="I1562" s="77">
        <f t="shared" si="1269"/>
        <v>0</v>
      </c>
      <c r="J1562" s="78">
        <f t="shared" si="1270"/>
        <v>0</v>
      </c>
      <c r="K1562" s="78" t="str">
        <f t="shared" si="1271"/>
        <v>1900-01-00 00:0:00</v>
      </c>
      <c r="L1562" s="78" t="str">
        <f t="shared" si="1272"/>
        <v>1900-01-00 00:0:00</v>
      </c>
      <c r="M1562" s="79">
        <f t="shared" si="1273"/>
        <v>0</v>
      </c>
      <c r="N1562">
        <f t="shared" si="1298"/>
        <v>1</v>
      </c>
      <c r="O1562" t="str">
        <f>IFERROR(_xlfn.XLOOKUP(A1562,HC!A:A,HC!C:C),"")</f>
        <v>Workforce</v>
      </c>
      <c r="R1562" s="78" t="b">
        <f t="shared" si="1274"/>
        <v>0</v>
      </c>
      <c r="S1562" s="78" t="b">
        <f t="shared" si="1275"/>
        <v>0</v>
      </c>
      <c r="T1562" s="78" t="b">
        <f t="shared" si="1276"/>
        <v>0</v>
      </c>
      <c r="U1562" s="78" t="b">
        <f t="shared" si="1277"/>
        <v>0</v>
      </c>
      <c r="V1562" s="78" t="b">
        <f t="shared" si="1278"/>
        <v>0</v>
      </c>
      <c r="W1562" s="78" t="b">
        <f t="shared" si="1279"/>
        <v>0</v>
      </c>
      <c r="X1562" s="78" t="b">
        <f t="shared" si="1280"/>
        <v>0</v>
      </c>
      <c r="Y1562" s="78" t="b">
        <f t="shared" si="1281"/>
        <v>0</v>
      </c>
      <c r="Z1562" s="78" t="b">
        <f t="shared" si="1282"/>
        <v>0</v>
      </c>
      <c r="AA1562" s="78" t="b">
        <f t="shared" si="1283"/>
        <v>0</v>
      </c>
      <c r="AB1562" s="78" t="b">
        <f t="shared" si="1284"/>
        <v>0</v>
      </c>
      <c r="AC1562" s="78" t="b">
        <f t="shared" si="1285"/>
        <v>0</v>
      </c>
      <c r="AD1562" s="78" t="b">
        <f t="shared" si="1286"/>
        <v>0</v>
      </c>
      <c r="AE1562" s="78" t="b">
        <f t="shared" si="1287"/>
        <v>0</v>
      </c>
      <c r="AF1562" s="78" t="b">
        <f t="shared" si="1288"/>
        <v>0</v>
      </c>
      <c r="AG1562" s="78" t="b">
        <f t="shared" si="1289"/>
        <v>0</v>
      </c>
      <c r="AH1562" s="78" t="b">
        <f t="shared" si="1290"/>
        <v>0</v>
      </c>
      <c r="AI1562" s="78" t="b">
        <f t="shared" si="1291"/>
        <v>0</v>
      </c>
      <c r="AJ1562" s="78" t="b">
        <f t="shared" si="1292"/>
        <v>0</v>
      </c>
      <c r="AK1562" s="78" t="b">
        <f t="shared" si="1293"/>
        <v>0</v>
      </c>
      <c r="AL1562" s="78" t="b">
        <f t="shared" si="1294"/>
        <v>0</v>
      </c>
      <c r="AM1562" s="78" t="b">
        <f t="shared" si="1295"/>
        <v>0</v>
      </c>
      <c r="AN1562" s="78" t="b">
        <f t="shared" si="1296"/>
        <v>0</v>
      </c>
      <c r="AO1562" s="78" t="b">
        <f t="shared" si="1297"/>
        <v>0</v>
      </c>
    </row>
    <row r="1563" spans="7:41" x14ac:dyDescent="0.35">
      <c r="G1563" s="77">
        <f t="shared" si="1267"/>
        <v>0</v>
      </c>
      <c r="H1563" s="78">
        <f t="shared" si="1268"/>
        <v>0</v>
      </c>
      <c r="I1563" s="77">
        <f t="shared" si="1269"/>
        <v>0</v>
      </c>
      <c r="J1563" s="78">
        <f t="shared" si="1270"/>
        <v>0</v>
      </c>
      <c r="K1563" s="78" t="str">
        <f t="shared" si="1271"/>
        <v>1900-01-00 00:0:00</v>
      </c>
      <c r="L1563" s="78" t="str">
        <f t="shared" si="1272"/>
        <v>1900-01-00 00:0:00</v>
      </c>
      <c r="M1563" s="79">
        <f t="shared" si="1273"/>
        <v>0</v>
      </c>
      <c r="N1563">
        <f t="shared" si="1298"/>
        <v>1</v>
      </c>
      <c r="O1563" t="str">
        <f>IFERROR(_xlfn.XLOOKUP(A1563,HC!A:A,HC!C:C),"")</f>
        <v>Workforce</v>
      </c>
      <c r="R1563" s="78" t="b">
        <f t="shared" si="1274"/>
        <v>0</v>
      </c>
      <c r="S1563" s="78" t="b">
        <f t="shared" si="1275"/>
        <v>0</v>
      </c>
      <c r="T1563" s="78" t="b">
        <f t="shared" si="1276"/>
        <v>0</v>
      </c>
      <c r="U1563" s="78" t="b">
        <f t="shared" si="1277"/>
        <v>0</v>
      </c>
      <c r="V1563" s="78" t="b">
        <f t="shared" si="1278"/>
        <v>0</v>
      </c>
      <c r="W1563" s="78" t="b">
        <f t="shared" si="1279"/>
        <v>0</v>
      </c>
      <c r="X1563" s="78" t="b">
        <f t="shared" si="1280"/>
        <v>0</v>
      </c>
      <c r="Y1563" s="78" t="b">
        <f t="shared" si="1281"/>
        <v>0</v>
      </c>
      <c r="Z1563" s="78" t="b">
        <f t="shared" si="1282"/>
        <v>0</v>
      </c>
      <c r="AA1563" s="78" t="b">
        <f t="shared" si="1283"/>
        <v>0</v>
      </c>
      <c r="AB1563" s="78" t="b">
        <f t="shared" si="1284"/>
        <v>0</v>
      </c>
      <c r="AC1563" s="78" t="b">
        <f t="shared" si="1285"/>
        <v>0</v>
      </c>
      <c r="AD1563" s="78" t="b">
        <f t="shared" si="1286"/>
        <v>0</v>
      </c>
      <c r="AE1563" s="78" t="b">
        <f t="shared" si="1287"/>
        <v>0</v>
      </c>
      <c r="AF1563" s="78" t="b">
        <f t="shared" si="1288"/>
        <v>0</v>
      </c>
      <c r="AG1563" s="78" t="b">
        <f t="shared" si="1289"/>
        <v>0</v>
      </c>
      <c r="AH1563" s="78" t="b">
        <f t="shared" si="1290"/>
        <v>0</v>
      </c>
      <c r="AI1563" s="78" t="b">
        <f t="shared" si="1291"/>
        <v>0</v>
      </c>
      <c r="AJ1563" s="78" t="b">
        <f t="shared" si="1292"/>
        <v>0</v>
      </c>
      <c r="AK1563" s="78" t="b">
        <f t="shared" si="1293"/>
        <v>0</v>
      </c>
      <c r="AL1563" s="78" t="b">
        <f t="shared" si="1294"/>
        <v>0</v>
      </c>
      <c r="AM1563" s="78" t="b">
        <f t="shared" si="1295"/>
        <v>0</v>
      </c>
      <c r="AN1563" s="78" t="b">
        <f t="shared" si="1296"/>
        <v>0</v>
      </c>
      <c r="AO1563" s="78" t="b">
        <f t="shared" si="1297"/>
        <v>0</v>
      </c>
    </row>
    <row r="1564" spans="7:41" x14ac:dyDescent="0.35">
      <c r="G1564" s="77">
        <f t="shared" si="1267"/>
        <v>0</v>
      </c>
      <c r="H1564" s="78">
        <f t="shared" si="1268"/>
        <v>0</v>
      </c>
      <c r="I1564" s="77">
        <f t="shared" si="1269"/>
        <v>0</v>
      </c>
      <c r="J1564" s="78">
        <f t="shared" si="1270"/>
        <v>0</v>
      </c>
      <c r="K1564" s="78" t="str">
        <f t="shared" si="1271"/>
        <v>1900-01-00 00:0:00</v>
      </c>
      <c r="L1564" s="78" t="str">
        <f t="shared" si="1272"/>
        <v>1900-01-00 00:0:00</v>
      </c>
      <c r="M1564" s="79">
        <f t="shared" si="1273"/>
        <v>0</v>
      </c>
      <c r="N1564">
        <f t="shared" si="1298"/>
        <v>1</v>
      </c>
      <c r="O1564" t="str">
        <f>IFERROR(_xlfn.XLOOKUP(A1564,HC!A:A,HC!C:C),"")</f>
        <v>Workforce</v>
      </c>
      <c r="R1564" s="78" t="b">
        <f t="shared" si="1274"/>
        <v>0</v>
      </c>
      <c r="S1564" s="78" t="b">
        <f t="shared" si="1275"/>
        <v>0</v>
      </c>
      <c r="T1564" s="78" t="b">
        <f t="shared" si="1276"/>
        <v>0</v>
      </c>
      <c r="U1564" s="78" t="b">
        <f t="shared" si="1277"/>
        <v>0</v>
      </c>
      <c r="V1564" s="78" t="b">
        <f t="shared" si="1278"/>
        <v>0</v>
      </c>
      <c r="W1564" s="78" t="b">
        <f t="shared" si="1279"/>
        <v>0</v>
      </c>
      <c r="X1564" s="78" t="b">
        <f t="shared" si="1280"/>
        <v>0</v>
      </c>
      <c r="Y1564" s="78" t="b">
        <f t="shared" si="1281"/>
        <v>0</v>
      </c>
      <c r="Z1564" s="78" t="b">
        <f t="shared" si="1282"/>
        <v>0</v>
      </c>
      <c r="AA1564" s="78" t="b">
        <f t="shared" si="1283"/>
        <v>0</v>
      </c>
      <c r="AB1564" s="78" t="b">
        <f t="shared" si="1284"/>
        <v>0</v>
      </c>
      <c r="AC1564" s="78" t="b">
        <f t="shared" si="1285"/>
        <v>0</v>
      </c>
      <c r="AD1564" s="78" t="b">
        <f t="shared" si="1286"/>
        <v>0</v>
      </c>
      <c r="AE1564" s="78" t="b">
        <f t="shared" si="1287"/>
        <v>0</v>
      </c>
      <c r="AF1564" s="78" t="b">
        <f t="shared" si="1288"/>
        <v>0</v>
      </c>
      <c r="AG1564" s="78" t="b">
        <f t="shared" si="1289"/>
        <v>0</v>
      </c>
      <c r="AH1564" s="78" t="b">
        <f t="shared" si="1290"/>
        <v>0</v>
      </c>
      <c r="AI1564" s="78" t="b">
        <f t="shared" si="1291"/>
        <v>0</v>
      </c>
      <c r="AJ1564" s="78" t="b">
        <f t="shared" si="1292"/>
        <v>0</v>
      </c>
      <c r="AK1564" s="78" t="b">
        <f t="shared" si="1293"/>
        <v>0</v>
      </c>
      <c r="AL1564" s="78" t="b">
        <f t="shared" si="1294"/>
        <v>0</v>
      </c>
      <c r="AM1564" s="78" t="b">
        <f t="shared" si="1295"/>
        <v>0</v>
      </c>
      <c r="AN1564" s="78" t="b">
        <f t="shared" si="1296"/>
        <v>0</v>
      </c>
      <c r="AO1564" s="78" t="b">
        <f t="shared" si="1297"/>
        <v>0</v>
      </c>
    </row>
    <row r="1565" spans="7:41" x14ac:dyDescent="0.35">
      <c r="G1565" s="77">
        <f t="shared" si="1267"/>
        <v>0</v>
      </c>
      <c r="H1565" s="78">
        <f t="shared" si="1268"/>
        <v>0</v>
      </c>
      <c r="I1565" s="77">
        <f t="shared" si="1269"/>
        <v>0</v>
      </c>
      <c r="J1565" s="78">
        <f t="shared" si="1270"/>
        <v>0</v>
      </c>
      <c r="K1565" s="78" t="str">
        <f t="shared" si="1271"/>
        <v>1900-01-00 00:0:00</v>
      </c>
      <c r="L1565" s="78" t="str">
        <f t="shared" si="1272"/>
        <v>1900-01-00 00:0:00</v>
      </c>
      <c r="M1565" s="79">
        <f t="shared" si="1273"/>
        <v>0</v>
      </c>
      <c r="N1565">
        <f t="shared" si="1298"/>
        <v>1</v>
      </c>
      <c r="O1565" t="str">
        <f>IFERROR(_xlfn.XLOOKUP(A1565,HC!A:A,HC!C:C),"")</f>
        <v>Workforce</v>
      </c>
      <c r="R1565" s="78" t="b">
        <f t="shared" si="1274"/>
        <v>0</v>
      </c>
      <c r="S1565" s="78" t="b">
        <f t="shared" si="1275"/>
        <v>0</v>
      </c>
      <c r="T1565" s="78" t="b">
        <f t="shared" si="1276"/>
        <v>0</v>
      </c>
      <c r="U1565" s="78" t="b">
        <f t="shared" si="1277"/>
        <v>0</v>
      </c>
      <c r="V1565" s="78" t="b">
        <f t="shared" si="1278"/>
        <v>0</v>
      </c>
      <c r="W1565" s="78" t="b">
        <f t="shared" si="1279"/>
        <v>0</v>
      </c>
      <c r="X1565" s="78" t="b">
        <f t="shared" si="1280"/>
        <v>0</v>
      </c>
      <c r="Y1565" s="78" t="b">
        <f t="shared" si="1281"/>
        <v>0</v>
      </c>
      <c r="Z1565" s="78" t="b">
        <f t="shared" si="1282"/>
        <v>0</v>
      </c>
      <c r="AA1565" s="78" t="b">
        <f t="shared" si="1283"/>
        <v>0</v>
      </c>
      <c r="AB1565" s="78" t="b">
        <f t="shared" si="1284"/>
        <v>0</v>
      </c>
      <c r="AC1565" s="78" t="b">
        <f t="shared" si="1285"/>
        <v>0</v>
      </c>
      <c r="AD1565" s="78" t="b">
        <f t="shared" si="1286"/>
        <v>0</v>
      </c>
      <c r="AE1565" s="78" t="b">
        <f t="shared" si="1287"/>
        <v>0</v>
      </c>
      <c r="AF1565" s="78" t="b">
        <f t="shared" si="1288"/>
        <v>0</v>
      </c>
      <c r="AG1565" s="78" t="b">
        <f t="shared" si="1289"/>
        <v>0</v>
      </c>
      <c r="AH1565" s="78" t="b">
        <f t="shared" si="1290"/>
        <v>0</v>
      </c>
      <c r="AI1565" s="78" t="b">
        <f t="shared" si="1291"/>
        <v>0</v>
      </c>
      <c r="AJ1565" s="78" t="b">
        <f t="shared" si="1292"/>
        <v>0</v>
      </c>
      <c r="AK1565" s="78" t="b">
        <f t="shared" si="1293"/>
        <v>0</v>
      </c>
      <c r="AL1565" s="78" t="b">
        <f t="shared" si="1294"/>
        <v>0</v>
      </c>
      <c r="AM1565" s="78" t="b">
        <f t="shared" si="1295"/>
        <v>0</v>
      </c>
      <c r="AN1565" s="78" t="b">
        <f t="shared" si="1296"/>
        <v>0</v>
      </c>
      <c r="AO1565" s="78" t="b">
        <f t="shared" si="1297"/>
        <v>0</v>
      </c>
    </row>
    <row r="1566" spans="7:41" x14ac:dyDescent="0.35">
      <c r="G1566" s="77">
        <f t="shared" si="1267"/>
        <v>0</v>
      </c>
      <c r="H1566" s="78">
        <f t="shared" si="1268"/>
        <v>0</v>
      </c>
      <c r="I1566" s="77">
        <f t="shared" si="1269"/>
        <v>0</v>
      </c>
      <c r="J1566" s="78">
        <f t="shared" si="1270"/>
        <v>0</v>
      </c>
      <c r="K1566" s="78" t="str">
        <f t="shared" si="1271"/>
        <v>1900-01-00 00:0:00</v>
      </c>
      <c r="L1566" s="78" t="str">
        <f t="shared" si="1272"/>
        <v>1900-01-00 00:0:00</v>
      </c>
      <c r="M1566" s="79">
        <f t="shared" si="1273"/>
        <v>0</v>
      </c>
      <c r="N1566">
        <f t="shared" si="1298"/>
        <v>1</v>
      </c>
      <c r="O1566" t="str">
        <f>IFERROR(_xlfn.XLOOKUP(A1566,HC!A:A,HC!C:C),"")</f>
        <v>Workforce</v>
      </c>
      <c r="R1566" s="78" t="b">
        <f t="shared" si="1274"/>
        <v>0</v>
      </c>
      <c r="S1566" s="78" t="b">
        <f t="shared" si="1275"/>
        <v>0</v>
      </c>
      <c r="T1566" s="78" t="b">
        <f t="shared" si="1276"/>
        <v>0</v>
      </c>
      <c r="U1566" s="78" t="b">
        <f t="shared" si="1277"/>
        <v>0</v>
      </c>
      <c r="V1566" s="78" t="b">
        <f t="shared" si="1278"/>
        <v>0</v>
      </c>
      <c r="W1566" s="78" t="b">
        <f t="shared" si="1279"/>
        <v>0</v>
      </c>
      <c r="X1566" s="78" t="b">
        <f t="shared" si="1280"/>
        <v>0</v>
      </c>
      <c r="Y1566" s="78" t="b">
        <f t="shared" si="1281"/>
        <v>0</v>
      </c>
      <c r="Z1566" s="78" t="b">
        <f t="shared" si="1282"/>
        <v>0</v>
      </c>
      <c r="AA1566" s="78" t="b">
        <f t="shared" si="1283"/>
        <v>0</v>
      </c>
      <c r="AB1566" s="78" t="b">
        <f t="shared" si="1284"/>
        <v>0</v>
      </c>
      <c r="AC1566" s="78" t="b">
        <f t="shared" si="1285"/>
        <v>0</v>
      </c>
      <c r="AD1566" s="78" t="b">
        <f t="shared" si="1286"/>
        <v>0</v>
      </c>
      <c r="AE1566" s="78" t="b">
        <f t="shared" si="1287"/>
        <v>0</v>
      </c>
      <c r="AF1566" s="78" t="b">
        <f t="shared" si="1288"/>
        <v>0</v>
      </c>
      <c r="AG1566" s="78" t="b">
        <f t="shared" si="1289"/>
        <v>0</v>
      </c>
      <c r="AH1566" s="78" t="b">
        <f t="shared" si="1290"/>
        <v>0</v>
      </c>
      <c r="AI1566" s="78" t="b">
        <f t="shared" si="1291"/>
        <v>0</v>
      </c>
      <c r="AJ1566" s="78" t="b">
        <f t="shared" si="1292"/>
        <v>0</v>
      </c>
      <c r="AK1566" s="78" t="b">
        <f t="shared" si="1293"/>
        <v>0</v>
      </c>
      <c r="AL1566" s="78" t="b">
        <f t="shared" si="1294"/>
        <v>0</v>
      </c>
      <c r="AM1566" s="78" t="b">
        <f t="shared" si="1295"/>
        <v>0</v>
      </c>
      <c r="AN1566" s="78" t="b">
        <f t="shared" si="1296"/>
        <v>0</v>
      </c>
      <c r="AO1566" s="78" t="b">
        <f t="shared" si="1297"/>
        <v>0</v>
      </c>
    </row>
    <row r="1567" spans="7:41" x14ac:dyDescent="0.35">
      <c r="G1567" s="77">
        <f t="shared" si="1267"/>
        <v>0</v>
      </c>
      <c r="H1567" s="78">
        <f t="shared" si="1268"/>
        <v>0</v>
      </c>
      <c r="I1567" s="77">
        <f t="shared" si="1269"/>
        <v>0</v>
      </c>
      <c r="J1567" s="78">
        <f t="shared" si="1270"/>
        <v>0</v>
      </c>
      <c r="K1567" s="78" t="str">
        <f t="shared" si="1271"/>
        <v>1900-01-00 00:0:00</v>
      </c>
      <c r="L1567" s="78" t="str">
        <f t="shared" si="1272"/>
        <v>1900-01-00 00:0:00</v>
      </c>
      <c r="M1567" s="79">
        <f t="shared" si="1273"/>
        <v>0</v>
      </c>
      <c r="N1567">
        <f t="shared" si="1298"/>
        <v>1</v>
      </c>
      <c r="O1567" t="str">
        <f>IFERROR(_xlfn.XLOOKUP(A1567,HC!A:A,HC!C:C),"")</f>
        <v>Workforce</v>
      </c>
      <c r="R1567" s="78" t="b">
        <f t="shared" si="1274"/>
        <v>0</v>
      </c>
      <c r="S1567" s="78" t="b">
        <f t="shared" si="1275"/>
        <v>0</v>
      </c>
      <c r="T1567" s="78" t="b">
        <f t="shared" si="1276"/>
        <v>0</v>
      </c>
      <c r="U1567" s="78" t="b">
        <f t="shared" si="1277"/>
        <v>0</v>
      </c>
      <c r="V1567" s="78" t="b">
        <f t="shared" si="1278"/>
        <v>0</v>
      </c>
      <c r="W1567" s="78" t="b">
        <f t="shared" si="1279"/>
        <v>0</v>
      </c>
      <c r="X1567" s="78" t="b">
        <f t="shared" si="1280"/>
        <v>0</v>
      </c>
      <c r="Y1567" s="78" t="b">
        <f t="shared" si="1281"/>
        <v>0</v>
      </c>
      <c r="Z1567" s="78" t="b">
        <f t="shared" si="1282"/>
        <v>0</v>
      </c>
      <c r="AA1567" s="78" t="b">
        <f t="shared" si="1283"/>
        <v>0</v>
      </c>
      <c r="AB1567" s="78" t="b">
        <f t="shared" si="1284"/>
        <v>0</v>
      </c>
      <c r="AC1567" s="78" t="b">
        <f t="shared" si="1285"/>
        <v>0</v>
      </c>
      <c r="AD1567" s="78" t="b">
        <f t="shared" si="1286"/>
        <v>0</v>
      </c>
      <c r="AE1567" s="78" t="b">
        <f t="shared" si="1287"/>
        <v>0</v>
      </c>
      <c r="AF1567" s="78" t="b">
        <f t="shared" si="1288"/>
        <v>0</v>
      </c>
      <c r="AG1567" s="78" t="b">
        <f t="shared" si="1289"/>
        <v>0</v>
      </c>
      <c r="AH1567" s="78" t="b">
        <f t="shared" si="1290"/>
        <v>0</v>
      </c>
      <c r="AI1567" s="78" t="b">
        <f t="shared" si="1291"/>
        <v>0</v>
      </c>
      <c r="AJ1567" s="78" t="b">
        <f t="shared" si="1292"/>
        <v>0</v>
      </c>
      <c r="AK1567" s="78" t="b">
        <f t="shared" si="1293"/>
        <v>0</v>
      </c>
      <c r="AL1567" s="78" t="b">
        <f t="shared" si="1294"/>
        <v>0</v>
      </c>
      <c r="AM1567" s="78" t="b">
        <f t="shared" si="1295"/>
        <v>0</v>
      </c>
      <c r="AN1567" s="78" t="b">
        <f t="shared" si="1296"/>
        <v>0</v>
      </c>
      <c r="AO1567" s="78" t="b">
        <f t="shared" si="1297"/>
        <v>0</v>
      </c>
    </row>
    <row r="1568" spans="7:41" x14ac:dyDescent="0.35">
      <c r="G1568" s="77">
        <f t="shared" si="1267"/>
        <v>0</v>
      </c>
      <c r="H1568" s="78">
        <f t="shared" si="1268"/>
        <v>0</v>
      </c>
      <c r="I1568" s="77">
        <f t="shared" si="1269"/>
        <v>0</v>
      </c>
      <c r="J1568" s="78">
        <f t="shared" si="1270"/>
        <v>0</v>
      </c>
      <c r="K1568" s="78" t="str">
        <f t="shared" si="1271"/>
        <v>1900-01-00 00:0:00</v>
      </c>
      <c r="L1568" s="78" t="str">
        <f t="shared" si="1272"/>
        <v>1900-01-00 00:0:00</v>
      </c>
      <c r="M1568" s="79">
        <f t="shared" si="1273"/>
        <v>0</v>
      </c>
      <c r="N1568">
        <f t="shared" si="1298"/>
        <v>1</v>
      </c>
      <c r="O1568" t="str">
        <f>IFERROR(_xlfn.XLOOKUP(A1568,HC!A:A,HC!C:C),"")</f>
        <v>Workforce</v>
      </c>
      <c r="R1568" s="78" t="b">
        <f t="shared" si="1274"/>
        <v>0</v>
      </c>
      <c r="S1568" s="78" t="b">
        <f t="shared" si="1275"/>
        <v>0</v>
      </c>
      <c r="T1568" s="78" t="b">
        <f t="shared" si="1276"/>
        <v>0</v>
      </c>
      <c r="U1568" s="78" t="b">
        <f t="shared" si="1277"/>
        <v>0</v>
      </c>
      <c r="V1568" s="78" t="b">
        <f t="shared" si="1278"/>
        <v>0</v>
      </c>
      <c r="W1568" s="78" t="b">
        <f t="shared" si="1279"/>
        <v>0</v>
      </c>
      <c r="X1568" s="78" t="b">
        <f t="shared" si="1280"/>
        <v>0</v>
      </c>
      <c r="Y1568" s="78" t="b">
        <f t="shared" si="1281"/>
        <v>0</v>
      </c>
      <c r="Z1568" s="78" t="b">
        <f t="shared" si="1282"/>
        <v>0</v>
      </c>
      <c r="AA1568" s="78" t="b">
        <f t="shared" si="1283"/>
        <v>0</v>
      </c>
      <c r="AB1568" s="78" t="b">
        <f t="shared" si="1284"/>
        <v>0</v>
      </c>
      <c r="AC1568" s="78" t="b">
        <f t="shared" si="1285"/>
        <v>0</v>
      </c>
      <c r="AD1568" s="78" t="b">
        <f t="shared" si="1286"/>
        <v>0</v>
      </c>
      <c r="AE1568" s="78" t="b">
        <f t="shared" si="1287"/>
        <v>0</v>
      </c>
      <c r="AF1568" s="78" t="b">
        <f t="shared" si="1288"/>
        <v>0</v>
      </c>
      <c r="AG1568" s="78" t="b">
        <f t="shared" si="1289"/>
        <v>0</v>
      </c>
      <c r="AH1568" s="78" t="b">
        <f t="shared" si="1290"/>
        <v>0</v>
      </c>
      <c r="AI1568" s="78" t="b">
        <f t="shared" si="1291"/>
        <v>0</v>
      </c>
      <c r="AJ1568" s="78" t="b">
        <f t="shared" si="1292"/>
        <v>0</v>
      </c>
      <c r="AK1568" s="78" t="b">
        <f t="shared" si="1293"/>
        <v>0</v>
      </c>
      <c r="AL1568" s="78" t="b">
        <f t="shared" si="1294"/>
        <v>0</v>
      </c>
      <c r="AM1568" s="78" t="b">
        <f t="shared" si="1295"/>
        <v>0</v>
      </c>
      <c r="AN1568" s="78" t="b">
        <f t="shared" si="1296"/>
        <v>0</v>
      </c>
      <c r="AO1568" s="78" t="b">
        <f t="shared" si="1297"/>
        <v>0</v>
      </c>
    </row>
    <row r="1569" spans="7:41" x14ac:dyDescent="0.35">
      <c r="G1569" s="77">
        <f t="shared" si="1267"/>
        <v>0</v>
      </c>
      <c r="H1569" s="78">
        <f t="shared" si="1268"/>
        <v>0</v>
      </c>
      <c r="I1569" s="77">
        <f t="shared" si="1269"/>
        <v>0</v>
      </c>
      <c r="J1569" s="78">
        <f t="shared" si="1270"/>
        <v>0</v>
      </c>
      <c r="K1569" s="78" t="str">
        <f t="shared" si="1271"/>
        <v>1900-01-00 00:0:00</v>
      </c>
      <c r="L1569" s="78" t="str">
        <f t="shared" si="1272"/>
        <v>1900-01-00 00:0:00</v>
      </c>
      <c r="M1569" s="79">
        <f t="shared" si="1273"/>
        <v>0</v>
      </c>
      <c r="N1569">
        <f t="shared" si="1298"/>
        <v>1</v>
      </c>
      <c r="O1569" t="str">
        <f>IFERROR(_xlfn.XLOOKUP(A1569,HC!A:A,HC!C:C),"")</f>
        <v>Workforce</v>
      </c>
      <c r="R1569" s="78" t="b">
        <f t="shared" si="1274"/>
        <v>0</v>
      </c>
      <c r="S1569" s="78" t="b">
        <f t="shared" si="1275"/>
        <v>0</v>
      </c>
      <c r="T1569" s="78" t="b">
        <f t="shared" si="1276"/>
        <v>0</v>
      </c>
      <c r="U1569" s="78" t="b">
        <f t="shared" si="1277"/>
        <v>0</v>
      </c>
      <c r="V1569" s="78" t="b">
        <f t="shared" si="1278"/>
        <v>0</v>
      </c>
      <c r="W1569" s="78" t="b">
        <f t="shared" si="1279"/>
        <v>0</v>
      </c>
      <c r="X1569" s="78" t="b">
        <f t="shared" si="1280"/>
        <v>0</v>
      </c>
      <c r="Y1569" s="78" t="b">
        <f t="shared" si="1281"/>
        <v>0</v>
      </c>
      <c r="Z1569" s="78" t="b">
        <f t="shared" si="1282"/>
        <v>0</v>
      </c>
      <c r="AA1569" s="78" t="b">
        <f t="shared" si="1283"/>
        <v>0</v>
      </c>
      <c r="AB1569" s="78" t="b">
        <f t="shared" si="1284"/>
        <v>0</v>
      </c>
      <c r="AC1569" s="78" t="b">
        <f t="shared" si="1285"/>
        <v>0</v>
      </c>
      <c r="AD1569" s="78" t="b">
        <f t="shared" si="1286"/>
        <v>0</v>
      </c>
      <c r="AE1569" s="78" t="b">
        <f t="shared" si="1287"/>
        <v>0</v>
      </c>
      <c r="AF1569" s="78" t="b">
        <f t="shared" si="1288"/>
        <v>0</v>
      </c>
      <c r="AG1569" s="78" t="b">
        <f t="shared" si="1289"/>
        <v>0</v>
      </c>
      <c r="AH1569" s="78" t="b">
        <f t="shared" si="1290"/>
        <v>0</v>
      </c>
      <c r="AI1569" s="78" t="b">
        <f t="shared" si="1291"/>
        <v>0</v>
      </c>
      <c r="AJ1569" s="78" t="b">
        <f t="shared" si="1292"/>
        <v>0</v>
      </c>
      <c r="AK1569" s="78" t="b">
        <f t="shared" si="1293"/>
        <v>0</v>
      </c>
      <c r="AL1569" s="78" t="b">
        <f t="shared" si="1294"/>
        <v>0</v>
      </c>
      <c r="AM1569" s="78" t="b">
        <f t="shared" si="1295"/>
        <v>0</v>
      </c>
      <c r="AN1569" s="78" t="b">
        <f t="shared" si="1296"/>
        <v>0</v>
      </c>
      <c r="AO1569" s="78" t="b">
        <f t="shared" si="1297"/>
        <v>0</v>
      </c>
    </row>
    <row r="1570" spans="7:41" x14ac:dyDescent="0.35">
      <c r="G1570" s="77">
        <f t="shared" si="1267"/>
        <v>0</v>
      </c>
      <c r="H1570" s="78">
        <f t="shared" si="1268"/>
        <v>0</v>
      </c>
      <c r="I1570" s="77">
        <f t="shared" si="1269"/>
        <v>0</v>
      </c>
      <c r="J1570" s="78">
        <f t="shared" si="1270"/>
        <v>0</v>
      </c>
      <c r="K1570" s="78" t="str">
        <f t="shared" si="1271"/>
        <v>1900-01-00 00:0:00</v>
      </c>
      <c r="L1570" s="78" t="str">
        <f t="shared" si="1272"/>
        <v>1900-01-00 00:0:00</v>
      </c>
      <c r="M1570" s="79">
        <f t="shared" si="1273"/>
        <v>0</v>
      </c>
      <c r="N1570">
        <f t="shared" si="1298"/>
        <v>1</v>
      </c>
      <c r="O1570" t="str">
        <f>IFERROR(_xlfn.XLOOKUP(A1570,HC!A:A,HC!C:C),"")</f>
        <v>Workforce</v>
      </c>
      <c r="R1570" s="78" t="b">
        <f t="shared" si="1274"/>
        <v>0</v>
      </c>
      <c r="S1570" s="78" t="b">
        <f t="shared" si="1275"/>
        <v>0</v>
      </c>
      <c r="T1570" s="78" t="b">
        <f t="shared" si="1276"/>
        <v>0</v>
      </c>
      <c r="U1570" s="78" t="b">
        <f t="shared" si="1277"/>
        <v>0</v>
      </c>
      <c r="V1570" s="78" t="b">
        <f t="shared" si="1278"/>
        <v>0</v>
      </c>
      <c r="W1570" s="78" t="b">
        <f t="shared" si="1279"/>
        <v>0</v>
      </c>
      <c r="X1570" s="78" t="b">
        <f t="shared" si="1280"/>
        <v>0</v>
      </c>
      <c r="Y1570" s="78" t="b">
        <f t="shared" si="1281"/>
        <v>0</v>
      </c>
      <c r="Z1570" s="78" t="b">
        <f t="shared" si="1282"/>
        <v>0</v>
      </c>
      <c r="AA1570" s="78" t="b">
        <f t="shared" si="1283"/>
        <v>0</v>
      </c>
      <c r="AB1570" s="78" t="b">
        <f t="shared" si="1284"/>
        <v>0</v>
      </c>
      <c r="AC1570" s="78" t="b">
        <f t="shared" si="1285"/>
        <v>0</v>
      </c>
      <c r="AD1570" s="78" t="b">
        <f t="shared" si="1286"/>
        <v>0</v>
      </c>
      <c r="AE1570" s="78" t="b">
        <f t="shared" si="1287"/>
        <v>0</v>
      </c>
      <c r="AF1570" s="78" t="b">
        <f t="shared" si="1288"/>
        <v>0</v>
      </c>
      <c r="AG1570" s="78" t="b">
        <f t="shared" si="1289"/>
        <v>0</v>
      </c>
      <c r="AH1570" s="78" t="b">
        <f t="shared" si="1290"/>
        <v>0</v>
      </c>
      <c r="AI1570" s="78" t="b">
        <f t="shared" si="1291"/>
        <v>0</v>
      </c>
      <c r="AJ1570" s="78" t="b">
        <f t="shared" si="1292"/>
        <v>0</v>
      </c>
      <c r="AK1570" s="78" t="b">
        <f t="shared" si="1293"/>
        <v>0</v>
      </c>
      <c r="AL1570" s="78" t="b">
        <f t="shared" si="1294"/>
        <v>0</v>
      </c>
      <c r="AM1570" s="78" t="b">
        <f t="shared" si="1295"/>
        <v>0</v>
      </c>
      <c r="AN1570" s="78" t="b">
        <f t="shared" si="1296"/>
        <v>0</v>
      </c>
      <c r="AO1570" s="78" t="b">
        <f t="shared" si="1297"/>
        <v>0</v>
      </c>
    </row>
    <row r="1571" spans="7:41" x14ac:dyDescent="0.35">
      <c r="G1571" s="77">
        <f t="shared" si="1267"/>
        <v>0</v>
      </c>
      <c r="H1571" s="78">
        <f t="shared" si="1268"/>
        <v>0</v>
      </c>
      <c r="I1571" s="77">
        <f t="shared" si="1269"/>
        <v>0</v>
      </c>
      <c r="J1571" s="78">
        <f t="shared" si="1270"/>
        <v>0</v>
      </c>
      <c r="K1571" s="78" t="str">
        <f t="shared" si="1271"/>
        <v>1900-01-00 00:0:00</v>
      </c>
      <c r="L1571" s="78" t="str">
        <f t="shared" si="1272"/>
        <v>1900-01-00 00:0:00</v>
      </c>
      <c r="M1571" s="79">
        <f t="shared" si="1273"/>
        <v>0</v>
      </c>
      <c r="N1571">
        <f t="shared" si="1298"/>
        <v>1</v>
      </c>
      <c r="O1571" t="str">
        <f>IFERROR(_xlfn.XLOOKUP(A1571,HC!A:A,HC!C:C),"")</f>
        <v>Workforce</v>
      </c>
      <c r="R1571" s="78" t="b">
        <f t="shared" si="1274"/>
        <v>0</v>
      </c>
      <c r="S1571" s="78" t="b">
        <f t="shared" si="1275"/>
        <v>0</v>
      </c>
      <c r="T1571" s="78" t="b">
        <f t="shared" si="1276"/>
        <v>0</v>
      </c>
      <c r="U1571" s="78" t="b">
        <f t="shared" si="1277"/>
        <v>0</v>
      </c>
      <c r="V1571" s="78" t="b">
        <f t="shared" si="1278"/>
        <v>0</v>
      </c>
      <c r="W1571" s="78" t="b">
        <f t="shared" si="1279"/>
        <v>0</v>
      </c>
      <c r="X1571" s="78" t="b">
        <f t="shared" si="1280"/>
        <v>0</v>
      </c>
      <c r="Y1571" s="78" t="b">
        <f t="shared" si="1281"/>
        <v>0</v>
      </c>
      <c r="Z1571" s="78" t="b">
        <f t="shared" si="1282"/>
        <v>0</v>
      </c>
      <c r="AA1571" s="78" t="b">
        <f t="shared" si="1283"/>
        <v>0</v>
      </c>
      <c r="AB1571" s="78" t="b">
        <f t="shared" si="1284"/>
        <v>0</v>
      </c>
      <c r="AC1571" s="78" t="b">
        <f t="shared" si="1285"/>
        <v>0</v>
      </c>
      <c r="AD1571" s="78" t="b">
        <f t="shared" si="1286"/>
        <v>0</v>
      </c>
      <c r="AE1571" s="78" t="b">
        <f t="shared" si="1287"/>
        <v>0</v>
      </c>
      <c r="AF1571" s="78" t="b">
        <f t="shared" si="1288"/>
        <v>0</v>
      </c>
      <c r="AG1571" s="78" t="b">
        <f t="shared" si="1289"/>
        <v>0</v>
      </c>
      <c r="AH1571" s="78" t="b">
        <f t="shared" si="1290"/>
        <v>0</v>
      </c>
      <c r="AI1571" s="78" t="b">
        <f t="shared" si="1291"/>
        <v>0</v>
      </c>
      <c r="AJ1571" s="78" t="b">
        <f t="shared" si="1292"/>
        <v>0</v>
      </c>
      <c r="AK1571" s="78" t="b">
        <f t="shared" si="1293"/>
        <v>0</v>
      </c>
      <c r="AL1571" s="78" t="b">
        <f t="shared" si="1294"/>
        <v>0</v>
      </c>
      <c r="AM1571" s="78" t="b">
        <f t="shared" si="1295"/>
        <v>0</v>
      </c>
      <c r="AN1571" s="78" t="b">
        <f t="shared" si="1296"/>
        <v>0</v>
      </c>
      <c r="AO1571" s="78" t="b">
        <f t="shared" si="1297"/>
        <v>0</v>
      </c>
    </row>
    <row r="1572" spans="7:41" x14ac:dyDescent="0.35">
      <c r="G1572" s="77">
        <f t="shared" si="1267"/>
        <v>0</v>
      </c>
      <c r="H1572" s="78">
        <f t="shared" si="1268"/>
        <v>0</v>
      </c>
      <c r="I1572" s="77">
        <f t="shared" si="1269"/>
        <v>0</v>
      </c>
      <c r="J1572" s="78">
        <f t="shared" si="1270"/>
        <v>0</v>
      </c>
      <c r="K1572" s="78" t="str">
        <f t="shared" si="1271"/>
        <v>1900-01-00 00:0:00</v>
      </c>
      <c r="L1572" s="78" t="str">
        <f t="shared" si="1272"/>
        <v>1900-01-00 00:0:00</v>
      </c>
      <c r="M1572" s="79">
        <f t="shared" si="1273"/>
        <v>0</v>
      </c>
      <c r="N1572">
        <f t="shared" si="1298"/>
        <v>1</v>
      </c>
      <c r="O1572" t="str">
        <f>IFERROR(_xlfn.XLOOKUP(A1572,HC!A:A,HC!C:C),"")</f>
        <v>Workforce</v>
      </c>
      <c r="R1572" s="78" t="b">
        <f t="shared" si="1274"/>
        <v>0</v>
      </c>
      <c r="S1572" s="78" t="b">
        <f t="shared" si="1275"/>
        <v>0</v>
      </c>
      <c r="T1572" s="78" t="b">
        <f t="shared" si="1276"/>
        <v>0</v>
      </c>
      <c r="U1572" s="78" t="b">
        <f t="shared" si="1277"/>
        <v>0</v>
      </c>
      <c r="V1572" s="78" t="b">
        <f t="shared" si="1278"/>
        <v>0</v>
      </c>
      <c r="W1572" s="78" t="b">
        <f t="shared" si="1279"/>
        <v>0</v>
      </c>
      <c r="X1572" s="78" t="b">
        <f t="shared" si="1280"/>
        <v>0</v>
      </c>
      <c r="Y1572" s="78" t="b">
        <f t="shared" si="1281"/>
        <v>0</v>
      </c>
      <c r="Z1572" s="78" t="b">
        <f t="shared" si="1282"/>
        <v>0</v>
      </c>
      <c r="AA1572" s="78" t="b">
        <f t="shared" si="1283"/>
        <v>0</v>
      </c>
      <c r="AB1572" s="78" t="b">
        <f t="shared" si="1284"/>
        <v>0</v>
      </c>
      <c r="AC1572" s="78" t="b">
        <f t="shared" si="1285"/>
        <v>0</v>
      </c>
      <c r="AD1572" s="78" t="b">
        <f t="shared" si="1286"/>
        <v>0</v>
      </c>
      <c r="AE1572" s="78" t="b">
        <f t="shared" si="1287"/>
        <v>0</v>
      </c>
      <c r="AF1572" s="78" t="b">
        <f t="shared" si="1288"/>
        <v>0</v>
      </c>
      <c r="AG1572" s="78" t="b">
        <f t="shared" si="1289"/>
        <v>0</v>
      </c>
      <c r="AH1572" s="78" t="b">
        <f t="shared" si="1290"/>
        <v>0</v>
      </c>
      <c r="AI1572" s="78" t="b">
        <f t="shared" si="1291"/>
        <v>0</v>
      </c>
      <c r="AJ1572" s="78" t="b">
        <f t="shared" si="1292"/>
        <v>0</v>
      </c>
      <c r="AK1572" s="78" t="b">
        <f t="shared" si="1293"/>
        <v>0</v>
      </c>
      <c r="AL1572" s="78" t="b">
        <f t="shared" si="1294"/>
        <v>0</v>
      </c>
      <c r="AM1572" s="78" t="b">
        <f t="shared" si="1295"/>
        <v>0</v>
      </c>
      <c r="AN1572" s="78" t="b">
        <f t="shared" si="1296"/>
        <v>0</v>
      </c>
      <c r="AO1572" s="78" t="b">
        <f t="shared" si="1297"/>
        <v>0</v>
      </c>
    </row>
    <row r="1573" spans="7:41" x14ac:dyDescent="0.35">
      <c r="G1573" s="77">
        <f t="shared" si="1267"/>
        <v>0</v>
      </c>
      <c r="H1573" s="78">
        <f t="shared" si="1268"/>
        <v>0</v>
      </c>
      <c r="I1573" s="77">
        <f t="shared" si="1269"/>
        <v>0</v>
      </c>
      <c r="J1573" s="78">
        <f t="shared" si="1270"/>
        <v>0</v>
      </c>
      <c r="K1573" s="78" t="str">
        <f t="shared" si="1271"/>
        <v>1900-01-00 00:0:00</v>
      </c>
      <c r="L1573" s="78" t="str">
        <f t="shared" si="1272"/>
        <v>1900-01-00 00:0:00</v>
      </c>
      <c r="M1573" s="79">
        <f t="shared" si="1273"/>
        <v>0</v>
      </c>
      <c r="N1573">
        <f t="shared" si="1298"/>
        <v>1</v>
      </c>
      <c r="O1573" t="str">
        <f>IFERROR(_xlfn.XLOOKUP(A1573,HC!A:A,HC!C:C),"")</f>
        <v>Workforce</v>
      </c>
      <c r="R1573" s="78" t="b">
        <f t="shared" si="1274"/>
        <v>0</v>
      </c>
      <c r="S1573" s="78" t="b">
        <f t="shared" si="1275"/>
        <v>0</v>
      </c>
      <c r="T1573" s="78" t="b">
        <f t="shared" si="1276"/>
        <v>0</v>
      </c>
      <c r="U1573" s="78" t="b">
        <f t="shared" si="1277"/>
        <v>0</v>
      </c>
      <c r="V1573" s="78" t="b">
        <f t="shared" si="1278"/>
        <v>0</v>
      </c>
      <c r="W1573" s="78" t="b">
        <f t="shared" si="1279"/>
        <v>0</v>
      </c>
      <c r="X1573" s="78" t="b">
        <f t="shared" si="1280"/>
        <v>0</v>
      </c>
      <c r="Y1573" s="78" t="b">
        <f t="shared" si="1281"/>
        <v>0</v>
      </c>
      <c r="Z1573" s="78" t="b">
        <f t="shared" si="1282"/>
        <v>0</v>
      </c>
      <c r="AA1573" s="78" t="b">
        <f t="shared" si="1283"/>
        <v>0</v>
      </c>
      <c r="AB1573" s="78" t="b">
        <f t="shared" si="1284"/>
        <v>0</v>
      </c>
      <c r="AC1573" s="78" t="b">
        <f t="shared" si="1285"/>
        <v>0</v>
      </c>
      <c r="AD1573" s="78" t="b">
        <f t="shared" si="1286"/>
        <v>0</v>
      </c>
      <c r="AE1573" s="78" t="b">
        <f t="shared" si="1287"/>
        <v>0</v>
      </c>
      <c r="AF1573" s="78" t="b">
        <f t="shared" si="1288"/>
        <v>0</v>
      </c>
      <c r="AG1573" s="78" t="b">
        <f t="shared" si="1289"/>
        <v>0</v>
      </c>
      <c r="AH1573" s="78" t="b">
        <f t="shared" si="1290"/>
        <v>0</v>
      </c>
      <c r="AI1573" s="78" t="b">
        <f t="shared" si="1291"/>
        <v>0</v>
      </c>
      <c r="AJ1573" s="78" t="b">
        <f t="shared" si="1292"/>
        <v>0</v>
      </c>
      <c r="AK1573" s="78" t="b">
        <f t="shared" si="1293"/>
        <v>0</v>
      </c>
      <c r="AL1573" s="78" t="b">
        <f t="shared" si="1294"/>
        <v>0</v>
      </c>
      <c r="AM1573" s="78" t="b">
        <f t="shared" si="1295"/>
        <v>0</v>
      </c>
      <c r="AN1573" s="78" t="b">
        <f t="shared" si="1296"/>
        <v>0</v>
      </c>
      <c r="AO1573" s="78" t="b">
        <f t="shared" si="1297"/>
        <v>0</v>
      </c>
    </row>
    <row r="1574" spans="7:41" x14ac:dyDescent="0.35">
      <c r="G1574" s="77">
        <f t="shared" si="1267"/>
        <v>0</v>
      </c>
      <c r="H1574" s="78">
        <f t="shared" si="1268"/>
        <v>0</v>
      </c>
      <c r="I1574" s="77">
        <f t="shared" si="1269"/>
        <v>0</v>
      </c>
      <c r="J1574" s="78">
        <f t="shared" si="1270"/>
        <v>0</v>
      </c>
      <c r="K1574" s="78" t="str">
        <f t="shared" si="1271"/>
        <v>1900-01-00 00:0:00</v>
      </c>
      <c r="L1574" s="78" t="str">
        <f t="shared" si="1272"/>
        <v>1900-01-00 00:0:00</v>
      </c>
      <c r="M1574" s="79">
        <f t="shared" si="1273"/>
        <v>0</v>
      </c>
      <c r="N1574">
        <f t="shared" si="1298"/>
        <v>1</v>
      </c>
      <c r="O1574" t="str">
        <f>IFERROR(_xlfn.XLOOKUP(A1574,HC!A:A,HC!C:C),"")</f>
        <v>Workforce</v>
      </c>
      <c r="R1574" s="78" t="b">
        <f t="shared" si="1274"/>
        <v>0</v>
      </c>
      <c r="S1574" s="78" t="b">
        <f t="shared" si="1275"/>
        <v>0</v>
      </c>
      <c r="T1574" s="78" t="b">
        <f t="shared" si="1276"/>
        <v>0</v>
      </c>
      <c r="U1574" s="78" t="b">
        <f t="shared" si="1277"/>
        <v>0</v>
      </c>
      <c r="V1574" s="78" t="b">
        <f t="shared" si="1278"/>
        <v>0</v>
      </c>
      <c r="W1574" s="78" t="b">
        <f t="shared" si="1279"/>
        <v>0</v>
      </c>
      <c r="X1574" s="78" t="b">
        <f t="shared" si="1280"/>
        <v>0</v>
      </c>
      <c r="Y1574" s="78" t="b">
        <f t="shared" si="1281"/>
        <v>0</v>
      </c>
      <c r="Z1574" s="78" t="b">
        <f t="shared" si="1282"/>
        <v>0</v>
      </c>
      <c r="AA1574" s="78" t="b">
        <f t="shared" si="1283"/>
        <v>0</v>
      </c>
      <c r="AB1574" s="78" t="b">
        <f t="shared" si="1284"/>
        <v>0</v>
      </c>
      <c r="AC1574" s="78" t="b">
        <f t="shared" si="1285"/>
        <v>0</v>
      </c>
      <c r="AD1574" s="78" t="b">
        <f t="shared" si="1286"/>
        <v>0</v>
      </c>
      <c r="AE1574" s="78" t="b">
        <f t="shared" si="1287"/>
        <v>0</v>
      </c>
      <c r="AF1574" s="78" t="b">
        <f t="shared" si="1288"/>
        <v>0</v>
      </c>
      <c r="AG1574" s="78" t="b">
        <f t="shared" si="1289"/>
        <v>0</v>
      </c>
      <c r="AH1574" s="78" t="b">
        <f t="shared" si="1290"/>
        <v>0</v>
      </c>
      <c r="AI1574" s="78" t="b">
        <f t="shared" si="1291"/>
        <v>0</v>
      </c>
      <c r="AJ1574" s="78" t="b">
        <f t="shared" si="1292"/>
        <v>0</v>
      </c>
      <c r="AK1574" s="78" t="b">
        <f t="shared" si="1293"/>
        <v>0</v>
      </c>
      <c r="AL1574" s="78" t="b">
        <f t="shared" si="1294"/>
        <v>0</v>
      </c>
      <c r="AM1574" s="78" t="b">
        <f t="shared" si="1295"/>
        <v>0</v>
      </c>
      <c r="AN1574" s="78" t="b">
        <f t="shared" si="1296"/>
        <v>0</v>
      </c>
      <c r="AO1574" s="78" t="b">
        <f t="shared" si="1297"/>
        <v>0</v>
      </c>
    </row>
    <row r="1575" spans="7:41" x14ac:dyDescent="0.35">
      <c r="G1575" s="77">
        <f t="shared" si="1267"/>
        <v>0</v>
      </c>
      <c r="H1575" s="78">
        <f t="shared" si="1268"/>
        <v>0</v>
      </c>
      <c r="I1575" s="77">
        <f t="shared" si="1269"/>
        <v>0</v>
      </c>
      <c r="J1575" s="78">
        <f t="shared" si="1270"/>
        <v>0</v>
      </c>
      <c r="K1575" s="78" t="str">
        <f t="shared" si="1271"/>
        <v>1900-01-00 00:0:00</v>
      </c>
      <c r="L1575" s="78" t="str">
        <f t="shared" si="1272"/>
        <v>1900-01-00 00:0:00</v>
      </c>
      <c r="M1575" s="79">
        <f t="shared" si="1273"/>
        <v>0</v>
      </c>
      <c r="N1575">
        <f t="shared" si="1298"/>
        <v>1</v>
      </c>
      <c r="O1575" t="str">
        <f>IFERROR(_xlfn.XLOOKUP(A1575,HC!A:A,HC!C:C),"")</f>
        <v>Workforce</v>
      </c>
      <c r="R1575" s="78" t="b">
        <f t="shared" si="1274"/>
        <v>0</v>
      </c>
      <c r="S1575" s="78" t="b">
        <f t="shared" si="1275"/>
        <v>0</v>
      </c>
      <c r="T1575" s="78" t="b">
        <f t="shared" si="1276"/>
        <v>0</v>
      </c>
      <c r="U1575" s="78" t="b">
        <f t="shared" si="1277"/>
        <v>0</v>
      </c>
      <c r="V1575" s="78" t="b">
        <f t="shared" si="1278"/>
        <v>0</v>
      </c>
      <c r="W1575" s="78" t="b">
        <f t="shared" si="1279"/>
        <v>0</v>
      </c>
      <c r="X1575" s="78" t="b">
        <f t="shared" si="1280"/>
        <v>0</v>
      </c>
      <c r="Y1575" s="78" t="b">
        <f t="shared" si="1281"/>
        <v>0</v>
      </c>
      <c r="Z1575" s="78" t="b">
        <f t="shared" si="1282"/>
        <v>0</v>
      </c>
      <c r="AA1575" s="78" t="b">
        <f t="shared" si="1283"/>
        <v>0</v>
      </c>
      <c r="AB1575" s="78" t="b">
        <f t="shared" si="1284"/>
        <v>0</v>
      </c>
      <c r="AC1575" s="78" t="b">
        <f t="shared" si="1285"/>
        <v>0</v>
      </c>
      <c r="AD1575" s="78" t="b">
        <f t="shared" si="1286"/>
        <v>0</v>
      </c>
      <c r="AE1575" s="78" t="b">
        <f t="shared" si="1287"/>
        <v>0</v>
      </c>
      <c r="AF1575" s="78" t="b">
        <f t="shared" si="1288"/>
        <v>0</v>
      </c>
      <c r="AG1575" s="78" t="b">
        <f t="shared" si="1289"/>
        <v>0</v>
      </c>
      <c r="AH1575" s="78" t="b">
        <f t="shared" si="1290"/>
        <v>0</v>
      </c>
      <c r="AI1575" s="78" t="b">
        <f t="shared" si="1291"/>
        <v>0</v>
      </c>
      <c r="AJ1575" s="78" t="b">
        <f t="shared" si="1292"/>
        <v>0</v>
      </c>
      <c r="AK1575" s="78" t="b">
        <f t="shared" si="1293"/>
        <v>0</v>
      </c>
      <c r="AL1575" s="78" t="b">
        <f t="shared" si="1294"/>
        <v>0</v>
      </c>
      <c r="AM1575" s="78" t="b">
        <f t="shared" si="1295"/>
        <v>0</v>
      </c>
      <c r="AN1575" s="78" t="b">
        <f t="shared" si="1296"/>
        <v>0</v>
      </c>
      <c r="AO1575" s="78" t="b">
        <f t="shared" si="1297"/>
        <v>0</v>
      </c>
    </row>
    <row r="1576" spans="7:41" x14ac:dyDescent="0.35">
      <c r="G1576" s="77">
        <f t="shared" si="1267"/>
        <v>0</v>
      </c>
      <c r="H1576" s="78">
        <f t="shared" si="1268"/>
        <v>0</v>
      </c>
      <c r="I1576" s="77">
        <f t="shared" si="1269"/>
        <v>0</v>
      </c>
      <c r="J1576" s="78">
        <f t="shared" si="1270"/>
        <v>0</v>
      </c>
      <c r="K1576" s="78" t="str">
        <f t="shared" si="1271"/>
        <v>1900-01-00 00:0:00</v>
      </c>
      <c r="L1576" s="78" t="str">
        <f t="shared" si="1272"/>
        <v>1900-01-00 00:0:00</v>
      </c>
      <c r="M1576" s="79">
        <f t="shared" si="1273"/>
        <v>0</v>
      </c>
      <c r="N1576">
        <f t="shared" si="1298"/>
        <v>1</v>
      </c>
      <c r="O1576" t="str">
        <f>IFERROR(_xlfn.XLOOKUP(A1576,HC!A:A,HC!C:C),"")</f>
        <v>Workforce</v>
      </c>
      <c r="R1576" s="78" t="b">
        <f t="shared" si="1274"/>
        <v>0</v>
      </c>
      <c r="S1576" s="78" t="b">
        <f t="shared" si="1275"/>
        <v>0</v>
      </c>
      <c r="T1576" s="78" t="b">
        <f t="shared" si="1276"/>
        <v>0</v>
      </c>
      <c r="U1576" s="78" t="b">
        <f t="shared" si="1277"/>
        <v>0</v>
      </c>
      <c r="V1576" s="78" t="b">
        <f t="shared" si="1278"/>
        <v>0</v>
      </c>
      <c r="W1576" s="78" t="b">
        <f t="shared" si="1279"/>
        <v>0</v>
      </c>
      <c r="X1576" s="78" t="b">
        <f t="shared" si="1280"/>
        <v>0</v>
      </c>
      <c r="Y1576" s="78" t="b">
        <f t="shared" si="1281"/>
        <v>0</v>
      </c>
      <c r="Z1576" s="78" t="b">
        <f t="shared" si="1282"/>
        <v>0</v>
      </c>
      <c r="AA1576" s="78" t="b">
        <f t="shared" si="1283"/>
        <v>0</v>
      </c>
      <c r="AB1576" s="78" t="b">
        <f t="shared" si="1284"/>
        <v>0</v>
      </c>
      <c r="AC1576" s="78" t="b">
        <f t="shared" si="1285"/>
        <v>0</v>
      </c>
      <c r="AD1576" s="78" t="b">
        <f t="shared" si="1286"/>
        <v>0</v>
      </c>
      <c r="AE1576" s="78" t="b">
        <f t="shared" si="1287"/>
        <v>0</v>
      </c>
      <c r="AF1576" s="78" t="b">
        <f t="shared" si="1288"/>
        <v>0</v>
      </c>
      <c r="AG1576" s="78" t="b">
        <f t="shared" si="1289"/>
        <v>0</v>
      </c>
      <c r="AH1576" s="78" t="b">
        <f t="shared" si="1290"/>
        <v>0</v>
      </c>
      <c r="AI1576" s="78" t="b">
        <f t="shared" si="1291"/>
        <v>0</v>
      </c>
      <c r="AJ1576" s="78" t="b">
        <f t="shared" si="1292"/>
        <v>0</v>
      </c>
      <c r="AK1576" s="78" t="b">
        <f t="shared" si="1293"/>
        <v>0</v>
      </c>
      <c r="AL1576" s="78" t="b">
        <f t="shared" si="1294"/>
        <v>0</v>
      </c>
      <c r="AM1576" s="78" t="b">
        <f t="shared" si="1295"/>
        <v>0</v>
      </c>
      <c r="AN1576" s="78" t="b">
        <f t="shared" si="1296"/>
        <v>0</v>
      </c>
      <c r="AO1576" s="78" t="b">
        <f t="shared" si="1297"/>
        <v>0</v>
      </c>
    </row>
    <row r="1577" spans="7:41" x14ac:dyDescent="0.35">
      <c r="G1577" s="77">
        <f t="shared" si="1267"/>
        <v>0</v>
      </c>
      <c r="H1577" s="78">
        <f t="shared" si="1268"/>
        <v>0</v>
      </c>
      <c r="I1577" s="77">
        <f t="shared" si="1269"/>
        <v>0</v>
      </c>
      <c r="J1577" s="78">
        <f t="shared" si="1270"/>
        <v>0</v>
      </c>
      <c r="K1577" s="78" t="str">
        <f t="shared" si="1271"/>
        <v>1900-01-00 00:0:00</v>
      </c>
      <c r="L1577" s="78" t="str">
        <f t="shared" si="1272"/>
        <v>1900-01-00 00:0:00</v>
      </c>
      <c r="M1577" s="79">
        <f t="shared" si="1273"/>
        <v>0</v>
      </c>
      <c r="N1577">
        <f t="shared" si="1298"/>
        <v>1</v>
      </c>
      <c r="O1577" t="str">
        <f>IFERROR(_xlfn.XLOOKUP(A1577,HC!A:A,HC!C:C),"")</f>
        <v>Workforce</v>
      </c>
      <c r="R1577" s="78" t="b">
        <f t="shared" si="1274"/>
        <v>0</v>
      </c>
      <c r="S1577" s="78" t="b">
        <f t="shared" si="1275"/>
        <v>0</v>
      </c>
      <c r="T1577" s="78" t="b">
        <f t="shared" si="1276"/>
        <v>0</v>
      </c>
      <c r="U1577" s="78" t="b">
        <f t="shared" si="1277"/>
        <v>0</v>
      </c>
      <c r="V1577" s="78" t="b">
        <f t="shared" si="1278"/>
        <v>0</v>
      </c>
      <c r="W1577" s="78" t="b">
        <f t="shared" si="1279"/>
        <v>0</v>
      </c>
      <c r="X1577" s="78" t="b">
        <f t="shared" si="1280"/>
        <v>0</v>
      </c>
      <c r="Y1577" s="78" t="b">
        <f t="shared" si="1281"/>
        <v>0</v>
      </c>
      <c r="Z1577" s="78" t="b">
        <f t="shared" si="1282"/>
        <v>0</v>
      </c>
      <c r="AA1577" s="78" t="b">
        <f t="shared" si="1283"/>
        <v>0</v>
      </c>
      <c r="AB1577" s="78" t="b">
        <f t="shared" si="1284"/>
        <v>0</v>
      </c>
      <c r="AC1577" s="78" t="b">
        <f t="shared" si="1285"/>
        <v>0</v>
      </c>
      <c r="AD1577" s="78" t="b">
        <f t="shared" si="1286"/>
        <v>0</v>
      </c>
      <c r="AE1577" s="78" t="b">
        <f t="shared" si="1287"/>
        <v>0</v>
      </c>
      <c r="AF1577" s="78" t="b">
        <f t="shared" si="1288"/>
        <v>0</v>
      </c>
      <c r="AG1577" s="78" t="b">
        <f t="shared" si="1289"/>
        <v>0</v>
      </c>
      <c r="AH1577" s="78" t="b">
        <f t="shared" si="1290"/>
        <v>0</v>
      </c>
      <c r="AI1577" s="78" t="b">
        <f t="shared" si="1291"/>
        <v>0</v>
      </c>
      <c r="AJ1577" s="78" t="b">
        <f t="shared" si="1292"/>
        <v>0</v>
      </c>
      <c r="AK1577" s="78" t="b">
        <f t="shared" si="1293"/>
        <v>0</v>
      </c>
      <c r="AL1577" s="78" t="b">
        <f t="shared" si="1294"/>
        <v>0</v>
      </c>
      <c r="AM1577" s="78" t="b">
        <f t="shared" si="1295"/>
        <v>0</v>
      </c>
      <c r="AN1577" s="78" t="b">
        <f t="shared" si="1296"/>
        <v>0</v>
      </c>
      <c r="AO1577" s="78" t="b">
        <f t="shared" si="1297"/>
        <v>0</v>
      </c>
    </row>
    <row r="1578" spans="7:41" x14ac:dyDescent="0.35">
      <c r="G1578" s="77">
        <f t="shared" si="1267"/>
        <v>0</v>
      </c>
      <c r="H1578" s="78">
        <f t="shared" si="1268"/>
        <v>0</v>
      </c>
      <c r="I1578" s="77">
        <f t="shared" si="1269"/>
        <v>0</v>
      </c>
      <c r="J1578" s="78">
        <f t="shared" si="1270"/>
        <v>0</v>
      </c>
      <c r="K1578" s="78" t="str">
        <f t="shared" si="1271"/>
        <v>1900-01-00 00:0:00</v>
      </c>
      <c r="L1578" s="78" t="str">
        <f t="shared" si="1272"/>
        <v>1900-01-00 00:0:00</v>
      </c>
      <c r="M1578" s="79">
        <f t="shared" si="1273"/>
        <v>0</v>
      </c>
      <c r="N1578">
        <f t="shared" si="1298"/>
        <v>1</v>
      </c>
      <c r="O1578" t="str">
        <f>IFERROR(_xlfn.XLOOKUP(A1578,HC!A:A,HC!C:C),"")</f>
        <v>Workforce</v>
      </c>
      <c r="R1578" s="78" t="b">
        <f t="shared" si="1274"/>
        <v>0</v>
      </c>
      <c r="S1578" s="78" t="b">
        <f t="shared" si="1275"/>
        <v>0</v>
      </c>
      <c r="T1578" s="78" t="b">
        <f t="shared" si="1276"/>
        <v>0</v>
      </c>
      <c r="U1578" s="78" t="b">
        <f t="shared" si="1277"/>
        <v>0</v>
      </c>
      <c r="V1578" s="78" t="b">
        <f t="shared" si="1278"/>
        <v>0</v>
      </c>
      <c r="W1578" s="78" t="b">
        <f t="shared" si="1279"/>
        <v>0</v>
      </c>
      <c r="X1578" s="78" t="b">
        <f t="shared" si="1280"/>
        <v>0</v>
      </c>
      <c r="Y1578" s="78" t="b">
        <f t="shared" si="1281"/>
        <v>0</v>
      </c>
      <c r="Z1578" s="78" t="b">
        <f t="shared" si="1282"/>
        <v>0</v>
      </c>
      <c r="AA1578" s="78" t="b">
        <f t="shared" si="1283"/>
        <v>0</v>
      </c>
      <c r="AB1578" s="78" t="b">
        <f t="shared" si="1284"/>
        <v>0</v>
      </c>
      <c r="AC1578" s="78" t="b">
        <f t="shared" si="1285"/>
        <v>0</v>
      </c>
      <c r="AD1578" s="78" t="b">
        <f t="shared" si="1286"/>
        <v>0</v>
      </c>
      <c r="AE1578" s="78" t="b">
        <f t="shared" si="1287"/>
        <v>0</v>
      </c>
      <c r="AF1578" s="78" t="b">
        <f t="shared" si="1288"/>
        <v>0</v>
      </c>
      <c r="AG1578" s="78" t="b">
        <f t="shared" si="1289"/>
        <v>0</v>
      </c>
      <c r="AH1578" s="78" t="b">
        <f t="shared" si="1290"/>
        <v>0</v>
      </c>
      <c r="AI1578" s="78" t="b">
        <f t="shared" si="1291"/>
        <v>0</v>
      </c>
      <c r="AJ1578" s="78" t="b">
        <f t="shared" si="1292"/>
        <v>0</v>
      </c>
      <c r="AK1578" s="78" t="b">
        <f t="shared" si="1293"/>
        <v>0</v>
      </c>
      <c r="AL1578" s="78" t="b">
        <f t="shared" si="1294"/>
        <v>0</v>
      </c>
      <c r="AM1578" s="78" t="b">
        <f t="shared" si="1295"/>
        <v>0</v>
      </c>
      <c r="AN1578" s="78" t="b">
        <f t="shared" si="1296"/>
        <v>0</v>
      </c>
      <c r="AO1578" s="78" t="b">
        <f t="shared" si="1297"/>
        <v>0</v>
      </c>
    </row>
    <row r="1579" spans="7:41" x14ac:dyDescent="0.35">
      <c r="G1579" s="77">
        <f t="shared" si="1267"/>
        <v>0</v>
      </c>
      <c r="H1579" s="78">
        <f t="shared" si="1268"/>
        <v>0</v>
      </c>
      <c r="I1579" s="77">
        <f t="shared" si="1269"/>
        <v>0</v>
      </c>
      <c r="J1579" s="78">
        <f t="shared" si="1270"/>
        <v>0</v>
      </c>
      <c r="K1579" s="78" t="str">
        <f t="shared" si="1271"/>
        <v>1900-01-00 00:0:00</v>
      </c>
      <c r="L1579" s="78" t="str">
        <f t="shared" si="1272"/>
        <v>1900-01-00 00:0:00</v>
      </c>
      <c r="M1579" s="79">
        <f t="shared" si="1273"/>
        <v>0</v>
      </c>
      <c r="N1579">
        <f t="shared" si="1298"/>
        <v>1</v>
      </c>
      <c r="O1579" t="str">
        <f>IFERROR(_xlfn.XLOOKUP(A1579,HC!A:A,HC!C:C),"")</f>
        <v>Workforce</v>
      </c>
      <c r="R1579" s="78" t="b">
        <f t="shared" si="1274"/>
        <v>0</v>
      </c>
      <c r="S1579" s="78" t="b">
        <f t="shared" si="1275"/>
        <v>0</v>
      </c>
      <c r="T1579" s="78" t="b">
        <f t="shared" si="1276"/>
        <v>0</v>
      </c>
      <c r="U1579" s="78" t="b">
        <f t="shared" si="1277"/>
        <v>0</v>
      </c>
      <c r="V1579" s="78" t="b">
        <f t="shared" si="1278"/>
        <v>0</v>
      </c>
      <c r="W1579" s="78" t="b">
        <f t="shared" si="1279"/>
        <v>0</v>
      </c>
      <c r="X1579" s="78" t="b">
        <f t="shared" si="1280"/>
        <v>0</v>
      </c>
      <c r="Y1579" s="78" t="b">
        <f t="shared" si="1281"/>
        <v>0</v>
      </c>
      <c r="Z1579" s="78" t="b">
        <f t="shared" si="1282"/>
        <v>0</v>
      </c>
      <c r="AA1579" s="78" t="b">
        <f t="shared" si="1283"/>
        <v>0</v>
      </c>
      <c r="AB1579" s="78" t="b">
        <f t="shared" si="1284"/>
        <v>0</v>
      </c>
      <c r="AC1579" s="78" t="b">
        <f t="shared" si="1285"/>
        <v>0</v>
      </c>
      <c r="AD1579" s="78" t="b">
        <f t="shared" si="1286"/>
        <v>0</v>
      </c>
      <c r="AE1579" s="78" t="b">
        <f t="shared" si="1287"/>
        <v>0</v>
      </c>
      <c r="AF1579" s="78" t="b">
        <f t="shared" si="1288"/>
        <v>0</v>
      </c>
      <c r="AG1579" s="78" t="b">
        <f t="shared" si="1289"/>
        <v>0</v>
      </c>
      <c r="AH1579" s="78" t="b">
        <f t="shared" si="1290"/>
        <v>0</v>
      </c>
      <c r="AI1579" s="78" t="b">
        <f t="shared" si="1291"/>
        <v>0</v>
      </c>
      <c r="AJ1579" s="78" t="b">
        <f t="shared" si="1292"/>
        <v>0</v>
      </c>
      <c r="AK1579" s="78" t="b">
        <f t="shared" si="1293"/>
        <v>0</v>
      </c>
      <c r="AL1579" s="78" t="b">
        <f t="shared" si="1294"/>
        <v>0</v>
      </c>
      <c r="AM1579" s="78" t="b">
        <f t="shared" si="1295"/>
        <v>0</v>
      </c>
      <c r="AN1579" s="78" t="b">
        <f t="shared" si="1296"/>
        <v>0</v>
      </c>
      <c r="AO1579" s="78" t="b">
        <f t="shared" si="1297"/>
        <v>0</v>
      </c>
    </row>
    <row r="1580" spans="7:41" x14ac:dyDescent="0.35">
      <c r="G1580" s="77">
        <f t="shared" si="1267"/>
        <v>0</v>
      </c>
      <c r="H1580" s="78">
        <f t="shared" si="1268"/>
        <v>0</v>
      </c>
      <c r="I1580" s="77">
        <f t="shared" si="1269"/>
        <v>0</v>
      </c>
      <c r="J1580" s="78">
        <f t="shared" si="1270"/>
        <v>0</v>
      </c>
      <c r="K1580" s="78" t="str">
        <f t="shared" si="1271"/>
        <v>1900-01-00 00:0:00</v>
      </c>
      <c r="L1580" s="78" t="str">
        <f t="shared" si="1272"/>
        <v>1900-01-00 00:0:00</v>
      </c>
      <c r="M1580" s="79">
        <f t="shared" si="1273"/>
        <v>0</v>
      </c>
      <c r="N1580">
        <f t="shared" si="1298"/>
        <v>1</v>
      </c>
      <c r="O1580" t="str">
        <f>IFERROR(_xlfn.XLOOKUP(A1580,HC!A:A,HC!C:C),"")</f>
        <v>Workforce</v>
      </c>
      <c r="R1580" s="78" t="b">
        <f t="shared" si="1274"/>
        <v>0</v>
      </c>
      <c r="S1580" s="78" t="b">
        <f t="shared" si="1275"/>
        <v>0</v>
      </c>
      <c r="T1580" s="78" t="b">
        <f t="shared" si="1276"/>
        <v>0</v>
      </c>
      <c r="U1580" s="78" t="b">
        <f t="shared" si="1277"/>
        <v>0</v>
      </c>
      <c r="V1580" s="78" t="b">
        <f t="shared" si="1278"/>
        <v>0</v>
      </c>
      <c r="W1580" s="78" t="b">
        <f t="shared" si="1279"/>
        <v>0</v>
      </c>
      <c r="X1580" s="78" t="b">
        <f t="shared" si="1280"/>
        <v>0</v>
      </c>
      <c r="Y1580" s="78" t="b">
        <f t="shared" si="1281"/>
        <v>0</v>
      </c>
      <c r="Z1580" s="78" t="b">
        <f t="shared" si="1282"/>
        <v>0</v>
      </c>
      <c r="AA1580" s="78" t="b">
        <f t="shared" si="1283"/>
        <v>0</v>
      </c>
      <c r="AB1580" s="78" t="b">
        <f t="shared" si="1284"/>
        <v>0</v>
      </c>
      <c r="AC1580" s="78" t="b">
        <f t="shared" si="1285"/>
        <v>0</v>
      </c>
      <c r="AD1580" s="78" t="b">
        <f t="shared" si="1286"/>
        <v>0</v>
      </c>
      <c r="AE1580" s="78" t="b">
        <f t="shared" si="1287"/>
        <v>0</v>
      </c>
      <c r="AF1580" s="78" t="b">
        <f t="shared" si="1288"/>
        <v>0</v>
      </c>
      <c r="AG1580" s="78" t="b">
        <f t="shared" si="1289"/>
        <v>0</v>
      </c>
      <c r="AH1580" s="78" t="b">
        <f t="shared" si="1290"/>
        <v>0</v>
      </c>
      <c r="AI1580" s="78" t="b">
        <f t="shared" si="1291"/>
        <v>0</v>
      </c>
      <c r="AJ1580" s="78" t="b">
        <f t="shared" si="1292"/>
        <v>0</v>
      </c>
      <c r="AK1580" s="78" t="b">
        <f t="shared" si="1293"/>
        <v>0</v>
      </c>
      <c r="AL1580" s="78" t="b">
        <f t="shared" si="1294"/>
        <v>0</v>
      </c>
      <c r="AM1580" s="78" t="b">
        <f t="shared" si="1295"/>
        <v>0</v>
      </c>
      <c r="AN1580" s="78" t="b">
        <f t="shared" si="1296"/>
        <v>0</v>
      </c>
      <c r="AO1580" s="78" t="b">
        <f t="shared" si="1297"/>
        <v>0</v>
      </c>
    </row>
    <row r="1581" spans="7:41" x14ac:dyDescent="0.35">
      <c r="G1581" s="77">
        <f t="shared" si="1267"/>
        <v>0</v>
      </c>
      <c r="H1581" s="78">
        <f t="shared" si="1268"/>
        <v>0</v>
      </c>
      <c r="I1581" s="77">
        <f t="shared" si="1269"/>
        <v>0</v>
      </c>
      <c r="J1581" s="78">
        <f t="shared" si="1270"/>
        <v>0</v>
      </c>
      <c r="K1581" s="78" t="str">
        <f t="shared" si="1271"/>
        <v>1900-01-00 00:0:00</v>
      </c>
      <c r="L1581" s="78" t="str">
        <f t="shared" si="1272"/>
        <v>1900-01-00 00:0:00</v>
      </c>
      <c r="M1581" s="79">
        <f t="shared" si="1273"/>
        <v>0</v>
      </c>
      <c r="N1581">
        <f t="shared" si="1298"/>
        <v>1</v>
      </c>
      <c r="O1581" t="str">
        <f>IFERROR(_xlfn.XLOOKUP(A1581,HC!A:A,HC!C:C),"")</f>
        <v>Workforce</v>
      </c>
      <c r="R1581" s="78" t="b">
        <f t="shared" si="1274"/>
        <v>0</v>
      </c>
      <c r="S1581" s="78" t="b">
        <f t="shared" si="1275"/>
        <v>0</v>
      </c>
      <c r="T1581" s="78" t="b">
        <f t="shared" si="1276"/>
        <v>0</v>
      </c>
      <c r="U1581" s="78" t="b">
        <f t="shared" si="1277"/>
        <v>0</v>
      </c>
      <c r="V1581" s="78" t="b">
        <f t="shared" si="1278"/>
        <v>0</v>
      </c>
      <c r="W1581" s="78" t="b">
        <f t="shared" si="1279"/>
        <v>0</v>
      </c>
      <c r="X1581" s="78" t="b">
        <f t="shared" si="1280"/>
        <v>0</v>
      </c>
      <c r="Y1581" s="78" t="b">
        <f t="shared" si="1281"/>
        <v>0</v>
      </c>
      <c r="Z1581" s="78" t="b">
        <f t="shared" si="1282"/>
        <v>0</v>
      </c>
      <c r="AA1581" s="78" t="b">
        <f t="shared" si="1283"/>
        <v>0</v>
      </c>
      <c r="AB1581" s="78" t="b">
        <f t="shared" si="1284"/>
        <v>0</v>
      </c>
      <c r="AC1581" s="78" t="b">
        <f t="shared" si="1285"/>
        <v>0</v>
      </c>
      <c r="AD1581" s="78" t="b">
        <f t="shared" si="1286"/>
        <v>0</v>
      </c>
      <c r="AE1581" s="78" t="b">
        <f t="shared" si="1287"/>
        <v>0</v>
      </c>
      <c r="AF1581" s="78" t="b">
        <f t="shared" si="1288"/>
        <v>0</v>
      </c>
      <c r="AG1581" s="78" t="b">
        <f t="shared" si="1289"/>
        <v>0</v>
      </c>
      <c r="AH1581" s="78" t="b">
        <f t="shared" si="1290"/>
        <v>0</v>
      </c>
      <c r="AI1581" s="78" t="b">
        <f t="shared" si="1291"/>
        <v>0</v>
      </c>
      <c r="AJ1581" s="78" t="b">
        <f t="shared" si="1292"/>
        <v>0</v>
      </c>
      <c r="AK1581" s="78" t="b">
        <f t="shared" si="1293"/>
        <v>0</v>
      </c>
      <c r="AL1581" s="78" t="b">
        <f t="shared" si="1294"/>
        <v>0</v>
      </c>
      <c r="AM1581" s="78" t="b">
        <f t="shared" si="1295"/>
        <v>0</v>
      </c>
      <c r="AN1581" s="78" t="b">
        <f t="shared" si="1296"/>
        <v>0</v>
      </c>
      <c r="AO1581" s="78" t="b">
        <f t="shared" si="1297"/>
        <v>0</v>
      </c>
    </row>
    <row r="1582" spans="7:41" x14ac:dyDescent="0.35">
      <c r="G1582" s="77">
        <f t="shared" si="1267"/>
        <v>0</v>
      </c>
      <c r="H1582" s="78">
        <f t="shared" si="1268"/>
        <v>0</v>
      </c>
      <c r="I1582" s="77">
        <f t="shared" si="1269"/>
        <v>0</v>
      </c>
      <c r="J1582" s="78">
        <f t="shared" si="1270"/>
        <v>0</v>
      </c>
      <c r="K1582" s="78" t="str">
        <f t="shared" si="1271"/>
        <v>1900-01-00 00:0:00</v>
      </c>
      <c r="L1582" s="78" t="str">
        <f t="shared" si="1272"/>
        <v>1900-01-00 00:0:00</v>
      </c>
      <c r="M1582" s="79">
        <f t="shared" si="1273"/>
        <v>0</v>
      </c>
      <c r="N1582">
        <f t="shared" si="1298"/>
        <v>1</v>
      </c>
      <c r="O1582" t="str">
        <f>IFERROR(_xlfn.XLOOKUP(A1582,HC!A:A,HC!C:C),"")</f>
        <v>Workforce</v>
      </c>
      <c r="R1582" s="78" t="b">
        <f t="shared" si="1274"/>
        <v>0</v>
      </c>
      <c r="S1582" s="78" t="b">
        <f t="shared" si="1275"/>
        <v>0</v>
      </c>
      <c r="T1582" s="78" t="b">
        <f t="shared" si="1276"/>
        <v>0</v>
      </c>
      <c r="U1582" s="78" t="b">
        <f t="shared" si="1277"/>
        <v>0</v>
      </c>
      <c r="V1582" s="78" t="b">
        <f t="shared" si="1278"/>
        <v>0</v>
      </c>
      <c r="W1582" s="78" t="b">
        <f t="shared" si="1279"/>
        <v>0</v>
      </c>
      <c r="X1582" s="78" t="b">
        <f t="shared" si="1280"/>
        <v>0</v>
      </c>
      <c r="Y1582" s="78" t="b">
        <f t="shared" si="1281"/>
        <v>0</v>
      </c>
      <c r="Z1582" s="78" t="b">
        <f t="shared" si="1282"/>
        <v>0</v>
      </c>
      <c r="AA1582" s="78" t="b">
        <f t="shared" si="1283"/>
        <v>0</v>
      </c>
      <c r="AB1582" s="78" t="b">
        <f t="shared" si="1284"/>
        <v>0</v>
      </c>
      <c r="AC1582" s="78" t="b">
        <f t="shared" si="1285"/>
        <v>0</v>
      </c>
      <c r="AD1582" s="78" t="b">
        <f t="shared" si="1286"/>
        <v>0</v>
      </c>
      <c r="AE1582" s="78" t="b">
        <f t="shared" si="1287"/>
        <v>0</v>
      </c>
      <c r="AF1582" s="78" t="b">
        <f t="shared" si="1288"/>
        <v>0</v>
      </c>
      <c r="AG1582" s="78" t="b">
        <f t="shared" si="1289"/>
        <v>0</v>
      </c>
      <c r="AH1582" s="78" t="b">
        <f t="shared" si="1290"/>
        <v>0</v>
      </c>
      <c r="AI1582" s="78" t="b">
        <f t="shared" si="1291"/>
        <v>0</v>
      </c>
      <c r="AJ1582" s="78" t="b">
        <f t="shared" si="1292"/>
        <v>0</v>
      </c>
      <c r="AK1582" s="78" t="b">
        <f t="shared" si="1293"/>
        <v>0</v>
      </c>
      <c r="AL1582" s="78" t="b">
        <f t="shared" si="1294"/>
        <v>0</v>
      </c>
      <c r="AM1582" s="78" t="b">
        <f t="shared" si="1295"/>
        <v>0</v>
      </c>
      <c r="AN1582" s="78" t="b">
        <f t="shared" si="1296"/>
        <v>0</v>
      </c>
      <c r="AO1582" s="78" t="b">
        <f t="shared" si="1297"/>
        <v>0</v>
      </c>
    </row>
    <row r="1583" spans="7:41" x14ac:dyDescent="0.35">
      <c r="G1583" s="77">
        <f t="shared" si="1267"/>
        <v>0</v>
      </c>
      <c r="H1583" s="78">
        <f t="shared" si="1268"/>
        <v>0</v>
      </c>
      <c r="I1583" s="77">
        <f t="shared" si="1269"/>
        <v>0</v>
      </c>
      <c r="J1583" s="78">
        <f t="shared" si="1270"/>
        <v>0</v>
      </c>
      <c r="K1583" s="78" t="str">
        <f t="shared" si="1271"/>
        <v>1900-01-00 00:0:00</v>
      </c>
      <c r="L1583" s="78" t="str">
        <f t="shared" si="1272"/>
        <v>1900-01-00 00:0:00</v>
      </c>
      <c r="M1583" s="79">
        <f t="shared" si="1273"/>
        <v>0</v>
      </c>
      <c r="N1583">
        <f t="shared" si="1298"/>
        <v>1</v>
      </c>
      <c r="O1583" t="str">
        <f>IFERROR(_xlfn.XLOOKUP(A1583,HC!A:A,HC!C:C),"")</f>
        <v>Workforce</v>
      </c>
      <c r="R1583" s="78" t="b">
        <f t="shared" si="1274"/>
        <v>0</v>
      </c>
      <c r="S1583" s="78" t="b">
        <f t="shared" si="1275"/>
        <v>0</v>
      </c>
      <c r="T1583" s="78" t="b">
        <f t="shared" si="1276"/>
        <v>0</v>
      </c>
      <c r="U1583" s="78" t="b">
        <f t="shared" si="1277"/>
        <v>0</v>
      </c>
      <c r="V1583" s="78" t="b">
        <f t="shared" si="1278"/>
        <v>0</v>
      </c>
      <c r="W1583" s="78" t="b">
        <f t="shared" si="1279"/>
        <v>0</v>
      </c>
      <c r="X1583" s="78" t="b">
        <f t="shared" si="1280"/>
        <v>0</v>
      </c>
      <c r="Y1583" s="78" t="b">
        <f t="shared" si="1281"/>
        <v>0</v>
      </c>
      <c r="Z1583" s="78" t="b">
        <f t="shared" si="1282"/>
        <v>0</v>
      </c>
      <c r="AA1583" s="78" t="b">
        <f t="shared" si="1283"/>
        <v>0</v>
      </c>
      <c r="AB1583" s="78" t="b">
        <f t="shared" si="1284"/>
        <v>0</v>
      </c>
      <c r="AC1583" s="78" t="b">
        <f t="shared" si="1285"/>
        <v>0</v>
      </c>
      <c r="AD1583" s="78" t="b">
        <f t="shared" si="1286"/>
        <v>0</v>
      </c>
      <c r="AE1583" s="78" t="b">
        <f t="shared" si="1287"/>
        <v>0</v>
      </c>
      <c r="AF1583" s="78" t="b">
        <f t="shared" si="1288"/>
        <v>0</v>
      </c>
      <c r="AG1583" s="78" t="b">
        <f t="shared" si="1289"/>
        <v>0</v>
      </c>
      <c r="AH1583" s="78" t="b">
        <f t="shared" si="1290"/>
        <v>0</v>
      </c>
      <c r="AI1583" s="78" t="b">
        <f t="shared" si="1291"/>
        <v>0</v>
      </c>
      <c r="AJ1583" s="78" t="b">
        <f t="shared" si="1292"/>
        <v>0</v>
      </c>
      <c r="AK1583" s="78" t="b">
        <f t="shared" si="1293"/>
        <v>0</v>
      </c>
      <c r="AL1583" s="78" t="b">
        <f t="shared" si="1294"/>
        <v>0</v>
      </c>
      <c r="AM1583" s="78" t="b">
        <f t="shared" si="1295"/>
        <v>0</v>
      </c>
      <c r="AN1583" s="78" t="b">
        <f t="shared" si="1296"/>
        <v>0</v>
      </c>
      <c r="AO1583" s="78" t="b">
        <f t="shared" si="1297"/>
        <v>0</v>
      </c>
    </row>
    <row r="1584" spans="7:41" x14ac:dyDescent="0.35">
      <c r="G1584" s="77">
        <f t="shared" si="1267"/>
        <v>0</v>
      </c>
      <c r="H1584" s="78">
        <f t="shared" si="1268"/>
        <v>0</v>
      </c>
      <c r="I1584" s="77">
        <f t="shared" si="1269"/>
        <v>0</v>
      </c>
      <c r="J1584" s="78">
        <f t="shared" si="1270"/>
        <v>0</v>
      </c>
      <c r="K1584" s="78" t="str">
        <f t="shared" si="1271"/>
        <v>1900-01-00 00:0:00</v>
      </c>
      <c r="L1584" s="78" t="str">
        <f t="shared" si="1272"/>
        <v>1900-01-00 00:0:00</v>
      </c>
      <c r="M1584" s="79">
        <f t="shared" si="1273"/>
        <v>0</v>
      </c>
      <c r="N1584">
        <f t="shared" si="1298"/>
        <v>1</v>
      </c>
      <c r="O1584" t="str">
        <f>IFERROR(_xlfn.XLOOKUP(A1584,HC!A:A,HC!C:C),"")</f>
        <v>Workforce</v>
      </c>
      <c r="R1584" s="78" t="b">
        <f t="shared" si="1274"/>
        <v>0</v>
      </c>
      <c r="S1584" s="78" t="b">
        <f t="shared" si="1275"/>
        <v>0</v>
      </c>
      <c r="T1584" s="78" t="b">
        <f t="shared" si="1276"/>
        <v>0</v>
      </c>
      <c r="U1584" s="78" t="b">
        <f t="shared" si="1277"/>
        <v>0</v>
      </c>
      <c r="V1584" s="78" t="b">
        <f t="shared" si="1278"/>
        <v>0</v>
      </c>
      <c r="W1584" s="78" t="b">
        <f t="shared" si="1279"/>
        <v>0</v>
      </c>
      <c r="X1584" s="78" t="b">
        <f t="shared" si="1280"/>
        <v>0</v>
      </c>
      <c r="Y1584" s="78" t="b">
        <f t="shared" si="1281"/>
        <v>0</v>
      </c>
      <c r="Z1584" s="78" t="b">
        <f t="shared" si="1282"/>
        <v>0</v>
      </c>
      <c r="AA1584" s="78" t="b">
        <f t="shared" si="1283"/>
        <v>0</v>
      </c>
      <c r="AB1584" s="78" t="b">
        <f t="shared" si="1284"/>
        <v>0</v>
      </c>
      <c r="AC1584" s="78" t="b">
        <f t="shared" si="1285"/>
        <v>0</v>
      </c>
      <c r="AD1584" s="78" t="b">
        <f t="shared" si="1286"/>
        <v>0</v>
      </c>
      <c r="AE1584" s="78" t="b">
        <f t="shared" si="1287"/>
        <v>0</v>
      </c>
      <c r="AF1584" s="78" t="b">
        <f t="shared" si="1288"/>
        <v>0</v>
      </c>
      <c r="AG1584" s="78" t="b">
        <f t="shared" si="1289"/>
        <v>0</v>
      </c>
      <c r="AH1584" s="78" t="b">
        <f t="shared" si="1290"/>
        <v>0</v>
      </c>
      <c r="AI1584" s="78" t="b">
        <f t="shared" si="1291"/>
        <v>0</v>
      </c>
      <c r="AJ1584" s="78" t="b">
        <f t="shared" si="1292"/>
        <v>0</v>
      </c>
      <c r="AK1584" s="78" t="b">
        <f t="shared" si="1293"/>
        <v>0</v>
      </c>
      <c r="AL1584" s="78" t="b">
        <f t="shared" si="1294"/>
        <v>0</v>
      </c>
      <c r="AM1584" s="78" t="b">
        <f t="shared" si="1295"/>
        <v>0</v>
      </c>
      <c r="AN1584" s="78" t="b">
        <f t="shared" si="1296"/>
        <v>0</v>
      </c>
      <c r="AO1584" s="78" t="b">
        <f t="shared" si="1297"/>
        <v>0</v>
      </c>
    </row>
    <row r="1585" spans="7:41" x14ac:dyDescent="0.35">
      <c r="G1585" s="77">
        <f t="shared" si="1267"/>
        <v>0</v>
      </c>
      <c r="H1585" s="78">
        <f t="shared" si="1268"/>
        <v>0</v>
      </c>
      <c r="I1585" s="77">
        <f t="shared" si="1269"/>
        <v>0</v>
      </c>
      <c r="J1585" s="78">
        <f t="shared" si="1270"/>
        <v>0</v>
      </c>
      <c r="K1585" s="78" t="str">
        <f t="shared" si="1271"/>
        <v>1900-01-00 00:0:00</v>
      </c>
      <c r="L1585" s="78" t="str">
        <f t="shared" si="1272"/>
        <v>1900-01-00 00:0:00</v>
      </c>
      <c r="M1585" s="79">
        <f t="shared" si="1273"/>
        <v>0</v>
      </c>
      <c r="N1585">
        <f t="shared" si="1298"/>
        <v>1</v>
      </c>
      <c r="O1585" t="str">
        <f>IFERROR(_xlfn.XLOOKUP(A1585,HC!A:A,HC!C:C),"")</f>
        <v>Workforce</v>
      </c>
      <c r="R1585" s="78" t="b">
        <f t="shared" si="1274"/>
        <v>0</v>
      </c>
      <c r="S1585" s="78" t="b">
        <f t="shared" si="1275"/>
        <v>0</v>
      </c>
      <c r="T1585" s="78" t="b">
        <f t="shared" si="1276"/>
        <v>0</v>
      </c>
      <c r="U1585" s="78" t="b">
        <f t="shared" si="1277"/>
        <v>0</v>
      </c>
      <c r="V1585" s="78" t="b">
        <f t="shared" si="1278"/>
        <v>0</v>
      </c>
      <c r="W1585" s="78" t="b">
        <f t="shared" si="1279"/>
        <v>0</v>
      </c>
      <c r="X1585" s="78" t="b">
        <f t="shared" si="1280"/>
        <v>0</v>
      </c>
      <c r="Y1585" s="78" t="b">
        <f t="shared" si="1281"/>
        <v>0</v>
      </c>
      <c r="Z1585" s="78" t="b">
        <f t="shared" si="1282"/>
        <v>0</v>
      </c>
      <c r="AA1585" s="78" t="b">
        <f t="shared" si="1283"/>
        <v>0</v>
      </c>
      <c r="AB1585" s="78" t="b">
        <f t="shared" si="1284"/>
        <v>0</v>
      </c>
      <c r="AC1585" s="78" t="b">
        <f t="shared" si="1285"/>
        <v>0</v>
      </c>
      <c r="AD1585" s="78" t="b">
        <f t="shared" si="1286"/>
        <v>0</v>
      </c>
      <c r="AE1585" s="78" t="b">
        <f t="shared" si="1287"/>
        <v>0</v>
      </c>
      <c r="AF1585" s="78" t="b">
        <f t="shared" si="1288"/>
        <v>0</v>
      </c>
      <c r="AG1585" s="78" t="b">
        <f t="shared" si="1289"/>
        <v>0</v>
      </c>
      <c r="AH1585" s="78" t="b">
        <f t="shared" si="1290"/>
        <v>0</v>
      </c>
      <c r="AI1585" s="78" t="b">
        <f t="shared" si="1291"/>
        <v>0</v>
      </c>
      <c r="AJ1585" s="78" t="b">
        <f t="shared" si="1292"/>
        <v>0</v>
      </c>
      <c r="AK1585" s="78" t="b">
        <f t="shared" si="1293"/>
        <v>0</v>
      </c>
      <c r="AL1585" s="78" t="b">
        <f t="shared" si="1294"/>
        <v>0</v>
      </c>
      <c r="AM1585" s="78" t="b">
        <f t="shared" si="1295"/>
        <v>0</v>
      </c>
      <c r="AN1585" s="78" t="b">
        <f t="shared" si="1296"/>
        <v>0</v>
      </c>
      <c r="AO1585" s="78" t="b">
        <f t="shared" si="1297"/>
        <v>0</v>
      </c>
    </row>
    <row r="1586" spans="7:41" x14ac:dyDescent="0.35">
      <c r="G1586" s="77">
        <f t="shared" si="1267"/>
        <v>0</v>
      </c>
      <c r="H1586" s="78">
        <f t="shared" si="1268"/>
        <v>0</v>
      </c>
      <c r="I1586" s="77">
        <f t="shared" si="1269"/>
        <v>0</v>
      </c>
      <c r="J1586" s="78">
        <f t="shared" si="1270"/>
        <v>0</v>
      </c>
      <c r="K1586" s="78" t="str">
        <f t="shared" si="1271"/>
        <v>1900-01-00 00:0:00</v>
      </c>
      <c r="L1586" s="78" t="str">
        <f t="shared" si="1272"/>
        <v>1900-01-00 00:0:00</v>
      </c>
      <c r="M1586" s="79">
        <f t="shared" si="1273"/>
        <v>0</v>
      </c>
      <c r="N1586">
        <f t="shared" si="1298"/>
        <v>1</v>
      </c>
      <c r="O1586" t="str">
        <f>IFERROR(_xlfn.XLOOKUP(A1586,HC!A:A,HC!C:C),"")</f>
        <v>Workforce</v>
      </c>
      <c r="R1586" s="78" t="b">
        <f t="shared" si="1274"/>
        <v>0</v>
      </c>
      <c r="S1586" s="78" t="b">
        <f t="shared" si="1275"/>
        <v>0</v>
      </c>
      <c r="T1586" s="78" t="b">
        <f t="shared" si="1276"/>
        <v>0</v>
      </c>
      <c r="U1586" s="78" t="b">
        <f t="shared" si="1277"/>
        <v>0</v>
      </c>
      <c r="V1586" s="78" t="b">
        <f t="shared" si="1278"/>
        <v>0</v>
      </c>
      <c r="W1586" s="78" t="b">
        <f t="shared" si="1279"/>
        <v>0</v>
      </c>
      <c r="X1586" s="78" t="b">
        <f t="shared" si="1280"/>
        <v>0</v>
      </c>
      <c r="Y1586" s="78" t="b">
        <f t="shared" si="1281"/>
        <v>0</v>
      </c>
      <c r="Z1586" s="78" t="b">
        <f t="shared" si="1282"/>
        <v>0</v>
      </c>
      <c r="AA1586" s="78" t="b">
        <f t="shared" si="1283"/>
        <v>0</v>
      </c>
      <c r="AB1586" s="78" t="b">
        <f t="shared" si="1284"/>
        <v>0</v>
      </c>
      <c r="AC1586" s="78" t="b">
        <f t="shared" si="1285"/>
        <v>0</v>
      </c>
      <c r="AD1586" s="78" t="b">
        <f t="shared" si="1286"/>
        <v>0</v>
      </c>
      <c r="AE1586" s="78" t="b">
        <f t="shared" si="1287"/>
        <v>0</v>
      </c>
      <c r="AF1586" s="78" t="b">
        <f t="shared" si="1288"/>
        <v>0</v>
      </c>
      <c r="AG1586" s="78" t="b">
        <f t="shared" si="1289"/>
        <v>0</v>
      </c>
      <c r="AH1586" s="78" t="b">
        <f t="shared" si="1290"/>
        <v>0</v>
      </c>
      <c r="AI1586" s="78" t="b">
        <f t="shared" si="1291"/>
        <v>0</v>
      </c>
      <c r="AJ1586" s="78" t="b">
        <f t="shared" si="1292"/>
        <v>0</v>
      </c>
      <c r="AK1586" s="78" t="b">
        <f t="shared" si="1293"/>
        <v>0</v>
      </c>
      <c r="AL1586" s="78" t="b">
        <f t="shared" si="1294"/>
        <v>0</v>
      </c>
      <c r="AM1586" s="78" t="b">
        <f t="shared" si="1295"/>
        <v>0</v>
      </c>
      <c r="AN1586" s="78" t="b">
        <f t="shared" si="1296"/>
        <v>0</v>
      </c>
      <c r="AO1586" s="78" t="b">
        <f t="shared" si="1297"/>
        <v>0</v>
      </c>
    </row>
    <row r="1587" spans="7:41" x14ac:dyDescent="0.35">
      <c r="G1587" s="77">
        <f t="shared" si="1267"/>
        <v>0</v>
      </c>
      <c r="H1587" s="78">
        <f t="shared" si="1268"/>
        <v>0</v>
      </c>
      <c r="I1587" s="77">
        <f t="shared" si="1269"/>
        <v>0</v>
      </c>
      <c r="J1587" s="78">
        <f t="shared" si="1270"/>
        <v>0</v>
      </c>
      <c r="K1587" s="78" t="str">
        <f t="shared" si="1271"/>
        <v>1900-01-00 00:0:00</v>
      </c>
      <c r="L1587" s="78" t="str">
        <f t="shared" si="1272"/>
        <v>1900-01-00 00:0:00</v>
      </c>
      <c r="M1587" s="79">
        <f t="shared" si="1273"/>
        <v>0</v>
      </c>
      <c r="N1587">
        <f t="shared" si="1298"/>
        <v>1</v>
      </c>
      <c r="O1587" t="str">
        <f>IFERROR(_xlfn.XLOOKUP(A1587,HC!A:A,HC!C:C),"")</f>
        <v>Workforce</v>
      </c>
      <c r="R1587" s="78" t="b">
        <f t="shared" si="1274"/>
        <v>0</v>
      </c>
      <c r="S1587" s="78" t="b">
        <f t="shared" si="1275"/>
        <v>0</v>
      </c>
      <c r="T1587" s="78" t="b">
        <f t="shared" si="1276"/>
        <v>0</v>
      </c>
      <c r="U1587" s="78" t="b">
        <f t="shared" si="1277"/>
        <v>0</v>
      </c>
      <c r="V1587" s="78" t="b">
        <f t="shared" si="1278"/>
        <v>0</v>
      </c>
      <c r="W1587" s="78" t="b">
        <f t="shared" si="1279"/>
        <v>0</v>
      </c>
      <c r="X1587" s="78" t="b">
        <f t="shared" si="1280"/>
        <v>0</v>
      </c>
      <c r="Y1587" s="78" t="b">
        <f t="shared" si="1281"/>
        <v>0</v>
      </c>
      <c r="Z1587" s="78" t="b">
        <f t="shared" si="1282"/>
        <v>0</v>
      </c>
      <c r="AA1587" s="78" t="b">
        <f t="shared" si="1283"/>
        <v>0</v>
      </c>
      <c r="AB1587" s="78" t="b">
        <f t="shared" si="1284"/>
        <v>0</v>
      </c>
      <c r="AC1587" s="78" t="b">
        <f t="shared" si="1285"/>
        <v>0</v>
      </c>
      <c r="AD1587" s="78" t="b">
        <f t="shared" si="1286"/>
        <v>0</v>
      </c>
      <c r="AE1587" s="78" t="b">
        <f t="shared" si="1287"/>
        <v>0</v>
      </c>
      <c r="AF1587" s="78" t="b">
        <f t="shared" si="1288"/>
        <v>0</v>
      </c>
      <c r="AG1587" s="78" t="b">
        <f t="shared" si="1289"/>
        <v>0</v>
      </c>
      <c r="AH1587" s="78" t="b">
        <f t="shared" si="1290"/>
        <v>0</v>
      </c>
      <c r="AI1587" s="78" t="b">
        <f t="shared" si="1291"/>
        <v>0</v>
      </c>
      <c r="AJ1587" s="78" t="b">
        <f t="shared" si="1292"/>
        <v>0</v>
      </c>
      <c r="AK1587" s="78" t="b">
        <f t="shared" si="1293"/>
        <v>0</v>
      </c>
      <c r="AL1587" s="78" t="b">
        <f t="shared" si="1294"/>
        <v>0</v>
      </c>
      <c r="AM1587" s="78" t="b">
        <f t="shared" si="1295"/>
        <v>0</v>
      </c>
      <c r="AN1587" s="78" t="b">
        <f t="shared" si="1296"/>
        <v>0</v>
      </c>
      <c r="AO1587" s="78" t="b">
        <f t="shared" si="1297"/>
        <v>0</v>
      </c>
    </row>
    <row r="1588" spans="7:41" x14ac:dyDescent="0.35">
      <c r="G1588" s="77">
        <f t="shared" si="1267"/>
        <v>0</v>
      </c>
      <c r="H1588" s="78">
        <f t="shared" si="1268"/>
        <v>0</v>
      </c>
      <c r="I1588" s="77">
        <f t="shared" si="1269"/>
        <v>0</v>
      </c>
      <c r="J1588" s="78">
        <f t="shared" si="1270"/>
        <v>0</v>
      </c>
      <c r="K1588" s="78" t="str">
        <f t="shared" si="1271"/>
        <v>1900-01-00 00:0:00</v>
      </c>
      <c r="L1588" s="78" t="str">
        <f t="shared" si="1272"/>
        <v>1900-01-00 00:0:00</v>
      </c>
      <c r="M1588" s="79">
        <f t="shared" si="1273"/>
        <v>0</v>
      </c>
      <c r="N1588">
        <f t="shared" si="1298"/>
        <v>1</v>
      </c>
      <c r="O1588" t="str">
        <f>IFERROR(_xlfn.XLOOKUP(A1588,HC!A:A,HC!C:C),"")</f>
        <v>Workforce</v>
      </c>
      <c r="R1588" s="78" t="b">
        <f t="shared" si="1274"/>
        <v>0</v>
      </c>
      <c r="S1588" s="78" t="b">
        <f t="shared" si="1275"/>
        <v>0</v>
      </c>
      <c r="T1588" s="78" t="b">
        <f t="shared" si="1276"/>
        <v>0</v>
      </c>
      <c r="U1588" s="78" t="b">
        <f t="shared" si="1277"/>
        <v>0</v>
      </c>
      <c r="V1588" s="78" t="b">
        <f t="shared" si="1278"/>
        <v>0</v>
      </c>
      <c r="W1588" s="78" t="b">
        <f t="shared" si="1279"/>
        <v>0</v>
      </c>
      <c r="X1588" s="78" t="b">
        <f t="shared" si="1280"/>
        <v>0</v>
      </c>
      <c r="Y1588" s="78" t="b">
        <f t="shared" si="1281"/>
        <v>0</v>
      </c>
      <c r="Z1588" s="78" t="b">
        <f t="shared" si="1282"/>
        <v>0</v>
      </c>
      <c r="AA1588" s="78" t="b">
        <f t="shared" si="1283"/>
        <v>0</v>
      </c>
      <c r="AB1588" s="78" t="b">
        <f t="shared" si="1284"/>
        <v>0</v>
      </c>
      <c r="AC1588" s="78" t="b">
        <f t="shared" si="1285"/>
        <v>0</v>
      </c>
      <c r="AD1588" s="78" t="b">
        <f t="shared" si="1286"/>
        <v>0</v>
      </c>
      <c r="AE1588" s="78" t="b">
        <f t="shared" si="1287"/>
        <v>0</v>
      </c>
      <c r="AF1588" s="78" t="b">
        <f t="shared" si="1288"/>
        <v>0</v>
      </c>
      <c r="AG1588" s="78" t="b">
        <f t="shared" si="1289"/>
        <v>0</v>
      </c>
      <c r="AH1588" s="78" t="b">
        <f t="shared" si="1290"/>
        <v>0</v>
      </c>
      <c r="AI1588" s="78" t="b">
        <f t="shared" si="1291"/>
        <v>0</v>
      </c>
      <c r="AJ1588" s="78" t="b">
        <f t="shared" si="1292"/>
        <v>0</v>
      </c>
      <c r="AK1588" s="78" t="b">
        <f t="shared" si="1293"/>
        <v>0</v>
      </c>
      <c r="AL1588" s="78" t="b">
        <f t="shared" si="1294"/>
        <v>0</v>
      </c>
      <c r="AM1588" s="78" t="b">
        <f t="shared" si="1295"/>
        <v>0</v>
      </c>
      <c r="AN1588" s="78" t="b">
        <f t="shared" si="1296"/>
        <v>0</v>
      </c>
      <c r="AO1588" s="78" t="b">
        <f t="shared" si="1297"/>
        <v>0</v>
      </c>
    </row>
    <row r="1589" spans="7:41" x14ac:dyDescent="0.35">
      <c r="G1589" s="77">
        <f t="shared" si="1267"/>
        <v>0</v>
      </c>
      <c r="H1589" s="78">
        <f t="shared" si="1268"/>
        <v>0</v>
      </c>
      <c r="I1589" s="77">
        <f t="shared" si="1269"/>
        <v>0</v>
      </c>
      <c r="J1589" s="78">
        <f t="shared" si="1270"/>
        <v>0</v>
      </c>
      <c r="K1589" s="78" t="str">
        <f t="shared" si="1271"/>
        <v>1900-01-00 00:0:00</v>
      </c>
      <c r="L1589" s="78" t="str">
        <f t="shared" si="1272"/>
        <v>1900-01-00 00:0:00</v>
      </c>
      <c r="M1589" s="79">
        <f t="shared" si="1273"/>
        <v>0</v>
      </c>
      <c r="N1589">
        <f t="shared" si="1298"/>
        <v>1</v>
      </c>
      <c r="O1589" t="str">
        <f>IFERROR(_xlfn.XLOOKUP(A1589,HC!A:A,HC!C:C),"")</f>
        <v>Workforce</v>
      </c>
      <c r="R1589" s="78" t="b">
        <f t="shared" si="1274"/>
        <v>0</v>
      </c>
      <c r="S1589" s="78" t="b">
        <f t="shared" si="1275"/>
        <v>0</v>
      </c>
      <c r="T1589" s="78" t="b">
        <f t="shared" si="1276"/>
        <v>0</v>
      </c>
      <c r="U1589" s="78" t="b">
        <f t="shared" si="1277"/>
        <v>0</v>
      </c>
      <c r="V1589" s="78" t="b">
        <f t="shared" si="1278"/>
        <v>0</v>
      </c>
      <c r="W1589" s="78" t="b">
        <f t="shared" si="1279"/>
        <v>0</v>
      </c>
      <c r="X1589" s="78" t="b">
        <f t="shared" si="1280"/>
        <v>0</v>
      </c>
      <c r="Y1589" s="78" t="b">
        <f t="shared" si="1281"/>
        <v>0</v>
      </c>
      <c r="Z1589" s="78" t="b">
        <f t="shared" si="1282"/>
        <v>0</v>
      </c>
      <c r="AA1589" s="78" t="b">
        <f t="shared" si="1283"/>
        <v>0</v>
      </c>
      <c r="AB1589" s="78" t="b">
        <f t="shared" si="1284"/>
        <v>0</v>
      </c>
      <c r="AC1589" s="78" t="b">
        <f t="shared" si="1285"/>
        <v>0</v>
      </c>
      <c r="AD1589" s="78" t="b">
        <f t="shared" si="1286"/>
        <v>0</v>
      </c>
      <c r="AE1589" s="78" t="b">
        <f t="shared" si="1287"/>
        <v>0</v>
      </c>
      <c r="AF1589" s="78" t="b">
        <f t="shared" si="1288"/>
        <v>0</v>
      </c>
      <c r="AG1589" s="78" t="b">
        <f t="shared" si="1289"/>
        <v>0</v>
      </c>
      <c r="AH1589" s="78" t="b">
        <f t="shared" si="1290"/>
        <v>0</v>
      </c>
      <c r="AI1589" s="78" t="b">
        <f t="shared" si="1291"/>
        <v>0</v>
      </c>
      <c r="AJ1589" s="78" t="b">
        <f t="shared" si="1292"/>
        <v>0</v>
      </c>
      <c r="AK1589" s="78" t="b">
        <f t="shared" si="1293"/>
        <v>0</v>
      </c>
      <c r="AL1589" s="78" t="b">
        <f t="shared" si="1294"/>
        <v>0</v>
      </c>
      <c r="AM1589" s="78" t="b">
        <f t="shared" si="1295"/>
        <v>0</v>
      </c>
      <c r="AN1589" s="78" t="b">
        <f t="shared" si="1296"/>
        <v>0</v>
      </c>
      <c r="AO1589" s="78" t="b">
        <f t="shared" si="1297"/>
        <v>0</v>
      </c>
    </row>
    <row r="1590" spans="7:41" x14ac:dyDescent="0.35">
      <c r="G1590" s="77">
        <f t="shared" si="1267"/>
        <v>0</v>
      </c>
      <c r="H1590" s="78">
        <f t="shared" si="1268"/>
        <v>0</v>
      </c>
      <c r="I1590" s="77">
        <f t="shared" si="1269"/>
        <v>0</v>
      </c>
      <c r="J1590" s="78">
        <f t="shared" si="1270"/>
        <v>0</v>
      </c>
      <c r="K1590" s="78" t="str">
        <f t="shared" si="1271"/>
        <v>1900-01-00 00:0:00</v>
      </c>
      <c r="L1590" s="78" t="str">
        <f t="shared" si="1272"/>
        <v>1900-01-00 00:0:00</v>
      </c>
      <c r="M1590" s="79">
        <f t="shared" si="1273"/>
        <v>0</v>
      </c>
      <c r="N1590">
        <f t="shared" si="1298"/>
        <v>1</v>
      </c>
      <c r="O1590" t="str">
        <f>IFERROR(_xlfn.XLOOKUP(A1590,HC!A:A,HC!C:C),"")</f>
        <v>Workforce</v>
      </c>
      <c r="R1590" s="78" t="b">
        <f t="shared" si="1274"/>
        <v>0</v>
      </c>
      <c r="S1590" s="78" t="b">
        <f t="shared" si="1275"/>
        <v>0</v>
      </c>
      <c r="T1590" s="78" t="b">
        <f t="shared" si="1276"/>
        <v>0</v>
      </c>
      <c r="U1590" s="78" t="b">
        <f t="shared" si="1277"/>
        <v>0</v>
      </c>
      <c r="V1590" s="78" t="b">
        <f t="shared" si="1278"/>
        <v>0</v>
      </c>
      <c r="W1590" s="78" t="b">
        <f t="shared" si="1279"/>
        <v>0</v>
      </c>
      <c r="X1590" s="78" t="b">
        <f t="shared" si="1280"/>
        <v>0</v>
      </c>
      <c r="Y1590" s="78" t="b">
        <f t="shared" si="1281"/>
        <v>0</v>
      </c>
      <c r="Z1590" s="78" t="b">
        <f t="shared" si="1282"/>
        <v>0</v>
      </c>
      <c r="AA1590" s="78" t="b">
        <f t="shared" si="1283"/>
        <v>0</v>
      </c>
      <c r="AB1590" s="78" t="b">
        <f t="shared" si="1284"/>
        <v>0</v>
      </c>
      <c r="AC1590" s="78" t="b">
        <f t="shared" si="1285"/>
        <v>0</v>
      </c>
      <c r="AD1590" s="78" t="b">
        <f t="shared" si="1286"/>
        <v>0</v>
      </c>
      <c r="AE1590" s="78" t="b">
        <f t="shared" si="1287"/>
        <v>0</v>
      </c>
      <c r="AF1590" s="78" t="b">
        <f t="shared" si="1288"/>
        <v>0</v>
      </c>
      <c r="AG1590" s="78" t="b">
        <f t="shared" si="1289"/>
        <v>0</v>
      </c>
      <c r="AH1590" s="78" t="b">
        <f t="shared" si="1290"/>
        <v>0</v>
      </c>
      <c r="AI1590" s="78" t="b">
        <f t="shared" si="1291"/>
        <v>0</v>
      </c>
      <c r="AJ1590" s="78" t="b">
        <f t="shared" si="1292"/>
        <v>0</v>
      </c>
      <c r="AK1590" s="78" t="b">
        <f t="shared" si="1293"/>
        <v>0</v>
      </c>
      <c r="AL1590" s="78" t="b">
        <f t="shared" si="1294"/>
        <v>0</v>
      </c>
      <c r="AM1590" s="78" t="b">
        <f t="shared" si="1295"/>
        <v>0</v>
      </c>
      <c r="AN1590" s="78" t="b">
        <f t="shared" si="1296"/>
        <v>0</v>
      </c>
      <c r="AO1590" s="78" t="b">
        <f t="shared" si="1297"/>
        <v>0</v>
      </c>
    </row>
    <row r="1591" spans="7:41" x14ac:dyDescent="0.35">
      <c r="G1591" s="77">
        <f t="shared" si="1267"/>
        <v>0</v>
      </c>
      <c r="H1591" s="78">
        <f t="shared" si="1268"/>
        <v>0</v>
      </c>
      <c r="I1591" s="77">
        <f t="shared" si="1269"/>
        <v>0</v>
      </c>
      <c r="J1591" s="78">
        <f t="shared" si="1270"/>
        <v>0</v>
      </c>
      <c r="K1591" s="78" t="str">
        <f t="shared" si="1271"/>
        <v>1900-01-00 00:0:00</v>
      </c>
      <c r="L1591" s="78" t="str">
        <f t="shared" si="1272"/>
        <v>1900-01-00 00:0:00</v>
      </c>
      <c r="M1591" s="79">
        <f t="shared" si="1273"/>
        <v>0</v>
      </c>
      <c r="N1591">
        <f t="shared" si="1298"/>
        <v>1</v>
      </c>
      <c r="O1591" t="str">
        <f>IFERROR(_xlfn.XLOOKUP(A1591,HC!A:A,HC!C:C),"")</f>
        <v>Workforce</v>
      </c>
      <c r="R1591" s="78" t="b">
        <f t="shared" si="1274"/>
        <v>0</v>
      </c>
      <c r="S1591" s="78" t="b">
        <f t="shared" si="1275"/>
        <v>0</v>
      </c>
      <c r="T1591" s="78" t="b">
        <f t="shared" si="1276"/>
        <v>0</v>
      </c>
      <c r="U1591" s="78" t="b">
        <f t="shared" si="1277"/>
        <v>0</v>
      </c>
      <c r="V1591" s="78" t="b">
        <f t="shared" si="1278"/>
        <v>0</v>
      </c>
      <c r="W1591" s="78" t="b">
        <f t="shared" si="1279"/>
        <v>0</v>
      </c>
      <c r="X1591" s="78" t="b">
        <f t="shared" si="1280"/>
        <v>0</v>
      </c>
      <c r="Y1591" s="78" t="b">
        <f t="shared" si="1281"/>
        <v>0</v>
      </c>
      <c r="Z1591" s="78" t="b">
        <f t="shared" si="1282"/>
        <v>0</v>
      </c>
      <c r="AA1591" s="78" t="b">
        <f t="shared" si="1283"/>
        <v>0</v>
      </c>
      <c r="AB1591" s="78" t="b">
        <f t="shared" si="1284"/>
        <v>0</v>
      </c>
      <c r="AC1591" s="78" t="b">
        <f t="shared" si="1285"/>
        <v>0</v>
      </c>
      <c r="AD1591" s="78" t="b">
        <f t="shared" si="1286"/>
        <v>0</v>
      </c>
      <c r="AE1591" s="78" t="b">
        <f t="shared" si="1287"/>
        <v>0</v>
      </c>
      <c r="AF1591" s="78" t="b">
        <f t="shared" si="1288"/>
        <v>0</v>
      </c>
      <c r="AG1591" s="78" t="b">
        <f t="shared" si="1289"/>
        <v>0</v>
      </c>
      <c r="AH1591" s="78" t="b">
        <f t="shared" si="1290"/>
        <v>0</v>
      </c>
      <c r="AI1591" s="78" t="b">
        <f t="shared" si="1291"/>
        <v>0</v>
      </c>
      <c r="AJ1591" s="78" t="b">
        <f t="shared" si="1292"/>
        <v>0</v>
      </c>
      <c r="AK1591" s="78" t="b">
        <f t="shared" si="1293"/>
        <v>0</v>
      </c>
      <c r="AL1591" s="78" t="b">
        <f t="shared" si="1294"/>
        <v>0</v>
      </c>
      <c r="AM1591" s="78" t="b">
        <f t="shared" si="1295"/>
        <v>0</v>
      </c>
      <c r="AN1591" s="78" t="b">
        <f t="shared" si="1296"/>
        <v>0</v>
      </c>
      <c r="AO1591" s="78" t="b">
        <f t="shared" si="1297"/>
        <v>0</v>
      </c>
    </row>
    <row r="1592" spans="7:41" x14ac:dyDescent="0.35">
      <c r="G1592" s="77">
        <f t="shared" si="1267"/>
        <v>0</v>
      </c>
      <c r="H1592" s="78">
        <f t="shared" si="1268"/>
        <v>0</v>
      </c>
      <c r="I1592" s="77">
        <f t="shared" si="1269"/>
        <v>0</v>
      </c>
      <c r="J1592" s="78">
        <f t="shared" si="1270"/>
        <v>0</v>
      </c>
      <c r="K1592" s="78" t="str">
        <f t="shared" si="1271"/>
        <v>1900-01-00 00:0:00</v>
      </c>
      <c r="L1592" s="78" t="str">
        <f t="shared" si="1272"/>
        <v>1900-01-00 00:0:00</v>
      </c>
      <c r="M1592" s="79">
        <f t="shared" si="1273"/>
        <v>0</v>
      </c>
      <c r="N1592">
        <f t="shared" si="1298"/>
        <v>1</v>
      </c>
      <c r="O1592" t="str">
        <f>IFERROR(_xlfn.XLOOKUP(A1592,HC!A:A,HC!C:C),"")</f>
        <v>Workforce</v>
      </c>
      <c r="R1592" s="78" t="b">
        <f t="shared" si="1274"/>
        <v>0</v>
      </c>
      <c r="S1592" s="78" t="b">
        <f t="shared" si="1275"/>
        <v>0</v>
      </c>
      <c r="T1592" s="78" t="b">
        <f t="shared" si="1276"/>
        <v>0</v>
      </c>
      <c r="U1592" s="78" t="b">
        <f t="shared" si="1277"/>
        <v>0</v>
      </c>
      <c r="V1592" s="78" t="b">
        <f t="shared" si="1278"/>
        <v>0</v>
      </c>
      <c r="W1592" s="78" t="b">
        <f t="shared" si="1279"/>
        <v>0</v>
      </c>
      <c r="X1592" s="78" t="b">
        <f t="shared" si="1280"/>
        <v>0</v>
      </c>
      <c r="Y1592" s="78" t="b">
        <f t="shared" si="1281"/>
        <v>0</v>
      </c>
      <c r="Z1592" s="78" t="b">
        <f t="shared" si="1282"/>
        <v>0</v>
      </c>
      <c r="AA1592" s="78" t="b">
        <f t="shared" si="1283"/>
        <v>0</v>
      </c>
      <c r="AB1592" s="78" t="b">
        <f t="shared" si="1284"/>
        <v>0</v>
      </c>
      <c r="AC1592" s="78" t="b">
        <f t="shared" si="1285"/>
        <v>0</v>
      </c>
      <c r="AD1592" s="78" t="b">
        <f t="shared" si="1286"/>
        <v>0</v>
      </c>
      <c r="AE1592" s="78" t="b">
        <f t="shared" si="1287"/>
        <v>0</v>
      </c>
      <c r="AF1592" s="78" t="b">
        <f t="shared" si="1288"/>
        <v>0</v>
      </c>
      <c r="AG1592" s="78" t="b">
        <f t="shared" si="1289"/>
        <v>0</v>
      </c>
      <c r="AH1592" s="78" t="b">
        <f t="shared" si="1290"/>
        <v>0</v>
      </c>
      <c r="AI1592" s="78" t="b">
        <f t="shared" si="1291"/>
        <v>0</v>
      </c>
      <c r="AJ1592" s="78" t="b">
        <f t="shared" si="1292"/>
        <v>0</v>
      </c>
      <c r="AK1592" s="78" t="b">
        <f t="shared" si="1293"/>
        <v>0</v>
      </c>
      <c r="AL1592" s="78" t="b">
        <f t="shared" si="1294"/>
        <v>0</v>
      </c>
      <c r="AM1592" s="78" t="b">
        <f t="shared" si="1295"/>
        <v>0</v>
      </c>
      <c r="AN1592" s="78" t="b">
        <f t="shared" si="1296"/>
        <v>0</v>
      </c>
      <c r="AO1592" s="78" t="b">
        <f t="shared" si="1297"/>
        <v>0</v>
      </c>
    </row>
    <row r="1593" spans="7:41" x14ac:dyDescent="0.35">
      <c r="G1593" s="77">
        <f t="shared" si="1267"/>
        <v>0</v>
      </c>
      <c r="H1593" s="78">
        <f t="shared" si="1268"/>
        <v>0</v>
      </c>
      <c r="I1593" s="77">
        <f t="shared" si="1269"/>
        <v>0</v>
      </c>
      <c r="J1593" s="78">
        <f t="shared" si="1270"/>
        <v>0</v>
      </c>
      <c r="K1593" s="78" t="str">
        <f t="shared" si="1271"/>
        <v>1900-01-00 00:0:00</v>
      </c>
      <c r="L1593" s="78" t="str">
        <f t="shared" si="1272"/>
        <v>1900-01-00 00:0:00</v>
      </c>
      <c r="M1593" s="79">
        <f t="shared" si="1273"/>
        <v>0</v>
      </c>
      <c r="N1593">
        <f t="shared" si="1298"/>
        <v>1</v>
      </c>
      <c r="O1593" t="str">
        <f>IFERROR(_xlfn.XLOOKUP(A1593,HC!A:A,HC!C:C),"")</f>
        <v>Workforce</v>
      </c>
      <c r="R1593" s="78" t="b">
        <f t="shared" si="1274"/>
        <v>0</v>
      </c>
      <c r="S1593" s="78" t="b">
        <f t="shared" si="1275"/>
        <v>0</v>
      </c>
      <c r="T1593" s="78" t="b">
        <f t="shared" si="1276"/>
        <v>0</v>
      </c>
      <c r="U1593" s="78" t="b">
        <f t="shared" si="1277"/>
        <v>0</v>
      </c>
      <c r="V1593" s="78" t="b">
        <f t="shared" si="1278"/>
        <v>0</v>
      </c>
      <c r="W1593" s="78" t="b">
        <f t="shared" si="1279"/>
        <v>0</v>
      </c>
      <c r="X1593" s="78" t="b">
        <f t="shared" si="1280"/>
        <v>0</v>
      </c>
      <c r="Y1593" s="78" t="b">
        <f t="shared" si="1281"/>
        <v>0</v>
      </c>
      <c r="Z1593" s="78" t="b">
        <f t="shared" si="1282"/>
        <v>0</v>
      </c>
      <c r="AA1593" s="78" t="b">
        <f t="shared" si="1283"/>
        <v>0</v>
      </c>
      <c r="AB1593" s="78" t="b">
        <f t="shared" si="1284"/>
        <v>0</v>
      </c>
      <c r="AC1593" s="78" t="b">
        <f t="shared" si="1285"/>
        <v>0</v>
      </c>
      <c r="AD1593" s="78" t="b">
        <f t="shared" si="1286"/>
        <v>0</v>
      </c>
      <c r="AE1593" s="78" t="b">
        <f t="shared" si="1287"/>
        <v>0</v>
      </c>
      <c r="AF1593" s="78" t="b">
        <f t="shared" si="1288"/>
        <v>0</v>
      </c>
      <c r="AG1593" s="78" t="b">
        <f t="shared" si="1289"/>
        <v>0</v>
      </c>
      <c r="AH1593" s="78" t="b">
        <f t="shared" si="1290"/>
        <v>0</v>
      </c>
      <c r="AI1593" s="78" t="b">
        <f t="shared" si="1291"/>
        <v>0</v>
      </c>
      <c r="AJ1593" s="78" t="b">
        <f t="shared" si="1292"/>
        <v>0</v>
      </c>
      <c r="AK1593" s="78" t="b">
        <f t="shared" si="1293"/>
        <v>0</v>
      </c>
      <c r="AL1593" s="78" t="b">
        <f t="shared" si="1294"/>
        <v>0</v>
      </c>
      <c r="AM1593" s="78" t="b">
        <f t="shared" si="1295"/>
        <v>0</v>
      </c>
      <c r="AN1593" s="78" t="b">
        <f t="shared" si="1296"/>
        <v>0</v>
      </c>
      <c r="AO1593" s="78" t="b">
        <f t="shared" si="1297"/>
        <v>0</v>
      </c>
    </row>
    <row r="1594" spans="7:41" x14ac:dyDescent="0.35">
      <c r="G1594" s="77">
        <f t="shared" ref="G1594:G1657" si="1299">INT(D1594)</f>
        <v>0</v>
      </c>
      <c r="H1594" s="78">
        <f t="shared" ref="H1594:H1657" si="1300">D1594-G1594</f>
        <v>0</v>
      </c>
      <c r="I1594" s="77">
        <f t="shared" ref="I1594:I1657" si="1301">INT(E1594)</f>
        <v>0</v>
      </c>
      <c r="J1594" s="78">
        <f t="shared" ref="J1594:J1657" si="1302">E1594-I1594</f>
        <v>0</v>
      </c>
      <c r="K1594" s="78" t="str">
        <f t="shared" ref="K1594:K1657" si="1303">TEXT(G1594+H1594,"yyyy-mm-dd hh:m:ss")</f>
        <v>1900-01-00 00:0:00</v>
      </c>
      <c r="L1594" s="78" t="str">
        <f t="shared" ref="L1594:L1657" si="1304">TEXT(I1594+J1594,"yyyy-mm-dd hh:m:ss")</f>
        <v>1900-01-00 00:0:00</v>
      </c>
      <c r="M1594" s="79">
        <f t="shared" ref="M1594:M1657" si="1305">E1594-D1594</f>
        <v>0</v>
      </c>
      <c r="N1594">
        <f t="shared" si="1298"/>
        <v>1</v>
      </c>
      <c r="O1594" t="str">
        <f>IFERROR(_xlfn.XLOOKUP(A1594,HC!A:A,HC!C:C),"")</f>
        <v>Workforce</v>
      </c>
      <c r="R1594" s="78" t="b">
        <f t="shared" si="1274"/>
        <v>0</v>
      </c>
      <c r="S1594" s="78" t="b">
        <f t="shared" si="1275"/>
        <v>0</v>
      </c>
      <c r="T1594" s="78" t="b">
        <f t="shared" si="1276"/>
        <v>0</v>
      </c>
      <c r="U1594" s="78" t="b">
        <f t="shared" si="1277"/>
        <v>0</v>
      </c>
      <c r="V1594" s="78" t="b">
        <f t="shared" si="1278"/>
        <v>0</v>
      </c>
      <c r="W1594" s="78" t="b">
        <f t="shared" si="1279"/>
        <v>0</v>
      </c>
      <c r="X1594" s="78" t="b">
        <f t="shared" si="1280"/>
        <v>0</v>
      </c>
      <c r="Y1594" s="78" t="b">
        <f t="shared" si="1281"/>
        <v>0</v>
      </c>
      <c r="Z1594" s="78" t="b">
        <f t="shared" si="1282"/>
        <v>0</v>
      </c>
      <c r="AA1594" s="78" t="b">
        <f t="shared" si="1283"/>
        <v>0</v>
      </c>
      <c r="AB1594" s="78" t="b">
        <f t="shared" si="1284"/>
        <v>0</v>
      </c>
      <c r="AC1594" s="78" t="b">
        <f t="shared" si="1285"/>
        <v>0</v>
      </c>
      <c r="AD1594" s="78" t="b">
        <f t="shared" si="1286"/>
        <v>0</v>
      </c>
      <c r="AE1594" s="78" t="b">
        <f t="shared" si="1287"/>
        <v>0</v>
      </c>
      <c r="AF1594" s="78" t="b">
        <f t="shared" si="1288"/>
        <v>0</v>
      </c>
      <c r="AG1594" s="78" t="b">
        <f t="shared" si="1289"/>
        <v>0</v>
      </c>
      <c r="AH1594" s="78" t="b">
        <f t="shared" si="1290"/>
        <v>0</v>
      </c>
      <c r="AI1594" s="78" t="b">
        <f t="shared" si="1291"/>
        <v>0</v>
      </c>
      <c r="AJ1594" s="78" t="b">
        <f t="shared" si="1292"/>
        <v>0</v>
      </c>
      <c r="AK1594" s="78" t="b">
        <f t="shared" si="1293"/>
        <v>0</v>
      </c>
      <c r="AL1594" s="78" t="b">
        <f t="shared" si="1294"/>
        <v>0</v>
      </c>
      <c r="AM1594" s="78" t="b">
        <f t="shared" si="1295"/>
        <v>0</v>
      </c>
      <c r="AN1594" s="78" t="b">
        <f t="shared" si="1296"/>
        <v>0</v>
      </c>
      <c r="AO1594" s="78" t="b">
        <f t="shared" si="1297"/>
        <v>0</v>
      </c>
    </row>
    <row r="1595" spans="7:41" x14ac:dyDescent="0.35">
      <c r="G1595" s="77">
        <f t="shared" si="1299"/>
        <v>0</v>
      </c>
      <c r="H1595" s="78">
        <f t="shared" si="1300"/>
        <v>0</v>
      </c>
      <c r="I1595" s="77">
        <f t="shared" si="1301"/>
        <v>0</v>
      </c>
      <c r="J1595" s="78">
        <f t="shared" si="1302"/>
        <v>0</v>
      </c>
      <c r="K1595" s="78" t="str">
        <f t="shared" si="1303"/>
        <v>1900-01-00 00:0:00</v>
      </c>
      <c r="L1595" s="78" t="str">
        <f t="shared" si="1304"/>
        <v>1900-01-00 00:0:00</v>
      </c>
      <c r="M1595" s="79">
        <f t="shared" si="1305"/>
        <v>0</v>
      </c>
      <c r="N1595">
        <f t="shared" si="1298"/>
        <v>1</v>
      </c>
      <c r="O1595" t="str">
        <f>IFERROR(_xlfn.XLOOKUP(A1595,HC!A:A,HC!C:C),"")</f>
        <v>Workforce</v>
      </c>
      <c r="R1595" s="78" t="b">
        <f t="shared" si="1274"/>
        <v>0</v>
      </c>
      <c r="S1595" s="78" t="b">
        <f t="shared" si="1275"/>
        <v>0</v>
      </c>
      <c r="T1595" s="78" t="b">
        <f t="shared" si="1276"/>
        <v>0</v>
      </c>
      <c r="U1595" s="78" t="b">
        <f t="shared" si="1277"/>
        <v>0</v>
      </c>
      <c r="V1595" s="78" t="b">
        <f t="shared" si="1278"/>
        <v>0</v>
      </c>
      <c r="W1595" s="78" t="b">
        <f t="shared" si="1279"/>
        <v>0</v>
      </c>
      <c r="X1595" s="78" t="b">
        <f t="shared" si="1280"/>
        <v>0</v>
      </c>
      <c r="Y1595" s="78" t="b">
        <f t="shared" si="1281"/>
        <v>0</v>
      </c>
      <c r="Z1595" s="78" t="b">
        <f t="shared" si="1282"/>
        <v>0</v>
      </c>
      <c r="AA1595" s="78" t="b">
        <f t="shared" si="1283"/>
        <v>0</v>
      </c>
      <c r="AB1595" s="78" t="b">
        <f t="shared" si="1284"/>
        <v>0</v>
      </c>
      <c r="AC1595" s="78" t="b">
        <f t="shared" si="1285"/>
        <v>0</v>
      </c>
      <c r="AD1595" s="78" t="b">
        <f t="shared" si="1286"/>
        <v>0</v>
      </c>
      <c r="AE1595" s="78" t="b">
        <f t="shared" si="1287"/>
        <v>0</v>
      </c>
      <c r="AF1595" s="78" t="b">
        <f t="shared" si="1288"/>
        <v>0</v>
      </c>
      <c r="AG1595" s="78" t="b">
        <f t="shared" si="1289"/>
        <v>0</v>
      </c>
      <c r="AH1595" s="78" t="b">
        <f t="shared" si="1290"/>
        <v>0</v>
      </c>
      <c r="AI1595" s="78" t="b">
        <f t="shared" si="1291"/>
        <v>0</v>
      </c>
      <c r="AJ1595" s="78" t="b">
        <f t="shared" si="1292"/>
        <v>0</v>
      </c>
      <c r="AK1595" s="78" t="b">
        <f t="shared" si="1293"/>
        <v>0</v>
      </c>
      <c r="AL1595" s="78" t="b">
        <f t="shared" si="1294"/>
        <v>0</v>
      </c>
      <c r="AM1595" s="78" t="b">
        <f t="shared" si="1295"/>
        <v>0</v>
      </c>
      <c r="AN1595" s="78" t="b">
        <f t="shared" si="1296"/>
        <v>0</v>
      </c>
      <c r="AO1595" s="78" t="b">
        <f t="shared" si="1297"/>
        <v>0</v>
      </c>
    </row>
    <row r="1596" spans="7:41" x14ac:dyDescent="0.35">
      <c r="G1596" s="77">
        <f t="shared" si="1299"/>
        <v>0</v>
      </c>
      <c r="H1596" s="78">
        <f t="shared" si="1300"/>
        <v>0</v>
      </c>
      <c r="I1596" s="77">
        <f t="shared" si="1301"/>
        <v>0</v>
      </c>
      <c r="J1596" s="78">
        <f t="shared" si="1302"/>
        <v>0</v>
      </c>
      <c r="K1596" s="78" t="str">
        <f t="shared" si="1303"/>
        <v>1900-01-00 00:0:00</v>
      </c>
      <c r="L1596" s="78" t="str">
        <f t="shared" si="1304"/>
        <v>1900-01-00 00:0:00</v>
      </c>
      <c r="M1596" s="79">
        <f t="shared" si="1305"/>
        <v>0</v>
      </c>
      <c r="N1596">
        <f t="shared" si="1298"/>
        <v>1</v>
      </c>
      <c r="O1596" t="str">
        <f>IFERROR(_xlfn.XLOOKUP(A1596,HC!A:A,HC!C:C),"")</f>
        <v>Workforce</v>
      </c>
      <c r="R1596" s="78" t="b">
        <f t="shared" ref="R1596:R1659" si="1306">IFERROR(IF($B1596=$D$1,IF(AND($K1596&lt;R$1,$L1596&lt;R$1),"",IF(AND($K1596&gt;S$1,$L1596&gt;S$1),"",IF(AND($K1596&lt;R$1,$L1596&lt;=S$1),$L1596-R$1,IF(AND($K1596&gt;=R$1,$L1596&gt;S$1),S$1-$K1596,IF(AND($K1596&gt;=R$1,$L1596&lt;=S$1),$L1596-$K1596,IF(AND($K1596&lt;R$1,$L1596&gt;S$1),S$1-R$1,""))))))),"")</f>
        <v>0</v>
      </c>
      <c r="S1596" s="78" t="b">
        <f t="shared" ref="S1596:S1659" si="1307">IFERROR(IF($B1596=$D$1,IF(AND($K1596&lt;S$1,$L1596&lt;S$1),"",IF(AND($K1596&gt;T$1,$L1596&gt;T$1),"",IF(AND($K1596&lt;S$1,$L1596&lt;=T$1),$L1596-S$1,IF(AND($K1596&gt;=S$1,$L1596&gt;T$1),T$1-$K1596,IF(AND($K1596&gt;=S$1,$L1596&lt;=T$1),$L1596-$K1596,IF(AND($K1596&lt;S$1,$L1596&gt;T$1),T$1-S$1,""))))))),"")</f>
        <v>0</v>
      </c>
      <c r="T1596" s="78" t="b">
        <f t="shared" ref="T1596:T1659" si="1308">IFERROR(IF($B1596=$D$1,IF(AND($K1596&lt;T$1,$L1596&lt;T$1),"",IF(AND($K1596&gt;U$1,$L1596&gt;U$1),"",IF(AND($K1596&lt;T$1,$L1596&lt;=U$1),$L1596-T$1,IF(AND($K1596&gt;=T$1,$L1596&gt;U$1),U$1-$K1596,IF(AND($K1596&gt;=T$1,$L1596&lt;=U$1),$L1596-$K1596,IF(AND($K1596&lt;T$1,$L1596&gt;U$1),U$1-T$1,""))))))),"")</f>
        <v>0</v>
      </c>
      <c r="U1596" s="78" t="b">
        <f t="shared" ref="U1596:U1659" si="1309">IFERROR(IF($B1596=$D$1,IF(AND($K1596&lt;U$1,$L1596&lt;U$1),"",IF(AND($K1596&gt;V$1,$L1596&gt;V$1),"",IF(AND($K1596&lt;U$1,$L1596&lt;=V$1),$L1596-U$1,IF(AND($K1596&gt;=U$1,$L1596&gt;V$1),V$1-$K1596,IF(AND($K1596&gt;=U$1,$L1596&lt;=V$1),$L1596-$K1596,IF(AND($K1596&lt;U$1,$L1596&gt;V$1),V$1-U$1,""))))))),"")</f>
        <v>0</v>
      </c>
      <c r="V1596" s="78" t="b">
        <f t="shared" ref="V1596:V1659" si="1310">IFERROR(IF($B1596=$D$1,IF(AND($K1596&lt;V$1,$L1596&lt;V$1),"",IF(AND($K1596&gt;W$1,$L1596&gt;W$1),"",IF(AND($K1596&lt;V$1,$L1596&lt;=W$1),$L1596-V$1,IF(AND($K1596&gt;=V$1,$L1596&gt;W$1),W$1-$K1596,IF(AND($K1596&gt;=V$1,$L1596&lt;=W$1),$L1596-$K1596,IF(AND($K1596&lt;V$1,$L1596&gt;W$1),W$1-V$1,""))))))),"")</f>
        <v>0</v>
      </c>
      <c r="W1596" s="78" t="b">
        <f t="shared" ref="W1596:W1659" si="1311">IFERROR(IF($B1596=$D$1,IF(AND($K1596&lt;W$1,$L1596&lt;W$1),"",IF(AND($K1596&gt;X$1,$L1596&gt;X$1),"",IF(AND($K1596&lt;W$1,$L1596&lt;=X$1),$L1596-W$1,IF(AND($K1596&gt;=W$1,$L1596&gt;X$1),X$1-$K1596,IF(AND($K1596&gt;=W$1,$L1596&lt;=X$1),$L1596-$K1596,IF(AND($K1596&lt;W$1,$L1596&gt;X$1),X$1-W$1,""))))))),"")</f>
        <v>0</v>
      </c>
      <c r="X1596" s="78" t="b">
        <f t="shared" ref="X1596:X1659" si="1312">IFERROR(IF($B1596=$D$1,IF(AND($K1596&lt;X$1,$L1596&lt;X$1),"",IF(AND($K1596&gt;Y$1,$L1596&gt;Y$1),"",IF(AND($K1596&lt;X$1,$L1596&lt;=Y$1),$L1596-X$1,IF(AND($K1596&gt;=X$1,$L1596&gt;Y$1),Y$1-$K1596,IF(AND($K1596&gt;=X$1,$L1596&lt;=Y$1),$L1596-$K1596,IF(AND($K1596&lt;X$1,$L1596&gt;Y$1),Y$1-X$1,""))))))),"")</f>
        <v>0</v>
      </c>
      <c r="Y1596" s="78" t="b">
        <f t="shared" ref="Y1596:Y1659" si="1313">IFERROR(IF($B1596=$D$1,IF(AND($K1596&lt;Y$1,$L1596&lt;Y$1),"",IF(AND($K1596&gt;Z$1,$L1596&gt;Z$1),"",IF(AND($K1596&lt;Y$1,$L1596&lt;=Z$1),$L1596-Y$1,IF(AND($K1596&gt;=Y$1,$L1596&gt;Z$1),Z$1-$K1596,IF(AND($K1596&gt;=Y$1,$L1596&lt;=Z$1),$L1596-$K1596,IF(AND($K1596&lt;Y$1,$L1596&gt;Z$1),Z$1-Y$1,""))))))),"")</f>
        <v>0</v>
      </c>
      <c r="Z1596" s="78" t="b">
        <f t="shared" ref="Z1596:Z1659" si="1314">IFERROR(IF($B1596=$D$1,IF(AND($K1596&lt;Z$1,$L1596&lt;Z$1),"",IF(AND($K1596&gt;AA$1,$L1596&gt;AA$1),"",IF(AND($K1596&lt;Z$1,$L1596&lt;=AA$1),$L1596-Z$1,IF(AND($K1596&gt;=Z$1,$L1596&gt;AA$1),AA$1-$K1596,IF(AND($K1596&gt;=Z$1,$L1596&lt;=AA$1),$L1596-$K1596,IF(AND($K1596&lt;Z$1,$L1596&gt;AA$1),AA$1-Z$1,""))))))),"")</f>
        <v>0</v>
      </c>
      <c r="AA1596" s="78" t="b">
        <f t="shared" ref="AA1596:AA1659" si="1315">IFERROR(IF($B1596=$D$1,IF(AND($K1596&lt;AA$1,$L1596&lt;AA$1),"",IF(AND($K1596&gt;AB$1,$L1596&gt;AB$1),"",IF(AND($K1596&lt;AA$1,$L1596&lt;=AB$1),$L1596-AA$1,IF(AND($K1596&gt;=AA$1,$L1596&gt;AB$1),AB$1-$K1596,IF(AND($K1596&gt;=AA$1,$L1596&lt;=AB$1),$L1596-$K1596,IF(AND($K1596&lt;AA$1,$L1596&gt;AB$1),AB$1-AA$1,""))))))),"")</f>
        <v>0</v>
      </c>
      <c r="AB1596" s="78" t="b">
        <f t="shared" ref="AB1596:AB1659" si="1316">IFERROR(IF($B1596=$D$1,IF(AND($K1596&lt;AB$1,$L1596&lt;AB$1),"",IF(AND($K1596&gt;AC$1,$L1596&gt;AC$1),"",IF(AND($K1596&lt;AB$1,$L1596&lt;=AC$1),$L1596-AB$1,IF(AND($K1596&gt;=AB$1,$L1596&gt;AC$1),AC$1-$K1596,IF(AND($K1596&gt;=AB$1,$L1596&lt;=AC$1),$L1596-$K1596,IF(AND($K1596&lt;AB$1,$L1596&gt;AC$1),AC$1-AB$1,""))))))),"")</f>
        <v>0</v>
      </c>
      <c r="AC1596" s="78" t="b">
        <f t="shared" ref="AC1596:AC1659" si="1317">IFERROR(IF($B1596=$D$1,IF(AND($K1596&lt;AC$1,$L1596&lt;AC$1),"",IF(AND($K1596&gt;AD$1,$L1596&gt;AD$1),"",IF(AND($K1596&lt;AC$1,$L1596&lt;=AD$1),$L1596-AC$1,IF(AND($K1596&gt;=AC$1,$L1596&gt;AD$1),AD$1-$K1596,IF(AND($K1596&gt;=AC$1,$L1596&lt;=AD$1),$L1596-$K1596,IF(AND($K1596&lt;AC$1,$L1596&gt;AD$1),AD$1-AC$1,""))))))),"")</f>
        <v>0</v>
      </c>
      <c r="AD1596" s="78" t="b">
        <f t="shared" ref="AD1596:AD1659" si="1318">IFERROR(IF($B1596=$D$1,IF(AND($K1596&lt;AD$1,$L1596&lt;AD$1),"",IF(AND($K1596&gt;AE$1,$L1596&gt;AE$1),"",IF(AND($K1596&lt;AD$1,$L1596&lt;=AE$1),$L1596-AD$1,IF(AND($K1596&gt;=AD$1,$L1596&gt;AE$1),AE$1-$K1596,IF(AND($K1596&gt;=AD$1,$L1596&lt;=AE$1),$L1596-$K1596,IF(AND($K1596&lt;AD$1,$L1596&gt;AE$1),AE$1-AD$1,""))))))),"")</f>
        <v>0</v>
      </c>
      <c r="AE1596" s="78" t="b">
        <f t="shared" ref="AE1596:AE1659" si="1319">IFERROR(IF($B1596=$D$1,IF(AND($K1596&lt;AE$1,$L1596&lt;AE$1),"",IF(AND($K1596&gt;AF$1,$L1596&gt;AF$1),"",IF(AND($K1596&lt;AE$1,$L1596&lt;=AF$1),$L1596-AE$1,IF(AND($K1596&gt;=AE$1,$L1596&gt;AF$1),AF$1-$K1596,IF(AND($K1596&gt;=AE$1,$L1596&lt;=AF$1),$L1596-$K1596,IF(AND($K1596&lt;AE$1,$L1596&gt;AF$1),AF$1-AE$1,""))))))),"")</f>
        <v>0</v>
      </c>
      <c r="AF1596" s="78" t="b">
        <f t="shared" ref="AF1596:AF1659" si="1320">IFERROR(IF($B1596=$D$1,IF(AND($K1596&lt;AF$1,$L1596&lt;AF$1),"",IF(AND($K1596&gt;AG$1,$L1596&gt;AG$1),"",IF(AND($K1596&lt;AF$1,$L1596&lt;=AG$1),$L1596-AF$1,IF(AND($K1596&gt;=AF$1,$L1596&gt;AG$1),AG$1-$K1596,IF(AND($K1596&gt;=AF$1,$L1596&lt;=AG$1),$L1596-$K1596,IF(AND($K1596&lt;AF$1,$L1596&gt;AG$1),AG$1-AF$1,""))))))),"")</f>
        <v>0</v>
      </c>
      <c r="AG1596" s="78" t="b">
        <f t="shared" ref="AG1596:AG1659" si="1321">IFERROR(IF($B1596=$D$1,IF(AND($K1596&lt;AG$1,$L1596&lt;AG$1),"",IF(AND($K1596&gt;AH$1,$L1596&gt;AH$1),"",IF(AND($K1596&lt;AG$1,$L1596&lt;=AH$1),$L1596-AG$1,IF(AND($K1596&gt;=AG$1,$L1596&gt;AH$1),AH$1-$K1596,IF(AND($K1596&gt;=AG$1,$L1596&lt;=AH$1),$L1596-$K1596,IF(AND($K1596&lt;AG$1,$L1596&gt;AH$1),AH$1-AG$1,""))))))),"")</f>
        <v>0</v>
      </c>
      <c r="AH1596" s="78" t="b">
        <f t="shared" ref="AH1596:AH1659" si="1322">IFERROR(IF($B1596=$D$1,IF(AND($K1596&lt;AH$1,$L1596&lt;AH$1),"",IF(AND($K1596&gt;AI$1,$L1596&gt;AI$1),"",IF(AND($K1596&lt;AH$1,$L1596&lt;=AI$1),$L1596-AH$1,IF(AND($K1596&gt;=AH$1,$L1596&gt;AI$1),AI$1-$K1596,IF(AND($K1596&gt;=AH$1,$L1596&lt;=AI$1),$L1596-$K1596,IF(AND($K1596&lt;AH$1,$L1596&gt;AI$1),AI$1-AH$1,""))))))),"")</f>
        <v>0</v>
      </c>
      <c r="AI1596" s="78" t="b">
        <f t="shared" ref="AI1596:AI1659" si="1323">IFERROR(IF($B1596=$D$1,IF(AND($K1596&lt;AI$1,$L1596&lt;AI$1),"",IF(AND($K1596&gt;AJ$1,$L1596&gt;AJ$1),"",IF(AND($K1596&lt;AI$1,$L1596&lt;=AJ$1),$L1596-AI$1,IF(AND($K1596&gt;=AI$1,$L1596&gt;AJ$1),AJ$1-$K1596,IF(AND($K1596&gt;=AI$1,$L1596&lt;=AJ$1),$L1596-$K1596,IF(AND($K1596&lt;AI$1,$L1596&gt;AJ$1),AJ$1-AI$1,""))))))),"")</f>
        <v>0</v>
      </c>
      <c r="AJ1596" s="78" t="b">
        <f t="shared" ref="AJ1596:AJ1659" si="1324">IFERROR(IF($B1596=$D$1,IF(AND($K1596&lt;AJ$1,$L1596&lt;AJ$1),"",IF(AND($K1596&gt;AK$1,$L1596&gt;AK$1),"",IF(AND($K1596&lt;AJ$1,$L1596&lt;=AK$1),$L1596-AJ$1,IF(AND($K1596&gt;=AJ$1,$L1596&gt;AK$1),AK$1-$K1596,IF(AND($K1596&gt;=AJ$1,$L1596&lt;=AK$1),$L1596-$K1596,IF(AND($K1596&lt;AJ$1,$L1596&gt;AK$1),AK$1-AJ$1,""))))))),"")</f>
        <v>0</v>
      </c>
      <c r="AK1596" s="78" t="b">
        <f t="shared" ref="AK1596:AK1659" si="1325">IFERROR(IF($B1596=$D$1,IF(AND($K1596&lt;AK$1,$L1596&lt;AK$1),"",IF(AND($K1596&gt;AL$1,$L1596&gt;AL$1),"",IF(AND($K1596&lt;AK$1,$L1596&lt;=AL$1),$L1596-AK$1,IF(AND($K1596&gt;=AK$1,$L1596&gt;AL$1),AL$1-$K1596,IF(AND($K1596&gt;=AK$1,$L1596&lt;=AL$1),$L1596-$K1596,IF(AND($K1596&lt;AK$1,$L1596&gt;AL$1),AL$1-AK$1,""))))))),"")</f>
        <v>0</v>
      </c>
      <c r="AL1596" s="78" t="b">
        <f t="shared" ref="AL1596:AL1659" si="1326">IFERROR(IF($B1596=$D$1,IF(AND($K1596&lt;AL$1,$L1596&lt;AL$1),"",IF(AND($K1596&gt;AM$1,$L1596&gt;AM$1),"",IF(AND($K1596&lt;AL$1,$L1596&lt;=AM$1),$L1596-AL$1,IF(AND($K1596&gt;=AL$1,$L1596&gt;AM$1),AM$1-$K1596,IF(AND($K1596&gt;=AL$1,$L1596&lt;=AM$1),$L1596-$K1596,IF(AND($K1596&lt;AL$1,$L1596&gt;AM$1),AM$1-AL$1,""))))))),"")</f>
        <v>0</v>
      </c>
      <c r="AM1596" s="78" t="b">
        <f t="shared" ref="AM1596:AM1659" si="1327">IFERROR(IF($B1596=$D$1,IF(AND($K1596&lt;AM$1,$L1596&lt;AM$1),"",IF(AND($K1596&gt;AN$1,$L1596&gt;AN$1),"",IF(AND($K1596&lt;AM$1,$L1596&lt;=AN$1),$L1596-AM$1,IF(AND($K1596&gt;=AM$1,$L1596&gt;AN$1),AN$1-$K1596,IF(AND($K1596&gt;=AM$1,$L1596&lt;=AN$1),$L1596-$K1596,IF(AND($K1596&lt;AM$1,$L1596&gt;AN$1),AN$1-AM$1,""))))))),"")</f>
        <v>0</v>
      </c>
      <c r="AN1596" s="78" t="b">
        <f t="shared" ref="AN1596:AN1659" si="1328">IFERROR(IF($B1596=$D$1,IF(AND($K1596&lt;AN$1,$L1596&lt;AN$1),"",IF(AND($K1596&gt;AO$1,$L1596&gt;AO$1),"",IF(AND($K1596&lt;AN$1,$L1596&lt;=AO$1),$L1596-AN$1,IF(AND($K1596&gt;=AN$1,$L1596&gt;AO$1),AO$1-$K1596,IF(AND($K1596&gt;=AN$1,$L1596&lt;=AO$1),$L1596-$K1596,IF(AND($K1596&lt;AN$1,$L1596&gt;AO$1),AO$1-AN$1,""))))))),"")</f>
        <v>0</v>
      </c>
      <c r="AO1596" s="78" t="b">
        <f t="shared" ref="AO1596:AO1659" si="1329">IFERROR(IF($B1596=$D$1,IF(AND($K1596&lt;AO$1,$L1596&lt;AO$1),"",IF(AND($K1596&gt;AP$1,$L1596&gt;AP$1),"",IF(AND($K1596&lt;AO$1,$L1596&lt;=AP$1),$L1596-AO$1,IF(AND($K1596&gt;=AO$1,$L1596&gt;AP$1),AP$1-$K1596,IF(AND($K1596&gt;=AO$1,$L1596&lt;=AP$1),$L1596-$K1596,IF(AND($K1596&lt;AO$1,$L1596&gt;AP$1),AP$1-AO$1,""))))))),"")</f>
        <v>0</v>
      </c>
    </row>
    <row r="1597" spans="7:41" x14ac:dyDescent="0.35">
      <c r="G1597" s="77">
        <f t="shared" si="1299"/>
        <v>0</v>
      </c>
      <c r="H1597" s="78">
        <f t="shared" si="1300"/>
        <v>0</v>
      </c>
      <c r="I1597" s="77">
        <f t="shared" si="1301"/>
        <v>0</v>
      </c>
      <c r="J1597" s="78">
        <f t="shared" si="1302"/>
        <v>0</v>
      </c>
      <c r="K1597" s="78" t="str">
        <f t="shared" si="1303"/>
        <v>1900-01-00 00:0:00</v>
      </c>
      <c r="L1597" s="78" t="str">
        <f t="shared" si="1304"/>
        <v>1900-01-00 00:0:00</v>
      </c>
      <c r="M1597" s="79">
        <f t="shared" si="1305"/>
        <v>0</v>
      </c>
      <c r="N1597">
        <f t="shared" si="1298"/>
        <v>1</v>
      </c>
      <c r="O1597" t="str">
        <f>IFERROR(_xlfn.XLOOKUP(A1597,HC!A:A,HC!C:C),"")</f>
        <v>Workforce</v>
      </c>
      <c r="R1597" s="78" t="b">
        <f t="shared" si="1306"/>
        <v>0</v>
      </c>
      <c r="S1597" s="78" t="b">
        <f t="shared" si="1307"/>
        <v>0</v>
      </c>
      <c r="T1597" s="78" t="b">
        <f t="shared" si="1308"/>
        <v>0</v>
      </c>
      <c r="U1597" s="78" t="b">
        <f t="shared" si="1309"/>
        <v>0</v>
      </c>
      <c r="V1597" s="78" t="b">
        <f t="shared" si="1310"/>
        <v>0</v>
      </c>
      <c r="W1597" s="78" t="b">
        <f t="shared" si="1311"/>
        <v>0</v>
      </c>
      <c r="X1597" s="78" t="b">
        <f t="shared" si="1312"/>
        <v>0</v>
      </c>
      <c r="Y1597" s="78" t="b">
        <f t="shared" si="1313"/>
        <v>0</v>
      </c>
      <c r="Z1597" s="78" t="b">
        <f t="shared" si="1314"/>
        <v>0</v>
      </c>
      <c r="AA1597" s="78" t="b">
        <f t="shared" si="1315"/>
        <v>0</v>
      </c>
      <c r="AB1597" s="78" t="b">
        <f t="shared" si="1316"/>
        <v>0</v>
      </c>
      <c r="AC1597" s="78" t="b">
        <f t="shared" si="1317"/>
        <v>0</v>
      </c>
      <c r="AD1597" s="78" t="b">
        <f t="shared" si="1318"/>
        <v>0</v>
      </c>
      <c r="AE1597" s="78" t="b">
        <f t="shared" si="1319"/>
        <v>0</v>
      </c>
      <c r="AF1597" s="78" t="b">
        <f t="shared" si="1320"/>
        <v>0</v>
      </c>
      <c r="AG1597" s="78" t="b">
        <f t="shared" si="1321"/>
        <v>0</v>
      </c>
      <c r="AH1597" s="78" t="b">
        <f t="shared" si="1322"/>
        <v>0</v>
      </c>
      <c r="AI1597" s="78" t="b">
        <f t="shared" si="1323"/>
        <v>0</v>
      </c>
      <c r="AJ1597" s="78" t="b">
        <f t="shared" si="1324"/>
        <v>0</v>
      </c>
      <c r="AK1597" s="78" t="b">
        <f t="shared" si="1325"/>
        <v>0</v>
      </c>
      <c r="AL1597" s="78" t="b">
        <f t="shared" si="1326"/>
        <v>0</v>
      </c>
      <c r="AM1597" s="78" t="b">
        <f t="shared" si="1327"/>
        <v>0</v>
      </c>
      <c r="AN1597" s="78" t="b">
        <f t="shared" si="1328"/>
        <v>0</v>
      </c>
      <c r="AO1597" s="78" t="b">
        <f t="shared" si="1329"/>
        <v>0</v>
      </c>
    </row>
    <row r="1598" spans="7:41" x14ac:dyDescent="0.35">
      <c r="G1598" s="77">
        <f t="shared" si="1299"/>
        <v>0</v>
      </c>
      <c r="H1598" s="78">
        <f t="shared" si="1300"/>
        <v>0</v>
      </c>
      <c r="I1598" s="77">
        <f t="shared" si="1301"/>
        <v>0</v>
      </c>
      <c r="J1598" s="78">
        <f t="shared" si="1302"/>
        <v>0</v>
      </c>
      <c r="K1598" s="78" t="str">
        <f t="shared" si="1303"/>
        <v>1900-01-00 00:0:00</v>
      </c>
      <c r="L1598" s="78" t="str">
        <f t="shared" si="1304"/>
        <v>1900-01-00 00:0:00</v>
      </c>
      <c r="M1598" s="79">
        <f t="shared" si="1305"/>
        <v>0</v>
      </c>
      <c r="N1598">
        <f t="shared" si="1298"/>
        <v>1</v>
      </c>
      <c r="O1598" t="str">
        <f>IFERROR(_xlfn.XLOOKUP(A1598,HC!A:A,HC!C:C),"")</f>
        <v>Workforce</v>
      </c>
      <c r="R1598" s="78" t="b">
        <f t="shared" si="1306"/>
        <v>0</v>
      </c>
      <c r="S1598" s="78" t="b">
        <f t="shared" si="1307"/>
        <v>0</v>
      </c>
      <c r="T1598" s="78" t="b">
        <f t="shared" si="1308"/>
        <v>0</v>
      </c>
      <c r="U1598" s="78" t="b">
        <f t="shared" si="1309"/>
        <v>0</v>
      </c>
      <c r="V1598" s="78" t="b">
        <f t="shared" si="1310"/>
        <v>0</v>
      </c>
      <c r="W1598" s="78" t="b">
        <f t="shared" si="1311"/>
        <v>0</v>
      </c>
      <c r="X1598" s="78" t="b">
        <f t="shared" si="1312"/>
        <v>0</v>
      </c>
      <c r="Y1598" s="78" t="b">
        <f t="shared" si="1313"/>
        <v>0</v>
      </c>
      <c r="Z1598" s="78" t="b">
        <f t="shared" si="1314"/>
        <v>0</v>
      </c>
      <c r="AA1598" s="78" t="b">
        <f t="shared" si="1315"/>
        <v>0</v>
      </c>
      <c r="AB1598" s="78" t="b">
        <f t="shared" si="1316"/>
        <v>0</v>
      </c>
      <c r="AC1598" s="78" t="b">
        <f t="shared" si="1317"/>
        <v>0</v>
      </c>
      <c r="AD1598" s="78" t="b">
        <f t="shared" si="1318"/>
        <v>0</v>
      </c>
      <c r="AE1598" s="78" t="b">
        <f t="shared" si="1319"/>
        <v>0</v>
      </c>
      <c r="AF1598" s="78" t="b">
        <f t="shared" si="1320"/>
        <v>0</v>
      </c>
      <c r="AG1598" s="78" t="b">
        <f t="shared" si="1321"/>
        <v>0</v>
      </c>
      <c r="AH1598" s="78" t="b">
        <f t="shared" si="1322"/>
        <v>0</v>
      </c>
      <c r="AI1598" s="78" t="b">
        <f t="shared" si="1323"/>
        <v>0</v>
      </c>
      <c r="AJ1598" s="78" t="b">
        <f t="shared" si="1324"/>
        <v>0</v>
      </c>
      <c r="AK1598" s="78" t="b">
        <f t="shared" si="1325"/>
        <v>0</v>
      </c>
      <c r="AL1598" s="78" t="b">
        <f t="shared" si="1326"/>
        <v>0</v>
      </c>
      <c r="AM1598" s="78" t="b">
        <f t="shared" si="1327"/>
        <v>0</v>
      </c>
      <c r="AN1598" s="78" t="b">
        <f t="shared" si="1328"/>
        <v>0</v>
      </c>
      <c r="AO1598" s="78" t="b">
        <f t="shared" si="1329"/>
        <v>0</v>
      </c>
    </row>
    <row r="1599" spans="7:41" x14ac:dyDescent="0.35">
      <c r="G1599" s="77">
        <f t="shared" si="1299"/>
        <v>0</v>
      </c>
      <c r="H1599" s="78">
        <f t="shared" si="1300"/>
        <v>0</v>
      </c>
      <c r="I1599" s="77">
        <f t="shared" si="1301"/>
        <v>0</v>
      </c>
      <c r="J1599" s="78">
        <f t="shared" si="1302"/>
        <v>0</v>
      </c>
      <c r="K1599" s="78" t="str">
        <f t="shared" si="1303"/>
        <v>1900-01-00 00:0:00</v>
      </c>
      <c r="L1599" s="78" t="str">
        <f t="shared" si="1304"/>
        <v>1900-01-00 00:0:00</v>
      </c>
      <c r="M1599" s="79">
        <f t="shared" si="1305"/>
        <v>0</v>
      </c>
      <c r="N1599">
        <f t="shared" si="1298"/>
        <v>1</v>
      </c>
      <c r="O1599" t="str">
        <f>IFERROR(_xlfn.XLOOKUP(A1599,HC!A:A,HC!C:C),"")</f>
        <v>Workforce</v>
      </c>
      <c r="R1599" s="78" t="b">
        <f t="shared" si="1306"/>
        <v>0</v>
      </c>
      <c r="S1599" s="78" t="b">
        <f t="shared" si="1307"/>
        <v>0</v>
      </c>
      <c r="T1599" s="78" t="b">
        <f t="shared" si="1308"/>
        <v>0</v>
      </c>
      <c r="U1599" s="78" t="b">
        <f t="shared" si="1309"/>
        <v>0</v>
      </c>
      <c r="V1599" s="78" t="b">
        <f t="shared" si="1310"/>
        <v>0</v>
      </c>
      <c r="W1599" s="78" t="b">
        <f t="shared" si="1311"/>
        <v>0</v>
      </c>
      <c r="X1599" s="78" t="b">
        <f t="shared" si="1312"/>
        <v>0</v>
      </c>
      <c r="Y1599" s="78" t="b">
        <f t="shared" si="1313"/>
        <v>0</v>
      </c>
      <c r="Z1599" s="78" t="b">
        <f t="shared" si="1314"/>
        <v>0</v>
      </c>
      <c r="AA1599" s="78" t="b">
        <f t="shared" si="1315"/>
        <v>0</v>
      </c>
      <c r="AB1599" s="78" t="b">
        <f t="shared" si="1316"/>
        <v>0</v>
      </c>
      <c r="AC1599" s="78" t="b">
        <f t="shared" si="1317"/>
        <v>0</v>
      </c>
      <c r="AD1599" s="78" t="b">
        <f t="shared" si="1318"/>
        <v>0</v>
      </c>
      <c r="AE1599" s="78" t="b">
        <f t="shared" si="1319"/>
        <v>0</v>
      </c>
      <c r="AF1599" s="78" t="b">
        <f t="shared" si="1320"/>
        <v>0</v>
      </c>
      <c r="AG1599" s="78" t="b">
        <f t="shared" si="1321"/>
        <v>0</v>
      </c>
      <c r="AH1599" s="78" t="b">
        <f t="shared" si="1322"/>
        <v>0</v>
      </c>
      <c r="AI1599" s="78" t="b">
        <f t="shared" si="1323"/>
        <v>0</v>
      </c>
      <c r="AJ1599" s="78" t="b">
        <f t="shared" si="1324"/>
        <v>0</v>
      </c>
      <c r="AK1599" s="78" t="b">
        <f t="shared" si="1325"/>
        <v>0</v>
      </c>
      <c r="AL1599" s="78" t="b">
        <f t="shared" si="1326"/>
        <v>0</v>
      </c>
      <c r="AM1599" s="78" t="b">
        <f t="shared" si="1327"/>
        <v>0</v>
      </c>
      <c r="AN1599" s="78" t="b">
        <f t="shared" si="1328"/>
        <v>0</v>
      </c>
      <c r="AO1599" s="78" t="b">
        <f t="shared" si="1329"/>
        <v>0</v>
      </c>
    </row>
    <row r="1600" spans="7:41" x14ac:dyDescent="0.35">
      <c r="G1600" s="77">
        <f t="shared" si="1299"/>
        <v>0</v>
      </c>
      <c r="H1600" s="78">
        <f t="shared" si="1300"/>
        <v>0</v>
      </c>
      <c r="I1600" s="77">
        <f t="shared" si="1301"/>
        <v>0</v>
      </c>
      <c r="J1600" s="78">
        <f t="shared" si="1302"/>
        <v>0</v>
      </c>
      <c r="K1600" s="78" t="str">
        <f t="shared" si="1303"/>
        <v>1900-01-00 00:0:00</v>
      </c>
      <c r="L1600" s="78" t="str">
        <f t="shared" si="1304"/>
        <v>1900-01-00 00:0:00</v>
      </c>
      <c r="M1600" s="79">
        <f t="shared" si="1305"/>
        <v>0</v>
      </c>
      <c r="N1600">
        <f t="shared" si="1298"/>
        <v>1</v>
      </c>
      <c r="O1600" t="str">
        <f>IFERROR(_xlfn.XLOOKUP(A1600,HC!A:A,HC!C:C),"")</f>
        <v>Workforce</v>
      </c>
      <c r="R1600" s="78" t="b">
        <f t="shared" si="1306"/>
        <v>0</v>
      </c>
      <c r="S1600" s="78" t="b">
        <f t="shared" si="1307"/>
        <v>0</v>
      </c>
      <c r="T1600" s="78" t="b">
        <f t="shared" si="1308"/>
        <v>0</v>
      </c>
      <c r="U1600" s="78" t="b">
        <f t="shared" si="1309"/>
        <v>0</v>
      </c>
      <c r="V1600" s="78" t="b">
        <f t="shared" si="1310"/>
        <v>0</v>
      </c>
      <c r="W1600" s="78" t="b">
        <f t="shared" si="1311"/>
        <v>0</v>
      </c>
      <c r="X1600" s="78" t="b">
        <f t="shared" si="1312"/>
        <v>0</v>
      </c>
      <c r="Y1600" s="78" t="b">
        <f t="shared" si="1313"/>
        <v>0</v>
      </c>
      <c r="Z1600" s="78" t="b">
        <f t="shared" si="1314"/>
        <v>0</v>
      </c>
      <c r="AA1600" s="78" t="b">
        <f t="shared" si="1315"/>
        <v>0</v>
      </c>
      <c r="AB1600" s="78" t="b">
        <f t="shared" si="1316"/>
        <v>0</v>
      </c>
      <c r="AC1600" s="78" t="b">
        <f t="shared" si="1317"/>
        <v>0</v>
      </c>
      <c r="AD1600" s="78" t="b">
        <f t="shared" si="1318"/>
        <v>0</v>
      </c>
      <c r="AE1600" s="78" t="b">
        <f t="shared" si="1319"/>
        <v>0</v>
      </c>
      <c r="AF1600" s="78" t="b">
        <f t="shared" si="1320"/>
        <v>0</v>
      </c>
      <c r="AG1600" s="78" t="b">
        <f t="shared" si="1321"/>
        <v>0</v>
      </c>
      <c r="AH1600" s="78" t="b">
        <f t="shared" si="1322"/>
        <v>0</v>
      </c>
      <c r="AI1600" s="78" t="b">
        <f t="shared" si="1323"/>
        <v>0</v>
      </c>
      <c r="AJ1600" s="78" t="b">
        <f t="shared" si="1324"/>
        <v>0</v>
      </c>
      <c r="AK1600" s="78" t="b">
        <f t="shared" si="1325"/>
        <v>0</v>
      </c>
      <c r="AL1600" s="78" t="b">
        <f t="shared" si="1326"/>
        <v>0</v>
      </c>
      <c r="AM1600" s="78" t="b">
        <f t="shared" si="1327"/>
        <v>0</v>
      </c>
      <c r="AN1600" s="78" t="b">
        <f t="shared" si="1328"/>
        <v>0</v>
      </c>
      <c r="AO1600" s="78" t="b">
        <f t="shared" si="1329"/>
        <v>0</v>
      </c>
    </row>
    <row r="1601" spans="7:41" x14ac:dyDescent="0.35">
      <c r="G1601" s="77">
        <f t="shared" si="1299"/>
        <v>0</v>
      </c>
      <c r="H1601" s="78">
        <f t="shared" si="1300"/>
        <v>0</v>
      </c>
      <c r="I1601" s="77">
        <f t="shared" si="1301"/>
        <v>0</v>
      </c>
      <c r="J1601" s="78">
        <f t="shared" si="1302"/>
        <v>0</v>
      </c>
      <c r="K1601" s="78" t="str">
        <f t="shared" si="1303"/>
        <v>1900-01-00 00:0:00</v>
      </c>
      <c r="L1601" s="78" t="str">
        <f t="shared" si="1304"/>
        <v>1900-01-00 00:0:00</v>
      </c>
      <c r="M1601" s="79">
        <f t="shared" si="1305"/>
        <v>0</v>
      </c>
      <c r="N1601">
        <f t="shared" si="1298"/>
        <v>1</v>
      </c>
      <c r="O1601" t="str">
        <f>IFERROR(_xlfn.XLOOKUP(A1601,HC!A:A,HC!C:C),"")</f>
        <v>Workforce</v>
      </c>
      <c r="R1601" s="78" t="b">
        <f t="shared" si="1306"/>
        <v>0</v>
      </c>
      <c r="S1601" s="78" t="b">
        <f t="shared" si="1307"/>
        <v>0</v>
      </c>
      <c r="T1601" s="78" t="b">
        <f t="shared" si="1308"/>
        <v>0</v>
      </c>
      <c r="U1601" s="78" t="b">
        <f t="shared" si="1309"/>
        <v>0</v>
      </c>
      <c r="V1601" s="78" t="b">
        <f t="shared" si="1310"/>
        <v>0</v>
      </c>
      <c r="W1601" s="78" t="b">
        <f t="shared" si="1311"/>
        <v>0</v>
      </c>
      <c r="X1601" s="78" t="b">
        <f t="shared" si="1312"/>
        <v>0</v>
      </c>
      <c r="Y1601" s="78" t="b">
        <f t="shared" si="1313"/>
        <v>0</v>
      </c>
      <c r="Z1601" s="78" t="b">
        <f t="shared" si="1314"/>
        <v>0</v>
      </c>
      <c r="AA1601" s="78" t="b">
        <f t="shared" si="1315"/>
        <v>0</v>
      </c>
      <c r="AB1601" s="78" t="b">
        <f t="shared" si="1316"/>
        <v>0</v>
      </c>
      <c r="AC1601" s="78" t="b">
        <f t="shared" si="1317"/>
        <v>0</v>
      </c>
      <c r="AD1601" s="78" t="b">
        <f t="shared" si="1318"/>
        <v>0</v>
      </c>
      <c r="AE1601" s="78" t="b">
        <f t="shared" si="1319"/>
        <v>0</v>
      </c>
      <c r="AF1601" s="78" t="b">
        <f t="shared" si="1320"/>
        <v>0</v>
      </c>
      <c r="AG1601" s="78" t="b">
        <f t="shared" si="1321"/>
        <v>0</v>
      </c>
      <c r="AH1601" s="78" t="b">
        <f t="shared" si="1322"/>
        <v>0</v>
      </c>
      <c r="AI1601" s="78" t="b">
        <f t="shared" si="1323"/>
        <v>0</v>
      </c>
      <c r="AJ1601" s="78" t="b">
        <f t="shared" si="1324"/>
        <v>0</v>
      </c>
      <c r="AK1601" s="78" t="b">
        <f t="shared" si="1325"/>
        <v>0</v>
      </c>
      <c r="AL1601" s="78" t="b">
        <f t="shared" si="1326"/>
        <v>0</v>
      </c>
      <c r="AM1601" s="78" t="b">
        <f t="shared" si="1327"/>
        <v>0</v>
      </c>
      <c r="AN1601" s="78" t="b">
        <f t="shared" si="1328"/>
        <v>0</v>
      </c>
      <c r="AO1601" s="78" t="b">
        <f t="shared" si="1329"/>
        <v>0</v>
      </c>
    </row>
    <row r="1602" spans="7:41" x14ac:dyDescent="0.35">
      <c r="G1602" s="77">
        <f t="shared" si="1299"/>
        <v>0</v>
      </c>
      <c r="H1602" s="78">
        <f t="shared" si="1300"/>
        <v>0</v>
      </c>
      <c r="I1602" s="77">
        <f t="shared" si="1301"/>
        <v>0</v>
      </c>
      <c r="J1602" s="78">
        <f t="shared" si="1302"/>
        <v>0</v>
      </c>
      <c r="K1602" s="78" t="str">
        <f t="shared" si="1303"/>
        <v>1900-01-00 00:0:00</v>
      </c>
      <c r="L1602" s="78" t="str">
        <f t="shared" si="1304"/>
        <v>1900-01-00 00:0:00</v>
      </c>
      <c r="M1602" s="79">
        <f t="shared" si="1305"/>
        <v>0</v>
      </c>
      <c r="N1602">
        <f t="shared" si="1298"/>
        <v>1</v>
      </c>
      <c r="O1602" t="str">
        <f>IFERROR(_xlfn.XLOOKUP(A1602,HC!A:A,HC!C:C),"")</f>
        <v>Workforce</v>
      </c>
      <c r="R1602" s="78" t="b">
        <f t="shared" si="1306"/>
        <v>0</v>
      </c>
      <c r="S1602" s="78" t="b">
        <f t="shared" si="1307"/>
        <v>0</v>
      </c>
      <c r="T1602" s="78" t="b">
        <f t="shared" si="1308"/>
        <v>0</v>
      </c>
      <c r="U1602" s="78" t="b">
        <f t="shared" si="1309"/>
        <v>0</v>
      </c>
      <c r="V1602" s="78" t="b">
        <f t="shared" si="1310"/>
        <v>0</v>
      </c>
      <c r="W1602" s="78" t="b">
        <f t="shared" si="1311"/>
        <v>0</v>
      </c>
      <c r="X1602" s="78" t="b">
        <f t="shared" si="1312"/>
        <v>0</v>
      </c>
      <c r="Y1602" s="78" t="b">
        <f t="shared" si="1313"/>
        <v>0</v>
      </c>
      <c r="Z1602" s="78" t="b">
        <f t="shared" si="1314"/>
        <v>0</v>
      </c>
      <c r="AA1602" s="78" t="b">
        <f t="shared" si="1315"/>
        <v>0</v>
      </c>
      <c r="AB1602" s="78" t="b">
        <f t="shared" si="1316"/>
        <v>0</v>
      </c>
      <c r="AC1602" s="78" t="b">
        <f t="shared" si="1317"/>
        <v>0</v>
      </c>
      <c r="AD1602" s="78" t="b">
        <f t="shared" si="1318"/>
        <v>0</v>
      </c>
      <c r="AE1602" s="78" t="b">
        <f t="shared" si="1319"/>
        <v>0</v>
      </c>
      <c r="AF1602" s="78" t="b">
        <f t="shared" si="1320"/>
        <v>0</v>
      </c>
      <c r="AG1602" s="78" t="b">
        <f t="shared" si="1321"/>
        <v>0</v>
      </c>
      <c r="AH1602" s="78" t="b">
        <f t="shared" si="1322"/>
        <v>0</v>
      </c>
      <c r="AI1602" s="78" t="b">
        <f t="shared" si="1323"/>
        <v>0</v>
      </c>
      <c r="AJ1602" s="78" t="b">
        <f t="shared" si="1324"/>
        <v>0</v>
      </c>
      <c r="AK1602" s="78" t="b">
        <f t="shared" si="1325"/>
        <v>0</v>
      </c>
      <c r="AL1602" s="78" t="b">
        <f t="shared" si="1326"/>
        <v>0</v>
      </c>
      <c r="AM1602" s="78" t="b">
        <f t="shared" si="1327"/>
        <v>0</v>
      </c>
      <c r="AN1602" s="78" t="b">
        <f t="shared" si="1328"/>
        <v>0</v>
      </c>
      <c r="AO1602" s="78" t="b">
        <f t="shared" si="1329"/>
        <v>0</v>
      </c>
    </row>
    <row r="1603" spans="7:41" x14ac:dyDescent="0.35">
      <c r="G1603" s="77">
        <f t="shared" si="1299"/>
        <v>0</v>
      </c>
      <c r="H1603" s="78">
        <f t="shared" si="1300"/>
        <v>0</v>
      </c>
      <c r="I1603" s="77">
        <f t="shared" si="1301"/>
        <v>0</v>
      </c>
      <c r="J1603" s="78">
        <f t="shared" si="1302"/>
        <v>0</v>
      </c>
      <c r="K1603" s="78" t="str">
        <f t="shared" si="1303"/>
        <v>1900-01-00 00:0:00</v>
      </c>
      <c r="L1603" s="78" t="str">
        <f t="shared" si="1304"/>
        <v>1900-01-00 00:0:00</v>
      </c>
      <c r="M1603" s="79">
        <f t="shared" si="1305"/>
        <v>0</v>
      </c>
      <c r="N1603">
        <f t="shared" si="1298"/>
        <v>1</v>
      </c>
      <c r="O1603" t="str">
        <f>IFERROR(_xlfn.XLOOKUP(A1603,HC!A:A,HC!C:C),"")</f>
        <v>Workforce</v>
      </c>
      <c r="R1603" s="78" t="b">
        <f t="shared" si="1306"/>
        <v>0</v>
      </c>
      <c r="S1603" s="78" t="b">
        <f t="shared" si="1307"/>
        <v>0</v>
      </c>
      <c r="T1603" s="78" t="b">
        <f t="shared" si="1308"/>
        <v>0</v>
      </c>
      <c r="U1603" s="78" t="b">
        <f t="shared" si="1309"/>
        <v>0</v>
      </c>
      <c r="V1603" s="78" t="b">
        <f t="shared" si="1310"/>
        <v>0</v>
      </c>
      <c r="W1603" s="78" t="b">
        <f t="shared" si="1311"/>
        <v>0</v>
      </c>
      <c r="X1603" s="78" t="b">
        <f t="shared" si="1312"/>
        <v>0</v>
      </c>
      <c r="Y1603" s="78" t="b">
        <f t="shared" si="1313"/>
        <v>0</v>
      </c>
      <c r="Z1603" s="78" t="b">
        <f t="shared" si="1314"/>
        <v>0</v>
      </c>
      <c r="AA1603" s="78" t="b">
        <f t="shared" si="1315"/>
        <v>0</v>
      </c>
      <c r="AB1603" s="78" t="b">
        <f t="shared" si="1316"/>
        <v>0</v>
      </c>
      <c r="AC1603" s="78" t="b">
        <f t="shared" si="1317"/>
        <v>0</v>
      </c>
      <c r="AD1603" s="78" t="b">
        <f t="shared" si="1318"/>
        <v>0</v>
      </c>
      <c r="AE1603" s="78" t="b">
        <f t="shared" si="1319"/>
        <v>0</v>
      </c>
      <c r="AF1603" s="78" t="b">
        <f t="shared" si="1320"/>
        <v>0</v>
      </c>
      <c r="AG1603" s="78" t="b">
        <f t="shared" si="1321"/>
        <v>0</v>
      </c>
      <c r="AH1603" s="78" t="b">
        <f t="shared" si="1322"/>
        <v>0</v>
      </c>
      <c r="AI1603" s="78" t="b">
        <f t="shared" si="1323"/>
        <v>0</v>
      </c>
      <c r="AJ1603" s="78" t="b">
        <f t="shared" si="1324"/>
        <v>0</v>
      </c>
      <c r="AK1603" s="78" t="b">
        <f t="shared" si="1325"/>
        <v>0</v>
      </c>
      <c r="AL1603" s="78" t="b">
        <f t="shared" si="1326"/>
        <v>0</v>
      </c>
      <c r="AM1603" s="78" t="b">
        <f t="shared" si="1327"/>
        <v>0</v>
      </c>
      <c r="AN1603" s="78" t="b">
        <f t="shared" si="1328"/>
        <v>0</v>
      </c>
      <c r="AO1603" s="78" t="b">
        <f t="shared" si="1329"/>
        <v>0</v>
      </c>
    </row>
    <row r="1604" spans="7:41" x14ac:dyDescent="0.35">
      <c r="G1604" s="77">
        <f t="shared" si="1299"/>
        <v>0</v>
      </c>
      <c r="H1604" s="78">
        <f t="shared" si="1300"/>
        <v>0</v>
      </c>
      <c r="I1604" s="77">
        <f t="shared" si="1301"/>
        <v>0</v>
      </c>
      <c r="J1604" s="78">
        <f t="shared" si="1302"/>
        <v>0</v>
      </c>
      <c r="K1604" s="78" t="str">
        <f t="shared" si="1303"/>
        <v>1900-01-00 00:0:00</v>
      </c>
      <c r="L1604" s="78" t="str">
        <f t="shared" si="1304"/>
        <v>1900-01-00 00:0:00</v>
      </c>
      <c r="M1604" s="79">
        <f t="shared" si="1305"/>
        <v>0</v>
      </c>
      <c r="N1604">
        <f t="shared" ref="N1604:N1667" si="1330">IF(M1604&lt;$BA$1,1,0)</f>
        <v>1</v>
      </c>
      <c r="O1604" t="str">
        <f>IFERROR(_xlfn.XLOOKUP(A1604,HC!A:A,HC!C:C),"")</f>
        <v>Workforce</v>
      </c>
      <c r="R1604" s="78" t="b">
        <f t="shared" si="1306"/>
        <v>0</v>
      </c>
      <c r="S1604" s="78" t="b">
        <f t="shared" si="1307"/>
        <v>0</v>
      </c>
      <c r="T1604" s="78" t="b">
        <f t="shared" si="1308"/>
        <v>0</v>
      </c>
      <c r="U1604" s="78" t="b">
        <f t="shared" si="1309"/>
        <v>0</v>
      </c>
      <c r="V1604" s="78" t="b">
        <f t="shared" si="1310"/>
        <v>0</v>
      </c>
      <c r="W1604" s="78" t="b">
        <f t="shared" si="1311"/>
        <v>0</v>
      </c>
      <c r="X1604" s="78" t="b">
        <f t="shared" si="1312"/>
        <v>0</v>
      </c>
      <c r="Y1604" s="78" t="b">
        <f t="shared" si="1313"/>
        <v>0</v>
      </c>
      <c r="Z1604" s="78" t="b">
        <f t="shared" si="1314"/>
        <v>0</v>
      </c>
      <c r="AA1604" s="78" t="b">
        <f t="shared" si="1315"/>
        <v>0</v>
      </c>
      <c r="AB1604" s="78" t="b">
        <f t="shared" si="1316"/>
        <v>0</v>
      </c>
      <c r="AC1604" s="78" t="b">
        <f t="shared" si="1317"/>
        <v>0</v>
      </c>
      <c r="AD1604" s="78" t="b">
        <f t="shared" si="1318"/>
        <v>0</v>
      </c>
      <c r="AE1604" s="78" t="b">
        <f t="shared" si="1319"/>
        <v>0</v>
      </c>
      <c r="AF1604" s="78" t="b">
        <f t="shared" si="1320"/>
        <v>0</v>
      </c>
      <c r="AG1604" s="78" t="b">
        <f t="shared" si="1321"/>
        <v>0</v>
      </c>
      <c r="AH1604" s="78" t="b">
        <f t="shared" si="1322"/>
        <v>0</v>
      </c>
      <c r="AI1604" s="78" t="b">
        <f t="shared" si="1323"/>
        <v>0</v>
      </c>
      <c r="AJ1604" s="78" t="b">
        <f t="shared" si="1324"/>
        <v>0</v>
      </c>
      <c r="AK1604" s="78" t="b">
        <f t="shared" si="1325"/>
        <v>0</v>
      </c>
      <c r="AL1604" s="78" t="b">
        <f t="shared" si="1326"/>
        <v>0</v>
      </c>
      <c r="AM1604" s="78" t="b">
        <f t="shared" si="1327"/>
        <v>0</v>
      </c>
      <c r="AN1604" s="78" t="b">
        <f t="shared" si="1328"/>
        <v>0</v>
      </c>
      <c r="AO1604" s="78" t="b">
        <f t="shared" si="1329"/>
        <v>0</v>
      </c>
    </row>
    <row r="1605" spans="7:41" x14ac:dyDescent="0.35">
      <c r="G1605" s="77">
        <f t="shared" si="1299"/>
        <v>0</v>
      </c>
      <c r="H1605" s="78">
        <f t="shared" si="1300"/>
        <v>0</v>
      </c>
      <c r="I1605" s="77">
        <f t="shared" si="1301"/>
        <v>0</v>
      </c>
      <c r="J1605" s="78">
        <f t="shared" si="1302"/>
        <v>0</v>
      </c>
      <c r="K1605" s="78" t="str">
        <f t="shared" si="1303"/>
        <v>1900-01-00 00:0:00</v>
      </c>
      <c r="L1605" s="78" t="str">
        <f t="shared" si="1304"/>
        <v>1900-01-00 00:0:00</v>
      </c>
      <c r="M1605" s="79">
        <f t="shared" si="1305"/>
        <v>0</v>
      </c>
      <c r="N1605">
        <f t="shared" si="1330"/>
        <v>1</v>
      </c>
      <c r="O1605" t="str">
        <f>IFERROR(_xlfn.XLOOKUP(A1605,HC!A:A,HC!C:C),"")</f>
        <v>Workforce</v>
      </c>
      <c r="R1605" s="78" t="b">
        <f t="shared" si="1306"/>
        <v>0</v>
      </c>
      <c r="S1605" s="78" t="b">
        <f t="shared" si="1307"/>
        <v>0</v>
      </c>
      <c r="T1605" s="78" t="b">
        <f t="shared" si="1308"/>
        <v>0</v>
      </c>
      <c r="U1605" s="78" t="b">
        <f t="shared" si="1309"/>
        <v>0</v>
      </c>
      <c r="V1605" s="78" t="b">
        <f t="shared" si="1310"/>
        <v>0</v>
      </c>
      <c r="W1605" s="78" t="b">
        <f t="shared" si="1311"/>
        <v>0</v>
      </c>
      <c r="X1605" s="78" t="b">
        <f t="shared" si="1312"/>
        <v>0</v>
      </c>
      <c r="Y1605" s="78" t="b">
        <f t="shared" si="1313"/>
        <v>0</v>
      </c>
      <c r="Z1605" s="78" t="b">
        <f t="shared" si="1314"/>
        <v>0</v>
      </c>
      <c r="AA1605" s="78" t="b">
        <f t="shared" si="1315"/>
        <v>0</v>
      </c>
      <c r="AB1605" s="78" t="b">
        <f t="shared" si="1316"/>
        <v>0</v>
      </c>
      <c r="AC1605" s="78" t="b">
        <f t="shared" si="1317"/>
        <v>0</v>
      </c>
      <c r="AD1605" s="78" t="b">
        <f t="shared" si="1318"/>
        <v>0</v>
      </c>
      <c r="AE1605" s="78" t="b">
        <f t="shared" si="1319"/>
        <v>0</v>
      </c>
      <c r="AF1605" s="78" t="b">
        <f t="shared" si="1320"/>
        <v>0</v>
      </c>
      <c r="AG1605" s="78" t="b">
        <f t="shared" si="1321"/>
        <v>0</v>
      </c>
      <c r="AH1605" s="78" t="b">
        <f t="shared" si="1322"/>
        <v>0</v>
      </c>
      <c r="AI1605" s="78" t="b">
        <f t="shared" si="1323"/>
        <v>0</v>
      </c>
      <c r="AJ1605" s="78" t="b">
        <f t="shared" si="1324"/>
        <v>0</v>
      </c>
      <c r="AK1605" s="78" t="b">
        <f t="shared" si="1325"/>
        <v>0</v>
      </c>
      <c r="AL1605" s="78" t="b">
        <f t="shared" si="1326"/>
        <v>0</v>
      </c>
      <c r="AM1605" s="78" t="b">
        <f t="shared" si="1327"/>
        <v>0</v>
      </c>
      <c r="AN1605" s="78" t="b">
        <f t="shared" si="1328"/>
        <v>0</v>
      </c>
      <c r="AO1605" s="78" t="b">
        <f t="shared" si="1329"/>
        <v>0</v>
      </c>
    </row>
    <row r="1606" spans="7:41" x14ac:dyDescent="0.35">
      <c r="G1606" s="77">
        <f t="shared" si="1299"/>
        <v>0</v>
      </c>
      <c r="H1606" s="78">
        <f t="shared" si="1300"/>
        <v>0</v>
      </c>
      <c r="I1606" s="77">
        <f t="shared" si="1301"/>
        <v>0</v>
      </c>
      <c r="J1606" s="78">
        <f t="shared" si="1302"/>
        <v>0</v>
      </c>
      <c r="K1606" s="78" t="str">
        <f t="shared" si="1303"/>
        <v>1900-01-00 00:0:00</v>
      </c>
      <c r="L1606" s="78" t="str">
        <f t="shared" si="1304"/>
        <v>1900-01-00 00:0:00</v>
      </c>
      <c r="M1606" s="79">
        <f t="shared" si="1305"/>
        <v>0</v>
      </c>
      <c r="N1606">
        <f t="shared" si="1330"/>
        <v>1</v>
      </c>
      <c r="O1606" t="str">
        <f>IFERROR(_xlfn.XLOOKUP(A1606,HC!A:A,HC!C:C),"")</f>
        <v>Workforce</v>
      </c>
      <c r="R1606" s="78" t="b">
        <f t="shared" si="1306"/>
        <v>0</v>
      </c>
      <c r="S1606" s="78" t="b">
        <f t="shared" si="1307"/>
        <v>0</v>
      </c>
      <c r="T1606" s="78" t="b">
        <f t="shared" si="1308"/>
        <v>0</v>
      </c>
      <c r="U1606" s="78" t="b">
        <f t="shared" si="1309"/>
        <v>0</v>
      </c>
      <c r="V1606" s="78" t="b">
        <f t="shared" si="1310"/>
        <v>0</v>
      </c>
      <c r="W1606" s="78" t="b">
        <f t="shared" si="1311"/>
        <v>0</v>
      </c>
      <c r="X1606" s="78" t="b">
        <f t="shared" si="1312"/>
        <v>0</v>
      </c>
      <c r="Y1606" s="78" t="b">
        <f t="shared" si="1313"/>
        <v>0</v>
      </c>
      <c r="Z1606" s="78" t="b">
        <f t="shared" si="1314"/>
        <v>0</v>
      </c>
      <c r="AA1606" s="78" t="b">
        <f t="shared" si="1315"/>
        <v>0</v>
      </c>
      <c r="AB1606" s="78" t="b">
        <f t="shared" si="1316"/>
        <v>0</v>
      </c>
      <c r="AC1606" s="78" t="b">
        <f t="shared" si="1317"/>
        <v>0</v>
      </c>
      <c r="AD1606" s="78" t="b">
        <f t="shared" si="1318"/>
        <v>0</v>
      </c>
      <c r="AE1606" s="78" t="b">
        <f t="shared" si="1319"/>
        <v>0</v>
      </c>
      <c r="AF1606" s="78" t="b">
        <f t="shared" si="1320"/>
        <v>0</v>
      </c>
      <c r="AG1606" s="78" t="b">
        <f t="shared" si="1321"/>
        <v>0</v>
      </c>
      <c r="AH1606" s="78" t="b">
        <f t="shared" si="1322"/>
        <v>0</v>
      </c>
      <c r="AI1606" s="78" t="b">
        <f t="shared" si="1323"/>
        <v>0</v>
      </c>
      <c r="AJ1606" s="78" t="b">
        <f t="shared" si="1324"/>
        <v>0</v>
      </c>
      <c r="AK1606" s="78" t="b">
        <f t="shared" si="1325"/>
        <v>0</v>
      </c>
      <c r="AL1606" s="78" t="b">
        <f t="shared" si="1326"/>
        <v>0</v>
      </c>
      <c r="AM1606" s="78" t="b">
        <f t="shared" si="1327"/>
        <v>0</v>
      </c>
      <c r="AN1606" s="78" t="b">
        <f t="shared" si="1328"/>
        <v>0</v>
      </c>
      <c r="AO1606" s="78" t="b">
        <f t="shared" si="1329"/>
        <v>0</v>
      </c>
    </row>
    <row r="1607" spans="7:41" x14ac:dyDescent="0.35">
      <c r="G1607" s="77">
        <f t="shared" si="1299"/>
        <v>0</v>
      </c>
      <c r="H1607" s="78">
        <f t="shared" si="1300"/>
        <v>0</v>
      </c>
      <c r="I1607" s="77">
        <f t="shared" si="1301"/>
        <v>0</v>
      </c>
      <c r="J1607" s="78">
        <f t="shared" si="1302"/>
        <v>0</v>
      </c>
      <c r="K1607" s="78" t="str">
        <f t="shared" si="1303"/>
        <v>1900-01-00 00:0:00</v>
      </c>
      <c r="L1607" s="78" t="str">
        <f t="shared" si="1304"/>
        <v>1900-01-00 00:0:00</v>
      </c>
      <c r="M1607" s="79">
        <f t="shared" si="1305"/>
        <v>0</v>
      </c>
      <c r="N1607">
        <f t="shared" si="1330"/>
        <v>1</v>
      </c>
      <c r="O1607" t="str">
        <f>IFERROR(_xlfn.XLOOKUP(A1607,HC!A:A,HC!C:C),"")</f>
        <v>Workforce</v>
      </c>
      <c r="R1607" s="78" t="b">
        <f t="shared" si="1306"/>
        <v>0</v>
      </c>
      <c r="S1607" s="78" t="b">
        <f t="shared" si="1307"/>
        <v>0</v>
      </c>
      <c r="T1607" s="78" t="b">
        <f t="shared" si="1308"/>
        <v>0</v>
      </c>
      <c r="U1607" s="78" t="b">
        <f t="shared" si="1309"/>
        <v>0</v>
      </c>
      <c r="V1607" s="78" t="b">
        <f t="shared" si="1310"/>
        <v>0</v>
      </c>
      <c r="W1607" s="78" t="b">
        <f t="shared" si="1311"/>
        <v>0</v>
      </c>
      <c r="X1607" s="78" t="b">
        <f t="shared" si="1312"/>
        <v>0</v>
      </c>
      <c r="Y1607" s="78" t="b">
        <f t="shared" si="1313"/>
        <v>0</v>
      </c>
      <c r="Z1607" s="78" t="b">
        <f t="shared" si="1314"/>
        <v>0</v>
      </c>
      <c r="AA1607" s="78" t="b">
        <f t="shared" si="1315"/>
        <v>0</v>
      </c>
      <c r="AB1607" s="78" t="b">
        <f t="shared" si="1316"/>
        <v>0</v>
      </c>
      <c r="AC1607" s="78" t="b">
        <f t="shared" si="1317"/>
        <v>0</v>
      </c>
      <c r="AD1607" s="78" t="b">
        <f t="shared" si="1318"/>
        <v>0</v>
      </c>
      <c r="AE1607" s="78" t="b">
        <f t="shared" si="1319"/>
        <v>0</v>
      </c>
      <c r="AF1607" s="78" t="b">
        <f t="shared" si="1320"/>
        <v>0</v>
      </c>
      <c r="AG1607" s="78" t="b">
        <f t="shared" si="1321"/>
        <v>0</v>
      </c>
      <c r="AH1607" s="78" t="b">
        <f t="shared" si="1322"/>
        <v>0</v>
      </c>
      <c r="AI1607" s="78" t="b">
        <f t="shared" si="1323"/>
        <v>0</v>
      </c>
      <c r="AJ1607" s="78" t="b">
        <f t="shared" si="1324"/>
        <v>0</v>
      </c>
      <c r="AK1607" s="78" t="b">
        <f t="shared" si="1325"/>
        <v>0</v>
      </c>
      <c r="AL1607" s="78" t="b">
        <f t="shared" si="1326"/>
        <v>0</v>
      </c>
      <c r="AM1607" s="78" t="b">
        <f t="shared" si="1327"/>
        <v>0</v>
      </c>
      <c r="AN1607" s="78" t="b">
        <f t="shared" si="1328"/>
        <v>0</v>
      </c>
      <c r="AO1607" s="78" t="b">
        <f t="shared" si="1329"/>
        <v>0</v>
      </c>
    </row>
    <row r="1608" spans="7:41" x14ac:dyDescent="0.35">
      <c r="G1608" s="77">
        <f t="shared" si="1299"/>
        <v>0</v>
      </c>
      <c r="H1608" s="78">
        <f t="shared" si="1300"/>
        <v>0</v>
      </c>
      <c r="I1608" s="77">
        <f t="shared" si="1301"/>
        <v>0</v>
      </c>
      <c r="J1608" s="78">
        <f t="shared" si="1302"/>
        <v>0</v>
      </c>
      <c r="K1608" s="78" t="str">
        <f t="shared" si="1303"/>
        <v>1900-01-00 00:0:00</v>
      </c>
      <c r="L1608" s="78" t="str">
        <f t="shared" si="1304"/>
        <v>1900-01-00 00:0:00</v>
      </c>
      <c r="M1608" s="79">
        <f t="shared" si="1305"/>
        <v>0</v>
      </c>
      <c r="N1608">
        <f t="shared" si="1330"/>
        <v>1</v>
      </c>
      <c r="O1608" t="str">
        <f>IFERROR(_xlfn.XLOOKUP(A1608,HC!A:A,HC!C:C),"")</f>
        <v>Workforce</v>
      </c>
      <c r="R1608" s="78" t="b">
        <f t="shared" si="1306"/>
        <v>0</v>
      </c>
      <c r="S1608" s="78" t="b">
        <f t="shared" si="1307"/>
        <v>0</v>
      </c>
      <c r="T1608" s="78" t="b">
        <f t="shared" si="1308"/>
        <v>0</v>
      </c>
      <c r="U1608" s="78" t="b">
        <f t="shared" si="1309"/>
        <v>0</v>
      </c>
      <c r="V1608" s="78" t="b">
        <f t="shared" si="1310"/>
        <v>0</v>
      </c>
      <c r="W1608" s="78" t="b">
        <f t="shared" si="1311"/>
        <v>0</v>
      </c>
      <c r="X1608" s="78" t="b">
        <f t="shared" si="1312"/>
        <v>0</v>
      </c>
      <c r="Y1608" s="78" t="b">
        <f t="shared" si="1313"/>
        <v>0</v>
      </c>
      <c r="Z1608" s="78" t="b">
        <f t="shared" si="1314"/>
        <v>0</v>
      </c>
      <c r="AA1608" s="78" t="b">
        <f t="shared" si="1315"/>
        <v>0</v>
      </c>
      <c r="AB1608" s="78" t="b">
        <f t="shared" si="1316"/>
        <v>0</v>
      </c>
      <c r="AC1608" s="78" t="b">
        <f t="shared" si="1317"/>
        <v>0</v>
      </c>
      <c r="AD1608" s="78" t="b">
        <f t="shared" si="1318"/>
        <v>0</v>
      </c>
      <c r="AE1608" s="78" t="b">
        <f t="shared" si="1319"/>
        <v>0</v>
      </c>
      <c r="AF1608" s="78" t="b">
        <f t="shared" si="1320"/>
        <v>0</v>
      </c>
      <c r="AG1608" s="78" t="b">
        <f t="shared" si="1321"/>
        <v>0</v>
      </c>
      <c r="AH1608" s="78" t="b">
        <f t="shared" si="1322"/>
        <v>0</v>
      </c>
      <c r="AI1608" s="78" t="b">
        <f t="shared" si="1323"/>
        <v>0</v>
      </c>
      <c r="AJ1608" s="78" t="b">
        <f t="shared" si="1324"/>
        <v>0</v>
      </c>
      <c r="AK1608" s="78" t="b">
        <f t="shared" si="1325"/>
        <v>0</v>
      </c>
      <c r="AL1608" s="78" t="b">
        <f t="shared" si="1326"/>
        <v>0</v>
      </c>
      <c r="AM1608" s="78" t="b">
        <f t="shared" si="1327"/>
        <v>0</v>
      </c>
      <c r="AN1608" s="78" t="b">
        <f t="shared" si="1328"/>
        <v>0</v>
      </c>
      <c r="AO1608" s="78" t="b">
        <f t="shared" si="1329"/>
        <v>0</v>
      </c>
    </row>
    <row r="1609" spans="7:41" x14ac:dyDescent="0.35">
      <c r="G1609" s="77">
        <f t="shared" si="1299"/>
        <v>0</v>
      </c>
      <c r="H1609" s="78">
        <f t="shared" si="1300"/>
        <v>0</v>
      </c>
      <c r="I1609" s="77">
        <f t="shared" si="1301"/>
        <v>0</v>
      </c>
      <c r="J1609" s="78">
        <f t="shared" si="1302"/>
        <v>0</v>
      </c>
      <c r="K1609" s="78" t="str">
        <f t="shared" si="1303"/>
        <v>1900-01-00 00:0:00</v>
      </c>
      <c r="L1609" s="78" t="str">
        <f t="shared" si="1304"/>
        <v>1900-01-00 00:0:00</v>
      </c>
      <c r="M1609" s="79">
        <f t="shared" si="1305"/>
        <v>0</v>
      </c>
      <c r="N1609">
        <f t="shared" si="1330"/>
        <v>1</v>
      </c>
      <c r="O1609" t="str">
        <f>IFERROR(_xlfn.XLOOKUP(A1609,HC!A:A,HC!C:C),"")</f>
        <v>Workforce</v>
      </c>
      <c r="R1609" s="78" t="b">
        <f t="shared" si="1306"/>
        <v>0</v>
      </c>
      <c r="S1609" s="78" t="b">
        <f t="shared" si="1307"/>
        <v>0</v>
      </c>
      <c r="T1609" s="78" t="b">
        <f t="shared" si="1308"/>
        <v>0</v>
      </c>
      <c r="U1609" s="78" t="b">
        <f t="shared" si="1309"/>
        <v>0</v>
      </c>
      <c r="V1609" s="78" t="b">
        <f t="shared" si="1310"/>
        <v>0</v>
      </c>
      <c r="W1609" s="78" t="b">
        <f t="shared" si="1311"/>
        <v>0</v>
      </c>
      <c r="X1609" s="78" t="b">
        <f t="shared" si="1312"/>
        <v>0</v>
      </c>
      <c r="Y1609" s="78" t="b">
        <f t="shared" si="1313"/>
        <v>0</v>
      </c>
      <c r="Z1609" s="78" t="b">
        <f t="shared" si="1314"/>
        <v>0</v>
      </c>
      <c r="AA1609" s="78" t="b">
        <f t="shared" si="1315"/>
        <v>0</v>
      </c>
      <c r="AB1609" s="78" t="b">
        <f t="shared" si="1316"/>
        <v>0</v>
      </c>
      <c r="AC1609" s="78" t="b">
        <f t="shared" si="1317"/>
        <v>0</v>
      </c>
      <c r="AD1609" s="78" t="b">
        <f t="shared" si="1318"/>
        <v>0</v>
      </c>
      <c r="AE1609" s="78" t="b">
        <f t="shared" si="1319"/>
        <v>0</v>
      </c>
      <c r="AF1609" s="78" t="b">
        <f t="shared" si="1320"/>
        <v>0</v>
      </c>
      <c r="AG1609" s="78" t="b">
        <f t="shared" si="1321"/>
        <v>0</v>
      </c>
      <c r="AH1609" s="78" t="b">
        <f t="shared" si="1322"/>
        <v>0</v>
      </c>
      <c r="AI1609" s="78" t="b">
        <f t="shared" si="1323"/>
        <v>0</v>
      </c>
      <c r="AJ1609" s="78" t="b">
        <f t="shared" si="1324"/>
        <v>0</v>
      </c>
      <c r="AK1609" s="78" t="b">
        <f t="shared" si="1325"/>
        <v>0</v>
      </c>
      <c r="AL1609" s="78" t="b">
        <f t="shared" si="1326"/>
        <v>0</v>
      </c>
      <c r="AM1609" s="78" t="b">
        <f t="shared" si="1327"/>
        <v>0</v>
      </c>
      <c r="AN1609" s="78" t="b">
        <f t="shared" si="1328"/>
        <v>0</v>
      </c>
      <c r="AO1609" s="78" t="b">
        <f t="shared" si="1329"/>
        <v>0</v>
      </c>
    </row>
    <row r="1610" spans="7:41" x14ac:dyDescent="0.35">
      <c r="G1610" s="77">
        <f t="shared" si="1299"/>
        <v>0</v>
      </c>
      <c r="H1610" s="78">
        <f t="shared" si="1300"/>
        <v>0</v>
      </c>
      <c r="I1610" s="77">
        <f t="shared" si="1301"/>
        <v>0</v>
      </c>
      <c r="J1610" s="78">
        <f t="shared" si="1302"/>
        <v>0</v>
      </c>
      <c r="K1610" s="78" t="str">
        <f t="shared" si="1303"/>
        <v>1900-01-00 00:0:00</v>
      </c>
      <c r="L1610" s="78" t="str">
        <f t="shared" si="1304"/>
        <v>1900-01-00 00:0:00</v>
      </c>
      <c r="M1610" s="79">
        <f t="shared" si="1305"/>
        <v>0</v>
      </c>
      <c r="N1610">
        <f t="shared" si="1330"/>
        <v>1</v>
      </c>
      <c r="O1610" t="str">
        <f>IFERROR(_xlfn.XLOOKUP(A1610,HC!A:A,HC!C:C),"")</f>
        <v>Workforce</v>
      </c>
      <c r="R1610" s="78" t="b">
        <f t="shared" si="1306"/>
        <v>0</v>
      </c>
      <c r="S1610" s="78" t="b">
        <f t="shared" si="1307"/>
        <v>0</v>
      </c>
      <c r="T1610" s="78" t="b">
        <f t="shared" si="1308"/>
        <v>0</v>
      </c>
      <c r="U1610" s="78" t="b">
        <f t="shared" si="1309"/>
        <v>0</v>
      </c>
      <c r="V1610" s="78" t="b">
        <f t="shared" si="1310"/>
        <v>0</v>
      </c>
      <c r="W1610" s="78" t="b">
        <f t="shared" si="1311"/>
        <v>0</v>
      </c>
      <c r="X1610" s="78" t="b">
        <f t="shared" si="1312"/>
        <v>0</v>
      </c>
      <c r="Y1610" s="78" t="b">
        <f t="shared" si="1313"/>
        <v>0</v>
      </c>
      <c r="Z1610" s="78" t="b">
        <f t="shared" si="1314"/>
        <v>0</v>
      </c>
      <c r="AA1610" s="78" t="b">
        <f t="shared" si="1315"/>
        <v>0</v>
      </c>
      <c r="AB1610" s="78" t="b">
        <f t="shared" si="1316"/>
        <v>0</v>
      </c>
      <c r="AC1610" s="78" t="b">
        <f t="shared" si="1317"/>
        <v>0</v>
      </c>
      <c r="AD1610" s="78" t="b">
        <f t="shared" si="1318"/>
        <v>0</v>
      </c>
      <c r="AE1610" s="78" t="b">
        <f t="shared" si="1319"/>
        <v>0</v>
      </c>
      <c r="AF1610" s="78" t="b">
        <f t="shared" si="1320"/>
        <v>0</v>
      </c>
      <c r="AG1610" s="78" t="b">
        <f t="shared" si="1321"/>
        <v>0</v>
      </c>
      <c r="AH1610" s="78" t="b">
        <f t="shared" si="1322"/>
        <v>0</v>
      </c>
      <c r="AI1610" s="78" t="b">
        <f t="shared" si="1323"/>
        <v>0</v>
      </c>
      <c r="AJ1610" s="78" t="b">
        <f t="shared" si="1324"/>
        <v>0</v>
      </c>
      <c r="AK1610" s="78" t="b">
        <f t="shared" si="1325"/>
        <v>0</v>
      </c>
      <c r="AL1610" s="78" t="b">
        <f t="shared" si="1326"/>
        <v>0</v>
      </c>
      <c r="AM1610" s="78" t="b">
        <f t="shared" si="1327"/>
        <v>0</v>
      </c>
      <c r="AN1610" s="78" t="b">
        <f t="shared" si="1328"/>
        <v>0</v>
      </c>
      <c r="AO1610" s="78" t="b">
        <f t="shared" si="1329"/>
        <v>0</v>
      </c>
    </row>
    <row r="1611" spans="7:41" x14ac:dyDescent="0.35">
      <c r="G1611" s="77">
        <f t="shared" si="1299"/>
        <v>0</v>
      </c>
      <c r="H1611" s="78">
        <f t="shared" si="1300"/>
        <v>0</v>
      </c>
      <c r="I1611" s="77">
        <f t="shared" si="1301"/>
        <v>0</v>
      </c>
      <c r="J1611" s="78">
        <f t="shared" si="1302"/>
        <v>0</v>
      </c>
      <c r="K1611" s="78" t="str">
        <f t="shared" si="1303"/>
        <v>1900-01-00 00:0:00</v>
      </c>
      <c r="L1611" s="78" t="str">
        <f t="shared" si="1304"/>
        <v>1900-01-00 00:0:00</v>
      </c>
      <c r="M1611" s="79">
        <f t="shared" si="1305"/>
        <v>0</v>
      </c>
      <c r="N1611">
        <f t="shared" si="1330"/>
        <v>1</v>
      </c>
      <c r="O1611" t="str">
        <f>IFERROR(_xlfn.XLOOKUP(A1611,HC!A:A,HC!C:C),"")</f>
        <v>Workforce</v>
      </c>
      <c r="R1611" s="78" t="b">
        <f t="shared" si="1306"/>
        <v>0</v>
      </c>
      <c r="S1611" s="78" t="b">
        <f t="shared" si="1307"/>
        <v>0</v>
      </c>
      <c r="T1611" s="78" t="b">
        <f t="shared" si="1308"/>
        <v>0</v>
      </c>
      <c r="U1611" s="78" t="b">
        <f t="shared" si="1309"/>
        <v>0</v>
      </c>
      <c r="V1611" s="78" t="b">
        <f t="shared" si="1310"/>
        <v>0</v>
      </c>
      <c r="W1611" s="78" t="b">
        <f t="shared" si="1311"/>
        <v>0</v>
      </c>
      <c r="X1611" s="78" t="b">
        <f t="shared" si="1312"/>
        <v>0</v>
      </c>
      <c r="Y1611" s="78" t="b">
        <f t="shared" si="1313"/>
        <v>0</v>
      </c>
      <c r="Z1611" s="78" t="b">
        <f t="shared" si="1314"/>
        <v>0</v>
      </c>
      <c r="AA1611" s="78" t="b">
        <f t="shared" si="1315"/>
        <v>0</v>
      </c>
      <c r="AB1611" s="78" t="b">
        <f t="shared" si="1316"/>
        <v>0</v>
      </c>
      <c r="AC1611" s="78" t="b">
        <f t="shared" si="1317"/>
        <v>0</v>
      </c>
      <c r="AD1611" s="78" t="b">
        <f t="shared" si="1318"/>
        <v>0</v>
      </c>
      <c r="AE1611" s="78" t="b">
        <f t="shared" si="1319"/>
        <v>0</v>
      </c>
      <c r="AF1611" s="78" t="b">
        <f t="shared" si="1320"/>
        <v>0</v>
      </c>
      <c r="AG1611" s="78" t="b">
        <f t="shared" si="1321"/>
        <v>0</v>
      </c>
      <c r="AH1611" s="78" t="b">
        <f t="shared" si="1322"/>
        <v>0</v>
      </c>
      <c r="AI1611" s="78" t="b">
        <f t="shared" si="1323"/>
        <v>0</v>
      </c>
      <c r="AJ1611" s="78" t="b">
        <f t="shared" si="1324"/>
        <v>0</v>
      </c>
      <c r="AK1611" s="78" t="b">
        <f t="shared" si="1325"/>
        <v>0</v>
      </c>
      <c r="AL1611" s="78" t="b">
        <f t="shared" si="1326"/>
        <v>0</v>
      </c>
      <c r="AM1611" s="78" t="b">
        <f t="shared" si="1327"/>
        <v>0</v>
      </c>
      <c r="AN1611" s="78" t="b">
        <f t="shared" si="1328"/>
        <v>0</v>
      </c>
      <c r="AO1611" s="78" t="b">
        <f t="shared" si="1329"/>
        <v>0</v>
      </c>
    </row>
    <row r="1612" spans="7:41" x14ac:dyDescent="0.35">
      <c r="G1612" s="77">
        <f t="shared" si="1299"/>
        <v>0</v>
      </c>
      <c r="H1612" s="78">
        <f t="shared" si="1300"/>
        <v>0</v>
      </c>
      <c r="I1612" s="77">
        <f t="shared" si="1301"/>
        <v>0</v>
      </c>
      <c r="J1612" s="78">
        <f t="shared" si="1302"/>
        <v>0</v>
      </c>
      <c r="K1612" s="78" t="str">
        <f t="shared" si="1303"/>
        <v>1900-01-00 00:0:00</v>
      </c>
      <c r="L1612" s="78" t="str">
        <f t="shared" si="1304"/>
        <v>1900-01-00 00:0:00</v>
      </c>
      <c r="M1612" s="79">
        <f t="shared" si="1305"/>
        <v>0</v>
      </c>
      <c r="N1612">
        <f t="shared" si="1330"/>
        <v>1</v>
      </c>
      <c r="O1612" t="str">
        <f>IFERROR(_xlfn.XLOOKUP(A1612,HC!A:A,HC!C:C),"")</f>
        <v>Workforce</v>
      </c>
      <c r="R1612" s="78" t="b">
        <f t="shared" si="1306"/>
        <v>0</v>
      </c>
      <c r="S1612" s="78" t="b">
        <f t="shared" si="1307"/>
        <v>0</v>
      </c>
      <c r="T1612" s="78" t="b">
        <f t="shared" si="1308"/>
        <v>0</v>
      </c>
      <c r="U1612" s="78" t="b">
        <f t="shared" si="1309"/>
        <v>0</v>
      </c>
      <c r="V1612" s="78" t="b">
        <f t="shared" si="1310"/>
        <v>0</v>
      </c>
      <c r="W1612" s="78" t="b">
        <f t="shared" si="1311"/>
        <v>0</v>
      </c>
      <c r="X1612" s="78" t="b">
        <f t="shared" si="1312"/>
        <v>0</v>
      </c>
      <c r="Y1612" s="78" t="b">
        <f t="shared" si="1313"/>
        <v>0</v>
      </c>
      <c r="Z1612" s="78" t="b">
        <f t="shared" si="1314"/>
        <v>0</v>
      </c>
      <c r="AA1612" s="78" t="b">
        <f t="shared" si="1315"/>
        <v>0</v>
      </c>
      <c r="AB1612" s="78" t="b">
        <f t="shared" si="1316"/>
        <v>0</v>
      </c>
      <c r="AC1612" s="78" t="b">
        <f t="shared" si="1317"/>
        <v>0</v>
      </c>
      <c r="AD1612" s="78" t="b">
        <f t="shared" si="1318"/>
        <v>0</v>
      </c>
      <c r="AE1612" s="78" t="b">
        <f t="shared" si="1319"/>
        <v>0</v>
      </c>
      <c r="AF1612" s="78" t="b">
        <f t="shared" si="1320"/>
        <v>0</v>
      </c>
      <c r="AG1612" s="78" t="b">
        <f t="shared" si="1321"/>
        <v>0</v>
      </c>
      <c r="AH1612" s="78" t="b">
        <f t="shared" si="1322"/>
        <v>0</v>
      </c>
      <c r="AI1612" s="78" t="b">
        <f t="shared" si="1323"/>
        <v>0</v>
      </c>
      <c r="AJ1612" s="78" t="b">
        <f t="shared" si="1324"/>
        <v>0</v>
      </c>
      <c r="AK1612" s="78" t="b">
        <f t="shared" si="1325"/>
        <v>0</v>
      </c>
      <c r="AL1612" s="78" t="b">
        <f t="shared" si="1326"/>
        <v>0</v>
      </c>
      <c r="AM1612" s="78" t="b">
        <f t="shared" si="1327"/>
        <v>0</v>
      </c>
      <c r="AN1612" s="78" t="b">
        <f t="shared" si="1328"/>
        <v>0</v>
      </c>
      <c r="AO1612" s="78" t="b">
        <f t="shared" si="1329"/>
        <v>0</v>
      </c>
    </row>
    <row r="1613" spans="7:41" x14ac:dyDescent="0.35">
      <c r="G1613" s="77">
        <f t="shared" si="1299"/>
        <v>0</v>
      </c>
      <c r="H1613" s="78">
        <f t="shared" si="1300"/>
        <v>0</v>
      </c>
      <c r="I1613" s="77">
        <f t="shared" si="1301"/>
        <v>0</v>
      </c>
      <c r="J1613" s="78">
        <f t="shared" si="1302"/>
        <v>0</v>
      </c>
      <c r="K1613" s="78" t="str">
        <f t="shared" si="1303"/>
        <v>1900-01-00 00:0:00</v>
      </c>
      <c r="L1613" s="78" t="str">
        <f t="shared" si="1304"/>
        <v>1900-01-00 00:0:00</v>
      </c>
      <c r="M1613" s="79">
        <f t="shared" si="1305"/>
        <v>0</v>
      </c>
      <c r="N1613">
        <f t="shared" si="1330"/>
        <v>1</v>
      </c>
      <c r="O1613" t="str">
        <f>IFERROR(_xlfn.XLOOKUP(A1613,HC!A:A,HC!C:C),"")</f>
        <v>Workforce</v>
      </c>
      <c r="R1613" s="78" t="b">
        <f t="shared" si="1306"/>
        <v>0</v>
      </c>
      <c r="S1613" s="78" t="b">
        <f t="shared" si="1307"/>
        <v>0</v>
      </c>
      <c r="T1613" s="78" t="b">
        <f t="shared" si="1308"/>
        <v>0</v>
      </c>
      <c r="U1613" s="78" t="b">
        <f t="shared" si="1309"/>
        <v>0</v>
      </c>
      <c r="V1613" s="78" t="b">
        <f t="shared" si="1310"/>
        <v>0</v>
      </c>
      <c r="W1613" s="78" t="b">
        <f t="shared" si="1311"/>
        <v>0</v>
      </c>
      <c r="X1613" s="78" t="b">
        <f t="shared" si="1312"/>
        <v>0</v>
      </c>
      <c r="Y1613" s="78" t="b">
        <f t="shared" si="1313"/>
        <v>0</v>
      </c>
      <c r="Z1613" s="78" t="b">
        <f t="shared" si="1314"/>
        <v>0</v>
      </c>
      <c r="AA1613" s="78" t="b">
        <f t="shared" si="1315"/>
        <v>0</v>
      </c>
      <c r="AB1613" s="78" t="b">
        <f t="shared" si="1316"/>
        <v>0</v>
      </c>
      <c r="AC1613" s="78" t="b">
        <f t="shared" si="1317"/>
        <v>0</v>
      </c>
      <c r="AD1613" s="78" t="b">
        <f t="shared" si="1318"/>
        <v>0</v>
      </c>
      <c r="AE1613" s="78" t="b">
        <f t="shared" si="1319"/>
        <v>0</v>
      </c>
      <c r="AF1613" s="78" t="b">
        <f t="shared" si="1320"/>
        <v>0</v>
      </c>
      <c r="AG1613" s="78" t="b">
        <f t="shared" si="1321"/>
        <v>0</v>
      </c>
      <c r="AH1613" s="78" t="b">
        <f t="shared" si="1322"/>
        <v>0</v>
      </c>
      <c r="AI1613" s="78" t="b">
        <f t="shared" si="1323"/>
        <v>0</v>
      </c>
      <c r="AJ1613" s="78" t="b">
        <f t="shared" si="1324"/>
        <v>0</v>
      </c>
      <c r="AK1613" s="78" t="b">
        <f t="shared" si="1325"/>
        <v>0</v>
      </c>
      <c r="AL1613" s="78" t="b">
        <f t="shared" si="1326"/>
        <v>0</v>
      </c>
      <c r="AM1613" s="78" t="b">
        <f t="shared" si="1327"/>
        <v>0</v>
      </c>
      <c r="AN1613" s="78" t="b">
        <f t="shared" si="1328"/>
        <v>0</v>
      </c>
      <c r="AO1613" s="78" t="b">
        <f t="shared" si="1329"/>
        <v>0</v>
      </c>
    </row>
    <row r="1614" spans="7:41" x14ac:dyDescent="0.35">
      <c r="G1614" s="77">
        <f t="shared" si="1299"/>
        <v>0</v>
      </c>
      <c r="H1614" s="78">
        <f t="shared" si="1300"/>
        <v>0</v>
      </c>
      <c r="I1614" s="77">
        <f t="shared" si="1301"/>
        <v>0</v>
      </c>
      <c r="J1614" s="78">
        <f t="shared" si="1302"/>
        <v>0</v>
      </c>
      <c r="K1614" s="78" t="str">
        <f t="shared" si="1303"/>
        <v>1900-01-00 00:0:00</v>
      </c>
      <c r="L1614" s="78" t="str">
        <f t="shared" si="1304"/>
        <v>1900-01-00 00:0:00</v>
      </c>
      <c r="M1614" s="79">
        <f t="shared" si="1305"/>
        <v>0</v>
      </c>
      <c r="N1614">
        <f t="shared" si="1330"/>
        <v>1</v>
      </c>
      <c r="O1614" t="str">
        <f>IFERROR(_xlfn.XLOOKUP(A1614,HC!A:A,HC!C:C),"")</f>
        <v>Workforce</v>
      </c>
      <c r="R1614" s="78" t="b">
        <f t="shared" si="1306"/>
        <v>0</v>
      </c>
      <c r="S1614" s="78" t="b">
        <f t="shared" si="1307"/>
        <v>0</v>
      </c>
      <c r="T1614" s="78" t="b">
        <f t="shared" si="1308"/>
        <v>0</v>
      </c>
      <c r="U1614" s="78" t="b">
        <f t="shared" si="1309"/>
        <v>0</v>
      </c>
      <c r="V1614" s="78" t="b">
        <f t="shared" si="1310"/>
        <v>0</v>
      </c>
      <c r="W1614" s="78" t="b">
        <f t="shared" si="1311"/>
        <v>0</v>
      </c>
      <c r="X1614" s="78" t="b">
        <f t="shared" si="1312"/>
        <v>0</v>
      </c>
      <c r="Y1614" s="78" t="b">
        <f t="shared" si="1313"/>
        <v>0</v>
      </c>
      <c r="Z1614" s="78" t="b">
        <f t="shared" si="1314"/>
        <v>0</v>
      </c>
      <c r="AA1614" s="78" t="b">
        <f t="shared" si="1315"/>
        <v>0</v>
      </c>
      <c r="AB1614" s="78" t="b">
        <f t="shared" si="1316"/>
        <v>0</v>
      </c>
      <c r="AC1614" s="78" t="b">
        <f t="shared" si="1317"/>
        <v>0</v>
      </c>
      <c r="AD1614" s="78" t="b">
        <f t="shared" si="1318"/>
        <v>0</v>
      </c>
      <c r="AE1614" s="78" t="b">
        <f t="shared" si="1319"/>
        <v>0</v>
      </c>
      <c r="AF1614" s="78" t="b">
        <f t="shared" si="1320"/>
        <v>0</v>
      </c>
      <c r="AG1614" s="78" t="b">
        <f t="shared" si="1321"/>
        <v>0</v>
      </c>
      <c r="AH1614" s="78" t="b">
        <f t="shared" si="1322"/>
        <v>0</v>
      </c>
      <c r="AI1614" s="78" t="b">
        <f t="shared" si="1323"/>
        <v>0</v>
      </c>
      <c r="AJ1614" s="78" t="b">
        <f t="shared" si="1324"/>
        <v>0</v>
      </c>
      <c r="AK1614" s="78" t="b">
        <f t="shared" si="1325"/>
        <v>0</v>
      </c>
      <c r="AL1614" s="78" t="b">
        <f t="shared" si="1326"/>
        <v>0</v>
      </c>
      <c r="AM1614" s="78" t="b">
        <f t="shared" si="1327"/>
        <v>0</v>
      </c>
      <c r="AN1614" s="78" t="b">
        <f t="shared" si="1328"/>
        <v>0</v>
      </c>
      <c r="AO1614" s="78" t="b">
        <f t="shared" si="1329"/>
        <v>0</v>
      </c>
    </row>
    <row r="1615" spans="7:41" x14ac:dyDescent="0.35">
      <c r="G1615" s="77">
        <f t="shared" si="1299"/>
        <v>0</v>
      </c>
      <c r="H1615" s="78">
        <f t="shared" si="1300"/>
        <v>0</v>
      </c>
      <c r="I1615" s="77">
        <f t="shared" si="1301"/>
        <v>0</v>
      </c>
      <c r="J1615" s="78">
        <f t="shared" si="1302"/>
        <v>0</v>
      </c>
      <c r="K1615" s="78" t="str">
        <f t="shared" si="1303"/>
        <v>1900-01-00 00:0:00</v>
      </c>
      <c r="L1615" s="78" t="str">
        <f t="shared" si="1304"/>
        <v>1900-01-00 00:0:00</v>
      </c>
      <c r="M1615" s="79">
        <f t="shared" si="1305"/>
        <v>0</v>
      </c>
      <c r="N1615">
        <f t="shared" si="1330"/>
        <v>1</v>
      </c>
      <c r="O1615" t="str">
        <f>IFERROR(_xlfn.XLOOKUP(A1615,HC!A:A,HC!C:C),"")</f>
        <v>Workforce</v>
      </c>
      <c r="R1615" s="78" t="b">
        <f t="shared" si="1306"/>
        <v>0</v>
      </c>
      <c r="S1615" s="78" t="b">
        <f t="shared" si="1307"/>
        <v>0</v>
      </c>
      <c r="T1615" s="78" t="b">
        <f t="shared" si="1308"/>
        <v>0</v>
      </c>
      <c r="U1615" s="78" t="b">
        <f t="shared" si="1309"/>
        <v>0</v>
      </c>
      <c r="V1615" s="78" t="b">
        <f t="shared" si="1310"/>
        <v>0</v>
      </c>
      <c r="W1615" s="78" t="b">
        <f t="shared" si="1311"/>
        <v>0</v>
      </c>
      <c r="X1615" s="78" t="b">
        <f t="shared" si="1312"/>
        <v>0</v>
      </c>
      <c r="Y1615" s="78" t="b">
        <f t="shared" si="1313"/>
        <v>0</v>
      </c>
      <c r="Z1615" s="78" t="b">
        <f t="shared" si="1314"/>
        <v>0</v>
      </c>
      <c r="AA1615" s="78" t="b">
        <f t="shared" si="1315"/>
        <v>0</v>
      </c>
      <c r="AB1615" s="78" t="b">
        <f t="shared" si="1316"/>
        <v>0</v>
      </c>
      <c r="AC1615" s="78" t="b">
        <f t="shared" si="1317"/>
        <v>0</v>
      </c>
      <c r="AD1615" s="78" t="b">
        <f t="shared" si="1318"/>
        <v>0</v>
      </c>
      <c r="AE1615" s="78" t="b">
        <f t="shared" si="1319"/>
        <v>0</v>
      </c>
      <c r="AF1615" s="78" t="b">
        <f t="shared" si="1320"/>
        <v>0</v>
      </c>
      <c r="AG1615" s="78" t="b">
        <f t="shared" si="1321"/>
        <v>0</v>
      </c>
      <c r="AH1615" s="78" t="b">
        <f t="shared" si="1322"/>
        <v>0</v>
      </c>
      <c r="AI1615" s="78" t="b">
        <f t="shared" si="1323"/>
        <v>0</v>
      </c>
      <c r="AJ1615" s="78" t="b">
        <f t="shared" si="1324"/>
        <v>0</v>
      </c>
      <c r="AK1615" s="78" t="b">
        <f t="shared" si="1325"/>
        <v>0</v>
      </c>
      <c r="AL1615" s="78" t="b">
        <f t="shared" si="1326"/>
        <v>0</v>
      </c>
      <c r="AM1615" s="78" t="b">
        <f t="shared" si="1327"/>
        <v>0</v>
      </c>
      <c r="AN1615" s="78" t="b">
        <f t="shared" si="1328"/>
        <v>0</v>
      </c>
      <c r="AO1615" s="78" t="b">
        <f t="shared" si="1329"/>
        <v>0</v>
      </c>
    </row>
    <row r="1616" spans="7:41" x14ac:dyDescent="0.35">
      <c r="G1616" s="77">
        <f t="shared" si="1299"/>
        <v>0</v>
      </c>
      <c r="H1616" s="78">
        <f t="shared" si="1300"/>
        <v>0</v>
      </c>
      <c r="I1616" s="77">
        <f t="shared" si="1301"/>
        <v>0</v>
      </c>
      <c r="J1616" s="78">
        <f t="shared" si="1302"/>
        <v>0</v>
      </c>
      <c r="K1616" s="78" t="str">
        <f t="shared" si="1303"/>
        <v>1900-01-00 00:0:00</v>
      </c>
      <c r="L1616" s="78" t="str">
        <f t="shared" si="1304"/>
        <v>1900-01-00 00:0:00</v>
      </c>
      <c r="M1616" s="79">
        <f t="shared" si="1305"/>
        <v>0</v>
      </c>
      <c r="N1616">
        <f t="shared" si="1330"/>
        <v>1</v>
      </c>
      <c r="O1616" t="str">
        <f>IFERROR(_xlfn.XLOOKUP(A1616,HC!A:A,HC!C:C),"")</f>
        <v>Workforce</v>
      </c>
      <c r="R1616" s="78" t="b">
        <f t="shared" si="1306"/>
        <v>0</v>
      </c>
      <c r="S1616" s="78" t="b">
        <f t="shared" si="1307"/>
        <v>0</v>
      </c>
      <c r="T1616" s="78" t="b">
        <f t="shared" si="1308"/>
        <v>0</v>
      </c>
      <c r="U1616" s="78" t="b">
        <f t="shared" si="1309"/>
        <v>0</v>
      </c>
      <c r="V1616" s="78" t="b">
        <f t="shared" si="1310"/>
        <v>0</v>
      </c>
      <c r="W1616" s="78" t="b">
        <f t="shared" si="1311"/>
        <v>0</v>
      </c>
      <c r="X1616" s="78" t="b">
        <f t="shared" si="1312"/>
        <v>0</v>
      </c>
      <c r="Y1616" s="78" t="b">
        <f t="shared" si="1313"/>
        <v>0</v>
      </c>
      <c r="Z1616" s="78" t="b">
        <f t="shared" si="1314"/>
        <v>0</v>
      </c>
      <c r="AA1616" s="78" t="b">
        <f t="shared" si="1315"/>
        <v>0</v>
      </c>
      <c r="AB1616" s="78" t="b">
        <f t="shared" si="1316"/>
        <v>0</v>
      </c>
      <c r="AC1616" s="78" t="b">
        <f t="shared" si="1317"/>
        <v>0</v>
      </c>
      <c r="AD1616" s="78" t="b">
        <f t="shared" si="1318"/>
        <v>0</v>
      </c>
      <c r="AE1616" s="78" t="b">
        <f t="shared" si="1319"/>
        <v>0</v>
      </c>
      <c r="AF1616" s="78" t="b">
        <f t="shared" si="1320"/>
        <v>0</v>
      </c>
      <c r="AG1616" s="78" t="b">
        <f t="shared" si="1321"/>
        <v>0</v>
      </c>
      <c r="AH1616" s="78" t="b">
        <f t="shared" si="1322"/>
        <v>0</v>
      </c>
      <c r="AI1616" s="78" t="b">
        <f t="shared" si="1323"/>
        <v>0</v>
      </c>
      <c r="AJ1616" s="78" t="b">
        <f t="shared" si="1324"/>
        <v>0</v>
      </c>
      <c r="AK1616" s="78" t="b">
        <f t="shared" si="1325"/>
        <v>0</v>
      </c>
      <c r="AL1616" s="78" t="b">
        <f t="shared" si="1326"/>
        <v>0</v>
      </c>
      <c r="AM1616" s="78" t="b">
        <f t="shared" si="1327"/>
        <v>0</v>
      </c>
      <c r="AN1616" s="78" t="b">
        <f t="shared" si="1328"/>
        <v>0</v>
      </c>
      <c r="AO1616" s="78" t="b">
        <f t="shared" si="1329"/>
        <v>0</v>
      </c>
    </row>
    <row r="1617" spans="7:41" x14ac:dyDescent="0.35">
      <c r="G1617" s="77">
        <f t="shared" si="1299"/>
        <v>0</v>
      </c>
      <c r="H1617" s="78">
        <f t="shared" si="1300"/>
        <v>0</v>
      </c>
      <c r="I1617" s="77">
        <f t="shared" si="1301"/>
        <v>0</v>
      </c>
      <c r="J1617" s="78">
        <f t="shared" si="1302"/>
        <v>0</v>
      </c>
      <c r="K1617" s="78" t="str">
        <f t="shared" si="1303"/>
        <v>1900-01-00 00:0:00</v>
      </c>
      <c r="L1617" s="78" t="str">
        <f t="shared" si="1304"/>
        <v>1900-01-00 00:0:00</v>
      </c>
      <c r="M1617" s="79">
        <f t="shared" si="1305"/>
        <v>0</v>
      </c>
      <c r="N1617">
        <f t="shared" si="1330"/>
        <v>1</v>
      </c>
      <c r="O1617" t="str">
        <f>IFERROR(_xlfn.XLOOKUP(A1617,HC!A:A,HC!C:C),"")</f>
        <v>Workforce</v>
      </c>
      <c r="R1617" s="78" t="b">
        <f t="shared" si="1306"/>
        <v>0</v>
      </c>
      <c r="S1617" s="78" t="b">
        <f t="shared" si="1307"/>
        <v>0</v>
      </c>
      <c r="T1617" s="78" t="b">
        <f t="shared" si="1308"/>
        <v>0</v>
      </c>
      <c r="U1617" s="78" t="b">
        <f t="shared" si="1309"/>
        <v>0</v>
      </c>
      <c r="V1617" s="78" t="b">
        <f t="shared" si="1310"/>
        <v>0</v>
      </c>
      <c r="W1617" s="78" t="b">
        <f t="shared" si="1311"/>
        <v>0</v>
      </c>
      <c r="X1617" s="78" t="b">
        <f t="shared" si="1312"/>
        <v>0</v>
      </c>
      <c r="Y1617" s="78" t="b">
        <f t="shared" si="1313"/>
        <v>0</v>
      </c>
      <c r="Z1617" s="78" t="b">
        <f t="shared" si="1314"/>
        <v>0</v>
      </c>
      <c r="AA1617" s="78" t="b">
        <f t="shared" si="1315"/>
        <v>0</v>
      </c>
      <c r="AB1617" s="78" t="b">
        <f t="shared" si="1316"/>
        <v>0</v>
      </c>
      <c r="AC1617" s="78" t="b">
        <f t="shared" si="1317"/>
        <v>0</v>
      </c>
      <c r="AD1617" s="78" t="b">
        <f t="shared" si="1318"/>
        <v>0</v>
      </c>
      <c r="AE1617" s="78" t="b">
        <f t="shared" si="1319"/>
        <v>0</v>
      </c>
      <c r="AF1617" s="78" t="b">
        <f t="shared" si="1320"/>
        <v>0</v>
      </c>
      <c r="AG1617" s="78" t="b">
        <f t="shared" si="1321"/>
        <v>0</v>
      </c>
      <c r="AH1617" s="78" t="b">
        <f t="shared" si="1322"/>
        <v>0</v>
      </c>
      <c r="AI1617" s="78" t="b">
        <f t="shared" si="1323"/>
        <v>0</v>
      </c>
      <c r="AJ1617" s="78" t="b">
        <f t="shared" si="1324"/>
        <v>0</v>
      </c>
      <c r="AK1617" s="78" t="b">
        <f t="shared" si="1325"/>
        <v>0</v>
      </c>
      <c r="AL1617" s="78" t="b">
        <f t="shared" si="1326"/>
        <v>0</v>
      </c>
      <c r="AM1617" s="78" t="b">
        <f t="shared" si="1327"/>
        <v>0</v>
      </c>
      <c r="AN1617" s="78" t="b">
        <f t="shared" si="1328"/>
        <v>0</v>
      </c>
      <c r="AO1617" s="78" t="b">
        <f t="shared" si="1329"/>
        <v>0</v>
      </c>
    </row>
    <row r="1618" spans="7:41" x14ac:dyDescent="0.35">
      <c r="G1618" s="77">
        <f t="shared" si="1299"/>
        <v>0</v>
      </c>
      <c r="H1618" s="78">
        <f t="shared" si="1300"/>
        <v>0</v>
      </c>
      <c r="I1618" s="77">
        <f t="shared" si="1301"/>
        <v>0</v>
      </c>
      <c r="J1618" s="78">
        <f t="shared" si="1302"/>
        <v>0</v>
      </c>
      <c r="K1618" s="78" t="str">
        <f t="shared" si="1303"/>
        <v>1900-01-00 00:0:00</v>
      </c>
      <c r="L1618" s="78" t="str">
        <f t="shared" si="1304"/>
        <v>1900-01-00 00:0:00</v>
      </c>
      <c r="M1618" s="79">
        <f t="shared" si="1305"/>
        <v>0</v>
      </c>
      <c r="N1618">
        <f t="shared" si="1330"/>
        <v>1</v>
      </c>
      <c r="O1618" t="str">
        <f>IFERROR(_xlfn.XLOOKUP(A1618,HC!A:A,HC!C:C),"")</f>
        <v>Workforce</v>
      </c>
      <c r="R1618" s="78" t="b">
        <f t="shared" si="1306"/>
        <v>0</v>
      </c>
      <c r="S1618" s="78" t="b">
        <f t="shared" si="1307"/>
        <v>0</v>
      </c>
      <c r="T1618" s="78" t="b">
        <f t="shared" si="1308"/>
        <v>0</v>
      </c>
      <c r="U1618" s="78" t="b">
        <f t="shared" si="1309"/>
        <v>0</v>
      </c>
      <c r="V1618" s="78" t="b">
        <f t="shared" si="1310"/>
        <v>0</v>
      </c>
      <c r="W1618" s="78" t="b">
        <f t="shared" si="1311"/>
        <v>0</v>
      </c>
      <c r="X1618" s="78" t="b">
        <f t="shared" si="1312"/>
        <v>0</v>
      </c>
      <c r="Y1618" s="78" t="b">
        <f t="shared" si="1313"/>
        <v>0</v>
      </c>
      <c r="Z1618" s="78" t="b">
        <f t="shared" si="1314"/>
        <v>0</v>
      </c>
      <c r="AA1618" s="78" t="b">
        <f t="shared" si="1315"/>
        <v>0</v>
      </c>
      <c r="AB1618" s="78" t="b">
        <f t="shared" si="1316"/>
        <v>0</v>
      </c>
      <c r="AC1618" s="78" t="b">
        <f t="shared" si="1317"/>
        <v>0</v>
      </c>
      <c r="AD1618" s="78" t="b">
        <f t="shared" si="1318"/>
        <v>0</v>
      </c>
      <c r="AE1618" s="78" t="b">
        <f t="shared" si="1319"/>
        <v>0</v>
      </c>
      <c r="AF1618" s="78" t="b">
        <f t="shared" si="1320"/>
        <v>0</v>
      </c>
      <c r="AG1618" s="78" t="b">
        <f t="shared" si="1321"/>
        <v>0</v>
      </c>
      <c r="AH1618" s="78" t="b">
        <f t="shared" si="1322"/>
        <v>0</v>
      </c>
      <c r="AI1618" s="78" t="b">
        <f t="shared" si="1323"/>
        <v>0</v>
      </c>
      <c r="AJ1618" s="78" t="b">
        <f t="shared" si="1324"/>
        <v>0</v>
      </c>
      <c r="AK1618" s="78" t="b">
        <f t="shared" si="1325"/>
        <v>0</v>
      </c>
      <c r="AL1618" s="78" t="b">
        <f t="shared" si="1326"/>
        <v>0</v>
      </c>
      <c r="AM1618" s="78" t="b">
        <f t="shared" si="1327"/>
        <v>0</v>
      </c>
      <c r="AN1618" s="78" t="b">
        <f t="shared" si="1328"/>
        <v>0</v>
      </c>
      <c r="AO1618" s="78" t="b">
        <f t="shared" si="1329"/>
        <v>0</v>
      </c>
    </row>
    <row r="1619" spans="7:41" x14ac:dyDescent="0.35">
      <c r="G1619" s="77">
        <f t="shared" si="1299"/>
        <v>0</v>
      </c>
      <c r="H1619" s="78">
        <f t="shared" si="1300"/>
        <v>0</v>
      </c>
      <c r="I1619" s="77">
        <f t="shared" si="1301"/>
        <v>0</v>
      </c>
      <c r="J1619" s="78">
        <f t="shared" si="1302"/>
        <v>0</v>
      </c>
      <c r="K1619" s="78" t="str">
        <f t="shared" si="1303"/>
        <v>1900-01-00 00:0:00</v>
      </c>
      <c r="L1619" s="78" t="str">
        <f t="shared" si="1304"/>
        <v>1900-01-00 00:0:00</v>
      </c>
      <c r="M1619" s="79">
        <f t="shared" si="1305"/>
        <v>0</v>
      </c>
      <c r="N1619">
        <f t="shared" si="1330"/>
        <v>1</v>
      </c>
      <c r="O1619" t="str">
        <f>IFERROR(_xlfn.XLOOKUP(A1619,HC!A:A,HC!C:C),"")</f>
        <v>Workforce</v>
      </c>
      <c r="R1619" s="78" t="b">
        <f t="shared" si="1306"/>
        <v>0</v>
      </c>
      <c r="S1619" s="78" t="b">
        <f t="shared" si="1307"/>
        <v>0</v>
      </c>
      <c r="T1619" s="78" t="b">
        <f t="shared" si="1308"/>
        <v>0</v>
      </c>
      <c r="U1619" s="78" t="b">
        <f t="shared" si="1309"/>
        <v>0</v>
      </c>
      <c r="V1619" s="78" t="b">
        <f t="shared" si="1310"/>
        <v>0</v>
      </c>
      <c r="W1619" s="78" t="b">
        <f t="shared" si="1311"/>
        <v>0</v>
      </c>
      <c r="X1619" s="78" t="b">
        <f t="shared" si="1312"/>
        <v>0</v>
      </c>
      <c r="Y1619" s="78" t="b">
        <f t="shared" si="1313"/>
        <v>0</v>
      </c>
      <c r="Z1619" s="78" t="b">
        <f t="shared" si="1314"/>
        <v>0</v>
      </c>
      <c r="AA1619" s="78" t="b">
        <f t="shared" si="1315"/>
        <v>0</v>
      </c>
      <c r="AB1619" s="78" t="b">
        <f t="shared" si="1316"/>
        <v>0</v>
      </c>
      <c r="AC1619" s="78" t="b">
        <f t="shared" si="1317"/>
        <v>0</v>
      </c>
      <c r="AD1619" s="78" t="b">
        <f t="shared" si="1318"/>
        <v>0</v>
      </c>
      <c r="AE1619" s="78" t="b">
        <f t="shared" si="1319"/>
        <v>0</v>
      </c>
      <c r="AF1619" s="78" t="b">
        <f t="shared" si="1320"/>
        <v>0</v>
      </c>
      <c r="AG1619" s="78" t="b">
        <f t="shared" si="1321"/>
        <v>0</v>
      </c>
      <c r="AH1619" s="78" t="b">
        <f t="shared" si="1322"/>
        <v>0</v>
      </c>
      <c r="AI1619" s="78" t="b">
        <f t="shared" si="1323"/>
        <v>0</v>
      </c>
      <c r="AJ1619" s="78" t="b">
        <f t="shared" si="1324"/>
        <v>0</v>
      </c>
      <c r="AK1619" s="78" t="b">
        <f t="shared" si="1325"/>
        <v>0</v>
      </c>
      <c r="AL1619" s="78" t="b">
        <f t="shared" si="1326"/>
        <v>0</v>
      </c>
      <c r="AM1619" s="78" t="b">
        <f t="shared" si="1327"/>
        <v>0</v>
      </c>
      <c r="AN1619" s="78" t="b">
        <f t="shared" si="1328"/>
        <v>0</v>
      </c>
      <c r="AO1619" s="78" t="b">
        <f t="shared" si="1329"/>
        <v>0</v>
      </c>
    </row>
    <row r="1620" spans="7:41" x14ac:dyDescent="0.35">
      <c r="G1620" s="77">
        <f t="shared" si="1299"/>
        <v>0</v>
      </c>
      <c r="H1620" s="78">
        <f t="shared" si="1300"/>
        <v>0</v>
      </c>
      <c r="I1620" s="77">
        <f t="shared" si="1301"/>
        <v>0</v>
      </c>
      <c r="J1620" s="78">
        <f t="shared" si="1302"/>
        <v>0</v>
      </c>
      <c r="K1620" s="78" t="str">
        <f t="shared" si="1303"/>
        <v>1900-01-00 00:0:00</v>
      </c>
      <c r="L1620" s="78" t="str">
        <f t="shared" si="1304"/>
        <v>1900-01-00 00:0:00</v>
      </c>
      <c r="M1620" s="79">
        <f t="shared" si="1305"/>
        <v>0</v>
      </c>
      <c r="N1620">
        <f t="shared" si="1330"/>
        <v>1</v>
      </c>
      <c r="O1620" t="str">
        <f>IFERROR(_xlfn.XLOOKUP(A1620,HC!A:A,HC!C:C),"")</f>
        <v>Workforce</v>
      </c>
      <c r="R1620" s="78" t="b">
        <f t="shared" si="1306"/>
        <v>0</v>
      </c>
      <c r="S1620" s="78" t="b">
        <f t="shared" si="1307"/>
        <v>0</v>
      </c>
      <c r="T1620" s="78" t="b">
        <f t="shared" si="1308"/>
        <v>0</v>
      </c>
      <c r="U1620" s="78" t="b">
        <f t="shared" si="1309"/>
        <v>0</v>
      </c>
      <c r="V1620" s="78" t="b">
        <f t="shared" si="1310"/>
        <v>0</v>
      </c>
      <c r="W1620" s="78" t="b">
        <f t="shared" si="1311"/>
        <v>0</v>
      </c>
      <c r="X1620" s="78" t="b">
        <f t="shared" si="1312"/>
        <v>0</v>
      </c>
      <c r="Y1620" s="78" t="b">
        <f t="shared" si="1313"/>
        <v>0</v>
      </c>
      <c r="Z1620" s="78" t="b">
        <f t="shared" si="1314"/>
        <v>0</v>
      </c>
      <c r="AA1620" s="78" t="b">
        <f t="shared" si="1315"/>
        <v>0</v>
      </c>
      <c r="AB1620" s="78" t="b">
        <f t="shared" si="1316"/>
        <v>0</v>
      </c>
      <c r="AC1620" s="78" t="b">
        <f t="shared" si="1317"/>
        <v>0</v>
      </c>
      <c r="AD1620" s="78" t="b">
        <f t="shared" si="1318"/>
        <v>0</v>
      </c>
      <c r="AE1620" s="78" t="b">
        <f t="shared" si="1319"/>
        <v>0</v>
      </c>
      <c r="AF1620" s="78" t="b">
        <f t="shared" si="1320"/>
        <v>0</v>
      </c>
      <c r="AG1620" s="78" t="b">
        <f t="shared" si="1321"/>
        <v>0</v>
      </c>
      <c r="AH1620" s="78" t="b">
        <f t="shared" si="1322"/>
        <v>0</v>
      </c>
      <c r="AI1620" s="78" t="b">
        <f t="shared" si="1323"/>
        <v>0</v>
      </c>
      <c r="AJ1620" s="78" t="b">
        <f t="shared" si="1324"/>
        <v>0</v>
      </c>
      <c r="AK1620" s="78" t="b">
        <f t="shared" si="1325"/>
        <v>0</v>
      </c>
      <c r="AL1620" s="78" t="b">
        <f t="shared" si="1326"/>
        <v>0</v>
      </c>
      <c r="AM1620" s="78" t="b">
        <f t="shared" si="1327"/>
        <v>0</v>
      </c>
      <c r="AN1620" s="78" t="b">
        <f t="shared" si="1328"/>
        <v>0</v>
      </c>
      <c r="AO1620" s="78" t="b">
        <f t="shared" si="1329"/>
        <v>0</v>
      </c>
    </row>
    <row r="1621" spans="7:41" x14ac:dyDescent="0.35">
      <c r="G1621" s="77">
        <f t="shared" si="1299"/>
        <v>0</v>
      </c>
      <c r="H1621" s="78">
        <f t="shared" si="1300"/>
        <v>0</v>
      </c>
      <c r="I1621" s="77">
        <f t="shared" si="1301"/>
        <v>0</v>
      </c>
      <c r="J1621" s="78">
        <f t="shared" si="1302"/>
        <v>0</v>
      </c>
      <c r="K1621" s="78" t="str">
        <f t="shared" si="1303"/>
        <v>1900-01-00 00:0:00</v>
      </c>
      <c r="L1621" s="78" t="str">
        <f t="shared" si="1304"/>
        <v>1900-01-00 00:0:00</v>
      </c>
      <c r="M1621" s="79">
        <f t="shared" si="1305"/>
        <v>0</v>
      </c>
      <c r="N1621">
        <f t="shared" si="1330"/>
        <v>1</v>
      </c>
      <c r="O1621" t="str">
        <f>IFERROR(_xlfn.XLOOKUP(A1621,HC!A:A,HC!C:C),"")</f>
        <v>Workforce</v>
      </c>
      <c r="R1621" s="78" t="b">
        <f t="shared" si="1306"/>
        <v>0</v>
      </c>
      <c r="S1621" s="78" t="b">
        <f t="shared" si="1307"/>
        <v>0</v>
      </c>
      <c r="T1621" s="78" t="b">
        <f t="shared" si="1308"/>
        <v>0</v>
      </c>
      <c r="U1621" s="78" t="b">
        <f t="shared" si="1309"/>
        <v>0</v>
      </c>
      <c r="V1621" s="78" t="b">
        <f t="shared" si="1310"/>
        <v>0</v>
      </c>
      <c r="W1621" s="78" t="b">
        <f t="shared" si="1311"/>
        <v>0</v>
      </c>
      <c r="X1621" s="78" t="b">
        <f t="shared" si="1312"/>
        <v>0</v>
      </c>
      <c r="Y1621" s="78" t="b">
        <f t="shared" si="1313"/>
        <v>0</v>
      </c>
      <c r="Z1621" s="78" t="b">
        <f t="shared" si="1314"/>
        <v>0</v>
      </c>
      <c r="AA1621" s="78" t="b">
        <f t="shared" si="1315"/>
        <v>0</v>
      </c>
      <c r="AB1621" s="78" t="b">
        <f t="shared" si="1316"/>
        <v>0</v>
      </c>
      <c r="AC1621" s="78" t="b">
        <f t="shared" si="1317"/>
        <v>0</v>
      </c>
      <c r="AD1621" s="78" t="b">
        <f t="shared" si="1318"/>
        <v>0</v>
      </c>
      <c r="AE1621" s="78" t="b">
        <f t="shared" si="1319"/>
        <v>0</v>
      </c>
      <c r="AF1621" s="78" t="b">
        <f t="shared" si="1320"/>
        <v>0</v>
      </c>
      <c r="AG1621" s="78" t="b">
        <f t="shared" si="1321"/>
        <v>0</v>
      </c>
      <c r="AH1621" s="78" t="b">
        <f t="shared" si="1322"/>
        <v>0</v>
      </c>
      <c r="AI1621" s="78" t="b">
        <f t="shared" si="1323"/>
        <v>0</v>
      </c>
      <c r="AJ1621" s="78" t="b">
        <f t="shared" si="1324"/>
        <v>0</v>
      </c>
      <c r="AK1621" s="78" t="b">
        <f t="shared" si="1325"/>
        <v>0</v>
      </c>
      <c r="AL1621" s="78" t="b">
        <f t="shared" si="1326"/>
        <v>0</v>
      </c>
      <c r="AM1621" s="78" t="b">
        <f t="shared" si="1327"/>
        <v>0</v>
      </c>
      <c r="AN1621" s="78" t="b">
        <f t="shared" si="1328"/>
        <v>0</v>
      </c>
      <c r="AO1621" s="78" t="b">
        <f t="shared" si="1329"/>
        <v>0</v>
      </c>
    </row>
    <row r="1622" spans="7:41" x14ac:dyDescent="0.35">
      <c r="G1622" s="77">
        <f t="shared" si="1299"/>
        <v>0</v>
      </c>
      <c r="H1622" s="78">
        <f t="shared" si="1300"/>
        <v>0</v>
      </c>
      <c r="I1622" s="77">
        <f t="shared" si="1301"/>
        <v>0</v>
      </c>
      <c r="J1622" s="78">
        <f t="shared" si="1302"/>
        <v>0</v>
      </c>
      <c r="K1622" s="78" t="str">
        <f t="shared" si="1303"/>
        <v>1900-01-00 00:0:00</v>
      </c>
      <c r="L1622" s="78" t="str">
        <f t="shared" si="1304"/>
        <v>1900-01-00 00:0:00</v>
      </c>
      <c r="M1622" s="79">
        <f t="shared" si="1305"/>
        <v>0</v>
      </c>
      <c r="N1622">
        <f t="shared" si="1330"/>
        <v>1</v>
      </c>
      <c r="O1622" t="str">
        <f>IFERROR(_xlfn.XLOOKUP(A1622,HC!A:A,HC!C:C),"")</f>
        <v>Workforce</v>
      </c>
      <c r="R1622" s="78" t="b">
        <f t="shared" si="1306"/>
        <v>0</v>
      </c>
      <c r="S1622" s="78" t="b">
        <f t="shared" si="1307"/>
        <v>0</v>
      </c>
      <c r="T1622" s="78" t="b">
        <f t="shared" si="1308"/>
        <v>0</v>
      </c>
      <c r="U1622" s="78" t="b">
        <f t="shared" si="1309"/>
        <v>0</v>
      </c>
      <c r="V1622" s="78" t="b">
        <f t="shared" si="1310"/>
        <v>0</v>
      </c>
      <c r="W1622" s="78" t="b">
        <f t="shared" si="1311"/>
        <v>0</v>
      </c>
      <c r="X1622" s="78" t="b">
        <f t="shared" si="1312"/>
        <v>0</v>
      </c>
      <c r="Y1622" s="78" t="b">
        <f t="shared" si="1313"/>
        <v>0</v>
      </c>
      <c r="Z1622" s="78" t="b">
        <f t="shared" si="1314"/>
        <v>0</v>
      </c>
      <c r="AA1622" s="78" t="b">
        <f t="shared" si="1315"/>
        <v>0</v>
      </c>
      <c r="AB1622" s="78" t="b">
        <f t="shared" si="1316"/>
        <v>0</v>
      </c>
      <c r="AC1622" s="78" t="b">
        <f t="shared" si="1317"/>
        <v>0</v>
      </c>
      <c r="AD1622" s="78" t="b">
        <f t="shared" si="1318"/>
        <v>0</v>
      </c>
      <c r="AE1622" s="78" t="b">
        <f t="shared" si="1319"/>
        <v>0</v>
      </c>
      <c r="AF1622" s="78" t="b">
        <f t="shared" si="1320"/>
        <v>0</v>
      </c>
      <c r="AG1622" s="78" t="b">
        <f t="shared" si="1321"/>
        <v>0</v>
      </c>
      <c r="AH1622" s="78" t="b">
        <f t="shared" si="1322"/>
        <v>0</v>
      </c>
      <c r="AI1622" s="78" t="b">
        <f t="shared" si="1323"/>
        <v>0</v>
      </c>
      <c r="AJ1622" s="78" t="b">
        <f t="shared" si="1324"/>
        <v>0</v>
      </c>
      <c r="AK1622" s="78" t="b">
        <f t="shared" si="1325"/>
        <v>0</v>
      </c>
      <c r="AL1622" s="78" t="b">
        <f t="shared" si="1326"/>
        <v>0</v>
      </c>
      <c r="AM1622" s="78" t="b">
        <f t="shared" si="1327"/>
        <v>0</v>
      </c>
      <c r="AN1622" s="78" t="b">
        <f t="shared" si="1328"/>
        <v>0</v>
      </c>
      <c r="AO1622" s="78" t="b">
        <f t="shared" si="1329"/>
        <v>0</v>
      </c>
    </row>
    <row r="1623" spans="7:41" x14ac:dyDescent="0.35">
      <c r="G1623" s="77">
        <f t="shared" si="1299"/>
        <v>0</v>
      </c>
      <c r="H1623" s="78">
        <f t="shared" si="1300"/>
        <v>0</v>
      </c>
      <c r="I1623" s="77">
        <f t="shared" si="1301"/>
        <v>0</v>
      </c>
      <c r="J1623" s="78">
        <f t="shared" si="1302"/>
        <v>0</v>
      </c>
      <c r="K1623" s="78" t="str">
        <f t="shared" si="1303"/>
        <v>1900-01-00 00:0:00</v>
      </c>
      <c r="L1623" s="78" t="str">
        <f t="shared" si="1304"/>
        <v>1900-01-00 00:0:00</v>
      </c>
      <c r="M1623" s="79">
        <f t="shared" si="1305"/>
        <v>0</v>
      </c>
      <c r="N1623">
        <f t="shared" si="1330"/>
        <v>1</v>
      </c>
      <c r="O1623" t="str">
        <f>IFERROR(_xlfn.XLOOKUP(A1623,HC!A:A,HC!C:C),"")</f>
        <v>Workforce</v>
      </c>
      <c r="R1623" s="78" t="b">
        <f t="shared" si="1306"/>
        <v>0</v>
      </c>
      <c r="S1623" s="78" t="b">
        <f t="shared" si="1307"/>
        <v>0</v>
      </c>
      <c r="T1623" s="78" t="b">
        <f t="shared" si="1308"/>
        <v>0</v>
      </c>
      <c r="U1623" s="78" t="b">
        <f t="shared" si="1309"/>
        <v>0</v>
      </c>
      <c r="V1623" s="78" t="b">
        <f t="shared" si="1310"/>
        <v>0</v>
      </c>
      <c r="W1623" s="78" t="b">
        <f t="shared" si="1311"/>
        <v>0</v>
      </c>
      <c r="X1623" s="78" t="b">
        <f t="shared" si="1312"/>
        <v>0</v>
      </c>
      <c r="Y1623" s="78" t="b">
        <f t="shared" si="1313"/>
        <v>0</v>
      </c>
      <c r="Z1623" s="78" t="b">
        <f t="shared" si="1314"/>
        <v>0</v>
      </c>
      <c r="AA1623" s="78" t="b">
        <f t="shared" si="1315"/>
        <v>0</v>
      </c>
      <c r="AB1623" s="78" t="b">
        <f t="shared" si="1316"/>
        <v>0</v>
      </c>
      <c r="AC1623" s="78" t="b">
        <f t="shared" si="1317"/>
        <v>0</v>
      </c>
      <c r="AD1623" s="78" t="b">
        <f t="shared" si="1318"/>
        <v>0</v>
      </c>
      <c r="AE1623" s="78" t="b">
        <f t="shared" si="1319"/>
        <v>0</v>
      </c>
      <c r="AF1623" s="78" t="b">
        <f t="shared" si="1320"/>
        <v>0</v>
      </c>
      <c r="AG1623" s="78" t="b">
        <f t="shared" si="1321"/>
        <v>0</v>
      </c>
      <c r="AH1623" s="78" t="b">
        <f t="shared" si="1322"/>
        <v>0</v>
      </c>
      <c r="AI1623" s="78" t="b">
        <f t="shared" si="1323"/>
        <v>0</v>
      </c>
      <c r="AJ1623" s="78" t="b">
        <f t="shared" si="1324"/>
        <v>0</v>
      </c>
      <c r="AK1623" s="78" t="b">
        <f t="shared" si="1325"/>
        <v>0</v>
      </c>
      <c r="AL1623" s="78" t="b">
        <f t="shared" si="1326"/>
        <v>0</v>
      </c>
      <c r="AM1623" s="78" t="b">
        <f t="shared" si="1327"/>
        <v>0</v>
      </c>
      <c r="AN1623" s="78" t="b">
        <f t="shared" si="1328"/>
        <v>0</v>
      </c>
      <c r="AO1623" s="78" t="b">
        <f t="shared" si="1329"/>
        <v>0</v>
      </c>
    </row>
    <row r="1624" spans="7:41" x14ac:dyDescent="0.35">
      <c r="G1624" s="77">
        <f t="shared" si="1299"/>
        <v>0</v>
      </c>
      <c r="H1624" s="78">
        <f t="shared" si="1300"/>
        <v>0</v>
      </c>
      <c r="I1624" s="77">
        <f t="shared" si="1301"/>
        <v>0</v>
      </c>
      <c r="J1624" s="78">
        <f t="shared" si="1302"/>
        <v>0</v>
      </c>
      <c r="K1624" s="78" t="str">
        <f t="shared" si="1303"/>
        <v>1900-01-00 00:0:00</v>
      </c>
      <c r="L1624" s="78" t="str">
        <f t="shared" si="1304"/>
        <v>1900-01-00 00:0:00</v>
      </c>
      <c r="M1624" s="79">
        <f t="shared" si="1305"/>
        <v>0</v>
      </c>
      <c r="N1624">
        <f t="shared" si="1330"/>
        <v>1</v>
      </c>
      <c r="O1624" t="str">
        <f>IFERROR(_xlfn.XLOOKUP(A1624,HC!A:A,HC!C:C),"")</f>
        <v>Workforce</v>
      </c>
      <c r="R1624" s="78" t="b">
        <f t="shared" si="1306"/>
        <v>0</v>
      </c>
      <c r="S1624" s="78" t="b">
        <f t="shared" si="1307"/>
        <v>0</v>
      </c>
      <c r="T1624" s="78" t="b">
        <f t="shared" si="1308"/>
        <v>0</v>
      </c>
      <c r="U1624" s="78" t="b">
        <f t="shared" si="1309"/>
        <v>0</v>
      </c>
      <c r="V1624" s="78" t="b">
        <f t="shared" si="1310"/>
        <v>0</v>
      </c>
      <c r="W1624" s="78" t="b">
        <f t="shared" si="1311"/>
        <v>0</v>
      </c>
      <c r="X1624" s="78" t="b">
        <f t="shared" si="1312"/>
        <v>0</v>
      </c>
      <c r="Y1624" s="78" t="b">
        <f t="shared" si="1313"/>
        <v>0</v>
      </c>
      <c r="Z1624" s="78" t="b">
        <f t="shared" si="1314"/>
        <v>0</v>
      </c>
      <c r="AA1624" s="78" t="b">
        <f t="shared" si="1315"/>
        <v>0</v>
      </c>
      <c r="AB1624" s="78" t="b">
        <f t="shared" si="1316"/>
        <v>0</v>
      </c>
      <c r="AC1624" s="78" t="b">
        <f t="shared" si="1317"/>
        <v>0</v>
      </c>
      <c r="AD1624" s="78" t="b">
        <f t="shared" si="1318"/>
        <v>0</v>
      </c>
      <c r="AE1624" s="78" t="b">
        <f t="shared" si="1319"/>
        <v>0</v>
      </c>
      <c r="AF1624" s="78" t="b">
        <f t="shared" si="1320"/>
        <v>0</v>
      </c>
      <c r="AG1624" s="78" t="b">
        <f t="shared" si="1321"/>
        <v>0</v>
      </c>
      <c r="AH1624" s="78" t="b">
        <f t="shared" si="1322"/>
        <v>0</v>
      </c>
      <c r="AI1624" s="78" t="b">
        <f t="shared" si="1323"/>
        <v>0</v>
      </c>
      <c r="AJ1624" s="78" t="b">
        <f t="shared" si="1324"/>
        <v>0</v>
      </c>
      <c r="AK1624" s="78" t="b">
        <f t="shared" si="1325"/>
        <v>0</v>
      </c>
      <c r="AL1624" s="78" t="b">
        <f t="shared" si="1326"/>
        <v>0</v>
      </c>
      <c r="AM1624" s="78" t="b">
        <f t="shared" si="1327"/>
        <v>0</v>
      </c>
      <c r="AN1624" s="78" t="b">
        <f t="shared" si="1328"/>
        <v>0</v>
      </c>
      <c r="AO1624" s="78" t="b">
        <f t="shared" si="1329"/>
        <v>0</v>
      </c>
    </row>
    <row r="1625" spans="7:41" x14ac:dyDescent="0.35">
      <c r="G1625" s="77">
        <f t="shared" si="1299"/>
        <v>0</v>
      </c>
      <c r="H1625" s="78">
        <f t="shared" si="1300"/>
        <v>0</v>
      </c>
      <c r="I1625" s="77">
        <f t="shared" si="1301"/>
        <v>0</v>
      </c>
      <c r="J1625" s="78">
        <f t="shared" si="1302"/>
        <v>0</v>
      </c>
      <c r="K1625" s="78" t="str">
        <f t="shared" si="1303"/>
        <v>1900-01-00 00:0:00</v>
      </c>
      <c r="L1625" s="78" t="str">
        <f t="shared" si="1304"/>
        <v>1900-01-00 00:0:00</v>
      </c>
      <c r="M1625" s="79">
        <f t="shared" si="1305"/>
        <v>0</v>
      </c>
      <c r="N1625">
        <f t="shared" si="1330"/>
        <v>1</v>
      </c>
      <c r="O1625" t="str">
        <f>IFERROR(_xlfn.XLOOKUP(A1625,HC!A:A,HC!C:C),"")</f>
        <v>Workforce</v>
      </c>
      <c r="R1625" s="78" t="b">
        <f t="shared" si="1306"/>
        <v>0</v>
      </c>
      <c r="S1625" s="78" t="b">
        <f t="shared" si="1307"/>
        <v>0</v>
      </c>
      <c r="T1625" s="78" t="b">
        <f t="shared" si="1308"/>
        <v>0</v>
      </c>
      <c r="U1625" s="78" t="b">
        <f t="shared" si="1309"/>
        <v>0</v>
      </c>
      <c r="V1625" s="78" t="b">
        <f t="shared" si="1310"/>
        <v>0</v>
      </c>
      <c r="W1625" s="78" t="b">
        <f t="shared" si="1311"/>
        <v>0</v>
      </c>
      <c r="X1625" s="78" t="b">
        <f t="shared" si="1312"/>
        <v>0</v>
      </c>
      <c r="Y1625" s="78" t="b">
        <f t="shared" si="1313"/>
        <v>0</v>
      </c>
      <c r="Z1625" s="78" t="b">
        <f t="shared" si="1314"/>
        <v>0</v>
      </c>
      <c r="AA1625" s="78" t="b">
        <f t="shared" si="1315"/>
        <v>0</v>
      </c>
      <c r="AB1625" s="78" t="b">
        <f t="shared" si="1316"/>
        <v>0</v>
      </c>
      <c r="AC1625" s="78" t="b">
        <f t="shared" si="1317"/>
        <v>0</v>
      </c>
      <c r="AD1625" s="78" t="b">
        <f t="shared" si="1318"/>
        <v>0</v>
      </c>
      <c r="AE1625" s="78" t="b">
        <f t="shared" si="1319"/>
        <v>0</v>
      </c>
      <c r="AF1625" s="78" t="b">
        <f t="shared" si="1320"/>
        <v>0</v>
      </c>
      <c r="AG1625" s="78" t="b">
        <f t="shared" si="1321"/>
        <v>0</v>
      </c>
      <c r="AH1625" s="78" t="b">
        <f t="shared" si="1322"/>
        <v>0</v>
      </c>
      <c r="AI1625" s="78" t="b">
        <f t="shared" si="1323"/>
        <v>0</v>
      </c>
      <c r="AJ1625" s="78" t="b">
        <f t="shared" si="1324"/>
        <v>0</v>
      </c>
      <c r="AK1625" s="78" t="b">
        <f t="shared" si="1325"/>
        <v>0</v>
      </c>
      <c r="AL1625" s="78" t="b">
        <f t="shared" si="1326"/>
        <v>0</v>
      </c>
      <c r="AM1625" s="78" t="b">
        <f t="shared" si="1327"/>
        <v>0</v>
      </c>
      <c r="AN1625" s="78" t="b">
        <f t="shared" si="1328"/>
        <v>0</v>
      </c>
      <c r="AO1625" s="78" t="b">
        <f t="shared" si="1329"/>
        <v>0</v>
      </c>
    </row>
    <row r="1626" spans="7:41" x14ac:dyDescent="0.35">
      <c r="G1626" s="77">
        <f t="shared" si="1299"/>
        <v>0</v>
      </c>
      <c r="H1626" s="78">
        <f t="shared" si="1300"/>
        <v>0</v>
      </c>
      <c r="I1626" s="77">
        <f t="shared" si="1301"/>
        <v>0</v>
      </c>
      <c r="J1626" s="78">
        <f t="shared" si="1302"/>
        <v>0</v>
      </c>
      <c r="K1626" s="78" t="str">
        <f t="shared" si="1303"/>
        <v>1900-01-00 00:0:00</v>
      </c>
      <c r="L1626" s="78" t="str">
        <f t="shared" si="1304"/>
        <v>1900-01-00 00:0:00</v>
      </c>
      <c r="M1626" s="79">
        <f t="shared" si="1305"/>
        <v>0</v>
      </c>
      <c r="N1626">
        <f t="shared" si="1330"/>
        <v>1</v>
      </c>
      <c r="O1626" t="str">
        <f>IFERROR(_xlfn.XLOOKUP(A1626,HC!A:A,HC!C:C),"")</f>
        <v>Workforce</v>
      </c>
      <c r="R1626" s="78" t="b">
        <f t="shared" si="1306"/>
        <v>0</v>
      </c>
      <c r="S1626" s="78" t="b">
        <f t="shared" si="1307"/>
        <v>0</v>
      </c>
      <c r="T1626" s="78" t="b">
        <f t="shared" si="1308"/>
        <v>0</v>
      </c>
      <c r="U1626" s="78" t="b">
        <f t="shared" si="1309"/>
        <v>0</v>
      </c>
      <c r="V1626" s="78" t="b">
        <f t="shared" si="1310"/>
        <v>0</v>
      </c>
      <c r="W1626" s="78" t="b">
        <f t="shared" si="1311"/>
        <v>0</v>
      </c>
      <c r="X1626" s="78" t="b">
        <f t="shared" si="1312"/>
        <v>0</v>
      </c>
      <c r="Y1626" s="78" t="b">
        <f t="shared" si="1313"/>
        <v>0</v>
      </c>
      <c r="Z1626" s="78" t="b">
        <f t="shared" si="1314"/>
        <v>0</v>
      </c>
      <c r="AA1626" s="78" t="b">
        <f t="shared" si="1315"/>
        <v>0</v>
      </c>
      <c r="AB1626" s="78" t="b">
        <f t="shared" si="1316"/>
        <v>0</v>
      </c>
      <c r="AC1626" s="78" t="b">
        <f t="shared" si="1317"/>
        <v>0</v>
      </c>
      <c r="AD1626" s="78" t="b">
        <f t="shared" si="1318"/>
        <v>0</v>
      </c>
      <c r="AE1626" s="78" t="b">
        <f t="shared" si="1319"/>
        <v>0</v>
      </c>
      <c r="AF1626" s="78" t="b">
        <f t="shared" si="1320"/>
        <v>0</v>
      </c>
      <c r="AG1626" s="78" t="b">
        <f t="shared" si="1321"/>
        <v>0</v>
      </c>
      <c r="AH1626" s="78" t="b">
        <f t="shared" si="1322"/>
        <v>0</v>
      </c>
      <c r="AI1626" s="78" t="b">
        <f t="shared" si="1323"/>
        <v>0</v>
      </c>
      <c r="AJ1626" s="78" t="b">
        <f t="shared" si="1324"/>
        <v>0</v>
      </c>
      <c r="AK1626" s="78" t="b">
        <f t="shared" si="1325"/>
        <v>0</v>
      </c>
      <c r="AL1626" s="78" t="b">
        <f t="shared" si="1326"/>
        <v>0</v>
      </c>
      <c r="AM1626" s="78" t="b">
        <f t="shared" si="1327"/>
        <v>0</v>
      </c>
      <c r="AN1626" s="78" t="b">
        <f t="shared" si="1328"/>
        <v>0</v>
      </c>
      <c r="AO1626" s="78" t="b">
        <f t="shared" si="1329"/>
        <v>0</v>
      </c>
    </row>
    <row r="1627" spans="7:41" x14ac:dyDescent="0.35">
      <c r="G1627" s="77">
        <f t="shared" si="1299"/>
        <v>0</v>
      </c>
      <c r="H1627" s="78">
        <f t="shared" si="1300"/>
        <v>0</v>
      </c>
      <c r="I1627" s="77">
        <f t="shared" si="1301"/>
        <v>0</v>
      </c>
      <c r="J1627" s="78">
        <f t="shared" si="1302"/>
        <v>0</v>
      </c>
      <c r="K1627" s="78" t="str">
        <f t="shared" si="1303"/>
        <v>1900-01-00 00:0:00</v>
      </c>
      <c r="L1627" s="78" t="str">
        <f t="shared" si="1304"/>
        <v>1900-01-00 00:0:00</v>
      </c>
      <c r="M1627" s="79">
        <f t="shared" si="1305"/>
        <v>0</v>
      </c>
      <c r="N1627">
        <f t="shared" si="1330"/>
        <v>1</v>
      </c>
      <c r="O1627" t="str">
        <f>IFERROR(_xlfn.XLOOKUP(A1627,HC!A:A,HC!C:C),"")</f>
        <v>Workforce</v>
      </c>
      <c r="R1627" s="78" t="b">
        <f t="shared" si="1306"/>
        <v>0</v>
      </c>
      <c r="S1627" s="78" t="b">
        <f t="shared" si="1307"/>
        <v>0</v>
      </c>
      <c r="T1627" s="78" t="b">
        <f t="shared" si="1308"/>
        <v>0</v>
      </c>
      <c r="U1627" s="78" t="b">
        <f t="shared" si="1309"/>
        <v>0</v>
      </c>
      <c r="V1627" s="78" t="b">
        <f t="shared" si="1310"/>
        <v>0</v>
      </c>
      <c r="W1627" s="78" t="b">
        <f t="shared" si="1311"/>
        <v>0</v>
      </c>
      <c r="X1627" s="78" t="b">
        <f t="shared" si="1312"/>
        <v>0</v>
      </c>
      <c r="Y1627" s="78" t="b">
        <f t="shared" si="1313"/>
        <v>0</v>
      </c>
      <c r="Z1627" s="78" t="b">
        <f t="shared" si="1314"/>
        <v>0</v>
      </c>
      <c r="AA1627" s="78" t="b">
        <f t="shared" si="1315"/>
        <v>0</v>
      </c>
      <c r="AB1627" s="78" t="b">
        <f t="shared" si="1316"/>
        <v>0</v>
      </c>
      <c r="AC1627" s="78" t="b">
        <f t="shared" si="1317"/>
        <v>0</v>
      </c>
      <c r="AD1627" s="78" t="b">
        <f t="shared" si="1318"/>
        <v>0</v>
      </c>
      <c r="AE1627" s="78" t="b">
        <f t="shared" si="1319"/>
        <v>0</v>
      </c>
      <c r="AF1627" s="78" t="b">
        <f t="shared" si="1320"/>
        <v>0</v>
      </c>
      <c r="AG1627" s="78" t="b">
        <f t="shared" si="1321"/>
        <v>0</v>
      </c>
      <c r="AH1627" s="78" t="b">
        <f t="shared" si="1322"/>
        <v>0</v>
      </c>
      <c r="AI1627" s="78" t="b">
        <f t="shared" si="1323"/>
        <v>0</v>
      </c>
      <c r="AJ1627" s="78" t="b">
        <f t="shared" si="1324"/>
        <v>0</v>
      </c>
      <c r="AK1627" s="78" t="b">
        <f t="shared" si="1325"/>
        <v>0</v>
      </c>
      <c r="AL1627" s="78" t="b">
        <f t="shared" si="1326"/>
        <v>0</v>
      </c>
      <c r="AM1627" s="78" t="b">
        <f t="shared" si="1327"/>
        <v>0</v>
      </c>
      <c r="AN1627" s="78" t="b">
        <f t="shared" si="1328"/>
        <v>0</v>
      </c>
      <c r="AO1627" s="78" t="b">
        <f t="shared" si="1329"/>
        <v>0</v>
      </c>
    </row>
    <row r="1628" spans="7:41" x14ac:dyDescent="0.35">
      <c r="G1628" s="77">
        <f t="shared" si="1299"/>
        <v>0</v>
      </c>
      <c r="H1628" s="78">
        <f t="shared" si="1300"/>
        <v>0</v>
      </c>
      <c r="I1628" s="77">
        <f t="shared" si="1301"/>
        <v>0</v>
      </c>
      <c r="J1628" s="78">
        <f t="shared" si="1302"/>
        <v>0</v>
      </c>
      <c r="K1628" s="78" t="str">
        <f t="shared" si="1303"/>
        <v>1900-01-00 00:0:00</v>
      </c>
      <c r="L1628" s="78" t="str">
        <f t="shared" si="1304"/>
        <v>1900-01-00 00:0:00</v>
      </c>
      <c r="M1628" s="79">
        <f t="shared" si="1305"/>
        <v>0</v>
      </c>
      <c r="N1628">
        <f t="shared" si="1330"/>
        <v>1</v>
      </c>
      <c r="O1628" t="str">
        <f>IFERROR(_xlfn.XLOOKUP(A1628,HC!A:A,HC!C:C),"")</f>
        <v>Workforce</v>
      </c>
      <c r="R1628" s="78" t="b">
        <f t="shared" si="1306"/>
        <v>0</v>
      </c>
      <c r="S1628" s="78" t="b">
        <f t="shared" si="1307"/>
        <v>0</v>
      </c>
      <c r="T1628" s="78" t="b">
        <f t="shared" si="1308"/>
        <v>0</v>
      </c>
      <c r="U1628" s="78" t="b">
        <f t="shared" si="1309"/>
        <v>0</v>
      </c>
      <c r="V1628" s="78" t="b">
        <f t="shared" si="1310"/>
        <v>0</v>
      </c>
      <c r="W1628" s="78" t="b">
        <f t="shared" si="1311"/>
        <v>0</v>
      </c>
      <c r="X1628" s="78" t="b">
        <f t="shared" si="1312"/>
        <v>0</v>
      </c>
      <c r="Y1628" s="78" t="b">
        <f t="shared" si="1313"/>
        <v>0</v>
      </c>
      <c r="Z1628" s="78" t="b">
        <f t="shared" si="1314"/>
        <v>0</v>
      </c>
      <c r="AA1628" s="78" t="b">
        <f t="shared" si="1315"/>
        <v>0</v>
      </c>
      <c r="AB1628" s="78" t="b">
        <f t="shared" si="1316"/>
        <v>0</v>
      </c>
      <c r="AC1628" s="78" t="b">
        <f t="shared" si="1317"/>
        <v>0</v>
      </c>
      <c r="AD1628" s="78" t="b">
        <f t="shared" si="1318"/>
        <v>0</v>
      </c>
      <c r="AE1628" s="78" t="b">
        <f t="shared" si="1319"/>
        <v>0</v>
      </c>
      <c r="AF1628" s="78" t="b">
        <f t="shared" si="1320"/>
        <v>0</v>
      </c>
      <c r="AG1628" s="78" t="b">
        <f t="shared" si="1321"/>
        <v>0</v>
      </c>
      <c r="AH1628" s="78" t="b">
        <f t="shared" si="1322"/>
        <v>0</v>
      </c>
      <c r="AI1628" s="78" t="b">
        <f t="shared" si="1323"/>
        <v>0</v>
      </c>
      <c r="AJ1628" s="78" t="b">
        <f t="shared" si="1324"/>
        <v>0</v>
      </c>
      <c r="AK1628" s="78" t="b">
        <f t="shared" si="1325"/>
        <v>0</v>
      </c>
      <c r="AL1628" s="78" t="b">
        <f t="shared" si="1326"/>
        <v>0</v>
      </c>
      <c r="AM1628" s="78" t="b">
        <f t="shared" si="1327"/>
        <v>0</v>
      </c>
      <c r="AN1628" s="78" t="b">
        <f t="shared" si="1328"/>
        <v>0</v>
      </c>
      <c r="AO1628" s="78" t="b">
        <f t="shared" si="1329"/>
        <v>0</v>
      </c>
    </row>
    <row r="1629" spans="7:41" x14ac:dyDescent="0.35">
      <c r="G1629" s="77">
        <f t="shared" si="1299"/>
        <v>0</v>
      </c>
      <c r="H1629" s="78">
        <f t="shared" si="1300"/>
        <v>0</v>
      </c>
      <c r="I1629" s="77">
        <f t="shared" si="1301"/>
        <v>0</v>
      </c>
      <c r="J1629" s="78">
        <f t="shared" si="1302"/>
        <v>0</v>
      </c>
      <c r="K1629" s="78" t="str">
        <f t="shared" si="1303"/>
        <v>1900-01-00 00:0:00</v>
      </c>
      <c r="L1629" s="78" t="str">
        <f t="shared" si="1304"/>
        <v>1900-01-00 00:0:00</v>
      </c>
      <c r="M1629" s="79">
        <f t="shared" si="1305"/>
        <v>0</v>
      </c>
      <c r="N1629">
        <f t="shared" si="1330"/>
        <v>1</v>
      </c>
      <c r="O1629" t="str">
        <f>IFERROR(_xlfn.XLOOKUP(A1629,HC!A:A,HC!C:C),"")</f>
        <v>Workforce</v>
      </c>
      <c r="R1629" s="78" t="b">
        <f t="shared" si="1306"/>
        <v>0</v>
      </c>
      <c r="S1629" s="78" t="b">
        <f t="shared" si="1307"/>
        <v>0</v>
      </c>
      <c r="T1629" s="78" t="b">
        <f t="shared" si="1308"/>
        <v>0</v>
      </c>
      <c r="U1629" s="78" t="b">
        <f t="shared" si="1309"/>
        <v>0</v>
      </c>
      <c r="V1629" s="78" t="b">
        <f t="shared" si="1310"/>
        <v>0</v>
      </c>
      <c r="W1629" s="78" t="b">
        <f t="shared" si="1311"/>
        <v>0</v>
      </c>
      <c r="X1629" s="78" t="b">
        <f t="shared" si="1312"/>
        <v>0</v>
      </c>
      <c r="Y1629" s="78" t="b">
        <f t="shared" si="1313"/>
        <v>0</v>
      </c>
      <c r="Z1629" s="78" t="b">
        <f t="shared" si="1314"/>
        <v>0</v>
      </c>
      <c r="AA1629" s="78" t="b">
        <f t="shared" si="1315"/>
        <v>0</v>
      </c>
      <c r="AB1629" s="78" t="b">
        <f t="shared" si="1316"/>
        <v>0</v>
      </c>
      <c r="AC1629" s="78" t="b">
        <f t="shared" si="1317"/>
        <v>0</v>
      </c>
      <c r="AD1629" s="78" t="b">
        <f t="shared" si="1318"/>
        <v>0</v>
      </c>
      <c r="AE1629" s="78" t="b">
        <f t="shared" si="1319"/>
        <v>0</v>
      </c>
      <c r="AF1629" s="78" t="b">
        <f t="shared" si="1320"/>
        <v>0</v>
      </c>
      <c r="AG1629" s="78" t="b">
        <f t="shared" si="1321"/>
        <v>0</v>
      </c>
      <c r="AH1629" s="78" t="b">
        <f t="shared" si="1322"/>
        <v>0</v>
      </c>
      <c r="AI1629" s="78" t="b">
        <f t="shared" si="1323"/>
        <v>0</v>
      </c>
      <c r="AJ1629" s="78" t="b">
        <f t="shared" si="1324"/>
        <v>0</v>
      </c>
      <c r="AK1629" s="78" t="b">
        <f t="shared" si="1325"/>
        <v>0</v>
      </c>
      <c r="AL1629" s="78" t="b">
        <f t="shared" si="1326"/>
        <v>0</v>
      </c>
      <c r="AM1629" s="78" t="b">
        <f t="shared" si="1327"/>
        <v>0</v>
      </c>
      <c r="AN1629" s="78" t="b">
        <f t="shared" si="1328"/>
        <v>0</v>
      </c>
      <c r="AO1629" s="78" t="b">
        <f t="shared" si="1329"/>
        <v>0</v>
      </c>
    </row>
    <row r="1630" spans="7:41" x14ac:dyDescent="0.35">
      <c r="G1630" s="77">
        <f t="shared" si="1299"/>
        <v>0</v>
      </c>
      <c r="H1630" s="78">
        <f t="shared" si="1300"/>
        <v>0</v>
      </c>
      <c r="I1630" s="77">
        <f t="shared" si="1301"/>
        <v>0</v>
      </c>
      <c r="J1630" s="78">
        <f t="shared" si="1302"/>
        <v>0</v>
      </c>
      <c r="K1630" s="78" t="str">
        <f t="shared" si="1303"/>
        <v>1900-01-00 00:0:00</v>
      </c>
      <c r="L1630" s="78" t="str">
        <f t="shared" si="1304"/>
        <v>1900-01-00 00:0:00</v>
      </c>
      <c r="M1630" s="79">
        <f t="shared" si="1305"/>
        <v>0</v>
      </c>
      <c r="N1630">
        <f t="shared" si="1330"/>
        <v>1</v>
      </c>
      <c r="O1630" t="str">
        <f>IFERROR(_xlfn.XLOOKUP(A1630,HC!A:A,HC!C:C),"")</f>
        <v>Workforce</v>
      </c>
      <c r="R1630" s="78" t="b">
        <f t="shared" si="1306"/>
        <v>0</v>
      </c>
      <c r="S1630" s="78" t="b">
        <f t="shared" si="1307"/>
        <v>0</v>
      </c>
      <c r="T1630" s="78" t="b">
        <f t="shared" si="1308"/>
        <v>0</v>
      </c>
      <c r="U1630" s="78" t="b">
        <f t="shared" si="1309"/>
        <v>0</v>
      </c>
      <c r="V1630" s="78" t="b">
        <f t="shared" si="1310"/>
        <v>0</v>
      </c>
      <c r="W1630" s="78" t="b">
        <f t="shared" si="1311"/>
        <v>0</v>
      </c>
      <c r="X1630" s="78" t="b">
        <f t="shared" si="1312"/>
        <v>0</v>
      </c>
      <c r="Y1630" s="78" t="b">
        <f t="shared" si="1313"/>
        <v>0</v>
      </c>
      <c r="Z1630" s="78" t="b">
        <f t="shared" si="1314"/>
        <v>0</v>
      </c>
      <c r="AA1630" s="78" t="b">
        <f t="shared" si="1315"/>
        <v>0</v>
      </c>
      <c r="AB1630" s="78" t="b">
        <f t="shared" si="1316"/>
        <v>0</v>
      </c>
      <c r="AC1630" s="78" t="b">
        <f t="shared" si="1317"/>
        <v>0</v>
      </c>
      <c r="AD1630" s="78" t="b">
        <f t="shared" si="1318"/>
        <v>0</v>
      </c>
      <c r="AE1630" s="78" t="b">
        <f t="shared" si="1319"/>
        <v>0</v>
      </c>
      <c r="AF1630" s="78" t="b">
        <f t="shared" si="1320"/>
        <v>0</v>
      </c>
      <c r="AG1630" s="78" t="b">
        <f t="shared" si="1321"/>
        <v>0</v>
      </c>
      <c r="AH1630" s="78" t="b">
        <f t="shared" si="1322"/>
        <v>0</v>
      </c>
      <c r="AI1630" s="78" t="b">
        <f t="shared" si="1323"/>
        <v>0</v>
      </c>
      <c r="AJ1630" s="78" t="b">
        <f t="shared" si="1324"/>
        <v>0</v>
      </c>
      <c r="AK1630" s="78" t="b">
        <f t="shared" si="1325"/>
        <v>0</v>
      </c>
      <c r="AL1630" s="78" t="b">
        <f t="shared" si="1326"/>
        <v>0</v>
      </c>
      <c r="AM1630" s="78" t="b">
        <f t="shared" si="1327"/>
        <v>0</v>
      </c>
      <c r="AN1630" s="78" t="b">
        <f t="shared" si="1328"/>
        <v>0</v>
      </c>
      <c r="AO1630" s="78" t="b">
        <f t="shared" si="1329"/>
        <v>0</v>
      </c>
    </row>
    <row r="1631" spans="7:41" x14ac:dyDescent="0.35">
      <c r="G1631" s="77">
        <f t="shared" si="1299"/>
        <v>0</v>
      </c>
      <c r="H1631" s="78">
        <f t="shared" si="1300"/>
        <v>0</v>
      </c>
      <c r="I1631" s="77">
        <f t="shared" si="1301"/>
        <v>0</v>
      </c>
      <c r="J1631" s="78">
        <f t="shared" si="1302"/>
        <v>0</v>
      </c>
      <c r="K1631" s="78" t="str">
        <f t="shared" si="1303"/>
        <v>1900-01-00 00:0:00</v>
      </c>
      <c r="L1631" s="78" t="str">
        <f t="shared" si="1304"/>
        <v>1900-01-00 00:0:00</v>
      </c>
      <c r="M1631" s="79">
        <f t="shared" si="1305"/>
        <v>0</v>
      </c>
      <c r="N1631">
        <f t="shared" si="1330"/>
        <v>1</v>
      </c>
      <c r="O1631" t="str">
        <f>IFERROR(_xlfn.XLOOKUP(A1631,HC!A:A,HC!C:C),"")</f>
        <v>Workforce</v>
      </c>
      <c r="R1631" s="78" t="b">
        <f t="shared" si="1306"/>
        <v>0</v>
      </c>
      <c r="S1631" s="78" t="b">
        <f t="shared" si="1307"/>
        <v>0</v>
      </c>
      <c r="T1631" s="78" t="b">
        <f t="shared" si="1308"/>
        <v>0</v>
      </c>
      <c r="U1631" s="78" t="b">
        <f t="shared" si="1309"/>
        <v>0</v>
      </c>
      <c r="V1631" s="78" t="b">
        <f t="shared" si="1310"/>
        <v>0</v>
      </c>
      <c r="W1631" s="78" t="b">
        <f t="shared" si="1311"/>
        <v>0</v>
      </c>
      <c r="X1631" s="78" t="b">
        <f t="shared" si="1312"/>
        <v>0</v>
      </c>
      <c r="Y1631" s="78" t="b">
        <f t="shared" si="1313"/>
        <v>0</v>
      </c>
      <c r="Z1631" s="78" t="b">
        <f t="shared" si="1314"/>
        <v>0</v>
      </c>
      <c r="AA1631" s="78" t="b">
        <f t="shared" si="1315"/>
        <v>0</v>
      </c>
      <c r="AB1631" s="78" t="b">
        <f t="shared" si="1316"/>
        <v>0</v>
      </c>
      <c r="AC1631" s="78" t="b">
        <f t="shared" si="1317"/>
        <v>0</v>
      </c>
      <c r="AD1631" s="78" t="b">
        <f t="shared" si="1318"/>
        <v>0</v>
      </c>
      <c r="AE1631" s="78" t="b">
        <f t="shared" si="1319"/>
        <v>0</v>
      </c>
      <c r="AF1631" s="78" t="b">
        <f t="shared" si="1320"/>
        <v>0</v>
      </c>
      <c r="AG1631" s="78" t="b">
        <f t="shared" si="1321"/>
        <v>0</v>
      </c>
      <c r="AH1631" s="78" t="b">
        <f t="shared" si="1322"/>
        <v>0</v>
      </c>
      <c r="AI1631" s="78" t="b">
        <f t="shared" si="1323"/>
        <v>0</v>
      </c>
      <c r="AJ1631" s="78" t="b">
        <f t="shared" si="1324"/>
        <v>0</v>
      </c>
      <c r="AK1631" s="78" t="b">
        <f t="shared" si="1325"/>
        <v>0</v>
      </c>
      <c r="AL1631" s="78" t="b">
        <f t="shared" si="1326"/>
        <v>0</v>
      </c>
      <c r="AM1631" s="78" t="b">
        <f t="shared" si="1327"/>
        <v>0</v>
      </c>
      <c r="AN1631" s="78" t="b">
        <f t="shared" si="1328"/>
        <v>0</v>
      </c>
      <c r="AO1631" s="78" t="b">
        <f t="shared" si="1329"/>
        <v>0</v>
      </c>
    </row>
    <row r="1632" spans="7:41" x14ac:dyDescent="0.35">
      <c r="G1632" s="77">
        <f t="shared" si="1299"/>
        <v>0</v>
      </c>
      <c r="H1632" s="78">
        <f t="shared" si="1300"/>
        <v>0</v>
      </c>
      <c r="I1632" s="77">
        <f t="shared" si="1301"/>
        <v>0</v>
      </c>
      <c r="J1632" s="78">
        <f t="shared" si="1302"/>
        <v>0</v>
      </c>
      <c r="K1632" s="78" t="str">
        <f t="shared" si="1303"/>
        <v>1900-01-00 00:0:00</v>
      </c>
      <c r="L1632" s="78" t="str">
        <f t="shared" si="1304"/>
        <v>1900-01-00 00:0:00</v>
      </c>
      <c r="M1632" s="79">
        <f t="shared" si="1305"/>
        <v>0</v>
      </c>
      <c r="N1632">
        <f t="shared" si="1330"/>
        <v>1</v>
      </c>
      <c r="O1632" t="str">
        <f>IFERROR(_xlfn.XLOOKUP(A1632,HC!A:A,HC!C:C),"")</f>
        <v>Workforce</v>
      </c>
      <c r="R1632" s="78" t="b">
        <f t="shared" si="1306"/>
        <v>0</v>
      </c>
      <c r="S1632" s="78" t="b">
        <f t="shared" si="1307"/>
        <v>0</v>
      </c>
      <c r="T1632" s="78" t="b">
        <f t="shared" si="1308"/>
        <v>0</v>
      </c>
      <c r="U1632" s="78" t="b">
        <f t="shared" si="1309"/>
        <v>0</v>
      </c>
      <c r="V1632" s="78" t="b">
        <f t="shared" si="1310"/>
        <v>0</v>
      </c>
      <c r="W1632" s="78" t="b">
        <f t="shared" si="1311"/>
        <v>0</v>
      </c>
      <c r="X1632" s="78" t="b">
        <f t="shared" si="1312"/>
        <v>0</v>
      </c>
      <c r="Y1632" s="78" t="b">
        <f t="shared" si="1313"/>
        <v>0</v>
      </c>
      <c r="Z1632" s="78" t="b">
        <f t="shared" si="1314"/>
        <v>0</v>
      </c>
      <c r="AA1632" s="78" t="b">
        <f t="shared" si="1315"/>
        <v>0</v>
      </c>
      <c r="AB1632" s="78" t="b">
        <f t="shared" si="1316"/>
        <v>0</v>
      </c>
      <c r="AC1632" s="78" t="b">
        <f t="shared" si="1317"/>
        <v>0</v>
      </c>
      <c r="AD1632" s="78" t="b">
        <f t="shared" si="1318"/>
        <v>0</v>
      </c>
      <c r="AE1632" s="78" t="b">
        <f t="shared" si="1319"/>
        <v>0</v>
      </c>
      <c r="AF1632" s="78" t="b">
        <f t="shared" si="1320"/>
        <v>0</v>
      </c>
      <c r="AG1632" s="78" t="b">
        <f t="shared" si="1321"/>
        <v>0</v>
      </c>
      <c r="AH1632" s="78" t="b">
        <f t="shared" si="1322"/>
        <v>0</v>
      </c>
      <c r="AI1632" s="78" t="b">
        <f t="shared" si="1323"/>
        <v>0</v>
      </c>
      <c r="AJ1632" s="78" t="b">
        <f t="shared" si="1324"/>
        <v>0</v>
      </c>
      <c r="AK1632" s="78" t="b">
        <f t="shared" si="1325"/>
        <v>0</v>
      </c>
      <c r="AL1632" s="78" t="b">
        <f t="shared" si="1326"/>
        <v>0</v>
      </c>
      <c r="AM1632" s="78" t="b">
        <f t="shared" si="1327"/>
        <v>0</v>
      </c>
      <c r="AN1632" s="78" t="b">
        <f t="shared" si="1328"/>
        <v>0</v>
      </c>
      <c r="AO1632" s="78" t="b">
        <f t="shared" si="1329"/>
        <v>0</v>
      </c>
    </row>
    <row r="1633" spans="7:41" x14ac:dyDescent="0.35">
      <c r="G1633" s="77">
        <f t="shared" si="1299"/>
        <v>0</v>
      </c>
      <c r="H1633" s="78">
        <f t="shared" si="1300"/>
        <v>0</v>
      </c>
      <c r="I1633" s="77">
        <f t="shared" si="1301"/>
        <v>0</v>
      </c>
      <c r="J1633" s="78">
        <f t="shared" si="1302"/>
        <v>0</v>
      </c>
      <c r="K1633" s="78" t="str">
        <f t="shared" si="1303"/>
        <v>1900-01-00 00:0:00</v>
      </c>
      <c r="L1633" s="78" t="str">
        <f t="shared" si="1304"/>
        <v>1900-01-00 00:0:00</v>
      </c>
      <c r="M1633" s="79">
        <f t="shared" si="1305"/>
        <v>0</v>
      </c>
      <c r="N1633">
        <f t="shared" si="1330"/>
        <v>1</v>
      </c>
      <c r="O1633" t="str">
        <f>IFERROR(_xlfn.XLOOKUP(A1633,HC!A:A,HC!C:C),"")</f>
        <v>Workforce</v>
      </c>
      <c r="R1633" s="78" t="b">
        <f t="shared" si="1306"/>
        <v>0</v>
      </c>
      <c r="S1633" s="78" t="b">
        <f t="shared" si="1307"/>
        <v>0</v>
      </c>
      <c r="T1633" s="78" t="b">
        <f t="shared" si="1308"/>
        <v>0</v>
      </c>
      <c r="U1633" s="78" t="b">
        <f t="shared" si="1309"/>
        <v>0</v>
      </c>
      <c r="V1633" s="78" t="b">
        <f t="shared" si="1310"/>
        <v>0</v>
      </c>
      <c r="W1633" s="78" t="b">
        <f t="shared" si="1311"/>
        <v>0</v>
      </c>
      <c r="X1633" s="78" t="b">
        <f t="shared" si="1312"/>
        <v>0</v>
      </c>
      <c r="Y1633" s="78" t="b">
        <f t="shared" si="1313"/>
        <v>0</v>
      </c>
      <c r="Z1633" s="78" t="b">
        <f t="shared" si="1314"/>
        <v>0</v>
      </c>
      <c r="AA1633" s="78" t="b">
        <f t="shared" si="1315"/>
        <v>0</v>
      </c>
      <c r="AB1633" s="78" t="b">
        <f t="shared" si="1316"/>
        <v>0</v>
      </c>
      <c r="AC1633" s="78" t="b">
        <f t="shared" si="1317"/>
        <v>0</v>
      </c>
      <c r="AD1633" s="78" t="b">
        <f t="shared" si="1318"/>
        <v>0</v>
      </c>
      <c r="AE1633" s="78" t="b">
        <f t="shared" si="1319"/>
        <v>0</v>
      </c>
      <c r="AF1633" s="78" t="b">
        <f t="shared" si="1320"/>
        <v>0</v>
      </c>
      <c r="AG1633" s="78" t="b">
        <f t="shared" si="1321"/>
        <v>0</v>
      </c>
      <c r="AH1633" s="78" t="b">
        <f t="shared" si="1322"/>
        <v>0</v>
      </c>
      <c r="AI1633" s="78" t="b">
        <f t="shared" si="1323"/>
        <v>0</v>
      </c>
      <c r="AJ1633" s="78" t="b">
        <f t="shared" si="1324"/>
        <v>0</v>
      </c>
      <c r="AK1633" s="78" t="b">
        <f t="shared" si="1325"/>
        <v>0</v>
      </c>
      <c r="AL1633" s="78" t="b">
        <f t="shared" si="1326"/>
        <v>0</v>
      </c>
      <c r="AM1633" s="78" t="b">
        <f t="shared" si="1327"/>
        <v>0</v>
      </c>
      <c r="AN1633" s="78" t="b">
        <f t="shared" si="1328"/>
        <v>0</v>
      </c>
      <c r="AO1633" s="78" t="b">
        <f t="shared" si="1329"/>
        <v>0</v>
      </c>
    </row>
    <row r="1634" spans="7:41" x14ac:dyDescent="0.35">
      <c r="G1634" s="77">
        <f t="shared" si="1299"/>
        <v>0</v>
      </c>
      <c r="H1634" s="78">
        <f t="shared" si="1300"/>
        <v>0</v>
      </c>
      <c r="I1634" s="77">
        <f t="shared" si="1301"/>
        <v>0</v>
      </c>
      <c r="J1634" s="78">
        <f t="shared" si="1302"/>
        <v>0</v>
      </c>
      <c r="K1634" s="78" t="str">
        <f t="shared" si="1303"/>
        <v>1900-01-00 00:0:00</v>
      </c>
      <c r="L1634" s="78" t="str">
        <f t="shared" si="1304"/>
        <v>1900-01-00 00:0:00</v>
      </c>
      <c r="M1634" s="79">
        <f t="shared" si="1305"/>
        <v>0</v>
      </c>
      <c r="N1634">
        <f t="shared" si="1330"/>
        <v>1</v>
      </c>
      <c r="O1634" t="str">
        <f>IFERROR(_xlfn.XLOOKUP(A1634,HC!A:A,HC!C:C),"")</f>
        <v>Workforce</v>
      </c>
      <c r="R1634" s="78" t="b">
        <f t="shared" si="1306"/>
        <v>0</v>
      </c>
      <c r="S1634" s="78" t="b">
        <f t="shared" si="1307"/>
        <v>0</v>
      </c>
      <c r="T1634" s="78" t="b">
        <f t="shared" si="1308"/>
        <v>0</v>
      </c>
      <c r="U1634" s="78" t="b">
        <f t="shared" si="1309"/>
        <v>0</v>
      </c>
      <c r="V1634" s="78" t="b">
        <f t="shared" si="1310"/>
        <v>0</v>
      </c>
      <c r="W1634" s="78" t="b">
        <f t="shared" si="1311"/>
        <v>0</v>
      </c>
      <c r="X1634" s="78" t="b">
        <f t="shared" si="1312"/>
        <v>0</v>
      </c>
      <c r="Y1634" s="78" t="b">
        <f t="shared" si="1313"/>
        <v>0</v>
      </c>
      <c r="Z1634" s="78" t="b">
        <f t="shared" si="1314"/>
        <v>0</v>
      </c>
      <c r="AA1634" s="78" t="b">
        <f t="shared" si="1315"/>
        <v>0</v>
      </c>
      <c r="AB1634" s="78" t="b">
        <f t="shared" si="1316"/>
        <v>0</v>
      </c>
      <c r="AC1634" s="78" t="b">
        <f t="shared" si="1317"/>
        <v>0</v>
      </c>
      <c r="AD1634" s="78" t="b">
        <f t="shared" si="1318"/>
        <v>0</v>
      </c>
      <c r="AE1634" s="78" t="b">
        <f t="shared" si="1319"/>
        <v>0</v>
      </c>
      <c r="AF1634" s="78" t="b">
        <f t="shared" si="1320"/>
        <v>0</v>
      </c>
      <c r="AG1634" s="78" t="b">
        <f t="shared" si="1321"/>
        <v>0</v>
      </c>
      <c r="AH1634" s="78" t="b">
        <f t="shared" si="1322"/>
        <v>0</v>
      </c>
      <c r="AI1634" s="78" t="b">
        <f t="shared" si="1323"/>
        <v>0</v>
      </c>
      <c r="AJ1634" s="78" t="b">
        <f t="shared" si="1324"/>
        <v>0</v>
      </c>
      <c r="AK1634" s="78" t="b">
        <f t="shared" si="1325"/>
        <v>0</v>
      </c>
      <c r="AL1634" s="78" t="b">
        <f t="shared" si="1326"/>
        <v>0</v>
      </c>
      <c r="AM1634" s="78" t="b">
        <f t="shared" si="1327"/>
        <v>0</v>
      </c>
      <c r="AN1634" s="78" t="b">
        <f t="shared" si="1328"/>
        <v>0</v>
      </c>
      <c r="AO1634" s="78" t="b">
        <f t="shared" si="1329"/>
        <v>0</v>
      </c>
    </row>
    <row r="1635" spans="7:41" x14ac:dyDescent="0.35">
      <c r="G1635" s="77">
        <f t="shared" si="1299"/>
        <v>0</v>
      </c>
      <c r="H1635" s="78">
        <f t="shared" si="1300"/>
        <v>0</v>
      </c>
      <c r="I1635" s="77">
        <f t="shared" si="1301"/>
        <v>0</v>
      </c>
      <c r="J1635" s="78">
        <f t="shared" si="1302"/>
        <v>0</v>
      </c>
      <c r="K1635" s="78" t="str">
        <f t="shared" si="1303"/>
        <v>1900-01-00 00:0:00</v>
      </c>
      <c r="L1635" s="78" t="str">
        <f t="shared" si="1304"/>
        <v>1900-01-00 00:0:00</v>
      </c>
      <c r="M1635" s="79">
        <f t="shared" si="1305"/>
        <v>0</v>
      </c>
      <c r="N1635">
        <f t="shared" si="1330"/>
        <v>1</v>
      </c>
      <c r="O1635" t="str">
        <f>IFERROR(_xlfn.XLOOKUP(A1635,HC!A:A,HC!C:C),"")</f>
        <v>Workforce</v>
      </c>
      <c r="R1635" s="78" t="b">
        <f t="shared" si="1306"/>
        <v>0</v>
      </c>
      <c r="S1635" s="78" t="b">
        <f t="shared" si="1307"/>
        <v>0</v>
      </c>
      <c r="T1635" s="78" t="b">
        <f t="shared" si="1308"/>
        <v>0</v>
      </c>
      <c r="U1635" s="78" t="b">
        <f t="shared" si="1309"/>
        <v>0</v>
      </c>
      <c r="V1635" s="78" t="b">
        <f t="shared" si="1310"/>
        <v>0</v>
      </c>
      <c r="W1635" s="78" t="b">
        <f t="shared" si="1311"/>
        <v>0</v>
      </c>
      <c r="X1635" s="78" t="b">
        <f t="shared" si="1312"/>
        <v>0</v>
      </c>
      <c r="Y1635" s="78" t="b">
        <f t="shared" si="1313"/>
        <v>0</v>
      </c>
      <c r="Z1635" s="78" t="b">
        <f t="shared" si="1314"/>
        <v>0</v>
      </c>
      <c r="AA1635" s="78" t="b">
        <f t="shared" si="1315"/>
        <v>0</v>
      </c>
      <c r="AB1635" s="78" t="b">
        <f t="shared" si="1316"/>
        <v>0</v>
      </c>
      <c r="AC1635" s="78" t="b">
        <f t="shared" si="1317"/>
        <v>0</v>
      </c>
      <c r="AD1635" s="78" t="b">
        <f t="shared" si="1318"/>
        <v>0</v>
      </c>
      <c r="AE1635" s="78" t="b">
        <f t="shared" si="1319"/>
        <v>0</v>
      </c>
      <c r="AF1635" s="78" t="b">
        <f t="shared" si="1320"/>
        <v>0</v>
      </c>
      <c r="AG1635" s="78" t="b">
        <f t="shared" si="1321"/>
        <v>0</v>
      </c>
      <c r="AH1635" s="78" t="b">
        <f t="shared" si="1322"/>
        <v>0</v>
      </c>
      <c r="AI1635" s="78" t="b">
        <f t="shared" si="1323"/>
        <v>0</v>
      </c>
      <c r="AJ1635" s="78" t="b">
        <f t="shared" si="1324"/>
        <v>0</v>
      </c>
      <c r="AK1635" s="78" t="b">
        <f t="shared" si="1325"/>
        <v>0</v>
      </c>
      <c r="AL1635" s="78" t="b">
        <f t="shared" si="1326"/>
        <v>0</v>
      </c>
      <c r="AM1635" s="78" t="b">
        <f t="shared" si="1327"/>
        <v>0</v>
      </c>
      <c r="AN1635" s="78" t="b">
        <f t="shared" si="1328"/>
        <v>0</v>
      </c>
      <c r="AO1635" s="78" t="b">
        <f t="shared" si="1329"/>
        <v>0</v>
      </c>
    </row>
    <row r="1636" spans="7:41" x14ac:dyDescent="0.35">
      <c r="G1636" s="77">
        <f t="shared" si="1299"/>
        <v>0</v>
      </c>
      <c r="H1636" s="78">
        <f t="shared" si="1300"/>
        <v>0</v>
      </c>
      <c r="I1636" s="77">
        <f t="shared" si="1301"/>
        <v>0</v>
      </c>
      <c r="J1636" s="78">
        <f t="shared" si="1302"/>
        <v>0</v>
      </c>
      <c r="K1636" s="78" t="str">
        <f t="shared" si="1303"/>
        <v>1900-01-00 00:0:00</v>
      </c>
      <c r="L1636" s="78" t="str">
        <f t="shared" si="1304"/>
        <v>1900-01-00 00:0:00</v>
      </c>
      <c r="M1636" s="79">
        <f t="shared" si="1305"/>
        <v>0</v>
      </c>
      <c r="N1636">
        <f t="shared" si="1330"/>
        <v>1</v>
      </c>
      <c r="O1636" t="str">
        <f>IFERROR(_xlfn.XLOOKUP(A1636,HC!A:A,HC!C:C),"")</f>
        <v>Workforce</v>
      </c>
      <c r="R1636" s="78" t="b">
        <f t="shared" si="1306"/>
        <v>0</v>
      </c>
      <c r="S1636" s="78" t="b">
        <f t="shared" si="1307"/>
        <v>0</v>
      </c>
      <c r="T1636" s="78" t="b">
        <f t="shared" si="1308"/>
        <v>0</v>
      </c>
      <c r="U1636" s="78" t="b">
        <f t="shared" si="1309"/>
        <v>0</v>
      </c>
      <c r="V1636" s="78" t="b">
        <f t="shared" si="1310"/>
        <v>0</v>
      </c>
      <c r="W1636" s="78" t="b">
        <f t="shared" si="1311"/>
        <v>0</v>
      </c>
      <c r="X1636" s="78" t="b">
        <f t="shared" si="1312"/>
        <v>0</v>
      </c>
      <c r="Y1636" s="78" t="b">
        <f t="shared" si="1313"/>
        <v>0</v>
      </c>
      <c r="Z1636" s="78" t="b">
        <f t="shared" si="1314"/>
        <v>0</v>
      </c>
      <c r="AA1636" s="78" t="b">
        <f t="shared" si="1315"/>
        <v>0</v>
      </c>
      <c r="AB1636" s="78" t="b">
        <f t="shared" si="1316"/>
        <v>0</v>
      </c>
      <c r="AC1636" s="78" t="b">
        <f t="shared" si="1317"/>
        <v>0</v>
      </c>
      <c r="AD1636" s="78" t="b">
        <f t="shared" si="1318"/>
        <v>0</v>
      </c>
      <c r="AE1636" s="78" t="b">
        <f t="shared" si="1319"/>
        <v>0</v>
      </c>
      <c r="AF1636" s="78" t="b">
        <f t="shared" si="1320"/>
        <v>0</v>
      </c>
      <c r="AG1636" s="78" t="b">
        <f t="shared" si="1321"/>
        <v>0</v>
      </c>
      <c r="AH1636" s="78" t="b">
        <f t="shared" si="1322"/>
        <v>0</v>
      </c>
      <c r="AI1636" s="78" t="b">
        <f t="shared" si="1323"/>
        <v>0</v>
      </c>
      <c r="AJ1636" s="78" t="b">
        <f t="shared" si="1324"/>
        <v>0</v>
      </c>
      <c r="AK1636" s="78" t="b">
        <f t="shared" si="1325"/>
        <v>0</v>
      </c>
      <c r="AL1636" s="78" t="b">
        <f t="shared" si="1326"/>
        <v>0</v>
      </c>
      <c r="AM1636" s="78" t="b">
        <f t="shared" si="1327"/>
        <v>0</v>
      </c>
      <c r="AN1636" s="78" t="b">
        <f t="shared" si="1328"/>
        <v>0</v>
      </c>
      <c r="AO1636" s="78" t="b">
        <f t="shared" si="1329"/>
        <v>0</v>
      </c>
    </row>
    <row r="1637" spans="7:41" x14ac:dyDescent="0.35">
      <c r="G1637" s="77">
        <f t="shared" si="1299"/>
        <v>0</v>
      </c>
      <c r="H1637" s="78">
        <f t="shared" si="1300"/>
        <v>0</v>
      </c>
      <c r="I1637" s="77">
        <f t="shared" si="1301"/>
        <v>0</v>
      </c>
      <c r="J1637" s="78">
        <f t="shared" si="1302"/>
        <v>0</v>
      </c>
      <c r="K1637" s="78" t="str">
        <f t="shared" si="1303"/>
        <v>1900-01-00 00:0:00</v>
      </c>
      <c r="L1637" s="78" t="str">
        <f t="shared" si="1304"/>
        <v>1900-01-00 00:0:00</v>
      </c>
      <c r="M1637" s="79">
        <f t="shared" si="1305"/>
        <v>0</v>
      </c>
      <c r="N1637">
        <f t="shared" si="1330"/>
        <v>1</v>
      </c>
      <c r="O1637" t="str">
        <f>IFERROR(_xlfn.XLOOKUP(A1637,HC!A:A,HC!C:C),"")</f>
        <v>Workforce</v>
      </c>
      <c r="R1637" s="78" t="b">
        <f t="shared" si="1306"/>
        <v>0</v>
      </c>
      <c r="S1637" s="78" t="b">
        <f t="shared" si="1307"/>
        <v>0</v>
      </c>
      <c r="T1637" s="78" t="b">
        <f t="shared" si="1308"/>
        <v>0</v>
      </c>
      <c r="U1637" s="78" t="b">
        <f t="shared" si="1309"/>
        <v>0</v>
      </c>
      <c r="V1637" s="78" t="b">
        <f t="shared" si="1310"/>
        <v>0</v>
      </c>
      <c r="W1637" s="78" t="b">
        <f t="shared" si="1311"/>
        <v>0</v>
      </c>
      <c r="X1637" s="78" t="b">
        <f t="shared" si="1312"/>
        <v>0</v>
      </c>
      <c r="Y1637" s="78" t="b">
        <f t="shared" si="1313"/>
        <v>0</v>
      </c>
      <c r="Z1637" s="78" t="b">
        <f t="shared" si="1314"/>
        <v>0</v>
      </c>
      <c r="AA1637" s="78" t="b">
        <f t="shared" si="1315"/>
        <v>0</v>
      </c>
      <c r="AB1637" s="78" t="b">
        <f t="shared" si="1316"/>
        <v>0</v>
      </c>
      <c r="AC1637" s="78" t="b">
        <f t="shared" si="1317"/>
        <v>0</v>
      </c>
      <c r="AD1637" s="78" t="b">
        <f t="shared" si="1318"/>
        <v>0</v>
      </c>
      <c r="AE1637" s="78" t="b">
        <f t="shared" si="1319"/>
        <v>0</v>
      </c>
      <c r="AF1637" s="78" t="b">
        <f t="shared" si="1320"/>
        <v>0</v>
      </c>
      <c r="AG1637" s="78" t="b">
        <f t="shared" si="1321"/>
        <v>0</v>
      </c>
      <c r="AH1637" s="78" t="b">
        <f t="shared" si="1322"/>
        <v>0</v>
      </c>
      <c r="AI1637" s="78" t="b">
        <f t="shared" si="1323"/>
        <v>0</v>
      </c>
      <c r="AJ1637" s="78" t="b">
        <f t="shared" si="1324"/>
        <v>0</v>
      </c>
      <c r="AK1637" s="78" t="b">
        <f t="shared" si="1325"/>
        <v>0</v>
      </c>
      <c r="AL1637" s="78" t="b">
        <f t="shared" si="1326"/>
        <v>0</v>
      </c>
      <c r="AM1637" s="78" t="b">
        <f t="shared" si="1327"/>
        <v>0</v>
      </c>
      <c r="AN1637" s="78" t="b">
        <f t="shared" si="1328"/>
        <v>0</v>
      </c>
      <c r="AO1637" s="78" t="b">
        <f t="shared" si="1329"/>
        <v>0</v>
      </c>
    </row>
    <row r="1638" spans="7:41" x14ac:dyDescent="0.35">
      <c r="G1638" s="77">
        <f t="shared" si="1299"/>
        <v>0</v>
      </c>
      <c r="H1638" s="78">
        <f t="shared" si="1300"/>
        <v>0</v>
      </c>
      <c r="I1638" s="77">
        <f t="shared" si="1301"/>
        <v>0</v>
      </c>
      <c r="J1638" s="78">
        <f t="shared" si="1302"/>
        <v>0</v>
      </c>
      <c r="K1638" s="78" t="str">
        <f t="shared" si="1303"/>
        <v>1900-01-00 00:0:00</v>
      </c>
      <c r="L1638" s="78" t="str">
        <f t="shared" si="1304"/>
        <v>1900-01-00 00:0:00</v>
      </c>
      <c r="M1638" s="79">
        <f t="shared" si="1305"/>
        <v>0</v>
      </c>
      <c r="N1638">
        <f t="shared" si="1330"/>
        <v>1</v>
      </c>
      <c r="O1638" t="str">
        <f>IFERROR(_xlfn.XLOOKUP(A1638,HC!A:A,HC!C:C),"")</f>
        <v>Workforce</v>
      </c>
      <c r="R1638" s="78" t="b">
        <f t="shared" si="1306"/>
        <v>0</v>
      </c>
      <c r="S1638" s="78" t="b">
        <f t="shared" si="1307"/>
        <v>0</v>
      </c>
      <c r="T1638" s="78" t="b">
        <f t="shared" si="1308"/>
        <v>0</v>
      </c>
      <c r="U1638" s="78" t="b">
        <f t="shared" si="1309"/>
        <v>0</v>
      </c>
      <c r="V1638" s="78" t="b">
        <f t="shared" si="1310"/>
        <v>0</v>
      </c>
      <c r="W1638" s="78" t="b">
        <f t="shared" si="1311"/>
        <v>0</v>
      </c>
      <c r="X1638" s="78" t="b">
        <f t="shared" si="1312"/>
        <v>0</v>
      </c>
      <c r="Y1638" s="78" t="b">
        <f t="shared" si="1313"/>
        <v>0</v>
      </c>
      <c r="Z1638" s="78" t="b">
        <f t="shared" si="1314"/>
        <v>0</v>
      </c>
      <c r="AA1638" s="78" t="b">
        <f t="shared" si="1315"/>
        <v>0</v>
      </c>
      <c r="AB1638" s="78" t="b">
        <f t="shared" si="1316"/>
        <v>0</v>
      </c>
      <c r="AC1638" s="78" t="b">
        <f t="shared" si="1317"/>
        <v>0</v>
      </c>
      <c r="AD1638" s="78" t="b">
        <f t="shared" si="1318"/>
        <v>0</v>
      </c>
      <c r="AE1638" s="78" t="b">
        <f t="shared" si="1319"/>
        <v>0</v>
      </c>
      <c r="AF1638" s="78" t="b">
        <f t="shared" si="1320"/>
        <v>0</v>
      </c>
      <c r="AG1638" s="78" t="b">
        <f t="shared" si="1321"/>
        <v>0</v>
      </c>
      <c r="AH1638" s="78" t="b">
        <f t="shared" si="1322"/>
        <v>0</v>
      </c>
      <c r="AI1638" s="78" t="b">
        <f t="shared" si="1323"/>
        <v>0</v>
      </c>
      <c r="AJ1638" s="78" t="b">
        <f t="shared" si="1324"/>
        <v>0</v>
      </c>
      <c r="AK1638" s="78" t="b">
        <f t="shared" si="1325"/>
        <v>0</v>
      </c>
      <c r="AL1638" s="78" t="b">
        <f t="shared" si="1326"/>
        <v>0</v>
      </c>
      <c r="AM1638" s="78" t="b">
        <f t="shared" si="1327"/>
        <v>0</v>
      </c>
      <c r="AN1638" s="78" t="b">
        <f t="shared" si="1328"/>
        <v>0</v>
      </c>
      <c r="AO1638" s="78" t="b">
        <f t="shared" si="1329"/>
        <v>0</v>
      </c>
    </row>
    <row r="1639" spans="7:41" x14ac:dyDescent="0.35">
      <c r="G1639" s="77">
        <f t="shared" si="1299"/>
        <v>0</v>
      </c>
      <c r="H1639" s="78">
        <f t="shared" si="1300"/>
        <v>0</v>
      </c>
      <c r="I1639" s="77">
        <f t="shared" si="1301"/>
        <v>0</v>
      </c>
      <c r="J1639" s="78">
        <f t="shared" si="1302"/>
        <v>0</v>
      </c>
      <c r="K1639" s="78" t="str">
        <f t="shared" si="1303"/>
        <v>1900-01-00 00:0:00</v>
      </c>
      <c r="L1639" s="78" t="str">
        <f t="shared" si="1304"/>
        <v>1900-01-00 00:0:00</v>
      </c>
      <c r="M1639" s="79">
        <f t="shared" si="1305"/>
        <v>0</v>
      </c>
      <c r="N1639">
        <f t="shared" si="1330"/>
        <v>1</v>
      </c>
      <c r="O1639" t="str">
        <f>IFERROR(_xlfn.XLOOKUP(A1639,HC!A:A,HC!C:C),"")</f>
        <v>Workforce</v>
      </c>
      <c r="R1639" s="78" t="b">
        <f t="shared" si="1306"/>
        <v>0</v>
      </c>
      <c r="S1639" s="78" t="b">
        <f t="shared" si="1307"/>
        <v>0</v>
      </c>
      <c r="T1639" s="78" t="b">
        <f t="shared" si="1308"/>
        <v>0</v>
      </c>
      <c r="U1639" s="78" t="b">
        <f t="shared" si="1309"/>
        <v>0</v>
      </c>
      <c r="V1639" s="78" t="b">
        <f t="shared" si="1310"/>
        <v>0</v>
      </c>
      <c r="W1639" s="78" t="b">
        <f t="shared" si="1311"/>
        <v>0</v>
      </c>
      <c r="X1639" s="78" t="b">
        <f t="shared" si="1312"/>
        <v>0</v>
      </c>
      <c r="Y1639" s="78" t="b">
        <f t="shared" si="1313"/>
        <v>0</v>
      </c>
      <c r="Z1639" s="78" t="b">
        <f t="shared" si="1314"/>
        <v>0</v>
      </c>
      <c r="AA1639" s="78" t="b">
        <f t="shared" si="1315"/>
        <v>0</v>
      </c>
      <c r="AB1639" s="78" t="b">
        <f t="shared" si="1316"/>
        <v>0</v>
      </c>
      <c r="AC1639" s="78" t="b">
        <f t="shared" si="1317"/>
        <v>0</v>
      </c>
      <c r="AD1639" s="78" t="b">
        <f t="shared" si="1318"/>
        <v>0</v>
      </c>
      <c r="AE1639" s="78" t="b">
        <f t="shared" si="1319"/>
        <v>0</v>
      </c>
      <c r="AF1639" s="78" t="b">
        <f t="shared" si="1320"/>
        <v>0</v>
      </c>
      <c r="AG1639" s="78" t="b">
        <f t="shared" si="1321"/>
        <v>0</v>
      </c>
      <c r="AH1639" s="78" t="b">
        <f t="shared" si="1322"/>
        <v>0</v>
      </c>
      <c r="AI1639" s="78" t="b">
        <f t="shared" si="1323"/>
        <v>0</v>
      </c>
      <c r="AJ1639" s="78" t="b">
        <f t="shared" si="1324"/>
        <v>0</v>
      </c>
      <c r="AK1639" s="78" t="b">
        <f t="shared" si="1325"/>
        <v>0</v>
      </c>
      <c r="AL1639" s="78" t="b">
        <f t="shared" si="1326"/>
        <v>0</v>
      </c>
      <c r="AM1639" s="78" t="b">
        <f t="shared" si="1327"/>
        <v>0</v>
      </c>
      <c r="AN1639" s="78" t="b">
        <f t="shared" si="1328"/>
        <v>0</v>
      </c>
      <c r="AO1639" s="78" t="b">
        <f t="shared" si="1329"/>
        <v>0</v>
      </c>
    </row>
    <row r="1640" spans="7:41" x14ac:dyDescent="0.35">
      <c r="G1640" s="77">
        <f t="shared" si="1299"/>
        <v>0</v>
      </c>
      <c r="H1640" s="78">
        <f t="shared" si="1300"/>
        <v>0</v>
      </c>
      <c r="I1640" s="77">
        <f t="shared" si="1301"/>
        <v>0</v>
      </c>
      <c r="J1640" s="78">
        <f t="shared" si="1302"/>
        <v>0</v>
      </c>
      <c r="K1640" s="78" t="str">
        <f t="shared" si="1303"/>
        <v>1900-01-00 00:0:00</v>
      </c>
      <c r="L1640" s="78" t="str">
        <f t="shared" si="1304"/>
        <v>1900-01-00 00:0:00</v>
      </c>
      <c r="M1640" s="79">
        <f t="shared" si="1305"/>
        <v>0</v>
      </c>
      <c r="N1640">
        <f t="shared" si="1330"/>
        <v>1</v>
      </c>
      <c r="O1640" t="str">
        <f>IFERROR(_xlfn.XLOOKUP(A1640,HC!A:A,HC!C:C),"")</f>
        <v>Workforce</v>
      </c>
      <c r="R1640" s="78" t="b">
        <f t="shared" si="1306"/>
        <v>0</v>
      </c>
      <c r="S1640" s="78" t="b">
        <f t="shared" si="1307"/>
        <v>0</v>
      </c>
      <c r="T1640" s="78" t="b">
        <f t="shared" si="1308"/>
        <v>0</v>
      </c>
      <c r="U1640" s="78" t="b">
        <f t="shared" si="1309"/>
        <v>0</v>
      </c>
      <c r="V1640" s="78" t="b">
        <f t="shared" si="1310"/>
        <v>0</v>
      </c>
      <c r="W1640" s="78" t="b">
        <f t="shared" si="1311"/>
        <v>0</v>
      </c>
      <c r="X1640" s="78" t="b">
        <f t="shared" si="1312"/>
        <v>0</v>
      </c>
      <c r="Y1640" s="78" t="b">
        <f t="shared" si="1313"/>
        <v>0</v>
      </c>
      <c r="Z1640" s="78" t="b">
        <f t="shared" si="1314"/>
        <v>0</v>
      </c>
      <c r="AA1640" s="78" t="b">
        <f t="shared" si="1315"/>
        <v>0</v>
      </c>
      <c r="AB1640" s="78" t="b">
        <f t="shared" si="1316"/>
        <v>0</v>
      </c>
      <c r="AC1640" s="78" t="b">
        <f t="shared" si="1317"/>
        <v>0</v>
      </c>
      <c r="AD1640" s="78" t="b">
        <f t="shared" si="1318"/>
        <v>0</v>
      </c>
      <c r="AE1640" s="78" t="b">
        <f t="shared" si="1319"/>
        <v>0</v>
      </c>
      <c r="AF1640" s="78" t="b">
        <f t="shared" si="1320"/>
        <v>0</v>
      </c>
      <c r="AG1640" s="78" t="b">
        <f t="shared" si="1321"/>
        <v>0</v>
      </c>
      <c r="AH1640" s="78" t="b">
        <f t="shared" si="1322"/>
        <v>0</v>
      </c>
      <c r="AI1640" s="78" t="b">
        <f t="shared" si="1323"/>
        <v>0</v>
      </c>
      <c r="AJ1640" s="78" t="b">
        <f t="shared" si="1324"/>
        <v>0</v>
      </c>
      <c r="AK1640" s="78" t="b">
        <f t="shared" si="1325"/>
        <v>0</v>
      </c>
      <c r="AL1640" s="78" t="b">
        <f t="shared" si="1326"/>
        <v>0</v>
      </c>
      <c r="AM1640" s="78" t="b">
        <f t="shared" si="1327"/>
        <v>0</v>
      </c>
      <c r="AN1640" s="78" t="b">
        <f t="shared" si="1328"/>
        <v>0</v>
      </c>
      <c r="AO1640" s="78" t="b">
        <f t="shared" si="1329"/>
        <v>0</v>
      </c>
    </row>
    <row r="1641" spans="7:41" x14ac:dyDescent="0.35">
      <c r="G1641" s="77">
        <f t="shared" si="1299"/>
        <v>0</v>
      </c>
      <c r="H1641" s="78">
        <f t="shared" si="1300"/>
        <v>0</v>
      </c>
      <c r="I1641" s="77">
        <f t="shared" si="1301"/>
        <v>0</v>
      </c>
      <c r="J1641" s="78">
        <f t="shared" si="1302"/>
        <v>0</v>
      </c>
      <c r="K1641" s="78" t="str">
        <f t="shared" si="1303"/>
        <v>1900-01-00 00:0:00</v>
      </c>
      <c r="L1641" s="78" t="str">
        <f t="shared" si="1304"/>
        <v>1900-01-00 00:0:00</v>
      </c>
      <c r="M1641" s="79">
        <f t="shared" si="1305"/>
        <v>0</v>
      </c>
      <c r="N1641">
        <f t="shared" si="1330"/>
        <v>1</v>
      </c>
      <c r="O1641" t="str">
        <f>IFERROR(_xlfn.XLOOKUP(A1641,HC!A:A,HC!C:C),"")</f>
        <v>Workforce</v>
      </c>
      <c r="R1641" s="78" t="b">
        <f t="shared" si="1306"/>
        <v>0</v>
      </c>
      <c r="S1641" s="78" t="b">
        <f t="shared" si="1307"/>
        <v>0</v>
      </c>
      <c r="T1641" s="78" t="b">
        <f t="shared" si="1308"/>
        <v>0</v>
      </c>
      <c r="U1641" s="78" t="b">
        <f t="shared" si="1309"/>
        <v>0</v>
      </c>
      <c r="V1641" s="78" t="b">
        <f t="shared" si="1310"/>
        <v>0</v>
      </c>
      <c r="W1641" s="78" t="b">
        <f t="shared" si="1311"/>
        <v>0</v>
      </c>
      <c r="X1641" s="78" t="b">
        <f t="shared" si="1312"/>
        <v>0</v>
      </c>
      <c r="Y1641" s="78" t="b">
        <f t="shared" si="1313"/>
        <v>0</v>
      </c>
      <c r="Z1641" s="78" t="b">
        <f t="shared" si="1314"/>
        <v>0</v>
      </c>
      <c r="AA1641" s="78" t="b">
        <f t="shared" si="1315"/>
        <v>0</v>
      </c>
      <c r="AB1641" s="78" t="b">
        <f t="shared" si="1316"/>
        <v>0</v>
      </c>
      <c r="AC1641" s="78" t="b">
        <f t="shared" si="1317"/>
        <v>0</v>
      </c>
      <c r="AD1641" s="78" t="b">
        <f t="shared" si="1318"/>
        <v>0</v>
      </c>
      <c r="AE1641" s="78" t="b">
        <f t="shared" si="1319"/>
        <v>0</v>
      </c>
      <c r="AF1641" s="78" t="b">
        <f t="shared" si="1320"/>
        <v>0</v>
      </c>
      <c r="AG1641" s="78" t="b">
        <f t="shared" si="1321"/>
        <v>0</v>
      </c>
      <c r="AH1641" s="78" t="b">
        <f t="shared" si="1322"/>
        <v>0</v>
      </c>
      <c r="AI1641" s="78" t="b">
        <f t="shared" si="1323"/>
        <v>0</v>
      </c>
      <c r="AJ1641" s="78" t="b">
        <f t="shared" si="1324"/>
        <v>0</v>
      </c>
      <c r="AK1641" s="78" t="b">
        <f t="shared" si="1325"/>
        <v>0</v>
      </c>
      <c r="AL1641" s="78" t="b">
        <f t="shared" si="1326"/>
        <v>0</v>
      </c>
      <c r="AM1641" s="78" t="b">
        <f t="shared" si="1327"/>
        <v>0</v>
      </c>
      <c r="AN1641" s="78" t="b">
        <f t="shared" si="1328"/>
        <v>0</v>
      </c>
      <c r="AO1641" s="78" t="b">
        <f t="shared" si="1329"/>
        <v>0</v>
      </c>
    </row>
    <row r="1642" spans="7:41" x14ac:dyDescent="0.35">
      <c r="G1642" s="77">
        <f t="shared" si="1299"/>
        <v>0</v>
      </c>
      <c r="H1642" s="78">
        <f t="shared" si="1300"/>
        <v>0</v>
      </c>
      <c r="I1642" s="77">
        <f t="shared" si="1301"/>
        <v>0</v>
      </c>
      <c r="J1642" s="78">
        <f t="shared" si="1302"/>
        <v>0</v>
      </c>
      <c r="K1642" s="78" t="str">
        <f t="shared" si="1303"/>
        <v>1900-01-00 00:0:00</v>
      </c>
      <c r="L1642" s="78" t="str">
        <f t="shared" si="1304"/>
        <v>1900-01-00 00:0:00</v>
      </c>
      <c r="M1642" s="79">
        <f t="shared" si="1305"/>
        <v>0</v>
      </c>
      <c r="N1642">
        <f t="shared" si="1330"/>
        <v>1</v>
      </c>
      <c r="O1642" t="str">
        <f>IFERROR(_xlfn.XLOOKUP(A1642,HC!A:A,HC!C:C),"")</f>
        <v>Workforce</v>
      </c>
      <c r="R1642" s="78" t="b">
        <f t="shared" si="1306"/>
        <v>0</v>
      </c>
      <c r="S1642" s="78" t="b">
        <f t="shared" si="1307"/>
        <v>0</v>
      </c>
      <c r="T1642" s="78" t="b">
        <f t="shared" si="1308"/>
        <v>0</v>
      </c>
      <c r="U1642" s="78" t="b">
        <f t="shared" si="1309"/>
        <v>0</v>
      </c>
      <c r="V1642" s="78" t="b">
        <f t="shared" si="1310"/>
        <v>0</v>
      </c>
      <c r="W1642" s="78" t="b">
        <f t="shared" si="1311"/>
        <v>0</v>
      </c>
      <c r="X1642" s="78" t="b">
        <f t="shared" si="1312"/>
        <v>0</v>
      </c>
      <c r="Y1642" s="78" t="b">
        <f t="shared" si="1313"/>
        <v>0</v>
      </c>
      <c r="Z1642" s="78" t="b">
        <f t="shared" si="1314"/>
        <v>0</v>
      </c>
      <c r="AA1642" s="78" t="b">
        <f t="shared" si="1315"/>
        <v>0</v>
      </c>
      <c r="AB1642" s="78" t="b">
        <f t="shared" si="1316"/>
        <v>0</v>
      </c>
      <c r="AC1642" s="78" t="b">
        <f t="shared" si="1317"/>
        <v>0</v>
      </c>
      <c r="AD1642" s="78" t="b">
        <f t="shared" si="1318"/>
        <v>0</v>
      </c>
      <c r="AE1642" s="78" t="b">
        <f t="shared" si="1319"/>
        <v>0</v>
      </c>
      <c r="AF1642" s="78" t="b">
        <f t="shared" si="1320"/>
        <v>0</v>
      </c>
      <c r="AG1642" s="78" t="b">
        <f t="shared" si="1321"/>
        <v>0</v>
      </c>
      <c r="AH1642" s="78" t="b">
        <f t="shared" si="1322"/>
        <v>0</v>
      </c>
      <c r="AI1642" s="78" t="b">
        <f t="shared" si="1323"/>
        <v>0</v>
      </c>
      <c r="AJ1642" s="78" t="b">
        <f t="shared" si="1324"/>
        <v>0</v>
      </c>
      <c r="AK1642" s="78" t="b">
        <f t="shared" si="1325"/>
        <v>0</v>
      </c>
      <c r="AL1642" s="78" t="b">
        <f t="shared" si="1326"/>
        <v>0</v>
      </c>
      <c r="AM1642" s="78" t="b">
        <f t="shared" si="1327"/>
        <v>0</v>
      </c>
      <c r="AN1642" s="78" t="b">
        <f t="shared" si="1328"/>
        <v>0</v>
      </c>
      <c r="AO1642" s="78" t="b">
        <f t="shared" si="1329"/>
        <v>0</v>
      </c>
    </row>
    <row r="1643" spans="7:41" x14ac:dyDescent="0.35">
      <c r="G1643" s="77">
        <f t="shared" si="1299"/>
        <v>0</v>
      </c>
      <c r="H1643" s="78">
        <f t="shared" si="1300"/>
        <v>0</v>
      </c>
      <c r="I1643" s="77">
        <f t="shared" si="1301"/>
        <v>0</v>
      </c>
      <c r="J1643" s="78">
        <f t="shared" si="1302"/>
        <v>0</v>
      </c>
      <c r="K1643" s="78" t="str">
        <f t="shared" si="1303"/>
        <v>1900-01-00 00:0:00</v>
      </c>
      <c r="L1643" s="78" t="str">
        <f t="shared" si="1304"/>
        <v>1900-01-00 00:0:00</v>
      </c>
      <c r="M1643" s="79">
        <f t="shared" si="1305"/>
        <v>0</v>
      </c>
      <c r="N1643">
        <f t="shared" si="1330"/>
        <v>1</v>
      </c>
      <c r="O1643" t="str">
        <f>IFERROR(_xlfn.XLOOKUP(A1643,HC!A:A,HC!C:C),"")</f>
        <v>Workforce</v>
      </c>
      <c r="R1643" s="78" t="b">
        <f t="shared" si="1306"/>
        <v>0</v>
      </c>
      <c r="S1643" s="78" t="b">
        <f t="shared" si="1307"/>
        <v>0</v>
      </c>
      <c r="T1643" s="78" t="b">
        <f t="shared" si="1308"/>
        <v>0</v>
      </c>
      <c r="U1643" s="78" t="b">
        <f t="shared" si="1309"/>
        <v>0</v>
      </c>
      <c r="V1643" s="78" t="b">
        <f t="shared" si="1310"/>
        <v>0</v>
      </c>
      <c r="W1643" s="78" t="b">
        <f t="shared" si="1311"/>
        <v>0</v>
      </c>
      <c r="X1643" s="78" t="b">
        <f t="shared" si="1312"/>
        <v>0</v>
      </c>
      <c r="Y1643" s="78" t="b">
        <f t="shared" si="1313"/>
        <v>0</v>
      </c>
      <c r="Z1643" s="78" t="b">
        <f t="shared" si="1314"/>
        <v>0</v>
      </c>
      <c r="AA1643" s="78" t="b">
        <f t="shared" si="1315"/>
        <v>0</v>
      </c>
      <c r="AB1643" s="78" t="b">
        <f t="shared" si="1316"/>
        <v>0</v>
      </c>
      <c r="AC1643" s="78" t="b">
        <f t="shared" si="1317"/>
        <v>0</v>
      </c>
      <c r="AD1643" s="78" t="b">
        <f t="shared" si="1318"/>
        <v>0</v>
      </c>
      <c r="AE1643" s="78" t="b">
        <f t="shared" si="1319"/>
        <v>0</v>
      </c>
      <c r="AF1643" s="78" t="b">
        <f t="shared" si="1320"/>
        <v>0</v>
      </c>
      <c r="AG1643" s="78" t="b">
        <f t="shared" si="1321"/>
        <v>0</v>
      </c>
      <c r="AH1643" s="78" t="b">
        <f t="shared" si="1322"/>
        <v>0</v>
      </c>
      <c r="AI1643" s="78" t="b">
        <f t="shared" si="1323"/>
        <v>0</v>
      </c>
      <c r="AJ1643" s="78" t="b">
        <f t="shared" si="1324"/>
        <v>0</v>
      </c>
      <c r="AK1643" s="78" t="b">
        <f t="shared" si="1325"/>
        <v>0</v>
      </c>
      <c r="AL1643" s="78" t="b">
        <f t="shared" si="1326"/>
        <v>0</v>
      </c>
      <c r="AM1643" s="78" t="b">
        <f t="shared" si="1327"/>
        <v>0</v>
      </c>
      <c r="AN1643" s="78" t="b">
        <f t="shared" si="1328"/>
        <v>0</v>
      </c>
      <c r="AO1643" s="78" t="b">
        <f t="shared" si="1329"/>
        <v>0</v>
      </c>
    </row>
    <row r="1644" spans="7:41" x14ac:dyDescent="0.35">
      <c r="G1644" s="77">
        <f t="shared" si="1299"/>
        <v>0</v>
      </c>
      <c r="H1644" s="78">
        <f t="shared" si="1300"/>
        <v>0</v>
      </c>
      <c r="I1644" s="77">
        <f t="shared" si="1301"/>
        <v>0</v>
      </c>
      <c r="J1644" s="78">
        <f t="shared" si="1302"/>
        <v>0</v>
      </c>
      <c r="K1644" s="78" t="str">
        <f t="shared" si="1303"/>
        <v>1900-01-00 00:0:00</v>
      </c>
      <c r="L1644" s="78" t="str">
        <f t="shared" si="1304"/>
        <v>1900-01-00 00:0:00</v>
      </c>
      <c r="M1644" s="79">
        <f t="shared" si="1305"/>
        <v>0</v>
      </c>
      <c r="N1644">
        <f t="shared" si="1330"/>
        <v>1</v>
      </c>
      <c r="O1644" t="str">
        <f>IFERROR(_xlfn.XLOOKUP(A1644,HC!A:A,HC!C:C),"")</f>
        <v>Workforce</v>
      </c>
      <c r="R1644" s="78" t="b">
        <f t="shared" si="1306"/>
        <v>0</v>
      </c>
      <c r="S1644" s="78" t="b">
        <f t="shared" si="1307"/>
        <v>0</v>
      </c>
      <c r="T1644" s="78" t="b">
        <f t="shared" si="1308"/>
        <v>0</v>
      </c>
      <c r="U1644" s="78" t="b">
        <f t="shared" si="1309"/>
        <v>0</v>
      </c>
      <c r="V1644" s="78" t="b">
        <f t="shared" si="1310"/>
        <v>0</v>
      </c>
      <c r="W1644" s="78" t="b">
        <f t="shared" si="1311"/>
        <v>0</v>
      </c>
      <c r="X1644" s="78" t="b">
        <f t="shared" si="1312"/>
        <v>0</v>
      </c>
      <c r="Y1644" s="78" t="b">
        <f t="shared" si="1313"/>
        <v>0</v>
      </c>
      <c r="Z1644" s="78" t="b">
        <f t="shared" si="1314"/>
        <v>0</v>
      </c>
      <c r="AA1644" s="78" t="b">
        <f t="shared" si="1315"/>
        <v>0</v>
      </c>
      <c r="AB1644" s="78" t="b">
        <f t="shared" si="1316"/>
        <v>0</v>
      </c>
      <c r="AC1644" s="78" t="b">
        <f t="shared" si="1317"/>
        <v>0</v>
      </c>
      <c r="AD1644" s="78" t="b">
        <f t="shared" si="1318"/>
        <v>0</v>
      </c>
      <c r="AE1644" s="78" t="b">
        <f t="shared" si="1319"/>
        <v>0</v>
      </c>
      <c r="AF1644" s="78" t="b">
        <f t="shared" si="1320"/>
        <v>0</v>
      </c>
      <c r="AG1644" s="78" t="b">
        <f t="shared" si="1321"/>
        <v>0</v>
      </c>
      <c r="AH1644" s="78" t="b">
        <f t="shared" si="1322"/>
        <v>0</v>
      </c>
      <c r="AI1644" s="78" t="b">
        <f t="shared" si="1323"/>
        <v>0</v>
      </c>
      <c r="AJ1644" s="78" t="b">
        <f t="shared" si="1324"/>
        <v>0</v>
      </c>
      <c r="AK1644" s="78" t="b">
        <f t="shared" si="1325"/>
        <v>0</v>
      </c>
      <c r="AL1644" s="78" t="b">
        <f t="shared" si="1326"/>
        <v>0</v>
      </c>
      <c r="AM1644" s="78" t="b">
        <f t="shared" si="1327"/>
        <v>0</v>
      </c>
      <c r="AN1644" s="78" t="b">
        <f t="shared" si="1328"/>
        <v>0</v>
      </c>
      <c r="AO1644" s="78" t="b">
        <f t="shared" si="1329"/>
        <v>0</v>
      </c>
    </row>
    <row r="1645" spans="7:41" x14ac:dyDescent="0.35">
      <c r="G1645" s="77">
        <f t="shared" si="1299"/>
        <v>0</v>
      </c>
      <c r="H1645" s="78">
        <f t="shared" si="1300"/>
        <v>0</v>
      </c>
      <c r="I1645" s="77">
        <f t="shared" si="1301"/>
        <v>0</v>
      </c>
      <c r="J1645" s="78">
        <f t="shared" si="1302"/>
        <v>0</v>
      </c>
      <c r="K1645" s="78" t="str">
        <f t="shared" si="1303"/>
        <v>1900-01-00 00:0:00</v>
      </c>
      <c r="L1645" s="78" t="str">
        <f t="shared" si="1304"/>
        <v>1900-01-00 00:0:00</v>
      </c>
      <c r="M1645" s="79">
        <f t="shared" si="1305"/>
        <v>0</v>
      </c>
      <c r="N1645">
        <f t="shared" si="1330"/>
        <v>1</v>
      </c>
      <c r="O1645" t="str">
        <f>IFERROR(_xlfn.XLOOKUP(A1645,HC!A:A,HC!C:C),"")</f>
        <v>Workforce</v>
      </c>
      <c r="R1645" s="78" t="b">
        <f t="shared" si="1306"/>
        <v>0</v>
      </c>
      <c r="S1645" s="78" t="b">
        <f t="shared" si="1307"/>
        <v>0</v>
      </c>
      <c r="T1645" s="78" t="b">
        <f t="shared" si="1308"/>
        <v>0</v>
      </c>
      <c r="U1645" s="78" t="b">
        <f t="shared" si="1309"/>
        <v>0</v>
      </c>
      <c r="V1645" s="78" t="b">
        <f t="shared" si="1310"/>
        <v>0</v>
      </c>
      <c r="W1645" s="78" t="b">
        <f t="shared" si="1311"/>
        <v>0</v>
      </c>
      <c r="X1645" s="78" t="b">
        <f t="shared" si="1312"/>
        <v>0</v>
      </c>
      <c r="Y1645" s="78" t="b">
        <f t="shared" si="1313"/>
        <v>0</v>
      </c>
      <c r="Z1645" s="78" t="b">
        <f t="shared" si="1314"/>
        <v>0</v>
      </c>
      <c r="AA1645" s="78" t="b">
        <f t="shared" si="1315"/>
        <v>0</v>
      </c>
      <c r="AB1645" s="78" t="b">
        <f t="shared" si="1316"/>
        <v>0</v>
      </c>
      <c r="AC1645" s="78" t="b">
        <f t="shared" si="1317"/>
        <v>0</v>
      </c>
      <c r="AD1645" s="78" t="b">
        <f t="shared" si="1318"/>
        <v>0</v>
      </c>
      <c r="AE1645" s="78" t="b">
        <f t="shared" si="1319"/>
        <v>0</v>
      </c>
      <c r="AF1645" s="78" t="b">
        <f t="shared" si="1320"/>
        <v>0</v>
      </c>
      <c r="AG1645" s="78" t="b">
        <f t="shared" si="1321"/>
        <v>0</v>
      </c>
      <c r="AH1645" s="78" t="b">
        <f t="shared" si="1322"/>
        <v>0</v>
      </c>
      <c r="AI1645" s="78" t="b">
        <f t="shared" si="1323"/>
        <v>0</v>
      </c>
      <c r="AJ1645" s="78" t="b">
        <f t="shared" si="1324"/>
        <v>0</v>
      </c>
      <c r="AK1645" s="78" t="b">
        <f t="shared" si="1325"/>
        <v>0</v>
      </c>
      <c r="AL1645" s="78" t="b">
        <f t="shared" si="1326"/>
        <v>0</v>
      </c>
      <c r="AM1645" s="78" t="b">
        <f t="shared" si="1327"/>
        <v>0</v>
      </c>
      <c r="AN1645" s="78" t="b">
        <f t="shared" si="1328"/>
        <v>0</v>
      </c>
      <c r="AO1645" s="78" t="b">
        <f t="shared" si="1329"/>
        <v>0</v>
      </c>
    </row>
    <row r="1646" spans="7:41" x14ac:dyDescent="0.35">
      <c r="G1646" s="77">
        <f t="shared" si="1299"/>
        <v>0</v>
      </c>
      <c r="H1646" s="78">
        <f t="shared" si="1300"/>
        <v>0</v>
      </c>
      <c r="I1646" s="77">
        <f t="shared" si="1301"/>
        <v>0</v>
      </c>
      <c r="J1646" s="78">
        <f t="shared" si="1302"/>
        <v>0</v>
      </c>
      <c r="K1646" s="78" t="str">
        <f t="shared" si="1303"/>
        <v>1900-01-00 00:0:00</v>
      </c>
      <c r="L1646" s="78" t="str">
        <f t="shared" si="1304"/>
        <v>1900-01-00 00:0:00</v>
      </c>
      <c r="M1646" s="79">
        <f t="shared" si="1305"/>
        <v>0</v>
      </c>
      <c r="N1646">
        <f t="shared" si="1330"/>
        <v>1</v>
      </c>
      <c r="O1646" t="str">
        <f>IFERROR(_xlfn.XLOOKUP(A1646,HC!A:A,HC!C:C),"")</f>
        <v>Workforce</v>
      </c>
      <c r="R1646" s="78" t="b">
        <f t="shared" si="1306"/>
        <v>0</v>
      </c>
      <c r="S1646" s="78" t="b">
        <f t="shared" si="1307"/>
        <v>0</v>
      </c>
      <c r="T1646" s="78" t="b">
        <f t="shared" si="1308"/>
        <v>0</v>
      </c>
      <c r="U1646" s="78" t="b">
        <f t="shared" si="1309"/>
        <v>0</v>
      </c>
      <c r="V1646" s="78" t="b">
        <f t="shared" si="1310"/>
        <v>0</v>
      </c>
      <c r="W1646" s="78" t="b">
        <f t="shared" si="1311"/>
        <v>0</v>
      </c>
      <c r="X1646" s="78" t="b">
        <f t="shared" si="1312"/>
        <v>0</v>
      </c>
      <c r="Y1646" s="78" t="b">
        <f t="shared" si="1313"/>
        <v>0</v>
      </c>
      <c r="Z1646" s="78" t="b">
        <f t="shared" si="1314"/>
        <v>0</v>
      </c>
      <c r="AA1646" s="78" t="b">
        <f t="shared" si="1315"/>
        <v>0</v>
      </c>
      <c r="AB1646" s="78" t="b">
        <f t="shared" si="1316"/>
        <v>0</v>
      </c>
      <c r="AC1646" s="78" t="b">
        <f t="shared" si="1317"/>
        <v>0</v>
      </c>
      <c r="AD1646" s="78" t="b">
        <f t="shared" si="1318"/>
        <v>0</v>
      </c>
      <c r="AE1646" s="78" t="b">
        <f t="shared" si="1319"/>
        <v>0</v>
      </c>
      <c r="AF1646" s="78" t="b">
        <f t="shared" si="1320"/>
        <v>0</v>
      </c>
      <c r="AG1646" s="78" t="b">
        <f t="shared" si="1321"/>
        <v>0</v>
      </c>
      <c r="AH1646" s="78" t="b">
        <f t="shared" si="1322"/>
        <v>0</v>
      </c>
      <c r="AI1646" s="78" t="b">
        <f t="shared" si="1323"/>
        <v>0</v>
      </c>
      <c r="AJ1646" s="78" t="b">
        <f t="shared" si="1324"/>
        <v>0</v>
      </c>
      <c r="AK1646" s="78" t="b">
        <f t="shared" si="1325"/>
        <v>0</v>
      </c>
      <c r="AL1646" s="78" t="b">
        <f t="shared" si="1326"/>
        <v>0</v>
      </c>
      <c r="AM1646" s="78" t="b">
        <f t="shared" si="1327"/>
        <v>0</v>
      </c>
      <c r="AN1646" s="78" t="b">
        <f t="shared" si="1328"/>
        <v>0</v>
      </c>
      <c r="AO1646" s="78" t="b">
        <f t="shared" si="1329"/>
        <v>0</v>
      </c>
    </row>
    <row r="1647" spans="7:41" x14ac:dyDescent="0.35">
      <c r="G1647" s="77">
        <f t="shared" si="1299"/>
        <v>0</v>
      </c>
      <c r="H1647" s="78">
        <f t="shared" si="1300"/>
        <v>0</v>
      </c>
      <c r="I1647" s="77">
        <f t="shared" si="1301"/>
        <v>0</v>
      </c>
      <c r="J1647" s="78">
        <f t="shared" si="1302"/>
        <v>0</v>
      </c>
      <c r="K1647" s="78" t="str">
        <f t="shared" si="1303"/>
        <v>1900-01-00 00:0:00</v>
      </c>
      <c r="L1647" s="78" t="str">
        <f t="shared" si="1304"/>
        <v>1900-01-00 00:0:00</v>
      </c>
      <c r="M1647" s="79">
        <f t="shared" si="1305"/>
        <v>0</v>
      </c>
      <c r="N1647">
        <f t="shared" si="1330"/>
        <v>1</v>
      </c>
      <c r="O1647" t="str">
        <f>IFERROR(_xlfn.XLOOKUP(A1647,HC!A:A,HC!C:C),"")</f>
        <v>Workforce</v>
      </c>
      <c r="R1647" s="78" t="b">
        <f t="shared" si="1306"/>
        <v>0</v>
      </c>
      <c r="S1647" s="78" t="b">
        <f t="shared" si="1307"/>
        <v>0</v>
      </c>
      <c r="T1647" s="78" t="b">
        <f t="shared" si="1308"/>
        <v>0</v>
      </c>
      <c r="U1647" s="78" t="b">
        <f t="shared" si="1309"/>
        <v>0</v>
      </c>
      <c r="V1647" s="78" t="b">
        <f t="shared" si="1310"/>
        <v>0</v>
      </c>
      <c r="W1647" s="78" t="b">
        <f t="shared" si="1311"/>
        <v>0</v>
      </c>
      <c r="X1647" s="78" t="b">
        <f t="shared" si="1312"/>
        <v>0</v>
      </c>
      <c r="Y1647" s="78" t="b">
        <f t="shared" si="1313"/>
        <v>0</v>
      </c>
      <c r="Z1647" s="78" t="b">
        <f t="shared" si="1314"/>
        <v>0</v>
      </c>
      <c r="AA1647" s="78" t="b">
        <f t="shared" si="1315"/>
        <v>0</v>
      </c>
      <c r="AB1647" s="78" t="b">
        <f t="shared" si="1316"/>
        <v>0</v>
      </c>
      <c r="AC1647" s="78" t="b">
        <f t="shared" si="1317"/>
        <v>0</v>
      </c>
      <c r="AD1647" s="78" t="b">
        <f t="shared" si="1318"/>
        <v>0</v>
      </c>
      <c r="AE1647" s="78" t="b">
        <f t="shared" si="1319"/>
        <v>0</v>
      </c>
      <c r="AF1647" s="78" t="b">
        <f t="shared" si="1320"/>
        <v>0</v>
      </c>
      <c r="AG1647" s="78" t="b">
        <f t="shared" si="1321"/>
        <v>0</v>
      </c>
      <c r="AH1647" s="78" t="b">
        <f t="shared" si="1322"/>
        <v>0</v>
      </c>
      <c r="AI1647" s="78" t="b">
        <f t="shared" si="1323"/>
        <v>0</v>
      </c>
      <c r="AJ1647" s="78" t="b">
        <f t="shared" si="1324"/>
        <v>0</v>
      </c>
      <c r="AK1647" s="78" t="b">
        <f t="shared" si="1325"/>
        <v>0</v>
      </c>
      <c r="AL1647" s="78" t="b">
        <f t="shared" si="1326"/>
        <v>0</v>
      </c>
      <c r="AM1647" s="78" t="b">
        <f t="shared" si="1327"/>
        <v>0</v>
      </c>
      <c r="AN1647" s="78" t="b">
        <f t="shared" si="1328"/>
        <v>0</v>
      </c>
      <c r="AO1647" s="78" t="b">
        <f t="shared" si="1329"/>
        <v>0</v>
      </c>
    </row>
    <row r="1648" spans="7:41" x14ac:dyDescent="0.35">
      <c r="G1648" s="77">
        <f t="shared" si="1299"/>
        <v>0</v>
      </c>
      <c r="H1648" s="78">
        <f t="shared" si="1300"/>
        <v>0</v>
      </c>
      <c r="I1648" s="77">
        <f t="shared" si="1301"/>
        <v>0</v>
      </c>
      <c r="J1648" s="78">
        <f t="shared" si="1302"/>
        <v>0</v>
      </c>
      <c r="K1648" s="78" t="str">
        <f t="shared" si="1303"/>
        <v>1900-01-00 00:0:00</v>
      </c>
      <c r="L1648" s="78" t="str">
        <f t="shared" si="1304"/>
        <v>1900-01-00 00:0:00</v>
      </c>
      <c r="M1648" s="79">
        <f t="shared" si="1305"/>
        <v>0</v>
      </c>
      <c r="N1648">
        <f t="shared" si="1330"/>
        <v>1</v>
      </c>
      <c r="O1648" t="str">
        <f>IFERROR(_xlfn.XLOOKUP(A1648,HC!A:A,HC!C:C),"")</f>
        <v>Workforce</v>
      </c>
      <c r="R1648" s="78" t="b">
        <f t="shared" si="1306"/>
        <v>0</v>
      </c>
      <c r="S1648" s="78" t="b">
        <f t="shared" si="1307"/>
        <v>0</v>
      </c>
      <c r="T1648" s="78" t="b">
        <f t="shared" si="1308"/>
        <v>0</v>
      </c>
      <c r="U1648" s="78" t="b">
        <f t="shared" si="1309"/>
        <v>0</v>
      </c>
      <c r="V1648" s="78" t="b">
        <f t="shared" si="1310"/>
        <v>0</v>
      </c>
      <c r="W1648" s="78" t="b">
        <f t="shared" si="1311"/>
        <v>0</v>
      </c>
      <c r="X1648" s="78" t="b">
        <f t="shared" si="1312"/>
        <v>0</v>
      </c>
      <c r="Y1648" s="78" t="b">
        <f t="shared" si="1313"/>
        <v>0</v>
      </c>
      <c r="Z1648" s="78" t="b">
        <f t="shared" si="1314"/>
        <v>0</v>
      </c>
      <c r="AA1648" s="78" t="b">
        <f t="shared" si="1315"/>
        <v>0</v>
      </c>
      <c r="AB1648" s="78" t="b">
        <f t="shared" si="1316"/>
        <v>0</v>
      </c>
      <c r="AC1648" s="78" t="b">
        <f t="shared" si="1317"/>
        <v>0</v>
      </c>
      <c r="AD1648" s="78" t="b">
        <f t="shared" si="1318"/>
        <v>0</v>
      </c>
      <c r="AE1648" s="78" t="b">
        <f t="shared" si="1319"/>
        <v>0</v>
      </c>
      <c r="AF1648" s="78" t="b">
        <f t="shared" si="1320"/>
        <v>0</v>
      </c>
      <c r="AG1648" s="78" t="b">
        <f t="shared" si="1321"/>
        <v>0</v>
      </c>
      <c r="AH1648" s="78" t="b">
        <f t="shared" si="1322"/>
        <v>0</v>
      </c>
      <c r="AI1648" s="78" t="b">
        <f t="shared" si="1323"/>
        <v>0</v>
      </c>
      <c r="AJ1648" s="78" t="b">
        <f t="shared" si="1324"/>
        <v>0</v>
      </c>
      <c r="AK1648" s="78" t="b">
        <f t="shared" si="1325"/>
        <v>0</v>
      </c>
      <c r="AL1648" s="78" t="b">
        <f t="shared" si="1326"/>
        <v>0</v>
      </c>
      <c r="AM1648" s="78" t="b">
        <f t="shared" si="1327"/>
        <v>0</v>
      </c>
      <c r="AN1648" s="78" t="b">
        <f t="shared" si="1328"/>
        <v>0</v>
      </c>
      <c r="AO1648" s="78" t="b">
        <f t="shared" si="1329"/>
        <v>0</v>
      </c>
    </row>
    <row r="1649" spans="7:41" x14ac:dyDescent="0.35">
      <c r="G1649" s="77">
        <f t="shared" si="1299"/>
        <v>0</v>
      </c>
      <c r="H1649" s="78">
        <f t="shared" si="1300"/>
        <v>0</v>
      </c>
      <c r="I1649" s="77">
        <f t="shared" si="1301"/>
        <v>0</v>
      </c>
      <c r="J1649" s="78">
        <f t="shared" si="1302"/>
        <v>0</v>
      </c>
      <c r="K1649" s="78" t="str">
        <f t="shared" si="1303"/>
        <v>1900-01-00 00:0:00</v>
      </c>
      <c r="L1649" s="78" t="str">
        <f t="shared" si="1304"/>
        <v>1900-01-00 00:0:00</v>
      </c>
      <c r="M1649" s="79">
        <f t="shared" si="1305"/>
        <v>0</v>
      </c>
      <c r="N1649">
        <f t="shared" si="1330"/>
        <v>1</v>
      </c>
      <c r="O1649" t="str">
        <f>IFERROR(_xlfn.XLOOKUP(A1649,HC!A:A,HC!C:C),"")</f>
        <v>Workforce</v>
      </c>
      <c r="R1649" s="78" t="b">
        <f t="shared" si="1306"/>
        <v>0</v>
      </c>
      <c r="S1649" s="78" t="b">
        <f t="shared" si="1307"/>
        <v>0</v>
      </c>
      <c r="T1649" s="78" t="b">
        <f t="shared" si="1308"/>
        <v>0</v>
      </c>
      <c r="U1649" s="78" t="b">
        <f t="shared" si="1309"/>
        <v>0</v>
      </c>
      <c r="V1649" s="78" t="b">
        <f t="shared" si="1310"/>
        <v>0</v>
      </c>
      <c r="W1649" s="78" t="b">
        <f t="shared" si="1311"/>
        <v>0</v>
      </c>
      <c r="X1649" s="78" t="b">
        <f t="shared" si="1312"/>
        <v>0</v>
      </c>
      <c r="Y1649" s="78" t="b">
        <f t="shared" si="1313"/>
        <v>0</v>
      </c>
      <c r="Z1649" s="78" t="b">
        <f t="shared" si="1314"/>
        <v>0</v>
      </c>
      <c r="AA1649" s="78" t="b">
        <f t="shared" si="1315"/>
        <v>0</v>
      </c>
      <c r="AB1649" s="78" t="b">
        <f t="shared" si="1316"/>
        <v>0</v>
      </c>
      <c r="AC1649" s="78" t="b">
        <f t="shared" si="1317"/>
        <v>0</v>
      </c>
      <c r="AD1649" s="78" t="b">
        <f t="shared" si="1318"/>
        <v>0</v>
      </c>
      <c r="AE1649" s="78" t="b">
        <f t="shared" si="1319"/>
        <v>0</v>
      </c>
      <c r="AF1649" s="78" t="b">
        <f t="shared" si="1320"/>
        <v>0</v>
      </c>
      <c r="AG1649" s="78" t="b">
        <f t="shared" si="1321"/>
        <v>0</v>
      </c>
      <c r="AH1649" s="78" t="b">
        <f t="shared" si="1322"/>
        <v>0</v>
      </c>
      <c r="AI1649" s="78" t="b">
        <f t="shared" si="1323"/>
        <v>0</v>
      </c>
      <c r="AJ1649" s="78" t="b">
        <f t="shared" si="1324"/>
        <v>0</v>
      </c>
      <c r="AK1649" s="78" t="b">
        <f t="shared" si="1325"/>
        <v>0</v>
      </c>
      <c r="AL1649" s="78" t="b">
        <f t="shared" si="1326"/>
        <v>0</v>
      </c>
      <c r="AM1649" s="78" t="b">
        <f t="shared" si="1327"/>
        <v>0</v>
      </c>
      <c r="AN1649" s="78" t="b">
        <f t="shared" si="1328"/>
        <v>0</v>
      </c>
      <c r="AO1649" s="78" t="b">
        <f t="shared" si="1329"/>
        <v>0</v>
      </c>
    </row>
    <row r="1650" spans="7:41" x14ac:dyDescent="0.35">
      <c r="G1650" s="77">
        <f t="shared" si="1299"/>
        <v>0</v>
      </c>
      <c r="H1650" s="78">
        <f t="shared" si="1300"/>
        <v>0</v>
      </c>
      <c r="I1650" s="77">
        <f t="shared" si="1301"/>
        <v>0</v>
      </c>
      <c r="J1650" s="78">
        <f t="shared" si="1302"/>
        <v>0</v>
      </c>
      <c r="K1650" s="78" t="str">
        <f t="shared" si="1303"/>
        <v>1900-01-00 00:0:00</v>
      </c>
      <c r="L1650" s="78" t="str">
        <f t="shared" si="1304"/>
        <v>1900-01-00 00:0:00</v>
      </c>
      <c r="M1650" s="79">
        <f t="shared" si="1305"/>
        <v>0</v>
      </c>
      <c r="N1650">
        <f t="shared" si="1330"/>
        <v>1</v>
      </c>
      <c r="O1650" t="str">
        <f>IFERROR(_xlfn.XLOOKUP(A1650,HC!A:A,HC!C:C),"")</f>
        <v>Workforce</v>
      </c>
      <c r="R1650" s="78" t="b">
        <f t="shared" si="1306"/>
        <v>0</v>
      </c>
      <c r="S1650" s="78" t="b">
        <f t="shared" si="1307"/>
        <v>0</v>
      </c>
      <c r="T1650" s="78" t="b">
        <f t="shared" si="1308"/>
        <v>0</v>
      </c>
      <c r="U1650" s="78" t="b">
        <f t="shared" si="1309"/>
        <v>0</v>
      </c>
      <c r="V1650" s="78" t="b">
        <f t="shared" si="1310"/>
        <v>0</v>
      </c>
      <c r="W1650" s="78" t="b">
        <f t="shared" si="1311"/>
        <v>0</v>
      </c>
      <c r="X1650" s="78" t="b">
        <f t="shared" si="1312"/>
        <v>0</v>
      </c>
      <c r="Y1650" s="78" t="b">
        <f t="shared" si="1313"/>
        <v>0</v>
      </c>
      <c r="Z1650" s="78" t="b">
        <f t="shared" si="1314"/>
        <v>0</v>
      </c>
      <c r="AA1650" s="78" t="b">
        <f t="shared" si="1315"/>
        <v>0</v>
      </c>
      <c r="AB1650" s="78" t="b">
        <f t="shared" si="1316"/>
        <v>0</v>
      </c>
      <c r="AC1650" s="78" t="b">
        <f t="shared" si="1317"/>
        <v>0</v>
      </c>
      <c r="AD1650" s="78" t="b">
        <f t="shared" si="1318"/>
        <v>0</v>
      </c>
      <c r="AE1650" s="78" t="b">
        <f t="shared" si="1319"/>
        <v>0</v>
      </c>
      <c r="AF1650" s="78" t="b">
        <f t="shared" si="1320"/>
        <v>0</v>
      </c>
      <c r="AG1650" s="78" t="b">
        <f t="shared" si="1321"/>
        <v>0</v>
      </c>
      <c r="AH1650" s="78" t="b">
        <f t="shared" si="1322"/>
        <v>0</v>
      </c>
      <c r="AI1650" s="78" t="b">
        <f t="shared" si="1323"/>
        <v>0</v>
      </c>
      <c r="AJ1650" s="78" t="b">
        <f t="shared" si="1324"/>
        <v>0</v>
      </c>
      <c r="AK1650" s="78" t="b">
        <f t="shared" si="1325"/>
        <v>0</v>
      </c>
      <c r="AL1650" s="78" t="b">
        <f t="shared" si="1326"/>
        <v>0</v>
      </c>
      <c r="AM1650" s="78" t="b">
        <f t="shared" si="1327"/>
        <v>0</v>
      </c>
      <c r="AN1650" s="78" t="b">
        <f t="shared" si="1328"/>
        <v>0</v>
      </c>
      <c r="AO1650" s="78" t="b">
        <f t="shared" si="1329"/>
        <v>0</v>
      </c>
    </row>
    <row r="1651" spans="7:41" x14ac:dyDescent="0.35">
      <c r="G1651" s="77">
        <f t="shared" si="1299"/>
        <v>0</v>
      </c>
      <c r="H1651" s="78">
        <f t="shared" si="1300"/>
        <v>0</v>
      </c>
      <c r="I1651" s="77">
        <f t="shared" si="1301"/>
        <v>0</v>
      </c>
      <c r="J1651" s="78">
        <f t="shared" si="1302"/>
        <v>0</v>
      </c>
      <c r="K1651" s="78" t="str">
        <f t="shared" si="1303"/>
        <v>1900-01-00 00:0:00</v>
      </c>
      <c r="L1651" s="78" t="str">
        <f t="shared" si="1304"/>
        <v>1900-01-00 00:0:00</v>
      </c>
      <c r="M1651" s="79">
        <f t="shared" si="1305"/>
        <v>0</v>
      </c>
      <c r="N1651">
        <f t="shared" si="1330"/>
        <v>1</v>
      </c>
      <c r="O1651" t="str">
        <f>IFERROR(_xlfn.XLOOKUP(A1651,HC!A:A,HC!C:C),"")</f>
        <v>Workforce</v>
      </c>
      <c r="R1651" s="78" t="b">
        <f t="shared" si="1306"/>
        <v>0</v>
      </c>
      <c r="S1651" s="78" t="b">
        <f t="shared" si="1307"/>
        <v>0</v>
      </c>
      <c r="T1651" s="78" t="b">
        <f t="shared" si="1308"/>
        <v>0</v>
      </c>
      <c r="U1651" s="78" t="b">
        <f t="shared" si="1309"/>
        <v>0</v>
      </c>
      <c r="V1651" s="78" t="b">
        <f t="shared" si="1310"/>
        <v>0</v>
      </c>
      <c r="W1651" s="78" t="b">
        <f t="shared" si="1311"/>
        <v>0</v>
      </c>
      <c r="X1651" s="78" t="b">
        <f t="shared" si="1312"/>
        <v>0</v>
      </c>
      <c r="Y1651" s="78" t="b">
        <f t="shared" si="1313"/>
        <v>0</v>
      </c>
      <c r="Z1651" s="78" t="b">
        <f t="shared" si="1314"/>
        <v>0</v>
      </c>
      <c r="AA1651" s="78" t="b">
        <f t="shared" si="1315"/>
        <v>0</v>
      </c>
      <c r="AB1651" s="78" t="b">
        <f t="shared" si="1316"/>
        <v>0</v>
      </c>
      <c r="AC1651" s="78" t="b">
        <f t="shared" si="1317"/>
        <v>0</v>
      </c>
      <c r="AD1651" s="78" t="b">
        <f t="shared" si="1318"/>
        <v>0</v>
      </c>
      <c r="AE1651" s="78" t="b">
        <f t="shared" si="1319"/>
        <v>0</v>
      </c>
      <c r="AF1651" s="78" t="b">
        <f t="shared" si="1320"/>
        <v>0</v>
      </c>
      <c r="AG1651" s="78" t="b">
        <f t="shared" si="1321"/>
        <v>0</v>
      </c>
      <c r="AH1651" s="78" t="b">
        <f t="shared" si="1322"/>
        <v>0</v>
      </c>
      <c r="AI1651" s="78" t="b">
        <f t="shared" si="1323"/>
        <v>0</v>
      </c>
      <c r="AJ1651" s="78" t="b">
        <f t="shared" si="1324"/>
        <v>0</v>
      </c>
      <c r="AK1651" s="78" t="b">
        <f t="shared" si="1325"/>
        <v>0</v>
      </c>
      <c r="AL1651" s="78" t="b">
        <f t="shared" si="1326"/>
        <v>0</v>
      </c>
      <c r="AM1651" s="78" t="b">
        <f t="shared" si="1327"/>
        <v>0</v>
      </c>
      <c r="AN1651" s="78" t="b">
        <f t="shared" si="1328"/>
        <v>0</v>
      </c>
      <c r="AO1651" s="78" t="b">
        <f t="shared" si="1329"/>
        <v>0</v>
      </c>
    </row>
    <row r="1652" spans="7:41" x14ac:dyDescent="0.35">
      <c r="G1652" s="77">
        <f t="shared" si="1299"/>
        <v>0</v>
      </c>
      <c r="H1652" s="78">
        <f t="shared" si="1300"/>
        <v>0</v>
      </c>
      <c r="I1652" s="77">
        <f t="shared" si="1301"/>
        <v>0</v>
      </c>
      <c r="J1652" s="78">
        <f t="shared" si="1302"/>
        <v>0</v>
      </c>
      <c r="K1652" s="78" t="str">
        <f t="shared" si="1303"/>
        <v>1900-01-00 00:0:00</v>
      </c>
      <c r="L1652" s="78" t="str">
        <f t="shared" si="1304"/>
        <v>1900-01-00 00:0:00</v>
      </c>
      <c r="M1652" s="79">
        <f t="shared" si="1305"/>
        <v>0</v>
      </c>
      <c r="N1652">
        <f t="shared" si="1330"/>
        <v>1</v>
      </c>
      <c r="O1652" t="str">
        <f>IFERROR(_xlfn.XLOOKUP(A1652,HC!A:A,HC!C:C),"")</f>
        <v>Workforce</v>
      </c>
      <c r="R1652" s="78" t="b">
        <f t="shared" si="1306"/>
        <v>0</v>
      </c>
      <c r="S1652" s="78" t="b">
        <f t="shared" si="1307"/>
        <v>0</v>
      </c>
      <c r="T1652" s="78" t="b">
        <f t="shared" si="1308"/>
        <v>0</v>
      </c>
      <c r="U1652" s="78" t="b">
        <f t="shared" si="1309"/>
        <v>0</v>
      </c>
      <c r="V1652" s="78" t="b">
        <f t="shared" si="1310"/>
        <v>0</v>
      </c>
      <c r="W1652" s="78" t="b">
        <f t="shared" si="1311"/>
        <v>0</v>
      </c>
      <c r="X1652" s="78" t="b">
        <f t="shared" si="1312"/>
        <v>0</v>
      </c>
      <c r="Y1652" s="78" t="b">
        <f t="shared" si="1313"/>
        <v>0</v>
      </c>
      <c r="Z1652" s="78" t="b">
        <f t="shared" si="1314"/>
        <v>0</v>
      </c>
      <c r="AA1652" s="78" t="b">
        <f t="shared" si="1315"/>
        <v>0</v>
      </c>
      <c r="AB1652" s="78" t="b">
        <f t="shared" si="1316"/>
        <v>0</v>
      </c>
      <c r="AC1652" s="78" t="b">
        <f t="shared" si="1317"/>
        <v>0</v>
      </c>
      <c r="AD1652" s="78" t="b">
        <f t="shared" si="1318"/>
        <v>0</v>
      </c>
      <c r="AE1652" s="78" t="b">
        <f t="shared" si="1319"/>
        <v>0</v>
      </c>
      <c r="AF1652" s="78" t="b">
        <f t="shared" si="1320"/>
        <v>0</v>
      </c>
      <c r="AG1652" s="78" t="b">
        <f t="shared" si="1321"/>
        <v>0</v>
      </c>
      <c r="AH1652" s="78" t="b">
        <f t="shared" si="1322"/>
        <v>0</v>
      </c>
      <c r="AI1652" s="78" t="b">
        <f t="shared" si="1323"/>
        <v>0</v>
      </c>
      <c r="AJ1652" s="78" t="b">
        <f t="shared" si="1324"/>
        <v>0</v>
      </c>
      <c r="AK1652" s="78" t="b">
        <f t="shared" si="1325"/>
        <v>0</v>
      </c>
      <c r="AL1652" s="78" t="b">
        <f t="shared" si="1326"/>
        <v>0</v>
      </c>
      <c r="AM1652" s="78" t="b">
        <f t="shared" si="1327"/>
        <v>0</v>
      </c>
      <c r="AN1652" s="78" t="b">
        <f t="shared" si="1328"/>
        <v>0</v>
      </c>
      <c r="AO1652" s="78" t="b">
        <f t="shared" si="1329"/>
        <v>0</v>
      </c>
    </row>
    <row r="1653" spans="7:41" x14ac:dyDescent="0.35">
      <c r="G1653" s="77">
        <f t="shared" si="1299"/>
        <v>0</v>
      </c>
      <c r="H1653" s="78">
        <f t="shared" si="1300"/>
        <v>0</v>
      </c>
      <c r="I1653" s="77">
        <f t="shared" si="1301"/>
        <v>0</v>
      </c>
      <c r="J1653" s="78">
        <f t="shared" si="1302"/>
        <v>0</v>
      </c>
      <c r="K1653" s="78" t="str">
        <f t="shared" si="1303"/>
        <v>1900-01-00 00:0:00</v>
      </c>
      <c r="L1653" s="78" t="str">
        <f t="shared" si="1304"/>
        <v>1900-01-00 00:0:00</v>
      </c>
      <c r="M1653" s="79">
        <f t="shared" si="1305"/>
        <v>0</v>
      </c>
      <c r="N1653">
        <f t="shared" si="1330"/>
        <v>1</v>
      </c>
      <c r="O1653" t="str">
        <f>IFERROR(_xlfn.XLOOKUP(A1653,HC!A:A,HC!C:C),"")</f>
        <v>Workforce</v>
      </c>
      <c r="R1653" s="78" t="b">
        <f t="shared" si="1306"/>
        <v>0</v>
      </c>
      <c r="S1653" s="78" t="b">
        <f t="shared" si="1307"/>
        <v>0</v>
      </c>
      <c r="T1653" s="78" t="b">
        <f t="shared" si="1308"/>
        <v>0</v>
      </c>
      <c r="U1653" s="78" t="b">
        <f t="shared" si="1309"/>
        <v>0</v>
      </c>
      <c r="V1653" s="78" t="b">
        <f t="shared" si="1310"/>
        <v>0</v>
      </c>
      <c r="W1653" s="78" t="b">
        <f t="shared" si="1311"/>
        <v>0</v>
      </c>
      <c r="X1653" s="78" t="b">
        <f t="shared" si="1312"/>
        <v>0</v>
      </c>
      <c r="Y1653" s="78" t="b">
        <f t="shared" si="1313"/>
        <v>0</v>
      </c>
      <c r="Z1653" s="78" t="b">
        <f t="shared" si="1314"/>
        <v>0</v>
      </c>
      <c r="AA1653" s="78" t="b">
        <f t="shared" si="1315"/>
        <v>0</v>
      </c>
      <c r="AB1653" s="78" t="b">
        <f t="shared" si="1316"/>
        <v>0</v>
      </c>
      <c r="AC1653" s="78" t="b">
        <f t="shared" si="1317"/>
        <v>0</v>
      </c>
      <c r="AD1653" s="78" t="b">
        <f t="shared" si="1318"/>
        <v>0</v>
      </c>
      <c r="AE1653" s="78" t="b">
        <f t="shared" si="1319"/>
        <v>0</v>
      </c>
      <c r="AF1653" s="78" t="b">
        <f t="shared" si="1320"/>
        <v>0</v>
      </c>
      <c r="AG1653" s="78" t="b">
        <f t="shared" si="1321"/>
        <v>0</v>
      </c>
      <c r="AH1653" s="78" t="b">
        <f t="shared" si="1322"/>
        <v>0</v>
      </c>
      <c r="AI1653" s="78" t="b">
        <f t="shared" si="1323"/>
        <v>0</v>
      </c>
      <c r="AJ1653" s="78" t="b">
        <f t="shared" si="1324"/>
        <v>0</v>
      </c>
      <c r="AK1653" s="78" t="b">
        <f t="shared" si="1325"/>
        <v>0</v>
      </c>
      <c r="AL1653" s="78" t="b">
        <f t="shared" si="1326"/>
        <v>0</v>
      </c>
      <c r="AM1653" s="78" t="b">
        <f t="shared" si="1327"/>
        <v>0</v>
      </c>
      <c r="AN1653" s="78" t="b">
        <f t="shared" si="1328"/>
        <v>0</v>
      </c>
      <c r="AO1653" s="78" t="b">
        <f t="shared" si="1329"/>
        <v>0</v>
      </c>
    </row>
    <row r="1654" spans="7:41" x14ac:dyDescent="0.35">
      <c r="G1654" s="77">
        <f t="shared" si="1299"/>
        <v>0</v>
      </c>
      <c r="H1654" s="78">
        <f t="shared" si="1300"/>
        <v>0</v>
      </c>
      <c r="I1654" s="77">
        <f t="shared" si="1301"/>
        <v>0</v>
      </c>
      <c r="J1654" s="78">
        <f t="shared" si="1302"/>
        <v>0</v>
      </c>
      <c r="K1654" s="78" t="str">
        <f t="shared" si="1303"/>
        <v>1900-01-00 00:0:00</v>
      </c>
      <c r="L1654" s="78" t="str">
        <f t="shared" si="1304"/>
        <v>1900-01-00 00:0:00</v>
      </c>
      <c r="M1654" s="79">
        <f t="shared" si="1305"/>
        <v>0</v>
      </c>
      <c r="N1654">
        <f t="shared" si="1330"/>
        <v>1</v>
      </c>
      <c r="O1654" t="str">
        <f>IFERROR(_xlfn.XLOOKUP(A1654,HC!A:A,HC!C:C),"")</f>
        <v>Workforce</v>
      </c>
      <c r="R1654" s="78" t="b">
        <f t="shared" si="1306"/>
        <v>0</v>
      </c>
      <c r="S1654" s="78" t="b">
        <f t="shared" si="1307"/>
        <v>0</v>
      </c>
      <c r="T1654" s="78" t="b">
        <f t="shared" si="1308"/>
        <v>0</v>
      </c>
      <c r="U1654" s="78" t="b">
        <f t="shared" si="1309"/>
        <v>0</v>
      </c>
      <c r="V1654" s="78" t="b">
        <f t="shared" si="1310"/>
        <v>0</v>
      </c>
      <c r="W1654" s="78" t="b">
        <f t="shared" si="1311"/>
        <v>0</v>
      </c>
      <c r="X1654" s="78" t="b">
        <f t="shared" si="1312"/>
        <v>0</v>
      </c>
      <c r="Y1654" s="78" t="b">
        <f t="shared" si="1313"/>
        <v>0</v>
      </c>
      <c r="Z1654" s="78" t="b">
        <f t="shared" si="1314"/>
        <v>0</v>
      </c>
      <c r="AA1654" s="78" t="b">
        <f t="shared" si="1315"/>
        <v>0</v>
      </c>
      <c r="AB1654" s="78" t="b">
        <f t="shared" si="1316"/>
        <v>0</v>
      </c>
      <c r="AC1654" s="78" t="b">
        <f t="shared" si="1317"/>
        <v>0</v>
      </c>
      <c r="AD1654" s="78" t="b">
        <f t="shared" si="1318"/>
        <v>0</v>
      </c>
      <c r="AE1654" s="78" t="b">
        <f t="shared" si="1319"/>
        <v>0</v>
      </c>
      <c r="AF1654" s="78" t="b">
        <f t="shared" si="1320"/>
        <v>0</v>
      </c>
      <c r="AG1654" s="78" t="b">
        <f t="shared" si="1321"/>
        <v>0</v>
      </c>
      <c r="AH1654" s="78" t="b">
        <f t="shared" si="1322"/>
        <v>0</v>
      </c>
      <c r="AI1654" s="78" t="b">
        <f t="shared" si="1323"/>
        <v>0</v>
      </c>
      <c r="AJ1654" s="78" t="b">
        <f t="shared" si="1324"/>
        <v>0</v>
      </c>
      <c r="AK1654" s="78" t="b">
        <f t="shared" si="1325"/>
        <v>0</v>
      </c>
      <c r="AL1654" s="78" t="b">
        <f t="shared" si="1326"/>
        <v>0</v>
      </c>
      <c r="AM1654" s="78" t="b">
        <f t="shared" si="1327"/>
        <v>0</v>
      </c>
      <c r="AN1654" s="78" t="b">
        <f t="shared" si="1328"/>
        <v>0</v>
      </c>
      <c r="AO1654" s="78" t="b">
        <f t="shared" si="1329"/>
        <v>0</v>
      </c>
    </row>
    <row r="1655" spans="7:41" x14ac:dyDescent="0.35">
      <c r="G1655" s="77">
        <f t="shared" si="1299"/>
        <v>0</v>
      </c>
      <c r="H1655" s="78">
        <f t="shared" si="1300"/>
        <v>0</v>
      </c>
      <c r="I1655" s="77">
        <f t="shared" si="1301"/>
        <v>0</v>
      </c>
      <c r="J1655" s="78">
        <f t="shared" si="1302"/>
        <v>0</v>
      </c>
      <c r="K1655" s="78" t="str">
        <f t="shared" si="1303"/>
        <v>1900-01-00 00:0:00</v>
      </c>
      <c r="L1655" s="78" t="str">
        <f t="shared" si="1304"/>
        <v>1900-01-00 00:0:00</v>
      </c>
      <c r="M1655" s="79">
        <f t="shared" si="1305"/>
        <v>0</v>
      </c>
      <c r="N1655">
        <f t="shared" si="1330"/>
        <v>1</v>
      </c>
      <c r="O1655" t="str">
        <f>IFERROR(_xlfn.XLOOKUP(A1655,HC!A:A,HC!C:C),"")</f>
        <v>Workforce</v>
      </c>
      <c r="R1655" s="78" t="b">
        <f t="shared" si="1306"/>
        <v>0</v>
      </c>
      <c r="S1655" s="78" t="b">
        <f t="shared" si="1307"/>
        <v>0</v>
      </c>
      <c r="T1655" s="78" t="b">
        <f t="shared" si="1308"/>
        <v>0</v>
      </c>
      <c r="U1655" s="78" t="b">
        <f t="shared" si="1309"/>
        <v>0</v>
      </c>
      <c r="V1655" s="78" t="b">
        <f t="shared" si="1310"/>
        <v>0</v>
      </c>
      <c r="W1655" s="78" t="b">
        <f t="shared" si="1311"/>
        <v>0</v>
      </c>
      <c r="X1655" s="78" t="b">
        <f t="shared" si="1312"/>
        <v>0</v>
      </c>
      <c r="Y1655" s="78" t="b">
        <f t="shared" si="1313"/>
        <v>0</v>
      </c>
      <c r="Z1655" s="78" t="b">
        <f t="shared" si="1314"/>
        <v>0</v>
      </c>
      <c r="AA1655" s="78" t="b">
        <f t="shared" si="1315"/>
        <v>0</v>
      </c>
      <c r="AB1655" s="78" t="b">
        <f t="shared" si="1316"/>
        <v>0</v>
      </c>
      <c r="AC1655" s="78" t="b">
        <f t="shared" si="1317"/>
        <v>0</v>
      </c>
      <c r="AD1655" s="78" t="b">
        <f t="shared" si="1318"/>
        <v>0</v>
      </c>
      <c r="AE1655" s="78" t="b">
        <f t="shared" si="1319"/>
        <v>0</v>
      </c>
      <c r="AF1655" s="78" t="b">
        <f t="shared" si="1320"/>
        <v>0</v>
      </c>
      <c r="AG1655" s="78" t="b">
        <f t="shared" si="1321"/>
        <v>0</v>
      </c>
      <c r="AH1655" s="78" t="b">
        <f t="shared" si="1322"/>
        <v>0</v>
      </c>
      <c r="AI1655" s="78" t="b">
        <f t="shared" si="1323"/>
        <v>0</v>
      </c>
      <c r="AJ1655" s="78" t="b">
        <f t="shared" si="1324"/>
        <v>0</v>
      </c>
      <c r="AK1655" s="78" t="b">
        <f t="shared" si="1325"/>
        <v>0</v>
      </c>
      <c r="AL1655" s="78" t="b">
        <f t="shared" si="1326"/>
        <v>0</v>
      </c>
      <c r="AM1655" s="78" t="b">
        <f t="shared" si="1327"/>
        <v>0</v>
      </c>
      <c r="AN1655" s="78" t="b">
        <f t="shared" si="1328"/>
        <v>0</v>
      </c>
      <c r="AO1655" s="78" t="b">
        <f t="shared" si="1329"/>
        <v>0</v>
      </c>
    </row>
    <row r="1656" spans="7:41" x14ac:dyDescent="0.35">
      <c r="G1656" s="77">
        <f t="shared" si="1299"/>
        <v>0</v>
      </c>
      <c r="H1656" s="78">
        <f t="shared" si="1300"/>
        <v>0</v>
      </c>
      <c r="I1656" s="77">
        <f t="shared" si="1301"/>
        <v>0</v>
      </c>
      <c r="J1656" s="78">
        <f t="shared" si="1302"/>
        <v>0</v>
      </c>
      <c r="K1656" s="78" t="str">
        <f t="shared" si="1303"/>
        <v>1900-01-00 00:0:00</v>
      </c>
      <c r="L1656" s="78" t="str">
        <f t="shared" si="1304"/>
        <v>1900-01-00 00:0:00</v>
      </c>
      <c r="M1656" s="79">
        <f t="shared" si="1305"/>
        <v>0</v>
      </c>
      <c r="N1656">
        <f t="shared" si="1330"/>
        <v>1</v>
      </c>
      <c r="O1656" t="str">
        <f>IFERROR(_xlfn.XLOOKUP(A1656,HC!A:A,HC!C:C),"")</f>
        <v>Workforce</v>
      </c>
      <c r="R1656" s="78" t="b">
        <f t="shared" si="1306"/>
        <v>0</v>
      </c>
      <c r="S1656" s="78" t="b">
        <f t="shared" si="1307"/>
        <v>0</v>
      </c>
      <c r="T1656" s="78" t="b">
        <f t="shared" si="1308"/>
        <v>0</v>
      </c>
      <c r="U1656" s="78" t="b">
        <f t="shared" si="1309"/>
        <v>0</v>
      </c>
      <c r="V1656" s="78" t="b">
        <f t="shared" si="1310"/>
        <v>0</v>
      </c>
      <c r="W1656" s="78" t="b">
        <f t="shared" si="1311"/>
        <v>0</v>
      </c>
      <c r="X1656" s="78" t="b">
        <f t="shared" si="1312"/>
        <v>0</v>
      </c>
      <c r="Y1656" s="78" t="b">
        <f t="shared" si="1313"/>
        <v>0</v>
      </c>
      <c r="Z1656" s="78" t="b">
        <f t="shared" si="1314"/>
        <v>0</v>
      </c>
      <c r="AA1656" s="78" t="b">
        <f t="shared" si="1315"/>
        <v>0</v>
      </c>
      <c r="AB1656" s="78" t="b">
        <f t="shared" si="1316"/>
        <v>0</v>
      </c>
      <c r="AC1656" s="78" t="b">
        <f t="shared" si="1317"/>
        <v>0</v>
      </c>
      <c r="AD1656" s="78" t="b">
        <f t="shared" si="1318"/>
        <v>0</v>
      </c>
      <c r="AE1656" s="78" t="b">
        <f t="shared" si="1319"/>
        <v>0</v>
      </c>
      <c r="AF1656" s="78" t="b">
        <f t="shared" si="1320"/>
        <v>0</v>
      </c>
      <c r="AG1656" s="78" t="b">
        <f t="shared" si="1321"/>
        <v>0</v>
      </c>
      <c r="AH1656" s="78" t="b">
        <f t="shared" si="1322"/>
        <v>0</v>
      </c>
      <c r="AI1656" s="78" t="b">
        <f t="shared" si="1323"/>
        <v>0</v>
      </c>
      <c r="AJ1656" s="78" t="b">
        <f t="shared" si="1324"/>
        <v>0</v>
      </c>
      <c r="AK1656" s="78" t="b">
        <f t="shared" si="1325"/>
        <v>0</v>
      </c>
      <c r="AL1656" s="78" t="b">
        <f t="shared" si="1326"/>
        <v>0</v>
      </c>
      <c r="AM1656" s="78" t="b">
        <f t="shared" si="1327"/>
        <v>0</v>
      </c>
      <c r="AN1656" s="78" t="b">
        <f t="shared" si="1328"/>
        <v>0</v>
      </c>
      <c r="AO1656" s="78" t="b">
        <f t="shared" si="1329"/>
        <v>0</v>
      </c>
    </row>
    <row r="1657" spans="7:41" x14ac:dyDescent="0.35">
      <c r="G1657" s="77">
        <f t="shared" si="1299"/>
        <v>0</v>
      </c>
      <c r="H1657" s="78">
        <f t="shared" si="1300"/>
        <v>0</v>
      </c>
      <c r="I1657" s="77">
        <f t="shared" si="1301"/>
        <v>0</v>
      </c>
      <c r="J1657" s="78">
        <f t="shared" si="1302"/>
        <v>0</v>
      </c>
      <c r="K1657" s="78" t="str">
        <f t="shared" si="1303"/>
        <v>1900-01-00 00:0:00</v>
      </c>
      <c r="L1657" s="78" t="str">
        <f t="shared" si="1304"/>
        <v>1900-01-00 00:0:00</v>
      </c>
      <c r="M1657" s="79">
        <f t="shared" si="1305"/>
        <v>0</v>
      </c>
      <c r="N1657">
        <f t="shared" si="1330"/>
        <v>1</v>
      </c>
      <c r="O1657" t="str">
        <f>IFERROR(_xlfn.XLOOKUP(A1657,HC!A:A,HC!C:C),"")</f>
        <v>Workforce</v>
      </c>
      <c r="R1657" s="78" t="b">
        <f t="shared" si="1306"/>
        <v>0</v>
      </c>
      <c r="S1657" s="78" t="b">
        <f t="shared" si="1307"/>
        <v>0</v>
      </c>
      <c r="T1657" s="78" t="b">
        <f t="shared" si="1308"/>
        <v>0</v>
      </c>
      <c r="U1657" s="78" t="b">
        <f t="shared" si="1309"/>
        <v>0</v>
      </c>
      <c r="V1657" s="78" t="b">
        <f t="shared" si="1310"/>
        <v>0</v>
      </c>
      <c r="W1657" s="78" t="b">
        <f t="shared" si="1311"/>
        <v>0</v>
      </c>
      <c r="X1657" s="78" t="b">
        <f t="shared" si="1312"/>
        <v>0</v>
      </c>
      <c r="Y1657" s="78" t="b">
        <f t="shared" si="1313"/>
        <v>0</v>
      </c>
      <c r="Z1657" s="78" t="b">
        <f t="shared" si="1314"/>
        <v>0</v>
      </c>
      <c r="AA1657" s="78" t="b">
        <f t="shared" si="1315"/>
        <v>0</v>
      </c>
      <c r="AB1657" s="78" t="b">
        <f t="shared" si="1316"/>
        <v>0</v>
      </c>
      <c r="AC1657" s="78" t="b">
        <f t="shared" si="1317"/>
        <v>0</v>
      </c>
      <c r="AD1657" s="78" t="b">
        <f t="shared" si="1318"/>
        <v>0</v>
      </c>
      <c r="AE1657" s="78" t="b">
        <f t="shared" si="1319"/>
        <v>0</v>
      </c>
      <c r="AF1657" s="78" t="b">
        <f t="shared" si="1320"/>
        <v>0</v>
      </c>
      <c r="AG1657" s="78" t="b">
        <f t="shared" si="1321"/>
        <v>0</v>
      </c>
      <c r="AH1657" s="78" t="b">
        <f t="shared" si="1322"/>
        <v>0</v>
      </c>
      <c r="AI1657" s="78" t="b">
        <f t="shared" si="1323"/>
        <v>0</v>
      </c>
      <c r="AJ1657" s="78" t="b">
        <f t="shared" si="1324"/>
        <v>0</v>
      </c>
      <c r="AK1657" s="78" t="b">
        <f t="shared" si="1325"/>
        <v>0</v>
      </c>
      <c r="AL1657" s="78" t="b">
        <f t="shared" si="1326"/>
        <v>0</v>
      </c>
      <c r="AM1657" s="78" t="b">
        <f t="shared" si="1327"/>
        <v>0</v>
      </c>
      <c r="AN1657" s="78" t="b">
        <f t="shared" si="1328"/>
        <v>0</v>
      </c>
      <c r="AO1657" s="78" t="b">
        <f t="shared" si="1329"/>
        <v>0</v>
      </c>
    </row>
    <row r="1658" spans="7:41" x14ac:dyDescent="0.35">
      <c r="G1658" s="77">
        <f t="shared" ref="G1658:G1721" si="1331">INT(D1658)</f>
        <v>0</v>
      </c>
      <c r="H1658" s="78">
        <f t="shared" ref="H1658:H1721" si="1332">D1658-G1658</f>
        <v>0</v>
      </c>
      <c r="I1658" s="77">
        <f t="shared" ref="I1658:I1721" si="1333">INT(E1658)</f>
        <v>0</v>
      </c>
      <c r="J1658" s="78">
        <f t="shared" ref="J1658:J1721" si="1334">E1658-I1658</f>
        <v>0</v>
      </c>
      <c r="K1658" s="78" t="str">
        <f t="shared" ref="K1658:K1721" si="1335">TEXT(G1658+H1658,"yyyy-mm-dd hh:m:ss")</f>
        <v>1900-01-00 00:0:00</v>
      </c>
      <c r="L1658" s="78" t="str">
        <f t="shared" ref="L1658:L1721" si="1336">TEXT(I1658+J1658,"yyyy-mm-dd hh:m:ss")</f>
        <v>1900-01-00 00:0:00</v>
      </c>
      <c r="M1658" s="79">
        <f t="shared" ref="M1658:M1721" si="1337">E1658-D1658</f>
        <v>0</v>
      </c>
      <c r="N1658">
        <f t="shared" si="1330"/>
        <v>1</v>
      </c>
      <c r="O1658" t="str">
        <f>IFERROR(_xlfn.XLOOKUP(A1658,HC!A:A,HC!C:C),"")</f>
        <v>Workforce</v>
      </c>
      <c r="R1658" s="78" t="b">
        <f t="shared" si="1306"/>
        <v>0</v>
      </c>
      <c r="S1658" s="78" t="b">
        <f t="shared" si="1307"/>
        <v>0</v>
      </c>
      <c r="T1658" s="78" t="b">
        <f t="shared" si="1308"/>
        <v>0</v>
      </c>
      <c r="U1658" s="78" t="b">
        <f t="shared" si="1309"/>
        <v>0</v>
      </c>
      <c r="V1658" s="78" t="b">
        <f t="shared" si="1310"/>
        <v>0</v>
      </c>
      <c r="W1658" s="78" t="b">
        <f t="shared" si="1311"/>
        <v>0</v>
      </c>
      <c r="X1658" s="78" t="b">
        <f t="shared" si="1312"/>
        <v>0</v>
      </c>
      <c r="Y1658" s="78" t="b">
        <f t="shared" si="1313"/>
        <v>0</v>
      </c>
      <c r="Z1658" s="78" t="b">
        <f t="shared" si="1314"/>
        <v>0</v>
      </c>
      <c r="AA1658" s="78" t="b">
        <f t="shared" si="1315"/>
        <v>0</v>
      </c>
      <c r="AB1658" s="78" t="b">
        <f t="shared" si="1316"/>
        <v>0</v>
      </c>
      <c r="AC1658" s="78" t="b">
        <f t="shared" si="1317"/>
        <v>0</v>
      </c>
      <c r="AD1658" s="78" t="b">
        <f t="shared" si="1318"/>
        <v>0</v>
      </c>
      <c r="AE1658" s="78" t="b">
        <f t="shared" si="1319"/>
        <v>0</v>
      </c>
      <c r="AF1658" s="78" t="b">
        <f t="shared" si="1320"/>
        <v>0</v>
      </c>
      <c r="AG1658" s="78" t="b">
        <f t="shared" si="1321"/>
        <v>0</v>
      </c>
      <c r="AH1658" s="78" t="b">
        <f t="shared" si="1322"/>
        <v>0</v>
      </c>
      <c r="AI1658" s="78" t="b">
        <f t="shared" si="1323"/>
        <v>0</v>
      </c>
      <c r="AJ1658" s="78" t="b">
        <f t="shared" si="1324"/>
        <v>0</v>
      </c>
      <c r="AK1658" s="78" t="b">
        <f t="shared" si="1325"/>
        <v>0</v>
      </c>
      <c r="AL1658" s="78" t="b">
        <f t="shared" si="1326"/>
        <v>0</v>
      </c>
      <c r="AM1658" s="78" t="b">
        <f t="shared" si="1327"/>
        <v>0</v>
      </c>
      <c r="AN1658" s="78" t="b">
        <f t="shared" si="1328"/>
        <v>0</v>
      </c>
      <c r="AO1658" s="78" t="b">
        <f t="shared" si="1329"/>
        <v>0</v>
      </c>
    </row>
    <row r="1659" spans="7:41" x14ac:dyDescent="0.35">
      <c r="G1659" s="77">
        <f t="shared" si="1331"/>
        <v>0</v>
      </c>
      <c r="H1659" s="78">
        <f t="shared" si="1332"/>
        <v>0</v>
      </c>
      <c r="I1659" s="77">
        <f t="shared" si="1333"/>
        <v>0</v>
      </c>
      <c r="J1659" s="78">
        <f t="shared" si="1334"/>
        <v>0</v>
      </c>
      <c r="K1659" s="78" t="str">
        <f t="shared" si="1335"/>
        <v>1900-01-00 00:0:00</v>
      </c>
      <c r="L1659" s="78" t="str">
        <f t="shared" si="1336"/>
        <v>1900-01-00 00:0:00</v>
      </c>
      <c r="M1659" s="79">
        <f t="shared" si="1337"/>
        <v>0</v>
      </c>
      <c r="N1659">
        <f t="shared" si="1330"/>
        <v>1</v>
      </c>
      <c r="O1659" t="str">
        <f>IFERROR(_xlfn.XLOOKUP(A1659,HC!A:A,HC!C:C),"")</f>
        <v>Workforce</v>
      </c>
      <c r="R1659" s="78" t="b">
        <f t="shared" si="1306"/>
        <v>0</v>
      </c>
      <c r="S1659" s="78" t="b">
        <f t="shared" si="1307"/>
        <v>0</v>
      </c>
      <c r="T1659" s="78" t="b">
        <f t="shared" si="1308"/>
        <v>0</v>
      </c>
      <c r="U1659" s="78" t="b">
        <f t="shared" si="1309"/>
        <v>0</v>
      </c>
      <c r="V1659" s="78" t="b">
        <f t="shared" si="1310"/>
        <v>0</v>
      </c>
      <c r="W1659" s="78" t="b">
        <f t="shared" si="1311"/>
        <v>0</v>
      </c>
      <c r="X1659" s="78" t="b">
        <f t="shared" si="1312"/>
        <v>0</v>
      </c>
      <c r="Y1659" s="78" t="b">
        <f t="shared" si="1313"/>
        <v>0</v>
      </c>
      <c r="Z1659" s="78" t="b">
        <f t="shared" si="1314"/>
        <v>0</v>
      </c>
      <c r="AA1659" s="78" t="b">
        <f t="shared" si="1315"/>
        <v>0</v>
      </c>
      <c r="AB1659" s="78" t="b">
        <f t="shared" si="1316"/>
        <v>0</v>
      </c>
      <c r="AC1659" s="78" t="b">
        <f t="shared" si="1317"/>
        <v>0</v>
      </c>
      <c r="AD1659" s="78" t="b">
        <f t="shared" si="1318"/>
        <v>0</v>
      </c>
      <c r="AE1659" s="78" t="b">
        <f t="shared" si="1319"/>
        <v>0</v>
      </c>
      <c r="AF1659" s="78" t="b">
        <f t="shared" si="1320"/>
        <v>0</v>
      </c>
      <c r="AG1659" s="78" t="b">
        <f t="shared" si="1321"/>
        <v>0</v>
      </c>
      <c r="AH1659" s="78" t="b">
        <f t="shared" si="1322"/>
        <v>0</v>
      </c>
      <c r="AI1659" s="78" t="b">
        <f t="shared" si="1323"/>
        <v>0</v>
      </c>
      <c r="AJ1659" s="78" t="b">
        <f t="shared" si="1324"/>
        <v>0</v>
      </c>
      <c r="AK1659" s="78" t="b">
        <f t="shared" si="1325"/>
        <v>0</v>
      </c>
      <c r="AL1659" s="78" t="b">
        <f t="shared" si="1326"/>
        <v>0</v>
      </c>
      <c r="AM1659" s="78" t="b">
        <f t="shared" si="1327"/>
        <v>0</v>
      </c>
      <c r="AN1659" s="78" t="b">
        <f t="shared" si="1328"/>
        <v>0</v>
      </c>
      <c r="AO1659" s="78" t="b">
        <f t="shared" si="1329"/>
        <v>0</v>
      </c>
    </row>
    <row r="1660" spans="7:41" x14ac:dyDescent="0.35">
      <c r="G1660" s="77">
        <f t="shared" si="1331"/>
        <v>0</v>
      </c>
      <c r="H1660" s="78">
        <f t="shared" si="1332"/>
        <v>0</v>
      </c>
      <c r="I1660" s="77">
        <f t="shared" si="1333"/>
        <v>0</v>
      </c>
      <c r="J1660" s="78">
        <f t="shared" si="1334"/>
        <v>0</v>
      </c>
      <c r="K1660" s="78" t="str">
        <f t="shared" si="1335"/>
        <v>1900-01-00 00:0:00</v>
      </c>
      <c r="L1660" s="78" t="str">
        <f t="shared" si="1336"/>
        <v>1900-01-00 00:0:00</v>
      </c>
      <c r="M1660" s="79">
        <f t="shared" si="1337"/>
        <v>0</v>
      </c>
      <c r="N1660">
        <f t="shared" si="1330"/>
        <v>1</v>
      </c>
      <c r="O1660" t="str">
        <f>IFERROR(_xlfn.XLOOKUP(A1660,HC!A:A,HC!C:C),"")</f>
        <v>Workforce</v>
      </c>
      <c r="R1660" s="78" t="b">
        <f t="shared" ref="R1660:R1723" si="1338">IFERROR(IF($B1660=$D$1,IF(AND($K1660&lt;R$1,$L1660&lt;R$1),"",IF(AND($K1660&gt;S$1,$L1660&gt;S$1),"",IF(AND($K1660&lt;R$1,$L1660&lt;=S$1),$L1660-R$1,IF(AND($K1660&gt;=R$1,$L1660&gt;S$1),S$1-$K1660,IF(AND($K1660&gt;=R$1,$L1660&lt;=S$1),$L1660-$K1660,IF(AND($K1660&lt;R$1,$L1660&gt;S$1),S$1-R$1,""))))))),"")</f>
        <v>0</v>
      </c>
      <c r="S1660" s="78" t="b">
        <f t="shared" ref="S1660:S1723" si="1339">IFERROR(IF($B1660=$D$1,IF(AND($K1660&lt;S$1,$L1660&lt;S$1),"",IF(AND($K1660&gt;T$1,$L1660&gt;T$1),"",IF(AND($K1660&lt;S$1,$L1660&lt;=T$1),$L1660-S$1,IF(AND($K1660&gt;=S$1,$L1660&gt;T$1),T$1-$K1660,IF(AND($K1660&gt;=S$1,$L1660&lt;=T$1),$L1660-$K1660,IF(AND($K1660&lt;S$1,$L1660&gt;T$1),T$1-S$1,""))))))),"")</f>
        <v>0</v>
      </c>
      <c r="T1660" s="78" t="b">
        <f t="shared" ref="T1660:T1723" si="1340">IFERROR(IF($B1660=$D$1,IF(AND($K1660&lt;T$1,$L1660&lt;T$1),"",IF(AND($K1660&gt;U$1,$L1660&gt;U$1),"",IF(AND($K1660&lt;T$1,$L1660&lt;=U$1),$L1660-T$1,IF(AND($K1660&gt;=T$1,$L1660&gt;U$1),U$1-$K1660,IF(AND($K1660&gt;=T$1,$L1660&lt;=U$1),$L1660-$K1660,IF(AND($K1660&lt;T$1,$L1660&gt;U$1),U$1-T$1,""))))))),"")</f>
        <v>0</v>
      </c>
      <c r="U1660" s="78" t="b">
        <f t="shared" ref="U1660:U1723" si="1341">IFERROR(IF($B1660=$D$1,IF(AND($K1660&lt;U$1,$L1660&lt;U$1),"",IF(AND($K1660&gt;V$1,$L1660&gt;V$1),"",IF(AND($K1660&lt;U$1,$L1660&lt;=V$1),$L1660-U$1,IF(AND($K1660&gt;=U$1,$L1660&gt;V$1),V$1-$K1660,IF(AND($K1660&gt;=U$1,$L1660&lt;=V$1),$L1660-$K1660,IF(AND($K1660&lt;U$1,$L1660&gt;V$1),V$1-U$1,""))))))),"")</f>
        <v>0</v>
      </c>
      <c r="V1660" s="78" t="b">
        <f t="shared" ref="V1660:V1723" si="1342">IFERROR(IF($B1660=$D$1,IF(AND($K1660&lt;V$1,$L1660&lt;V$1),"",IF(AND($K1660&gt;W$1,$L1660&gt;W$1),"",IF(AND($K1660&lt;V$1,$L1660&lt;=W$1),$L1660-V$1,IF(AND($K1660&gt;=V$1,$L1660&gt;W$1),W$1-$K1660,IF(AND($K1660&gt;=V$1,$L1660&lt;=W$1),$L1660-$K1660,IF(AND($K1660&lt;V$1,$L1660&gt;W$1),W$1-V$1,""))))))),"")</f>
        <v>0</v>
      </c>
      <c r="W1660" s="78" t="b">
        <f t="shared" ref="W1660:W1723" si="1343">IFERROR(IF($B1660=$D$1,IF(AND($K1660&lt;W$1,$L1660&lt;W$1),"",IF(AND($K1660&gt;X$1,$L1660&gt;X$1),"",IF(AND($K1660&lt;W$1,$L1660&lt;=X$1),$L1660-W$1,IF(AND($K1660&gt;=W$1,$L1660&gt;X$1),X$1-$K1660,IF(AND($K1660&gt;=W$1,$L1660&lt;=X$1),$L1660-$K1660,IF(AND($K1660&lt;W$1,$L1660&gt;X$1),X$1-W$1,""))))))),"")</f>
        <v>0</v>
      </c>
      <c r="X1660" s="78" t="b">
        <f t="shared" ref="X1660:X1723" si="1344">IFERROR(IF($B1660=$D$1,IF(AND($K1660&lt;X$1,$L1660&lt;X$1),"",IF(AND($K1660&gt;Y$1,$L1660&gt;Y$1),"",IF(AND($K1660&lt;X$1,$L1660&lt;=Y$1),$L1660-X$1,IF(AND($K1660&gt;=X$1,$L1660&gt;Y$1),Y$1-$K1660,IF(AND($K1660&gt;=X$1,$L1660&lt;=Y$1),$L1660-$K1660,IF(AND($K1660&lt;X$1,$L1660&gt;Y$1),Y$1-X$1,""))))))),"")</f>
        <v>0</v>
      </c>
      <c r="Y1660" s="78" t="b">
        <f t="shared" ref="Y1660:Y1723" si="1345">IFERROR(IF($B1660=$D$1,IF(AND($K1660&lt;Y$1,$L1660&lt;Y$1),"",IF(AND($K1660&gt;Z$1,$L1660&gt;Z$1),"",IF(AND($K1660&lt;Y$1,$L1660&lt;=Z$1),$L1660-Y$1,IF(AND($K1660&gt;=Y$1,$L1660&gt;Z$1),Z$1-$K1660,IF(AND($K1660&gt;=Y$1,$L1660&lt;=Z$1),$L1660-$K1660,IF(AND($K1660&lt;Y$1,$L1660&gt;Z$1),Z$1-Y$1,""))))))),"")</f>
        <v>0</v>
      </c>
      <c r="Z1660" s="78" t="b">
        <f t="shared" ref="Z1660:Z1723" si="1346">IFERROR(IF($B1660=$D$1,IF(AND($K1660&lt;Z$1,$L1660&lt;Z$1),"",IF(AND($K1660&gt;AA$1,$L1660&gt;AA$1),"",IF(AND($K1660&lt;Z$1,$L1660&lt;=AA$1),$L1660-Z$1,IF(AND($K1660&gt;=Z$1,$L1660&gt;AA$1),AA$1-$K1660,IF(AND($K1660&gt;=Z$1,$L1660&lt;=AA$1),$L1660-$K1660,IF(AND($K1660&lt;Z$1,$L1660&gt;AA$1),AA$1-Z$1,""))))))),"")</f>
        <v>0</v>
      </c>
      <c r="AA1660" s="78" t="b">
        <f t="shared" ref="AA1660:AA1723" si="1347">IFERROR(IF($B1660=$D$1,IF(AND($K1660&lt;AA$1,$L1660&lt;AA$1),"",IF(AND($K1660&gt;AB$1,$L1660&gt;AB$1),"",IF(AND($K1660&lt;AA$1,$L1660&lt;=AB$1),$L1660-AA$1,IF(AND($K1660&gt;=AA$1,$L1660&gt;AB$1),AB$1-$K1660,IF(AND($K1660&gt;=AA$1,$L1660&lt;=AB$1),$L1660-$K1660,IF(AND($K1660&lt;AA$1,$L1660&gt;AB$1),AB$1-AA$1,""))))))),"")</f>
        <v>0</v>
      </c>
      <c r="AB1660" s="78" t="b">
        <f t="shared" ref="AB1660:AB1723" si="1348">IFERROR(IF($B1660=$D$1,IF(AND($K1660&lt;AB$1,$L1660&lt;AB$1),"",IF(AND($K1660&gt;AC$1,$L1660&gt;AC$1),"",IF(AND($K1660&lt;AB$1,$L1660&lt;=AC$1),$L1660-AB$1,IF(AND($K1660&gt;=AB$1,$L1660&gt;AC$1),AC$1-$K1660,IF(AND($K1660&gt;=AB$1,$L1660&lt;=AC$1),$L1660-$K1660,IF(AND($K1660&lt;AB$1,$L1660&gt;AC$1),AC$1-AB$1,""))))))),"")</f>
        <v>0</v>
      </c>
      <c r="AC1660" s="78" t="b">
        <f t="shared" ref="AC1660:AC1723" si="1349">IFERROR(IF($B1660=$D$1,IF(AND($K1660&lt;AC$1,$L1660&lt;AC$1),"",IF(AND($K1660&gt;AD$1,$L1660&gt;AD$1),"",IF(AND($K1660&lt;AC$1,$L1660&lt;=AD$1),$L1660-AC$1,IF(AND($K1660&gt;=AC$1,$L1660&gt;AD$1),AD$1-$K1660,IF(AND($K1660&gt;=AC$1,$L1660&lt;=AD$1),$L1660-$K1660,IF(AND($K1660&lt;AC$1,$L1660&gt;AD$1),AD$1-AC$1,""))))))),"")</f>
        <v>0</v>
      </c>
      <c r="AD1660" s="78" t="b">
        <f t="shared" ref="AD1660:AD1723" si="1350">IFERROR(IF($B1660=$D$1,IF(AND($K1660&lt;AD$1,$L1660&lt;AD$1),"",IF(AND($K1660&gt;AE$1,$L1660&gt;AE$1),"",IF(AND($K1660&lt;AD$1,$L1660&lt;=AE$1),$L1660-AD$1,IF(AND($K1660&gt;=AD$1,$L1660&gt;AE$1),AE$1-$K1660,IF(AND($K1660&gt;=AD$1,$L1660&lt;=AE$1),$L1660-$K1660,IF(AND($K1660&lt;AD$1,$L1660&gt;AE$1),AE$1-AD$1,""))))))),"")</f>
        <v>0</v>
      </c>
      <c r="AE1660" s="78" t="b">
        <f t="shared" ref="AE1660:AE1723" si="1351">IFERROR(IF($B1660=$D$1,IF(AND($K1660&lt;AE$1,$L1660&lt;AE$1),"",IF(AND($K1660&gt;AF$1,$L1660&gt;AF$1),"",IF(AND($K1660&lt;AE$1,$L1660&lt;=AF$1),$L1660-AE$1,IF(AND($K1660&gt;=AE$1,$L1660&gt;AF$1),AF$1-$K1660,IF(AND($K1660&gt;=AE$1,$L1660&lt;=AF$1),$L1660-$K1660,IF(AND($K1660&lt;AE$1,$L1660&gt;AF$1),AF$1-AE$1,""))))))),"")</f>
        <v>0</v>
      </c>
      <c r="AF1660" s="78" t="b">
        <f t="shared" ref="AF1660:AF1723" si="1352">IFERROR(IF($B1660=$D$1,IF(AND($K1660&lt;AF$1,$L1660&lt;AF$1),"",IF(AND($K1660&gt;AG$1,$L1660&gt;AG$1),"",IF(AND($K1660&lt;AF$1,$L1660&lt;=AG$1),$L1660-AF$1,IF(AND($K1660&gt;=AF$1,$L1660&gt;AG$1),AG$1-$K1660,IF(AND($K1660&gt;=AF$1,$L1660&lt;=AG$1),$L1660-$K1660,IF(AND($K1660&lt;AF$1,$L1660&gt;AG$1),AG$1-AF$1,""))))))),"")</f>
        <v>0</v>
      </c>
      <c r="AG1660" s="78" t="b">
        <f t="shared" ref="AG1660:AG1723" si="1353">IFERROR(IF($B1660=$D$1,IF(AND($K1660&lt;AG$1,$L1660&lt;AG$1),"",IF(AND($K1660&gt;AH$1,$L1660&gt;AH$1),"",IF(AND($K1660&lt;AG$1,$L1660&lt;=AH$1),$L1660-AG$1,IF(AND($K1660&gt;=AG$1,$L1660&gt;AH$1),AH$1-$K1660,IF(AND($K1660&gt;=AG$1,$L1660&lt;=AH$1),$L1660-$K1660,IF(AND($K1660&lt;AG$1,$L1660&gt;AH$1),AH$1-AG$1,""))))))),"")</f>
        <v>0</v>
      </c>
      <c r="AH1660" s="78" t="b">
        <f t="shared" ref="AH1660:AH1723" si="1354">IFERROR(IF($B1660=$D$1,IF(AND($K1660&lt;AH$1,$L1660&lt;AH$1),"",IF(AND($K1660&gt;AI$1,$L1660&gt;AI$1),"",IF(AND($K1660&lt;AH$1,$L1660&lt;=AI$1),$L1660-AH$1,IF(AND($K1660&gt;=AH$1,$L1660&gt;AI$1),AI$1-$K1660,IF(AND($K1660&gt;=AH$1,$L1660&lt;=AI$1),$L1660-$K1660,IF(AND($K1660&lt;AH$1,$L1660&gt;AI$1),AI$1-AH$1,""))))))),"")</f>
        <v>0</v>
      </c>
      <c r="AI1660" s="78" t="b">
        <f t="shared" ref="AI1660:AI1723" si="1355">IFERROR(IF($B1660=$D$1,IF(AND($K1660&lt;AI$1,$L1660&lt;AI$1),"",IF(AND($K1660&gt;AJ$1,$L1660&gt;AJ$1),"",IF(AND($K1660&lt;AI$1,$L1660&lt;=AJ$1),$L1660-AI$1,IF(AND($K1660&gt;=AI$1,$L1660&gt;AJ$1),AJ$1-$K1660,IF(AND($K1660&gt;=AI$1,$L1660&lt;=AJ$1),$L1660-$K1660,IF(AND($K1660&lt;AI$1,$L1660&gt;AJ$1),AJ$1-AI$1,""))))))),"")</f>
        <v>0</v>
      </c>
      <c r="AJ1660" s="78" t="b">
        <f t="shared" ref="AJ1660:AJ1723" si="1356">IFERROR(IF($B1660=$D$1,IF(AND($K1660&lt;AJ$1,$L1660&lt;AJ$1),"",IF(AND($K1660&gt;AK$1,$L1660&gt;AK$1),"",IF(AND($K1660&lt;AJ$1,$L1660&lt;=AK$1),$L1660-AJ$1,IF(AND($K1660&gt;=AJ$1,$L1660&gt;AK$1),AK$1-$K1660,IF(AND($K1660&gt;=AJ$1,$L1660&lt;=AK$1),$L1660-$K1660,IF(AND($K1660&lt;AJ$1,$L1660&gt;AK$1),AK$1-AJ$1,""))))))),"")</f>
        <v>0</v>
      </c>
      <c r="AK1660" s="78" t="b">
        <f t="shared" ref="AK1660:AK1723" si="1357">IFERROR(IF($B1660=$D$1,IF(AND($K1660&lt;AK$1,$L1660&lt;AK$1),"",IF(AND($K1660&gt;AL$1,$L1660&gt;AL$1),"",IF(AND($K1660&lt;AK$1,$L1660&lt;=AL$1),$L1660-AK$1,IF(AND($K1660&gt;=AK$1,$L1660&gt;AL$1),AL$1-$K1660,IF(AND($K1660&gt;=AK$1,$L1660&lt;=AL$1),$L1660-$K1660,IF(AND($K1660&lt;AK$1,$L1660&gt;AL$1),AL$1-AK$1,""))))))),"")</f>
        <v>0</v>
      </c>
      <c r="AL1660" s="78" t="b">
        <f t="shared" ref="AL1660:AL1723" si="1358">IFERROR(IF($B1660=$D$1,IF(AND($K1660&lt;AL$1,$L1660&lt;AL$1),"",IF(AND($K1660&gt;AM$1,$L1660&gt;AM$1),"",IF(AND($K1660&lt;AL$1,$L1660&lt;=AM$1),$L1660-AL$1,IF(AND($K1660&gt;=AL$1,$L1660&gt;AM$1),AM$1-$K1660,IF(AND($K1660&gt;=AL$1,$L1660&lt;=AM$1),$L1660-$K1660,IF(AND($K1660&lt;AL$1,$L1660&gt;AM$1),AM$1-AL$1,""))))))),"")</f>
        <v>0</v>
      </c>
      <c r="AM1660" s="78" t="b">
        <f t="shared" ref="AM1660:AM1723" si="1359">IFERROR(IF($B1660=$D$1,IF(AND($K1660&lt;AM$1,$L1660&lt;AM$1),"",IF(AND($K1660&gt;AN$1,$L1660&gt;AN$1),"",IF(AND($K1660&lt;AM$1,$L1660&lt;=AN$1),$L1660-AM$1,IF(AND($K1660&gt;=AM$1,$L1660&gt;AN$1),AN$1-$K1660,IF(AND($K1660&gt;=AM$1,$L1660&lt;=AN$1),$L1660-$K1660,IF(AND($K1660&lt;AM$1,$L1660&gt;AN$1),AN$1-AM$1,""))))))),"")</f>
        <v>0</v>
      </c>
      <c r="AN1660" s="78" t="b">
        <f t="shared" ref="AN1660:AN1723" si="1360">IFERROR(IF($B1660=$D$1,IF(AND($K1660&lt;AN$1,$L1660&lt;AN$1),"",IF(AND($K1660&gt;AO$1,$L1660&gt;AO$1),"",IF(AND($K1660&lt;AN$1,$L1660&lt;=AO$1),$L1660-AN$1,IF(AND($K1660&gt;=AN$1,$L1660&gt;AO$1),AO$1-$K1660,IF(AND($K1660&gt;=AN$1,$L1660&lt;=AO$1),$L1660-$K1660,IF(AND($K1660&lt;AN$1,$L1660&gt;AO$1),AO$1-AN$1,""))))))),"")</f>
        <v>0</v>
      </c>
      <c r="AO1660" s="78" t="b">
        <f t="shared" ref="AO1660:AO1723" si="1361">IFERROR(IF($B1660=$D$1,IF(AND($K1660&lt;AO$1,$L1660&lt;AO$1),"",IF(AND($K1660&gt;AP$1,$L1660&gt;AP$1),"",IF(AND($K1660&lt;AO$1,$L1660&lt;=AP$1),$L1660-AO$1,IF(AND($K1660&gt;=AO$1,$L1660&gt;AP$1),AP$1-$K1660,IF(AND($K1660&gt;=AO$1,$L1660&lt;=AP$1),$L1660-$K1660,IF(AND($K1660&lt;AO$1,$L1660&gt;AP$1),AP$1-AO$1,""))))))),"")</f>
        <v>0</v>
      </c>
    </row>
    <row r="1661" spans="7:41" x14ac:dyDescent="0.35">
      <c r="G1661" s="77">
        <f t="shared" si="1331"/>
        <v>0</v>
      </c>
      <c r="H1661" s="78">
        <f t="shared" si="1332"/>
        <v>0</v>
      </c>
      <c r="I1661" s="77">
        <f t="shared" si="1333"/>
        <v>0</v>
      </c>
      <c r="J1661" s="78">
        <f t="shared" si="1334"/>
        <v>0</v>
      </c>
      <c r="K1661" s="78" t="str">
        <f t="shared" si="1335"/>
        <v>1900-01-00 00:0:00</v>
      </c>
      <c r="L1661" s="78" t="str">
        <f t="shared" si="1336"/>
        <v>1900-01-00 00:0:00</v>
      </c>
      <c r="M1661" s="79">
        <f t="shared" si="1337"/>
        <v>0</v>
      </c>
      <c r="N1661">
        <f t="shared" si="1330"/>
        <v>1</v>
      </c>
      <c r="O1661" t="str">
        <f>IFERROR(_xlfn.XLOOKUP(A1661,HC!A:A,HC!C:C),"")</f>
        <v>Workforce</v>
      </c>
      <c r="R1661" s="78" t="b">
        <f t="shared" si="1338"/>
        <v>0</v>
      </c>
      <c r="S1661" s="78" t="b">
        <f t="shared" si="1339"/>
        <v>0</v>
      </c>
      <c r="T1661" s="78" t="b">
        <f t="shared" si="1340"/>
        <v>0</v>
      </c>
      <c r="U1661" s="78" t="b">
        <f t="shared" si="1341"/>
        <v>0</v>
      </c>
      <c r="V1661" s="78" t="b">
        <f t="shared" si="1342"/>
        <v>0</v>
      </c>
      <c r="W1661" s="78" t="b">
        <f t="shared" si="1343"/>
        <v>0</v>
      </c>
      <c r="X1661" s="78" t="b">
        <f t="shared" si="1344"/>
        <v>0</v>
      </c>
      <c r="Y1661" s="78" t="b">
        <f t="shared" si="1345"/>
        <v>0</v>
      </c>
      <c r="Z1661" s="78" t="b">
        <f t="shared" si="1346"/>
        <v>0</v>
      </c>
      <c r="AA1661" s="78" t="b">
        <f t="shared" si="1347"/>
        <v>0</v>
      </c>
      <c r="AB1661" s="78" t="b">
        <f t="shared" si="1348"/>
        <v>0</v>
      </c>
      <c r="AC1661" s="78" t="b">
        <f t="shared" si="1349"/>
        <v>0</v>
      </c>
      <c r="AD1661" s="78" t="b">
        <f t="shared" si="1350"/>
        <v>0</v>
      </c>
      <c r="AE1661" s="78" t="b">
        <f t="shared" si="1351"/>
        <v>0</v>
      </c>
      <c r="AF1661" s="78" t="b">
        <f t="shared" si="1352"/>
        <v>0</v>
      </c>
      <c r="AG1661" s="78" t="b">
        <f t="shared" si="1353"/>
        <v>0</v>
      </c>
      <c r="AH1661" s="78" t="b">
        <f t="shared" si="1354"/>
        <v>0</v>
      </c>
      <c r="AI1661" s="78" t="b">
        <f t="shared" si="1355"/>
        <v>0</v>
      </c>
      <c r="AJ1661" s="78" t="b">
        <f t="shared" si="1356"/>
        <v>0</v>
      </c>
      <c r="AK1661" s="78" t="b">
        <f t="shared" si="1357"/>
        <v>0</v>
      </c>
      <c r="AL1661" s="78" t="b">
        <f t="shared" si="1358"/>
        <v>0</v>
      </c>
      <c r="AM1661" s="78" t="b">
        <f t="shared" si="1359"/>
        <v>0</v>
      </c>
      <c r="AN1661" s="78" t="b">
        <f t="shared" si="1360"/>
        <v>0</v>
      </c>
      <c r="AO1661" s="78" t="b">
        <f t="shared" si="1361"/>
        <v>0</v>
      </c>
    </row>
    <row r="1662" spans="7:41" x14ac:dyDescent="0.35">
      <c r="G1662" s="77">
        <f t="shared" si="1331"/>
        <v>0</v>
      </c>
      <c r="H1662" s="78">
        <f t="shared" si="1332"/>
        <v>0</v>
      </c>
      <c r="I1662" s="77">
        <f t="shared" si="1333"/>
        <v>0</v>
      </c>
      <c r="J1662" s="78">
        <f t="shared" si="1334"/>
        <v>0</v>
      </c>
      <c r="K1662" s="78" t="str">
        <f t="shared" si="1335"/>
        <v>1900-01-00 00:0:00</v>
      </c>
      <c r="L1662" s="78" t="str">
        <f t="shared" si="1336"/>
        <v>1900-01-00 00:0:00</v>
      </c>
      <c r="M1662" s="79">
        <f t="shared" si="1337"/>
        <v>0</v>
      </c>
      <c r="N1662">
        <f t="shared" si="1330"/>
        <v>1</v>
      </c>
      <c r="O1662" t="str">
        <f>IFERROR(_xlfn.XLOOKUP(A1662,HC!A:A,HC!C:C),"")</f>
        <v>Workforce</v>
      </c>
      <c r="R1662" s="78" t="b">
        <f t="shared" si="1338"/>
        <v>0</v>
      </c>
      <c r="S1662" s="78" t="b">
        <f t="shared" si="1339"/>
        <v>0</v>
      </c>
      <c r="T1662" s="78" t="b">
        <f t="shared" si="1340"/>
        <v>0</v>
      </c>
      <c r="U1662" s="78" t="b">
        <f t="shared" si="1341"/>
        <v>0</v>
      </c>
      <c r="V1662" s="78" t="b">
        <f t="shared" si="1342"/>
        <v>0</v>
      </c>
      <c r="W1662" s="78" t="b">
        <f t="shared" si="1343"/>
        <v>0</v>
      </c>
      <c r="X1662" s="78" t="b">
        <f t="shared" si="1344"/>
        <v>0</v>
      </c>
      <c r="Y1662" s="78" t="b">
        <f t="shared" si="1345"/>
        <v>0</v>
      </c>
      <c r="Z1662" s="78" t="b">
        <f t="shared" si="1346"/>
        <v>0</v>
      </c>
      <c r="AA1662" s="78" t="b">
        <f t="shared" si="1347"/>
        <v>0</v>
      </c>
      <c r="AB1662" s="78" t="b">
        <f t="shared" si="1348"/>
        <v>0</v>
      </c>
      <c r="AC1662" s="78" t="b">
        <f t="shared" si="1349"/>
        <v>0</v>
      </c>
      <c r="AD1662" s="78" t="b">
        <f t="shared" si="1350"/>
        <v>0</v>
      </c>
      <c r="AE1662" s="78" t="b">
        <f t="shared" si="1351"/>
        <v>0</v>
      </c>
      <c r="AF1662" s="78" t="b">
        <f t="shared" si="1352"/>
        <v>0</v>
      </c>
      <c r="AG1662" s="78" t="b">
        <f t="shared" si="1353"/>
        <v>0</v>
      </c>
      <c r="AH1662" s="78" t="b">
        <f t="shared" si="1354"/>
        <v>0</v>
      </c>
      <c r="AI1662" s="78" t="b">
        <f t="shared" si="1355"/>
        <v>0</v>
      </c>
      <c r="AJ1662" s="78" t="b">
        <f t="shared" si="1356"/>
        <v>0</v>
      </c>
      <c r="AK1662" s="78" t="b">
        <f t="shared" si="1357"/>
        <v>0</v>
      </c>
      <c r="AL1662" s="78" t="b">
        <f t="shared" si="1358"/>
        <v>0</v>
      </c>
      <c r="AM1662" s="78" t="b">
        <f t="shared" si="1359"/>
        <v>0</v>
      </c>
      <c r="AN1662" s="78" t="b">
        <f t="shared" si="1360"/>
        <v>0</v>
      </c>
      <c r="AO1662" s="78" t="b">
        <f t="shared" si="1361"/>
        <v>0</v>
      </c>
    </row>
    <row r="1663" spans="7:41" x14ac:dyDescent="0.35">
      <c r="G1663" s="77">
        <f t="shared" si="1331"/>
        <v>0</v>
      </c>
      <c r="H1663" s="78">
        <f t="shared" si="1332"/>
        <v>0</v>
      </c>
      <c r="I1663" s="77">
        <f t="shared" si="1333"/>
        <v>0</v>
      </c>
      <c r="J1663" s="78">
        <f t="shared" si="1334"/>
        <v>0</v>
      </c>
      <c r="K1663" s="78" t="str">
        <f t="shared" si="1335"/>
        <v>1900-01-00 00:0:00</v>
      </c>
      <c r="L1663" s="78" t="str">
        <f t="shared" si="1336"/>
        <v>1900-01-00 00:0:00</v>
      </c>
      <c r="M1663" s="79">
        <f t="shared" si="1337"/>
        <v>0</v>
      </c>
      <c r="N1663">
        <f t="shared" si="1330"/>
        <v>1</v>
      </c>
      <c r="O1663" t="str">
        <f>IFERROR(_xlfn.XLOOKUP(A1663,HC!A:A,HC!C:C),"")</f>
        <v>Workforce</v>
      </c>
      <c r="R1663" s="78" t="b">
        <f t="shared" si="1338"/>
        <v>0</v>
      </c>
      <c r="S1663" s="78" t="b">
        <f t="shared" si="1339"/>
        <v>0</v>
      </c>
      <c r="T1663" s="78" t="b">
        <f t="shared" si="1340"/>
        <v>0</v>
      </c>
      <c r="U1663" s="78" t="b">
        <f t="shared" si="1341"/>
        <v>0</v>
      </c>
      <c r="V1663" s="78" t="b">
        <f t="shared" si="1342"/>
        <v>0</v>
      </c>
      <c r="W1663" s="78" t="b">
        <f t="shared" si="1343"/>
        <v>0</v>
      </c>
      <c r="X1663" s="78" t="b">
        <f t="shared" si="1344"/>
        <v>0</v>
      </c>
      <c r="Y1663" s="78" t="b">
        <f t="shared" si="1345"/>
        <v>0</v>
      </c>
      <c r="Z1663" s="78" t="b">
        <f t="shared" si="1346"/>
        <v>0</v>
      </c>
      <c r="AA1663" s="78" t="b">
        <f t="shared" si="1347"/>
        <v>0</v>
      </c>
      <c r="AB1663" s="78" t="b">
        <f t="shared" si="1348"/>
        <v>0</v>
      </c>
      <c r="AC1663" s="78" t="b">
        <f t="shared" si="1349"/>
        <v>0</v>
      </c>
      <c r="AD1663" s="78" t="b">
        <f t="shared" si="1350"/>
        <v>0</v>
      </c>
      <c r="AE1663" s="78" t="b">
        <f t="shared" si="1351"/>
        <v>0</v>
      </c>
      <c r="AF1663" s="78" t="b">
        <f t="shared" si="1352"/>
        <v>0</v>
      </c>
      <c r="AG1663" s="78" t="b">
        <f t="shared" si="1353"/>
        <v>0</v>
      </c>
      <c r="AH1663" s="78" t="b">
        <f t="shared" si="1354"/>
        <v>0</v>
      </c>
      <c r="AI1663" s="78" t="b">
        <f t="shared" si="1355"/>
        <v>0</v>
      </c>
      <c r="AJ1663" s="78" t="b">
        <f t="shared" si="1356"/>
        <v>0</v>
      </c>
      <c r="AK1663" s="78" t="b">
        <f t="shared" si="1357"/>
        <v>0</v>
      </c>
      <c r="AL1663" s="78" t="b">
        <f t="shared" si="1358"/>
        <v>0</v>
      </c>
      <c r="AM1663" s="78" t="b">
        <f t="shared" si="1359"/>
        <v>0</v>
      </c>
      <c r="AN1663" s="78" t="b">
        <f t="shared" si="1360"/>
        <v>0</v>
      </c>
      <c r="AO1663" s="78" t="b">
        <f t="shared" si="1361"/>
        <v>0</v>
      </c>
    </row>
    <row r="1664" spans="7:41" x14ac:dyDescent="0.35">
      <c r="G1664" s="77">
        <f t="shared" si="1331"/>
        <v>0</v>
      </c>
      <c r="H1664" s="78">
        <f t="shared" si="1332"/>
        <v>0</v>
      </c>
      <c r="I1664" s="77">
        <f t="shared" si="1333"/>
        <v>0</v>
      </c>
      <c r="J1664" s="78">
        <f t="shared" si="1334"/>
        <v>0</v>
      </c>
      <c r="K1664" s="78" t="str">
        <f t="shared" si="1335"/>
        <v>1900-01-00 00:0:00</v>
      </c>
      <c r="L1664" s="78" t="str">
        <f t="shared" si="1336"/>
        <v>1900-01-00 00:0:00</v>
      </c>
      <c r="M1664" s="79">
        <f t="shared" si="1337"/>
        <v>0</v>
      </c>
      <c r="N1664">
        <f t="shared" si="1330"/>
        <v>1</v>
      </c>
      <c r="O1664" t="str">
        <f>IFERROR(_xlfn.XLOOKUP(A1664,HC!A:A,HC!C:C),"")</f>
        <v>Workforce</v>
      </c>
      <c r="R1664" s="78" t="b">
        <f t="shared" si="1338"/>
        <v>0</v>
      </c>
      <c r="S1664" s="78" t="b">
        <f t="shared" si="1339"/>
        <v>0</v>
      </c>
      <c r="T1664" s="78" t="b">
        <f t="shared" si="1340"/>
        <v>0</v>
      </c>
      <c r="U1664" s="78" t="b">
        <f t="shared" si="1341"/>
        <v>0</v>
      </c>
      <c r="V1664" s="78" t="b">
        <f t="shared" si="1342"/>
        <v>0</v>
      </c>
      <c r="W1664" s="78" t="b">
        <f t="shared" si="1343"/>
        <v>0</v>
      </c>
      <c r="X1664" s="78" t="b">
        <f t="shared" si="1344"/>
        <v>0</v>
      </c>
      <c r="Y1664" s="78" t="b">
        <f t="shared" si="1345"/>
        <v>0</v>
      </c>
      <c r="Z1664" s="78" t="b">
        <f t="shared" si="1346"/>
        <v>0</v>
      </c>
      <c r="AA1664" s="78" t="b">
        <f t="shared" si="1347"/>
        <v>0</v>
      </c>
      <c r="AB1664" s="78" t="b">
        <f t="shared" si="1348"/>
        <v>0</v>
      </c>
      <c r="AC1664" s="78" t="b">
        <f t="shared" si="1349"/>
        <v>0</v>
      </c>
      <c r="AD1664" s="78" t="b">
        <f t="shared" si="1350"/>
        <v>0</v>
      </c>
      <c r="AE1664" s="78" t="b">
        <f t="shared" si="1351"/>
        <v>0</v>
      </c>
      <c r="AF1664" s="78" t="b">
        <f t="shared" si="1352"/>
        <v>0</v>
      </c>
      <c r="AG1664" s="78" t="b">
        <f t="shared" si="1353"/>
        <v>0</v>
      </c>
      <c r="AH1664" s="78" t="b">
        <f t="shared" si="1354"/>
        <v>0</v>
      </c>
      <c r="AI1664" s="78" t="b">
        <f t="shared" si="1355"/>
        <v>0</v>
      </c>
      <c r="AJ1664" s="78" t="b">
        <f t="shared" si="1356"/>
        <v>0</v>
      </c>
      <c r="AK1664" s="78" t="b">
        <f t="shared" si="1357"/>
        <v>0</v>
      </c>
      <c r="AL1664" s="78" t="b">
        <f t="shared" si="1358"/>
        <v>0</v>
      </c>
      <c r="AM1664" s="78" t="b">
        <f t="shared" si="1359"/>
        <v>0</v>
      </c>
      <c r="AN1664" s="78" t="b">
        <f t="shared" si="1360"/>
        <v>0</v>
      </c>
      <c r="AO1664" s="78" t="b">
        <f t="shared" si="1361"/>
        <v>0</v>
      </c>
    </row>
    <row r="1665" spans="7:41" x14ac:dyDescent="0.35">
      <c r="G1665" s="77">
        <f t="shared" si="1331"/>
        <v>0</v>
      </c>
      <c r="H1665" s="78">
        <f t="shared" si="1332"/>
        <v>0</v>
      </c>
      <c r="I1665" s="77">
        <f t="shared" si="1333"/>
        <v>0</v>
      </c>
      <c r="J1665" s="78">
        <f t="shared" si="1334"/>
        <v>0</v>
      </c>
      <c r="K1665" s="78" t="str">
        <f t="shared" si="1335"/>
        <v>1900-01-00 00:0:00</v>
      </c>
      <c r="L1665" s="78" t="str">
        <f t="shared" si="1336"/>
        <v>1900-01-00 00:0:00</v>
      </c>
      <c r="M1665" s="79">
        <f t="shared" si="1337"/>
        <v>0</v>
      </c>
      <c r="N1665">
        <f t="shared" si="1330"/>
        <v>1</v>
      </c>
      <c r="O1665" t="str">
        <f>IFERROR(_xlfn.XLOOKUP(A1665,HC!A:A,HC!C:C),"")</f>
        <v>Workforce</v>
      </c>
      <c r="R1665" s="78" t="b">
        <f t="shared" si="1338"/>
        <v>0</v>
      </c>
      <c r="S1665" s="78" t="b">
        <f t="shared" si="1339"/>
        <v>0</v>
      </c>
      <c r="T1665" s="78" t="b">
        <f t="shared" si="1340"/>
        <v>0</v>
      </c>
      <c r="U1665" s="78" t="b">
        <f t="shared" si="1341"/>
        <v>0</v>
      </c>
      <c r="V1665" s="78" t="b">
        <f t="shared" si="1342"/>
        <v>0</v>
      </c>
      <c r="W1665" s="78" t="b">
        <f t="shared" si="1343"/>
        <v>0</v>
      </c>
      <c r="X1665" s="78" t="b">
        <f t="shared" si="1344"/>
        <v>0</v>
      </c>
      <c r="Y1665" s="78" t="b">
        <f t="shared" si="1345"/>
        <v>0</v>
      </c>
      <c r="Z1665" s="78" t="b">
        <f t="shared" si="1346"/>
        <v>0</v>
      </c>
      <c r="AA1665" s="78" t="b">
        <f t="shared" si="1347"/>
        <v>0</v>
      </c>
      <c r="AB1665" s="78" t="b">
        <f t="shared" si="1348"/>
        <v>0</v>
      </c>
      <c r="AC1665" s="78" t="b">
        <f t="shared" si="1349"/>
        <v>0</v>
      </c>
      <c r="AD1665" s="78" t="b">
        <f t="shared" si="1350"/>
        <v>0</v>
      </c>
      <c r="AE1665" s="78" t="b">
        <f t="shared" si="1351"/>
        <v>0</v>
      </c>
      <c r="AF1665" s="78" t="b">
        <f t="shared" si="1352"/>
        <v>0</v>
      </c>
      <c r="AG1665" s="78" t="b">
        <f t="shared" si="1353"/>
        <v>0</v>
      </c>
      <c r="AH1665" s="78" t="b">
        <f t="shared" si="1354"/>
        <v>0</v>
      </c>
      <c r="AI1665" s="78" t="b">
        <f t="shared" si="1355"/>
        <v>0</v>
      </c>
      <c r="AJ1665" s="78" t="b">
        <f t="shared" si="1356"/>
        <v>0</v>
      </c>
      <c r="AK1665" s="78" t="b">
        <f t="shared" si="1357"/>
        <v>0</v>
      </c>
      <c r="AL1665" s="78" t="b">
        <f t="shared" si="1358"/>
        <v>0</v>
      </c>
      <c r="AM1665" s="78" t="b">
        <f t="shared" si="1359"/>
        <v>0</v>
      </c>
      <c r="AN1665" s="78" t="b">
        <f t="shared" si="1360"/>
        <v>0</v>
      </c>
      <c r="AO1665" s="78" t="b">
        <f t="shared" si="1361"/>
        <v>0</v>
      </c>
    </row>
    <row r="1666" spans="7:41" x14ac:dyDescent="0.35">
      <c r="G1666" s="77">
        <f t="shared" si="1331"/>
        <v>0</v>
      </c>
      <c r="H1666" s="78">
        <f t="shared" si="1332"/>
        <v>0</v>
      </c>
      <c r="I1666" s="77">
        <f t="shared" si="1333"/>
        <v>0</v>
      </c>
      <c r="J1666" s="78">
        <f t="shared" si="1334"/>
        <v>0</v>
      </c>
      <c r="K1666" s="78" t="str">
        <f t="shared" si="1335"/>
        <v>1900-01-00 00:0:00</v>
      </c>
      <c r="L1666" s="78" t="str">
        <f t="shared" si="1336"/>
        <v>1900-01-00 00:0:00</v>
      </c>
      <c r="M1666" s="79">
        <f t="shared" si="1337"/>
        <v>0</v>
      </c>
      <c r="N1666">
        <f t="shared" si="1330"/>
        <v>1</v>
      </c>
      <c r="O1666" t="str">
        <f>IFERROR(_xlfn.XLOOKUP(A1666,HC!A:A,HC!C:C),"")</f>
        <v>Workforce</v>
      </c>
      <c r="R1666" s="78" t="b">
        <f t="shared" si="1338"/>
        <v>0</v>
      </c>
      <c r="S1666" s="78" t="b">
        <f t="shared" si="1339"/>
        <v>0</v>
      </c>
      <c r="T1666" s="78" t="b">
        <f t="shared" si="1340"/>
        <v>0</v>
      </c>
      <c r="U1666" s="78" t="b">
        <f t="shared" si="1341"/>
        <v>0</v>
      </c>
      <c r="V1666" s="78" t="b">
        <f t="shared" si="1342"/>
        <v>0</v>
      </c>
      <c r="W1666" s="78" t="b">
        <f t="shared" si="1343"/>
        <v>0</v>
      </c>
      <c r="X1666" s="78" t="b">
        <f t="shared" si="1344"/>
        <v>0</v>
      </c>
      <c r="Y1666" s="78" t="b">
        <f t="shared" si="1345"/>
        <v>0</v>
      </c>
      <c r="Z1666" s="78" t="b">
        <f t="shared" si="1346"/>
        <v>0</v>
      </c>
      <c r="AA1666" s="78" t="b">
        <f t="shared" si="1347"/>
        <v>0</v>
      </c>
      <c r="AB1666" s="78" t="b">
        <f t="shared" si="1348"/>
        <v>0</v>
      </c>
      <c r="AC1666" s="78" t="b">
        <f t="shared" si="1349"/>
        <v>0</v>
      </c>
      <c r="AD1666" s="78" t="b">
        <f t="shared" si="1350"/>
        <v>0</v>
      </c>
      <c r="AE1666" s="78" t="b">
        <f t="shared" si="1351"/>
        <v>0</v>
      </c>
      <c r="AF1666" s="78" t="b">
        <f t="shared" si="1352"/>
        <v>0</v>
      </c>
      <c r="AG1666" s="78" t="b">
        <f t="shared" si="1353"/>
        <v>0</v>
      </c>
      <c r="AH1666" s="78" t="b">
        <f t="shared" si="1354"/>
        <v>0</v>
      </c>
      <c r="AI1666" s="78" t="b">
        <f t="shared" si="1355"/>
        <v>0</v>
      </c>
      <c r="AJ1666" s="78" t="b">
        <f t="shared" si="1356"/>
        <v>0</v>
      </c>
      <c r="AK1666" s="78" t="b">
        <f t="shared" si="1357"/>
        <v>0</v>
      </c>
      <c r="AL1666" s="78" t="b">
        <f t="shared" si="1358"/>
        <v>0</v>
      </c>
      <c r="AM1666" s="78" t="b">
        <f t="shared" si="1359"/>
        <v>0</v>
      </c>
      <c r="AN1666" s="78" t="b">
        <f t="shared" si="1360"/>
        <v>0</v>
      </c>
      <c r="AO1666" s="78" t="b">
        <f t="shared" si="1361"/>
        <v>0</v>
      </c>
    </row>
    <row r="1667" spans="7:41" x14ac:dyDescent="0.35">
      <c r="G1667" s="77">
        <f t="shared" si="1331"/>
        <v>0</v>
      </c>
      <c r="H1667" s="78">
        <f t="shared" si="1332"/>
        <v>0</v>
      </c>
      <c r="I1667" s="77">
        <f t="shared" si="1333"/>
        <v>0</v>
      </c>
      <c r="J1667" s="78">
        <f t="shared" si="1334"/>
        <v>0</v>
      </c>
      <c r="K1667" s="78" t="str">
        <f t="shared" si="1335"/>
        <v>1900-01-00 00:0:00</v>
      </c>
      <c r="L1667" s="78" t="str">
        <f t="shared" si="1336"/>
        <v>1900-01-00 00:0:00</v>
      </c>
      <c r="M1667" s="79">
        <f t="shared" si="1337"/>
        <v>0</v>
      </c>
      <c r="N1667">
        <f t="shared" si="1330"/>
        <v>1</v>
      </c>
      <c r="O1667" t="str">
        <f>IFERROR(_xlfn.XLOOKUP(A1667,HC!A:A,HC!C:C),"")</f>
        <v>Workforce</v>
      </c>
      <c r="R1667" s="78" t="b">
        <f t="shared" si="1338"/>
        <v>0</v>
      </c>
      <c r="S1667" s="78" t="b">
        <f t="shared" si="1339"/>
        <v>0</v>
      </c>
      <c r="T1667" s="78" t="b">
        <f t="shared" si="1340"/>
        <v>0</v>
      </c>
      <c r="U1667" s="78" t="b">
        <f t="shared" si="1341"/>
        <v>0</v>
      </c>
      <c r="V1667" s="78" t="b">
        <f t="shared" si="1342"/>
        <v>0</v>
      </c>
      <c r="W1667" s="78" t="b">
        <f t="shared" si="1343"/>
        <v>0</v>
      </c>
      <c r="X1667" s="78" t="b">
        <f t="shared" si="1344"/>
        <v>0</v>
      </c>
      <c r="Y1667" s="78" t="b">
        <f t="shared" si="1345"/>
        <v>0</v>
      </c>
      <c r="Z1667" s="78" t="b">
        <f t="shared" si="1346"/>
        <v>0</v>
      </c>
      <c r="AA1667" s="78" t="b">
        <f t="shared" si="1347"/>
        <v>0</v>
      </c>
      <c r="AB1667" s="78" t="b">
        <f t="shared" si="1348"/>
        <v>0</v>
      </c>
      <c r="AC1667" s="78" t="b">
        <f t="shared" si="1349"/>
        <v>0</v>
      </c>
      <c r="AD1667" s="78" t="b">
        <f t="shared" si="1350"/>
        <v>0</v>
      </c>
      <c r="AE1667" s="78" t="b">
        <f t="shared" si="1351"/>
        <v>0</v>
      </c>
      <c r="AF1667" s="78" t="b">
        <f t="shared" si="1352"/>
        <v>0</v>
      </c>
      <c r="AG1667" s="78" t="b">
        <f t="shared" si="1353"/>
        <v>0</v>
      </c>
      <c r="AH1667" s="78" t="b">
        <f t="shared" si="1354"/>
        <v>0</v>
      </c>
      <c r="AI1667" s="78" t="b">
        <f t="shared" si="1355"/>
        <v>0</v>
      </c>
      <c r="AJ1667" s="78" t="b">
        <f t="shared" si="1356"/>
        <v>0</v>
      </c>
      <c r="AK1667" s="78" t="b">
        <f t="shared" si="1357"/>
        <v>0</v>
      </c>
      <c r="AL1667" s="78" t="b">
        <f t="shared" si="1358"/>
        <v>0</v>
      </c>
      <c r="AM1667" s="78" t="b">
        <f t="shared" si="1359"/>
        <v>0</v>
      </c>
      <c r="AN1667" s="78" t="b">
        <f t="shared" si="1360"/>
        <v>0</v>
      </c>
      <c r="AO1667" s="78" t="b">
        <f t="shared" si="1361"/>
        <v>0</v>
      </c>
    </row>
    <row r="1668" spans="7:41" x14ac:dyDescent="0.35">
      <c r="G1668" s="77">
        <f t="shared" si="1331"/>
        <v>0</v>
      </c>
      <c r="H1668" s="78">
        <f t="shared" si="1332"/>
        <v>0</v>
      </c>
      <c r="I1668" s="77">
        <f t="shared" si="1333"/>
        <v>0</v>
      </c>
      <c r="J1668" s="78">
        <f t="shared" si="1334"/>
        <v>0</v>
      </c>
      <c r="K1668" s="78" t="str">
        <f t="shared" si="1335"/>
        <v>1900-01-00 00:0:00</v>
      </c>
      <c r="L1668" s="78" t="str">
        <f t="shared" si="1336"/>
        <v>1900-01-00 00:0:00</v>
      </c>
      <c r="M1668" s="79">
        <f t="shared" si="1337"/>
        <v>0</v>
      </c>
      <c r="N1668">
        <f t="shared" ref="N1668:N1731" si="1362">IF(M1668&lt;$BA$1,1,0)</f>
        <v>1</v>
      </c>
      <c r="O1668" t="str">
        <f>IFERROR(_xlfn.XLOOKUP(A1668,HC!A:A,HC!C:C),"")</f>
        <v>Workforce</v>
      </c>
      <c r="R1668" s="78" t="b">
        <f t="shared" si="1338"/>
        <v>0</v>
      </c>
      <c r="S1668" s="78" t="b">
        <f t="shared" si="1339"/>
        <v>0</v>
      </c>
      <c r="T1668" s="78" t="b">
        <f t="shared" si="1340"/>
        <v>0</v>
      </c>
      <c r="U1668" s="78" t="b">
        <f t="shared" si="1341"/>
        <v>0</v>
      </c>
      <c r="V1668" s="78" t="b">
        <f t="shared" si="1342"/>
        <v>0</v>
      </c>
      <c r="W1668" s="78" t="b">
        <f t="shared" si="1343"/>
        <v>0</v>
      </c>
      <c r="X1668" s="78" t="b">
        <f t="shared" si="1344"/>
        <v>0</v>
      </c>
      <c r="Y1668" s="78" t="b">
        <f t="shared" si="1345"/>
        <v>0</v>
      </c>
      <c r="Z1668" s="78" t="b">
        <f t="shared" si="1346"/>
        <v>0</v>
      </c>
      <c r="AA1668" s="78" t="b">
        <f t="shared" si="1347"/>
        <v>0</v>
      </c>
      <c r="AB1668" s="78" t="b">
        <f t="shared" si="1348"/>
        <v>0</v>
      </c>
      <c r="AC1668" s="78" t="b">
        <f t="shared" si="1349"/>
        <v>0</v>
      </c>
      <c r="AD1668" s="78" t="b">
        <f t="shared" si="1350"/>
        <v>0</v>
      </c>
      <c r="AE1668" s="78" t="b">
        <f t="shared" si="1351"/>
        <v>0</v>
      </c>
      <c r="AF1668" s="78" t="b">
        <f t="shared" si="1352"/>
        <v>0</v>
      </c>
      <c r="AG1668" s="78" t="b">
        <f t="shared" si="1353"/>
        <v>0</v>
      </c>
      <c r="AH1668" s="78" t="b">
        <f t="shared" si="1354"/>
        <v>0</v>
      </c>
      <c r="AI1668" s="78" t="b">
        <f t="shared" si="1355"/>
        <v>0</v>
      </c>
      <c r="AJ1668" s="78" t="b">
        <f t="shared" si="1356"/>
        <v>0</v>
      </c>
      <c r="AK1668" s="78" t="b">
        <f t="shared" si="1357"/>
        <v>0</v>
      </c>
      <c r="AL1668" s="78" t="b">
        <f t="shared" si="1358"/>
        <v>0</v>
      </c>
      <c r="AM1668" s="78" t="b">
        <f t="shared" si="1359"/>
        <v>0</v>
      </c>
      <c r="AN1668" s="78" t="b">
        <f t="shared" si="1360"/>
        <v>0</v>
      </c>
      <c r="AO1668" s="78" t="b">
        <f t="shared" si="1361"/>
        <v>0</v>
      </c>
    </row>
    <row r="1669" spans="7:41" x14ac:dyDescent="0.35">
      <c r="G1669" s="77">
        <f t="shared" si="1331"/>
        <v>0</v>
      </c>
      <c r="H1669" s="78">
        <f t="shared" si="1332"/>
        <v>0</v>
      </c>
      <c r="I1669" s="77">
        <f t="shared" si="1333"/>
        <v>0</v>
      </c>
      <c r="J1669" s="78">
        <f t="shared" si="1334"/>
        <v>0</v>
      </c>
      <c r="K1669" s="78" t="str">
        <f t="shared" si="1335"/>
        <v>1900-01-00 00:0:00</v>
      </c>
      <c r="L1669" s="78" t="str">
        <f t="shared" si="1336"/>
        <v>1900-01-00 00:0:00</v>
      </c>
      <c r="M1669" s="79">
        <f t="shared" si="1337"/>
        <v>0</v>
      </c>
      <c r="N1669">
        <f t="shared" si="1362"/>
        <v>1</v>
      </c>
      <c r="O1669" t="str">
        <f>IFERROR(_xlfn.XLOOKUP(A1669,HC!A:A,HC!C:C),"")</f>
        <v>Workforce</v>
      </c>
      <c r="R1669" s="78" t="b">
        <f t="shared" si="1338"/>
        <v>0</v>
      </c>
      <c r="S1669" s="78" t="b">
        <f t="shared" si="1339"/>
        <v>0</v>
      </c>
      <c r="T1669" s="78" t="b">
        <f t="shared" si="1340"/>
        <v>0</v>
      </c>
      <c r="U1669" s="78" t="b">
        <f t="shared" si="1341"/>
        <v>0</v>
      </c>
      <c r="V1669" s="78" t="b">
        <f t="shared" si="1342"/>
        <v>0</v>
      </c>
      <c r="W1669" s="78" t="b">
        <f t="shared" si="1343"/>
        <v>0</v>
      </c>
      <c r="X1669" s="78" t="b">
        <f t="shared" si="1344"/>
        <v>0</v>
      </c>
      <c r="Y1669" s="78" t="b">
        <f t="shared" si="1345"/>
        <v>0</v>
      </c>
      <c r="Z1669" s="78" t="b">
        <f t="shared" si="1346"/>
        <v>0</v>
      </c>
      <c r="AA1669" s="78" t="b">
        <f t="shared" si="1347"/>
        <v>0</v>
      </c>
      <c r="AB1669" s="78" t="b">
        <f t="shared" si="1348"/>
        <v>0</v>
      </c>
      <c r="AC1669" s="78" t="b">
        <f t="shared" si="1349"/>
        <v>0</v>
      </c>
      <c r="AD1669" s="78" t="b">
        <f t="shared" si="1350"/>
        <v>0</v>
      </c>
      <c r="AE1669" s="78" t="b">
        <f t="shared" si="1351"/>
        <v>0</v>
      </c>
      <c r="AF1669" s="78" t="b">
        <f t="shared" si="1352"/>
        <v>0</v>
      </c>
      <c r="AG1669" s="78" t="b">
        <f t="shared" si="1353"/>
        <v>0</v>
      </c>
      <c r="AH1669" s="78" t="b">
        <f t="shared" si="1354"/>
        <v>0</v>
      </c>
      <c r="AI1669" s="78" t="b">
        <f t="shared" si="1355"/>
        <v>0</v>
      </c>
      <c r="AJ1669" s="78" t="b">
        <f t="shared" si="1356"/>
        <v>0</v>
      </c>
      <c r="AK1669" s="78" t="b">
        <f t="shared" si="1357"/>
        <v>0</v>
      </c>
      <c r="AL1669" s="78" t="b">
        <f t="shared" si="1358"/>
        <v>0</v>
      </c>
      <c r="AM1669" s="78" t="b">
        <f t="shared" si="1359"/>
        <v>0</v>
      </c>
      <c r="AN1669" s="78" t="b">
        <f t="shared" si="1360"/>
        <v>0</v>
      </c>
      <c r="AO1669" s="78" t="b">
        <f t="shared" si="1361"/>
        <v>0</v>
      </c>
    </row>
    <row r="1670" spans="7:41" x14ac:dyDescent="0.35">
      <c r="G1670" s="77">
        <f t="shared" si="1331"/>
        <v>0</v>
      </c>
      <c r="H1670" s="78">
        <f t="shared" si="1332"/>
        <v>0</v>
      </c>
      <c r="I1670" s="77">
        <f t="shared" si="1333"/>
        <v>0</v>
      </c>
      <c r="J1670" s="78">
        <f t="shared" si="1334"/>
        <v>0</v>
      </c>
      <c r="K1670" s="78" t="str">
        <f t="shared" si="1335"/>
        <v>1900-01-00 00:0:00</v>
      </c>
      <c r="L1670" s="78" t="str">
        <f t="shared" si="1336"/>
        <v>1900-01-00 00:0:00</v>
      </c>
      <c r="M1670" s="79">
        <f t="shared" si="1337"/>
        <v>0</v>
      </c>
      <c r="N1670">
        <f t="shared" si="1362"/>
        <v>1</v>
      </c>
      <c r="O1670" t="str">
        <f>IFERROR(_xlfn.XLOOKUP(A1670,HC!A:A,HC!C:C),"")</f>
        <v>Workforce</v>
      </c>
      <c r="R1670" s="78" t="b">
        <f t="shared" si="1338"/>
        <v>0</v>
      </c>
      <c r="S1670" s="78" t="b">
        <f t="shared" si="1339"/>
        <v>0</v>
      </c>
      <c r="T1670" s="78" t="b">
        <f t="shared" si="1340"/>
        <v>0</v>
      </c>
      <c r="U1670" s="78" t="b">
        <f t="shared" si="1341"/>
        <v>0</v>
      </c>
      <c r="V1670" s="78" t="b">
        <f t="shared" si="1342"/>
        <v>0</v>
      </c>
      <c r="W1670" s="78" t="b">
        <f t="shared" si="1343"/>
        <v>0</v>
      </c>
      <c r="X1670" s="78" t="b">
        <f t="shared" si="1344"/>
        <v>0</v>
      </c>
      <c r="Y1670" s="78" t="b">
        <f t="shared" si="1345"/>
        <v>0</v>
      </c>
      <c r="Z1670" s="78" t="b">
        <f t="shared" si="1346"/>
        <v>0</v>
      </c>
      <c r="AA1670" s="78" t="b">
        <f t="shared" si="1347"/>
        <v>0</v>
      </c>
      <c r="AB1670" s="78" t="b">
        <f t="shared" si="1348"/>
        <v>0</v>
      </c>
      <c r="AC1670" s="78" t="b">
        <f t="shared" si="1349"/>
        <v>0</v>
      </c>
      <c r="AD1670" s="78" t="b">
        <f t="shared" si="1350"/>
        <v>0</v>
      </c>
      <c r="AE1670" s="78" t="b">
        <f t="shared" si="1351"/>
        <v>0</v>
      </c>
      <c r="AF1670" s="78" t="b">
        <f t="shared" si="1352"/>
        <v>0</v>
      </c>
      <c r="AG1670" s="78" t="b">
        <f t="shared" si="1353"/>
        <v>0</v>
      </c>
      <c r="AH1670" s="78" t="b">
        <f t="shared" si="1354"/>
        <v>0</v>
      </c>
      <c r="AI1670" s="78" t="b">
        <f t="shared" si="1355"/>
        <v>0</v>
      </c>
      <c r="AJ1670" s="78" t="b">
        <f t="shared" si="1356"/>
        <v>0</v>
      </c>
      <c r="AK1670" s="78" t="b">
        <f t="shared" si="1357"/>
        <v>0</v>
      </c>
      <c r="AL1670" s="78" t="b">
        <f t="shared" si="1358"/>
        <v>0</v>
      </c>
      <c r="AM1670" s="78" t="b">
        <f t="shared" si="1359"/>
        <v>0</v>
      </c>
      <c r="AN1670" s="78" t="b">
        <f t="shared" si="1360"/>
        <v>0</v>
      </c>
      <c r="AO1670" s="78" t="b">
        <f t="shared" si="1361"/>
        <v>0</v>
      </c>
    </row>
    <row r="1671" spans="7:41" x14ac:dyDescent="0.35">
      <c r="G1671" s="77">
        <f t="shared" si="1331"/>
        <v>0</v>
      </c>
      <c r="H1671" s="78">
        <f t="shared" si="1332"/>
        <v>0</v>
      </c>
      <c r="I1671" s="77">
        <f t="shared" si="1333"/>
        <v>0</v>
      </c>
      <c r="J1671" s="78">
        <f t="shared" si="1334"/>
        <v>0</v>
      </c>
      <c r="K1671" s="78" t="str">
        <f t="shared" si="1335"/>
        <v>1900-01-00 00:0:00</v>
      </c>
      <c r="L1671" s="78" t="str">
        <f t="shared" si="1336"/>
        <v>1900-01-00 00:0:00</v>
      </c>
      <c r="M1671" s="79">
        <f t="shared" si="1337"/>
        <v>0</v>
      </c>
      <c r="N1671">
        <f t="shared" si="1362"/>
        <v>1</v>
      </c>
      <c r="O1671" t="str">
        <f>IFERROR(_xlfn.XLOOKUP(A1671,HC!A:A,HC!C:C),"")</f>
        <v>Workforce</v>
      </c>
      <c r="R1671" s="78" t="b">
        <f t="shared" si="1338"/>
        <v>0</v>
      </c>
      <c r="S1671" s="78" t="b">
        <f t="shared" si="1339"/>
        <v>0</v>
      </c>
      <c r="T1671" s="78" t="b">
        <f t="shared" si="1340"/>
        <v>0</v>
      </c>
      <c r="U1671" s="78" t="b">
        <f t="shared" si="1341"/>
        <v>0</v>
      </c>
      <c r="V1671" s="78" t="b">
        <f t="shared" si="1342"/>
        <v>0</v>
      </c>
      <c r="W1671" s="78" t="b">
        <f t="shared" si="1343"/>
        <v>0</v>
      </c>
      <c r="X1671" s="78" t="b">
        <f t="shared" si="1344"/>
        <v>0</v>
      </c>
      <c r="Y1671" s="78" t="b">
        <f t="shared" si="1345"/>
        <v>0</v>
      </c>
      <c r="Z1671" s="78" t="b">
        <f t="shared" si="1346"/>
        <v>0</v>
      </c>
      <c r="AA1671" s="78" t="b">
        <f t="shared" si="1347"/>
        <v>0</v>
      </c>
      <c r="AB1671" s="78" t="b">
        <f t="shared" si="1348"/>
        <v>0</v>
      </c>
      <c r="AC1671" s="78" t="b">
        <f t="shared" si="1349"/>
        <v>0</v>
      </c>
      <c r="AD1671" s="78" t="b">
        <f t="shared" si="1350"/>
        <v>0</v>
      </c>
      <c r="AE1671" s="78" t="b">
        <f t="shared" si="1351"/>
        <v>0</v>
      </c>
      <c r="AF1671" s="78" t="b">
        <f t="shared" si="1352"/>
        <v>0</v>
      </c>
      <c r="AG1671" s="78" t="b">
        <f t="shared" si="1353"/>
        <v>0</v>
      </c>
      <c r="AH1671" s="78" t="b">
        <f t="shared" si="1354"/>
        <v>0</v>
      </c>
      <c r="AI1671" s="78" t="b">
        <f t="shared" si="1355"/>
        <v>0</v>
      </c>
      <c r="AJ1671" s="78" t="b">
        <f t="shared" si="1356"/>
        <v>0</v>
      </c>
      <c r="AK1671" s="78" t="b">
        <f t="shared" si="1357"/>
        <v>0</v>
      </c>
      <c r="AL1671" s="78" t="b">
        <f t="shared" si="1358"/>
        <v>0</v>
      </c>
      <c r="AM1671" s="78" t="b">
        <f t="shared" si="1359"/>
        <v>0</v>
      </c>
      <c r="AN1671" s="78" t="b">
        <f t="shared" si="1360"/>
        <v>0</v>
      </c>
      <c r="AO1671" s="78" t="b">
        <f t="shared" si="1361"/>
        <v>0</v>
      </c>
    </row>
    <row r="1672" spans="7:41" x14ac:dyDescent="0.35">
      <c r="G1672" s="77">
        <f t="shared" si="1331"/>
        <v>0</v>
      </c>
      <c r="H1672" s="78">
        <f t="shared" si="1332"/>
        <v>0</v>
      </c>
      <c r="I1672" s="77">
        <f t="shared" si="1333"/>
        <v>0</v>
      </c>
      <c r="J1672" s="78">
        <f t="shared" si="1334"/>
        <v>0</v>
      </c>
      <c r="K1672" s="78" t="str">
        <f t="shared" si="1335"/>
        <v>1900-01-00 00:0:00</v>
      </c>
      <c r="L1672" s="78" t="str">
        <f t="shared" si="1336"/>
        <v>1900-01-00 00:0:00</v>
      </c>
      <c r="M1672" s="79">
        <f t="shared" si="1337"/>
        <v>0</v>
      </c>
      <c r="N1672">
        <f t="shared" si="1362"/>
        <v>1</v>
      </c>
      <c r="O1672" t="str">
        <f>IFERROR(_xlfn.XLOOKUP(A1672,HC!A:A,HC!C:C),"")</f>
        <v>Workforce</v>
      </c>
      <c r="R1672" s="78" t="b">
        <f t="shared" si="1338"/>
        <v>0</v>
      </c>
      <c r="S1672" s="78" t="b">
        <f t="shared" si="1339"/>
        <v>0</v>
      </c>
      <c r="T1672" s="78" t="b">
        <f t="shared" si="1340"/>
        <v>0</v>
      </c>
      <c r="U1672" s="78" t="b">
        <f t="shared" si="1341"/>
        <v>0</v>
      </c>
      <c r="V1672" s="78" t="b">
        <f t="shared" si="1342"/>
        <v>0</v>
      </c>
      <c r="W1672" s="78" t="b">
        <f t="shared" si="1343"/>
        <v>0</v>
      </c>
      <c r="X1672" s="78" t="b">
        <f t="shared" si="1344"/>
        <v>0</v>
      </c>
      <c r="Y1672" s="78" t="b">
        <f t="shared" si="1345"/>
        <v>0</v>
      </c>
      <c r="Z1672" s="78" t="b">
        <f t="shared" si="1346"/>
        <v>0</v>
      </c>
      <c r="AA1672" s="78" t="b">
        <f t="shared" si="1347"/>
        <v>0</v>
      </c>
      <c r="AB1672" s="78" t="b">
        <f t="shared" si="1348"/>
        <v>0</v>
      </c>
      <c r="AC1672" s="78" t="b">
        <f t="shared" si="1349"/>
        <v>0</v>
      </c>
      <c r="AD1672" s="78" t="b">
        <f t="shared" si="1350"/>
        <v>0</v>
      </c>
      <c r="AE1672" s="78" t="b">
        <f t="shared" si="1351"/>
        <v>0</v>
      </c>
      <c r="AF1672" s="78" t="b">
        <f t="shared" si="1352"/>
        <v>0</v>
      </c>
      <c r="AG1672" s="78" t="b">
        <f t="shared" si="1353"/>
        <v>0</v>
      </c>
      <c r="AH1672" s="78" t="b">
        <f t="shared" si="1354"/>
        <v>0</v>
      </c>
      <c r="AI1672" s="78" t="b">
        <f t="shared" si="1355"/>
        <v>0</v>
      </c>
      <c r="AJ1672" s="78" t="b">
        <f t="shared" si="1356"/>
        <v>0</v>
      </c>
      <c r="AK1672" s="78" t="b">
        <f t="shared" si="1357"/>
        <v>0</v>
      </c>
      <c r="AL1672" s="78" t="b">
        <f t="shared" si="1358"/>
        <v>0</v>
      </c>
      <c r="AM1672" s="78" t="b">
        <f t="shared" si="1359"/>
        <v>0</v>
      </c>
      <c r="AN1672" s="78" t="b">
        <f t="shared" si="1360"/>
        <v>0</v>
      </c>
      <c r="AO1672" s="78" t="b">
        <f t="shared" si="1361"/>
        <v>0</v>
      </c>
    </row>
    <row r="1673" spans="7:41" x14ac:dyDescent="0.35">
      <c r="G1673" s="77">
        <f t="shared" si="1331"/>
        <v>0</v>
      </c>
      <c r="H1673" s="78">
        <f t="shared" si="1332"/>
        <v>0</v>
      </c>
      <c r="I1673" s="77">
        <f t="shared" si="1333"/>
        <v>0</v>
      </c>
      <c r="J1673" s="78">
        <f t="shared" si="1334"/>
        <v>0</v>
      </c>
      <c r="K1673" s="78" t="str">
        <f t="shared" si="1335"/>
        <v>1900-01-00 00:0:00</v>
      </c>
      <c r="L1673" s="78" t="str">
        <f t="shared" si="1336"/>
        <v>1900-01-00 00:0:00</v>
      </c>
      <c r="M1673" s="79">
        <f t="shared" si="1337"/>
        <v>0</v>
      </c>
      <c r="N1673">
        <f t="shared" si="1362"/>
        <v>1</v>
      </c>
      <c r="O1673" t="str">
        <f>IFERROR(_xlfn.XLOOKUP(A1673,HC!A:A,HC!C:C),"")</f>
        <v>Workforce</v>
      </c>
      <c r="R1673" s="78" t="b">
        <f t="shared" si="1338"/>
        <v>0</v>
      </c>
      <c r="S1673" s="78" t="b">
        <f t="shared" si="1339"/>
        <v>0</v>
      </c>
      <c r="T1673" s="78" t="b">
        <f t="shared" si="1340"/>
        <v>0</v>
      </c>
      <c r="U1673" s="78" t="b">
        <f t="shared" si="1341"/>
        <v>0</v>
      </c>
      <c r="V1673" s="78" t="b">
        <f t="shared" si="1342"/>
        <v>0</v>
      </c>
      <c r="W1673" s="78" t="b">
        <f t="shared" si="1343"/>
        <v>0</v>
      </c>
      <c r="X1673" s="78" t="b">
        <f t="shared" si="1344"/>
        <v>0</v>
      </c>
      <c r="Y1673" s="78" t="b">
        <f t="shared" si="1345"/>
        <v>0</v>
      </c>
      <c r="Z1673" s="78" t="b">
        <f t="shared" si="1346"/>
        <v>0</v>
      </c>
      <c r="AA1673" s="78" t="b">
        <f t="shared" si="1347"/>
        <v>0</v>
      </c>
      <c r="AB1673" s="78" t="b">
        <f t="shared" si="1348"/>
        <v>0</v>
      </c>
      <c r="AC1673" s="78" t="b">
        <f t="shared" si="1349"/>
        <v>0</v>
      </c>
      <c r="AD1673" s="78" t="b">
        <f t="shared" si="1350"/>
        <v>0</v>
      </c>
      <c r="AE1673" s="78" t="b">
        <f t="shared" si="1351"/>
        <v>0</v>
      </c>
      <c r="AF1673" s="78" t="b">
        <f t="shared" si="1352"/>
        <v>0</v>
      </c>
      <c r="AG1673" s="78" t="b">
        <f t="shared" si="1353"/>
        <v>0</v>
      </c>
      <c r="AH1673" s="78" t="b">
        <f t="shared" si="1354"/>
        <v>0</v>
      </c>
      <c r="AI1673" s="78" t="b">
        <f t="shared" si="1355"/>
        <v>0</v>
      </c>
      <c r="AJ1673" s="78" t="b">
        <f t="shared" si="1356"/>
        <v>0</v>
      </c>
      <c r="AK1673" s="78" t="b">
        <f t="shared" si="1357"/>
        <v>0</v>
      </c>
      <c r="AL1673" s="78" t="b">
        <f t="shared" si="1358"/>
        <v>0</v>
      </c>
      <c r="AM1673" s="78" t="b">
        <f t="shared" si="1359"/>
        <v>0</v>
      </c>
      <c r="AN1673" s="78" t="b">
        <f t="shared" si="1360"/>
        <v>0</v>
      </c>
      <c r="AO1673" s="78" t="b">
        <f t="shared" si="1361"/>
        <v>0</v>
      </c>
    </row>
    <row r="1674" spans="7:41" x14ac:dyDescent="0.35">
      <c r="G1674" s="77">
        <f t="shared" si="1331"/>
        <v>0</v>
      </c>
      <c r="H1674" s="78">
        <f t="shared" si="1332"/>
        <v>0</v>
      </c>
      <c r="I1674" s="77">
        <f t="shared" si="1333"/>
        <v>0</v>
      </c>
      <c r="J1674" s="78">
        <f t="shared" si="1334"/>
        <v>0</v>
      </c>
      <c r="K1674" s="78" t="str">
        <f t="shared" si="1335"/>
        <v>1900-01-00 00:0:00</v>
      </c>
      <c r="L1674" s="78" t="str">
        <f t="shared" si="1336"/>
        <v>1900-01-00 00:0:00</v>
      </c>
      <c r="M1674" s="79">
        <f t="shared" si="1337"/>
        <v>0</v>
      </c>
      <c r="N1674">
        <f t="shared" si="1362"/>
        <v>1</v>
      </c>
      <c r="O1674" t="str">
        <f>IFERROR(_xlfn.XLOOKUP(A1674,HC!A:A,HC!C:C),"")</f>
        <v>Workforce</v>
      </c>
      <c r="R1674" s="78" t="b">
        <f t="shared" si="1338"/>
        <v>0</v>
      </c>
      <c r="S1674" s="78" t="b">
        <f t="shared" si="1339"/>
        <v>0</v>
      </c>
      <c r="T1674" s="78" t="b">
        <f t="shared" si="1340"/>
        <v>0</v>
      </c>
      <c r="U1674" s="78" t="b">
        <f t="shared" si="1341"/>
        <v>0</v>
      </c>
      <c r="V1674" s="78" t="b">
        <f t="shared" si="1342"/>
        <v>0</v>
      </c>
      <c r="W1674" s="78" t="b">
        <f t="shared" si="1343"/>
        <v>0</v>
      </c>
      <c r="X1674" s="78" t="b">
        <f t="shared" si="1344"/>
        <v>0</v>
      </c>
      <c r="Y1674" s="78" t="b">
        <f t="shared" si="1345"/>
        <v>0</v>
      </c>
      <c r="Z1674" s="78" t="b">
        <f t="shared" si="1346"/>
        <v>0</v>
      </c>
      <c r="AA1674" s="78" t="b">
        <f t="shared" si="1347"/>
        <v>0</v>
      </c>
      <c r="AB1674" s="78" t="b">
        <f t="shared" si="1348"/>
        <v>0</v>
      </c>
      <c r="AC1674" s="78" t="b">
        <f t="shared" si="1349"/>
        <v>0</v>
      </c>
      <c r="AD1674" s="78" t="b">
        <f t="shared" si="1350"/>
        <v>0</v>
      </c>
      <c r="AE1674" s="78" t="b">
        <f t="shared" si="1351"/>
        <v>0</v>
      </c>
      <c r="AF1674" s="78" t="b">
        <f t="shared" si="1352"/>
        <v>0</v>
      </c>
      <c r="AG1674" s="78" t="b">
        <f t="shared" si="1353"/>
        <v>0</v>
      </c>
      <c r="AH1674" s="78" t="b">
        <f t="shared" si="1354"/>
        <v>0</v>
      </c>
      <c r="AI1674" s="78" t="b">
        <f t="shared" si="1355"/>
        <v>0</v>
      </c>
      <c r="AJ1674" s="78" t="b">
        <f t="shared" si="1356"/>
        <v>0</v>
      </c>
      <c r="AK1674" s="78" t="b">
        <f t="shared" si="1357"/>
        <v>0</v>
      </c>
      <c r="AL1674" s="78" t="b">
        <f t="shared" si="1358"/>
        <v>0</v>
      </c>
      <c r="AM1674" s="78" t="b">
        <f t="shared" si="1359"/>
        <v>0</v>
      </c>
      <c r="AN1674" s="78" t="b">
        <f t="shared" si="1360"/>
        <v>0</v>
      </c>
      <c r="AO1674" s="78" t="b">
        <f t="shared" si="1361"/>
        <v>0</v>
      </c>
    </row>
    <row r="1675" spans="7:41" x14ac:dyDescent="0.35">
      <c r="G1675" s="77">
        <f t="shared" si="1331"/>
        <v>0</v>
      </c>
      <c r="H1675" s="78">
        <f t="shared" si="1332"/>
        <v>0</v>
      </c>
      <c r="I1675" s="77">
        <f t="shared" si="1333"/>
        <v>0</v>
      </c>
      <c r="J1675" s="78">
        <f t="shared" si="1334"/>
        <v>0</v>
      </c>
      <c r="K1675" s="78" t="str">
        <f t="shared" si="1335"/>
        <v>1900-01-00 00:0:00</v>
      </c>
      <c r="L1675" s="78" t="str">
        <f t="shared" si="1336"/>
        <v>1900-01-00 00:0:00</v>
      </c>
      <c r="M1675" s="79">
        <f t="shared" si="1337"/>
        <v>0</v>
      </c>
      <c r="N1675">
        <f t="shared" si="1362"/>
        <v>1</v>
      </c>
      <c r="O1675" t="str">
        <f>IFERROR(_xlfn.XLOOKUP(A1675,HC!A:A,HC!C:C),"")</f>
        <v>Workforce</v>
      </c>
      <c r="R1675" s="78" t="b">
        <f t="shared" si="1338"/>
        <v>0</v>
      </c>
      <c r="S1675" s="78" t="b">
        <f t="shared" si="1339"/>
        <v>0</v>
      </c>
      <c r="T1675" s="78" t="b">
        <f t="shared" si="1340"/>
        <v>0</v>
      </c>
      <c r="U1675" s="78" t="b">
        <f t="shared" si="1341"/>
        <v>0</v>
      </c>
      <c r="V1675" s="78" t="b">
        <f t="shared" si="1342"/>
        <v>0</v>
      </c>
      <c r="W1675" s="78" t="b">
        <f t="shared" si="1343"/>
        <v>0</v>
      </c>
      <c r="X1675" s="78" t="b">
        <f t="shared" si="1344"/>
        <v>0</v>
      </c>
      <c r="Y1675" s="78" t="b">
        <f t="shared" si="1345"/>
        <v>0</v>
      </c>
      <c r="Z1675" s="78" t="b">
        <f t="shared" si="1346"/>
        <v>0</v>
      </c>
      <c r="AA1675" s="78" t="b">
        <f t="shared" si="1347"/>
        <v>0</v>
      </c>
      <c r="AB1675" s="78" t="b">
        <f t="shared" si="1348"/>
        <v>0</v>
      </c>
      <c r="AC1675" s="78" t="b">
        <f t="shared" si="1349"/>
        <v>0</v>
      </c>
      <c r="AD1675" s="78" t="b">
        <f t="shared" si="1350"/>
        <v>0</v>
      </c>
      <c r="AE1675" s="78" t="b">
        <f t="shared" si="1351"/>
        <v>0</v>
      </c>
      <c r="AF1675" s="78" t="b">
        <f t="shared" si="1352"/>
        <v>0</v>
      </c>
      <c r="AG1675" s="78" t="b">
        <f t="shared" si="1353"/>
        <v>0</v>
      </c>
      <c r="AH1675" s="78" t="b">
        <f t="shared" si="1354"/>
        <v>0</v>
      </c>
      <c r="AI1675" s="78" t="b">
        <f t="shared" si="1355"/>
        <v>0</v>
      </c>
      <c r="AJ1675" s="78" t="b">
        <f t="shared" si="1356"/>
        <v>0</v>
      </c>
      <c r="AK1675" s="78" t="b">
        <f t="shared" si="1357"/>
        <v>0</v>
      </c>
      <c r="AL1675" s="78" t="b">
        <f t="shared" si="1358"/>
        <v>0</v>
      </c>
      <c r="AM1675" s="78" t="b">
        <f t="shared" si="1359"/>
        <v>0</v>
      </c>
      <c r="AN1675" s="78" t="b">
        <f t="shared" si="1360"/>
        <v>0</v>
      </c>
      <c r="AO1675" s="78" t="b">
        <f t="shared" si="1361"/>
        <v>0</v>
      </c>
    </row>
    <row r="1676" spans="7:41" x14ac:dyDescent="0.35">
      <c r="G1676" s="77">
        <f t="shared" si="1331"/>
        <v>0</v>
      </c>
      <c r="H1676" s="78">
        <f t="shared" si="1332"/>
        <v>0</v>
      </c>
      <c r="I1676" s="77">
        <f t="shared" si="1333"/>
        <v>0</v>
      </c>
      <c r="J1676" s="78">
        <f t="shared" si="1334"/>
        <v>0</v>
      </c>
      <c r="K1676" s="78" t="str">
        <f t="shared" si="1335"/>
        <v>1900-01-00 00:0:00</v>
      </c>
      <c r="L1676" s="78" t="str">
        <f t="shared" si="1336"/>
        <v>1900-01-00 00:0:00</v>
      </c>
      <c r="M1676" s="79">
        <f t="shared" si="1337"/>
        <v>0</v>
      </c>
      <c r="N1676">
        <f t="shared" si="1362"/>
        <v>1</v>
      </c>
      <c r="O1676" t="str">
        <f>IFERROR(_xlfn.XLOOKUP(A1676,HC!A:A,HC!C:C),"")</f>
        <v>Workforce</v>
      </c>
      <c r="R1676" s="78" t="b">
        <f t="shared" si="1338"/>
        <v>0</v>
      </c>
      <c r="S1676" s="78" t="b">
        <f t="shared" si="1339"/>
        <v>0</v>
      </c>
      <c r="T1676" s="78" t="b">
        <f t="shared" si="1340"/>
        <v>0</v>
      </c>
      <c r="U1676" s="78" t="b">
        <f t="shared" si="1341"/>
        <v>0</v>
      </c>
      <c r="V1676" s="78" t="b">
        <f t="shared" si="1342"/>
        <v>0</v>
      </c>
      <c r="W1676" s="78" t="b">
        <f t="shared" si="1343"/>
        <v>0</v>
      </c>
      <c r="X1676" s="78" t="b">
        <f t="shared" si="1344"/>
        <v>0</v>
      </c>
      <c r="Y1676" s="78" t="b">
        <f t="shared" si="1345"/>
        <v>0</v>
      </c>
      <c r="Z1676" s="78" t="b">
        <f t="shared" si="1346"/>
        <v>0</v>
      </c>
      <c r="AA1676" s="78" t="b">
        <f t="shared" si="1347"/>
        <v>0</v>
      </c>
      <c r="AB1676" s="78" t="b">
        <f t="shared" si="1348"/>
        <v>0</v>
      </c>
      <c r="AC1676" s="78" t="b">
        <f t="shared" si="1349"/>
        <v>0</v>
      </c>
      <c r="AD1676" s="78" t="b">
        <f t="shared" si="1350"/>
        <v>0</v>
      </c>
      <c r="AE1676" s="78" t="b">
        <f t="shared" si="1351"/>
        <v>0</v>
      </c>
      <c r="AF1676" s="78" t="b">
        <f t="shared" si="1352"/>
        <v>0</v>
      </c>
      <c r="AG1676" s="78" t="b">
        <f t="shared" si="1353"/>
        <v>0</v>
      </c>
      <c r="AH1676" s="78" t="b">
        <f t="shared" si="1354"/>
        <v>0</v>
      </c>
      <c r="AI1676" s="78" t="b">
        <f t="shared" si="1355"/>
        <v>0</v>
      </c>
      <c r="AJ1676" s="78" t="b">
        <f t="shared" si="1356"/>
        <v>0</v>
      </c>
      <c r="AK1676" s="78" t="b">
        <f t="shared" si="1357"/>
        <v>0</v>
      </c>
      <c r="AL1676" s="78" t="b">
        <f t="shared" si="1358"/>
        <v>0</v>
      </c>
      <c r="AM1676" s="78" t="b">
        <f t="shared" si="1359"/>
        <v>0</v>
      </c>
      <c r="AN1676" s="78" t="b">
        <f t="shared" si="1360"/>
        <v>0</v>
      </c>
      <c r="AO1676" s="78" t="b">
        <f t="shared" si="1361"/>
        <v>0</v>
      </c>
    </row>
    <row r="1677" spans="7:41" x14ac:dyDescent="0.35">
      <c r="G1677" s="77">
        <f t="shared" si="1331"/>
        <v>0</v>
      </c>
      <c r="H1677" s="78">
        <f t="shared" si="1332"/>
        <v>0</v>
      </c>
      <c r="I1677" s="77">
        <f t="shared" si="1333"/>
        <v>0</v>
      </c>
      <c r="J1677" s="78">
        <f t="shared" si="1334"/>
        <v>0</v>
      </c>
      <c r="K1677" s="78" t="str">
        <f t="shared" si="1335"/>
        <v>1900-01-00 00:0:00</v>
      </c>
      <c r="L1677" s="78" t="str">
        <f t="shared" si="1336"/>
        <v>1900-01-00 00:0:00</v>
      </c>
      <c r="M1677" s="79">
        <f t="shared" si="1337"/>
        <v>0</v>
      </c>
      <c r="N1677">
        <f t="shared" si="1362"/>
        <v>1</v>
      </c>
      <c r="O1677" t="str">
        <f>IFERROR(_xlfn.XLOOKUP(A1677,HC!A:A,HC!C:C),"")</f>
        <v>Workforce</v>
      </c>
      <c r="R1677" s="78" t="b">
        <f t="shared" si="1338"/>
        <v>0</v>
      </c>
      <c r="S1677" s="78" t="b">
        <f t="shared" si="1339"/>
        <v>0</v>
      </c>
      <c r="T1677" s="78" t="b">
        <f t="shared" si="1340"/>
        <v>0</v>
      </c>
      <c r="U1677" s="78" t="b">
        <f t="shared" si="1341"/>
        <v>0</v>
      </c>
      <c r="V1677" s="78" t="b">
        <f t="shared" si="1342"/>
        <v>0</v>
      </c>
      <c r="W1677" s="78" t="b">
        <f t="shared" si="1343"/>
        <v>0</v>
      </c>
      <c r="X1677" s="78" t="b">
        <f t="shared" si="1344"/>
        <v>0</v>
      </c>
      <c r="Y1677" s="78" t="b">
        <f t="shared" si="1345"/>
        <v>0</v>
      </c>
      <c r="Z1677" s="78" t="b">
        <f t="shared" si="1346"/>
        <v>0</v>
      </c>
      <c r="AA1677" s="78" t="b">
        <f t="shared" si="1347"/>
        <v>0</v>
      </c>
      <c r="AB1677" s="78" t="b">
        <f t="shared" si="1348"/>
        <v>0</v>
      </c>
      <c r="AC1677" s="78" t="b">
        <f t="shared" si="1349"/>
        <v>0</v>
      </c>
      <c r="AD1677" s="78" t="b">
        <f t="shared" si="1350"/>
        <v>0</v>
      </c>
      <c r="AE1677" s="78" t="b">
        <f t="shared" si="1351"/>
        <v>0</v>
      </c>
      <c r="AF1677" s="78" t="b">
        <f t="shared" si="1352"/>
        <v>0</v>
      </c>
      <c r="AG1677" s="78" t="b">
        <f t="shared" si="1353"/>
        <v>0</v>
      </c>
      <c r="AH1677" s="78" t="b">
        <f t="shared" si="1354"/>
        <v>0</v>
      </c>
      <c r="AI1677" s="78" t="b">
        <f t="shared" si="1355"/>
        <v>0</v>
      </c>
      <c r="AJ1677" s="78" t="b">
        <f t="shared" si="1356"/>
        <v>0</v>
      </c>
      <c r="AK1677" s="78" t="b">
        <f t="shared" si="1357"/>
        <v>0</v>
      </c>
      <c r="AL1677" s="78" t="b">
        <f t="shared" si="1358"/>
        <v>0</v>
      </c>
      <c r="AM1677" s="78" t="b">
        <f t="shared" si="1359"/>
        <v>0</v>
      </c>
      <c r="AN1677" s="78" t="b">
        <f t="shared" si="1360"/>
        <v>0</v>
      </c>
      <c r="AO1677" s="78" t="b">
        <f t="shared" si="1361"/>
        <v>0</v>
      </c>
    </row>
    <row r="1678" spans="7:41" x14ac:dyDescent="0.35">
      <c r="G1678" s="77">
        <f t="shared" si="1331"/>
        <v>0</v>
      </c>
      <c r="H1678" s="78">
        <f t="shared" si="1332"/>
        <v>0</v>
      </c>
      <c r="I1678" s="77">
        <f t="shared" si="1333"/>
        <v>0</v>
      </c>
      <c r="J1678" s="78">
        <f t="shared" si="1334"/>
        <v>0</v>
      </c>
      <c r="K1678" s="78" t="str">
        <f t="shared" si="1335"/>
        <v>1900-01-00 00:0:00</v>
      </c>
      <c r="L1678" s="78" t="str">
        <f t="shared" si="1336"/>
        <v>1900-01-00 00:0:00</v>
      </c>
      <c r="M1678" s="79">
        <f t="shared" si="1337"/>
        <v>0</v>
      </c>
      <c r="N1678">
        <f t="shared" si="1362"/>
        <v>1</v>
      </c>
      <c r="O1678" t="str">
        <f>IFERROR(_xlfn.XLOOKUP(A1678,HC!A:A,HC!C:C),"")</f>
        <v>Workforce</v>
      </c>
      <c r="R1678" s="78" t="b">
        <f t="shared" si="1338"/>
        <v>0</v>
      </c>
      <c r="S1678" s="78" t="b">
        <f t="shared" si="1339"/>
        <v>0</v>
      </c>
      <c r="T1678" s="78" t="b">
        <f t="shared" si="1340"/>
        <v>0</v>
      </c>
      <c r="U1678" s="78" t="b">
        <f t="shared" si="1341"/>
        <v>0</v>
      </c>
      <c r="V1678" s="78" t="b">
        <f t="shared" si="1342"/>
        <v>0</v>
      </c>
      <c r="W1678" s="78" t="b">
        <f t="shared" si="1343"/>
        <v>0</v>
      </c>
      <c r="X1678" s="78" t="b">
        <f t="shared" si="1344"/>
        <v>0</v>
      </c>
      <c r="Y1678" s="78" t="b">
        <f t="shared" si="1345"/>
        <v>0</v>
      </c>
      <c r="Z1678" s="78" t="b">
        <f t="shared" si="1346"/>
        <v>0</v>
      </c>
      <c r="AA1678" s="78" t="b">
        <f t="shared" si="1347"/>
        <v>0</v>
      </c>
      <c r="AB1678" s="78" t="b">
        <f t="shared" si="1348"/>
        <v>0</v>
      </c>
      <c r="AC1678" s="78" t="b">
        <f t="shared" si="1349"/>
        <v>0</v>
      </c>
      <c r="AD1678" s="78" t="b">
        <f t="shared" si="1350"/>
        <v>0</v>
      </c>
      <c r="AE1678" s="78" t="b">
        <f t="shared" si="1351"/>
        <v>0</v>
      </c>
      <c r="AF1678" s="78" t="b">
        <f t="shared" si="1352"/>
        <v>0</v>
      </c>
      <c r="AG1678" s="78" t="b">
        <f t="shared" si="1353"/>
        <v>0</v>
      </c>
      <c r="AH1678" s="78" t="b">
        <f t="shared" si="1354"/>
        <v>0</v>
      </c>
      <c r="AI1678" s="78" t="b">
        <f t="shared" si="1355"/>
        <v>0</v>
      </c>
      <c r="AJ1678" s="78" t="b">
        <f t="shared" si="1356"/>
        <v>0</v>
      </c>
      <c r="AK1678" s="78" t="b">
        <f t="shared" si="1357"/>
        <v>0</v>
      </c>
      <c r="AL1678" s="78" t="b">
        <f t="shared" si="1358"/>
        <v>0</v>
      </c>
      <c r="AM1678" s="78" t="b">
        <f t="shared" si="1359"/>
        <v>0</v>
      </c>
      <c r="AN1678" s="78" t="b">
        <f t="shared" si="1360"/>
        <v>0</v>
      </c>
      <c r="AO1678" s="78" t="b">
        <f t="shared" si="1361"/>
        <v>0</v>
      </c>
    </row>
    <row r="1679" spans="7:41" x14ac:dyDescent="0.35">
      <c r="G1679" s="77">
        <f t="shared" si="1331"/>
        <v>0</v>
      </c>
      <c r="H1679" s="78">
        <f t="shared" si="1332"/>
        <v>0</v>
      </c>
      <c r="I1679" s="77">
        <f t="shared" si="1333"/>
        <v>0</v>
      </c>
      <c r="J1679" s="78">
        <f t="shared" si="1334"/>
        <v>0</v>
      </c>
      <c r="K1679" s="78" t="str">
        <f t="shared" si="1335"/>
        <v>1900-01-00 00:0:00</v>
      </c>
      <c r="L1679" s="78" t="str">
        <f t="shared" si="1336"/>
        <v>1900-01-00 00:0:00</v>
      </c>
      <c r="M1679" s="79">
        <f t="shared" si="1337"/>
        <v>0</v>
      </c>
      <c r="N1679">
        <f t="shared" si="1362"/>
        <v>1</v>
      </c>
      <c r="O1679" t="str">
        <f>IFERROR(_xlfn.XLOOKUP(A1679,HC!A:A,HC!C:C),"")</f>
        <v>Workforce</v>
      </c>
      <c r="R1679" s="78" t="b">
        <f t="shared" si="1338"/>
        <v>0</v>
      </c>
      <c r="S1679" s="78" t="b">
        <f t="shared" si="1339"/>
        <v>0</v>
      </c>
      <c r="T1679" s="78" t="b">
        <f t="shared" si="1340"/>
        <v>0</v>
      </c>
      <c r="U1679" s="78" t="b">
        <f t="shared" si="1341"/>
        <v>0</v>
      </c>
      <c r="V1679" s="78" t="b">
        <f t="shared" si="1342"/>
        <v>0</v>
      </c>
      <c r="W1679" s="78" t="b">
        <f t="shared" si="1343"/>
        <v>0</v>
      </c>
      <c r="X1679" s="78" t="b">
        <f t="shared" si="1344"/>
        <v>0</v>
      </c>
      <c r="Y1679" s="78" t="b">
        <f t="shared" si="1345"/>
        <v>0</v>
      </c>
      <c r="Z1679" s="78" t="b">
        <f t="shared" si="1346"/>
        <v>0</v>
      </c>
      <c r="AA1679" s="78" t="b">
        <f t="shared" si="1347"/>
        <v>0</v>
      </c>
      <c r="AB1679" s="78" t="b">
        <f t="shared" si="1348"/>
        <v>0</v>
      </c>
      <c r="AC1679" s="78" t="b">
        <f t="shared" si="1349"/>
        <v>0</v>
      </c>
      <c r="AD1679" s="78" t="b">
        <f t="shared" si="1350"/>
        <v>0</v>
      </c>
      <c r="AE1679" s="78" t="b">
        <f t="shared" si="1351"/>
        <v>0</v>
      </c>
      <c r="AF1679" s="78" t="b">
        <f t="shared" si="1352"/>
        <v>0</v>
      </c>
      <c r="AG1679" s="78" t="b">
        <f t="shared" si="1353"/>
        <v>0</v>
      </c>
      <c r="AH1679" s="78" t="b">
        <f t="shared" si="1354"/>
        <v>0</v>
      </c>
      <c r="AI1679" s="78" t="b">
        <f t="shared" si="1355"/>
        <v>0</v>
      </c>
      <c r="AJ1679" s="78" t="b">
        <f t="shared" si="1356"/>
        <v>0</v>
      </c>
      <c r="AK1679" s="78" t="b">
        <f t="shared" si="1357"/>
        <v>0</v>
      </c>
      <c r="AL1679" s="78" t="b">
        <f t="shared" si="1358"/>
        <v>0</v>
      </c>
      <c r="AM1679" s="78" t="b">
        <f t="shared" si="1359"/>
        <v>0</v>
      </c>
      <c r="AN1679" s="78" t="b">
        <f t="shared" si="1360"/>
        <v>0</v>
      </c>
      <c r="AO1679" s="78" t="b">
        <f t="shared" si="1361"/>
        <v>0</v>
      </c>
    </row>
    <row r="1680" spans="7:41" x14ac:dyDescent="0.35">
      <c r="G1680" s="77">
        <f t="shared" si="1331"/>
        <v>0</v>
      </c>
      <c r="H1680" s="78">
        <f t="shared" si="1332"/>
        <v>0</v>
      </c>
      <c r="I1680" s="77">
        <f t="shared" si="1333"/>
        <v>0</v>
      </c>
      <c r="J1680" s="78">
        <f t="shared" si="1334"/>
        <v>0</v>
      </c>
      <c r="K1680" s="78" t="str">
        <f t="shared" si="1335"/>
        <v>1900-01-00 00:0:00</v>
      </c>
      <c r="L1680" s="78" t="str">
        <f t="shared" si="1336"/>
        <v>1900-01-00 00:0:00</v>
      </c>
      <c r="M1680" s="79">
        <f t="shared" si="1337"/>
        <v>0</v>
      </c>
      <c r="N1680">
        <f t="shared" si="1362"/>
        <v>1</v>
      </c>
      <c r="O1680" t="str">
        <f>IFERROR(_xlfn.XLOOKUP(A1680,HC!A:A,HC!C:C),"")</f>
        <v>Workforce</v>
      </c>
      <c r="R1680" s="78" t="b">
        <f t="shared" si="1338"/>
        <v>0</v>
      </c>
      <c r="S1680" s="78" t="b">
        <f t="shared" si="1339"/>
        <v>0</v>
      </c>
      <c r="T1680" s="78" t="b">
        <f t="shared" si="1340"/>
        <v>0</v>
      </c>
      <c r="U1680" s="78" t="b">
        <f t="shared" si="1341"/>
        <v>0</v>
      </c>
      <c r="V1680" s="78" t="b">
        <f t="shared" si="1342"/>
        <v>0</v>
      </c>
      <c r="W1680" s="78" t="b">
        <f t="shared" si="1343"/>
        <v>0</v>
      </c>
      <c r="X1680" s="78" t="b">
        <f t="shared" si="1344"/>
        <v>0</v>
      </c>
      <c r="Y1680" s="78" t="b">
        <f t="shared" si="1345"/>
        <v>0</v>
      </c>
      <c r="Z1680" s="78" t="b">
        <f t="shared" si="1346"/>
        <v>0</v>
      </c>
      <c r="AA1680" s="78" t="b">
        <f t="shared" si="1347"/>
        <v>0</v>
      </c>
      <c r="AB1680" s="78" t="b">
        <f t="shared" si="1348"/>
        <v>0</v>
      </c>
      <c r="AC1680" s="78" t="b">
        <f t="shared" si="1349"/>
        <v>0</v>
      </c>
      <c r="AD1680" s="78" t="b">
        <f t="shared" si="1350"/>
        <v>0</v>
      </c>
      <c r="AE1680" s="78" t="b">
        <f t="shared" si="1351"/>
        <v>0</v>
      </c>
      <c r="AF1680" s="78" t="b">
        <f t="shared" si="1352"/>
        <v>0</v>
      </c>
      <c r="AG1680" s="78" t="b">
        <f t="shared" si="1353"/>
        <v>0</v>
      </c>
      <c r="AH1680" s="78" t="b">
        <f t="shared" si="1354"/>
        <v>0</v>
      </c>
      <c r="AI1680" s="78" t="b">
        <f t="shared" si="1355"/>
        <v>0</v>
      </c>
      <c r="AJ1680" s="78" t="b">
        <f t="shared" si="1356"/>
        <v>0</v>
      </c>
      <c r="AK1680" s="78" t="b">
        <f t="shared" si="1357"/>
        <v>0</v>
      </c>
      <c r="AL1680" s="78" t="b">
        <f t="shared" si="1358"/>
        <v>0</v>
      </c>
      <c r="AM1680" s="78" t="b">
        <f t="shared" si="1359"/>
        <v>0</v>
      </c>
      <c r="AN1680" s="78" t="b">
        <f t="shared" si="1360"/>
        <v>0</v>
      </c>
      <c r="AO1680" s="78" t="b">
        <f t="shared" si="1361"/>
        <v>0</v>
      </c>
    </row>
    <row r="1681" spans="7:41" x14ac:dyDescent="0.35">
      <c r="G1681" s="77">
        <f t="shared" si="1331"/>
        <v>0</v>
      </c>
      <c r="H1681" s="78">
        <f t="shared" si="1332"/>
        <v>0</v>
      </c>
      <c r="I1681" s="77">
        <f t="shared" si="1333"/>
        <v>0</v>
      </c>
      <c r="J1681" s="78">
        <f t="shared" si="1334"/>
        <v>0</v>
      </c>
      <c r="K1681" s="78" t="str">
        <f t="shared" si="1335"/>
        <v>1900-01-00 00:0:00</v>
      </c>
      <c r="L1681" s="78" t="str">
        <f t="shared" si="1336"/>
        <v>1900-01-00 00:0:00</v>
      </c>
      <c r="M1681" s="79">
        <f t="shared" si="1337"/>
        <v>0</v>
      </c>
      <c r="N1681">
        <f t="shared" si="1362"/>
        <v>1</v>
      </c>
      <c r="O1681" t="str">
        <f>IFERROR(_xlfn.XLOOKUP(A1681,HC!A:A,HC!C:C),"")</f>
        <v>Workforce</v>
      </c>
      <c r="R1681" s="78" t="b">
        <f t="shared" si="1338"/>
        <v>0</v>
      </c>
      <c r="S1681" s="78" t="b">
        <f t="shared" si="1339"/>
        <v>0</v>
      </c>
      <c r="T1681" s="78" t="b">
        <f t="shared" si="1340"/>
        <v>0</v>
      </c>
      <c r="U1681" s="78" t="b">
        <f t="shared" si="1341"/>
        <v>0</v>
      </c>
      <c r="V1681" s="78" t="b">
        <f t="shared" si="1342"/>
        <v>0</v>
      </c>
      <c r="W1681" s="78" t="b">
        <f t="shared" si="1343"/>
        <v>0</v>
      </c>
      <c r="X1681" s="78" t="b">
        <f t="shared" si="1344"/>
        <v>0</v>
      </c>
      <c r="Y1681" s="78" t="b">
        <f t="shared" si="1345"/>
        <v>0</v>
      </c>
      <c r="Z1681" s="78" t="b">
        <f t="shared" si="1346"/>
        <v>0</v>
      </c>
      <c r="AA1681" s="78" t="b">
        <f t="shared" si="1347"/>
        <v>0</v>
      </c>
      <c r="AB1681" s="78" t="b">
        <f t="shared" si="1348"/>
        <v>0</v>
      </c>
      <c r="AC1681" s="78" t="b">
        <f t="shared" si="1349"/>
        <v>0</v>
      </c>
      <c r="AD1681" s="78" t="b">
        <f t="shared" si="1350"/>
        <v>0</v>
      </c>
      <c r="AE1681" s="78" t="b">
        <f t="shared" si="1351"/>
        <v>0</v>
      </c>
      <c r="AF1681" s="78" t="b">
        <f t="shared" si="1352"/>
        <v>0</v>
      </c>
      <c r="AG1681" s="78" t="b">
        <f t="shared" si="1353"/>
        <v>0</v>
      </c>
      <c r="AH1681" s="78" t="b">
        <f t="shared" si="1354"/>
        <v>0</v>
      </c>
      <c r="AI1681" s="78" t="b">
        <f t="shared" si="1355"/>
        <v>0</v>
      </c>
      <c r="AJ1681" s="78" t="b">
        <f t="shared" si="1356"/>
        <v>0</v>
      </c>
      <c r="AK1681" s="78" t="b">
        <f t="shared" si="1357"/>
        <v>0</v>
      </c>
      <c r="AL1681" s="78" t="b">
        <f t="shared" si="1358"/>
        <v>0</v>
      </c>
      <c r="AM1681" s="78" t="b">
        <f t="shared" si="1359"/>
        <v>0</v>
      </c>
      <c r="AN1681" s="78" t="b">
        <f t="shared" si="1360"/>
        <v>0</v>
      </c>
      <c r="AO1681" s="78" t="b">
        <f t="shared" si="1361"/>
        <v>0</v>
      </c>
    </row>
    <row r="1682" spans="7:41" x14ac:dyDescent="0.35">
      <c r="G1682" s="77">
        <f t="shared" si="1331"/>
        <v>0</v>
      </c>
      <c r="H1682" s="78">
        <f t="shared" si="1332"/>
        <v>0</v>
      </c>
      <c r="I1682" s="77">
        <f t="shared" si="1333"/>
        <v>0</v>
      </c>
      <c r="J1682" s="78">
        <f t="shared" si="1334"/>
        <v>0</v>
      </c>
      <c r="K1682" s="78" t="str">
        <f t="shared" si="1335"/>
        <v>1900-01-00 00:0:00</v>
      </c>
      <c r="L1682" s="78" t="str">
        <f t="shared" si="1336"/>
        <v>1900-01-00 00:0:00</v>
      </c>
      <c r="M1682" s="79">
        <f t="shared" si="1337"/>
        <v>0</v>
      </c>
      <c r="N1682">
        <f t="shared" si="1362"/>
        <v>1</v>
      </c>
      <c r="O1682" t="str">
        <f>IFERROR(_xlfn.XLOOKUP(A1682,HC!A:A,HC!C:C),"")</f>
        <v>Workforce</v>
      </c>
      <c r="R1682" s="78" t="b">
        <f t="shared" si="1338"/>
        <v>0</v>
      </c>
      <c r="S1682" s="78" t="b">
        <f t="shared" si="1339"/>
        <v>0</v>
      </c>
      <c r="T1682" s="78" t="b">
        <f t="shared" si="1340"/>
        <v>0</v>
      </c>
      <c r="U1682" s="78" t="b">
        <f t="shared" si="1341"/>
        <v>0</v>
      </c>
      <c r="V1682" s="78" t="b">
        <f t="shared" si="1342"/>
        <v>0</v>
      </c>
      <c r="W1682" s="78" t="b">
        <f t="shared" si="1343"/>
        <v>0</v>
      </c>
      <c r="X1682" s="78" t="b">
        <f t="shared" si="1344"/>
        <v>0</v>
      </c>
      <c r="Y1682" s="78" t="b">
        <f t="shared" si="1345"/>
        <v>0</v>
      </c>
      <c r="Z1682" s="78" t="b">
        <f t="shared" si="1346"/>
        <v>0</v>
      </c>
      <c r="AA1682" s="78" t="b">
        <f t="shared" si="1347"/>
        <v>0</v>
      </c>
      <c r="AB1682" s="78" t="b">
        <f t="shared" si="1348"/>
        <v>0</v>
      </c>
      <c r="AC1682" s="78" t="b">
        <f t="shared" si="1349"/>
        <v>0</v>
      </c>
      <c r="AD1682" s="78" t="b">
        <f t="shared" si="1350"/>
        <v>0</v>
      </c>
      <c r="AE1682" s="78" t="b">
        <f t="shared" si="1351"/>
        <v>0</v>
      </c>
      <c r="AF1682" s="78" t="b">
        <f t="shared" si="1352"/>
        <v>0</v>
      </c>
      <c r="AG1682" s="78" t="b">
        <f t="shared" si="1353"/>
        <v>0</v>
      </c>
      <c r="AH1682" s="78" t="b">
        <f t="shared" si="1354"/>
        <v>0</v>
      </c>
      <c r="AI1682" s="78" t="b">
        <f t="shared" si="1355"/>
        <v>0</v>
      </c>
      <c r="AJ1682" s="78" t="b">
        <f t="shared" si="1356"/>
        <v>0</v>
      </c>
      <c r="AK1682" s="78" t="b">
        <f t="shared" si="1357"/>
        <v>0</v>
      </c>
      <c r="AL1682" s="78" t="b">
        <f t="shared" si="1358"/>
        <v>0</v>
      </c>
      <c r="AM1682" s="78" t="b">
        <f t="shared" si="1359"/>
        <v>0</v>
      </c>
      <c r="AN1682" s="78" t="b">
        <f t="shared" si="1360"/>
        <v>0</v>
      </c>
      <c r="AO1682" s="78" t="b">
        <f t="shared" si="1361"/>
        <v>0</v>
      </c>
    </row>
    <row r="1683" spans="7:41" x14ac:dyDescent="0.35">
      <c r="G1683" s="77">
        <f t="shared" si="1331"/>
        <v>0</v>
      </c>
      <c r="H1683" s="78">
        <f t="shared" si="1332"/>
        <v>0</v>
      </c>
      <c r="I1683" s="77">
        <f t="shared" si="1333"/>
        <v>0</v>
      </c>
      <c r="J1683" s="78">
        <f t="shared" si="1334"/>
        <v>0</v>
      </c>
      <c r="K1683" s="78" t="str">
        <f t="shared" si="1335"/>
        <v>1900-01-00 00:0:00</v>
      </c>
      <c r="L1683" s="78" t="str">
        <f t="shared" si="1336"/>
        <v>1900-01-00 00:0:00</v>
      </c>
      <c r="M1683" s="79">
        <f t="shared" si="1337"/>
        <v>0</v>
      </c>
      <c r="N1683">
        <f t="shared" si="1362"/>
        <v>1</v>
      </c>
      <c r="O1683" t="str">
        <f>IFERROR(_xlfn.XLOOKUP(A1683,HC!A:A,HC!C:C),"")</f>
        <v>Workforce</v>
      </c>
      <c r="R1683" s="78" t="b">
        <f t="shared" si="1338"/>
        <v>0</v>
      </c>
      <c r="S1683" s="78" t="b">
        <f t="shared" si="1339"/>
        <v>0</v>
      </c>
      <c r="T1683" s="78" t="b">
        <f t="shared" si="1340"/>
        <v>0</v>
      </c>
      <c r="U1683" s="78" t="b">
        <f t="shared" si="1341"/>
        <v>0</v>
      </c>
      <c r="V1683" s="78" t="b">
        <f t="shared" si="1342"/>
        <v>0</v>
      </c>
      <c r="W1683" s="78" t="b">
        <f t="shared" si="1343"/>
        <v>0</v>
      </c>
      <c r="X1683" s="78" t="b">
        <f t="shared" si="1344"/>
        <v>0</v>
      </c>
      <c r="Y1683" s="78" t="b">
        <f t="shared" si="1345"/>
        <v>0</v>
      </c>
      <c r="Z1683" s="78" t="b">
        <f t="shared" si="1346"/>
        <v>0</v>
      </c>
      <c r="AA1683" s="78" t="b">
        <f t="shared" si="1347"/>
        <v>0</v>
      </c>
      <c r="AB1683" s="78" t="b">
        <f t="shared" si="1348"/>
        <v>0</v>
      </c>
      <c r="AC1683" s="78" t="b">
        <f t="shared" si="1349"/>
        <v>0</v>
      </c>
      <c r="AD1683" s="78" t="b">
        <f t="shared" si="1350"/>
        <v>0</v>
      </c>
      <c r="AE1683" s="78" t="b">
        <f t="shared" si="1351"/>
        <v>0</v>
      </c>
      <c r="AF1683" s="78" t="b">
        <f t="shared" si="1352"/>
        <v>0</v>
      </c>
      <c r="AG1683" s="78" t="b">
        <f t="shared" si="1353"/>
        <v>0</v>
      </c>
      <c r="AH1683" s="78" t="b">
        <f t="shared" si="1354"/>
        <v>0</v>
      </c>
      <c r="AI1683" s="78" t="b">
        <f t="shared" si="1355"/>
        <v>0</v>
      </c>
      <c r="AJ1683" s="78" t="b">
        <f t="shared" si="1356"/>
        <v>0</v>
      </c>
      <c r="AK1683" s="78" t="b">
        <f t="shared" si="1357"/>
        <v>0</v>
      </c>
      <c r="AL1683" s="78" t="b">
        <f t="shared" si="1358"/>
        <v>0</v>
      </c>
      <c r="AM1683" s="78" t="b">
        <f t="shared" si="1359"/>
        <v>0</v>
      </c>
      <c r="AN1683" s="78" t="b">
        <f t="shared" si="1360"/>
        <v>0</v>
      </c>
      <c r="AO1683" s="78" t="b">
        <f t="shared" si="1361"/>
        <v>0</v>
      </c>
    </row>
    <row r="1684" spans="7:41" x14ac:dyDescent="0.35">
      <c r="G1684" s="77">
        <f t="shared" si="1331"/>
        <v>0</v>
      </c>
      <c r="H1684" s="78">
        <f t="shared" si="1332"/>
        <v>0</v>
      </c>
      <c r="I1684" s="77">
        <f t="shared" si="1333"/>
        <v>0</v>
      </c>
      <c r="J1684" s="78">
        <f t="shared" si="1334"/>
        <v>0</v>
      </c>
      <c r="K1684" s="78" t="str">
        <f t="shared" si="1335"/>
        <v>1900-01-00 00:0:00</v>
      </c>
      <c r="L1684" s="78" t="str">
        <f t="shared" si="1336"/>
        <v>1900-01-00 00:0:00</v>
      </c>
      <c r="M1684" s="79">
        <f t="shared" si="1337"/>
        <v>0</v>
      </c>
      <c r="N1684">
        <f t="shared" si="1362"/>
        <v>1</v>
      </c>
      <c r="O1684" t="str">
        <f>IFERROR(_xlfn.XLOOKUP(A1684,HC!A:A,HC!C:C),"")</f>
        <v>Workforce</v>
      </c>
      <c r="R1684" s="78" t="b">
        <f t="shared" si="1338"/>
        <v>0</v>
      </c>
      <c r="S1684" s="78" t="b">
        <f t="shared" si="1339"/>
        <v>0</v>
      </c>
      <c r="T1684" s="78" t="b">
        <f t="shared" si="1340"/>
        <v>0</v>
      </c>
      <c r="U1684" s="78" t="b">
        <f t="shared" si="1341"/>
        <v>0</v>
      </c>
      <c r="V1684" s="78" t="b">
        <f t="shared" si="1342"/>
        <v>0</v>
      </c>
      <c r="W1684" s="78" t="b">
        <f t="shared" si="1343"/>
        <v>0</v>
      </c>
      <c r="X1684" s="78" t="b">
        <f t="shared" si="1344"/>
        <v>0</v>
      </c>
      <c r="Y1684" s="78" t="b">
        <f t="shared" si="1345"/>
        <v>0</v>
      </c>
      <c r="Z1684" s="78" t="b">
        <f t="shared" si="1346"/>
        <v>0</v>
      </c>
      <c r="AA1684" s="78" t="b">
        <f t="shared" si="1347"/>
        <v>0</v>
      </c>
      <c r="AB1684" s="78" t="b">
        <f t="shared" si="1348"/>
        <v>0</v>
      </c>
      <c r="AC1684" s="78" t="b">
        <f t="shared" si="1349"/>
        <v>0</v>
      </c>
      <c r="AD1684" s="78" t="b">
        <f t="shared" si="1350"/>
        <v>0</v>
      </c>
      <c r="AE1684" s="78" t="b">
        <f t="shared" si="1351"/>
        <v>0</v>
      </c>
      <c r="AF1684" s="78" t="b">
        <f t="shared" si="1352"/>
        <v>0</v>
      </c>
      <c r="AG1684" s="78" t="b">
        <f t="shared" si="1353"/>
        <v>0</v>
      </c>
      <c r="AH1684" s="78" t="b">
        <f t="shared" si="1354"/>
        <v>0</v>
      </c>
      <c r="AI1684" s="78" t="b">
        <f t="shared" si="1355"/>
        <v>0</v>
      </c>
      <c r="AJ1684" s="78" t="b">
        <f t="shared" si="1356"/>
        <v>0</v>
      </c>
      <c r="AK1684" s="78" t="b">
        <f t="shared" si="1357"/>
        <v>0</v>
      </c>
      <c r="AL1684" s="78" t="b">
        <f t="shared" si="1358"/>
        <v>0</v>
      </c>
      <c r="AM1684" s="78" t="b">
        <f t="shared" si="1359"/>
        <v>0</v>
      </c>
      <c r="AN1684" s="78" t="b">
        <f t="shared" si="1360"/>
        <v>0</v>
      </c>
      <c r="AO1684" s="78" t="b">
        <f t="shared" si="1361"/>
        <v>0</v>
      </c>
    </row>
    <row r="1685" spans="7:41" x14ac:dyDescent="0.35">
      <c r="G1685" s="77">
        <f t="shared" si="1331"/>
        <v>0</v>
      </c>
      <c r="H1685" s="78">
        <f t="shared" si="1332"/>
        <v>0</v>
      </c>
      <c r="I1685" s="77">
        <f t="shared" si="1333"/>
        <v>0</v>
      </c>
      <c r="J1685" s="78">
        <f t="shared" si="1334"/>
        <v>0</v>
      </c>
      <c r="K1685" s="78" t="str">
        <f t="shared" si="1335"/>
        <v>1900-01-00 00:0:00</v>
      </c>
      <c r="L1685" s="78" t="str">
        <f t="shared" si="1336"/>
        <v>1900-01-00 00:0:00</v>
      </c>
      <c r="M1685" s="79">
        <f t="shared" si="1337"/>
        <v>0</v>
      </c>
      <c r="N1685">
        <f t="shared" si="1362"/>
        <v>1</v>
      </c>
      <c r="O1685" t="str">
        <f>IFERROR(_xlfn.XLOOKUP(A1685,HC!A:A,HC!C:C),"")</f>
        <v>Workforce</v>
      </c>
      <c r="R1685" s="78" t="b">
        <f t="shared" si="1338"/>
        <v>0</v>
      </c>
      <c r="S1685" s="78" t="b">
        <f t="shared" si="1339"/>
        <v>0</v>
      </c>
      <c r="T1685" s="78" t="b">
        <f t="shared" si="1340"/>
        <v>0</v>
      </c>
      <c r="U1685" s="78" t="b">
        <f t="shared" si="1341"/>
        <v>0</v>
      </c>
      <c r="V1685" s="78" t="b">
        <f t="shared" si="1342"/>
        <v>0</v>
      </c>
      <c r="W1685" s="78" t="b">
        <f t="shared" si="1343"/>
        <v>0</v>
      </c>
      <c r="X1685" s="78" t="b">
        <f t="shared" si="1344"/>
        <v>0</v>
      </c>
      <c r="Y1685" s="78" t="b">
        <f t="shared" si="1345"/>
        <v>0</v>
      </c>
      <c r="Z1685" s="78" t="b">
        <f t="shared" si="1346"/>
        <v>0</v>
      </c>
      <c r="AA1685" s="78" t="b">
        <f t="shared" si="1347"/>
        <v>0</v>
      </c>
      <c r="AB1685" s="78" t="b">
        <f t="shared" si="1348"/>
        <v>0</v>
      </c>
      <c r="AC1685" s="78" t="b">
        <f t="shared" si="1349"/>
        <v>0</v>
      </c>
      <c r="AD1685" s="78" t="b">
        <f t="shared" si="1350"/>
        <v>0</v>
      </c>
      <c r="AE1685" s="78" t="b">
        <f t="shared" si="1351"/>
        <v>0</v>
      </c>
      <c r="AF1685" s="78" t="b">
        <f t="shared" si="1352"/>
        <v>0</v>
      </c>
      <c r="AG1685" s="78" t="b">
        <f t="shared" si="1353"/>
        <v>0</v>
      </c>
      <c r="AH1685" s="78" t="b">
        <f t="shared" si="1354"/>
        <v>0</v>
      </c>
      <c r="AI1685" s="78" t="b">
        <f t="shared" si="1355"/>
        <v>0</v>
      </c>
      <c r="AJ1685" s="78" t="b">
        <f t="shared" si="1356"/>
        <v>0</v>
      </c>
      <c r="AK1685" s="78" t="b">
        <f t="shared" si="1357"/>
        <v>0</v>
      </c>
      <c r="AL1685" s="78" t="b">
        <f t="shared" si="1358"/>
        <v>0</v>
      </c>
      <c r="AM1685" s="78" t="b">
        <f t="shared" si="1359"/>
        <v>0</v>
      </c>
      <c r="AN1685" s="78" t="b">
        <f t="shared" si="1360"/>
        <v>0</v>
      </c>
      <c r="AO1685" s="78" t="b">
        <f t="shared" si="1361"/>
        <v>0</v>
      </c>
    </row>
    <row r="1686" spans="7:41" x14ac:dyDescent="0.35">
      <c r="G1686" s="77">
        <f t="shared" si="1331"/>
        <v>0</v>
      </c>
      <c r="H1686" s="78">
        <f t="shared" si="1332"/>
        <v>0</v>
      </c>
      <c r="I1686" s="77">
        <f t="shared" si="1333"/>
        <v>0</v>
      </c>
      <c r="J1686" s="78">
        <f t="shared" si="1334"/>
        <v>0</v>
      </c>
      <c r="K1686" s="78" t="str">
        <f t="shared" si="1335"/>
        <v>1900-01-00 00:0:00</v>
      </c>
      <c r="L1686" s="78" t="str">
        <f t="shared" si="1336"/>
        <v>1900-01-00 00:0:00</v>
      </c>
      <c r="M1686" s="79">
        <f t="shared" si="1337"/>
        <v>0</v>
      </c>
      <c r="N1686">
        <f t="shared" si="1362"/>
        <v>1</v>
      </c>
      <c r="O1686" t="str">
        <f>IFERROR(_xlfn.XLOOKUP(A1686,HC!A:A,HC!C:C),"")</f>
        <v>Workforce</v>
      </c>
      <c r="R1686" s="78" t="b">
        <f t="shared" si="1338"/>
        <v>0</v>
      </c>
      <c r="S1686" s="78" t="b">
        <f t="shared" si="1339"/>
        <v>0</v>
      </c>
      <c r="T1686" s="78" t="b">
        <f t="shared" si="1340"/>
        <v>0</v>
      </c>
      <c r="U1686" s="78" t="b">
        <f t="shared" si="1341"/>
        <v>0</v>
      </c>
      <c r="V1686" s="78" t="b">
        <f t="shared" si="1342"/>
        <v>0</v>
      </c>
      <c r="W1686" s="78" t="b">
        <f t="shared" si="1343"/>
        <v>0</v>
      </c>
      <c r="X1686" s="78" t="b">
        <f t="shared" si="1344"/>
        <v>0</v>
      </c>
      <c r="Y1686" s="78" t="b">
        <f t="shared" si="1345"/>
        <v>0</v>
      </c>
      <c r="Z1686" s="78" t="b">
        <f t="shared" si="1346"/>
        <v>0</v>
      </c>
      <c r="AA1686" s="78" t="b">
        <f t="shared" si="1347"/>
        <v>0</v>
      </c>
      <c r="AB1686" s="78" t="b">
        <f t="shared" si="1348"/>
        <v>0</v>
      </c>
      <c r="AC1686" s="78" t="b">
        <f t="shared" si="1349"/>
        <v>0</v>
      </c>
      <c r="AD1686" s="78" t="b">
        <f t="shared" si="1350"/>
        <v>0</v>
      </c>
      <c r="AE1686" s="78" t="b">
        <f t="shared" si="1351"/>
        <v>0</v>
      </c>
      <c r="AF1686" s="78" t="b">
        <f t="shared" si="1352"/>
        <v>0</v>
      </c>
      <c r="AG1686" s="78" t="b">
        <f t="shared" si="1353"/>
        <v>0</v>
      </c>
      <c r="AH1686" s="78" t="b">
        <f t="shared" si="1354"/>
        <v>0</v>
      </c>
      <c r="AI1686" s="78" t="b">
        <f t="shared" si="1355"/>
        <v>0</v>
      </c>
      <c r="AJ1686" s="78" t="b">
        <f t="shared" si="1356"/>
        <v>0</v>
      </c>
      <c r="AK1686" s="78" t="b">
        <f t="shared" si="1357"/>
        <v>0</v>
      </c>
      <c r="AL1686" s="78" t="b">
        <f t="shared" si="1358"/>
        <v>0</v>
      </c>
      <c r="AM1686" s="78" t="b">
        <f t="shared" si="1359"/>
        <v>0</v>
      </c>
      <c r="AN1686" s="78" t="b">
        <f t="shared" si="1360"/>
        <v>0</v>
      </c>
      <c r="AO1686" s="78" t="b">
        <f t="shared" si="1361"/>
        <v>0</v>
      </c>
    </row>
    <row r="1687" spans="7:41" x14ac:dyDescent="0.35">
      <c r="G1687" s="77">
        <f t="shared" si="1331"/>
        <v>0</v>
      </c>
      <c r="H1687" s="78">
        <f t="shared" si="1332"/>
        <v>0</v>
      </c>
      <c r="I1687" s="77">
        <f t="shared" si="1333"/>
        <v>0</v>
      </c>
      <c r="J1687" s="78">
        <f t="shared" si="1334"/>
        <v>0</v>
      </c>
      <c r="K1687" s="78" t="str">
        <f t="shared" si="1335"/>
        <v>1900-01-00 00:0:00</v>
      </c>
      <c r="L1687" s="78" t="str">
        <f t="shared" si="1336"/>
        <v>1900-01-00 00:0:00</v>
      </c>
      <c r="M1687" s="79">
        <f t="shared" si="1337"/>
        <v>0</v>
      </c>
      <c r="N1687">
        <f t="shared" si="1362"/>
        <v>1</v>
      </c>
      <c r="O1687" t="str">
        <f>IFERROR(_xlfn.XLOOKUP(A1687,HC!A:A,HC!C:C),"")</f>
        <v>Workforce</v>
      </c>
      <c r="R1687" s="78" t="b">
        <f t="shared" si="1338"/>
        <v>0</v>
      </c>
      <c r="S1687" s="78" t="b">
        <f t="shared" si="1339"/>
        <v>0</v>
      </c>
      <c r="T1687" s="78" t="b">
        <f t="shared" si="1340"/>
        <v>0</v>
      </c>
      <c r="U1687" s="78" t="b">
        <f t="shared" si="1341"/>
        <v>0</v>
      </c>
      <c r="V1687" s="78" t="b">
        <f t="shared" si="1342"/>
        <v>0</v>
      </c>
      <c r="W1687" s="78" t="b">
        <f t="shared" si="1343"/>
        <v>0</v>
      </c>
      <c r="X1687" s="78" t="b">
        <f t="shared" si="1344"/>
        <v>0</v>
      </c>
      <c r="Y1687" s="78" t="b">
        <f t="shared" si="1345"/>
        <v>0</v>
      </c>
      <c r="Z1687" s="78" t="b">
        <f t="shared" si="1346"/>
        <v>0</v>
      </c>
      <c r="AA1687" s="78" t="b">
        <f t="shared" si="1347"/>
        <v>0</v>
      </c>
      <c r="AB1687" s="78" t="b">
        <f t="shared" si="1348"/>
        <v>0</v>
      </c>
      <c r="AC1687" s="78" t="b">
        <f t="shared" si="1349"/>
        <v>0</v>
      </c>
      <c r="AD1687" s="78" t="b">
        <f t="shared" si="1350"/>
        <v>0</v>
      </c>
      <c r="AE1687" s="78" t="b">
        <f t="shared" si="1351"/>
        <v>0</v>
      </c>
      <c r="AF1687" s="78" t="b">
        <f t="shared" si="1352"/>
        <v>0</v>
      </c>
      <c r="AG1687" s="78" t="b">
        <f t="shared" si="1353"/>
        <v>0</v>
      </c>
      <c r="AH1687" s="78" t="b">
        <f t="shared" si="1354"/>
        <v>0</v>
      </c>
      <c r="AI1687" s="78" t="b">
        <f t="shared" si="1355"/>
        <v>0</v>
      </c>
      <c r="AJ1687" s="78" t="b">
        <f t="shared" si="1356"/>
        <v>0</v>
      </c>
      <c r="AK1687" s="78" t="b">
        <f t="shared" si="1357"/>
        <v>0</v>
      </c>
      <c r="AL1687" s="78" t="b">
        <f t="shared" si="1358"/>
        <v>0</v>
      </c>
      <c r="AM1687" s="78" t="b">
        <f t="shared" si="1359"/>
        <v>0</v>
      </c>
      <c r="AN1687" s="78" t="b">
        <f t="shared" si="1360"/>
        <v>0</v>
      </c>
      <c r="AO1687" s="78" t="b">
        <f t="shared" si="1361"/>
        <v>0</v>
      </c>
    </row>
    <row r="1688" spans="7:41" x14ac:dyDescent="0.35">
      <c r="G1688" s="77">
        <f t="shared" si="1331"/>
        <v>0</v>
      </c>
      <c r="H1688" s="78">
        <f t="shared" si="1332"/>
        <v>0</v>
      </c>
      <c r="I1688" s="77">
        <f t="shared" si="1333"/>
        <v>0</v>
      </c>
      <c r="J1688" s="78">
        <f t="shared" si="1334"/>
        <v>0</v>
      </c>
      <c r="K1688" s="78" t="str">
        <f t="shared" si="1335"/>
        <v>1900-01-00 00:0:00</v>
      </c>
      <c r="L1688" s="78" t="str">
        <f t="shared" si="1336"/>
        <v>1900-01-00 00:0:00</v>
      </c>
      <c r="M1688" s="79">
        <f t="shared" si="1337"/>
        <v>0</v>
      </c>
      <c r="N1688">
        <f t="shared" si="1362"/>
        <v>1</v>
      </c>
      <c r="O1688" t="str">
        <f>IFERROR(_xlfn.XLOOKUP(A1688,HC!A:A,HC!C:C),"")</f>
        <v>Workforce</v>
      </c>
      <c r="R1688" s="78" t="b">
        <f t="shared" si="1338"/>
        <v>0</v>
      </c>
      <c r="S1688" s="78" t="b">
        <f t="shared" si="1339"/>
        <v>0</v>
      </c>
      <c r="T1688" s="78" t="b">
        <f t="shared" si="1340"/>
        <v>0</v>
      </c>
      <c r="U1688" s="78" t="b">
        <f t="shared" si="1341"/>
        <v>0</v>
      </c>
      <c r="V1688" s="78" t="b">
        <f t="shared" si="1342"/>
        <v>0</v>
      </c>
      <c r="W1688" s="78" t="b">
        <f t="shared" si="1343"/>
        <v>0</v>
      </c>
      <c r="X1688" s="78" t="b">
        <f t="shared" si="1344"/>
        <v>0</v>
      </c>
      <c r="Y1688" s="78" t="b">
        <f t="shared" si="1345"/>
        <v>0</v>
      </c>
      <c r="Z1688" s="78" t="b">
        <f t="shared" si="1346"/>
        <v>0</v>
      </c>
      <c r="AA1688" s="78" t="b">
        <f t="shared" si="1347"/>
        <v>0</v>
      </c>
      <c r="AB1688" s="78" t="b">
        <f t="shared" si="1348"/>
        <v>0</v>
      </c>
      <c r="AC1688" s="78" t="b">
        <f t="shared" si="1349"/>
        <v>0</v>
      </c>
      <c r="AD1688" s="78" t="b">
        <f t="shared" si="1350"/>
        <v>0</v>
      </c>
      <c r="AE1688" s="78" t="b">
        <f t="shared" si="1351"/>
        <v>0</v>
      </c>
      <c r="AF1688" s="78" t="b">
        <f t="shared" si="1352"/>
        <v>0</v>
      </c>
      <c r="AG1688" s="78" t="b">
        <f t="shared" si="1353"/>
        <v>0</v>
      </c>
      <c r="AH1688" s="78" t="b">
        <f t="shared" si="1354"/>
        <v>0</v>
      </c>
      <c r="AI1688" s="78" t="b">
        <f t="shared" si="1355"/>
        <v>0</v>
      </c>
      <c r="AJ1688" s="78" t="b">
        <f t="shared" si="1356"/>
        <v>0</v>
      </c>
      <c r="AK1688" s="78" t="b">
        <f t="shared" si="1357"/>
        <v>0</v>
      </c>
      <c r="AL1688" s="78" t="b">
        <f t="shared" si="1358"/>
        <v>0</v>
      </c>
      <c r="AM1688" s="78" t="b">
        <f t="shared" si="1359"/>
        <v>0</v>
      </c>
      <c r="AN1688" s="78" t="b">
        <f t="shared" si="1360"/>
        <v>0</v>
      </c>
      <c r="AO1688" s="78" t="b">
        <f t="shared" si="1361"/>
        <v>0</v>
      </c>
    </row>
    <row r="1689" spans="7:41" x14ac:dyDescent="0.35">
      <c r="G1689" s="77">
        <f t="shared" si="1331"/>
        <v>0</v>
      </c>
      <c r="H1689" s="78">
        <f t="shared" si="1332"/>
        <v>0</v>
      </c>
      <c r="I1689" s="77">
        <f t="shared" si="1333"/>
        <v>0</v>
      </c>
      <c r="J1689" s="78">
        <f t="shared" si="1334"/>
        <v>0</v>
      </c>
      <c r="K1689" s="78" t="str">
        <f t="shared" si="1335"/>
        <v>1900-01-00 00:0:00</v>
      </c>
      <c r="L1689" s="78" t="str">
        <f t="shared" si="1336"/>
        <v>1900-01-00 00:0:00</v>
      </c>
      <c r="M1689" s="79">
        <f t="shared" si="1337"/>
        <v>0</v>
      </c>
      <c r="N1689">
        <f t="shared" si="1362"/>
        <v>1</v>
      </c>
      <c r="O1689" t="str">
        <f>IFERROR(_xlfn.XLOOKUP(A1689,HC!A:A,HC!C:C),"")</f>
        <v>Workforce</v>
      </c>
      <c r="R1689" s="78" t="b">
        <f t="shared" si="1338"/>
        <v>0</v>
      </c>
      <c r="S1689" s="78" t="b">
        <f t="shared" si="1339"/>
        <v>0</v>
      </c>
      <c r="T1689" s="78" t="b">
        <f t="shared" si="1340"/>
        <v>0</v>
      </c>
      <c r="U1689" s="78" t="b">
        <f t="shared" si="1341"/>
        <v>0</v>
      </c>
      <c r="V1689" s="78" t="b">
        <f t="shared" si="1342"/>
        <v>0</v>
      </c>
      <c r="W1689" s="78" t="b">
        <f t="shared" si="1343"/>
        <v>0</v>
      </c>
      <c r="X1689" s="78" t="b">
        <f t="shared" si="1344"/>
        <v>0</v>
      </c>
      <c r="Y1689" s="78" t="b">
        <f t="shared" si="1345"/>
        <v>0</v>
      </c>
      <c r="Z1689" s="78" t="b">
        <f t="shared" si="1346"/>
        <v>0</v>
      </c>
      <c r="AA1689" s="78" t="b">
        <f t="shared" si="1347"/>
        <v>0</v>
      </c>
      <c r="AB1689" s="78" t="b">
        <f t="shared" si="1348"/>
        <v>0</v>
      </c>
      <c r="AC1689" s="78" t="b">
        <f t="shared" si="1349"/>
        <v>0</v>
      </c>
      <c r="AD1689" s="78" t="b">
        <f t="shared" si="1350"/>
        <v>0</v>
      </c>
      <c r="AE1689" s="78" t="b">
        <f t="shared" si="1351"/>
        <v>0</v>
      </c>
      <c r="AF1689" s="78" t="b">
        <f t="shared" si="1352"/>
        <v>0</v>
      </c>
      <c r="AG1689" s="78" t="b">
        <f t="shared" si="1353"/>
        <v>0</v>
      </c>
      <c r="AH1689" s="78" t="b">
        <f t="shared" si="1354"/>
        <v>0</v>
      </c>
      <c r="AI1689" s="78" t="b">
        <f t="shared" si="1355"/>
        <v>0</v>
      </c>
      <c r="AJ1689" s="78" t="b">
        <f t="shared" si="1356"/>
        <v>0</v>
      </c>
      <c r="AK1689" s="78" t="b">
        <f t="shared" si="1357"/>
        <v>0</v>
      </c>
      <c r="AL1689" s="78" t="b">
        <f t="shared" si="1358"/>
        <v>0</v>
      </c>
      <c r="AM1689" s="78" t="b">
        <f t="shared" si="1359"/>
        <v>0</v>
      </c>
      <c r="AN1689" s="78" t="b">
        <f t="shared" si="1360"/>
        <v>0</v>
      </c>
      <c r="AO1689" s="78" t="b">
        <f t="shared" si="1361"/>
        <v>0</v>
      </c>
    </row>
    <row r="1690" spans="7:41" x14ac:dyDescent="0.35">
      <c r="G1690" s="77">
        <f t="shared" si="1331"/>
        <v>0</v>
      </c>
      <c r="H1690" s="78">
        <f t="shared" si="1332"/>
        <v>0</v>
      </c>
      <c r="I1690" s="77">
        <f t="shared" si="1333"/>
        <v>0</v>
      </c>
      <c r="J1690" s="78">
        <f t="shared" si="1334"/>
        <v>0</v>
      </c>
      <c r="K1690" s="78" t="str">
        <f t="shared" si="1335"/>
        <v>1900-01-00 00:0:00</v>
      </c>
      <c r="L1690" s="78" t="str">
        <f t="shared" si="1336"/>
        <v>1900-01-00 00:0:00</v>
      </c>
      <c r="M1690" s="79">
        <f t="shared" si="1337"/>
        <v>0</v>
      </c>
      <c r="N1690">
        <f t="shared" si="1362"/>
        <v>1</v>
      </c>
      <c r="O1690" t="str">
        <f>IFERROR(_xlfn.XLOOKUP(A1690,HC!A:A,HC!C:C),"")</f>
        <v>Workforce</v>
      </c>
      <c r="R1690" s="78" t="b">
        <f t="shared" si="1338"/>
        <v>0</v>
      </c>
      <c r="S1690" s="78" t="b">
        <f t="shared" si="1339"/>
        <v>0</v>
      </c>
      <c r="T1690" s="78" t="b">
        <f t="shared" si="1340"/>
        <v>0</v>
      </c>
      <c r="U1690" s="78" t="b">
        <f t="shared" si="1341"/>
        <v>0</v>
      </c>
      <c r="V1690" s="78" t="b">
        <f t="shared" si="1342"/>
        <v>0</v>
      </c>
      <c r="W1690" s="78" t="b">
        <f t="shared" si="1343"/>
        <v>0</v>
      </c>
      <c r="X1690" s="78" t="b">
        <f t="shared" si="1344"/>
        <v>0</v>
      </c>
      <c r="Y1690" s="78" t="b">
        <f t="shared" si="1345"/>
        <v>0</v>
      </c>
      <c r="Z1690" s="78" t="b">
        <f t="shared" si="1346"/>
        <v>0</v>
      </c>
      <c r="AA1690" s="78" t="b">
        <f t="shared" si="1347"/>
        <v>0</v>
      </c>
      <c r="AB1690" s="78" t="b">
        <f t="shared" si="1348"/>
        <v>0</v>
      </c>
      <c r="AC1690" s="78" t="b">
        <f t="shared" si="1349"/>
        <v>0</v>
      </c>
      <c r="AD1690" s="78" t="b">
        <f t="shared" si="1350"/>
        <v>0</v>
      </c>
      <c r="AE1690" s="78" t="b">
        <f t="shared" si="1351"/>
        <v>0</v>
      </c>
      <c r="AF1690" s="78" t="b">
        <f t="shared" si="1352"/>
        <v>0</v>
      </c>
      <c r="AG1690" s="78" t="b">
        <f t="shared" si="1353"/>
        <v>0</v>
      </c>
      <c r="AH1690" s="78" t="b">
        <f t="shared" si="1354"/>
        <v>0</v>
      </c>
      <c r="AI1690" s="78" t="b">
        <f t="shared" si="1355"/>
        <v>0</v>
      </c>
      <c r="AJ1690" s="78" t="b">
        <f t="shared" si="1356"/>
        <v>0</v>
      </c>
      <c r="AK1690" s="78" t="b">
        <f t="shared" si="1357"/>
        <v>0</v>
      </c>
      <c r="AL1690" s="78" t="b">
        <f t="shared" si="1358"/>
        <v>0</v>
      </c>
      <c r="AM1690" s="78" t="b">
        <f t="shared" si="1359"/>
        <v>0</v>
      </c>
      <c r="AN1690" s="78" t="b">
        <f t="shared" si="1360"/>
        <v>0</v>
      </c>
      <c r="AO1690" s="78" t="b">
        <f t="shared" si="1361"/>
        <v>0</v>
      </c>
    </row>
    <row r="1691" spans="7:41" x14ac:dyDescent="0.35">
      <c r="G1691" s="77">
        <f t="shared" si="1331"/>
        <v>0</v>
      </c>
      <c r="H1691" s="78">
        <f t="shared" si="1332"/>
        <v>0</v>
      </c>
      <c r="I1691" s="77">
        <f t="shared" si="1333"/>
        <v>0</v>
      </c>
      <c r="J1691" s="78">
        <f t="shared" si="1334"/>
        <v>0</v>
      </c>
      <c r="K1691" s="78" t="str">
        <f t="shared" si="1335"/>
        <v>1900-01-00 00:0:00</v>
      </c>
      <c r="L1691" s="78" t="str">
        <f t="shared" si="1336"/>
        <v>1900-01-00 00:0:00</v>
      </c>
      <c r="M1691" s="79">
        <f t="shared" si="1337"/>
        <v>0</v>
      </c>
      <c r="N1691">
        <f t="shared" si="1362"/>
        <v>1</v>
      </c>
      <c r="O1691" t="str">
        <f>IFERROR(_xlfn.XLOOKUP(A1691,HC!A:A,HC!C:C),"")</f>
        <v>Workforce</v>
      </c>
      <c r="R1691" s="78" t="b">
        <f t="shared" si="1338"/>
        <v>0</v>
      </c>
      <c r="S1691" s="78" t="b">
        <f t="shared" si="1339"/>
        <v>0</v>
      </c>
      <c r="T1691" s="78" t="b">
        <f t="shared" si="1340"/>
        <v>0</v>
      </c>
      <c r="U1691" s="78" t="b">
        <f t="shared" si="1341"/>
        <v>0</v>
      </c>
      <c r="V1691" s="78" t="b">
        <f t="shared" si="1342"/>
        <v>0</v>
      </c>
      <c r="W1691" s="78" t="b">
        <f t="shared" si="1343"/>
        <v>0</v>
      </c>
      <c r="X1691" s="78" t="b">
        <f t="shared" si="1344"/>
        <v>0</v>
      </c>
      <c r="Y1691" s="78" t="b">
        <f t="shared" si="1345"/>
        <v>0</v>
      </c>
      <c r="Z1691" s="78" t="b">
        <f t="shared" si="1346"/>
        <v>0</v>
      </c>
      <c r="AA1691" s="78" t="b">
        <f t="shared" si="1347"/>
        <v>0</v>
      </c>
      <c r="AB1691" s="78" t="b">
        <f t="shared" si="1348"/>
        <v>0</v>
      </c>
      <c r="AC1691" s="78" t="b">
        <f t="shared" si="1349"/>
        <v>0</v>
      </c>
      <c r="AD1691" s="78" t="b">
        <f t="shared" si="1350"/>
        <v>0</v>
      </c>
      <c r="AE1691" s="78" t="b">
        <f t="shared" si="1351"/>
        <v>0</v>
      </c>
      <c r="AF1691" s="78" t="b">
        <f t="shared" si="1352"/>
        <v>0</v>
      </c>
      <c r="AG1691" s="78" t="b">
        <f t="shared" si="1353"/>
        <v>0</v>
      </c>
      <c r="AH1691" s="78" t="b">
        <f t="shared" si="1354"/>
        <v>0</v>
      </c>
      <c r="AI1691" s="78" t="b">
        <f t="shared" si="1355"/>
        <v>0</v>
      </c>
      <c r="AJ1691" s="78" t="b">
        <f t="shared" si="1356"/>
        <v>0</v>
      </c>
      <c r="AK1691" s="78" t="b">
        <f t="shared" si="1357"/>
        <v>0</v>
      </c>
      <c r="AL1691" s="78" t="b">
        <f t="shared" si="1358"/>
        <v>0</v>
      </c>
      <c r="AM1691" s="78" t="b">
        <f t="shared" si="1359"/>
        <v>0</v>
      </c>
      <c r="AN1691" s="78" t="b">
        <f t="shared" si="1360"/>
        <v>0</v>
      </c>
      <c r="AO1691" s="78" t="b">
        <f t="shared" si="1361"/>
        <v>0</v>
      </c>
    </row>
    <row r="1692" spans="7:41" x14ac:dyDescent="0.35">
      <c r="G1692" s="77">
        <f t="shared" si="1331"/>
        <v>0</v>
      </c>
      <c r="H1692" s="78">
        <f t="shared" si="1332"/>
        <v>0</v>
      </c>
      <c r="I1692" s="77">
        <f t="shared" si="1333"/>
        <v>0</v>
      </c>
      <c r="J1692" s="78">
        <f t="shared" si="1334"/>
        <v>0</v>
      </c>
      <c r="K1692" s="78" t="str">
        <f t="shared" si="1335"/>
        <v>1900-01-00 00:0:00</v>
      </c>
      <c r="L1692" s="78" t="str">
        <f t="shared" si="1336"/>
        <v>1900-01-00 00:0:00</v>
      </c>
      <c r="M1692" s="79">
        <f t="shared" si="1337"/>
        <v>0</v>
      </c>
      <c r="N1692">
        <f t="shared" si="1362"/>
        <v>1</v>
      </c>
      <c r="O1692" t="str">
        <f>IFERROR(_xlfn.XLOOKUP(A1692,HC!A:A,HC!C:C),"")</f>
        <v>Workforce</v>
      </c>
      <c r="R1692" s="78" t="b">
        <f t="shared" si="1338"/>
        <v>0</v>
      </c>
      <c r="S1692" s="78" t="b">
        <f t="shared" si="1339"/>
        <v>0</v>
      </c>
      <c r="T1692" s="78" t="b">
        <f t="shared" si="1340"/>
        <v>0</v>
      </c>
      <c r="U1692" s="78" t="b">
        <f t="shared" si="1341"/>
        <v>0</v>
      </c>
      <c r="V1692" s="78" t="b">
        <f t="shared" si="1342"/>
        <v>0</v>
      </c>
      <c r="W1692" s="78" t="b">
        <f t="shared" si="1343"/>
        <v>0</v>
      </c>
      <c r="X1692" s="78" t="b">
        <f t="shared" si="1344"/>
        <v>0</v>
      </c>
      <c r="Y1692" s="78" t="b">
        <f t="shared" si="1345"/>
        <v>0</v>
      </c>
      <c r="Z1692" s="78" t="b">
        <f t="shared" si="1346"/>
        <v>0</v>
      </c>
      <c r="AA1692" s="78" t="b">
        <f t="shared" si="1347"/>
        <v>0</v>
      </c>
      <c r="AB1692" s="78" t="b">
        <f t="shared" si="1348"/>
        <v>0</v>
      </c>
      <c r="AC1692" s="78" t="b">
        <f t="shared" si="1349"/>
        <v>0</v>
      </c>
      <c r="AD1692" s="78" t="b">
        <f t="shared" si="1350"/>
        <v>0</v>
      </c>
      <c r="AE1692" s="78" t="b">
        <f t="shared" si="1351"/>
        <v>0</v>
      </c>
      <c r="AF1692" s="78" t="b">
        <f t="shared" si="1352"/>
        <v>0</v>
      </c>
      <c r="AG1692" s="78" t="b">
        <f t="shared" si="1353"/>
        <v>0</v>
      </c>
      <c r="AH1692" s="78" t="b">
        <f t="shared" si="1354"/>
        <v>0</v>
      </c>
      <c r="AI1692" s="78" t="b">
        <f t="shared" si="1355"/>
        <v>0</v>
      </c>
      <c r="AJ1692" s="78" t="b">
        <f t="shared" si="1356"/>
        <v>0</v>
      </c>
      <c r="AK1692" s="78" t="b">
        <f t="shared" si="1357"/>
        <v>0</v>
      </c>
      <c r="AL1692" s="78" t="b">
        <f t="shared" si="1358"/>
        <v>0</v>
      </c>
      <c r="AM1692" s="78" t="b">
        <f t="shared" si="1359"/>
        <v>0</v>
      </c>
      <c r="AN1692" s="78" t="b">
        <f t="shared" si="1360"/>
        <v>0</v>
      </c>
      <c r="AO1692" s="78" t="b">
        <f t="shared" si="1361"/>
        <v>0</v>
      </c>
    </row>
    <row r="1693" spans="7:41" x14ac:dyDescent="0.35">
      <c r="G1693" s="77">
        <f t="shared" si="1331"/>
        <v>0</v>
      </c>
      <c r="H1693" s="78">
        <f t="shared" si="1332"/>
        <v>0</v>
      </c>
      <c r="I1693" s="77">
        <f t="shared" si="1333"/>
        <v>0</v>
      </c>
      <c r="J1693" s="78">
        <f t="shared" si="1334"/>
        <v>0</v>
      </c>
      <c r="K1693" s="78" t="str">
        <f t="shared" si="1335"/>
        <v>1900-01-00 00:0:00</v>
      </c>
      <c r="L1693" s="78" t="str">
        <f t="shared" si="1336"/>
        <v>1900-01-00 00:0:00</v>
      </c>
      <c r="M1693" s="79">
        <f t="shared" si="1337"/>
        <v>0</v>
      </c>
      <c r="N1693">
        <f t="shared" si="1362"/>
        <v>1</v>
      </c>
      <c r="O1693" t="str">
        <f>IFERROR(_xlfn.XLOOKUP(A1693,HC!A:A,HC!C:C),"")</f>
        <v>Workforce</v>
      </c>
      <c r="R1693" s="78" t="b">
        <f t="shared" si="1338"/>
        <v>0</v>
      </c>
      <c r="S1693" s="78" t="b">
        <f t="shared" si="1339"/>
        <v>0</v>
      </c>
      <c r="T1693" s="78" t="b">
        <f t="shared" si="1340"/>
        <v>0</v>
      </c>
      <c r="U1693" s="78" t="b">
        <f t="shared" si="1341"/>
        <v>0</v>
      </c>
      <c r="V1693" s="78" t="b">
        <f t="shared" si="1342"/>
        <v>0</v>
      </c>
      <c r="W1693" s="78" t="b">
        <f t="shared" si="1343"/>
        <v>0</v>
      </c>
      <c r="X1693" s="78" t="b">
        <f t="shared" si="1344"/>
        <v>0</v>
      </c>
      <c r="Y1693" s="78" t="b">
        <f t="shared" si="1345"/>
        <v>0</v>
      </c>
      <c r="Z1693" s="78" t="b">
        <f t="shared" si="1346"/>
        <v>0</v>
      </c>
      <c r="AA1693" s="78" t="b">
        <f t="shared" si="1347"/>
        <v>0</v>
      </c>
      <c r="AB1693" s="78" t="b">
        <f t="shared" si="1348"/>
        <v>0</v>
      </c>
      <c r="AC1693" s="78" t="b">
        <f t="shared" si="1349"/>
        <v>0</v>
      </c>
      <c r="AD1693" s="78" t="b">
        <f t="shared" si="1350"/>
        <v>0</v>
      </c>
      <c r="AE1693" s="78" t="b">
        <f t="shared" si="1351"/>
        <v>0</v>
      </c>
      <c r="AF1693" s="78" t="b">
        <f t="shared" si="1352"/>
        <v>0</v>
      </c>
      <c r="AG1693" s="78" t="b">
        <f t="shared" si="1353"/>
        <v>0</v>
      </c>
      <c r="AH1693" s="78" t="b">
        <f t="shared" si="1354"/>
        <v>0</v>
      </c>
      <c r="AI1693" s="78" t="b">
        <f t="shared" si="1355"/>
        <v>0</v>
      </c>
      <c r="AJ1693" s="78" t="b">
        <f t="shared" si="1356"/>
        <v>0</v>
      </c>
      <c r="AK1693" s="78" t="b">
        <f t="shared" si="1357"/>
        <v>0</v>
      </c>
      <c r="AL1693" s="78" t="b">
        <f t="shared" si="1358"/>
        <v>0</v>
      </c>
      <c r="AM1693" s="78" t="b">
        <f t="shared" si="1359"/>
        <v>0</v>
      </c>
      <c r="AN1693" s="78" t="b">
        <f t="shared" si="1360"/>
        <v>0</v>
      </c>
      <c r="AO1693" s="78" t="b">
        <f t="shared" si="1361"/>
        <v>0</v>
      </c>
    </row>
    <row r="1694" spans="7:41" x14ac:dyDescent="0.35">
      <c r="G1694" s="77">
        <f t="shared" si="1331"/>
        <v>0</v>
      </c>
      <c r="H1694" s="78">
        <f t="shared" si="1332"/>
        <v>0</v>
      </c>
      <c r="I1694" s="77">
        <f t="shared" si="1333"/>
        <v>0</v>
      </c>
      <c r="J1694" s="78">
        <f t="shared" si="1334"/>
        <v>0</v>
      </c>
      <c r="K1694" s="78" t="str">
        <f t="shared" si="1335"/>
        <v>1900-01-00 00:0:00</v>
      </c>
      <c r="L1694" s="78" t="str">
        <f t="shared" si="1336"/>
        <v>1900-01-00 00:0:00</v>
      </c>
      <c r="M1694" s="79">
        <f t="shared" si="1337"/>
        <v>0</v>
      </c>
      <c r="N1694">
        <f t="shared" si="1362"/>
        <v>1</v>
      </c>
      <c r="O1694" t="str">
        <f>IFERROR(_xlfn.XLOOKUP(A1694,HC!A:A,HC!C:C),"")</f>
        <v>Workforce</v>
      </c>
      <c r="R1694" s="78" t="b">
        <f t="shared" si="1338"/>
        <v>0</v>
      </c>
      <c r="S1694" s="78" t="b">
        <f t="shared" si="1339"/>
        <v>0</v>
      </c>
      <c r="T1694" s="78" t="b">
        <f t="shared" si="1340"/>
        <v>0</v>
      </c>
      <c r="U1694" s="78" t="b">
        <f t="shared" si="1341"/>
        <v>0</v>
      </c>
      <c r="V1694" s="78" t="b">
        <f t="shared" si="1342"/>
        <v>0</v>
      </c>
      <c r="W1694" s="78" t="b">
        <f t="shared" si="1343"/>
        <v>0</v>
      </c>
      <c r="X1694" s="78" t="b">
        <f t="shared" si="1344"/>
        <v>0</v>
      </c>
      <c r="Y1694" s="78" t="b">
        <f t="shared" si="1345"/>
        <v>0</v>
      </c>
      <c r="Z1694" s="78" t="b">
        <f t="shared" si="1346"/>
        <v>0</v>
      </c>
      <c r="AA1694" s="78" t="b">
        <f t="shared" si="1347"/>
        <v>0</v>
      </c>
      <c r="AB1694" s="78" t="b">
        <f t="shared" si="1348"/>
        <v>0</v>
      </c>
      <c r="AC1694" s="78" t="b">
        <f t="shared" si="1349"/>
        <v>0</v>
      </c>
      <c r="AD1694" s="78" t="b">
        <f t="shared" si="1350"/>
        <v>0</v>
      </c>
      <c r="AE1694" s="78" t="b">
        <f t="shared" si="1351"/>
        <v>0</v>
      </c>
      <c r="AF1694" s="78" t="b">
        <f t="shared" si="1352"/>
        <v>0</v>
      </c>
      <c r="AG1694" s="78" t="b">
        <f t="shared" si="1353"/>
        <v>0</v>
      </c>
      <c r="AH1694" s="78" t="b">
        <f t="shared" si="1354"/>
        <v>0</v>
      </c>
      <c r="AI1694" s="78" t="b">
        <f t="shared" si="1355"/>
        <v>0</v>
      </c>
      <c r="AJ1694" s="78" t="b">
        <f t="shared" si="1356"/>
        <v>0</v>
      </c>
      <c r="AK1694" s="78" t="b">
        <f t="shared" si="1357"/>
        <v>0</v>
      </c>
      <c r="AL1694" s="78" t="b">
        <f t="shared" si="1358"/>
        <v>0</v>
      </c>
      <c r="AM1694" s="78" t="b">
        <f t="shared" si="1359"/>
        <v>0</v>
      </c>
      <c r="AN1694" s="78" t="b">
        <f t="shared" si="1360"/>
        <v>0</v>
      </c>
      <c r="AO1694" s="78" t="b">
        <f t="shared" si="1361"/>
        <v>0</v>
      </c>
    </row>
    <row r="1695" spans="7:41" x14ac:dyDescent="0.35">
      <c r="G1695" s="77">
        <f t="shared" si="1331"/>
        <v>0</v>
      </c>
      <c r="H1695" s="78">
        <f t="shared" si="1332"/>
        <v>0</v>
      </c>
      <c r="I1695" s="77">
        <f t="shared" si="1333"/>
        <v>0</v>
      </c>
      <c r="J1695" s="78">
        <f t="shared" si="1334"/>
        <v>0</v>
      </c>
      <c r="K1695" s="78" t="str">
        <f t="shared" si="1335"/>
        <v>1900-01-00 00:0:00</v>
      </c>
      <c r="L1695" s="78" t="str">
        <f t="shared" si="1336"/>
        <v>1900-01-00 00:0:00</v>
      </c>
      <c r="M1695" s="79">
        <f t="shared" si="1337"/>
        <v>0</v>
      </c>
      <c r="N1695">
        <f t="shared" si="1362"/>
        <v>1</v>
      </c>
      <c r="O1695" t="str">
        <f>IFERROR(_xlfn.XLOOKUP(A1695,HC!A:A,HC!C:C),"")</f>
        <v>Workforce</v>
      </c>
      <c r="R1695" s="78" t="b">
        <f t="shared" si="1338"/>
        <v>0</v>
      </c>
      <c r="S1695" s="78" t="b">
        <f t="shared" si="1339"/>
        <v>0</v>
      </c>
      <c r="T1695" s="78" t="b">
        <f t="shared" si="1340"/>
        <v>0</v>
      </c>
      <c r="U1695" s="78" t="b">
        <f t="shared" si="1341"/>
        <v>0</v>
      </c>
      <c r="V1695" s="78" t="b">
        <f t="shared" si="1342"/>
        <v>0</v>
      </c>
      <c r="W1695" s="78" t="b">
        <f t="shared" si="1343"/>
        <v>0</v>
      </c>
      <c r="X1695" s="78" t="b">
        <f t="shared" si="1344"/>
        <v>0</v>
      </c>
      <c r="Y1695" s="78" t="b">
        <f t="shared" si="1345"/>
        <v>0</v>
      </c>
      <c r="Z1695" s="78" t="b">
        <f t="shared" si="1346"/>
        <v>0</v>
      </c>
      <c r="AA1695" s="78" t="b">
        <f t="shared" si="1347"/>
        <v>0</v>
      </c>
      <c r="AB1695" s="78" t="b">
        <f t="shared" si="1348"/>
        <v>0</v>
      </c>
      <c r="AC1695" s="78" t="b">
        <f t="shared" si="1349"/>
        <v>0</v>
      </c>
      <c r="AD1695" s="78" t="b">
        <f t="shared" si="1350"/>
        <v>0</v>
      </c>
      <c r="AE1695" s="78" t="b">
        <f t="shared" si="1351"/>
        <v>0</v>
      </c>
      <c r="AF1695" s="78" t="b">
        <f t="shared" si="1352"/>
        <v>0</v>
      </c>
      <c r="AG1695" s="78" t="b">
        <f t="shared" si="1353"/>
        <v>0</v>
      </c>
      <c r="AH1695" s="78" t="b">
        <f t="shared" si="1354"/>
        <v>0</v>
      </c>
      <c r="AI1695" s="78" t="b">
        <f t="shared" si="1355"/>
        <v>0</v>
      </c>
      <c r="AJ1695" s="78" t="b">
        <f t="shared" si="1356"/>
        <v>0</v>
      </c>
      <c r="AK1695" s="78" t="b">
        <f t="shared" si="1357"/>
        <v>0</v>
      </c>
      <c r="AL1695" s="78" t="b">
        <f t="shared" si="1358"/>
        <v>0</v>
      </c>
      <c r="AM1695" s="78" t="b">
        <f t="shared" si="1359"/>
        <v>0</v>
      </c>
      <c r="AN1695" s="78" t="b">
        <f t="shared" si="1360"/>
        <v>0</v>
      </c>
      <c r="AO1695" s="78" t="b">
        <f t="shared" si="1361"/>
        <v>0</v>
      </c>
    </row>
    <row r="1696" spans="7:41" x14ac:dyDescent="0.35">
      <c r="G1696" s="77">
        <f t="shared" si="1331"/>
        <v>0</v>
      </c>
      <c r="H1696" s="78">
        <f t="shared" si="1332"/>
        <v>0</v>
      </c>
      <c r="I1696" s="77">
        <f t="shared" si="1333"/>
        <v>0</v>
      </c>
      <c r="J1696" s="78">
        <f t="shared" si="1334"/>
        <v>0</v>
      </c>
      <c r="K1696" s="78" t="str">
        <f t="shared" si="1335"/>
        <v>1900-01-00 00:0:00</v>
      </c>
      <c r="L1696" s="78" t="str">
        <f t="shared" si="1336"/>
        <v>1900-01-00 00:0:00</v>
      </c>
      <c r="M1696" s="79">
        <f t="shared" si="1337"/>
        <v>0</v>
      </c>
      <c r="N1696">
        <f t="shared" si="1362"/>
        <v>1</v>
      </c>
      <c r="O1696" t="str">
        <f>IFERROR(_xlfn.XLOOKUP(A1696,HC!A:A,HC!C:C),"")</f>
        <v>Workforce</v>
      </c>
      <c r="R1696" s="78" t="b">
        <f t="shared" si="1338"/>
        <v>0</v>
      </c>
      <c r="S1696" s="78" t="b">
        <f t="shared" si="1339"/>
        <v>0</v>
      </c>
      <c r="T1696" s="78" t="b">
        <f t="shared" si="1340"/>
        <v>0</v>
      </c>
      <c r="U1696" s="78" t="b">
        <f t="shared" si="1341"/>
        <v>0</v>
      </c>
      <c r="V1696" s="78" t="b">
        <f t="shared" si="1342"/>
        <v>0</v>
      </c>
      <c r="W1696" s="78" t="b">
        <f t="shared" si="1343"/>
        <v>0</v>
      </c>
      <c r="X1696" s="78" t="b">
        <f t="shared" si="1344"/>
        <v>0</v>
      </c>
      <c r="Y1696" s="78" t="b">
        <f t="shared" si="1345"/>
        <v>0</v>
      </c>
      <c r="Z1696" s="78" t="b">
        <f t="shared" si="1346"/>
        <v>0</v>
      </c>
      <c r="AA1696" s="78" t="b">
        <f t="shared" si="1347"/>
        <v>0</v>
      </c>
      <c r="AB1696" s="78" t="b">
        <f t="shared" si="1348"/>
        <v>0</v>
      </c>
      <c r="AC1696" s="78" t="b">
        <f t="shared" si="1349"/>
        <v>0</v>
      </c>
      <c r="AD1696" s="78" t="b">
        <f t="shared" si="1350"/>
        <v>0</v>
      </c>
      <c r="AE1696" s="78" t="b">
        <f t="shared" si="1351"/>
        <v>0</v>
      </c>
      <c r="AF1696" s="78" t="b">
        <f t="shared" si="1352"/>
        <v>0</v>
      </c>
      <c r="AG1696" s="78" t="b">
        <f t="shared" si="1353"/>
        <v>0</v>
      </c>
      <c r="AH1696" s="78" t="b">
        <f t="shared" si="1354"/>
        <v>0</v>
      </c>
      <c r="AI1696" s="78" t="b">
        <f t="shared" si="1355"/>
        <v>0</v>
      </c>
      <c r="AJ1696" s="78" t="b">
        <f t="shared" si="1356"/>
        <v>0</v>
      </c>
      <c r="AK1696" s="78" t="b">
        <f t="shared" si="1357"/>
        <v>0</v>
      </c>
      <c r="AL1696" s="78" t="b">
        <f t="shared" si="1358"/>
        <v>0</v>
      </c>
      <c r="AM1696" s="78" t="b">
        <f t="shared" si="1359"/>
        <v>0</v>
      </c>
      <c r="AN1696" s="78" t="b">
        <f t="shared" si="1360"/>
        <v>0</v>
      </c>
      <c r="AO1696" s="78" t="b">
        <f t="shared" si="1361"/>
        <v>0</v>
      </c>
    </row>
    <row r="1697" spans="7:41" x14ac:dyDescent="0.35">
      <c r="G1697" s="77">
        <f t="shared" si="1331"/>
        <v>0</v>
      </c>
      <c r="H1697" s="78">
        <f t="shared" si="1332"/>
        <v>0</v>
      </c>
      <c r="I1697" s="77">
        <f t="shared" si="1333"/>
        <v>0</v>
      </c>
      <c r="J1697" s="78">
        <f t="shared" si="1334"/>
        <v>0</v>
      </c>
      <c r="K1697" s="78" t="str">
        <f t="shared" si="1335"/>
        <v>1900-01-00 00:0:00</v>
      </c>
      <c r="L1697" s="78" t="str">
        <f t="shared" si="1336"/>
        <v>1900-01-00 00:0:00</v>
      </c>
      <c r="M1697" s="79">
        <f t="shared" si="1337"/>
        <v>0</v>
      </c>
      <c r="N1697">
        <f t="shared" si="1362"/>
        <v>1</v>
      </c>
      <c r="O1697" t="str">
        <f>IFERROR(_xlfn.XLOOKUP(A1697,HC!A:A,HC!C:C),"")</f>
        <v>Workforce</v>
      </c>
      <c r="R1697" s="78" t="b">
        <f t="shared" si="1338"/>
        <v>0</v>
      </c>
      <c r="S1697" s="78" t="b">
        <f t="shared" si="1339"/>
        <v>0</v>
      </c>
      <c r="T1697" s="78" t="b">
        <f t="shared" si="1340"/>
        <v>0</v>
      </c>
      <c r="U1697" s="78" t="b">
        <f t="shared" si="1341"/>
        <v>0</v>
      </c>
      <c r="V1697" s="78" t="b">
        <f t="shared" si="1342"/>
        <v>0</v>
      </c>
      <c r="W1697" s="78" t="b">
        <f t="shared" si="1343"/>
        <v>0</v>
      </c>
      <c r="X1697" s="78" t="b">
        <f t="shared" si="1344"/>
        <v>0</v>
      </c>
      <c r="Y1697" s="78" t="b">
        <f t="shared" si="1345"/>
        <v>0</v>
      </c>
      <c r="Z1697" s="78" t="b">
        <f t="shared" si="1346"/>
        <v>0</v>
      </c>
      <c r="AA1697" s="78" t="b">
        <f t="shared" si="1347"/>
        <v>0</v>
      </c>
      <c r="AB1697" s="78" t="b">
        <f t="shared" si="1348"/>
        <v>0</v>
      </c>
      <c r="AC1697" s="78" t="b">
        <f t="shared" si="1349"/>
        <v>0</v>
      </c>
      <c r="AD1697" s="78" t="b">
        <f t="shared" si="1350"/>
        <v>0</v>
      </c>
      <c r="AE1697" s="78" t="b">
        <f t="shared" si="1351"/>
        <v>0</v>
      </c>
      <c r="AF1697" s="78" t="b">
        <f t="shared" si="1352"/>
        <v>0</v>
      </c>
      <c r="AG1697" s="78" t="b">
        <f t="shared" si="1353"/>
        <v>0</v>
      </c>
      <c r="AH1697" s="78" t="b">
        <f t="shared" si="1354"/>
        <v>0</v>
      </c>
      <c r="AI1697" s="78" t="b">
        <f t="shared" si="1355"/>
        <v>0</v>
      </c>
      <c r="AJ1697" s="78" t="b">
        <f t="shared" si="1356"/>
        <v>0</v>
      </c>
      <c r="AK1697" s="78" t="b">
        <f t="shared" si="1357"/>
        <v>0</v>
      </c>
      <c r="AL1697" s="78" t="b">
        <f t="shared" si="1358"/>
        <v>0</v>
      </c>
      <c r="AM1697" s="78" t="b">
        <f t="shared" si="1359"/>
        <v>0</v>
      </c>
      <c r="AN1697" s="78" t="b">
        <f t="shared" si="1360"/>
        <v>0</v>
      </c>
      <c r="AO1697" s="78" t="b">
        <f t="shared" si="1361"/>
        <v>0</v>
      </c>
    </row>
    <row r="1698" spans="7:41" x14ac:dyDescent="0.35">
      <c r="G1698" s="77">
        <f t="shared" si="1331"/>
        <v>0</v>
      </c>
      <c r="H1698" s="78">
        <f t="shared" si="1332"/>
        <v>0</v>
      </c>
      <c r="I1698" s="77">
        <f t="shared" si="1333"/>
        <v>0</v>
      </c>
      <c r="J1698" s="78">
        <f t="shared" si="1334"/>
        <v>0</v>
      </c>
      <c r="K1698" s="78" t="str">
        <f t="shared" si="1335"/>
        <v>1900-01-00 00:0:00</v>
      </c>
      <c r="L1698" s="78" t="str">
        <f t="shared" si="1336"/>
        <v>1900-01-00 00:0:00</v>
      </c>
      <c r="M1698" s="79">
        <f t="shared" si="1337"/>
        <v>0</v>
      </c>
      <c r="N1698">
        <f t="shared" si="1362"/>
        <v>1</v>
      </c>
      <c r="O1698" t="str">
        <f>IFERROR(_xlfn.XLOOKUP(A1698,HC!A:A,HC!C:C),"")</f>
        <v>Workforce</v>
      </c>
      <c r="R1698" s="78" t="b">
        <f t="shared" si="1338"/>
        <v>0</v>
      </c>
      <c r="S1698" s="78" t="b">
        <f t="shared" si="1339"/>
        <v>0</v>
      </c>
      <c r="T1698" s="78" t="b">
        <f t="shared" si="1340"/>
        <v>0</v>
      </c>
      <c r="U1698" s="78" t="b">
        <f t="shared" si="1341"/>
        <v>0</v>
      </c>
      <c r="V1698" s="78" t="b">
        <f t="shared" si="1342"/>
        <v>0</v>
      </c>
      <c r="W1698" s="78" t="b">
        <f t="shared" si="1343"/>
        <v>0</v>
      </c>
      <c r="X1698" s="78" t="b">
        <f t="shared" si="1344"/>
        <v>0</v>
      </c>
      <c r="Y1698" s="78" t="b">
        <f t="shared" si="1345"/>
        <v>0</v>
      </c>
      <c r="Z1698" s="78" t="b">
        <f t="shared" si="1346"/>
        <v>0</v>
      </c>
      <c r="AA1698" s="78" t="b">
        <f t="shared" si="1347"/>
        <v>0</v>
      </c>
      <c r="AB1698" s="78" t="b">
        <f t="shared" si="1348"/>
        <v>0</v>
      </c>
      <c r="AC1698" s="78" t="b">
        <f t="shared" si="1349"/>
        <v>0</v>
      </c>
      <c r="AD1698" s="78" t="b">
        <f t="shared" si="1350"/>
        <v>0</v>
      </c>
      <c r="AE1698" s="78" t="b">
        <f t="shared" si="1351"/>
        <v>0</v>
      </c>
      <c r="AF1698" s="78" t="b">
        <f t="shared" si="1352"/>
        <v>0</v>
      </c>
      <c r="AG1698" s="78" t="b">
        <f t="shared" si="1353"/>
        <v>0</v>
      </c>
      <c r="AH1698" s="78" t="b">
        <f t="shared" si="1354"/>
        <v>0</v>
      </c>
      <c r="AI1698" s="78" t="b">
        <f t="shared" si="1355"/>
        <v>0</v>
      </c>
      <c r="AJ1698" s="78" t="b">
        <f t="shared" si="1356"/>
        <v>0</v>
      </c>
      <c r="AK1698" s="78" t="b">
        <f t="shared" si="1357"/>
        <v>0</v>
      </c>
      <c r="AL1698" s="78" t="b">
        <f t="shared" si="1358"/>
        <v>0</v>
      </c>
      <c r="AM1698" s="78" t="b">
        <f t="shared" si="1359"/>
        <v>0</v>
      </c>
      <c r="AN1698" s="78" t="b">
        <f t="shared" si="1360"/>
        <v>0</v>
      </c>
      <c r="AO1698" s="78" t="b">
        <f t="shared" si="1361"/>
        <v>0</v>
      </c>
    </row>
    <row r="1699" spans="7:41" x14ac:dyDescent="0.35">
      <c r="G1699" s="77">
        <f t="shared" si="1331"/>
        <v>0</v>
      </c>
      <c r="H1699" s="78">
        <f t="shared" si="1332"/>
        <v>0</v>
      </c>
      <c r="I1699" s="77">
        <f t="shared" si="1333"/>
        <v>0</v>
      </c>
      <c r="J1699" s="78">
        <f t="shared" si="1334"/>
        <v>0</v>
      </c>
      <c r="K1699" s="78" t="str">
        <f t="shared" si="1335"/>
        <v>1900-01-00 00:0:00</v>
      </c>
      <c r="L1699" s="78" t="str">
        <f t="shared" si="1336"/>
        <v>1900-01-00 00:0:00</v>
      </c>
      <c r="M1699" s="79">
        <f t="shared" si="1337"/>
        <v>0</v>
      </c>
      <c r="N1699">
        <f t="shared" si="1362"/>
        <v>1</v>
      </c>
      <c r="O1699" t="str">
        <f>IFERROR(_xlfn.XLOOKUP(A1699,HC!A:A,HC!C:C),"")</f>
        <v>Workforce</v>
      </c>
      <c r="R1699" s="78" t="b">
        <f t="shared" si="1338"/>
        <v>0</v>
      </c>
      <c r="S1699" s="78" t="b">
        <f t="shared" si="1339"/>
        <v>0</v>
      </c>
      <c r="T1699" s="78" t="b">
        <f t="shared" si="1340"/>
        <v>0</v>
      </c>
      <c r="U1699" s="78" t="b">
        <f t="shared" si="1341"/>
        <v>0</v>
      </c>
      <c r="V1699" s="78" t="b">
        <f t="shared" si="1342"/>
        <v>0</v>
      </c>
      <c r="W1699" s="78" t="b">
        <f t="shared" si="1343"/>
        <v>0</v>
      </c>
      <c r="X1699" s="78" t="b">
        <f t="shared" si="1344"/>
        <v>0</v>
      </c>
      <c r="Y1699" s="78" t="b">
        <f t="shared" si="1345"/>
        <v>0</v>
      </c>
      <c r="Z1699" s="78" t="b">
        <f t="shared" si="1346"/>
        <v>0</v>
      </c>
      <c r="AA1699" s="78" t="b">
        <f t="shared" si="1347"/>
        <v>0</v>
      </c>
      <c r="AB1699" s="78" t="b">
        <f t="shared" si="1348"/>
        <v>0</v>
      </c>
      <c r="AC1699" s="78" t="b">
        <f t="shared" si="1349"/>
        <v>0</v>
      </c>
      <c r="AD1699" s="78" t="b">
        <f t="shared" si="1350"/>
        <v>0</v>
      </c>
      <c r="AE1699" s="78" t="b">
        <f t="shared" si="1351"/>
        <v>0</v>
      </c>
      <c r="AF1699" s="78" t="b">
        <f t="shared" si="1352"/>
        <v>0</v>
      </c>
      <c r="AG1699" s="78" t="b">
        <f t="shared" si="1353"/>
        <v>0</v>
      </c>
      <c r="AH1699" s="78" t="b">
        <f t="shared" si="1354"/>
        <v>0</v>
      </c>
      <c r="AI1699" s="78" t="b">
        <f t="shared" si="1355"/>
        <v>0</v>
      </c>
      <c r="AJ1699" s="78" t="b">
        <f t="shared" si="1356"/>
        <v>0</v>
      </c>
      <c r="AK1699" s="78" t="b">
        <f t="shared" si="1357"/>
        <v>0</v>
      </c>
      <c r="AL1699" s="78" t="b">
        <f t="shared" si="1358"/>
        <v>0</v>
      </c>
      <c r="AM1699" s="78" t="b">
        <f t="shared" si="1359"/>
        <v>0</v>
      </c>
      <c r="AN1699" s="78" t="b">
        <f t="shared" si="1360"/>
        <v>0</v>
      </c>
      <c r="AO1699" s="78" t="b">
        <f t="shared" si="1361"/>
        <v>0</v>
      </c>
    </row>
    <row r="1700" spans="7:41" x14ac:dyDescent="0.35">
      <c r="G1700" s="77">
        <f t="shared" si="1331"/>
        <v>0</v>
      </c>
      <c r="H1700" s="78">
        <f t="shared" si="1332"/>
        <v>0</v>
      </c>
      <c r="I1700" s="77">
        <f t="shared" si="1333"/>
        <v>0</v>
      </c>
      <c r="J1700" s="78">
        <f t="shared" si="1334"/>
        <v>0</v>
      </c>
      <c r="K1700" s="78" t="str">
        <f t="shared" si="1335"/>
        <v>1900-01-00 00:0:00</v>
      </c>
      <c r="L1700" s="78" t="str">
        <f t="shared" si="1336"/>
        <v>1900-01-00 00:0:00</v>
      </c>
      <c r="M1700" s="79">
        <f t="shared" si="1337"/>
        <v>0</v>
      </c>
      <c r="N1700">
        <f t="shared" si="1362"/>
        <v>1</v>
      </c>
      <c r="O1700" t="str">
        <f>IFERROR(_xlfn.XLOOKUP(A1700,HC!A:A,HC!C:C),"")</f>
        <v>Workforce</v>
      </c>
      <c r="R1700" s="78" t="b">
        <f t="shared" si="1338"/>
        <v>0</v>
      </c>
      <c r="S1700" s="78" t="b">
        <f t="shared" si="1339"/>
        <v>0</v>
      </c>
      <c r="T1700" s="78" t="b">
        <f t="shared" si="1340"/>
        <v>0</v>
      </c>
      <c r="U1700" s="78" t="b">
        <f t="shared" si="1341"/>
        <v>0</v>
      </c>
      <c r="V1700" s="78" t="b">
        <f t="shared" si="1342"/>
        <v>0</v>
      </c>
      <c r="W1700" s="78" t="b">
        <f t="shared" si="1343"/>
        <v>0</v>
      </c>
      <c r="X1700" s="78" t="b">
        <f t="shared" si="1344"/>
        <v>0</v>
      </c>
      <c r="Y1700" s="78" t="b">
        <f t="shared" si="1345"/>
        <v>0</v>
      </c>
      <c r="Z1700" s="78" t="b">
        <f t="shared" si="1346"/>
        <v>0</v>
      </c>
      <c r="AA1700" s="78" t="b">
        <f t="shared" si="1347"/>
        <v>0</v>
      </c>
      <c r="AB1700" s="78" t="b">
        <f t="shared" si="1348"/>
        <v>0</v>
      </c>
      <c r="AC1700" s="78" t="b">
        <f t="shared" si="1349"/>
        <v>0</v>
      </c>
      <c r="AD1700" s="78" t="b">
        <f t="shared" si="1350"/>
        <v>0</v>
      </c>
      <c r="AE1700" s="78" t="b">
        <f t="shared" si="1351"/>
        <v>0</v>
      </c>
      <c r="AF1700" s="78" t="b">
        <f t="shared" si="1352"/>
        <v>0</v>
      </c>
      <c r="AG1700" s="78" t="b">
        <f t="shared" si="1353"/>
        <v>0</v>
      </c>
      <c r="AH1700" s="78" t="b">
        <f t="shared" si="1354"/>
        <v>0</v>
      </c>
      <c r="AI1700" s="78" t="b">
        <f t="shared" si="1355"/>
        <v>0</v>
      </c>
      <c r="AJ1700" s="78" t="b">
        <f t="shared" si="1356"/>
        <v>0</v>
      </c>
      <c r="AK1700" s="78" t="b">
        <f t="shared" si="1357"/>
        <v>0</v>
      </c>
      <c r="AL1700" s="78" t="b">
        <f t="shared" si="1358"/>
        <v>0</v>
      </c>
      <c r="AM1700" s="78" t="b">
        <f t="shared" si="1359"/>
        <v>0</v>
      </c>
      <c r="AN1700" s="78" t="b">
        <f t="shared" si="1360"/>
        <v>0</v>
      </c>
      <c r="AO1700" s="78" t="b">
        <f t="shared" si="1361"/>
        <v>0</v>
      </c>
    </row>
    <row r="1701" spans="7:41" x14ac:dyDescent="0.35">
      <c r="G1701" s="77">
        <f t="shared" si="1331"/>
        <v>0</v>
      </c>
      <c r="H1701" s="78">
        <f t="shared" si="1332"/>
        <v>0</v>
      </c>
      <c r="I1701" s="77">
        <f t="shared" si="1333"/>
        <v>0</v>
      </c>
      <c r="J1701" s="78">
        <f t="shared" si="1334"/>
        <v>0</v>
      </c>
      <c r="K1701" s="78" t="str">
        <f t="shared" si="1335"/>
        <v>1900-01-00 00:0:00</v>
      </c>
      <c r="L1701" s="78" t="str">
        <f t="shared" si="1336"/>
        <v>1900-01-00 00:0:00</v>
      </c>
      <c r="M1701" s="79">
        <f t="shared" si="1337"/>
        <v>0</v>
      </c>
      <c r="N1701">
        <f t="shared" si="1362"/>
        <v>1</v>
      </c>
      <c r="O1701" t="str">
        <f>IFERROR(_xlfn.XLOOKUP(A1701,HC!A:A,HC!C:C),"")</f>
        <v>Workforce</v>
      </c>
      <c r="R1701" s="78" t="b">
        <f t="shared" si="1338"/>
        <v>0</v>
      </c>
      <c r="S1701" s="78" t="b">
        <f t="shared" si="1339"/>
        <v>0</v>
      </c>
      <c r="T1701" s="78" t="b">
        <f t="shared" si="1340"/>
        <v>0</v>
      </c>
      <c r="U1701" s="78" t="b">
        <f t="shared" si="1341"/>
        <v>0</v>
      </c>
      <c r="V1701" s="78" t="b">
        <f t="shared" si="1342"/>
        <v>0</v>
      </c>
      <c r="W1701" s="78" t="b">
        <f t="shared" si="1343"/>
        <v>0</v>
      </c>
      <c r="X1701" s="78" t="b">
        <f t="shared" si="1344"/>
        <v>0</v>
      </c>
      <c r="Y1701" s="78" t="b">
        <f t="shared" si="1345"/>
        <v>0</v>
      </c>
      <c r="Z1701" s="78" t="b">
        <f t="shared" si="1346"/>
        <v>0</v>
      </c>
      <c r="AA1701" s="78" t="b">
        <f t="shared" si="1347"/>
        <v>0</v>
      </c>
      <c r="AB1701" s="78" t="b">
        <f t="shared" si="1348"/>
        <v>0</v>
      </c>
      <c r="AC1701" s="78" t="b">
        <f t="shared" si="1349"/>
        <v>0</v>
      </c>
      <c r="AD1701" s="78" t="b">
        <f t="shared" si="1350"/>
        <v>0</v>
      </c>
      <c r="AE1701" s="78" t="b">
        <f t="shared" si="1351"/>
        <v>0</v>
      </c>
      <c r="AF1701" s="78" t="b">
        <f t="shared" si="1352"/>
        <v>0</v>
      </c>
      <c r="AG1701" s="78" t="b">
        <f t="shared" si="1353"/>
        <v>0</v>
      </c>
      <c r="AH1701" s="78" t="b">
        <f t="shared" si="1354"/>
        <v>0</v>
      </c>
      <c r="AI1701" s="78" t="b">
        <f t="shared" si="1355"/>
        <v>0</v>
      </c>
      <c r="AJ1701" s="78" t="b">
        <f t="shared" si="1356"/>
        <v>0</v>
      </c>
      <c r="AK1701" s="78" t="b">
        <f t="shared" si="1357"/>
        <v>0</v>
      </c>
      <c r="AL1701" s="78" t="b">
        <f t="shared" si="1358"/>
        <v>0</v>
      </c>
      <c r="AM1701" s="78" t="b">
        <f t="shared" si="1359"/>
        <v>0</v>
      </c>
      <c r="AN1701" s="78" t="b">
        <f t="shared" si="1360"/>
        <v>0</v>
      </c>
      <c r="AO1701" s="78" t="b">
        <f t="shared" si="1361"/>
        <v>0</v>
      </c>
    </row>
    <row r="1702" spans="7:41" x14ac:dyDescent="0.35">
      <c r="G1702" s="77">
        <f t="shared" si="1331"/>
        <v>0</v>
      </c>
      <c r="H1702" s="78">
        <f t="shared" si="1332"/>
        <v>0</v>
      </c>
      <c r="I1702" s="77">
        <f t="shared" si="1333"/>
        <v>0</v>
      </c>
      <c r="J1702" s="78">
        <f t="shared" si="1334"/>
        <v>0</v>
      </c>
      <c r="K1702" s="78" t="str">
        <f t="shared" si="1335"/>
        <v>1900-01-00 00:0:00</v>
      </c>
      <c r="L1702" s="78" t="str">
        <f t="shared" si="1336"/>
        <v>1900-01-00 00:0:00</v>
      </c>
      <c r="M1702" s="79">
        <f t="shared" si="1337"/>
        <v>0</v>
      </c>
      <c r="N1702">
        <f t="shared" si="1362"/>
        <v>1</v>
      </c>
      <c r="O1702" t="str">
        <f>IFERROR(_xlfn.XLOOKUP(A1702,HC!A:A,HC!C:C),"")</f>
        <v>Workforce</v>
      </c>
      <c r="R1702" s="78" t="b">
        <f t="shared" si="1338"/>
        <v>0</v>
      </c>
      <c r="S1702" s="78" t="b">
        <f t="shared" si="1339"/>
        <v>0</v>
      </c>
      <c r="T1702" s="78" t="b">
        <f t="shared" si="1340"/>
        <v>0</v>
      </c>
      <c r="U1702" s="78" t="b">
        <f t="shared" si="1341"/>
        <v>0</v>
      </c>
      <c r="V1702" s="78" t="b">
        <f t="shared" si="1342"/>
        <v>0</v>
      </c>
      <c r="W1702" s="78" t="b">
        <f t="shared" si="1343"/>
        <v>0</v>
      </c>
      <c r="X1702" s="78" t="b">
        <f t="shared" si="1344"/>
        <v>0</v>
      </c>
      <c r="Y1702" s="78" t="b">
        <f t="shared" si="1345"/>
        <v>0</v>
      </c>
      <c r="Z1702" s="78" t="b">
        <f t="shared" si="1346"/>
        <v>0</v>
      </c>
      <c r="AA1702" s="78" t="b">
        <f t="shared" si="1347"/>
        <v>0</v>
      </c>
      <c r="AB1702" s="78" t="b">
        <f t="shared" si="1348"/>
        <v>0</v>
      </c>
      <c r="AC1702" s="78" t="b">
        <f t="shared" si="1349"/>
        <v>0</v>
      </c>
      <c r="AD1702" s="78" t="b">
        <f t="shared" si="1350"/>
        <v>0</v>
      </c>
      <c r="AE1702" s="78" t="b">
        <f t="shared" si="1351"/>
        <v>0</v>
      </c>
      <c r="AF1702" s="78" t="b">
        <f t="shared" si="1352"/>
        <v>0</v>
      </c>
      <c r="AG1702" s="78" t="b">
        <f t="shared" si="1353"/>
        <v>0</v>
      </c>
      <c r="AH1702" s="78" t="b">
        <f t="shared" si="1354"/>
        <v>0</v>
      </c>
      <c r="AI1702" s="78" t="b">
        <f t="shared" si="1355"/>
        <v>0</v>
      </c>
      <c r="AJ1702" s="78" t="b">
        <f t="shared" si="1356"/>
        <v>0</v>
      </c>
      <c r="AK1702" s="78" t="b">
        <f t="shared" si="1357"/>
        <v>0</v>
      </c>
      <c r="AL1702" s="78" t="b">
        <f t="shared" si="1358"/>
        <v>0</v>
      </c>
      <c r="AM1702" s="78" t="b">
        <f t="shared" si="1359"/>
        <v>0</v>
      </c>
      <c r="AN1702" s="78" t="b">
        <f t="shared" si="1360"/>
        <v>0</v>
      </c>
      <c r="AO1702" s="78" t="b">
        <f t="shared" si="1361"/>
        <v>0</v>
      </c>
    </row>
    <row r="1703" spans="7:41" x14ac:dyDescent="0.35">
      <c r="G1703" s="77">
        <f t="shared" si="1331"/>
        <v>0</v>
      </c>
      <c r="H1703" s="78">
        <f t="shared" si="1332"/>
        <v>0</v>
      </c>
      <c r="I1703" s="77">
        <f t="shared" si="1333"/>
        <v>0</v>
      </c>
      <c r="J1703" s="78">
        <f t="shared" si="1334"/>
        <v>0</v>
      </c>
      <c r="K1703" s="78" t="str">
        <f t="shared" si="1335"/>
        <v>1900-01-00 00:0:00</v>
      </c>
      <c r="L1703" s="78" t="str">
        <f t="shared" si="1336"/>
        <v>1900-01-00 00:0:00</v>
      </c>
      <c r="M1703" s="79">
        <f t="shared" si="1337"/>
        <v>0</v>
      </c>
      <c r="N1703">
        <f t="shared" si="1362"/>
        <v>1</v>
      </c>
      <c r="O1703" t="str">
        <f>IFERROR(_xlfn.XLOOKUP(A1703,HC!A:A,HC!C:C),"")</f>
        <v>Workforce</v>
      </c>
      <c r="R1703" s="78" t="b">
        <f t="shared" si="1338"/>
        <v>0</v>
      </c>
      <c r="S1703" s="78" t="b">
        <f t="shared" si="1339"/>
        <v>0</v>
      </c>
      <c r="T1703" s="78" t="b">
        <f t="shared" si="1340"/>
        <v>0</v>
      </c>
      <c r="U1703" s="78" t="b">
        <f t="shared" si="1341"/>
        <v>0</v>
      </c>
      <c r="V1703" s="78" t="b">
        <f t="shared" si="1342"/>
        <v>0</v>
      </c>
      <c r="W1703" s="78" t="b">
        <f t="shared" si="1343"/>
        <v>0</v>
      </c>
      <c r="X1703" s="78" t="b">
        <f t="shared" si="1344"/>
        <v>0</v>
      </c>
      <c r="Y1703" s="78" t="b">
        <f t="shared" si="1345"/>
        <v>0</v>
      </c>
      <c r="Z1703" s="78" t="b">
        <f t="shared" si="1346"/>
        <v>0</v>
      </c>
      <c r="AA1703" s="78" t="b">
        <f t="shared" si="1347"/>
        <v>0</v>
      </c>
      <c r="AB1703" s="78" t="b">
        <f t="shared" si="1348"/>
        <v>0</v>
      </c>
      <c r="AC1703" s="78" t="b">
        <f t="shared" si="1349"/>
        <v>0</v>
      </c>
      <c r="AD1703" s="78" t="b">
        <f t="shared" si="1350"/>
        <v>0</v>
      </c>
      <c r="AE1703" s="78" t="b">
        <f t="shared" si="1351"/>
        <v>0</v>
      </c>
      <c r="AF1703" s="78" t="b">
        <f t="shared" si="1352"/>
        <v>0</v>
      </c>
      <c r="AG1703" s="78" t="b">
        <f t="shared" si="1353"/>
        <v>0</v>
      </c>
      <c r="AH1703" s="78" t="b">
        <f t="shared" si="1354"/>
        <v>0</v>
      </c>
      <c r="AI1703" s="78" t="b">
        <f t="shared" si="1355"/>
        <v>0</v>
      </c>
      <c r="AJ1703" s="78" t="b">
        <f t="shared" si="1356"/>
        <v>0</v>
      </c>
      <c r="AK1703" s="78" t="b">
        <f t="shared" si="1357"/>
        <v>0</v>
      </c>
      <c r="AL1703" s="78" t="b">
        <f t="shared" si="1358"/>
        <v>0</v>
      </c>
      <c r="AM1703" s="78" t="b">
        <f t="shared" si="1359"/>
        <v>0</v>
      </c>
      <c r="AN1703" s="78" t="b">
        <f t="shared" si="1360"/>
        <v>0</v>
      </c>
      <c r="AO1703" s="78" t="b">
        <f t="shared" si="1361"/>
        <v>0</v>
      </c>
    </row>
    <row r="1704" spans="7:41" x14ac:dyDescent="0.35">
      <c r="G1704" s="77">
        <f t="shared" si="1331"/>
        <v>0</v>
      </c>
      <c r="H1704" s="78">
        <f t="shared" si="1332"/>
        <v>0</v>
      </c>
      <c r="I1704" s="77">
        <f t="shared" si="1333"/>
        <v>0</v>
      </c>
      <c r="J1704" s="78">
        <f t="shared" si="1334"/>
        <v>0</v>
      </c>
      <c r="K1704" s="78" t="str">
        <f t="shared" si="1335"/>
        <v>1900-01-00 00:0:00</v>
      </c>
      <c r="L1704" s="78" t="str">
        <f t="shared" si="1336"/>
        <v>1900-01-00 00:0:00</v>
      </c>
      <c r="M1704" s="79">
        <f t="shared" si="1337"/>
        <v>0</v>
      </c>
      <c r="N1704">
        <f t="shared" si="1362"/>
        <v>1</v>
      </c>
      <c r="O1704" t="str">
        <f>IFERROR(_xlfn.XLOOKUP(A1704,HC!A:A,HC!C:C),"")</f>
        <v>Workforce</v>
      </c>
      <c r="R1704" s="78" t="b">
        <f t="shared" si="1338"/>
        <v>0</v>
      </c>
      <c r="S1704" s="78" t="b">
        <f t="shared" si="1339"/>
        <v>0</v>
      </c>
      <c r="T1704" s="78" t="b">
        <f t="shared" si="1340"/>
        <v>0</v>
      </c>
      <c r="U1704" s="78" t="b">
        <f t="shared" si="1341"/>
        <v>0</v>
      </c>
      <c r="V1704" s="78" t="b">
        <f t="shared" si="1342"/>
        <v>0</v>
      </c>
      <c r="W1704" s="78" t="b">
        <f t="shared" si="1343"/>
        <v>0</v>
      </c>
      <c r="X1704" s="78" t="b">
        <f t="shared" si="1344"/>
        <v>0</v>
      </c>
      <c r="Y1704" s="78" t="b">
        <f t="shared" si="1345"/>
        <v>0</v>
      </c>
      <c r="Z1704" s="78" t="b">
        <f t="shared" si="1346"/>
        <v>0</v>
      </c>
      <c r="AA1704" s="78" t="b">
        <f t="shared" si="1347"/>
        <v>0</v>
      </c>
      <c r="AB1704" s="78" t="b">
        <f t="shared" si="1348"/>
        <v>0</v>
      </c>
      <c r="AC1704" s="78" t="b">
        <f t="shared" si="1349"/>
        <v>0</v>
      </c>
      <c r="AD1704" s="78" t="b">
        <f t="shared" si="1350"/>
        <v>0</v>
      </c>
      <c r="AE1704" s="78" t="b">
        <f t="shared" si="1351"/>
        <v>0</v>
      </c>
      <c r="AF1704" s="78" t="b">
        <f t="shared" si="1352"/>
        <v>0</v>
      </c>
      <c r="AG1704" s="78" t="b">
        <f t="shared" si="1353"/>
        <v>0</v>
      </c>
      <c r="AH1704" s="78" t="b">
        <f t="shared" si="1354"/>
        <v>0</v>
      </c>
      <c r="AI1704" s="78" t="b">
        <f t="shared" si="1355"/>
        <v>0</v>
      </c>
      <c r="AJ1704" s="78" t="b">
        <f t="shared" si="1356"/>
        <v>0</v>
      </c>
      <c r="AK1704" s="78" t="b">
        <f t="shared" si="1357"/>
        <v>0</v>
      </c>
      <c r="AL1704" s="78" t="b">
        <f t="shared" si="1358"/>
        <v>0</v>
      </c>
      <c r="AM1704" s="78" t="b">
        <f t="shared" si="1359"/>
        <v>0</v>
      </c>
      <c r="AN1704" s="78" t="b">
        <f t="shared" si="1360"/>
        <v>0</v>
      </c>
      <c r="AO1704" s="78" t="b">
        <f t="shared" si="1361"/>
        <v>0</v>
      </c>
    </row>
    <row r="1705" spans="7:41" x14ac:dyDescent="0.35">
      <c r="G1705" s="77">
        <f t="shared" si="1331"/>
        <v>0</v>
      </c>
      <c r="H1705" s="78">
        <f t="shared" si="1332"/>
        <v>0</v>
      </c>
      <c r="I1705" s="77">
        <f t="shared" si="1333"/>
        <v>0</v>
      </c>
      <c r="J1705" s="78">
        <f t="shared" si="1334"/>
        <v>0</v>
      </c>
      <c r="K1705" s="78" t="str">
        <f t="shared" si="1335"/>
        <v>1900-01-00 00:0:00</v>
      </c>
      <c r="L1705" s="78" t="str">
        <f t="shared" si="1336"/>
        <v>1900-01-00 00:0:00</v>
      </c>
      <c r="M1705" s="79">
        <f t="shared" si="1337"/>
        <v>0</v>
      </c>
      <c r="N1705">
        <f t="shared" si="1362"/>
        <v>1</v>
      </c>
      <c r="O1705" t="str">
        <f>IFERROR(_xlfn.XLOOKUP(A1705,HC!A:A,HC!C:C),"")</f>
        <v>Workforce</v>
      </c>
      <c r="R1705" s="78" t="b">
        <f t="shared" si="1338"/>
        <v>0</v>
      </c>
      <c r="S1705" s="78" t="b">
        <f t="shared" si="1339"/>
        <v>0</v>
      </c>
      <c r="T1705" s="78" t="b">
        <f t="shared" si="1340"/>
        <v>0</v>
      </c>
      <c r="U1705" s="78" t="b">
        <f t="shared" si="1341"/>
        <v>0</v>
      </c>
      <c r="V1705" s="78" t="b">
        <f t="shared" si="1342"/>
        <v>0</v>
      </c>
      <c r="W1705" s="78" t="b">
        <f t="shared" si="1343"/>
        <v>0</v>
      </c>
      <c r="X1705" s="78" t="b">
        <f t="shared" si="1344"/>
        <v>0</v>
      </c>
      <c r="Y1705" s="78" t="b">
        <f t="shared" si="1345"/>
        <v>0</v>
      </c>
      <c r="Z1705" s="78" t="b">
        <f t="shared" si="1346"/>
        <v>0</v>
      </c>
      <c r="AA1705" s="78" t="b">
        <f t="shared" si="1347"/>
        <v>0</v>
      </c>
      <c r="AB1705" s="78" t="b">
        <f t="shared" si="1348"/>
        <v>0</v>
      </c>
      <c r="AC1705" s="78" t="b">
        <f t="shared" si="1349"/>
        <v>0</v>
      </c>
      <c r="AD1705" s="78" t="b">
        <f t="shared" si="1350"/>
        <v>0</v>
      </c>
      <c r="AE1705" s="78" t="b">
        <f t="shared" si="1351"/>
        <v>0</v>
      </c>
      <c r="AF1705" s="78" t="b">
        <f t="shared" si="1352"/>
        <v>0</v>
      </c>
      <c r="AG1705" s="78" t="b">
        <f t="shared" si="1353"/>
        <v>0</v>
      </c>
      <c r="AH1705" s="78" t="b">
        <f t="shared" si="1354"/>
        <v>0</v>
      </c>
      <c r="AI1705" s="78" t="b">
        <f t="shared" si="1355"/>
        <v>0</v>
      </c>
      <c r="AJ1705" s="78" t="b">
        <f t="shared" si="1356"/>
        <v>0</v>
      </c>
      <c r="AK1705" s="78" t="b">
        <f t="shared" si="1357"/>
        <v>0</v>
      </c>
      <c r="AL1705" s="78" t="b">
        <f t="shared" si="1358"/>
        <v>0</v>
      </c>
      <c r="AM1705" s="78" t="b">
        <f t="shared" si="1359"/>
        <v>0</v>
      </c>
      <c r="AN1705" s="78" t="b">
        <f t="shared" si="1360"/>
        <v>0</v>
      </c>
      <c r="AO1705" s="78" t="b">
        <f t="shared" si="1361"/>
        <v>0</v>
      </c>
    </row>
    <row r="1706" spans="7:41" x14ac:dyDescent="0.35">
      <c r="G1706" s="77">
        <f t="shared" si="1331"/>
        <v>0</v>
      </c>
      <c r="H1706" s="78">
        <f t="shared" si="1332"/>
        <v>0</v>
      </c>
      <c r="I1706" s="77">
        <f t="shared" si="1333"/>
        <v>0</v>
      </c>
      <c r="J1706" s="78">
        <f t="shared" si="1334"/>
        <v>0</v>
      </c>
      <c r="K1706" s="78" t="str">
        <f t="shared" si="1335"/>
        <v>1900-01-00 00:0:00</v>
      </c>
      <c r="L1706" s="78" t="str">
        <f t="shared" si="1336"/>
        <v>1900-01-00 00:0:00</v>
      </c>
      <c r="M1706" s="79">
        <f t="shared" si="1337"/>
        <v>0</v>
      </c>
      <c r="N1706">
        <f t="shared" si="1362"/>
        <v>1</v>
      </c>
      <c r="O1706" t="str">
        <f>IFERROR(_xlfn.XLOOKUP(A1706,HC!A:A,HC!C:C),"")</f>
        <v>Workforce</v>
      </c>
      <c r="R1706" s="78" t="b">
        <f t="shared" si="1338"/>
        <v>0</v>
      </c>
      <c r="S1706" s="78" t="b">
        <f t="shared" si="1339"/>
        <v>0</v>
      </c>
      <c r="T1706" s="78" t="b">
        <f t="shared" si="1340"/>
        <v>0</v>
      </c>
      <c r="U1706" s="78" t="b">
        <f t="shared" si="1341"/>
        <v>0</v>
      </c>
      <c r="V1706" s="78" t="b">
        <f t="shared" si="1342"/>
        <v>0</v>
      </c>
      <c r="W1706" s="78" t="b">
        <f t="shared" si="1343"/>
        <v>0</v>
      </c>
      <c r="X1706" s="78" t="b">
        <f t="shared" si="1344"/>
        <v>0</v>
      </c>
      <c r="Y1706" s="78" t="b">
        <f t="shared" si="1345"/>
        <v>0</v>
      </c>
      <c r="Z1706" s="78" t="b">
        <f t="shared" si="1346"/>
        <v>0</v>
      </c>
      <c r="AA1706" s="78" t="b">
        <f t="shared" si="1347"/>
        <v>0</v>
      </c>
      <c r="AB1706" s="78" t="b">
        <f t="shared" si="1348"/>
        <v>0</v>
      </c>
      <c r="AC1706" s="78" t="b">
        <f t="shared" si="1349"/>
        <v>0</v>
      </c>
      <c r="AD1706" s="78" t="b">
        <f t="shared" si="1350"/>
        <v>0</v>
      </c>
      <c r="AE1706" s="78" t="b">
        <f t="shared" si="1351"/>
        <v>0</v>
      </c>
      <c r="AF1706" s="78" t="b">
        <f t="shared" si="1352"/>
        <v>0</v>
      </c>
      <c r="AG1706" s="78" t="b">
        <f t="shared" si="1353"/>
        <v>0</v>
      </c>
      <c r="AH1706" s="78" t="b">
        <f t="shared" si="1354"/>
        <v>0</v>
      </c>
      <c r="AI1706" s="78" t="b">
        <f t="shared" si="1355"/>
        <v>0</v>
      </c>
      <c r="AJ1706" s="78" t="b">
        <f t="shared" si="1356"/>
        <v>0</v>
      </c>
      <c r="AK1706" s="78" t="b">
        <f t="shared" si="1357"/>
        <v>0</v>
      </c>
      <c r="AL1706" s="78" t="b">
        <f t="shared" si="1358"/>
        <v>0</v>
      </c>
      <c r="AM1706" s="78" t="b">
        <f t="shared" si="1359"/>
        <v>0</v>
      </c>
      <c r="AN1706" s="78" t="b">
        <f t="shared" si="1360"/>
        <v>0</v>
      </c>
      <c r="AO1706" s="78" t="b">
        <f t="shared" si="1361"/>
        <v>0</v>
      </c>
    </row>
    <row r="1707" spans="7:41" x14ac:dyDescent="0.35">
      <c r="G1707" s="77">
        <f t="shared" si="1331"/>
        <v>0</v>
      </c>
      <c r="H1707" s="78">
        <f t="shared" si="1332"/>
        <v>0</v>
      </c>
      <c r="I1707" s="77">
        <f t="shared" si="1333"/>
        <v>0</v>
      </c>
      <c r="J1707" s="78">
        <f t="shared" si="1334"/>
        <v>0</v>
      </c>
      <c r="K1707" s="78" t="str">
        <f t="shared" si="1335"/>
        <v>1900-01-00 00:0:00</v>
      </c>
      <c r="L1707" s="78" t="str">
        <f t="shared" si="1336"/>
        <v>1900-01-00 00:0:00</v>
      </c>
      <c r="M1707" s="79">
        <f t="shared" si="1337"/>
        <v>0</v>
      </c>
      <c r="N1707">
        <f t="shared" si="1362"/>
        <v>1</v>
      </c>
      <c r="O1707" t="str">
        <f>IFERROR(_xlfn.XLOOKUP(A1707,HC!A:A,HC!C:C),"")</f>
        <v>Workforce</v>
      </c>
      <c r="R1707" s="78" t="b">
        <f t="shared" si="1338"/>
        <v>0</v>
      </c>
      <c r="S1707" s="78" t="b">
        <f t="shared" si="1339"/>
        <v>0</v>
      </c>
      <c r="T1707" s="78" t="b">
        <f t="shared" si="1340"/>
        <v>0</v>
      </c>
      <c r="U1707" s="78" t="b">
        <f t="shared" si="1341"/>
        <v>0</v>
      </c>
      <c r="V1707" s="78" t="b">
        <f t="shared" si="1342"/>
        <v>0</v>
      </c>
      <c r="W1707" s="78" t="b">
        <f t="shared" si="1343"/>
        <v>0</v>
      </c>
      <c r="X1707" s="78" t="b">
        <f t="shared" si="1344"/>
        <v>0</v>
      </c>
      <c r="Y1707" s="78" t="b">
        <f t="shared" si="1345"/>
        <v>0</v>
      </c>
      <c r="Z1707" s="78" t="b">
        <f t="shared" si="1346"/>
        <v>0</v>
      </c>
      <c r="AA1707" s="78" t="b">
        <f t="shared" si="1347"/>
        <v>0</v>
      </c>
      <c r="AB1707" s="78" t="b">
        <f t="shared" si="1348"/>
        <v>0</v>
      </c>
      <c r="AC1707" s="78" t="b">
        <f t="shared" si="1349"/>
        <v>0</v>
      </c>
      <c r="AD1707" s="78" t="b">
        <f t="shared" si="1350"/>
        <v>0</v>
      </c>
      <c r="AE1707" s="78" t="b">
        <f t="shared" si="1351"/>
        <v>0</v>
      </c>
      <c r="AF1707" s="78" t="b">
        <f t="shared" si="1352"/>
        <v>0</v>
      </c>
      <c r="AG1707" s="78" t="b">
        <f t="shared" si="1353"/>
        <v>0</v>
      </c>
      <c r="AH1707" s="78" t="b">
        <f t="shared" si="1354"/>
        <v>0</v>
      </c>
      <c r="AI1707" s="78" t="b">
        <f t="shared" si="1355"/>
        <v>0</v>
      </c>
      <c r="AJ1707" s="78" t="b">
        <f t="shared" si="1356"/>
        <v>0</v>
      </c>
      <c r="AK1707" s="78" t="b">
        <f t="shared" si="1357"/>
        <v>0</v>
      </c>
      <c r="AL1707" s="78" t="b">
        <f t="shared" si="1358"/>
        <v>0</v>
      </c>
      <c r="AM1707" s="78" t="b">
        <f t="shared" si="1359"/>
        <v>0</v>
      </c>
      <c r="AN1707" s="78" t="b">
        <f t="shared" si="1360"/>
        <v>0</v>
      </c>
      <c r="AO1707" s="78" t="b">
        <f t="shared" si="1361"/>
        <v>0</v>
      </c>
    </row>
    <row r="1708" spans="7:41" x14ac:dyDescent="0.35">
      <c r="G1708" s="77">
        <f t="shared" si="1331"/>
        <v>0</v>
      </c>
      <c r="H1708" s="78">
        <f t="shared" si="1332"/>
        <v>0</v>
      </c>
      <c r="I1708" s="77">
        <f t="shared" si="1333"/>
        <v>0</v>
      </c>
      <c r="J1708" s="78">
        <f t="shared" si="1334"/>
        <v>0</v>
      </c>
      <c r="K1708" s="78" t="str">
        <f t="shared" si="1335"/>
        <v>1900-01-00 00:0:00</v>
      </c>
      <c r="L1708" s="78" t="str">
        <f t="shared" si="1336"/>
        <v>1900-01-00 00:0:00</v>
      </c>
      <c r="M1708" s="79">
        <f t="shared" si="1337"/>
        <v>0</v>
      </c>
      <c r="N1708">
        <f t="shared" si="1362"/>
        <v>1</v>
      </c>
      <c r="O1708" t="str">
        <f>IFERROR(_xlfn.XLOOKUP(A1708,HC!A:A,HC!C:C),"")</f>
        <v>Workforce</v>
      </c>
      <c r="R1708" s="78" t="b">
        <f t="shared" si="1338"/>
        <v>0</v>
      </c>
      <c r="S1708" s="78" t="b">
        <f t="shared" si="1339"/>
        <v>0</v>
      </c>
      <c r="T1708" s="78" t="b">
        <f t="shared" si="1340"/>
        <v>0</v>
      </c>
      <c r="U1708" s="78" t="b">
        <f t="shared" si="1341"/>
        <v>0</v>
      </c>
      <c r="V1708" s="78" t="b">
        <f t="shared" si="1342"/>
        <v>0</v>
      </c>
      <c r="W1708" s="78" t="b">
        <f t="shared" si="1343"/>
        <v>0</v>
      </c>
      <c r="X1708" s="78" t="b">
        <f t="shared" si="1344"/>
        <v>0</v>
      </c>
      <c r="Y1708" s="78" t="b">
        <f t="shared" si="1345"/>
        <v>0</v>
      </c>
      <c r="Z1708" s="78" t="b">
        <f t="shared" si="1346"/>
        <v>0</v>
      </c>
      <c r="AA1708" s="78" t="b">
        <f t="shared" si="1347"/>
        <v>0</v>
      </c>
      <c r="AB1708" s="78" t="b">
        <f t="shared" si="1348"/>
        <v>0</v>
      </c>
      <c r="AC1708" s="78" t="b">
        <f t="shared" si="1349"/>
        <v>0</v>
      </c>
      <c r="AD1708" s="78" t="b">
        <f t="shared" si="1350"/>
        <v>0</v>
      </c>
      <c r="AE1708" s="78" t="b">
        <f t="shared" si="1351"/>
        <v>0</v>
      </c>
      <c r="AF1708" s="78" t="b">
        <f t="shared" si="1352"/>
        <v>0</v>
      </c>
      <c r="AG1708" s="78" t="b">
        <f t="shared" si="1353"/>
        <v>0</v>
      </c>
      <c r="AH1708" s="78" t="b">
        <f t="shared" si="1354"/>
        <v>0</v>
      </c>
      <c r="AI1708" s="78" t="b">
        <f t="shared" si="1355"/>
        <v>0</v>
      </c>
      <c r="AJ1708" s="78" t="b">
        <f t="shared" si="1356"/>
        <v>0</v>
      </c>
      <c r="AK1708" s="78" t="b">
        <f t="shared" si="1357"/>
        <v>0</v>
      </c>
      <c r="AL1708" s="78" t="b">
        <f t="shared" si="1358"/>
        <v>0</v>
      </c>
      <c r="AM1708" s="78" t="b">
        <f t="shared" si="1359"/>
        <v>0</v>
      </c>
      <c r="AN1708" s="78" t="b">
        <f t="shared" si="1360"/>
        <v>0</v>
      </c>
      <c r="AO1708" s="78" t="b">
        <f t="shared" si="1361"/>
        <v>0</v>
      </c>
    </row>
    <row r="1709" spans="7:41" x14ac:dyDescent="0.35">
      <c r="G1709" s="77">
        <f t="shared" si="1331"/>
        <v>0</v>
      </c>
      <c r="H1709" s="78">
        <f t="shared" si="1332"/>
        <v>0</v>
      </c>
      <c r="I1709" s="77">
        <f t="shared" si="1333"/>
        <v>0</v>
      </c>
      <c r="J1709" s="78">
        <f t="shared" si="1334"/>
        <v>0</v>
      </c>
      <c r="K1709" s="78" t="str">
        <f t="shared" si="1335"/>
        <v>1900-01-00 00:0:00</v>
      </c>
      <c r="L1709" s="78" t="str">
        <f t="shared" si="1336"/>
        <v>1900-01-00 00:0:00</v>
      </c>
      <c r="M1709" s="79">
        <f t="shared" si="1337"/>
        <v>0</v>
      </c>
      <c r="N1709">
        <f t="shared" si="1362"/>
        <v>1</v>
      </c>
      <c r="O1709" t="str">
        <f>IFERROR(_xlfn.XLOOKUP(A1709,HC!A:A,HC!C:C),"")</f>
        <v>Workforce</v>
      </c>
      <c r="R1709" s="78" t="b">
        <f t="shared" si="1338"/>
        <v>0</v>
      </c>
      <c r="S1709" s="78" t="b">
        <f t="shared" si="1339"/>
        <v>0</v>
      </c>
      <c r="T1709" s="78" t="b">
        <f t="shared" si="1340"/>
        <v>0</v>
      </c>
      <c r="U1709" s="78" t="b">
        <f t="shared" si="1341"/>
        <v>0</v>
      </c>
      <c r="V1709" s="78" t="b">
        <f t="shared" si="1342"/>
        <v>0</v>
      </c>
      <c r="W1709" s="78" t="b">
        <f t="shared" si="1343"/>
        <v>0</v>
      </c>
      <c r="X1709" s="78" t="b">
        <f t="shared" si="1344"/>
        <v>0</v>
      </c>
      <c r="Y1709" s="78" t="b">
        <f t="shared" si="1345"/>
        <v>0</v>
      </c>
      <c r="Z1709" s="78" t="b">
        <f t="shared" si="1346"/>
        <v>0</v>
      </c>
      <c r="AA1709" s="78" t="b">
        <f t="shared" si="1347"/>
        <v>0</v>
      </c>
      <c r="AB1709" s="78" t="b">
        <f t="shared" si="1348"/>
        <v>0</v>
      </c>
      <c r="AC1709" s="78" t="b">
        <f t="shared" si="1349"/>
        <v>0</v>
      </c>
      <c r="AD1709" s="78" t="b">
        <f t="shared" si="1350"/>
        <v>0</v>
      </c>
      <c r="AE1709" s="78" t="b">
        <f t="shared" si="1351"/>
        <v>0</v>
      </c>
      <c r="AF1709" s="78" t="b">
        <f t="shared" si="1352"/>
        <v>0</v>
      </c>
      <c r="AG1709" s="78" t="b">
        <f t="shared" si="1353"/>
        <v>0</v>
      </c>
      <c r="AH1709" s="78" t="b">
        <f t="shared" si="1354"/>
        <v>0</v>
      </c>
      <c r="AI1709" s="78" t="b">
        <f t="shared" si="1355"/>
        <v>0</v>
      </c>
      <c r="AJ1709" s="78" t="b">
        <f t="shared" si="1356"/>
        <v>0</v>
      </c>
      <c r="AK1709" s="78" t="b">
        <f t="shared" si="1357"/>
        <v>0</v>
      </c>
      <c r="AL1709" s="78" t="b">
        <f t="shared" si="1358"/>
        <v>0</v>
      </c>
      <c r="AM1709" s="78" t="b">
        <f t="shared" si="1359"/>
        <v>0</v>
      </c>
      <c r="AN1709" s="78" t="b">
        <f t="shared" si="1360"/>
        <v>0</v>
      </c>
      <c r="AO1709" s="78" t="b">
        <f t="shared" si="1361"/>
        <v>0</v>
      </c>
    </row>
    <row r="1710" spans="7:41" x14ac:dyDescent="0.35">
      <c r="G1710" s="77">
        <f t="shared" si="1331"/>
        <v>0</v>
      </c>
      <c r="H1710" s="78">
        <f t="shared" si="1332"/>
        <v>0</v>
      </c>
      <c r="I1710" s="77">
        <f t="shared" si="1333"/>
        <v>0</v>
      </c>
      <c r="J1710" s="78">
        <f t="shared" si="1334"/>
        <v>0</v>
      </c>
      <c r="K1710" s="78" t="str">
        <f t="shared" si="1335"/>
        <v>1900-01-00 00:0:00</v>
      </c>
      <c r="L1710" s="78" t="str">
        <f t="shared" si="1336"/>
        <v>1900-01-00 00:0:00</v>
      </c>
      <c r="M1710" s="79">
        <f t="shared" si="1337"/>
        <v>0</v>
      </c>
      <c r="N1710">
        <f t="shared" si="1362"/>
        <v>1</v>
      </c>
      <c r="O1710" t="str">
        <f>IFERROR(_xlfn.XLOOKUP(A1710,HC!A:A,HC!C:C),"")</f>
        <v>Workforce</v>
      </c>
      <c r="R1710" s="78" t="b">
        <f t="shared" si="1338"/>
        <v>0</v>
      </c>
      <c r="S1710" s="78" t="b">
        <f t="shared" si="1339"/>
        <v>0</v>
      </c>
      <c r="T1710" s="78" t="b">
        <f t="shared" si="1340"/>
        <v>0</v>
      </c>
      <c r="U1710" s="78" t="b">
        <f t="shared" si="1341"/>
        <v>0</v>
      </c>
      <c r="V1710" s="78" t="b">
        <f t="shared" si="1342"/>
        <v>0</v>
      </c>
      <c r="W1710" s="78" t="b">
        <f t="shared" si="1343"/>
        <v>0</v>
      </c>
      <c r="X1710" s="78" t="b">
        <f t="shared" si="1344"/>
        <v>0</v>
      </c>
      <c r="Y1710" s="78" t="b">
        <f t="shared" si="1345"/>
        <v>0</v>
      </c>
      <c r="Z1710" s="78" t="b">
        <f t="shared" si="1346"/>
        <v>0</v>
      </c>
      <c r="AA1710" s="78" t="b">
        <f t="shared" si="1347"/>
        <v>0</v>
      </c>
      <c r="AB1710" s="78" t="b">
        <f t="shared" si="1348"/>
        <v>0</v>
      </c>
      <c r="AC1710" s="78" t="b">
        <f t="shared" si="1349"/>
        <v>0</v>
      </c>
      <c r="AD1710" s="78" t="b">
        <f t="shared" si="1350"/>
        <v>0</v>
      </c>
      <c r="AE1710" s="78" t="b">
        <f t="shared" si="1351"/>
        <v>0</v>
      </c>
      <c r="AF1710" s="78" t="b">
        <f t="shared" si="1352"/>
        <v>0</v>
      </c>
      <c r="AG1710" s="78" t="b">
        <f t="shared" si="1353"/>
        <v>0</v>
      </c>
      <c r="AH1710" s="78" t="b">
        <f t="shared" si="1354"/>
        <v>0</v>
      </c>
      <c r="AI1710" s="78" t="b">
        <f t="shared" si="1355"/>
        <v>0</v>
      </c>
      <c r="AJ1710" s="78" t="b">
        <f t="shared" si="1356"/>
        <v>0</v>
      </c>
      <c r="AK1710" s="78" t="b">
        <f t="shared" si="1357"/>
        <v>0</v>
      </c>
      <c r="AL1710" s="78" t="b">
        <f t="shared" si="1358"/>
        <v>0</v>
      </c>
      <c r="AM1710" s="78" t="b">
        <f t="shared" si="1359"/>
        <v>0</v>
      </c>
      <c r="AN1710" s="78" t="b">
        <f t="shared" si="1360"/>
        <v>0</v>
      </c>
      <c r="AO1710" s="78" t="b">
        <f t="shared" si="1361"/>
        <v>0</v>
      </c>
    </row>
    <row r="1711" spans="7:41" x14ac:dyDescent="0.35">
      <c r="G1711" s="77">
        <f t="shared" si="1331"/>
        <v>0</v>
      </c>
      <c r="H1711" s="78">
        <f t="shared" si="1332"/>
        <v>0</v>
      </c>
      <c r="I1711" s="77">
        <f t="shared" si="1333"/>
        <v>0</v>
      </c>
      <c r="J1711" s="78">
        <f t="shared" si="1334"/>
        <v>0</v>
      </c>
      <c r="K1711" s="78" t="str">
        <f t="shared" si="1335"/>
        <v>1900-01-00 00:0:00</v>
      </c>
      <c r="L1711" s="78" t="str">
        <f t="shared" si="1336"/>
        <v>1900-01-00 00:0:00</v>
      </c>
      <c r="M1711" s="79">
        <f t="shared" si="1337"/>
        <v>0</v>
      </c>
      <c r="N1711">
        <f t="shared" si="1362"/>
        <v>1</v>
      </c>
      <c r="O1711" t="str">
        <f>IFERROR(_xlfn.XLOOKUP(A1711,HC!A:A,HC!C:C),"")</f>
        <v>Workforce</v>
      </c>
      <c r="R1711" s="78" t="b">
        <f t="shared" si="1338"/>
        <v>0</v>
      </c>
      <c r="S1711" s="78" t="b">
        <f t="shared" si="1339"/>
        <v>0</v>
      </c>
      <c r="T1711" s="78" t="b">
        <f t="shared" si="1340"/>
        <v>0</v>
      </c>
      <c r="U1711" s="78" t="b">
        <f t="shared" si="1341"/>
        <v>0</v>
      </c>
      <c r="V1711" s="78" t="b">
        <f t="shared" si="1342"/>
        <v>0</v>
      </c>
      <c r="W1711" s="78" t="b">
        <f t="shared" si="1343"/>
        <v>0</v>
      </c>
      <c r="X1711" s="78" t="b">
        <f t="shared" si="1344"/>
        <v>0</v>
      </c>
      <c r="Y1711" s="78" t="b">
        <f t="shared" si="1345"/>
        <v>0</v>
      </c>
      <c r="Z1711" s="78" t="b">
        <f t="shared" si="1346"/>
        <v>0</v>
      </c>
      <c r="AA1711" s="78" t="b">
        <f t="shared" si="1347"/>
        <v>0</v>
      </c>
      <c r="AB1711" s="78" t="b">
        <f t="shared" si="1348"/>
        <v>0</v>
      </c>
      <c r="AC1711" s="78" t="b">
        <f t="shared" si="1349"/>
        <v>0</v>
      </c>
      <c r="AD1711" s="78" t="b">
        <f t="shared" si="1350"/>
        <v>0</v>
      </c>
      <c r="AE1711" s="78" t="b">
        <f t="shared" si="1351"/>
        <v>0</v>
      </c>
      <c r="AF1711" s="78" t="b">
        <f t="shared" si="1352"/>
        <v>0</v>
      </c>
      <c r="AG1711" s="78" t="b">
        <f t="shared" si="1353"/>
        <v>0</v>
      </c>
      <c r="AH1711" s="78" t="b">
        <f t="shared" si="1354"/>
        <v>0</v>
      </c>
      <c r="AI1711" s="78" t="b">
        <f t="shared" si="1355"/>
        <v>0</v>
      </c>
      <c r="AJ1711" s="78" t="b">
        <f t="shared" si="1356"/>
        <v>0</v>
      </c>
      <c r="AK1711" s="78" t="b">
        <f t="shared" si="1357"/>
        <v>0</v>
      </c>
      <c r="AL1711" s="78" t="b">
        <f t="shared" si="1358"/>
        <v>0</v>
      </c>
      <c r="AM1711" s="78" t="b">
        <f t="shared" si="1359"/>
        <v>0</v>
      </c>
      <c r="AN1711" s="78" t="b">
        <f t="shared" si="1360"/>
        <v>0</v>
      </c>
      <c r="AO1711" s="78" t="b">
        <f t="shared" si="1361"/>
        <v>0</v>
      </c>
    </row>
    <row r="1712" spans="7:41" x14ac:dyDescent="0.35">
      <c r="G1712" s="77">
        <f t="shared" si="1331"/>
        <v>0</v>
      </c>
      <c r="H1712" s="78">
        <f t="shared" si="1332"/>
        <v>0</v>
      </c>
      <c r="I1712" s="77">
        <f t="shared" si="1333"/>
        <v>0</v>
      </c>
      <c r="J1712" s="78">
        <f t="shared" si="1334"/>
        <v>0</v>
      </c>
      <c r="K1712" s="78" t="str">
        <f t="shared" si="1335"/>
        <v>1900-01-00 00:0:00</v>
      </c>
      <c r="L1712" s="78" t="str">
        <f t="shared" si="1336"/>
        <v>1900-01-00 00:0:00</v>
      </c>
      <c r="M1712" s="79">
        <f t="shared" si="1337"/>
        <v>0</v>
      </c>
      <c r="N1712">
        <f t="shared" si="1362"/>
        <v>1</v>
      </c>
      <c r="O1712" t="str">
        <f>IFERROR(_xlfn.XLOOKUP(A1712,HC!A:A,HC!C:C),"")</f>
        <v>Workforce</v>
      </c>
      <c r="R1712" s="78" t="b">
        <f t="shared" si="1338"/>
        <v>0</v>
      </c>
      <c r="S1712" s="78" t="b">
        <f t="shared" si="1339"/>
        <v>0</v>
      </c>
      <c r="T1712" s="78" t="b">
        <f t="shared" si="1340"/>
        <v>0</v>
      </c>
      <c r="U1712" s="78" t="b">
        <f t="shared" si="1341"/>
        <v>0</v>
      </c>
      <c r="V1712" s="78" t="b">
        <f t="shared" si="1342"/>
        <v>0</v>
      </c>
      <c r="W1712" s="78" t="b">
        <f t="shared" si="1343"/>
        <v>0</v>
      </c>
      <c r="X1712" s="78" t="b">
        <f t="shared" si="1344"/>
        <v>0</v>
      </c>
      <c r="Y1712" s="78" t="b">
        <f t="shared" si="1345"/>
        <v>0</v>
      </c>
      <c r="Z1712" s="78" t="b">
        <f t="shared" si="1346"/>
        <v>0</v>
      </c>
      <c r="AA1712" s="78" t="b">
        <f t="shared" si="1347"/>
        <v>0</v>
      </c>
      <c r="AB1712" s="78" t="b">
        <f t="shared" si="1348"/>
        <v>0</v>
      </c>
      <c r="AC1712" s="78" t="b">
        <f t="shared" si="1349"/>
        <v>0</v>
      </c>
      <c r="AD1712" s="78" t="b">
        <f t="shared" si="1350"/>
        <v>0</v>
      </c>
      <c r="AE1712" s="78" t="b">
        <f t="shared" si="1351"/>
        <v>0</v>
      </c>
      <c r="AF1712" s="78" t="b">
        <f t="shared" si="1352"/>
        <v>0</v>
      </c>
      <c r="AG1712" s="78" t="b">
        <f t="shared" si="1353"/>
        <v>0</v>
      </c>
      <c r="AH1712" s="78" t="b">
        <f t="shared" si="1354"/>
        <v>0</v>
      </c>
      <c r="AI1712" s="78" t="b">
        <f t="shared" si="1355"/>
        <v>0</v>
      </c>
      <c r="AJ1712" s="78" t="b">
        <f t="shared" si="1356"/>
        <v>0</v>
      </c>
      <c r="AK1712" s="78" t="b">
        <f t="shared" si="1357"/>
        <v>0</v>
      </c>
      <c r="AL1712" s="78" t="b">
        <f t="shared" si="1358"/>
        <v>0</v>
      </c>
      <c r="AM1712" s="78" t="b">
        <f t="shared" si="1359"/>
        <v>0</v>
      </c>
      <c r="AN1712" s="78" t="b">
        <f t="shared" si="1360"/>
        <v>0</v>
      </c>
      <c r="AO1712" s="78" t="b">
        <f t="shared" si="1361"/>
        <v>0</v>
      </c>
    </row>
    <row r="1713" spans="7:41" x14ac:dyDescent="0.35">
      <c r="G1713" s="77">
        <f t="shared" si="1331"/>
        <v>0</v>
      </c>
      <c r="H1713" s="78">
        <f t="shared" si="1332"/>
        <v>0</v>
      </c>
      <c r="I1713" s="77">
        <f t="shared" si="1333"/>
        <v>0</v>
      </c>
      <c r="J1713" s="78">
        <f t="shared" si="1334"/>
        <v>0</v>
      </c>
      <c r="K1713" s="78" t="str">
        <f t="shared" si="1335"/>
        <v>1900-01-00 00:0:00</v>
      </c>
      <c r="L1713" s="78" t="str">
        <f t="shared" si="1336"/>
        <v>1900-01-00 00:0:00</v>
      </c>
      <c r="M1713" s="79">
        <f t="shared" si="1337"/>
        <v>0</v>
      </c>
      <c r="N1713">
        <f t="shared" si="1362"/>
        <v>1</v>
      </c>
      <c r="O1713" t="str">
        <f>IFERROR(_xlfn.XLOOKUP(A1713,HC!A:A,HC!C:C),"")</f>
        <v>Workforce</v>
      </c>
      <c r="R1713" s="78" t="b">
        <f t="shared" si="1338"/>
        <v>0</v>
      </c>
      <c r="S1713" s="78" t="b">
        <f t="shared" si="1339"/>
        <v>0</v>
      </c>
      <c r="T1713" s="78" t="b">
        <f t="shared" si="1340"/>
        <v>0</v>
      </c>
      <c r="U1713" s="78" t="b">
        <f t="shared" si="1341"/>
        <v>0</v>
      </c>
      <c r="V1713" s="78" t="b">
        <f t="shared" si="1342"/>
        <v>0</v>
      </c>
      <c r="W1713" s="78" t="b">
        <f t="shared" si="1343"/>
        <v>0</v>
      </c>
      <c r="X1713" s="78" t="b">
        <f t="shared" si="1344"/>
        <v>0</v>
      </c>
      <c r="Y1713" s="78" t="b">
        <f t="shared" si="1345"/>
        <v>0</v>
      </c>
      <c r="Z1713" s="78" t="b">
        <f t="shared" si="1346"/>
        <v>0</v>
      </c>
      <c r="AA1713" s="78" t="b">
        <f t="shared" si="1347"/>
        <v>0</v>
      </c>
      <c r="AB1713" s="78" t="b">
        <f t="shared" si="1348"/>
        <v>0</v>
      </c>
      <c r="AC1713" s="78" t="b">
        <f t="shared" si="1349"/>
        <v>0</v>
      </c>
      <c r="AD1713" s="78" t="b">
        <f t="shared" si="1350"/>
        <v>0</v>
      </c>
      <c r="AE1713" s="78" t="b">
        <f t="shared" si="1351"/>
        <v>0</v>
      </c>
      <c r="AF1713" s="78" t="b">
        <f t="shared" si="1352"/>
        <v>0</v>
      </c>
      <c r="AG1713" s="78" t="b">
        <f t="shared" si="1353"/>
        <v>0</v>
      </c>
      <c r="AH1713" s="78" t="b">
        <f t="shared" si="1354"/>
        <v>0</v>
      </c>
      <c r="AI1713" s="78" t="b">
        <f t="shared" si="1355"/>
        <v>0</v>
      </c>
      <c r="AJ1713" s="78" t="b">
        <f t="shared" si="1356"/>
        <v>0</v>
      </c>
      <c r="AK1713" s="78" t="b">
        <f t="shared" si="1357"/>
        <v>0</v>
      </c>
      <c r="AL1713" s="78" t="b">
        <f t="shared" si="1358"/>
        <v>0</v>
      </c>
      <c r="AM1713" s="78" t="b">
        <f t="shared" si="1359"/>
        <v>0</v>
      </c>
      <c r="AN1713" s="78" t="b">
        <f t="shared" si="1360"/>
        <v>0</v>
      </c>
      <c r="AO1713" s="78" t="b">
        <f t="shared" si="1361"/>
        <v>0</v>
      </c>
    </row>
    <row r="1714" spans="7:41" x14ac:dyDescent="0.35">
      <c r="G1714" s="77">
        <f t="shared" si="1331"/>
        <v>0</v>
      </c>
      <c r="H1714" s="78">
        <f t="shared" si="1332"/>
        <v>0</v>
      </c>
      <c r="I1714" s="77">
        <f t="shared" si="1333"/>
        <v>0</v>
      </c>
      <c r="J1714" s="78">
        <f t="shared" si="1334"/>
        <v>0</v>
      </c>
      <c r="K1714" s="78" t="str">
        <f t="shared" si="1335"/>
        <v>1900-01-00 00:0:00</v>
      </c>
      <c r="L1714" s="78" t="str">
        <f t="shared" si="1336"/>
        <v>1900-01-00 00:0:00</v>
      </c>
      <c r="M1714" s="79">
        <f t="shared" si="1337"/>
        <v>0</v>
      </c>
      <c r="N1714">
        <f t="shared" si="1362"/>
        <v>1</v>
      </c>
      <c r="O1714" t="str">
        <f>IFERROR(_xlfn.XLOOKUP(A1714,HC!A:A,HC!C:C),"")</f>
        <v>Workforce</v>
      </c>
      <c r="R1714" s="78" t="b">
        <f t="shared" si="1338"/>
        <v>0</v>
      </c>
      <c r="S1714" s="78" t="b">
        <f t="shared" si="1339"/>
        <v>0</v>
      </c>
      <c r="T1714" s="78" t="b">
        <f t="shared" si="1340"/>
        <v>0</v>
      </c>
      <c r="U1714" s="78" t="b">
        <f t="shared" si="1341"/>
        <v>0</v>
      </c>
      <c r="V1714" s="78" t="b">
        <f t="shared" si="1342"/>
        <v>0</v>
      </c>
      <c r="W1714" s="78" t="b">
        <f t="shared" si="1343"/>
        <v>0</v>
      </c>
      <c r="X1714" s="78" t="b">
        <f t="shared" si="1344"/>
        <v>0</v>
      </c>
      <c r="Y1714" s="78" t="b">
        <f t="shared" si="1345"/>
        <v>0</v>
      </c>
      <c r="Z1714" s="78" t="b">
        <f t="shared" si="1346"/>
        <v>0</v>
      </c>
      <c r="AA1714" s="78" t="b">
        <f t="shared" si="1347"/>
        <v>0</v>
      </c>
      <c r="AB1714" s="78" t="b">
        <f t="shared" si="1348"/>
        <v>0</v>
      </c>
      <c r="AC1714" s="78" t="b">
        <f t="shared" si="1349"/>
        <v>0</v>
      </c>
      <c r="AD1714" s="78" t="b">
        <f t="shared" si="1350"/>
        <v>0</v>
      </c>
      <c r="AE1714" s="78" t="b">
        <f t="shared" si="1351"/>
        <v>0</v>
      </c>
      <c r="AF1714" s="78" t="b">
        <f t="shared" si="1352"/>
        <v>0</v>
      </c>
      <c r="AG1714" s="78" t="b">
        <f t="shared" si="1353"/>
        <v>0</v>
      </c>
      <c r="AH1714" s="78" t="b">
        <f t="shared" si="1354"/>
        <v>0</v>
      </c>
      <c r="AI1714" s="78" t="b">
        <f t="shared" si="1355"/>
        <v>0</v>
      </c>
      <c r="AJ1714" s="78" t="b">
        <f t="shared" si="1356"/>
        <v>0</v>
      </c>
      <c r="AK1714" s="78" t="b">
        <f t="shared" si="1357"/>
        <v>0</v>
      </c>
      <c r="AL1714" s="78" t="b">
        <f t="shared" si="1358"/>
        <v>0</v>
      </c>
      <c r="AM1714" s="78" t="b">
        <f t="shared" si="1359"/>
        <v>0</v>
      </c>
      <c r="AN1714" s="78" t="b">
        <f t="shared" si="1360"/>
        <v>0</v>
      </c>
      <c r="AO1714" s="78" t="b">
        <f t="shared" si="1361"/>
        <v>0</v>
      </c>
    </row>
    <row r="1715" spans="7:41" x14ac:dyDescent="0.35">
      <c r="G1715" s="77">
        <f t="shared" si="1331"/>
        <v>0</v>
      </c>
      <c r="H1715" s="78">
        <f t="shared" si="1332"/>
        <v>0</v>
      </c>
      <c r="I1715" s="77">
        <f t="shared" si="1333"/>
        <v>0</v>
      </c>
      <c r="J1715" s="78">
        <f t="shared" si="1334"/>
        <v>0</v>
      </c>
      <c r="K1715" s="78" t="str">
        <f t="shared" si="1335"/>
        <v>1900-01-00 00:0:00</v>
      </c>
      <c r="L1715" s="78" t="str">
        <f t="shared" si="1336"/>
        <v>1900-01-00 00:0:00</v>
      </c>
      <c r="M1715" s="79">
        <f t="shared" si="1337"/>
        <v>0</v>
      </c>
      <c r="N1715">
        <f t="shared" si="1362"/>
        <v>1</v>
      </c>
      <c r="O1715" t="str">
        <f>IFERROR(_xlfn.XLOOKUP(A1715,HC!A:A,HC!C:C),"")</f>
        <v>Workforce</v>
      </c>
      <c r="R1715" s="78" t="b">
        <f t="shared" si="1338"/>
        <v>0</v>
      </c>
      <c r="S1715" s="78" t="b">
        <f t="shared" si="1339"/>
        <v>0</v>
      </c>
      <c r="T1715" s="78" t="b">
        <f t="shared" si="1340"/>
        <v>0</v>
      </c>
      <c r="U1715" s="78" t="b">
        <f t="shared" si="1341"/>
        <v>0</v>
      </c>
      <c r="V1715" s="78" t="b">
        <f t="shared" si="1342"/>
        <v>0</v>
      </c>
      <c r="W1715" s="78" t="b">
        <f t="shared" si="1343"/>
        <v>0</v>
      </c>
      <c r="X1715" s="78" t="b">
        <f t="shared" si="1344"/>
        <v>0</v>
      </c>
      <c r="Y1715" s="78" t="b">
        <f t="shared" si="1345"/>
        <v>0</v>
      </c>
      <c r="Z1715" s="78" t="b">
        <f t="shared" si="1346"/>
        <v>0</v>
      </c>
      <c r="AA1715" s="78" t="b">
        <f t="shared" si="1347"/>
        <v>0</v>
      </c>
      <c r="AB1715" s="78" t="b">
        <f t="shared" si="1348"/>
        <v>0</v>
      </c>
      <c r="AC1715" s="78" t="b">
        <f t="shared" si="1349"/>
        <v>0</v>
      </c>
      <c r="AD1715" s="78" t="b">
        <f t="shared" si="1350"/>
        <v>0</v>
      </c>
      <c r="AE1715" s="78" t="b">
        <f t="shared" si="1351"/>
        <v>0</v>
      </c>
      <c r="AF1715" s="78" t="b">
        <f t="shared" si="1352"/>
        <v>0</v>
      </c>
      <c r="AG1715" s="78" t="b">
        <f t="shared" si="1353"/>
        <v>0</v>
      </c>
      <c r="AH1715" s="78" t="b">
        <f t="shared" si="1354"/>
        <v>0</v>
      </c>
      <c r="AI1715" s="78" t="b">
        <f t="shared" si="1355"/>
        <v>0</v>
      </c>
      <c r="AJ1715" s="78" t="b">
        <f t="shared" si="1356"/>
        <v>0</v>
      </c>
      <c r="AK1715" s="78" t="b">
        <f t="shared" si="1357"/>
        <v>0</v>
      </c>
      <c r="AL1715" s="78" t="b">
        <f t="shared" si="1358"/>
        <v>0</v>
      </c>
      <c r="AM1715" s="78" t="b">
        <f t="shared" si="1359"/>
        <v>0</v>
      </c>
      <c r="AN1715" s="78" t="b">
        <f t="shared" si="1360"/>
        <v>0</v>
      </c>
      <c r="AO1715" s="78" t="b">
        <f t="shared" si="1361"/>
        <v>0</v>
      </c>
    </row>
    <row r="1716" spans="7:41" x14ac:dyDescent="0.35">
      <c r="G1716" s="77">
        <f t="shared" si="1331"/>
        <v>0</v>
      </c>
      <c r="H1716" s="78">
        <f t="shared" si="1332"/>
        <v>0</v>
      </c>
      <c r="I1716" s="77">
        <f t="shared" si="1333"/>
        <v>0</v>
      </c>
      <c r="J1716" s="78">
        <f t="shared" si="1334"/>
        <v>0</v>
      </c>
      <c r="K1716" s="78" t="str">
        <f t="shared" si="1335"/>
        <v>1900-01-00 00:0:00</v>
      </c>
      <c r="L1716" s="78" t="str">
        <f t="shared" si="1336"/>
        <v>1900-01-00 00:0:00</v>
      </c>
      <c r="M1716" s="79">
        <f t="shared" si="1337"/>
        <v>0</v>
      </c>
      <c r="N1716">
        <f t="shared" si="1362"/>
        <v>1</v>
      </c>
      <c r="O1716" t="str">
        <f>IFERROR(_xlfn.XLOOKUP(A1716,HC!A:A,HC!C:C),"")</f>
        <v>Workforce</v>
      </c>
      <c r="R1716" s="78" t="b">
        <f t="shared" si="1338"/>
        <v>0</v>
      </c>
      <c r="S1716" s="78" t="b">
        <f t="shared" si="1339"/>
        <v>0</v>
      </c>
      <c r="T1716" s="78" t="b">
        <f t="shared" si="1340"/>
        <v>0</v>
      </c>
      <c r="U1716" s="78" t="b">
        <f t="shared" si="1341"/>
        <v>0</v>
      </c>
      <c r="V1716" s="78" t="b">
        <f t="shared" si="1342"/>
        <v>0</v>
      </c>
      <c r="W1716" s="78" t="b">
        <f t="shared" si="1343"/>
        <v>0</v>
      </c>
      <c r="X1716" s="78" t="b">
        <f t="shared" si="1344"/>
        <v>0</v>
      </c>
      <c r="Y1716" s="78" t="b">
        <f t="shared" si="1345"/>
        <v>0</v>
      </c>
      <c r="Z1716" s="78" t="b">
        <f t="shared" si="1346"/>
        <v>0</v>
      </c>
      <c r="AA1716" s="78" t="b">
        <f t="shared" si="1347"/>
        <v>0</v>
      </c>
      <c r="AB1716" s="78" t="b">
        <f t="shared" si="1348"/>
        <v>0</v>
      </c>
      <c r="AC1716" s="78" t="b">
        <f t="shared" si="1349"/>
        <v>0</v>
      </c>
      <c r="AD1716" s="78" t="b">
        <f t="shared" si="1350"/>
        <v>0</v>
      </c>
      <c r="AE1716" s="78" t="b">
        <f t="shared" si="1351"/>
        <v>0</v>
      </c>
      <c r="AF1716" s="78" t="b">
        <f t="shared" si="1352"/>
        <v>0</v>
      </c>
      <c r="AG1716" s="78" t="b">
        <f t="shared" si="1353"/>
        <v>0</v>
      </c>
      <c r="AH1716" s="78" t="b">
        <f t="shared" si="1354"/>
        <v>0</v>
      </c>
      <c r="AI1716" s="78" t="b">
        <f t="shared" si="1355"/>
        <v>0</v>
      </c>
      <c r="AJ1716" s="78" t="b">
        <f t="shared" si="1356"/>
        <v>0</v>
      </c>
      <c r="AK1716" s="78" t="b">
        <f t="shared" si="1357"/>
        <v>0</v>
      </c>
      <c r="AL1716" s="78" t="b">
        <f t="shared" si="1358"/>
        <v>0</v>
      </c>
      <c r="AM1716" s="78" t="b">
        <f t="shared" si="1359"/>
        <v>0</v>
      </c>
      <c r="AN1716" s="78" t="b">
        <f t="shared" si="1360"/>
        <v>0</v>
      </c>
      <c r="AO1716" s="78" t="b">
        <f t="shared" si="1361"/>
        <v>0</v>
      </c>
    </row>
    <row r="1717" spans="7:41" x14ac:dyDescent="0.35">
      <c r="G1717" s="77">
        <f t="shared" si="1331"/>
        <v>0</v>
      </c>
      <c r="H1717" s="78">
        <f t="shared" si="1332"/>
        <v>0</v>
      </c>
      <c r="I1717" s="77">
        <f t="shared" si="1333"/>
        <v>0</v>
      </c>
      <c r="J1717" s="78">
        <f t="shared" si="1334"/>
        <v>0</v>
      </c>
      <c r="K1717" s="78" t="str">
        <f t="shared" si="1335"/>
        <v>1900-01-00 00:0:00</v>
      </c>
      <c r="L1717" s="78" t="str">
        <f t="shared" si="1336"/>
        <v>1900-01-00 00:0:00</v>
      </c>
      <c r="M1717" s="79">
        <f t="shared" si="1337"/>
        <v>0</v>
      </c>
      <c r="N1717">
        <f t="shared" si="1362"/>
        <v>1</v>
      </c>
      <c r="O1717" t="str">
        <f>IFERROR(_xlfn.XLOOKUP(A1717,HC!A:A,HC!C:C),"")</f>
        <v>Workforce</v>
      </c>
      <c r="R1717" s="78" t="b">
        <f t="shared" si="1338"/>
        <v>0</v>
      </c>
      <c r="S1717" s="78" t="b">
        <f t="shared" si="1339"/>
        <v>0</v>
      </c>
      <c r="T1717" s="78" t="b">
        <f t="shared" si="1340"/>
        <v>0</v>
      </c>
      <c r="U1717" s="78" t="b">
        <f t="shared" si="1341"/>
        <v>0</v>
      </c>
      <c r="V1717" s="78" t="b">
        <f t="shared" si="1342"/>
        <v>0</v>
      </c>
      <c r="W1717" s="78" t="b">
        <f t="shared" si="1343"/>
        <v>0</v>
      </c>
      <c r="X1717" s="78" t="b">
        <f t="shared" si="1344"/>
        <v>0</v>
      </c>
      <c r="Y1717" s="78" t="b">
        <f t="shared" si="1345"/>
        <v>0</v>
      </c>
      <c r="Z1717" s="78" t="b">
        <f t="shared" si="1346"/>
        <v>0</v>
      </c>
      <c r="AA1717" s="78" t="b">
        <f t="shared" si="1347"/>
        <v>0</v>
      </c>
      <c r="AB1717" s="78" t="b">
        <f t="shared" si="1348"/>
        <v>0</v>
      </c>
      <c r="AC1717" s="78" t="b">
        <f t="shared" si="1349"/>
        <v>0</v>
      </c>
      <c r="AD1717" s="78" t="b">
        <f t="shared" si="1350"/>
        <v>0</v>
      </c>
      <c r="AE1717" s="78" t="b">
        <f t="shared" si="1351"/>
        <v>0</v>
      </c>
      <c r="AF1717" s="78" t="b">
        <f t="shared" si="1352"/>
        <v>0</v>
      </c>
      <c r="AG1717" s="78" t="b">
        <f t="shared" si="1353"/>
        <v>0</v>
      </c>
      <c r="AH1717" s="78" t="b">
        <f t="shared" si="1354"/>
        <v>0</v>
      </c>
      <c r="AI1717" s="78" t="b">
        <f t="shared" si="1355"/>
        <v>0</v>
      </c>
      <c r="AJ1717" s="78" t="b">
        <f t="shared" si="1356"/>
        <v>0</v>
      </c>
      <c r="AK1717" s="78" t="b">
        <f t="shared" si="1357"/>
        <v>0</v>
      </c>
      <c r="AL1717" s="78" t="b">
        <f t="shared" si="1358"/>
        <v>0</v>
      </c>
      <c r="AM1717" s="78" t="b">
        <f t="shared" si="1359"/>
        <v>0</v>
      </c>
      <c r="AN1717" s="78" t="b">
        <f t="shared" si="1360"/>
        <v>0</v>
      </c>
      <c r="AO1717" s="78" t="b">
        <f t="shared" si="1361"/>
        <v>0</v>
      </c>
    </row>
    <row r="1718" spans="7:41" x14ac:dyDescent="0.35">
      <c r="G1718" s="77">
        <f t="shared" si="1331"/>
        <v>0</v>
      </c>
      <c r="H1718" s="78">
        <f t="shared" si="1332"/>
        <v>0</v>
      </c>
      <c r="I1718" s="77">
        <f t="shared" si="1333"/>
        <v>0</v>
      </c>
      <c r="J1718" s="78">
        <f t="shared" si="1334"/>
        <v>0</v>
      </c>
      <c r="K1718" s="78" t="str">
        <f t="shared" si="1335"/>
        <v>1900-01-00 00:0:00</v>
      </c>
      <c r="L1718" s="78" t="str">
        <f t="shared" si="1336"/>
        <v>1900-01-00 00:0:00</v>
      </c>
      <c r="M1718" s="79">
        <f t="shared" si="1337"/>
        <v>0</v>
      </c>
      <c r="N1718">
        <f t="shared" si="1362"/>
        <v>1</v>
      </c>
      <c r="O1718" t="str">
        <f>IFERROR(_xlfn.XLOOKUP(A1718,HC!A:A,HC!C:C),"")</f>
        <v>Workforce</v>
      </c>
      <c r="R1718" s="78" t="b">
        <f t="shared" si="1338"/>
        <v>0</v>
      </c>
      <c r="S1718" s="78" t="b">
        <f t="shared" si="1339"/>
        <v>0</v>
      </c>
      <c r="T1718" s="78" t="b">
        <f t="shared" si="1340"/>
        <v>0</v>
      </c>
      <c r="U1718" s="78" t="b">
        <f t="shared" si="1341"/>
        <v>0</v>
      </c>
      <c r="V1718" s="78" t="b">
        <f t="shared" si="1342"/>
        <v>0</v>
      </c>
      <c r="W1718" s="78" t="b">
        <f t="shared" si="1343"/>
        <v>0</v>
      </c>
      <c r="X1718" s="78" t="b">
        <f t="shared" si="1344"/>
        <v>0</v>
      </c>
      <c r="Y1718" s="78" t="b">
        <f t="shared" si="1345"/>
        <v>0</v>
      </c>
      <c r="Z1718" s="78" t="b">
        <f t="shared" si="1346"/>
        <v>0</v>
      </c>
      <c r="AA1718" s="78" t="b">
        <f t="shared" si="1347"/>
        <v>0</v>
      </c>
      <c r="AB1718" s="78" t="b">
        <f t="shared" si="1348"/>
        <v>0</v>
      </c>
      <c r="AC1718" s="78" t="b">
        <f t="shared" si="1349"/>
        <v>0</v>
      </c>
      <c r="AD1718" s="78" t="b">
        <f t="shared" si="1350"/>
        <v>0</v>
      </c>
      <c r="AE1718" s="78" t="b">
        <f t="shared" si="1351"/>
        <v>0</v>
      </c>
      <c r="AF1718" s="78" t="b">
        <f t="shared" si="1352"/>
        <v>0</v>
      </c>
      <c r="AG1718" s="78" t="b">
        <f t="shared" si="1353"/>
        <v>0</v>
      </c>
      <c r="AH1718" s="78" t="b">
        <f t="shared" si="1354"/>
        <v>0</v>
      </c>
      <c r="AI1718" s="78" t="b">
        <f t="shared" si="1355"/>
        <v>0</v>
      </c>
      <c r="AJ1718" s="78" t="b">
        <f t="shared" si="1356"/>
        <v>0</v>
      </c>
      <c r="AK1718" s="78" t="b">
        <f t="shared" si="1357"/>
        <v>0</v>
      </c>
      <c r="AL1718" s="78" t="b">
        <f t="shared" si="1358"/>
        <v>0</v>
      </c>
      <c r="AM1718" s="78" t="b">
        <f t="shared" si="1359"/>
        <v>0</v>
      </c>
      <c r="AN1718" s="78" t="b">
        <f t="shared" si="1360"/>
        <v>0</v>
      </c>
      <c r="AO1718" s="78" t="b">
        <f t="shared" si="1361"/>
        <v>0</v>
      </c>
    </row>
    <row r="1719" spans="7:41" x14ac:dyDescent="0.35">
      <c r="G1719" s="77">
        <f t="shared" si="1331"/>
        <v>0</v>
      </c>
      <c r="H1719" s="78">
        <f t="shared" si="1332"/>
        <v>0</v>
      </c>
      <c r="I1719" s="77">
        <f t="shared" si="1333"/>
        <v>0</v>
      </c>
      <c r="J1719" s="78">
        <f t="shared" si="1334"/>
        <v>0</v>
      </c>
      <c r="K1719" s="78" t="str">
        <f t="shared" si="1335"/>
        <v>1900-01-00 00:0:00</v>
      </c>
      <c r="L1719" s="78" t="str">
        <f t="shared" si="1336"/>
        <v>1900-01-00 00:0:00</v>
      </c>
      <c r="M1719" s="79">
        <f t="shared" si="1337"/>
        <v>0</v>
      </c>
      <c r="N1719">
        <f t="shared" si="1362"/>
        <v>1</v>
      </c>
      <c r="O1719" t="str">
        <f>IFERROR(_xlfn.XLOOKUP(A1719,HC!A:A,HC!C:C),"")</f>
        <v>Workforce</v>
      </c>
      <c r="R1719" s="78" t="b">
        <f t="shared" si="1338"/>
        <v>0</v>
      </c>
      <c r="S1719" s="78" t="b">
        <f t="shared" si="1339"/>
        <v>0</v>
      </c>
      <c r="T1719" s="78" t="b">
        <f t="shared" si="1340"/>
        <v>0</v>
      </c>
      <c r="U1719" s="78" t="b">
        <f t="shared" si="1341"/>
        <v>0</v>
      </c>
      <c r="V1719" s="78" t="b">
        <f t="shared" si="1342"/>
        <v>0</v>
      </c>
      <c r="W1719" s="78" t="b">
        <f t="shared" si="1343"/>
        <v>0</v>
      </c>
      <c r="X1719" s="78" t="b">
        <f t="shared" si="1344"/>
        <v>0</v>
      </c>
      <c r="Y1719" s="78" t="b">
        <f t="shared" si="1345"/>
        <v>0</v>
      </c>
      <c r="Z1719" s="78" t="b">
        <f t="shared" si="1346"/>
        <v>0</v>
      </c>
      <c r="AA1719" s="78" t="b">
        <f t="shared" si="1347"/>
        <v>0</v>
      </c>
      <c r="AB1719" s="78" t="b">
        <f t="shared" si="1348"/>
        <v>0</v>
      </c>
      <c r="AC1719" s="78" t="b">
        <f t="shared" si="1349"/>
        <v>0</v>
      </c>
      <c r="AD1719" s="78" t="b">
        <f t="shared" si="1350"/>
        <v>0</v>
      </c>
      <c r="AE1719" s="78" t="b">
        <f t="shared" si="1351"/>
        <v>0</v>
      </c>
      <c r="AF1719" s="78" t="b">
        <f t="shared" si="1352"/>
        <v>0</v>
      </c>
      <c r="AG1719" s="78" t="b">
        <f t="shared" si="1353"/>
        <v>0</v>
      </c>
      <c r="AH1719" s="78" t="b">
        <f t="shared" si="1354"/>
        <v>0</v>
      </c>
      <c r="AI1719" s="78" t="b">
        <f t="shared" si="1355"/>
        <v>0</v>
      </c>
      <c r="AJ1719" s="78" t="b">
        <f t="shared" si="1356"/>
        <v>0</v>
      </c>
      <c r="AK1719" s="78" t="b">
        <f t="shared" si="1357"/>
        <v>0</v>
      </c>
      <c r="AL1719" s="78" t="b">
        <f t="shared" si="1358"/>
        <v>0</v>
      </c>
      <c r="AM1719" s="78" t="b">
        <f t="shared" si="1359"/>
        <v>0</v>
      </c>
      <c r="AN1719" s="78" t="b">
        <f t="shared" si="1360"/>
        <v>0</v>
      </c>
      <c r="AO1719" s="78" t="b">
        <f t="shared" si="1361"/>
        <v>0</v>
      </c>
    </row>
    <row r="1720" spans="7:41" x14ac:dyDescent="0.35">
      <c r="G1720" s="77">
        <f t="shared" si="1331"/>
        <v>0</v>
      </c>
      <c r="H1720" s="78">
        <f t="shared" si="1332"/>
        <v>0</v>
      </c>
      <c r="I1720" s="77">
        <f t="shared" si="1333"/>
        <v>0</v>
      </c>
      <c r="J1720" s="78">
        <f t="shared" si="1334"/>
        <v>0</v>
      </c>
      <c r="K1720" s="78" t="str">
        <f t="shared" si="1335"/>
        <v>1900-01-00 00:0:00</v>
      </c>
      <c r="L1720" s="78" t="str">
        <f t="shared" si="1336"/>
        <v>1900-01-00 00:0:00</v>
      </c>
      <c r="M1720" s="79">
        <f t="shared" si="1337"/>
        <v>0</v>
      </c>
      <c r="N1720">
        <f t="shared" si="1362"/>
        <v>1</v>
      </c>
      <c r="O1720" t="str">
        <f>IFERROR(_xlfn.XLOOKUP(A1720,HC!A:A,HC!C:C),"")</f>
        <v>Workforce</v>
      </c>
      <c r="R1720" s="78" t="b">
        <f t="shared" si="1338"/>
        <v>0</v>
      </c>
      <c r="S1720" s="78" t="b">
        <f t="shared" si="1339"/>
        <v>0</v>
      </c>
      <c r="T1720" s="78" t="b">
        <f t="shared" si="1340"/>
        <v>0</v>
      </c>
      <c r="U1720" s="78" t="b">
        <f t="shared" si="1341"/>
        <v>0</v>
      </c>
      <c r="V1720" s="78" t="b">
        <f t="shared" si="1342"/>
        <v>0</v>
      </c>
      <c r="W1720" s="78" t="b">
        <f t="shared" si="1343"/>
        <v>0</v>
      </c>
      <c r="X1720" s="78" t="b">
        <f t="shared" si="1344"/>
        <v>0</v>
      </c>
      <c r="Y1720" s="78" t="b">
        <f t="shared" si="1345"/>
        <v>0</v>
      </c>
      <c r="Z1720" s="78" t="b">
        <f t="shared" si="1346"/>
        <v>0</v>
      </c>
      <c r="AA1720" s="78" t="b">
        <f t="shared" si="1347"/>
        <v>0</v>
      </c>
      <c r="AB1720" s="78" t="b">
        <f t="shared" si="1348"/>
        <v>0</v>
      </c>
      <c r="AC1720" s="78" t="b">
        <f t="shared" si="1349"/>
        <v>0</v>
      </c>
      <c r="AD1720" s="78" t="b">
        <f t="shared" si="1350"/>
        <v>0</v>
      </c>
      <c r="AE1720" s="78" t="b">
        <f t="shared" si="1351"/>
        <v>0</v>
      </c>
      <c r="AF1720" s="78" t="b">
        <f t="shared" si="1352"/>
        <v>0</v>
      </c>
      <c r="AG1720" s="78" t="b">
        <f t="shared" si="1353"/>
        <v>0</v>
      </c>
      <c r="AH1720" s="78" t="b">
        <f t="shared" si="1354"/>
        <v>0</v>
      </c>
      <c r="AI1720" s="78" t="b">
        <f t="shared" si="1355"/>
        <v>0</v>
      </c>
      <c r="AJ1720" s="78" t="b">
        <f t="shared" si="1356"/>
        <v>0</v>
      </c>
      <c r="AK1720" s="78" t="b">
        <f t="shared" si="1357"/>
        <v>0</v>
      </c>
      <c r="AL1720" s="78" t="b">
        <f t="shared" si="1358"/>
        <v>0</v>
      </c>
      <c r="AM1720" s="78" t="b">
        <f t="shared" si="1359"/>
        <v>0</v>
      </c>
      <c r="AN1720" s="78" t="b">
        <f t="shared" si="1360"/>
        <v>0</v>
      </c>
      <c r="AO1720" s="78" t="b">
        <f t="shared" si="1361"/>
        <v>0</v>
      </c>
    </row>
    <row r="1721" spans="7:41" x14ac:dyDescent="0.35">
      <c r="G1721" s="77">
        <f t="shared" si="1331"/>
        <v>0</v>
      </c>
      <c r="H1721" s="78">
        <f t="shared" si="1332"/>
        <v>0</v>
      </c>
      <c r="I1721" s="77">
        <f t="shared" si="1333"/>
        <v>0</v>
      </c>
      <c r="J1721" s="78">
        <f t="shared" si="1334"/>
        <v>0</v>
      </c>
      <c r="K1721" s="78" t="str">
        <f t="shared" si="1335"/>
        <v>1900-01-00 00:0:00</v>
      </c>
      <c r="L1721" s="78" t="str">
        <f t="shared" si="1336"/>
        <v>1900-01-00 00:0:00</v>
      </c>
      <c r="M1721" s="79">
        <f t="shared" si="1337"/>
        <v>0</v>
      </c>
      <c r="N1721">
        <f t="shared" si="1362"/>
        <v>1</v>
      </c>
      <c r="O1721" t="str">
        <f>IFERROR(_xlfn.XLOOKUP(A1721,HC!A:A,HC!C:C),"")</f>
        <v>Workforce</v>
      </c>
      <c r="R1721" s="78" t="b">
        <f t="shared" si="1338"/>
        <v>0</v>
      </c>
      <c r="S1721" s="78" t="b">
        <f t="shared" si="1339"/>
        <v>0</v>
      </c>
      <c r="T1721" s="78" t="b">
        <f t="shared" si="1340"/>
        <v>0</v>
      </c>
      <c r="U1721" s="78" t="b">
        <f t="shared" si="1341"/>
        <v>0</v>
      </c>
      <c r="V1721" s="78" t="b">
        <f t="shared" si="1342"/>
        <v>0</v>
      </c>
      <c r="W1721" s="78" t="b">
        <f t="shared" si="1343"/>
        <v>0</v>
      </c>
      <c r="X1721" s="78" t="b">
        <f t="shared" si="1344"/>
        <v>0</v>
      </c>
      <c r="Y1721" s="78" t="b">
        <f t="shared" si="1345"/>
        <v>0</v>
      </c>
      <c r="Z1721" s="78" t="b">
        <f t="shared" si="1346"/>
        <v>0</v>
      </c>
      <c r="AA1721" s="78" t="b">
        <f t="shared" si="1347"/>
        <v>0</v>
      </c>
      <c r="AB1721" s="78" t="b">
        <f t="shared" si="1348"/>
        <v>0</v>
      </c>
      <c r="AC1721" s="78" t="b">
        <f t="shared" si="1349"/>
        <v>0</v>
      </c>
      <c r="AD1721" s="78" t="b">
        <f t="shared" si="1350"/>
        <v>0</v>
      </c>
      <c r="AE1721" s="78" t="b">
        <f t="shared" si="1351"/>
        <v>0</v>
      </c>
      <c r="AF1721" s="78" t="b">
        <f t="shared" si="1352"/>
        <v>0</v>
      </c>
      <c r="AG1721" s="78" t="b">
        <f t="shared" si="1353"/>
        <v>0</v>
      </c>
      <c r="AH1721" s="78" t="b">
        <f t="shared" si="1354"/>
        <v>0</v>
      </c>
      <c r="AI1721" s="78" t="b">
        <f t="shared" si="1355"/>
        <v>0</v>
      </c>
      <c r="AJ1721" s="78" t="b">
        <f t="shared" si="1356"/>
        <v>0</v>
      </c>
      <c r="AK1721" s="78" t="b">
        <f t="shared" si="1357"/>
        <v>0</v>
      </c>
      <c r="AL1721" s="78" t="b">
        <f t="shared" si="1358"/>
        <v>0</v>
      </c>
      <c r="AM1721" s="78" t="b">
        <f t="shared" si="1359"/>
        <v>0</v>
      </c>
      <c r="AN1721" s="78" t="b">
        <f t="shared" si="1360"/>
        <v>0</v>
      </c>
      <c r="AO1721" s="78" t="b">
        <f t="shared" si="1361"/>
        <v>0</v>
      </c>
    </row>
    <row r="1722" spans="7:41" x14ac:dyDescent="0.35">
      <c r="G1722" s="77">
        <f t="shared" ref="G1722:G1785" si="1363">INT(D1722)</f>
        <v>0</v>
      </c>
      <c r="H1722" s="78">
        <f t="shared" ref="H1722:H1785" si="1364">D1722-G1722</f>
        <v>0</v>
      </c>
      <c r="I1722" s="77">
        <f t="shared" ref="I1722:I1785" si="1365">INT(E1722)</f>
        <v>0</v>
      </c>
      <c r="J1722" s="78">
        <f t="shared" ref="J1722:J1785" si="1366">E1722-I1722</f>
        <v>0</v>
      </c>
      <c r="K1722" s="78" t="str">
        <f t="shared" ref="K1722:K1785" si="1367">TEXT(G1722+H1722,"yyyy-mm-dd hh:m:ss")</f>
        <v>1900-01-00 00:0:00</v>
      </c>
      <c r="L1722" s="78" t="str">
        <f t="shared" ref="L1722:L1785" si="1368">TEXT(I1722+J1722,"yyyy-mm-dd hh:m:ss")</f>
        <v>1900-01-00 00:0:00</v>
      </c>
      <c r="M1722" s="79">
        <f t="shared" ref="M1722:M1785" si="1369">E1722-D1722</f>
        <v>0</v>
      </c>
      <c r="N1722">
        <f t="shared" si="1362"/>
        <v>1</v>
      </c>
      <c r="O1722" t="str">
        <f>IFERROR(_xlfn.XLOOKUP(A1722,HC!A:A,HC!C:C),"")</f>
        <v>Workforce</v>
      </c>
      <c r="R1722" s="78" t="b">
        <f t="shared" si="1338"/>
        <v>0</v>
      </c>
      <c r="S1722" s="78" t="b">
        <f t="shared" si="1339"/>
        <v>0</v>
      </c>
      <c r="T1722" s="78" t="b">
        <f t="shared" si="1340"/>
        <v>0</v>
      </c>
      <c r="U1722" s="78" t="b">
        <f t="shared" si="1341"/>
        <v>0</v>
      </c>
      <c r="V1722" s="78" t="b">
        <f t="shared" si="1342"/>
        <v>0</v>
      </c>
      <c r="W1722" s="78" t="b">
        <f t="shared" si="1343"/>
        <v>0</v>
      </c>
      <c r="X1722" s="78" t="b">
        <f t="shared" si="1344"/>
        <v>0</v>
      </c>
      <c r="Y1722" s="78" t="b">
        <f t="shared" si="1345"/>
        <v>0</v>
      </c>
      <c r="Z1722" s="78" t="b">
        <f t="shared" si="1346"/>
        <v>0</v>
      </c>
      <c r="AA1722" s="78" t="b">
        <f t="shared" si="1347"/>
        <v>0</v>
      </c>
      <c r="AB1722" s="78" t="b">
        <f t="shared" si="1348"/>
        <v>0</v>
      </c>
      <c r="AC1722" s="78" t="b">
        <f t="shared" si="1349"/>
        <v>0</v>
      </c>
      <c r="AD1722" s="78" t="b">
        <f t="shared" si="1350"/>
        <v>0</v>
      </c>
      <c r="AE1722" s="78" t="b">
        <f t="shared" si="1351"/>
        <v>0</v>
      </c>
      <c r="AF1722" s="78" t="b">
        <f t="shared" si="1352"/>
        <v>0</v>
      </c>
      <c r="AG1722" s="78" t="b">
        <f t="shared" si="1353"/>
        <v>0</v>
      </c>
      <c r="AH1722" s="78" t="b">
        <f t="shared" si="1354"/>
        <v>0</v>
      </c>
      <c r="AI1722" s="78" t="b">
        <f t="shared" si="1355"/>
        <v>0</v>
      </c>
      <c r="AJ1722" s="78" t="b">
        <f t="shared" si="1356"/>
        <v>0</v>
      </c>
      <c r="AK1722" s="78" t="b">
        <f t="shared" si="1357"/>
        <v>0</v>
      </c>
      <c r="AL1722" s="78" t="b">
        <f t="shared" si="1358"/>
        <v>0</v>
      </c>
      <c r="AM1722" s="78" t="b">
        <f t="shared" si="1359"/>
        <v>0</v>
      </c>
      <c r="AN1722" s="78" t="b">
        <f t="shared" si="1360"/>
        <v>0</v>
      </c>
      <c r="AO1722" s="78" t="b">
        <f t="shared" si="1361"/>
        <v>0</v>
      </c>
    </row>
    <row r="1723" spans="7:41" x14ac:dyDescent="0.35">
      <c r="G1723" s="77">
        <f t="shared" si="1363"/>
        <v>0</v>
      </c>
      <c r="H1723" s="78">
        <f t="shared" si="1364"/>
        <v>0</v>
      </c>
      <c r="I1723" s="77">
        <f t="shared" si="1365"/>
        <v>0</v>
      </c>
      <c r="J1723" s="78">
        <f t="shared" si="1366"/>
        <v>0</v>
      </c>
      <c r="K1723" s="78" t="str">
        <f t="shared" si="1367"/>
        <v>1900-01-00 00:0:00</v>
      </c>
      <c r="L1723" s="78" t="str">
        <f t="shared" si="1368"/>
        <v>1900-01-00 00:0:00</v>
      </c>
      <c r="M1723" s="79">
        <f t="shared" si="1369"/>
        <v>0</v>
      </c>
      <c r="N1723">
        <f t="shared" si="1362"/>
        <v>1</v>
      </c>
      <c r="O1723" t="str">
        <f>IFERROR(_xlfn.XLOOKUP(A1723,HC!A:A,HC!C:C),"")</f>
        <v>Workforce</v>
      </c>
      <c r="R1723" s="78" t="b">
        <f t="shared" si="1338"/>
        <v>0</v>
      </c>
      <c r="S1723" s="78" t="b">
        <f t="shared" si="1339"/>
        <v>0</v>
      </c>
      <c r="T1723" s="78" t="b">
        <f t="shared" si="1340"/>
        <v>0</v>
      </c>
      <c r="U1723" s="78" t="b">
        <f t="shared" si="1341"/>
        <v>0</v>
      </c>
      <c r="V1723" s="78" t="b">
        <f t="shared" si="1342"/>
        <v>0</v>
      </c>
      <c r="W1723" s="78" t="b">
        <f t="shared" si="1343"/>
        <v>0</v>
      </c>
      <c r="X1723" s="78" t="b">
        <f t="shared" si="1344"/>
        <v>0</v>
      </c>
      <c r="Y1723" s="78" t="b">
        <f t="shared" si="1345"/>
        <v>0</v>
      </c>
      <c r="Z1723" s="78" t="b">
        <f t="shared" si="1346"/>
        <v>0</v>
      </c>
      <c r="AA1723" s="78" t="b">
        <f t="shared" si="1347"/>
        <v>0</v>
      </c>
      <c r="AB1723" s="78" t="b">
        <f t="shared" si="1348"/>
        <v>0</v>
      </c>
      <c r="AC1723" s="78" t="b">
        <f t="shared" si="1349"/>
        <v>0</v>
      </c>
      <c r="AD1723" s="78" t="b">
        <f t="shared" si="1350"/>
        <v>0</v>
      </c>
      <c r="AE1723" s="78" t="b">
        <f t="shared" si="1351"/>
        <v>0</v>
      </c>
      <c r="AF1723" s="78" t="b">
        <f t="shared" si="1352"/>
        <v>0</v>
      </c>
      <c r="AG1723" s="78" t="b">
        <f t="shared" si="1353"/>
        <v>0</v>
      </c>
      <c r="AH1723" s="78" t="b">
        <f t="shared" si="1354"/>
        <v>0</v>
      </c>
      <c r="AI1723" s="78" t="b">
        <f t="shared" si="1355"/>
        <v>0</v>
      </c>
      <c r="AJ1723" s="78" t="b">
        <f t="shared" si="1356"/>
        <v>0</v>
      </c>
      <c r="AK1723" s="78" t="b">
        <f t="shared" si="1357"/>
        <v>0</v>
      </c>
      <c r="AL1723" s="78" t="b">
        <f t="shared" si="1358"/>
        <v>0</v>
      </c>
      <c r="AM1723" s="78" t="b">
        <f t="shared" si="1359"/>
        <v>0</v>
      </c>
      <c r="AN1723" s="78" t="b">
        <f t="shared" si="1360"/>
        <v>0</v>
      </c>
      <c r="AO1723" s="78" t="b">
        <f t="shared" si="1361"/>
        <v>0</v>
      </c>
    </row>
    <row r="1724" spans="7:41" x14ac:dyDescent="0.35">
      <c r="G1724" s="77">
        <f t="shared" si="1363"/>
        <v>0</v>
      </c>
      <c r="H1724" s="78">
        <f t="shared" si="1364"/>
        <v>0</v>
      </c>
      <c r="I1724" s="77">
        <f t="shared" si="1365"/>
        <v>0</v>
      </c>
      <c r="J1724" s="78">
        <f t="shared" si="1366"/>
        <v>0</v>
      </c>
      <c r="K1724" s="78" t="str">
        <f t="shared" si="1367"/>
        <v>1900-01-00 00:0:00</v>
      </c>
      <c r="L1724" s="78" t="str">
        <f t="shared" si="1368"/>
        <v>1900-01-00 00:0:00</v>
      </c>
      <c r="M1724" s="79">
        <f t="shared" si="1369"/>
        <v>0</v>
      </c>
      <c r="N1724">
        <f t="shared" si="1362"/>
        <v>1</v>
      </c>
      <c r="O1724" t="str">
        <f>IFERROR(_xlfn.XLOOKUP(A1724,HC!A:A,HC!C:C),"")</f>
        <v>Workforce</v>
      </c>
      <c r="R1724" s="78" t="b">
        <f t="shared" ref="R1724:R1787" si="1370">IFERROR(IF($B1724=$D$1,IF(AND($K1724&lt;R$1,$L1724&lt;R$1),"",IF(AND($K1724&gt;S$1,$L1724&gt;S$1),"",IF(AND($K1724&lt;R$1,$L1724&lt;=S$1),$L1724-R$1,IF(AND($K1724&gt;=R$1,$L1724&gt;S$1),S$1-$K1724,IF(AND($K1724&gt;=R$1,$L1724&lt;=S$1),$L1724-$K1724,IF(AND($K1724&lt;R$1,$L1724&gt;S$1),S$1-R$1,""))))))),"")</f>
        <v>0</v>
      </c>
      <c r="S1724" s="78" t="b">
        <f t="shared" ref="S1724:S1787" si="1371">IFERROR(IF($B1724=$D$1,IF(AND($K1724&lt;S$1,$L1724&lt;S$1),"",IF(AND($K1724&gt;T$1,$L1724&gt;T$1),"",IF(AND($K1724&lt;S$1,$L1724&lt;=T$1),$L1724-S$1,IF(AND($K1724&gt;=S$1,$L1724&gt;T$1),T$1-$K1724,IF(AND($K1724&gt;=S$1,$L1724&lt;=T$1),$L1724-$K1724,IF(AND($K1724&lt;S$1,$L1724&gt;T$1),T$1-S$1,""))))))),"")</f>
        <v>0</v>
      </c>
      <c r="T1724" s="78" t="b">
        <f t="shared" ref="T1724:T1787" si="1372">IFERROR(IF($B1724=$D$1,IF(AND($K1724&lt;T$1,$L1724&lt;T$1),"",IF(AND($K1724&gt;U$1,$L1724&gt;U$1),"",IF(AND($K1724&lt;T$1,$L1724&lt;=U$1),$L1724-T$1,IF(AND($K1724&gt;=T$1,$L1724&gt;U$1),U$1-$K1724,IF(AND($K1724&gt;=T$1,$L1724&lt;=U$1),$L1724-$K1724,IF(AND($K1724&lt;T$1,$L1724&gt;U$1),U$1-T$1,""))))))),"")</f>
        <v>0</v>
      </c>
      <c r="U1724" s="78" t="b">
        <f t="shared" ref="U1724:U1787" si="1373">IFERROR(IF($B1724=$D$1,IF(AND($K1724&lt;U$1,$L1724&lt;U$1),"",IF(AND($K1724&gt;V$1,$L1724&gt;V$1),"",IF(AND($K1724&lt;U$1,$L1724&lt;=V$1),$L1724-U$1,IF(AND($K1724&gt;=U$1,$L1724&gt;V$1),V$1-$K1724,IF(AND($K1724&gt;=U$1,$L1724&lt;=V$1),$L1724-$K1724,IF(AND($K1724&lt;U$1,$L1724&gt;V$1),V$1-U$1,""))))))),"")</f>
        <v>0</v>
      </c>
      <c r="V1724" s="78" t="b">
        <f t="shared" ref="V1724:V1787" si="1374">IFERROR(IF($B1724=$D$1,IF(AND($K1724&lt;V$1,$L1724&lt;V$1),"",IF(AND($K1724&gt;W$1,$L1724&gt;W$1),"",IF(AND($K1724&lt;V$1,$L1724&lt;=W$1),$L1724-V$1,IF(AND($K1724&gt;=V$1,$L1724&gt;W$1),W$1-$K1724,IF(AND($K1724&gt;=V$1,$L1724&lt;=W$1),$L1724-$K1724,IF(AND($K1724&lt;V$1,$L1724&gt;W$1),W$1-V$1,""))))))),"")</f>
        <v>0</v>
      </c>
      <c r="W1724" s="78" t="b">
        <f t="shared" ref="W1724:W1787" si="1375">IFERROR(IF($B1724=$D$1,IF(AND($K1724&lt;W$1,$L1724&lt;W$1),"",IF(AND($K1724&gt;X$1,$L1724&gt;X$1),"",IF(AND($K1724&lt;W$1,$L1724&lt;=X$1),$L1724-W$1,IF(AND($K1724&gt;=W$1,$L1724&gt;X$1),X$1-$K1724,IF(AND($K1724&gt;=W$1,$L1724&lt;=X$1),$L1724-$K1724,IF(AND($K1724&lt;W$1,$L1724&gt;X$1),X$1-W$1,""))))))),"")</f>
        <v>0</v>
      </c>
      <c r="X1724" s="78" t="b">
        <f t="shared" ref="X1724:X1787" si="1376">IFERROR(IF($B1724=$D$1,IF(AND($K1724&lt;X$1,$L1724&lt;X$1),"",IF(AND($K1724&gt;Y$1,$L1724&gt;Y$1),"",IF(AND($K1724&lt;X$1,$L1724&lt;=Y$1),$L1724-X$1,IF(AND($K1724&gt;=X$1,$L1724&gt;Y$1),Y$1-$K1724,IF(AND($K1724&gt;=X$1,$L1724&lt;=Y$1),$L1724-$K1724,IF(AND($K1724&lt;X$1,$L1724&gt;Y$1),Y$1-X$1,""))))))),"")</f>
        <v>0</v>
      </c>
      <c r="Y1724" s="78" t="b">
        <f t="shared" ref="Y1724:Y1787" si="1377">IFERROR(IF($B1724=$D$1,IF(AND($K1724&lt;Y$1,$L1724&lt;Y$1),"",IF(AND($K1724&gt;Z$1,$L1724&gt;Z$1),"",IF(AND($K1724&lt;Y$1,$L1724&lt;=Z$1),$L1724-Y$1,IF(AND($K1724&gt;=Y$1,$L1724&gt;Z$1),Z$1-$K1724,IF(AND($K1724&gt;=Y$1,$L1724&lt;=Z$1),$L1724-$K1724,IF(AND($K1724&lt;Y$1,$L1724&gt;Z$1),Z$1-Y$1,""))))))),"")</f>
        <v>0</v>
      </c>
      <c r="Z1724" s="78" t="b">
        <f t="shared" ref="Z1724:Z1787" si="1378">IFERROR(IF($B1724=$D$1,IF(AND($K1724&lt;Z$1,$L1724&lt;Z$1),"",IF(AND($K1724&gt;AA$1,$L1724&gt;AA$1),"",IF(AND($K1724&lt;Z$1,$L1724&lt;=AA$1),$L1724-Z$1,IF(AND($K1724&gt;=Z$1,$L1724&gt;AA$1),AA$1-$K1724,IF(AND($K1724&gt;=Z$1,$L1724&lt;=AA$1),$L1724-$K1724,IF(AND($K1724&lt;Z$1,$L1724&gt;AA$1),AA$1-Z$1,""))))))),"")</f>
        <v>0</v>
      </c>
      <c r="AA1724" s="78" t="b">
        <f t="shared" ref="AA1724:AA1787" si="1379">IFERROR(IF($B1724=$D$1,IF(AND($K1724&lt;AA$1,$L1724&lt;AA$1),"",IF(AND($K1724&gt;AB$1,$L1724&gt;AB$1),"",IF(AND($K1724&lt;AA$1,$L1724&lt;=AB$1),$L1724-AA$1,IF(AND($K1724&gt;=AA$1,$L1724&gt;AB$1),AB$1-$K1724,IF(AND($K1724&gt;=AA$1,$L1724&lt;=AB$1),$L1724-$K1724,IF(AND($K1724&lt;AA$1,$L1724&gt;AB$1),AB$1-AA$1,""))))))),"")</f>
        <v>0</v>
      </c>
      <c r="AB1724" s="78" t="b">
        <f t="shared" ref="AB1724:AB1787" si="1380">IFERROR(IF($B1724=$D$1,IF(AND($K1724&lt;AB$1,$L1724&lt;AB$1),"",IF(AND($K1724&gt;AC$1,$L1724&gt;AC$1),"",IF(AND($K1724&lt;AB$1,$L1724&lt;=AC$1),$L1724-AB$1,IF(AND($K1724&gt;=AB$1,$L1724&gt;AC$1),AC$1-$K1724,IF(AND($K1724&gt;=AB$1,$L1724&lt;=AC$1),$L1724-$K1724,IF(AND($K1724&lt;AB$1,$L1724&gt;AC$1),AC$1-AB$1,""))))))),"")</f>
        <v>0</v>
      </c>
      <c r="AC1724" s="78" t="b">
        <f t="shared" ref="AC1724:AC1787" si="1381">IFERROR(IF($B1724=$D$1,IF(AND($K1724&lt;AC$1,$L1724&lt;AC$1),"",IF(AND($K1724&gt;AD$1,$L1724&gt;AD$1),"",IF(AND($K1724&lt;AC$1,$L1724&lt;=AD$1),$L1724-AC$1,IF(AND($K1724&gt;=AC$1,$L1724&gt;AD$1),AD$1-$K1724,IF(AND($K1724&gt;=AC$1,$L1724&lt;=AD$1),$L1724-$K1724,IF(AND($K1724&lt;AC$1,$L1724&gt;AD$1),AD$1-AC$1,""))))))),"")</f>
        <v>0</v>
      </c>
      <c r="AD1724" s="78" t="b">
        <f t="shared" ref="AD1724:AD1787" si="1382">IFERROR(IF($B1724=$D$1,IF(AND($K1724&lt;AD$1,$L1724&lt;AD$1),"",IF(AND($K1724&gt;AE$1,$L1724&gt;AE$1),"",IF(AND($K1724&lt;AD$1,$L1724&lt;=AE$1),$L1724-AD$1,IF(AND($K1724&gt;=AD$1,$L1724&gt;AE$1),AE$1-$K1724,IF(AND($K1724&gt;=AD$1,$L1724&lt;=AE$1),$L1724-$K1724,IF(AND($K1724&lt;AD$1,$L1724&gt;AE$1),AE$1-AD$1,""))))))),"")</f>
        <v>0</v>
      </c>
      <c r="AE1724" s="78" t="b">
        <f t="shared" ref="AE1724:AE1787" si="1383">IFERROR(IF($B1724=$D$1,IF(AND($K1724&lt;AE$1,$L1724&lt;AE$1),"",IF(AND($K1724&gt;AF$1,$L1724&gt;AF$1),"",IF(AND($K1724&lt;AE$1,$L1724&lt;=AF$1),$L1724-AE$1,IF(AND($K1724&gt;=AE$1,$L1724&gt;AF$1),AF$1-$K1724,IF(AND($K1724&gt;=AE$1,$L1724&lt;=AF$1),$L1724-$K1724,IF(AND($K1724&lt;AE$1,$L1724&gt;AF$1),AF$1-AE$1,""))))))),"")</f>
        <v>0</v>
      </c>
      <c r="AF1724" s="78" t="b">
        <f t="shared" ref="AF1724:AF1787" si="1384">IFERROR(IF($B1724=$D$1,IF(AND($K1724&lt;AF$1,$L1724&lt;AF$1),"",IF(AND($K1724&gt;AG$1,$L1724&gt;AG$1),"",IF(AND($K1724&lt;AF$1,$L1724&lt;=AG$1),$L1724-AF$1,IF(AND($K1724&gt;=AF$1,$L1724&gt;AG$1),AG$1-$K1724,IF(AND($K1724&gt;=AF$1,$L1724&lt;=AG$1),$L1724-$K1724,IF(AND($K1724&lt;AF$1,$L1724&gt;AG$1),AG$1-AF$1,""))))))),"")</f>
        <v>0</v>
      </c>
      <c r="AG1724" s="78" t="b">
        <f t="shared" ref="AG1724:AG1787" si="1385">IFERROR(IF($B1724=$D$1,IF(AND($K1724&lt;AG$1,$L1724&lt;AG$1),"",IF(AND($K1724&gt;AH$1,$L1724&gt;AH$1),"",IF(AND($K1724&lt;AG$1,$L1724&lt;=AH$1),$L1724-AG$1,IF(AND($K1724&gt;=AG$1,$L1724&gt;AH$1),AH$1-$K1724,IF(AND($K1724&gt;=AG$1,$L1724&lt;=AH$1),$L1724-$K1724,IF(AND($K1724&lt;AG$1,$L1724&gt;AH$1),AH$1-AG$1,""))))))),"")</f>
        <v>0</v>
      </c>
      <c r="AH1724" s="78" t="b">
        <f t="shared" ref="AH1724:AH1787" si="1386">IFERROR(IF($B1724=$D$1,IF(AND($K1724&lt;AH$1,$L1724&lt;AH$1),"",IF(AND($K1724&gt;AI$1,$L1724&gt;AI$1),"",IF(AND($K1724&lt;AH$1,$L1724&lt;=AI$1),$L1724-AH$1,IF(AND($K1724&gt;=AH$1,$L1724&gt;AI$1),AI$1-$K1724,IF(AND($K1724&gt;=AH$1,$L1724&lt;=AI$1),$L1724-$K1724,IF(AND($K1724&lt;AH$1,$L1724&gt;AI$1),AI$1-AH$1,""))))))),"")</f>
        <v>0</v>
      </c>
      <c r="AI1724" s="78" t="b">
        <f t="shared" ref="AI1724:AI1787" si="1387">IFERROR(IF($B1724=$D$1,IF(AND($K1724&lt;AI$1,$L1724&lt;AI$1),"",IF(AND($K1724&gt;AJ$1,$L1724&gt;AJ$1),"",IF(AND($K1724&lt;AI$1,$L1724&lt;=AJ$1),$L1724-AI$1,IF(AND($K1724&gt;=AI$1,$L1724&gt;AJ$1),AJ$1-$K1724,IF(AND($K1724&gt;=AI$1,$L1724&lt;=AJ$1),$L1724-$K1724,IF(AND($K1724&lt;AI$1,$L1724&gt;AJ$1),AJ$1-AI$1,""))))))),"")</f>
        <v>0</v>
      </c>
      <c r="AJ1724" s="78" t="b">
        <f t="shared" ref="AJ1724:AJ1787" si="1388">IFERROR(IF($B1724=$D$1,IF(AND($K1724&lt;AJ$1,$L1724&lt;AJ$1),"",IF(AND($K1724&gt;AK$1,$L1724&gt;AK$1),"",IF(AND($K1724&lt;AJ$1,$L1724&lt;=AK$1),$L1724-AJ$1,IF(AND($K1724&gt;=AJ$1,$L1724&gt;AK$1),AK$1-$K1724,IF(AND($K1724&gt;=AJ$1,$L1724&lt;=AK$1),$L1724-$K1724,IF(AND($K1724&lt;AJ$1,$L1724&gt;AK$1),AK$1-AJ$1,""))))))),"")</f>
        <v>0</v>
      </c>
      <c r="AK1724" s="78" t="b">
        <f t="shared" ref="AK1724:AK1787" si="1389">IFERROR(IF($B1724=$D$1,IF(AND($K1724&lt;AK$1,$L1724&lt;AK$1),"",IF(AND($K1724&gt;AL$1,$L1724&gt;AL$1),"",IF(AND($K1724&lt;AK$1,$L1724&lt;=AL$1),$L1724-AK$1,IF(AND($K1724&gt;=AK$1,$L1724&gt;AL$1),AL$1-$K1724,IF(AND($K1724&gt;=AK$1,$L1724&lt;=AL$1),$L1724-$K1724,IF(AND($K1724&lt;AK$1,$L1724&gt;AL$1),AL$1-AK$1,""))))))),"")</f>
        <v>0</v>
      </c>
      <c r="AL1724" s="78" t="b">
        <f t="shared" ref="AL1724:AL1787" si="1390">IFERROR(IF($B1724=$D$1,IF(AND($K1724&lt;AL$1,$L1724&lt;AL$1),"",IF(AND($K1724&gt;AM$1,$L1724&gt;AM$1),"",IF(AND($K1724&lt;AL$1,$L1724&lt;=AM$1),$L1724-AL$1,IF(AND($K1724&gt;=AL$1,$L1724&gt;AM$1),AM$1-$K1724,IF(AND($K1724&gt;=AL$1,$L1724&lt;=AM$1),$L1724-$K1724,IF(AND($K1724&lt;AL$1,$L1724&gt;AM$1),AM$1-AL$1,""))))))),"")</f>
        <v>0</v>
      </c>
      <c r="AM1724" s="78" t="b">
        <f t="shared" ref="AM1724:AM1787" si="1391">IFERROR(IF($B1724=$D$1,IF(AND($K1724&lt;AM$1,$L1724&lt;AM$1),"",IF(AND($K1724&gt;AN$1,$L1724&gt;AN$1),"",IF(AND($K1724&lt;AM$1,$L1724&lt;=AN$1),$L1724-AM$1,IF(AND($K1724&gt;=AM$1,$L1724&gt;AN$1),AN$1-$K1724,IF(AND($K1724&gt;=AM$1,$L1724&lt;=AN$1),$L1724-$K1724,IF(AND($K1724&lt;AM$1,$L1724&gt;AN$1),AN$1-AM$1,""))))))),"")</f>
        <v>0</v>
      </c>
      <c r="AN1724" s="78" t="b">
        <f t="shared" ref="AN1724:AN1787" si="1392">IFERROR(IF($B1724=$D$1,IF(AND($K1724&lt;AN$1,$L1724&lt;AN$1),"",IF(AND($K1724&gt;AO$1,$L1724&gt;AO$1),"",IF(AND($K1724&lt;AN$1,$L1724&lt;=AO$1),$L1724-AN$1,IF(AND($K1724&gt;=AN$1,$L1724&gt;AO$1),AO$1-$K1724,IF(AND($K1724&gt;=AN$1,$L1724&lt;=AO$1),$L1724-$K1724,IF(AND($K1724&lt;AN$1,$L1724&gt;AO$1),AO$1-AN$1,""))))))),"")</f>
        <v>0</v>
      </c>
      <c r="AO1724" s="78" t="b">
        <f t="shared" ref="AO1724:AO1787" si="1393">IFERROR(IF($B1724=$D$1,IF(AND($K1724&lt;AO$1,$L1724&lt;AO$1),"",IF(AND($K1724&gt;AP$1,$L1724&gt;AP$1),"",IF(AND($K1724&lt;AO$1,$L1724&lt;=AP$1),$L1724-AO$1,IF(AND($K1724&gt;=AO$1,$L1724&gt;AP$1),AP$1-$K1724,IF(AND($K1724&gt;=AO$1,$L1724&lt;=AP$1),$L1724-$K1724,IF(AND($K1724&lt;AO$1,$L1724&gt;AP$1),AP$1-AO$1,""))))))),"")</f>
        <v>0</v>
      </c>
    </row>
    <row r="1725" spans="7:41" x14ac:dyDescent="0.35">
      <c r="G1725" s="77">
        <f t="shared" si="1363"/>
        <v>0</v>
      </c>
      <c r="H1725" s="78">
        <f t="shared" si="1364"/>
        <v>0</v>
      </c>
      <c r="I1725" s="77">
        <f t="shared" si="1365"/>
        <v>0</v>
      </c>
      <c r="J1725" s="78">
        <f t="shared" si="1366"/>
        <v>0</v>
      </c>
      <c r="K1725" s="78" t="str">
        <f t="shared" si="1367"/>
        <v>1900-01-00 00:0:00</v>
      </c>
      <c r="L1725" s="78" t="str">
        <f t="shared" si="1368"/>
        <v>1900-01-00 00:0:00</v>
      </c>
      <c r="M1725" s="79">
        <f t="shared" si="1369"/>
        <v>0</v>
      </c>
      <c r="N1725">
        <f t="shared" si="1362"/>
        <v>1</v>
      </c>
      <c r="O1725" t="str">
        <f>IFERROR(_xlfn.XLOOKUP(A1725,HC!A:A,HC!C:C),"")</f>
        <v>Workforce</v>
      </c>
      <c r="R1725" s="78" t="b">
        <f t="shared" si="1370"/>
        <v>0</v>
      </c>
      <c r="S1725" s="78" t="b">
        <f t="shared" si="1371"/>
        <v>0</v>
      </c>
      <c r="T1725" s="78" t="b">
        <f t="shared" si="1372"/>
        <v>0</v>
      </c>
      <c r="U1725" s="78" t="b">
        <f t="shared" si="1373"/>
        <v>0</v>
      </c>
      <c r="V1725" s="78" t="b">
        <f t="shared" si="1374"/>
        <v>0</v>
      </c>
      <c r="W1725" s="78" t="b">
        <f t="shared" si="1375"/>
        <v>0</v>
      </c>
      <c r="X1725" s="78" t="b">
        <f t="shared" si="1376"/>
        <v>0</v>
      </c>
      <c r="Y1725" s="78" t="b">
        <f t="shared" si="1377"/>
        <v>0</v>
      </c>
      <c r="Z1725" s="78" t="b">
        <f t="shared" si="1378"/>
        <v>0</v>
      </c>
      <c r="AA1725" s="78" t="b">
        <f t="shared" si="1379"/>
        <v>0</v>
      </c>
      <c r="AB1725" s="78" t="b">
        <f t="shared" si="1380"/>
        <v>0</v>
      </c>
      <c r="AC1725" s="78" t="b">
        <f t="shared" si="1381"/>
        <v>0</v>
      </c>
      <c r="AD1725" s="78" t="b">
        <f t="shared" si="1382"/>
        <v>0</v>
      </c>
      <c r="AE1725" s="78" t="b">
        <f t="shared" si="1383"/>
        <v>0</v>
      </c>
      <c r="AF1725" s="78" t="b">
        <f t="shared" si="1384"/>
        <v>0</v>
      </c>
      <c r="AG1725" s="78" t="b">
        <f t="shared" si="1385"/>
        <v>0</v>
      </c>
      <c r="AH1725" s="78" t="b">
        <f t="shared" si="1386"/>
        <v>0</v>
      </c>
      <c r="AI1725" s="78" t="b">
        <f t="shared" si="1387"/>
        <v>0</v>
      </c>
      <c r="AJ1725" s="78" t="b">
        <f t="shared" si="1388"/>
        <v>0</v>
      </c>
      <c r="AK1725" s="78" t="b">
        <f t="shared" si="1389"/>
        <v>0</v>
      </c>
      <c r="AL1725" s="78" t="b">
        <f t="shared" si="1390"/>
        <v>0</v>
      </c>
      <c r="AM1725" s="78" t="b">
        <f t="shared" si="1391"/>
        <v>0</v>
      </c>
      <c r="AN1725" s="78" t="b">
        <f t="shared" si="1392"/>
        <v>0</v>
      </c>
      <c r="AO1725" s="78" t="b">
        <f t="shared" si="1393"/>
        <v>0</v>
      </c>
    </row>
    <row r="1726" spans="7:41" x14ac:dyDescent="0.35">
      <c r="G1726" s="77">
        <f t="shared" si="1363"/>
        <v>0</v>
      </c>
      <c r="H1726" s="78">
        <f t="shared" si="1364"/>
        <v>0</v>
      </c>
      <c r="I1726" s="77">
        <f t="shared" si="1365"/>
        <v>0</v>
      </c>
      <c r="J1726" s="78">
        <f t="shared" si="1366"/>
        <v>0</v>
      </c>
      <c r="K1726" s="78" t="str">
        <f t="shared" si="1367"/>
        <v>1900-01-00 00:0:00</v>
      </c>
      <c r="L1726" s="78" t="str">
        <f t="shared" si="1368"/>
        <v>1900-01-00 00:0:00</v>
      </c>
      <c r="M1726" s="79">
        <f t="shared" si="1369"/>
        <v>0</v>
      </c>
      <c r="N1726">
        <f t="shared" si="1362"/>
        <v>1</v>
      </c>
      <c r="O1726" t="str">
        <f>IFERROR(_xlfn.XLOOKUP(A1726,HC!A:A,HC!C:C),"")</f>
        <v>Workforce</v>
      </c>
      <c r="R1726" s="78" t="b">
        <f t="shared" si="1370"/>
        <v>0</v>
      </c>
      <c r="S1726" s="78" t="b">
        <f t="shared" si="1371"/>
        <v>0</v>
      </c>
      <c r="T1726" s="78" t="b">
        <f t="shared" si="1372"/>
        <v>0</v>
      </c>
      <c r="U1726" s="78" t="b">
        <f t="shared" si="1373"/>
        <v>0</v>
      </c>
      <c r="V1726" s="78" t="b">
        <f t="shared" si="1374"/>
        <v>0</v>
      </c>
      <c r="W1726" s="78" t="b">
        <f t="shared" si="1375"/>
        <v>0</v>
      </c>
      <c r="X1726" s="78" t="b">
        <f t="shared" si="1376"/>
        <v>0</v>
      </c>
      <c r="Y1726" s="78" t="b">
        <f t="shared" si="1377"/>
        <v>0</v>
      </c>
      <c r="Z1726" s="78" t="b">
        <f t="shared" si="1378"/>
        <v>0</v>
      </c>
      <c r="AA1726" s="78" t="b">
        <f t="shared" si="1379"/>
        <v>0</v>
      </c>
      <c r="AB1726" s="78" t="b">
        <f t="shared" si="1380"/>
        <v>0</v>
      </c>
      <c r="AC1726" s="78" t="b">
        <f t="shared" si="1381"/>
        <v>0</v>
      </c>
      <c r="AD1726" s="78" t="b">
        <f t="shared" si="1382"/>
        <v>0</v>
      </c>
      <c r="AE1726" s="78" t="b">
        <f t="shared" si="1383"/>
        <v>0</v>
      </c>
      <c r="AF1726" s="78" t="b">
        <f t="shared" si="1384"/>
        <v>0</v>
      </c>
      <c r="AG1726" s="78" t="b">
        <f t="shared" si="1385"/>
        <v>0</v>
      </c>
      <c r="AH1726" s="78" t="b">
        <f t="shared" si="1386"/>
        <v>0</v>
      </c>
      <c r="AI1726" s="78" t="b">
        <f t="shared" si="1387"/>
        <v>0</v>
      </c>
      <c r="AJ1726" s="78" t="b">
        <f t="shared" si="1388"/>
        <v>0</v>
      </c>
      <c r="AK1726" s="78" t="b">
        <f t="shared" si="1389"/>
        <v>0</v>
      </c>
      <c r="AL1726" s="78" t="b">
        <f t="shared" si="1390"/>
        <v>0</v>
      </c>
      <c r="AM1726" s="78" t="b">
        <f t="shared" si="1391"/>
        <v>0</v>
      </c>
      <c r="AN1726" s="78" t="b">
        <f t="shared" si="1392"/>
        <v>0</v>
      </c>
      <c r="AO1726" s="78" t="b">
        <f t="shared" si="1393"/>
        <v>0</v>
      </c>
    </row>
    <row r="1727" spans="7:41" x14ac:dyDescent="0.35">
      <c r="G1727" s="77">
        <f t="shared" si="1363"/>
        <v>0</v>
      </c>
      <c r="H1727" s="78">
        <f t="shared" si="1364"/>
        <v>0</v>
      </c>
      <c r="I1727" s="77">
        <f t="shared" si="1365"/>
        <v>0</v>
      </c>
      <c r="J1727" s="78">
        <f t="shared" si="1366"/>
        <v>0</v>
      </c>
      <c r="K1727" s="78" t="str">
        <f t="shared" si="1367"/>
        <v>1900-01-00 00:0:00</v>
      </c>
      <c r="L1727" s="78" t="str">
        <f t="shared" si="1368"/>
        <v>1900-01-00 00:0:00</v>
      </c>
      <c r="M1727" s="79">
        <f t="shared" si="1369"/>
        <v>0</v>
      </c>
      <c r="N1727">
        <f t="shared" si="1362"/>
        <v>1</v>
      </c>
      <c r="O1727" t="str">
        <f>IFERROR(_xlfn.XLOOKUP(A1727,HC!A:A,HC!C:C),"")</f>
        <v>Workforce</v>
      </c>
      <c r="R1727" s="78" t="b">
        <f t="shared" si="1370"/>
        <v>0</v>
      </c>
      <c r="S1727" s="78" t="b">
        <f t="shared" si="1371"/>
        <v>0</v>
      </c>
      <c r="T1727" s="78" t="b">
        <f t="shared" si="1372"/>
        <v>0</v>
      </c>
      <c r="U1727" s="78" t="b">
        <f t="shared" si="1373"/>
        <v>0</v>
      </c>
      <c r="V1727" s="78" t="b">
        <f t="shared" si="1374"/>
        <v>0</v>
      </c>
      <c r="W1727" s="78" t="b">
        <f t="shared" si="1375"/>
        <v>0</v>
      </c>
      <c r="X1727" s="78" t="b">
        <f t="shared" si="1376"/>
        <v>0</v>
      </c>
      <c r="Y1727" s="78" t="b">
        <f t="shared" si="1377"/>
        <v>0</v>
      </c>
      <c r="Z1727" s="78" t="b">
        <f t="shared" si="1378"/>
        <v>0</v>
      </c>
      <c r="AA1727" s="78" t="b">
        <f t="shared" si="1379"/>
        <v>0</v>
      </c>
      <c r="AB1727" s="78" t="b">
        <f t="shared" si="1380"/>
        <v>0</v>
      </c>
      <c r="AC1727" s="78" t="b">
        <f t="shared" si="1381"/>
        <v>0</v>
      </c>
      <c r="AD1727" s="78" t="b">
        <f t="shared" si="1382"/>
        <v>0</v>
      </c>
      <c r="AE1727" s="78" t="b">
        <f t="shared" si="1383"/>
        <v>0</v>
      </c>
      <c r="AF1727" s="78" t="b">
        <f t="shared" si="1384"/>
        <v>0</v>
      </c>
      <c r="AG1727" s="78" t="b">
        <f t="shared" si="1385"/>
        <v>0</v>
      </c>
      <c r="AH1727" s="78" t="b">
        <f t="shared" si="1386"/>
        <v>0</v>
      </c>
      <c r="AI1727" s="78" t="b">
        <f t="shared" si="1387"/>
        <v>0</v>
      </c>
      <c r="AJ1727" s="78" t="b">
        <f t="shared" si="1388"/>
        <v>0</v>
      </c>
      <c r="AK1727" s="78" t="b">
        <f t="shared" si="1389"/>
        <v>0</v>
      </c>
      <c r="AL1727" s="78" t="b">
        <f t="shared" si="1390"/>
        <v>0</v>
      </c>
      <c r="AM1727" s="78" t="b">
        <f t="shared" si="1391"/>
        <v>0</v>
      </c>
      <c r="AN1727" s="78" t="b">
        <f t="shared" si="1392"/>
        <v>0</v>
      </c>
      <c r="AO1727" s="78" t="b">
        <f t="shared" si="1393"/>
        <v>0</v>
      </c>
    </row>
    <row r="1728" spans="7:41" x14ac:dyDescent="0.35">
      <c r="G1728" s="77">
        <f t="shared" si="1363"/>
        <v>0</v>
      </c>
      <c r="H1728" s="78">
        <f t="shared" si="1364"/>
        <v>0</v>
      </c>
      <c r="I1728" s="77">
        <f t="shared" si="1365"/>
        <v>0</v>
      </c>
      <c r="J1728" s="78">
        <f t="shared" si="1366"/>
        <v>0</v>
      </c>
      <c r="K1728" s="78" t="str">
        <f t="shared" si="1367"/>
        <v>1900-01-00 00:0:00</v>
      </c>
      <c r="L1728" s="78" t="str">
        <f t="shared" si="1368"/>
        <v>1900-01-00 00:0:00</v>
      </c>
      <c r="M1728" s="79">
        <f t="shared" si="1369"/>
        <v>0</v>
      </c>
      <c r="N1728">
        <f t="shared" si="1362"/>
        <v>1</v>
      </c>
      <c r="O1728" t="str">
        <f>IFERROR(_xlfn.XLOOKUP(A1728,HC!A:A,HC!C:C),"")</f>
        <v>Workforce</v>
      </c>
      <c r="R1728" s="78" t="b">
        <f t="shared" si="1370"/>
        <v>0</v>
      </c>
      <c r="S1728" s="78" t="b">
        <f t="shared" si="1371"/>
        <v>0</v>
      </c>
      <c r="T1728" s="78" t="b">
        <f t="shared" si="1372"/>
        <v>0</v>
      </c>
      <c r="U1728" s="78" t="b">
        <f t="shared" si="1373"/>
        <v>0</v>
      </c>
      <c r="V1728" s="78" t="b">
        <f t="shared" si="1374"/>
        <v>0</v>
      </c>
      <c r="W1728" s="78" t="b">
        <f t="shared" si="1375"/>
        <v>0</v>
      </c>
      <c r="X1728" s="78" t="b">
        <f t="shared" si="1376"/>
        <v>0</v>
      </c>
      <c r="Y1728" s="78" t="b">
        <f t="shared" si="1377"/>
        <v>0</v>
      </c>
      <c r="Z1728" s="78" t="b">
        <f t="shared" si="1378"/>
        <v>0</v>
      </c>
      <c r="AA1728" s="78" t="b">
        <f t="shared" si="1379"/>
        <v>0</v>
      </c>
      <c r="AB1728" s="78" t="b">
        <f t="shared" si="1380"/>
        <v>0</v>
      </c>
      <c r="AC1728" s="78" t="b">
        <f t="shared" si="1381"/>
        <v>0</v>
      </c>
      <c r="AD1728" s="78" t="b">
        <f t="shared" si="1382"/>
        <v>0</v>
      </c>
      <c r="AE1728" s="78" t="b">
        <f t="shared" si="1383"/>
        <v>0</v>
      </c>
      <c r="AF1728" s="78" t="b">
        <f t="shared" si="1384"/>
        <v>0</v>
      </c>
      <c r="AG1728" s="78" t="b">
        <f t="shared" si="1385"/>
        <v>0</v>
      </c>
      <c r="AH1728" s="78" t="b">
        <f t="shared" si="1386"/>
        <v>0</v>
      </c>
      <c r="AI1728" s="78" t="b">
        <f t="shared" si="1387"/>
        <v>0</v>
      </c>
      <c r="AJ1728" s="78" t="b">
        <f t="shared" si="1388"/>
        <v>0</v>
      </c>
      <c r="AK1728" s="78" t="b">
        <f t="shared" si="1389"/>
        <v>0</v>
      </c>
      <c r="AL1728" s="78" t="b">
        <f t="shared" si="1390"/>
        <v>0</v>
      </c>
      <c r="AM1728" s="78" t="b">
        <f t="shared" si="1391"/>
        <v>0</v>
      </c>
      <c r="AN1728" s="78" t="b">
        <f t="shared" si="1392"/>
        <v>0</v>
      </c>
      <c r="AO1728" s="78" t="b">
        <f t="shared" si="1393"/>
        <v>0</v>
      </c>
    </row>
    <row r="1729" spans="7:41" x14ac:dyDescent="0.35">
      <c r="G1729" s="77">
        <f t="shared" si="1363"/>
        <v>0</v>
      </c>
      <c r="H1729" s="78">
        <f t="shared" si="1364"/>
        <v>0</v>
      </c>
      <c r="I1729" s="77">
        <f t="shared" si="1365"/>
        <v>0</v>
      </c>
      <c r="J1729" s="78">
        <f t="shared" si="1366"/>
        <v>0</v>
      </c>
      <c r="K1729" s="78" t="str">
        <f t="shared" si="1367"/>
        <v>1900-01-00 00:0:00</v>
      </c>
      <c r="L1729" s="78" t="str">
        <f t="shared" si="1368"/>
        <v>1900-01-00 00:0:00</v>
      </c>
      <c r="M1729" s="79">
        <f t="shared" si="1369"/>
        <v>0</v>
      </c>
      <c r="N1729">
        <f t="shared" si="1362"/>
        <v>1</v>
      </c>
      <c r="O1729" t="str">
        <f>IFERROR(_xlfn.XLOOKUP(A1729,HC!A:A,HC!C:C),"")</f>
        <v>Workforce</v>
      </c>
      <c r="R1729" s="78" t="b">
        <f t="shared" si="1370"/>
        <v>0</v>
      </c>
      <c r="S1729" s="78" t="b">
        <f t="shared" si="1371"/>
        <v>0</v>
      </c>
      <c r="T1729" s="78" t="b">
        <f t="shared" si="1372"/>
        <v>0</v>
      </c>
      <c r="U1729" s="78" t="b">
        <f t="shared" si="1373"/>
        <v>0</v>
      </c>
      <c r="V1729" s="78" t="b">
        <f t="shared" si="1374"/>
        <v>0</v>
      </c>
      <c r="W1729" s="78" t="b">
        <f t="shared" si="1375"/>
        <v>0</v>
      </c>
      <c r="X1729" s="78" t="b">
        <f t="shared" si="1376"/>
        <v>0</v>
      </c>
      <c r="Y1729" s="78" t="b">
        <f t="shared" si="1377"/>
        <v>0</v>
      </c>
      <c r="Z1729" s="78" t="b">
        <f t="shared" si="1378"/>
        <v>0</v>
      </c>
      <c r="AA1729" s="78" t="b">
        <f t="shared" si="1379"/>
        <v>0</v>
      </c>
      <c r="AB1729" s="78" t="b">
        <f t="shared" si="1380"/>
        <v>0</v>
      </c>
      <c r="AC1729" s="78" t="b">
        <f t="shared" si="1381"/>
        <v>0</v>
      </c>
      <c r="AD1729" s="78" t="b">
        <f t="shared" si="1382"/>
        <v>0</v>
      </c>
      <c r="AE1729" s="78" t="b">
        <f t="shared" si="1383"/>
        <v>0</v>
      </c>
      <c r="AF1729" s="78" t="b">
        <f t="shared" si="1384"/>
        <v>0</v>
      </c>
      <c r="AG1729" s="78" t="b">
        <f t="shared" si="1385"/>
        <v>0</v>
      </c>
      <c r="AH1729" s="78" t="b">
        <f t="shared" si="1386"/>
        <v>0</v>
      </c>
      <c r="AI1729" s="78" t="b">
        <f t="shared" si="1387"/>
        <v>0</v>
      </c>
      <c r="AJ1729" s="78" t="b">
        <f t="shared" si="1388"/>
        <v>0</v>
      </c>
      <c r="AK1729" s="78" t="b">
        <f t="shared" si="1389"/>
        <v>0</v>
      </c>
      <c r="AL1729" s="78" t="b">
        <f t="shared" si="1390"/>
        <v>0</v>
      </c>
      <c r="AM1729" s="78" t="b">
        <f t="shared" si="1391"/>
        <v>0</v>
      </c>
      <c r="AN1729" s="78" t="b">
        <f t="shared" si="1392"/>
        <v>0</v>
      </c>
      <c r="AO1729" s="78" t="b">
        <f t="shared" si="1393"/>
        <v>0</v>
      </c>
    </row>
    <row r="1730" spans="7:41" x14ac:dyDescent="0.35">
      <c r="G1730" s="77">
        <f t="shared" si="1363"/>
        <v>0</v>
      </c>
      <c r="H1730" s="78">
        <f t="shared" si="1364"/>
        <v>0</v>
      </c>
      <c r="I1730" s="77">
        <f t="shared" si="1365"/>
        <v>0</v>
      </c>
      <c r="J1730" s="78">
        <f t="shared" si="1366"/>
        <v>0</v>
      </c>
      <c r="K1730" s="78" t="str">
        <f t="shared" si="1367"/>
        <v>1900-01-00 00:0:00</v>
      </c>
      <c r="L1730" s="78" t="str">
        <f t="shared" si="1368"/>
        <v>1900-01-00 00:0:00</v>
      </c>
      <c r="M1730" s="79">
        <f t="shared" si="1369"/>
        <v>0</v>
      </c>
      <c r="N1730">
        <f t="shared" si="1362"/>
        <v>1</v>
      </c>
      <c r="O1730" t="str">
        <f>IFERROR(_xlfn.XLOOKUP(A1730,HC!A:A,HC!C:C),"")</f>
        <v>Workforce</v>
      </c>
      <c r="R1730" s="78" t="b">
        <f t="shared" si="1370"/>
        <v>0</v>
      </c>
      <c r="S1730" s="78" t="b">
        <f t="shared" si="1371"/>
        <v>0</v>
      </c>
      <c r="T1730" s="78" t="b">
        <f t="shared" si="1372"/>
        <v>0</v>
      </c>
      <c r="U1730" s="78" t="b">
        <f t="shared" si="1373"/>
        <v>0</v>
      </c>
      <c r="V1730" s="78" t="b">
        <f t="shared" si="1374"/>
        <v>0</v>
      </c>
      <c r="W1730" s="78" t="b">
        <f t="shared" si="1375"/>
        <v>0</v>
      </c>
      <c r="X1730" s="78" t="b">
        <f t="shared" si="1376"/>
        <v>0</v>
      </c>
      <c r="Y1730" s="78" t="b">
        <f t="shared" si="1377"/>
        <v>0</v>
      </c>
      <c r="Z1730" s="78" t="b">
        <f t="shared" si="1378"/>
        <v>0</v>
      </c>
      <c r="AA1730" s="78" t="b">
        <f t="shared" si="1379"/>
        <v>0</v>
      </c>
      <c r="AB1730" s="78" t="b">
        <f t="shared" si="1380"/>
        <v>0</v>
      </c>
      <c r="AC1730" s="78" t="b">
        <f t="shared" si="1381"/>
        <v>0</v>
      </c>
      <c r="AD1730" s="78" t="b">
        <f t="shared" si="1382"/>
        <v>0</v>
      </c>
      <c r="AE1730" s="78" t="b">
        <f t="shared" si="1383"/>
        <v>0</v>
      </c>
      <c r="AF1730" s="78" t="b">
        <f t="shared" si="1384"/>
        <v>0</v>
      </c>
      <c r="AG1730" s="78" t="b">
        <f t="shared" si="1385"/>
        <v>0</v>
      </c>
      <c r="AH1730" s="78" t="b">
        <f t="shared" si="1386"/>
        <v>0</v>
      </c>
      <c r="AI1730" s="78" t="b">
        <f t="shared" si="1387"/>
        <v>0</v>
      </c>
      <c r="AJ1730" s="78" t="b">
        <f t="shared" si="1388"/>
        <v>0</v>
      </c>
      <c r="AK1730" s="78" t="b">
        <f t="shared" si="1389"/>
        <v>0</v>
      </c>
      <c r="AL1730" s="78" t="b">
        <f t="shared" si="1390"/>
        <v>0</v>
      </c>
      <c r="AM1730" s="78" t="b">
        <f t="shared" si="1391"/>
        <v>0</v>
      </c>
      <c r="AN1730" s="78" t="b">
        <f t="shared" si="1392"/>
        <v>0</v>
      </c>
      <c r="AO1730" s="78" t="b">
        <f t="shared" si="1393"/>
        <v>0</v>
      </c>
    </row>
    <row r="1731" spans="7:41" x14ac:dyDescent="0.35">
      <c r="G1731" s="77">
        <f t="shared" si="1363"/>
        <v>0</v>
      </c>
      <c r="H1731" s="78">
        <f t="shared" si="1364"/>
        <v>0</v>
      </c>
      <c r="I1731" s="77">
        <f t="shared" si="1365"/>
        <v>0</v>
      </c>
      <c r="J1731" s="78">
        <f t="shared" si="1366"/>
        <v>0</v>
      </c>
      <c r="K1731" s="78" t="str">
        <f t="shared" si="1367"/>
        <v>1900-01-00 00:0:00</v>
      </c>
      <c r="L1731" s="78" t="str">
        <f t="shared" si="1368"/>
        <v>1900-01-00 00:0:00</v>
      </c>
      <c r="M1731" s="79">
        <f t="shared" si="1369"/>
        <v>0</v>
      </c>
      <c r="N1731">
        <f t="shared" si="1362"/>
        <v>1</v>
      </c>
      <c r="O1731" t="str">
        <f>IFERROR(_xlfn.XLOOKUP(A1731,HC!A:A,HC!C:C),"")</f>
        <v>Workforce</v>
      </c>
      <c r="R1731" s="78" t="b">
        <f t="shared" si="1370"/>
        <v>0</v>
      </c>
      <c r="S1731" s="78" t="b">
        <f t="shared" si="1371"/>
        <v>0</v>
      </c>
      <c r="T1731" s="78" t="b">
        <f t="shared" si="1372"/>
        <v>0</v>
      </c>
      <c r="U1731" s="78" t="b">
        <f t="shared" si="1373"/>
        <v>0</v>
      </c>
      <c r="V1731" s="78" t="b">
        <f t="shared" si="1374"/>
        <v>0</v>
      </c>
      <c r="W1731" s="78" t="b">
        <f t="shared" si="1375"/>
        <v>0</v>
      </c>
      <c r="X1731" s="78" t="b">
        <f t="shared" si="1376"/>
        <v>0</v>
      </c>
      <c r="Y1731" s="78" t="b">
        <f t="shared" si="1377"/>
        <v>0</v>
      </c>
      <c r="Z1731" s="78" t="b">
        <f t="shared" si="1378"/>
        <v>0</v>
      </c>
      <c r="AA1731" s="78" t="b">
        <f t="shared" si="1379"/>
        <v>0</v>
      </c>
      <c r="AB1731" s="78" t="b">
        <f t="shared" si="1380"/>
        <v>0</v>
      </c>
      <c r="AC1731" s="78" t="b">
        <f t="shared" si="1381"/>
        <v>0</v>
      </c>
      <c r="AD1731" s="78" t="b">
        <f t="shared" si="1382"/>
        <v>0</v>
      </c>
      <c r="AE1731" s="78" t="b">
        <f t="shared" si="1383"/>
        <v>0</v>
      </c>
      <c r="AF1731" s="78" t="b">
        <f t="shared" si="1384"/>
        <v>0</v>
      </c>
      <c r="AG1731" s="78" t="b">
        <f t="shared" si="1385"/>
        <v>0</v>
      </c>
      <c r="AH1731" s="78" t="b">
        <f t="shared" si="1386"/>
        <v>0</v>
      </c>
      <c r="AI1731" s="78" t="b">
        <f t="shared" si="1387"/>
        <v>0</v>
      </c>
      <c r="AJ1731" s="78" t="b">
        <f t="shared" si="1388"/>
        <v>0</v>
      </c>
      <c r="AK1731" s="78" t="b">
        <f t="shared" si="1389"/>
        <v>0</v>
      </c>
      <c r="AL1731" s="78" t="b">
        <f t="shared" si="1390"/>
        <v>0</v>
      </c>
      <c r="AM1731" s="78" t="b">
        <f t="shared" si="1391"/>
        <v>0</v>
      </c>
      <c r="AN1731" s="78" t="b">
        <f t="shared" si="1392"/>
        <v>0</v>
      </c>
      <c r="AO1731" s="78" t="b">
        <f t="shared" si="1393"/>
        <v>0</v>
      </c>
    </row>
    <row r="1732" spans="7:41" x14ac:dyDescent="0.35">
      <c r="G1732" s="77">
        <f t="shared" si="1363"/>
        <v>0</v>
      </c>
      <c r="H1732" s="78">
        <f t="shared" si="1364"/>
        <v>0</v>
      </c>
      <c r="I1732" s="77">
        <f t="shared" si="1365"/>
        <v>0</v>
      </c>
      <c r="J1732" s="78">
        <f t="shared" si="1366"/>
        <v>0</v>
      </c>
      <c r="K1732" s="78" t="str">
        <f t="shared" si="1367"/>
        <v>1900-01-00 00:0:00</v>
      </c>
      <c r="L1732" s="78" t="str">
        <f t="shared" si="1368"/>
        <v>1900-01-00 00:0:00</v>
      </c>
      <c r="M1732" s="79">
        <f t="shared" si="1369"/>
        <v>0</v>
      </c>
      <c r="N1732">
        <f t="shared" ref="N1732:N1795" si="1394">IF(M1732&lt;$BA$1,1,0)</f>
        <v>1</v>
      </c>
      <c r="O1732" t="str">
        <f>IFERROR(_xlfn.XLOOKUP(A1732,HC!A:A,HC!C:C),"")</f>
        <v>Workforce</v>
      </c>
      <c r="R1732" s="78" t="b">
        <f t="shared" si="1370"/>
        <v>0</v>
      </c>
      <c r="S1732" s="78" t="b">
        <f t="shared" si="1371"/>
        <v>0</v>
      </c>
      <c r="T1732" s="78" t="b">
        <f t="shared" si="1372"/>
        <v>0</v>
      </c>
      <c r="U1732" s="78" t="b">
        <f t="shared" si="1373"/>
        <v>0</v>
      </c>
      <c r="V1732" s="78" t="b">
        <f t="shared" si="1374"/>
        <v>0</v>
      </c>
      <c r="W1732" s="78" t="b">
        <f t="shared" si="1375"/>
        <v>0</v>
      </c>
      <c r="X1732" s="78" t="b">
        <f t="shared" si="1376"/>
        <v>0</v>
      </c>
      <c r="Y1732" s="78" t="b">
        <f t="shared" si="1377"/>
        <v>0</v>
      </c>
      <c r="Z1732" s="78" t="b">
        <f t="shared" si="1378"/>
        <v>0</v>
      </c>
      <c r="AA1732" s="78" t="b">
        <f t="shared" si="1379"/>
        <v>0</v>
      </c>
      <c r="AB1732" s="78" t="b">
        <f t="shared" si="1380"/>
        <v>0</v>
      </c>
      <c r="AC1732" s="78" t="b">
        <f t="shared" si="1381"/>
        <v>0</v>
      </c>
      <c r="AD1732" s="78" t="b">
        <f t="shared" si="1382"/>
        <v>0</v>
      </c>
      <c r="AE1732" s="78" t="b">
        <f t="shared" si="1383"/>
        <v>0</v>
      </c>
      <c r="AF1732" s="78" t="b">
        <f t="shared" si="1384"/>
        <v>0</v>
      </c>
      <c r="AG1732" s="78" t="b">
        <f t="shared" si="1385"/>
        <v>0</v>
      </c>
      <c r="AH1732" s="78" t="b">
        <f t="shared" si="1386"/>
        <v>0</v>
      </c>
      <c r="AI1732" s="78" t="b">
        <f t="shared" si="1387"/>
        <v>0</v>
      </c>
      <c r="AJ1732" s="78" t="b">
        <f t="shared" si="1388"/>
        <v>0</v>
      </c>
      <c r="AK1732" s="78" t="b">
        <f t="shared" si="1389"/>
        <v>0</v>
      </c>
      <c r="AL1732" s="78" t="b">
        <f t="shared" si="1390"/>
        <v>0</v>
      </c>
      <c r="AM1732" s="78" t="b">
        <f t="shared" si="1391"/>
        <v>0</v>
      </c>
      <c r="AN1732" s="78" t="b">
        <f t="shared" si="1392"/>
        <v>0</v>
      </c>
      <c r="AO1732" s="78" t="b">
        <f t="shared" si="1393"/>
        <v>0</v>
      </c>
    </row>
    <row r="1733" spans="7:41" x14ac:dyDescent="0.35">
      <c r="G1733" s="77">
        <f t="shared" si="1363"/>
        <v>0</v>
      </c>
      <c r="H1733" s="78">
        <f t="shared" si="1364"/>
        <v>0</v>
      </c>
      <c r="I1733" s="77">
        <f t="shared" si="1365"/>
        <v>0</v>
      </c>
      <c r="J1733" s="78">
        <f t="shared" si="1366"/>
        <v>0</v>
      </c>
      <c r="K1733" s="78" t="str">
        <f t="shared" si="1367"/>
        <v>1900-01-00 00:0:00</v>
      </c>
      <c r="L1733" s="78" t="str">
        <f t="shared" si="1368"/>
        <v>1900-01-00 00:0:00</v>
      </c>
      <c r="M1733" s="79">
        <f t="shared" si="1369"/>
        <v>0</v>
      </c>
      <c r="N1733">
        <f t="shared" si="1394"/>
        <v>1</v>
      </c>
      <c r="O1733" t="str">
        <f>IFERROR(_xlfn.XLOOKUP(A1733,HC!A:A,HC!C:C),"")</f>
        <v>Workforce</v>
      </c>
      <c r="R1733" s="78" t="b">
        <f t="shared" si="1370"/>
        <v>0</v>
      </c>
      <c r="S1733" s="78" t="b">
        <f t="shared" si="1371"/>
        <v>0</v>
      </c>
      <c r="T1733" s="78" t="b">
        <f t="shared" si="1372"/>
        <v>0</v>
      </c>
      <c r="U1733" s="78" t="b">
        <f t="shared" si="1373"/>
        <v>0</v>
      </c>
      <c r="V1733" s="78" t="b">
        <f t="shared" si="1374"/>
        <v>0</v>
      </c>
      <c r="W1733" s="78" t="b">
        <f t="shared" si="1375"/>
        <v>0</v>
      </c>
      <c r="X1733" s="78" t="b">
        <f t="shared" si="1376"/>
        <v>0</v>
      </c>
      <c r="Y1733" s="78" t="b">
        <f t="shared" si="1377"/>
        <v>0</v>
      </c>
      <c r="Z1733" s="78" t="b">
        <f t="shared" si="1378"/>
        <v>0</v>
      </c>
      <c r="AA1733" s="78" t="b">
        <f t="shared" si="1379"/>
        <v>0</v>
      </c>
      <c r="AB1733" s="78" t="b">
        <f t="shared" si="1380"/>
        <v>0</v>
      </c>
      <c r="AC1733" s="78" t="b">
        <f t="shared" si="1381"/>
        <v>0</v>
      </c>
      <c r="AD1733" s="78" t="b">
        <f t="shared" si="1382"/>
        <v>0</v>
      </c>
      <c r="AE1733" s="78" t="b">
        <f t="shared" si="1383"/>
        <v>0</v>
      </c>
      <c r="AF1733" s="78" t="b">
        <f t="shared" si="1384"/>
        <v>0</v>
      </c>
      <c r="AG1733" s="78" t="b">
        <f t="shared" si="1385"/>
        <v>0</v>
      </c>
      <c r="AH1733" s="78" t="b">
        <f t="shared" si="1386"/>
        <v>0</v>
      </c>
      <c r="AI1733" s="78" t="b">
        <f t="shared" si="1387"/>
        <v>0</v>
      </c>
      <c r="AJ1733" s="78" t="b">
        <f t="shared" si="1388"/>
        <v>0</v>
      </c>
      <c r="AK1733" s="78" t="b">
        <f t="shared" si="1389"/>
        <v>0</v>
      </c>
      <c r="AL1733" s="78" t="b">
        <f t="shared" si="1390"/>
        <v>0</v>
      </c>
      <c r="AM1733" s="78" t="b">
        <f t="shared" si="1391"/>
        <v>0</v>
      </c>
      <c r="AN1733" s="78" t="b">
        <f t="shared" si="1392"/>
        <v>0</v>
      </c>
      <c r="AO1733" s="78" t="b">
        <f t="shared" si="1393"/>
        <v>0</v>
      </c>
    </row>
    <row r="1734" spans="7:41" x14ac:dyDescent="0.35">
      <c r="G1734" s="77">
        <f t="shared" si="1363"/>
        <v>0</v>
      </c>
      <c r="H1734" s="78">
        <f t="shared" si="1364"/>
        <v>0</v>
      </c>
      <c r="I1734" s="77">
        <f t="shared" si="1365"/>
        <v>0</v>
      </c>
      <c r="J1734" s="78">
        <f t="shared" si="1366"/>
        <v>0</v>
      </c>
      <c r="K1734" s="78" t="str">
        <f t="shared" si="1367"/>
        <v>1900-01-00 00:0:00</v>
      </c>
      <c r="L1734" s="78" t="str">
        <f t="shared" si="1368"/>
        <v>1900-01-00 00:0:00</v>
      </c>
      <c r="M1734" s="79">
        <f t="shared" si="1369"/>
        <v>0</v>
      </c>
      <c r="N1734">
        <f t="shared" si="1394"/>
        <v>1</v>
      </c>
      <c r="O1734" t="str">
        <f>IFERROR(_xlfn.XLOOKUP(A1734,HC!A:A,HC!C:C),"")</f>
        <v>Workforce</v>
      </c>
      <c r="R1734" s="78" t="b">
        <f t="shared" si="1370"/>
        <v>0</v>
      </c>
      <c r="S1734" s="78" t="b">
        <f t="shared" si="1371"/>
        <v>0</v>
      </c>
      <c r="T1734" s="78" t="b">
        <f t="shared" si="1372"/>
        <v>0</v>
      </c>
      <c r="U1734" s="78" t="b">
        <f t="shared" si="1373"/>
        <v>0</v>
      </c>
      <c r="V1734" s="78" t="b">
        <f t="shared" si="1374"/>
        <v>0</v>
      </c>
      <c r="W1734" s="78" t="b">
        <f t="shared" si="1375"/>
        <v>0</v>
      </c>
      <c r="X1734" s="78" t="b">
        <f t="shared" si="1376"/>
        <v>0</v>
      </c>
      <c r="Y1734" s="78" t="b">
        <f t="shared" si="1377"/>
        <v>0</v>
      </c>
      <c r="Z1734" s="78" t="b">
        <f t="shared" si="1378"/>
        <v>0</v>
      </c>
      <c r="AA1734" s="78" t="b">
        <f t="shared" si="1379"/>
        <v>0</v>
      </c>
      <c r="AB1734" s="78" t="b">
        <f t="shared" si="1380"/>
        <v>0</v>
      </c>
      <c r="AC1734" s="78" t="b">
        <f t="shared" si="1381"/>
        <v>0</v>
      </c>
      <c r="AD1734" s="78" t="b">
        <f t="shared" si="1382"/>
        <v>0</v>
      </c>
      <c r="AE1734" s="78" t="b">
        <f t="shared" si="1383"/>
        <v>0</v>
      </c>
      <c r="AF1734" s="78" t="b">
        <f t="shared" si="1384"/>
        <v>0</v>
      </c>
      <c r="AG1734" s="78" t="b">
        <f t="shared" si="1385"/>
        <v>0</v>
      </c>
      <c r="AH1734" s="78" t="b">
        <f t="shared" si="1386"/>
        <v>0</v>
      </c>
      <c r="AI1734" s="78" t="b">
        <f t="shared" si="1387"/>
        <v>0</v>
      </c>
      <c r="AJ1734" s="78" t="b">
        <f t="shared" si="1388"/>
        <v>0</v>
      </c>
      <c r="AK1734" s="78" t="b">
        <f t="shared" si="1389"/>
        <v>0</v>
      </c>
      <c r="AL1734" s="78" t="b">
        <f t="shared" si="1390"/>
        <v>0</v>
      </c>
      <c r="AM1734" s="78" t="b">
        <f t="shared" si="1391"/>
        <v>0</v>
      </c>
      <c r="AN1734" s="78" t="b">
        <f t="shared" si="1392"/>
        <v>0</v>
      </c>
      <c r="AO1734" s="78" t="b">
        <f t="shared" si="1393"/>
        <v>0</v>
      </c>
    </row>
    <row r="1735" spans="7:41" x14ac:dyDescent="0.35">
      <c r="G1735" s="77">
        <f t="shared" si="1363"/>
        <v>0</v>
      </c>
      <c r="H1735" s="78">
        <f t="shared" si="1364"/>
        <v>0</v>
      </c>
      <c r="I1735" s="77">
        <f t="shared" si="1365"/>
        <v>0</v>
      </c>
      <c r="J1735" s="78">
        <f t="shared" si="1366"/>
        <v>0</v>
      </c>
      <c r="K1735" s="78" t="str">
        <f t="shared" si="1367"/>
        <v>1900-01-00 00:0:00</v>
      </c>
      <c r="L1735" s="78" t="str">
        <f t="shared" si="1368"/>
        <v>1900-01-00 00:0:00</v>
      </c>
      <c r="M1735" s="79">
        <f t="shared" si="1369"/>
        <v>0</v>
      </c>
      <c r="N1735">
        <f t="shared" si="1394"/>
        <v>1</v>
      </c>
      <c r="O1735" t="str">
        <f>IFERROR(_xlfn.XLOOKUP(A1735,HC!A:A,HC!C:C),"")</f>
        <v>Workforce</v>
      </c>
      <c r="R1735" s="78" t="b">
        <f t="shared" si="1370"/>
        <v>0</v>
      </c>
      <c r="S1735" s="78" t="b">
        <f t="shared" si="1371"/>
        <v>0</v>
      </c>
      <c r="T1735" s="78" t="b">
        <f t="shared" si="1372"/>
        <v>0</v>
      </c>
      <c r="U1735" s="78" t="b">
        <f t="shared" si="1373"/>
        <v>0</v>
      </c>
      <c r="V1735" s="78" t="b">
        <f t="shared" si="1374"/>
        <v>0</v>
      </c>
      <c r="W1735" s="78" t="b">
        <f t="shared" si="1375"/>
        <v>0</v>
      </c>
      <c r="X1735" s="78" t="b">
        <f t="shared" si="1376"/>
        <v>0</v>
      </c>
      <c r="Y1735" s="78" t="b">
        <f t="shared" si="1377"/>
        <v>0</v>
      </c>
      <c r="Z1735" s="78" t="b">
        <f t="shared" si="1378"/>
        <v>0</v>
      </c>
      <c r="AA1735" s="78" t="b">
        <f t="shared" si="1379"/>
        <v>0</v>
      </c>
      <c r="AB1735" s="78" t="b">
        <f t="shared" si="1380"/>
        <v>0</v>
      </c>
      <c r="AC1735" s="78" t="b">
        <f t="shared" si="1381"/>
        <v>0</v>
      </c>
      <c r="AD1735" s="78" t="b">
        <f t="shared" si="1382"/>
        <v>0</v>
      </c>
      <c r="AE1735" s="78" t="b">
        <f t="shared" si="1383"/>
        <v>0</v>
      </c>
      <c r="AF1735" s="78" t="b">
        <f t="shared" si="1384"/>
        <v>0</v>
      </c>
      <c r="AG1735" s="78" t="b">
        <f t="shared" si="1385"/>
        <v>0</v>
      </c>
      <c r="AH1735" s="78" t="b">
        <f t="shared" si="1386"/>
        <v>0</v>
      </c>
      <c r="AI1735" s="78" t="b">
        <f t="shared" si="1387"/>
        <v>0</v>
      </c>
      <c r="AJ1735" s="78" t="b">
        <f t="shared" si="1388"/>
        <v>0</v>
      </c>
      <c r="AK1735" s="78" t="b">
        <f t="shared" si="1389"/>
        <v>0</v>
      </c>
      <c r="AL1735" s="78" t="b">
        <f t="shared" si="1390"/>
        <v>0</v>
      </c>
      <c r="AM1735" s="78" t="b">
        <f t="shared" si="1391"/>
        <v>0</v>
      </c>
      <c r="AN1735" s="78" t="b">
        <f t="shared" si="1392"/>
        <v>0</v>
      </c>
      <c r="AO1735" s="78" t="b">
        <f t="shared" si="1393"/>
        <v>0</v>
      </c>
    </row>
    <row r="1736" spans="7:41" x14ac:dyDescent="0.35">
      <c r="G1736" s="77">
        <f t="shared" si="1363"/>
        <v>0</v>
      </c>
      <c r="H1736" s="78">
        <f t="shared" si="1364"/>
        <v>0</v>
      </c>
      <c r="I1736" s="77">
        <f t="shared" si="1365"/>
        <v>0</v>
      </c>
      <c r="J1736" s="78">
        <f t="shared" si="1366"/>
        <v>0</v>
      </c>
      <c r="K1736" s="78" t="str">
        <f t="shared" si="1367"/>
        <v>1900-01-00 00:0:00</v>
      </c>
      <c r="L1736" s="78" t="str">
        <f t="shared" si="1368"/>
        <v>1900-01-00 00:0:00</v>
      </c>
      <c r="M1736" s="79">
        <f t="shared" si="1369"/>
        <v>0</v>
      </c>
      <c r="N1736">
        <f t="shared" si="1394"/>
        <v>1</v>
      </c>
      <c r="O1736" t="str">
        <f>IFERROR(_xlfn.XLOOKUP(A1736,HC!A:A,HC!C:C),"")</f>
        <v>Workforce</v>
      </c>
      <c r="R1736" s="78" t="b">
        <f t="shared" si="1370"/>
        <v>0</v>
      </c>
      <c r="S1736" s="78" t="b">
        <f t="shared" si="1371"/>
        <v>0</v>
      </c>
      <c r="T1736" s="78" t="b">
        <f t="shared" si="1372"/>
        <v>0</v>
      </c>
      <c r="U1736" s="78" t="b">
        <f t="shared" si="1373"/>
        <v>0</v>
      </c>
      <c r="V1736" s="78" t="b">
        <f t="shared" si="1374"/>
        <v>0</v>
      </c>
      <c r="W1736" s="78" t="b">
        <f t="shared" si="1375"/>
        <v>0</v>
      </c>
      <c r="X1736" s="78" t="b">
        <f t="shared" si="1376"/>
        <v>0</v>
      </c>
      <c r="Y1736" s="78" t="b">
        <f t="shared" si="1377"/>
        <v>0</v>
      </c>
      <c r="Z1736" s="78" t="b">
        <f t="shared" si="1378"/>
        <v>0</v>
      </c>
      <c r="AA1736" s="78" t="b">
        <f t="shared" si="1379"/>
        <v>0</v>
      </c>
      <c r="AB1736" s="78" t="b">
        <f t="shared" si="1380"/>
        <v>0</v>
      </c>
      <c r="AC1736" s="78" t="b">
        <f t="shared" si="1381"/>
        <v>0</v>
      </c>
      <c r="AD1736" s="78" t="b">
        <f t="shared" si="1382"/>
        <v>0</v>
      </c>
      <c r="AE1736" s="78" t="b">
        <f t="shared" si="1383"/>
        <v>0</v>
      </c>
      <c r="AF1736" s="78" t="b">
        <f t="shared" si="1384"/>
        <v>0</v>
      </c>
      <c r="AG1736" s="78" t="b">
        <f t="shared" si="1385"/>
        <v>0</v>
      </c>
      <c r="AH1736" s="78" t="b">
        <f t="shared" si="1386"/>
        <v>0</v>
      </c>
      <c r="AI1736" s="78" t="b">
        <f t="shared" si="1387"/>
        <v>0</v>
      </c>
      <c r="AJ1736" s="78" t="b">
        <f t="shared" si="1388"/>
        <v>0</v>
      </c>
      <c r="AK1736" s="78" t="b">
        <f t="shared" si="1389"/>
        <v>0</v>
      </c>
      <c r="AL1736" s="78" t="b">
        <f t="shared" si="1390"/>
        <v>0</v>
      </c>
      <c r="AM1736" s="78" t="b">
        <f t="shared" si="1391"/>
        <v>0</v>
      </c>
      <c r="AN1736" s="78" t="b">
        <f t="shared" si="1392"/>
        <v>0</v>
      </c>
      <c r="AO1736" s="78" t="b">
        <f t="shared" si="1393"/>
        <v>0</v>
      </c>
    </row>
    <row r="1737" spans="7:41" x14ac:dyDescent="0.35">
      <c r="G1737" s="77">
        <f t="shared" si="1363"/>
        <v>0</v>
      </c>
      <c r="H1737" s="78">
        <f t="shared" si="1364"/>
        <v>0</v>
      </c>
      <c r="I1737" s="77">
        <f t="shared" si="1365"/>
        <v>0</v>
      </c>
      <c r="J1737" s="78">
        <f t="shared" si="1366"/>
        <v>0</v>
      </c>
      <c r="K1737" s="78" t="str">
        <f t="shared" si="1367"/>
        <v>1900-01-00 00:0:00</v>
      </c>
      <c r="L1737" s="78" t="str">
        <f t="shared" si="1368"/>
        <v>1900-01-00 00:0:00</v>
      </c>
      <c r="M1737" s="79">
        <f t="shared" si="1369"/>
        <v>0</v>
      </c>
      <c r="N1737">
        <f t="shared" si="1394"/>
        <v>1</v>
      </c>
      <c r="O1737" t="str">
        <f>IFERROR(_xlfn.XLOOKUP(A1737,HC!A:A,HC!C:C),"")</f>
        <v>Workforce</v>
      </c>
      <c r="R1737" s="78" t="b">
        <f t="shared" si="1370"/>
        <v>0</v>
      </c>
      <c r="S1737" s="78" t="b">
        <f t="shared" si="1371"/>
        <v>0</v>
      </c>
      <c r="T1737" s="78" t="b">
        <f t="shared" si="1372"/>
        <v>0</v>
      </c>
      <c r="U1737" s="78" t="b">
        <f t="shared" si="1373"/>
        <v>0</v>
      </c>
      <c r="V1737" s="78" t="b">
        <f t="shared" si="1374"/>
        <v>0</v>
      </c>
      <c r="W1737" s="78" t="b">
        <f t="shared" si="1375"/>
        <v>0</v>
      </c>
      <c r="X1737" s="78" t="b">
        <f t="shared" si="1376"/>
        <v>0</v>
      </c>
      <c r="Y1737" s="78" t="b">
        <f t="shared" si="1377"/>
        <v>0</v>
      </c>
      <c r="Z1737" s="78" t="b">
        <f t="shared" si="1378"/>
        <v>0</v>
      </c>
      <c r="AA1737" s="78" t="b">
        <f t="shared" si="1379"/>
        <v>0</v>
      </c>
      <c r="AB1737" s="78" t="b">
        <f t="shared" si="1380"/>
        <v>0</v>
      </c>
      <c r="AC1737" s="78" t="b">
        <f t="shared" si="1381"/>
        <v>0</v>
      </c>
      <c r="AD1737" s="78" t="b">
        <f t="shared" si="1382"/>
        <v>0</v>
      </c>
      <c r="AE1737" s="78" t="b">
        <f t="shared" si="1383"/>
        <v>0</v>
      </c>
      <c r="AF1737" s="78" t="b">
        <f t="shared" si="1384"/>
        <v>0</v>
      </c>
      <c r="AG1737" s="78" t="b">
        <f t="shared" si="1385"/>
        <v>0</v>
      </c>
      <c r="AH1737" s="78" t="b">
        <f t="shared" si="1386"/>
        <v>0</v>
      </c>
      <c r="AI1737" s="78" t="b">
        <f t="shared" si="1387"/>
        <v>0</v>
      </c>
      <c r="AJ1737" s="78" t="b">
        <f t="shared" si="1388"/>
        <v>0</v>
      </c>
      <c r="AK1737" s="78" t="b">
        <f t="shared" si="1389"/>
        <v>0</v>
      </c>
      <c r="AL1737" s="78" t="b">
        <f t="shared" si="1390"/>
        <v>0</v>
      </c>
      <c r="AM1737" s="78" t="b">
        <f t="shared" si="1391"/>
        <v>0</v>
      </c>
      <c r="AN1737" s="78" t="b">
        <f t="shared" si="1392"/>
        <v>0</v>
      </c>
      <c r="AO1737" s="78" t="b">
        <f t="shared" si="1393"/>
        <v>0</v>
      </c>
    </row>
    <row r="1738" spans="7:41" x14ac:dyDescent="0.35">
      <c r="G1738" s="77">
        <f t="shared" si="1363"/>
        <v>0</v>
      </c>
      <c r="H1738" s="78">
        <f t="shared" si="1364"/>
        <v>0</v>
      </c>
      <c r="I1738" s="77">
        <f t="shared" si="1365"/>
        <v>0</v>
      </c>
      <c r="J1738" s="78">
        <f t="shared" si="1366"/>
        <v>0</v>
      </c>
      <c r="K1738" s="78" t="str">
        <f t="shared" si="1367"/>
        <v>1900-01-00 00:0:00</v>
      </c>
      <c r="L1738" s="78" t="str">
        <f t="shared" si="1368"/>
        <v>1900-01-00 00:0:00</v>
      </c>
      <c r="M1738" s="79">
        <f t="shared" si="1369"/>
        <v>0</v>
      </c>
      <c r="N1738">
        <f t="shared" si="1394"/>
        <v>1</v>
      </c>
      <c r="O1738" t="str">
        <f>IFERROR(_xlfn.XLOOKUP(A1738,HC!A:A,HC!C:C),"")</f>
        <v>Workforce</v>
      </c>
      <c r="R1738" s="78" t="b">
        <f t="shared" si="1370"/>
        <v>0</v>
      </c>
      <c r="S1738" s="78" t="b">
        <f t="shared" si="1371"/>
        <v>0</v>
      </c>
      <c r="T1738" s="78" t="b">
        <f t="shared" si="1372"/>
        <v>0</v>
      </c>
      <c r="U1738" s="78" t="b">
        <f t="shared" si="1373"/>
        <v>0</v>
      </c>
      <c r="V1738" s="78" t="b">
        <f t="shared" si="1374"/>
        <v>0</v>
      </c>
      <c r="W1738" s="78" t="b">
        <f t="shared" si="1375"/>
        <v>0</v>
      </c>
      <c r="X1738" s="78" t="b">
        <f t="shared" si="1376"/>
        <v>0</v>
      </c>
      <c r="Y1738" s="78" t="b">
        <f t="shared" si="1377"/>
        <v>0</v>
      </c>
      <c r="Z1738" s="78" t="b">
        <f t="shared" si="1378"/>
        <v>0</v>
      </c>
      <c r="AA1738" s="78" t="b">
        <f t="shared" si="1379"/>
        <v>0</v>
      </c>
      <c r="AB1738" s="78" t="b">
        <f t="shared" si="1380"/>
        <v>0</v>
      </c>
      <c r="AC1738" s="78" t="b">
        <f t="shared" si="1381"/>
        <v>0</v>
      </c>
      <c r="AD1738" s="78" t="b">
        <f t="shared" si="1382"/>
        <v>0</v>
      </c>
      <c r="AE1738" s="78" t="b">
        <f t="shared" si="1383"/>
        <v>0</v>
      </c>
      <c r="AF1738" s="78" t="b">
        <f t="shared" si="1384"/>
        <v>0</v>
      </c>
      <c r="AG1738" s="78" t="b">
        <f t="shared" si="1385"/>
        <v>0</v>
      </c>
      <c r="AH1738" s="78" t="b">
        <f t="shared" si="1386"/>
        <v>0</v>
      </c>
      <c r="AI1738" s="78" t="b">
        <f t="shared" si="1387"/>
        <v>0</v>
      </c>
      <c r="AJ1738" s="78" t="b">
        <f t="shared" si="1388"/>
        <v>0</v>
      </c>
      <c r="AK1738" s="78" t="b">
        <f t="shared" si="1389"/>
        <v>0</v>
      </c>
      <c r="AL1738" s="78" t="b">
        <f t="shared" si="1390"/>
        <v>0</v>
      </c>
      <c r="AM1738" s="78" t="b">
        <f t="shared" si="1391"/>
        <v>0</v>
      </c>
      <c r="AN1738" s="78" t="b">
        <f t="shared" si="1392"/>
        <v>0</v>
      </c>
      <c r="AO1738" s="78" t="b">
        <f t="shared" si="1393"/>
        <v>0</v>
      </c>
    </row>
    <row r="1739" spans="7:41" x14ac:dyDescent="0.35">
      <c r="G1739" s="77">
        <f t="shared" si="1363"/>
        <v>0</v>
      </c>
      <c r="H1739" s="78">
        <f t="shared" si="1364"/>
        <v>0</v>
      </c>
      <c r="I1739" s="77">
        <f t="shared" si="1365"/>
        <v>0</v>
      </c>
      <c r="J1739" s="78">
        <f t="shared" si="1366"/>
        <v>0</v>
      </c>
      <c r="K1739" s="78" t="str">
        <f t="shared" si="1367"/>
        <v>1900-01-00 00:0:00</v>
      </c>
      <c r="L1739" s="78" t="str">
        <f t="shared" si="1368"/>
        <v>1900-01-00 00:0:00</v>
      </c>
      <c r="M1739" s="79">
        <f t="shared" si="1369"/>
        <v>0</v>
      </c>
      <c r="N1739">
        <f t="shared" si="1394"/>
        <v>1</v>
      </c>
      <c r="O1739" t="str">
        <f>IFERROR(_xlfn.XLOOKUP(A1739,HC!A:A,HC!C:C),"")</f>
        <v>Workforce</v>
      </c>
      <c r="R1739" s="78" t="b">
        <f t="shared" si="1370"/>
        <v>0</v>
      </c>
      <c r="S1739" s="78" t="b">
        <f t="shared" si="1371"/>
        <v>0</v>
      </c>
      <c r="T1739" s="78" t="b">
        <f t="shared" si="1372"/>
        <v>0</v>
      </c>
      <c r="U1739" s="78" t="b">
        <f t="shared" si="1373"/>
        <v>0</v>
      </c>
      <c r="V1739" s="78" t="b">
        <f t="shared" si="1374"/>
        <v>0</v>
      </c>
      <c r="W1739" s="78" t="b">
        <f t="shared" si="1375"/>
        <v>0</v>
      </c>
      <c r="X1739" s="78" t="b">
        <f t="shared" si="1376"/>
        <v>0</v>
      </c>
      <c r="Y1739" s="78" t="b">
        <f t="shared" si="1377"/>
        <v>0</v>
      </c>
      <c r="Z1739" s="78" t="b">
        <f t="shared" si="1378"/>
        <v>0</v>
      </c>
      <c r="AA1739" s="78" t="b">
        <f t="shared" si="1379"/>
        <v>0</v>
      </c>
      <c r="AB1739" s="78" t="b">
        <f t="shared" si="1380"/>
        <v>0</v>
      </c>
      <c r="AC1739" s="78" t="b">
        <f t="shared" si="1381"/>
        <v>0</v>
      </c>
      <c r="AD1739" s="78" t="b">
        <f t="shared" si="1382"/>
        <v>0</v>
      </c>
      <c r="AE1739" s="78" t="b">
        <f t="shared" si="1383"/>
        <v>0</v>
      </c>
      <c r="AF1739" s="78" t="b">
        <f t="shared" si="1384"/>
        <v>0</v>
      </c>
      <c r="AG1739" s="78" t="b">
        <f t="shared" si="1385"/>
        <v>0</v>
      </c>
      <c r="AH1739" s="78" t="b">
        <f t="shared" si="1386"/>
        <v>0</v>
      </c>
      <c r="AI1739" s="78" t="b">
        <f t="shared" si="1387"/>
        <v>0</v>
      </c>
      <c r="AJ1739" s="78" t="b">
        <f t="shared" si="1388"/>
        <v>0</v>
      </c>
      <c r="AK1739" s="78" t="b">
        <f t="shared" si="1389"/>
        <v>0</v>
      </c>
      <c r="AL1739" s="78" t="b">
        <f t="shared" si="1390"/>
        <v>0</v>
      </c>
      <c r="AM1739" s="78" t="b">
        <f t="shared" si="1391"/>
        <v>0</v>
      </c>
      <c r="AN1739" s="78" t="b">
        <f t="shared" si="1392"/>
        <v>0</v>
      </c>
      <c r="AO1739" s="78" t="b">
        <f t="shared" si="1393"/>
        <v>0</v>
      </c>
    </row>
    <row r="1740" spans="7:41" x14ac:dyDescent="0.35">
      <c r="G1740" s="77">
        <f t="shared" si="1363"/>
        <v>0</v>
      </c>
      <c r="H1740" s="78">
        <f t="shared" si="1364"/>
        <v>0</v>
      </c>
      <c r="I1740" s="77">
        <f t="shared" si="1365"/>
        <v>0</v>
      </c>
      <c r="J1740" s="78">
        <f t="shared" si="1366"/>
        <v>0</v>
      </c>
      <c r="K1740" s="78" t="str">
        <f t="shared" si="1367"/>
        <v>1900-01-00 00:0:00</v>
      </c>
      <c r="L1740" s="78" t="str">
        <f t="shared" si="1368"/>
        <v>1900-01-00 00:0:00</v>
      </c>
      <c r="M1740" s="79">
        <f t="shared" si="1369"/>
        <v>0</v>
      </c>
      <c r="N1740">
        <f t="shared" si="1394"/>
        <v>1</v>
      </c>
      <c r="O1740" t="str">
        <f>IFERROR(_xlfn.XLOOKUP(A1740,HC!A:A,HC!C:C),"")</f>
        <v>Workforce</v>
      </c>
      <c r="R1740" s="78" t="b">
        <f t="shared" si="1370"/>
        <v>0</v>
      </c>
      <c r="S1740" s="78" t="b">
        <f t="shared" si="1371"/>
        <v>0</v>
      </c>
      <c r="T1740" s="78" t="b">
        <f t="shared" si="1372"/>
        <v>0</v>
      </c>
      <c r="U1740" s="78" t="b">
        <f t="shared" si="1373"/>
        <v>0</v>
      </c>
      <c r="V1740" s="78" t="b">
        <f t="shared" si="1374"/>
        <v>0</v>
      </c>
      <c r="W1740" s="78" t="b">
        <f t="shared" si="1375"/>
        <v>0</v>
      </c>
      <c r="X1740" s="78" t="b">
        <f t="shared" si="1376"/>
        <v>0</v>
      </c>
      <c r="Y1740" s="78" t="b">
        <f t="shared" si="1377"/>
        <v>0</v>
      </c>
      <c r="Z1740" s="78" t="b">
        <f t="shared" si="1378"/>
        <v>0</v>
      </c>
      <c r="AA1740" s="78" t="b">
        <f t="shared" si="1379"/>
        <v>0</v>
      </c>
      <c r="AB1740" s="78" t="b">
        <f t="shared" si="1380"/>
        <v>0</v>
      </c>
      <c r="AC1740" s="78" t="b">
        <f t="shared" si="1381"/>
        <v>0</v>
      </c>
      <c r="AD1740" s="78" t="b">
        <f t="shared" si="1382"/>
        <v>0</v>
      </c>
      <c r="AE1740" s="78" t="b">
        <f t="shared" si="1383"/>
        <v>0</v>
      </c>
      <c r="AF1740" s="78" t="b">
        <f t="shared" si="1384"/>
        <v>0</v>
      </c>
      <c r="AG1740" s="78" t="b">
        <f t="shared" si="1385"/>
        <v>0</v>
      </c>
      <c r="AH1740" s="78" t="b">
        <f t="shared" si="1386"/>
        <v>0</v>
      </c>
      <c r="AI1740" s="78" t="b">
        <f t="shared" si="1387"/>
        <v>0</v>
      </c>
      <c r="AJ1740" s="78" t="b">
        <f t="shared" si="1388"/>
        <v>0</v>
      </c>
      <c r="AK1740" s="78" t="b">
        <f t="shared" si="1389"/>
        <v>0</v>
      </c>
      <c r="AL1740" s="78" t="b">
        <f t="shared" si="1390"/>
        <v>0</v>
      </c>
      <c r="AM1740" s="78" t="b">
        <f t="shared" si="1391"/>
        <v>0</v>
      </c>
      <c r="AN1740" s="78" t="b">
        <f t="shared" si="1392"/>
        <v>0</v>
      </c>
      <c r="AO1740" s="78" t="b">
        <f t="shared" si="1393"/>
        <v>0</v>
      </c>
    </row>
    <row r="1741" spans="7:41" x14ac:dyDescent="0.35">
      <c r="G1741" s="77">
        <f t="shared" si="1363"/>
        <v>0</v>
      </c>
      <c r="H1741" s="78">
        <f t="shared" si="1364"/>
        <v>0</v>
      </c>
      <c r="I1741" s="77">
        <f t="shared" si="1365"/>
        <v>0</v>
      </c>
      <c r="J1741" s="78">
        <f t="shared" si="1366"/>
        <v>0</v>
      </c>
      <c r="K1741" s="78" t="str">
        <f t="shared" si="1367"/>
        <v>1900-01-00 00:0:00</v>
      </c>
      <c r="L1741" s="78" t="str">
        <f t="shared" si="1368"/>
        <v>1900-01-00 00:0:00</v>
      </c>
      <c r="M1741" s="79">
        <f t="shared" si="1369"/>
        <v>0</v>
      </c>
      <c r="N1741">
        <f t="shared" si="1394"/>
        <v>1</v>
      </c>
      <c r="O1741" t="str">
        <f>IFERROR(_xlfn.XLOOKUP(A1741,HC!A:A,HC!C:C),"")</f>
        <v>Workforce</v>
      </c>
      <c r="R1741" s="78" t="b">
        <f t="shared" si="1370"/>
        <v>0</v>
      </c>
      <c r="S1741" s="78" t="b">
        <f t="shared" si="1371"/>
        <v>0</v>
      </c>
      <c r="T1741" s="78" t="b">
        <f t="shared" si="1372"/>
        <v>0</v>
      </c>
      <c r="U1741" s="78" t="b">
        <f t="shared" si="1373"/>
        <v>0</v>
      </c>
      <c r="V1741" s="78" t="b">
        <f t="shared" si="1374"/>
        <v>0</v>
      </c>
      <c r="W1741" s="78" t="b">
        <f t="shared" si="1375"/>
        <v>0</v>
      </c>
      <c r="X1741" s="78" t="b">
        <f t="shared" si="1376"/>
        <v>0</v>
      </c>
      <c r="Y1741" s="78" t="b">
        <f t="shared" si="1377"/>
        <v>0</v>
      </c>
      <c r="Z1741" s="78" t="b">
        <f t="shared" si="1378"/>
        <v>0</v>
      </c>
      <c r="AA1741" s="78" t="b">
        <f t="shared" si="1379"/>
        <v>0</v>
      </c>
      <c r="AB1741" s="78" t="b">
        <f t="shared" si="1380"/>
        <v>0</v>
      </c>
      <c r="AC1741" s="78" t="b">
        <f t="shared" si="1381"/>
        <v>0</v>
      </c>
      <c r="AD1741" s="78" t="b">
        <f t="shared" si="1382"/>
        <v>0</v>
      </c>
      <c r="AE1741" s="78" t="b">
        <f t="shared" si="1383"/>
        <v>0</v>
      </c>
      <c r="AF1741" s="78" t="b">
        <f t="shared" si="1384"/>
        <v>0</v>
      </c>
      <c r="AG1741" s="78" t="b">
        <f t="shared" si="1385"/>
        <v>0</v>
      </c>
      <c r="AH1741" s="78" t="b">
        <f t="shared" si="1386"/>
        <v>0</v>
      </c>
      <c r="AI1741" s="78" t="b">
        <f t="shared" si="1387"/>
        <v>0</v>
      </c>
      <c r="AJ1741" s="78" t="b">
        <f t="shared" si="1388"/>
        <v>0</v>
      </c>
      <c r="AK1741" s="78" t="b">
        <f t="shared" si="1389"/>
        <v>0</v>
      </c>
      <c r="AL1741" s="78" t="b">
        <f t="shared" si="1390"/>
        <v>0</v>
      </c>
      <c r="AM1741" s="78" t="b">
        <f t="shared" si="1391"/>
        <v>0</v>
      </c>
      <c r="AN1741" s="78" t="b">
        <f t="shared" si="1392"/>
        <v>0</v>
      </c>
      <c r="AO1741" s="78" t="b">
        <f t="shared" si="1393"/>
        <v>0</v>
      </c>
    </row>
    <row r="1742" spans="7:41" x14ac:dyDescent="0.35">
      <c r="G1742" s="77">
        <f t="shared" si="1363"/>
        <v>0</v>
      </c>
      <c r="H1742" s="78">
        <f t="shared" si="1364"/>
        <v>0</v>
      </c>
      <c r="I1742" s="77">
        <f t="shared" si="1365"/>
        <v>0</v>
      </c>
      <c r="J1742" s="78">
        <f t="shared" si="1366"/>
        <v>0</v>
      </c>
      <c r="K1742" s="78" t="str">
        <f t="shared" si="1367"/>
        <v>1900-01-00 00:0:00</v>
      </c>
      <c r="L1742" s="78" t="str">
        <f t="shared" si="1368"/>
        <v>1900-01-00 00:0:00</v>
      </c>
      <c r="M1742" s="79">
        <f t="shared" si="1369"/>
        <v>0</v>
      </c>
      <c r="N1742">
        <f t="shared" si="1394"/>
        <v>1</v>
      </c>
      <c r="O1742" t="str">
        <f>IFERROR(_xlfn.XLOOKUP(A1742,HC!A:A,HC!C:C),"")</f>
        <v>Workforce</v>
      </c>
      <c r="R1742" s="78" t="b">
        <f t="shared" si="1370"/>
        <v>0</v>
      </c>
      <c r="S1742" s="78" t="b">
        <f t="shared" si="1371"/>
        <v>0</v>
      </c>
      <c r="T1742" s="78" t="b">
        <f t="shared" si="1372"/>
        <v>0</v>
      </c>
      <c r="U1742" s="78" t="b">
        <f t="shared" si="1373"/>
        <v>0</v>
      </c>
      <c r="V1742" s="78" t="b">
        <f t="shared" si="1374"/>
        <v>0</v>
      </c>
      <c r="W1742" s="78" t="b">
        <f t="shared" si="1375"/>
        <v>0</v>
      </c>
      <c r="X1742" s="78" t="b">
        <f t="shared" si="1376"/>
        <v>0</v>
      </c>
      <c r="Y1742" s="78" t="b">
        <f t="shared" si="1377"/>
        <v>0</v>
      </c>
      <c r="Z1742" s="78" t="b">
        <f t="shared" si="1378"/>
        <v>0</v>
      </c>
      <c r="AA1742" s="78" t="b">
        <f t="shared" si="1379"/>
        <v>0</v>
      </c>
      <c r="AB1742" s="78" t="b">
        <f t="shared" si="1380"/>
        <v>0</v>
      </c>
      <c r="AC1742" s="78" t="b">
        <f t="shared" si="1381"/>
        <v>0</v>
      </c>
      <c r="AD1742" s="78" t="b">
        <f t="shared" si="1382"/>
        <v>0</v>
      </c>
      <c r="AE1742" s="78" t="b">
        <f t="shared" si="1383"/>
        <v>0</v>
      </c>
      <c r="AF1742" s="78" t="b">
        <f t="shared" si="1384"/>
        <v>0</v>
      </c>
      <c r="AG1742" s="78" t="b">
        <f t="shared" si="1385"/>
        <v>0</v>
      </c>
      <c r="AH1742" s="78" t="b">
        <f t="shared" si="1386"/>
        <v>0</v>
      </c>
      <c r="AI1742" s="78" t="b">
        <f t="shared" si="1387"/>
        <v>0</v>
      </c>
      <c r="AJ1742" s="78" t="b">
        <f t="shared" si="1388"/>
        <v>0</v>
      </c>
      <c r="AK1742" s="78" t="b">
        <f t="shared" si="1389"/>
        <v>0</v>
      </c>
      <c r="AL1742" s="78" t="b">
        <f t="shared" si="1390"/>
        <v>0</v>
      </c>
      <c r="AM1742" s="78" t="b">
        <f t="shared" si="1391"/>
        <v>0</v>
      </c>
      <c r="AN1742" s="78" t="b">
        <f t="shared" si="1392"/>
        <v>0</v>
      </c>
      <c r="AO1742" s="78" t="b">
        <f t="shared" si="1393"/>
        <v>0</v>
      </c>
    </row>
    <row r="1743" spans="7:41" x14ac:dyDescent="0.35">
      <c r="G1743" s="77">
        <f t="shared" si="1363"/>
        <v>0</v>
      </c>
      <c r="H1743" s="78">
        <f t="shared" si="1364"/>
        <v>0</v>
      </c>
      <c r="I1743" s="77">
        <f t="shared" si="1365"/>
        <v>0</v>
      </c>
      <c r="J1743" s="78">
        <f t="shared" si="1366"/>
        <v>0</v>
      </c>
      <c r="K1743" s="78" t="str">
        <f t="shared" si="1367"/>
        <v>1900-01-00 00:0:00</v>
      </c>
      <c r="L1743" s="78" t="str">
        <f t="shared" si="1368"/>
        <v>1900-01-00 00:0:00</v>
      </c>
      <c r="M1743" s="79">
        <f t="shared" si="1369"/>
        <v>0</v>
      </c>
      <c r="N1743">
        <f t="shared" si="1394"/>
        <v>1</v>
      </c>
      <c r="O1743" t="str">
        <f>IFERROR(_xlfn.XLOOKUP(A1743,HC!A:A,HC!C:C),"")</f>
        <v>Workforce</v>
      </c>
      <c r="R1743" s="78" t="b">
        <f t="shared" si="1370"/>
        <v>0</v>
      </c>
      <c r="S1743" s="78" t="b">
        <f t="shared" si="1371"/>
        <v>0</v>
      </c>
      <c r="T1743" s="78" t="b">
        <f t="shared" si="1372"/>
        <v>0</v>
      </c>
      <c r="U1743" s="78" t="b">
        <f t="shared" si="1373"/>
        <v>0</v>
      </c>
      <c r="V1743" s="78" t="b">
        <f t="shared" si="1374"/>
        <v>0</v>
      </c>
      <c r="W1743" s="78" t="b">
        <f t="shared" si="1375"/>
        <v>0</v>
      </c>
      <c r="X1743" s="78" t="b">
        <f t="shared" si="1376"/>
        <v>0</v>
      </c>
      <c r="Y1743" s="78" t="b">
        <f t="shared" si="1377"/>
        <v>0</v>
      </c>
      <c r="Z1743" s="78" t="b">
        <f t="shared" si="1378"/>
        <v>0</v>
      </c>
      <c r="AA1743" s="78" t="b">
        <f t="shared" si="1379"/>
        <v>0</v>
      </c>
      <c r="AB1743" s="78" t="b">
        <f t="shared" si="1380"/>
        <v>0</v>
      </c>
      <c r="AC1743" s="78" t="b">
        <f t="shared" si="1381"/>
        <v>0</v>
      </c>
      <c r="AD1743" s="78" t="b">
        <f t="shared" si="1382"/>
        <v>0</v>
      </c>
      <c r="AE1743" s="78" t="b">
        <f t="shared" si="1383"/>
        <v>0</v>
      </c>
      <c r="AF1743" s="78" t="b">
        <f t="shared" si="1384"/>
        <v>0</v>
      </c>
      <c r="AG1743" s="78" t="b">
        <f t="shared" si="1385"/>
        <v>0</v>
      </c>
      <c r="AH1743" s="78" t="b">
        <f t="shared" si="1386"/>
        <v>0</v>
      </c>
      <c r="AI1743" s="78" t="b">
        <f t="shared" si="1387"/>
        <v>0</v>
      </c>
      <c r="AJ1743" s="78" t="b">
        <f t="shared" si="1388"/>
        <v>0</v>
      </c>
      <c r="AK1743" s="78" t="b">
        <f t="shared" si="1389"/>
        <v>0</v>
      </c>
      <c r="AL1743" s="78" t="b">
        <f t="shared" si="1390"/>
        <v>0</v>
      </c>
      <c r="AM1743" s="78" t="b">
        <f t="shared" si="1391"/>
        <v>0</v>
      </c>
      <c r="AN1743" s="78" t="b">
        <f t="shared" si="1392"/>
        <v>0</v>
      </c>
      <c r="AO1743" s="78" t="b">
        <f t="shared" si="1393"/>
        <v>0</v>
      </c>
    </row>
    <row r="1744" spans="7:41" x14ac:dyDescent="0.35">
      <c r="G1744" s="77">
        <f t="shared" si="1363"/>
        <v>0</v>
      </c>
      <c r="H1744" s="78">
        <f t="shared" si="1364"/>
        <v>0</v>
      </c>
      <c r="I1744" s="77">
        <f t="shared" si="1365"/>
        <v>0</v>
      </c>
      <c r="J1744" s="78">
        <f t="shared" si="1366"/>
        <v>0</v>
      </c>
      <c r="K1744" s="78" t="str">
        <f t="shared" si="1367"/>
        <v>1900-01-00 00:0:00</v>
      </c>
      <c r="L1744" s="78" t="str">
        <f t="shared" si="1368"/>
        <v>1900-01-00 00:0:00</v>
      </c>
      <c r="M1744" s="79">
        <f t="shared" si="1369"/>
        <v>0</v>
      </c>
      <c r="N1744">
        <f t="shared" si="1394"/>
        <v>1</v>
      </c>
      <c r="O1744" t="str">
        <f>IFERROR(_xlfn.XLOOKUP(A1744,HC!A:A,HC!C:C),"")</f>
        <v>Workforce</v>
      </c>
      <c r="R1744" s="78" t="b">
        <f t="shared" si="1370"/>
        <v>0</v>
      </c>
      <c r="S1744" s="78" t="b">
        <f t="shared" si="1371"/>
        <v>0</v>
      </c>
      <c r="T1744" s="78" t="b">
        <f t="shared" si="1372"/>
        <v>0</v>
      </c>
      <c r="U1744" s="78" t="b">
        <f t="shared" si="1373"/>
        <v>0</v>
      </c>
      <c r="V1744" s="78" t="b">
        <f t="shared" si="1374"/>
        <v>0</v>
      </c>
      <c r="W1744" s="78" t="b">
        <f t="shared" si="1375"/>
        <v>0</v>
      </c>
      <c r="X1744" s="78" t="b">
        <f t="shared" si="1376"/>
        <v>0</v>
      </c>
      <c r="Y1744" s="78" t="b">
        <f t="shared" si="1377"/>
        <v>0</v>
      </c>
      <c r="Z1744" s="78" t="b">
        <f t="shared" si="1378"/>
        <v>0</v>
      </c>
      <c r="AA1744" s="78" t="b">
        <f t="shared" si="1379"/>
        <v>0</v>
      </c>
      <c r="AB1744" s="78" t="b">
        <f t="shared" si="1380"/>
        <v>0</v>
      </c>
      <c r="AC1744" s="78" t="b">
        <f t="shared" si="1381"/>
        <v>0</v>
      </c>
      <c r="AD1744" s="78" t="b">
        <f t="shared" si="1382"/>
        <v>0</v>
      </c>
      <c r="AE1744" s="78" t="b">
        <f t="shared" si="1383"/>
        <v>0</v>
      </c>
      <c r="AF1744" s="78" t="b">
        <f t="shared" si="1384"/>
        <v>0</v>
      </c>
      <c r="AG1744" s="78" t="b">
        <f t="shared" si="1385"/>
        <v>0</v>
      </c>
      <c r="AH1744" s="78" t="b">
        <f t="shared" si="1386"/>
        <v>0</v>
      </c>
      <c r="AI1744" s="78" t="b">
        <f t="shared" si="1387"/>
        <v>0</v>
      </c>
      <c r="AJ1744" s="78" t="b">
        <f t="shared" si="1388"/>
        <v>0</v>
      </c>
      <c r="AK1744" s="78" t="b">
        <f t="shared" si="1389"/>
        <v>0</v>
      </c>
      <c r="AL1744" s="78" t="b">
        <f t="shared" si="1390"/>
        <v>0</v>
      </c>
      <c r="AM1744" s="78" t="b">
        <f t="shared" si="1391"/>
        <v>0</v>
      </c>
      <c r="AN1744" s="78" t="b">
        <f t="shared" si="1392"/>
        <v>0</v>
      </c>
      <c r="AO1744" s="78" t="b">
        <f t="shared" si="1393"/>
        <v>0</v>
      </c>
    </row>
    <row r="1745" spans="7:41" x14ac:dyDescent="0.35">
      <c r="G1745" s="77">
        <f t="shared" si="1363"/>
        <v>0</v>
      </c>
      <c r="H1745" s="78">
        <f t="shared" si="1364"/>
        <v>0</v>
      </c>
      <c r="I1745" s="77">
        <f t="shared" si="1365"/>
        <v>0</v>
      </c>
      <c r="J1745" s="78">
        <f t="shared" si="1366"/>
        <v>0</v>
      </c>
      <c r="K1745" s="78" t="str">
        <f t="shared" si="1367"/>
        <v>1900-01-00 00:0:00</v>
      </c>
      <c r="L1745" s="78" t="str">
        <f t="shared" si="1368"/>
        <v>1900-01-00 00:0:00</v>
      </c>
      <c r="M1745" s="79">
        <f t="shared" si="1369"/>
        <v>0</v>
      </c>
      <c r="N1745">
        <f t="shared" si="1394"/>
        <v>1</v>
      </c>
      <c r="O1745" t="str">
        <f>IFERROR(_xlfn.XLOOKUP(A1745,HC!A:A,HC!C:C),"")</f>
        <v>Workforce</v>
      </c>
      <c r="R1745" s="78" t="b">
        <f t="shared" si="1370"/>
        <v>0</v>
      </c>
      <c r="S1745" s="78" t="b">
        <f t="shared" si="1371"/>
        <v>0</v>
      </c>
      <c r="T1745" s="78" t="b">
        <f t="shared" si="1372"/>
        <v>0</v>
      </c>
      <c r="U1745" s="78" t="b">
        <f t="shared" si="1373"/>
        <v>0</v>
      </c>
      <c r="V1745" s="78" t="b">
        <f t="shared" si="1374"/>
        <v>0</v>
      </c>
      <c r="W1745" s="78" t="b">
        <f t="shared" si="1375"/>
        <v>0</v>
      </c>
      <c r="X1745" s="78" t="b">
        <f t="shared" si="1376"/>
        <v>0</v>
      </c>
      <c r="Y1745" s="78" t="b">
        <f t="shared" si="1377"/>
        <v>0</v>
      </c>
      <c r="Z1745" s="78" t="b">
        <f t="shared" si="1378"/>
        <v>0</v>
      </c>
      <c r="AA1745" s="78" t="b">
        <f t="shared" si="1379"/>
        <v>0</v>
      </c>
      <c r="AB1745" s="78" t="b">
        <f t="shared" si="1380"/>
        <v>0</v>
      </c>
      <c r="AC1745" s="78" t="b">
        <f t="shared" si="1381"/>
        <v>0</v>
      </c>
      <c r="AD1745" s="78" t="b">
        <f t="shared" si="1382"/>
        <v>0</v>
      </c>
      <c r="AE1745" s="78" t="b">
        <f t="shared" si="1383"/>
        <v>0</v>
      </c>
      <c r="AF1745" s="78" t="b">
        <f t="shared" si="1384"/>
        <v>0</v>
      </c>
      <c r="AG1745" s="78" t="b">
        <f t="shared" si="1385"/>
        <v>0</v>
      </c>
      <c r="AH1745" s="78" t="b">
        <f t="shared" si="1386"/>
        <v>0</v>
      </c>
      <c r="AI1745" s="78" t="b">
        <f t="shared" si="1387"/>
        <v>0</v>
      </c>
      <c r="AJ1745" s="78" t="b">
        <f t="shared" si="1388"/>
        <v>0</v>
      </c>
      <c r="AK1745" s="78" t="b">
        <f t="shared" si="1389"/>
        <v>0</v>
      </c>
      <c r="AL1745" s="78" t="b">
        <f t="shared" si="1390"/>
        <v>0</v>
      </c>
      <c r="AM1745" s="78" t="b">
        <f t="shared" si="1391"/>
        <v>0</v>
      </c>
      <c r="AN1745" s="78" t="b">
        <f t="shared" si="1392"/>
        <v>0</v>
      </c>
      <c r="AO1745" s="78" t="b">
        <f t="shared" si="1393"/>
        <v>0</v>
      </c>
    </row>
    <row r="1746" spans="7:41" x14ac:dyDescent="0.35">
      <c r="G1746" s="77">
        <f t="shared" si="1363"/>
        <v>0</v>
      </c>
      <c r="H1746" s="78">
        <f t="shared" si="1364"/>
        <v>0</v>
      </c>
      <c r="I1746" s="77">
        <f t="shared" si="1365"/>
        <v>0</v>
      </c>
      <c r="J1746" s="78">
        <f t="shared" si="1366"/>
        <v>0</v>
      </c>
      <c r="K1746" s="78" t="str">
        <f t="shared" si="1367"/>
        <v>1900-01-00 00:0:00</v>
      </c>
      <c r="L1746" s="78" t="str">
        <f t="shared" si="1368"/>
        <v>1900-01-00 00:0:00</v>
      </c>
      <c r="M1746" s="79">
        <f t="shared" si="1369"/>
        <v>0</v>
      </c>
      <c r="N1746">
        <f t="shared" si="1394"/>
        <v>1</v>
      </c>
      <c r="O1746" t="str">
        <f>IFERROR(_xlfn.XLOOKUP(A1746,HC!A:A,HC!C:C),"")</f>
        <v>Workforce</v>
      </c>
      <c r="R1746" s="78" t="b">
        <f t="shared" si="1370"/>
        <v>0</v>
      </c>
      <c r="S1746" s="78" t="b">
        <f t="shared" si="1371"/>
        <v>0</v>
      </c>
      <c r="T1746" s="78" t="b">
        <f t="shared" si="1372"/>
        <v>0</v>
      </c>
      <c r="U1746" s="78" t="b">
        <f t="shared" si="1373"/>
        <v>0</v>
      </c>
      <c r="V1746" s="78" t="b">
        <f t="shared" si="1374"/>
        <v>0</v>
      </c>
      <c r="W1746" s="78" t="b">
        <f t="shared" si="1375"/>
        <v>0</v>
      </c>
      <c r="X1746" s="78" t="b">
        <f t="shared" si="1376"/>
        <v>0</v>
      </c>
      <c r="Y1746" s="78" t="b">
        <f t="shared" si="1377"/>
        <v>0</v>
      </c>
      <c r="Z1746" s="78" t="b">
        <f t="shared" si="1378"/>
        <v>0</v>
      </c>
      <c r="AA1746" s="78" t="b">
        <f t="shared" si="1379"/>
        <v>0</v>
      </c>
      <c r="AB1746" s="78" t="b">
        <f t="shared" si="1380"/>
        <v>0</v>
      </c>
      <c r="AC1746" s="78" t="b">
        <f t="shared" si="1381"/>
        <v>0</v>
      </c>
      <c r="AD1746" s="78" t="b">
        <f t="shared" si="1382"/>
        <v>0</v>
      </c>
      <c r="AE1746" s="78" t="b">
        <f t="shared" si="1383"/>
        <v>0</v>
      </c>
      <c r="AF1746" s="78" t="b">
        <f t="shared" si="1384"/>
        <v>0</v>
      </c>
      <c r="AG1746" s="78" t="b">
        <f t="shared" si="1385"/>
        <v>0</v>
      </c>
      <c r="AH1746" s="78" t="b">
        <f t="shared" si="1386"/>
        <v>0</v>
      </c>
      <c r="AI1746" s="78" t="b">
        <f t="shared" si="1387"/>
        <v>0</v>
      </c>
      <c r="AJ1746" s="78" t="b">
        <f t="shared" si="1388"/>
        <v>0</v>
      </c>
      <c r="AK1746" s="78" t="b">
        <f t="shared" si="1389"/>
        <v>0</v>
      </c>
      <c r="AL1746" s="78" t="b">
        <f t="shared" si="1390"/>
        <v>0</v>
      </c>
      <c r="AM1746" s="78" t="b">
        <f t="shared" si="1391"/>
        <v>0</v>
      </c>
      <c r="AN1746" s="78" t="b">
        <f t="shared" si="1392"/>
        <v>0</v>
      </c>
      <c r="AO1746" s="78" t="b">
        <f t="shared" si="1393"/>
        <v>0</v>
      </c>
    </row>
    <row r="1747" spans="7:41" x14ac:dyDescent="0.35">
      <c r="G1747" s="77">
        <f t="shared" si="1363"/>
        <v>0</v>
      </c>
      <c r="H1747" s="78">
        <f t="shared" si="1364"/>
        <v>0</v>
      </c>
      <c r="I1747" s="77">
        <f t="shared" si="1365"/>
        <v>0</v>
      </c>
      <c r="J1747" s="78">
        <f t="shared" si="1366"/>
        <v>0</v>
      </c>
      <c r="K1747" s="78" t="str">
        <f t="shared" si="1367"/>
        <v>1900-01-00 00:0:00</v>
      </c>
      <c r="L1747" s="78" t="str">
        <f t="shared" si="1368"/>
        <v>1900-01-00 00:0:00</v>
      </c>
      <c r="M1747" s="79">
        <f t="shared" si="1369"/>
        <v>0</v>
      </c>
      <c r="N1747">
        <f t="shared" si="1394"/>
        <v>1</v>
      </c>
      <c r="O1747" t="str">
        <f>IFERROR(_xlfn.XLOOKUP(A1747,HC!A:A,HC!C:C),"")</f>
        <v>Workforce</v>
      </c>
      <c r="R1747" s="78" t="b">
        <f t="shared" si="1370"/>
        <v>0</v>
      </c>
      <c r="S1747" s="78" t="b">
        <f t="shared" si="1371"/>
        <v>0</v>
      </c>
      <c r="T1747" s="78" t="b">
        <f t="shared" si="1372"/>
        <v>0</v>
      </c>
      <c r="U1747" s="78" t="b">
        <f t="shared" si="1373"/>
        <v>0</v>
      </c>
      <c r="V1747" s="78" t="b">
        <f t="shared" si="1374"/>
        <v>0</v>
      </c>
      <c r="W1747" s="78" t="b">
        <f t="shared" si="1375"/>
        <v>0</v>
      </c>
      <c r="X1747" s="78" t="b">
        <f t="shared" si="1376"/>
        <v>0</v>
      </c>
      <c r="Y1747" s="78" t="b">
        <f t="shared" si="1377"/>
        <v>0</v>
      </c>
      <c r="Z1747" s="78" t="b">
        <f t="shared" si="1378"/>
        <v>0</v>
      </c>
      <c r="AA1747" s="78" t="b">
        <f t="shared" si="1379"/>
        <v>0</v>
      </c>
      <c r="AB1747" s="78" t="b">
        <f t="shared" si="1380"/>
        <v>0</v>
      </c>
      <c r="AC1747" s="78" t="b">
        <f t="shared" si="1381"/>
        <v>0</v>
      </c>
      <c r="AD1747" s="78" t="b">
        <f t="shared" si="1382"/>
        <v>0</v>
      </c>
      <c r="AE1747" s="78" t="b">
        <f t="shared" si="1383"/>
        <v>0</v>
      </c>
      <c r="AF1747" s="78" t="b">
        <f t="shared" si="1384"/>
        <v>0</v>
      </c>
      <c r="AG1747" s="78" t="b">
        <f t="shared" si="1385"/>
        <v>0</v>
      </c>
      <c r="AH1747" s="78" t="b">
        <f t="shared" si="1386"/>
        <v>0</v>
      </c>
      <c r="AI1747" s="78" t="b">
        <f t="shared" si="1387"/>
        <v>0</v>
      </c>
      <c r="AJ1747" s="78" t="b">
        <f t="shared" si="1388"/>
        <v>0</v>
      </c>
      <c r="AK1747" s="78" t="b">
        <f t="shared" si="1389"/>
        <v>0</v>
      </c>
      <c r="AL1747" s="78" t="b">
        <f t="shared" si="1390"/>
        <v>0</v>
      </c>
      <c r="AM1747" s="78" t="b">
        <f t="shared" si="1391"/>
        <v>0</v>
      </c>
      <c r="AN1747" s="78" t="b">
        <f t="shared" si="1392"/>
        <v>0</v>
      </c>
      <c r="AO1747" s="78" t="b">
        <f t="shared" si="1393"/>
        <v>0</v>
      </c>
    </row>
    <row r="1748" spans="7:41" x14ac:dyDescent="0.35">
      <c r="G1748" s="77">
        <f t="shared" si="1363"/>
        <v>0</v>
      </c>
      <c r="H1748" s="78">
        <f t="shared" si="1364"/>
        <v>0</v>
      </c>
      <c r="I1748" s="77">
        <f t="shared" si="1365"/>
        <v>0</v>
      </c>
      <c r="J1748" s="78">
        <f t="shared" si="1366"/>
        <v>0</v>
      </c>
      <c r="K1748" s="78" t="str">
        <f t="shared" si="1367"/>
        <v>1900-01-00 00:0:00</v>
      </c>
      <c r="L1748" s="78" t="str">
        <f t="shared" si="1368"/>
        <v>1900-01-00 00:0:00</v>
      </c>
      <c r="M1748" s="79">
        <f t="shared" si="1369"/>
        <v>0</v>
      </c>
      <c r="N1748">
        <f t="shared" si="1394"/>
        <v>1</v>
      </c>
      <c r="O1748" t="str">
        <f>IFERROR(_xlfn.XLOOKUP(A1748,HC!A:A,HC!C:C),"")</f>
        <v>Workforce</v>
      </c>
      <c r="R1748" s="78" t="b">
        <f t="shared" si="1370"/>
        <v>0</v>
      </c>
      <c r="S1748" s="78" t="b">
        <f t="shared" si="1371"/>
        <v>0</v>
      </c>
      <c r="T1748" s="78" t="b">
        <f t="shared" si="1372"/>
        <v>0</v>
      </c>
      <c r="U1748" s="78" t="b">
        <f t="shared" si="1373"/>
        <v>0</v>
      </c>
      <c r="V1748" s="78" t="b">
        <f t="shared" si="1374"/>
        <v>0</v>
      </c>
      <c r="W1748" s="78" t="b">
        <f t="shared" si="1375"/>
        <v>0</v>
      </c>
      <c r="X1748" s="78" t="b">
        <f t="shared" si="1376"/>
        <v>0</v>
      </c>
      <c r="Y1748" s="78" t="b">
        <f t="shared" si="1377"/>
        <v>0</v>
      </c>
      <c r="Z1748" s="78" t="b">
        <f t="shared" si="1378"/>
        <v>0</v>
      </c>
      <c r="AA1748" s="78" t="b">
        <f t="shared" si="1379"/>
        <v>0</v>
      </c>
      <c r="AB1748" s="78" t="b">
        <f t="shared" si="1380"/>
        <v>0</v>
      </c>
      <c r="AC1748" s="78" t="b">
        <f t="shared" si="1381"/>
        <v>0</v>
      </c>
      <c r="AD1748" s="78" t="b">
        <f t="shared" si="1382"/>
        <v>0</v>
      </c>
      <c r="AE1748" s="78" t="b">
        <f t="shared" si="1383"/>
        <v>0</v>
      </c>
      <c r="AF1748" s="78" t="b">
        <f t="shared" si="1384"/>
        <v>0</v>
      </c>
      <c r="AG1748" s="78" t="b">
        <f t="shared" si="1385"/>
        <v>0</v>
      </c>
      <c r="AH1748" s="78" t="b">
        <f t="shared" si="1386"/>
        <v>0</v>
      </c>
      <c r="AI1748" s="78" t="b">
        <f t="shared" si="1387"/>
        <v>0</v>
      </c>
      <c r="AJ1748" s="78" t="b">
        <f t="shared" si="1388"/>
        <v>0</v>
      </c>
      <c r="AK1748" s="78" t="b">
        <f t="shared" si="1389"/>
        <v>0</v>
      </c>
      <c r="AL1748" s="78" t="b">
        <f t="shared" si="1390"/>
        <v>0</v>
      </c>
      <c r="AM1748" s="78" t="b">
        <f t="shared" si="1391"/>
        <v>0</v>
      </c>
      <c r="AN1748" s="78" t="b">
        <f t="shared" si="1392"/>
        <v>0</v>
      </c>
      <c r="AO1748" s="78" t="b">
        <f t="shared" si="1393"/>
        <v>0</v>
      </c>
    </row>
    <row r="1749" spans="7:41" x14ac:dyDescent="0.35">
      <c r="G1749" s="77">
        <f t="shared" si="1363"/>
        <v>0</v>
      </c>
      <c r="H1749" s="78">
        <f t="shared" si="1364"/>
        <v>0</v>
      </c>
      <c r="I1749" s="77">
        <f t="shared" si="1365"/>
        <v>0</v>
      </c>
      <c r="J1749" s="78">
        <f t="shared" si="1366"/>
        <v>0</v>
      </c>
      <c r="K1749" s="78" t="str">
        <f t="shared" si="1367"/>
        <v>1900-01-00 00:0:00</v>
      </c>
      <c r="L1749" s="78" t="str">
        <f t="shared" si="1368"/>
        <v>1900-01-00 00:0:00</v>
      </c>
      <c r="M1749" s="79">
        <f t="shared" si="1369"/>
        <v>0</v>
      </c>
      <c r="N1749">
        <f t="shared" si="1394"/>
        <v>1</v>
      </c>
      <c r="O1749" t="str">
        <f>IFERROR(_xlfn.XLOOKUP(A1749,HC!A:A,HC!C:C),"")</f>
        <v>Workforce</v>
      </c>
      <c r="R1749" s="78" t="b">
        <f t="shared" si="1370"/>
        <v>0</v>
      </c>
      <c r="S1749" s="78" t="b">
        <f t="shared" si="1371"/>
        <v>0</v>
      </c>
      <c r="T1749" s="78" t="b">
        <f t="shared" si="1372"/>
        <v>0</v>
      </c>
      <c r="U1749" s="78" t="b">
        <f t="shared" si="1373"/>
        <v>0</v>
      </c>
      <c r="V1749" s="78" t="b">
        <f t="shared" si="1374"/>
        <v>0</v>
      </c>
      <c r="W1749" s="78" t="b">
        <f t="shared" si="1375"/>
        <v>0</v>
      </c>
      <c r="X1749" s="78" t="b">
        <f t="shared" si="1376"/>
        <v>0</v>
      </c>
      <c r="Y1749" s="78" t="b">
        <f t="shared" si="1377"/>
        <v>0</v>
      </c>
      <c r="Z1749" s="78" t="b">
        <f t="shared" si="1378"/>
        <v>0</v>
      </c>
      <c r="AA1749" s="78" t="b">
        <f t="shared" si="1379"/>
        <v>0</v>
      </c>
      <c r="AB1749" s="78" t="b">
        <f t="shared" si="1380"/>
        <v>0</v>
      </c>
      <c r="AC1749" s="78" t="b">
        <f t="shared" si="1381"/>
        <v>0</v>
      </c>
      <c r="AD1749" s="78" t="b">
        <f t="shared" si="1382"/>
        <v>0</v>
      </c>
      <c r="AE1749" s="78" t="b">
        <f t="shared" si="1383"/>
        <v>0</v>
      </c>
      <c r="AF1749" s="78" t="b">
        <f t="shared" si="1384"/>
        <v>0</v>
      </c>
      <c r="AG1749" s="78" t="b">
        <f t="shared" si="1385"/>
        <v>0</v>
      </c>
      <c r="AH1749" s="78" t="b">
        <f t="shared" si="1386"/>
        <v>0</v>
      </c>
      <c r="AI1749" s="78" t="b">
        <f t="shared" si="1387"/>
        <v>0</v>
      </c>
      <c r="AJ1749" s="78" t="b">
        <f t="shared" si="1388"/>
        <v>0</v>
      </c>
      <c r="AK1749" s="78" t="b">
        <f t="shared" si="1389"/>
        <v>0</v>
      </c>
      <c r="AL1749" s="78" t="b">
        <f t="shared" si="1390"/>
        <v>0</v>
      </c>
      <c r="AM1749" s="78" t="b">
        <f t="shared" si="1391"/>
        <v>0</v>
      </c>
      <c r="AN1749" s="78" t="b">
        <f t="shared" si="1392"/>
        <v>0</v>
      </c>
      <c r="AO1749" s="78" t="b">
        <f t="shared" si="1393"/>
        <v>0</v>
      </c>
    </row>
    <row r="1750" spans="7:41" x14ac:dyDescent="0.35">
      <c r="G1750" s="77">
        <f t="shared" si="1363"/>
        <v>0</v>
      </c>
      <c r="H1750" s="78">
        <f t="shared" si="1364"/>
        <v>0</v>
      </c>
      <c r="I1750" s="77">
        <f t="shared" si="1365"/>
        <v>0</v>
      </c>
      <c r="J1750" s="78">
        <f t="shared" si="1366"/>
        <v>0</v>
      </c>
      <c r="K1750" s="78" t="str">
        <f t="shared" si="1367"/>
        <v>1900-01-00 00:0:00</v>
      </c>
      <c r="L1750" s="78" t="str">
        <f t="shared" si="1368"/>
        <v>1900-01-00 00:0:00</v>
      </c>
      <c r="M1750" s="79">
        <f t="shared" si="1369"/>
        <v>0</v>
      </c>
      <c r="N1750">
        <f t="shared" si="1394"/>
        <v>1</v>
      </c>
      <c r="O1750" t="str">
        <f>IFERROR(_xlfn.XLOOKUP(A1750,HC!A:A,HC!C:C),"")</f>
        <v>Workforce</v>
      </c>
      <c r="R1750" s="78" t="b">
        <f t="shared" si="1370"/>
        <v>0</v>
      </c>
      <c r="S1750" s="78" t="b">
        <f t="shared" si="1371"/>
        <v>0</v>
      </c>
      <c r="T1750" s="78" t="b">
        <f t="shared" si="1372"/>
        <v>0</v>
      </c>
      <c r="U1750" s="78" t="b">
        <f t="shared" si="1373"/>
        <v>0</v>
      </c>
      <c r="V1750" s="78" t="b">
        <f t="shared" si="1374"/>
        <v>0</v>
      </c>
      <c r="W1750" s="78" t="b">
        <f t="shared" si="1375"/>
        <v>0</v>
      </c>
      <c r="X1750" s="78" t="b">
        <f t="shared" si="1376"/>
        <v>0</v>
      </c>
      <c r="Y1750" s="78" t="b">
        <f t="shared" si="1377"/>
        <v>0</v>
      </c>
      <c r="Z1750" s="78" t="b">
        <f t="shared" si="1378"/>
        <v>0</v>
      </c>
      <c r="AA1750" s="78" t="b">
        <f t="shared" si="1379"/>
        <v>0</v>
      </c>
      <c r="AB1750" s="78" t="b">
        <f t="shared" si="1380"/>
        <v>0</v>
      </c>
      <c r="AC1750" s="78" t="b">
        <f t="shared" si="1381"/>
        <v>0</v>
      </c>
      <c r="AD1750" s="78" t="b">
        <f t="shared" si="1382"/>
        <v>0</v>
      </c>
      <c r="AE1750" s="78" t="b">
        <f t="shared" si="1383"/>
        <v>0</v>
      </c>
      <c r="AF1750" s="78" t="b">
        <f t="shared" si="1384"/>
        <v>0</v>
      </c>
      <c r="AG1750" s="78" t="b">
        <f t="shared" si="1385"/>
        <v>0</v>
      </c>
      <c r="AH1750" s="78" t="b">
        <f t="shared" si="1386"/>
        <v>0</v>
      </c>
      <c r="AI1750" s="78" t="b">
        <f t="shared" si="1387"/>
        <v>0</v>
      </c>
      <c r="AJ1750" s="78" t="b">
        <f t="shared" si="1388"/>
        <v>0</v>
      </c>
      <c r="AK1750" s="78" t="b">
        <f t="shared" si="1389"/>
        <v>0</v>
      </c>
      <c r="AL1750" s="78" t="b">
        <f t="shared" si="1390"/>
        <v>0</v>
      </c>
      <c r="AM1750" s="78" t="b">
        <f t="shared" si="1391"/>
        <v>0</v>
      </c>
      <c r="AN1750" s="78" t="b">
        <f t="shared" si="1392"/>
        <v>0</v>
      </c>
      <c r="AO1750" s="78" t="b">
        <f t="shared" si="1393"/>
        <v>0</v>
      </c>
    </row>
    <row r="1751" spans="7:41" x14ac:dyDescent="0.35">
      <c r="G1751" s="77">
        <f t="shared" si="1363"/>
        <v>0</v>
      </c>
      <c r="H1751" s="78">
        <f t="shared" si="1364"/>
        <v>0</v>
      </c>
      <c r="I1751" s="77">
        <f t="shared" si="1365"/>
        <v>0</v>
      </c>
      <c r="J1751" s="78">
        <f t="shared" si="1366"/>
        <v>0</v>
      </c>
      <c r="K1751" s="78" t="str">
        <f t="shared" si="1367"/>
        <v>1900-01-00 00:0:00</v>
      </c>
      <c r="L1751" s="78" t="str">
        <f t="shared" si="1368"/>
        <v>1900-01-00 00:0:00</v>
      </c>
      <c r="M1751" s="79">
        <f t="shared" si="1369"/>
        <v>0</v>
      </c>
      <c r="N1751">
        <f t="shared" si="1394"/>
        <v>1</v>
      </c>
      <c r="O1751" t="str">
        <f>IFERROR(_xlfn.XLOOKUP(A1751,HC!A:A,HC!C:C),"")</f>
        <v>Workforce</v>
      </c>
      <c r="R1751" s="78" t="b">
        <f t="shared" si="1370"/>
        <v>0</v>
      </c>
      <c r="S1751" s="78" t="b">
        <f t="shared" si="1371"/>
        <v>0</v>
      </c>
      <c r="T1751" s="78" t="b">
        <f t="shared" si="1372"/>
        <v>0</v>
      </c>
      <c r="U1751" s="78" t="b">
        <f t="shared" si="1373"/>
        <v>0</v>
      </c>
      <c r="V1751" s="78" t="b">
        <f t="shared" si="1374"/>
        <v>0</v>
      </c>
      <c r="W1751" s="78" t="b">
        <f t="shared" si="1375"/>
        <v>0</v>
      </c>
      <c r="X1751" s="78" t="b">
        <f t="shared" si="1376"/>
        <v>0</v>
      </c>
      <c r="Y1751" s="78" t="b">
        <f t="shared" si="1377"/>
        <v>0</v>
      </c>
      <c r="Z1751" s="78" t="b">
        <f t="shared" si="1378"/>
        <v>0</v>
      </c>
      <c r="AA1751" s="78" t="b">
        <f t="shared" si="1379"/>
        <v>0</v>
      </c>
      <c r="AB1751" s="78" t="b">
        <f t="shared" si="1380"/>
        <v>0</v>
      </c>
      <c r="AC1751" s="78" t="b">
        <f t="shared" si="1381"/>
        <v>0</v>
      </c>
      <c r="AD1751" s="78" t="b">
        <f t="shared" si="1382"/>
        <v>0</v>
      </c>
      <c r="AE1751" s="78" t="b">
        <f t="shared" si="1383"/>
        <v>0</v>
      </c>
      <c r="AF1751" s="78" t="b">
        <f t="shared" si="1384"/>
        <v>0</v>
      </c>
      <c r="AG1751" s="78" t="b">
        <f t="shared" si="1385"/>
        <v>0</v>
      </c>
      <c r="AH1751" s="78" t="b">
        <f t="shared" si="1386"/>
        <v>0</v>
      </c>
      <c r="AI1751" s="78" t="b">
        <f t="shared" si="1387"/>
        <v>0</v>
      </c>
      <c r="AJ1751" s="78" t="b">
        <f t="shared" si="1388"/>
        <v>0</v>
      </c>
      <c r="AK1751" s="78" t="b">
        <f t="shared" si="1389"/>
        <v>0</v>
      </c>
      <c r="AL1751" s="78" t="b">
        <f t="shared" si="1390"/>
        <v>0</v>
      </c>
      <c r="AM1751" s="78" t="b">
        <f t="shared" si="1391"/>
        <v>0</v>
      </c>
      <c r="AN1751" s="78" t="b">
        <f t="shared" si="1392"/>
        <v>0</v>
      </c>
      <c r="AO1751" s="78" t="b">
        <f t="shared" si="1393"/>
        <v>0</v>
      </c>
    </row>
    <row r="1752" spans="7:41" x14ac:dyDescent="0.35">
      <c r="G1752" s="77">
        <f t="shared" si="1363"/>
        <v>0</v>
      </c>
      <c r="H1752" s="78">
        <f t="shared" si="1364"/>
        <v>0</v>
      </c>
      <c r="I1752" s="77">
        <f t="shared" si="1365"/>
        <v>0</v>
      </c>
      <c r="J1752" s="78">
        <f t="shared" si="1366"/>
        <v>0</v>
      </c>
      <c r="K1752" s="78" t="str">
        <f t="shared" si="1367"/>
        <v>1900-01-00 00:0:00</v>
      </c>
      <c r="L1752" s="78" t="str">
        <f t="shared" si="1368"/>
        <v>1900-01-00 00:0:00</v>
      </c>
      <c r="M1752" s="79">
        <f t="shared" si="1369"/>
        <v>0</v>
      </c>
      <c r="N1752">
        <f t="shared" si="1394"/>
        <v>1</v>
      </c>
      <c r="O1752" t="str">
        <f>IFERROR(_xlfn.XLOOKUP(A1752,HC!A:A,HC!C:C),"")</f>
        <v>Workforce</v>
      </c>
      <c r="R1752" s="78" t="b">
        <f t="shared" si="1370"/>
        <v>0</v>
      </c>
      <c r="S1752" s="78" t="b">
        <f t="shared" si="1371"/>
        <v>0</v>
      </c>
      <c r="T1752" s="78" t="b">
        <f t="shared" si="1372"/>
        <v>0</v>
      </c>
      <c r="U1752" s="78" t="b">
        <f t="shared" si="1373"/>
        <v>0</v>
      </c>
      <c r="V1752" s="78" t="b">
        <f t="shared" si="1374"/>
        <v>0</v>
      </c>
      <c r="W1752" s="78" t="b">
        <f t="shared" si="1375"/>
        <v>0</v>
      </c>
      <c r="X1752" s="78" t="b">
        <f t="shared" si="1376"/>
        <v>0</v>
      </c>
      <c r="Y1752" s="78" t="b">
        <f t="shared" si="1377"/>
        <v>0</v>
      </c>
      <c r="Z1752" s="78" t="b">
        <f t="shared" si="1378"/>
        <v>0</v>
      </c>
      <c r="AA1752" s="78" t="b">
        <f t="shared" si="1379"/>
        <v>0</v>
      </c>
      <c r="AB1752" s="78" t="b">
        <f t="shared" si="1380"/>
        <v>0</v>
      </c>
      <c r="AC1752" s="78" t="b">
        <f t="shared" si="1381"/>
        <v>0</v>
      </c>
      <c r="AD1752" s="78" t="b">
        <f t="shared" si="1382"/>
        <v>0</v>
      </c>
      <c r="AE1752" s="78" t="b">
        <f t="shared" si="1383"/>
        <v>0</v>
      </c>
      <c r="AF1752" s="78" t="b">
        <f t="shared" si="1384"/>
        <v>0</v>
      </c>
      <c r="AG1752" s="78" t="b">
        <f t="shared" si="1385"/>
        <v>0</v>
      </c>
      <c r="AH1752" s="78" t="b">
        <f t="shared" si="1386"/>
        <v>0</v>
      </c>
      <c r="AI1752" s="78" t="b">
        <f t="shared" si="1387"/>
        <v>0</v>
      </c>
      <c r="AJ1752" s="78" t="b">
        <f t="shared" si="1388"/>
        <v>0</v>
      </c>
      <c r="AK1752" s="78" t="b">
        <f t="shared" si="1389"/>
        <v>0</v>
      </c>
      <c r="AL1752" s="78" t="b">
        <f t="shared" si="1390"/>
        <v>0</v>
      </c>
      <c r="AM1752" s="78" t="b">
        <f t="shared" si="1391"/>
        <v>0</v>
      </c>
      <c r="AN1752" s="78" t="b">
        <f t="shared" si="1392"/>
        <v>0</v>
      </c>
      <c r="AO1752" s="78" t="b">
        <f t="shared" si="1393"/>
        <v>0</v>
      </c>
    </row>
    <row r="1753" spans="7:41" x14ac:dyDescent="0.35">
      <c r="G1753" s="77">
        <f t="shared" si="1363"/>
        <v>0</v>
      </c>
      <c r="H1753" s="78">
        <f t="shared" si="1364"/>
        <v>0</v>
      </c>
      <c r="I1753" s="77">
        <f t="shared" si="1365"/>
        <v>0</v>
      </c>
      <c r="J1753" s="78">
        <f t="shared" si="1366"/>
        <v>0</v>
      </c>
      <c r="K1753" s="78" t="str">
        <f t="shared" si="1367"/>
        <v>1900-01-00 00:0:00</v>
      </c>
      <c r="L1753" s="78" t="str">
        <f t="shared" si="1368"/>
        <v>1900-01-00 00:0:00</v>
      </c>
      <c r="M1753" s="79">
        <f t="shared" si="1369"/>
        <v>0</v>
      </c>
      <c r="N1753">
        <f t="shared" si="1394"/>
        <v>1</v>
      </c>
      <c r="O1753" t="str">
        <f>IFERROR(_xlfn.XLOOKUP(A1753,HC!A:A,HC!C:C),"")</f>
        <v>Workforce</v>
      </c>
      <c r="R1753" s="78" t="b">
        <f t="shared" si="1370"/>
        <v>0</v>
      </c>
      <c r="S1753" s="78" t="b">
        <f t="shared" si="1371"/>
        <v>0</v>
      </c>
      <c r="T1753" s="78" t="b">
        <f t="shared" si="1372"/>
        <v>0</v>
      </c>
      <c r="U1753" s="78" t="b">
        <f t="shared" si="1373"/>
        <v>0</v>
      </c>
      <c r="V1753" s="78" t="b">
        <f t="shared" si="1374"/>
        <v>0</v>
      </c>
      <c r="W1753" s="78" t="b">
        <f t="shared" si="1375"/>
        <v>0</v>
      </c>
      <c r="X1753" s="78" t="b">
        <f t="shared" si="1376"/>
        <v>0</v>
      </c>
      <c r="Y1753" s="78" t="b">
        <f t="shared" si="1377"/>
        <v>0</v>
      </c>
      <c r="Z1753" s="78" t="b">
        <f t="shared" si="1378"/>
        <v>0</v>
      </c>
      <c r="AA1753" s="78" t="b">
        <f t="shared" si="1379"/>
        <v>0</v>
      </c>
      <c r="AB1753" s="78" t="b">
        <f t="shared" si="1380"/>
        <v>0</v>
      </c>
      <c r="AC1753" s="78" t="b">
        <f t="shared" si="1381"/>
        <v>0</v>
      </c>
      <c r="AD1753" s="78" t="b">
        <f t="shared" si="1382"/>
        <v>0</v>
      </c>
      <c r="AE1753" s="78" t="b">
        <f t="shared" si="1383"/>
        <v>0</v>
      </c>
      <c r="AF1753" s="78" t="b">
        <f t="shared" si="1384"/>
        <v>0</v>
      </c>
      <c r="AG1753" s="78" t="b">
        <f t="shared" si="1385"/>
        <v>0</v>
      </c>
      <c r="AH1753" s="78" t="b">
        <f t="shared" si="1386"/>
        <v>0</v>
      </c>
      <c r="AI1753" s="78" t="b">
        <f t="shared" si="1387"/>
        <v>0</v>
      </c>
      <c r="AJ1753" s="78" t="b">
        <f t="shared" si="1388"/>
        <v>0</v>
      </c>
      <c r="AK1753" s="78" t="b">
        <f t="shared" si="1389"/>
        <v>0</v>
      </c>
      <c r="AL1753" s="78" t="b">
        <f t="shared" si="1390"/>
        <v>0</v>
      </c>
      <c r="AM1753" s="78" t="b">
        <f t="shared" si="1391"/>
        <v>0</v>
      </c>
      <c r="AN1753" s="78" t="b">
        <f t="shared" si="1392"/>
        <v>0</v>
      </c>
      <c r="AO1753" s="78" t="b">
        <f t="shared" si="1393"/>
        <v>0</v>
      </c>
    </row>
    <row r="1754" spans="7:41" x14ac:dyDescent="0.35">
      <c r="G1754" s="77">
        <f t="shared" si="1363"/>
        <v>0</v>
      </c>
      <c r="H1754" s="78">
        <f t="shared" si="1364"/>
        <v>0</v>
      </c>
      <c r="I1754" s="77">
        <f t="shared" si="1365"/>
        <v>0</v>
      </c>
      <c r="J1754" s="78">
        <f t="shared" si="1366"/>
        <v>0</v>
      </c>
      <c r="K1754" s="78" t="str">
        <f t="shared" si="1367"/>
        <v>1900-01-00 00:0:00</v>
      </c>
      <c r="L1754" s="78" t="str">
        <f t="shared" si="1368"/>
        <v>1900-01-00 00:0:00</v>
      </c>
      <c r="M1754" s="79">
        <f t="shared" si="1369"/>
        <v>0</v>
      </c>
      <c r="N1754">
        <f t="shared" si="1394"/>
        <v>1</v>
      </c>
      <c r="O1754" t="str">
        <f>IFERROR(_xlfn.XLOOKUP(A1754,HC!A:A,HC!C:C),"")</f>
        <v>Workforce</v>
      </c>
      <c r="R1754" s="78" t="b">
        <f t="shared" si="1370"/>
        <v>0</v>
      </c>
      <c r="S1754" s="78" t="b">
        <f t="shared" si="1371"/>
        <v>0</v>
      </c>
      <c r="T1754" s="78" t="b">
        <f t="shared" si="1372"/>
        <v>0</v>
      </c>
      <c r="U1754" s="78" t="b">
        <f t="shared" si="1373"/>
        <v>0</v>
      </c>
      <c r="V1754" s="78" t="b">
        <f t="shared" si="1374"/>
        <v>0</v>
      </c>
      <c r="W1754" s="78" t="b">
        <f t="shared" si="1375"/>
        <v>0</v>
      </c>
      <c r="X1754" s="78" t="b">
        <f t="shared" si="1376"/>
        <v>0</v>
      </c>
      <c r="Y1754" s="78" t="b">
        <f t="shared" si="1377"/>
        <v>0</v>
      </c>
      <c r="Z1754" s="78" t="b">
        <f t="shared" si="1378"/>
        <v>0</v>
      </c>
      <c r="AA1754" s="78" t="b">
        <f t="shared" si="1379"/>
        <v>0</v>
      </c>
      <c r="AB1754" s="78" t="b">
        <f t="shared" si="1380"/>
        <v>0</v>
      </c>
      <c r="AC1754" s="78" t="b">
        <f t="shared" si="1381"/>
        <v>0</v>
      </c>
      <c r="AD1754" s="78" t="b">
        <f t="shared" si="1382"/>
        <v>0</v>
      </c>
      <c r="AE1754" s="78" t="b">
        <f t="shared" si="1383"/>
        <v>0</v>
      </c>
      <c r="AF1754" s="78" t="b">
        <f t="shared" si="1384"/>
        <v>0</v>
      </c>
      <c r="AG1754" s="78" t="b">
        <f t="shared" si="1385"/>
        <v>0</v>
      </c>
      <c r="AH1754" s="78" t="b">
        <f t="shared" si="1386"/>
        <v>0</v>
      </c>
      <c r="AI1754" s="78" t="b">
        <f t="shared" si="1387"/>
        <v>0</v>
      </c>
      <c r="AJ1754" s="78" t="b">
        <f t="shared" si="1388"/>
        <v>0</v>
      </c>
      <c r="AK1754" s="78" t="b">
        <f t="shared" si="1389"/>
        <v>0</v>
      </c>
      <c r="AL1754" s="78" t="b">
        <f t="shared" si="1390"/>
        <v>0</v>
      </c>
      <c r="AM1754" s="78" t="b">
        <f t="shared" si="1391"/>
        <v>0</v>
      </c>
      <c r="AN1754" s="78" t="b">
        <f t="shared" si="1392"/>
        <v>0</v>
      </c>
      <c r="AO1754" s="78" t="b">
        <f t="shared" si="1393"/>
        <v>0</v>
      </c>
    </row>
    <row r="1755" spans="7:41" x14ac:dyDescent="0.35">
      <c r="G1755" s="77">
        <f t="shared" si="1363"/>
        <v>0</v>
      </c>
      <c r="H1755" s="78">
        <f t="shared" si="1364"/>
        <v>0</v>
      </c>
      <c r="I1755" s="77">
        <f t="shared" si="1365"/>
        <v>0</v>
      </c>
      <c r="J1755" s="78">
        <f t="shared" si="1366"/>
        <v>0</v>
      </c>
      <c r="K1755" s="78" t="str">
        <f t="shared" si="1367"/>
        <v>1900-01-00 00:0:00</v>
      </c>
      <c r="L1755" s="78" t="str">
        <f t="shared" si="1368"/>
        <v>1900-01-00 00:0:00</v>
      </c>
      <c r="M1755" s="79">
        <f t="shared" si="1369"/>
        <v>0</v>
      </c>
      <c r="N1755">
        <f t="shared" si="1394"/>
        <v>1</v>
      </c>
      <c r="O1755" t="str">
        <f>IFERROR(_xlfn.XLOOKUP(A1755,HC!A:A,HC!C:C),"")</f>
        <v>Workforce</v>
      </c>
      <c r="R1755" s="78" t="b">
        <f t="shared" si="1370"/>
        <v>0</v>
      </c>
      <c r="S1755" s="78" t="b">
        <f t="shared" si="1371"/>
        <v>0</v>
      </c>
      <c r="T1755" s="78" t="b">
        <f t="shared" si="1372"/>
        <v>0</v>
      </c>
      <c r="U1755" s="78" t="b">
        <f t="shared" si="1373"/>
        <v>0</v>
      </c>
      <c r="V1755" s="78" t="b">
        <f t="shared" si="1374"/>
        <v>0</v>
      </c>
      <c r="W1755" s="78" t="b">
        <f t="shared" si="1375"/>
        <v>0</v>
      </c>
      <c r="X1755" s="78" t="b">
        <f t="shared" si="1376"/>
        <v>0</v>
      </c>
      <c r="Y1755" s="78" t="b">
        <f t="shared" si="1377"/>
        <v>0</v>
      </c>
      <c r="Z1755" s="78" t="b">
        <f t="shared" si="1378"/>
        <v>0</v>
      </c>
      <c r="AA1755" s="78" t="b">
        <f t="shared" si="1379"/>
        <v>0</v>
      </c>
      <c r="AB1755" s="78" t="b">
        <f t="shared" si="1380"/>
        <v>0</v>
      </c>
      <c r="AC1755" s="78" t="b">
        <f t="shared" si="1381"/>
        <v>0</v>
      </c>
      <c r="AD1755" s="78" t="b">
        <f t="shared" si="1382"/>
        <v>0</v>
      </c>
      <c r="AE1755" s="78" t="b">
        <f t="shared" si="1383"/>
        <v>0</v>
      </c>
      <c r="AF1755" s="78" t="b">
        <f t="shared" si="1384"/>
        <v>0</v>
      </c>
      <c r="AG1755" s="78" t="b">
        <f t="shared" si="1385"/>
        <v>0</v>
      </c>
      <c r="AH1755" s="78" t="b">
        <f t="shared" si="1386"/>
        <v>0</v>
      </c>
      <c r="AI1755" s="78" t="b">
        <f t="shared" si="1387"/>
        <v>0</v>
      </c>
      <c r="AJ1755" s="78" t="b">
        <f t="shared" si="1388"/>
        <v>0</v>
      </c>
      <c r="AK1755" s="78" t="b">
        <f t="shared" si="1389"/>
        <v>0</v>
      </c>
      <c r="AL1755" s="78" t="b">
        <f t="shared" si="1390"/>
        <v>0</v>
      </c>
      <c r="AM1755" s="78" t="b">
        <f t="shared" si="1391"/>
        <v>0</v>
      </c>
      <c r="AN1755" s="78" t="b">
        <f t="shared" si="1392"/>
        <v>0</v>
      </c>
      <c r="AO1755" s="78" t="b">
        <f t="shared" si="1393"/>
        <v>0</v>
      </c>
    </row>
    <row r="1756" spans="7:41" x14ac:dyDescent="0.35">
      <c r="G1756" s="77">
        <f t="shared" si="1363"/>
        <v>0</v>
      </c>
      <c r="H1756" s="78">
        <f t="shared" si="1364"/>
        <v>0</v>
      </c>
      <c r="I1756" s="77">
        <f t="shared" si="1365"/>
        <v>0</v>
      </c>
      <c r="J1756" s="78">
        <f t="shared" si="1366"/>
        <v>0</v>
      </c>
      <c r="K1756" s="78" t="str">
        <f t="shared" si="1367"/>
        <v>1900-01-00 00:0:00</v>
      </c>
      <c r="L1756" s="78" t="str">
        <f t="shared" si="1368"/>
        <v>1900-01-00 00:0:00</v>
      </c>
      <c r="M1756" s="79">
        <f t="shared" si="1369"/>
        <v>0</v>
      </c>
      <c r="N1756">
        <f t="shared" si="1394"/>
        <v>1</v>
      </c>
      <c r="O1756" t="str">
        <f>IFERROR(_xlfn.XLOOKUP(A1756,HC!A:A,HC!C:C),"")</f>
        <v>Workforce</v>
      </c>
      <c r="R1756" s="78" t="b">
        <f t="shared" si="1370"/>
        <v>0</v>
      </c>
      <c r="S1756" s="78" t="b">
        <f t="shared" si="1371"/>
        <v>0</v>
      </c>
      <c r="T1756" s="78" t="b">
        <f t="shared" si="1372"/>
        <v>0</v>
      </c>
      <c r="U1756" s="78" t="b">
        <f t="shared" si="1373"/>
        <v>0</v>
      </c>
      <c r="V1756" s="78" t="b">
        <f t="shared" si="1374"/>
        <v>0</v>
      </c>
      <c r="W1756" s="78" t="b">
        <f t="shared" si="1375"/>
        <v>0</v>
      </c>
      <c r="X1756" s="78" t="b">
        <f t="shared" si="1376"/>
        <v>0</v>
      </c>
      <c r="Y1756" s="78" t="b">
        <f t="shared" si="1377"/>
        <v>0</v>
      </c>
      <c r="Z1756" s="78" t="b">
        <f t="shared" si="1378"/>
        <v>0</v>
      </c>
      <c r="AA1756" s="78" t="b">
        <f t="shared" si="1379"/>
        <v>0</v>
      </c>
      <c r="AB1756" s="78" t="b">
        <f t="shared" si="1380"/>
        <v>0</v>
      </c>
      <c r="AC1756" s="78" t="b">
        <f t="shared" si="1381"/>
        <v>0</v>
      </c>
      <c r="AD1756" s="78" t="b">
        <f t="shared" si="1382"/>
        <v>0</v>
      </c>
      <c r="AE1756" s="78" t="b">
        <f t="shared" si="1383"/>
        <v>0</v>
      </c>
      <c r="AF1756" s="78" t="b">
        <f t="shared" si="1384"/>
        <v>0</v>
      </c>
      <c r="AG1756" s="78" t="b">
        <f t="shared" si="1385"/>
        <v>0</v>
      </c>
      <c r="AH1756" s="78" t="b">
        <f t="shared" si="1386"/>
        <v>0</v>
      </c>
      <c r="AI1756" s="78" t="b">
        <f t="shared" si="1387"/>
        <v>0</v>
      </c>
      <c r="AJ1756" s="78" t="b">
        <f t="shared" si="1388"/>
        <v>0</v>
      </c>
      <c r="AK1756" s="78" t="b">
        <f t="shared" si="1389"/>
        <v>0</v>
      </c>
      <c r="AL1756" s="78" t="b">
        <f t="shared" si="1390"/>
        <v>0</v>
      </c>
      <c r="AM1756" s="78" t="b">
        <f t="shared" si="1391"/>
        <v>0</v>
      </c>
      <c r="AN1756" s="78" t="b">
        <f t="shared" si="1392"/>
        <v>0</v>
      </c>
      <c r="AO1756" s="78" t="b">
        <f t="shared" si="1393"/>
        <v>0</v>
      </c>
    </row>
    <row r="1757" spans="7:41" x14ac:dyDescent="0.35">
      <c r="G1757" s="77">
        <f t="shared" si="1363"/>
        <v>0</v>
      </c>
      <c r="H1757" s="78">
        <f t="shared" si="1364"/>
        <v>0</v>
      </c>
      <c r="I1757" s="77">
        <f t="shared" si="1365"/>
        <v>0</v>
      </c>
      <c r="J1757" s="78">
        <f t="shared" si="1366"/>
        <v>0</v>
      </c>
      <c r="K1757" s="78" t="str">
        <f t="shared" si="1367"/>
        <v>1900-01-00 00:0:00</v>
      </c>
      <c r="L1757" s="78" t="str">
        <f t="shared" si="1368"/>
        <v>1900-01-00 00:0:00</v>
      </c>
      <c r="M1757" s="79">
        <f t="shared" si="1369"/>
        <v>0</v>
      </c>
      <c r="N1757">
        <f t="shared" si="1394"/>
        <v>1</v>
      </c>
      <c r="O1757" t="str">
        <f>IFERROR(_xlfn.XLOOKUP(A1757,HC!A:A,HC!C:C),"")</f>
        <v>Workforce</v>
      </c>
      <c r="R1757" s="78" t="b">
        <f t="shared" si="1370"/>
        <v>0</v>
      </c>
      <c r="S1757" s="78" t="b">
        <f t="shared" si="1371"/>
        <v>0</v>
      </c>
      <c r="T1757" s="78" t="b">
        <f t="shared" si="1372"/>
        <v>0</v>
      </c>
      <c r="U1757" s="78" t="b">
        <f t="shared" si="1373"/>
        <v>0</v>
      </c>
      <c r="V1757" s="78" t="b">
        <f t="shared" si="1374"/>
        <v>0</v>
      </c>
      <c r="W1757" s="78" t="b">
        <f t="shared" si="1375"/>
        <v>0</v>
      </c>
      <c r="X1757" s="78" t="b">
        <f t="shared" si="1376"/>
        <v>0</v>
      </c>
      <c r="Y1757" s="78" t="b">
        <f t="shared" si="1377"/>
        <v>0</v>
      </c>
      <c r="Z1757" s="78" t="b">
        <f t="shared" si="1378"/>
        <v>0</v>
      </c>
      <c r="AA1757" s="78" t="b">
        <f t="shared" si="1379"/>
        <v>0</v>
      </c>
      <c r="AB1757" s="78" t="b">
        <f t="shared" si="1380"/>
        <v>0</v>
      </c>
      <c r="AC1757" s="78" t="b">
        <f t="shared" si="1381"/>
        <v>0</v>
      </c>
      <c r="AD1757" s="78" t="b">
        <f t="shared" si="1382"/>
        <v>0</v>
      </c>
      <c r="AE1757" s="78" t="b">
        <f t="shared" si="1383"/>
        <v>0</v>
      </c>
      <c r="AF1757" s="78" t="b">
        <f t="shared" si="1384"/>
        <v>0</v>
      </c>
      <c r="AG1757" s="78" t="b">
        <f t="shared" si="1385"/>
        <v>0</v>
      </c>
      <c r="AH1757" s="78" t="b">
        <f t="shared" si="1386"/>
        <v>0</v>
      </c>
      <c r="AI1757" s="78" t="b">
        <f t="shared" si="1387"/>
        <v>0</v>
      </c>
      <c r="AJ1757" s="78" t="b">
        <f t="shared" si="1388"/>
        <v>0</v>
      </c>
      <c r="AK1757" s="78" t="b">
        <f t="shared" si="1389"/>
        <v>0</v>
      </c>
      <c r="AL1757" s="78" t="b">
        <f t="shared" si="1390"/>
        <v>0</v>
      </c>
      <c r="AM1757" s="78" t="b">
        <f t="shared" si="1391"/>
        <v>0</v>
      </c>
      <c r="AN1757" s="78" t="b">
        <f t="shared" si="1392"/>
        <v>0</v>
      </c>
      <c r="AO1757" s="78" t="b">
        <f t="shared" si="1393"/>
        <v>0</v>
      </c>
    </row>
    <row r="1758" spans="7:41" x14ac:dyDescent="0.35">
      <c r="G1758" s="77">
        <f t="shared" si="1363"/>
        <v>0</v>
      </c>
      <c r="H1758" s="78">
        <f t="shared" si="1364"/>
        <v>0</v>
      </c>
      <c r="I1758" s="77">
        <f t="shared" si="1365"/>
        <v>0</v>
      </c>
      <c r="J1758" s="78">
        <f t="shared" si="1366"/>
        <v>0</v>
      </c>
      <c r="K1758" s="78" t="str">
        <f t="shared" si="1367"/>
        <v>1900-01-00 00:0:00</v>
      </c>
      <c r="L1758" s="78" t="str">
        <f t="shared" si="1368"/>
        <v>1900-01-00 00:0:00</v>
      </c>
      <c r="M1758" s="79">
        <f t="shared" si="1369"/>
        <v>0</v>
      </c>
      <c r="N1758">
        <f t="shared" si="1394"/>
        <v>1</v>
      </c>
      <c r="O1758" t="str">
        <f>IFERROR(_xlfn.XLOOKUP(A1758,HC!A:A,HC!C:C),"")</f>
        <v>Workforce</v>
      </c>
      <c r="R1758" s="78" t="b">
        <f t="shared" si="1370"/>
        <v>0</v>
      </c>
      <c r="S1758" s="78" t="b">
        <f t="shared" si="1371"/>
        <v>0</v>
      </c>
      <c r="T1758" s="78" t="b">
        <f t="shared" si="1372"/>
        <v>0</v>
      </c>
      <c r="U1758" s="78" t="b">
        <f t="shared" si="1373"/>
        <v>0</v>
      </c>
      <c r="V1758" s="78" t="b">
        <f t="shared" si="1374"/>
        <v>0</v>
      </c>
      <c r="W1758" s="78" t="b">
        <f t="shared" si="1375"/>
        <v>0</v>
      </c>
      <c r="X1758" s="78" t="b">
        <f t="shared" si="1376"/>
        <v>0</v>
      </c>
      <c r="Y1758" s="78" t="b">
        <f t="shared" si="1377"/>
        <v>0</v>
      </c>
      <c r="Z1758" s="78" t="b">
        <f t="shared" si="1378"/>
        <v>0</v>
      </c>
      <c r="AA1758" s="78" t="b">
        <f t="shared" si="1379"/>
        <v>0</v>
      </c>
      <c r="AB1758" s="78" t="b">
        <f t="shared" si="1380"/>
        <v>0</v>
      </c>
      <c r="AC1758" s="78" t="b">
        <f t="shared" si="1381"/>
        <v>0</v>
      </c>
      <c r="AD1758" s="78" t="b">
        <f t="shared" si="1382"/>
        <v>0</v>
      </c>
      <c r="AE1758" s="78" t="b">
        <f t="shared" si="1383"/>
        <v>0</v>
      </c>
      <c r="AF1758" s="78" t="b">
        <f t="shared" si="1384"/>
        <v>0</v>
      </c>
      <c r="AG1758" s="78" t="b">
        <f t="shared" si="1385"/>
        <v>0</v>
      </c>
      <c r="AH1758" s="78" t="b">
        <f t="shared" si="1386"/>
        <v>0</v>
      </c>
      <c r="AI1758" s="78" t="b">
        <f t="shared" si="1387"/>
        <v>0</v>
      </c>
      <c r="AJ1758" s="78" t="b">
        <f t="shared" si="1388"/>
        <v>0</v>
      </c>
      <c r="AK1758" s="78" t="b">
        <f t="shared" si="1389"/>
        <v>0</v>
      </c>
      <c r="AL1758" s="78" t="b">
        <f t="shared" si="1390"/>
        <v>0</v>
      </c>
      <c r="AM1758" s="78" t="b">
        <f t="shared" si="1391"/>
        <v>0</v>
      </c>
      <c r="AN1758" s="78" t="b">
        <f t="shared" si="1392"/>
        <v>0</v>
      </c>
      <c r="AO1758" s="78" t="b">
        <f t="shared" si="1393"/>
        <v>0</v>
      </c>
    </row>
    <row r="1759" spans="7:41" x14ac:dyDescent="0.35">
      <c r="G1759" s="77">
        <f t="shared" si="1363"/>
        <v>0</v>
      </c>
      <c r="H1759" s="78">
        <f t="shared" si="1364"/>
        <v>0</v>
      </c>
      <c r="I1759" s="77">
        <f t="shared" si="1365"/>
        <v>0</v>
      </c>
      <c r="J1759" s="78">
        <f t="shared" si="1366"/>
        <v>0</v>
      </c>
      <c r="K1759" s="78" t="str">
        <f t="shared" si="1367"/>
        <v>1900-01-00 00:0:00</v>
      </c>
      <c r="L1759" s="78" t="str">
        <f t="shared" si="1368"/>
        <v>1900-01-00 00:0:00</v>
      </c>
      <c r="M1759" s="79">
        <f t="shared" si="1369"/>
        <v>0</v>
      </c>
      <c r="N1759">
        <f t="shared" si="1394"/>
        <v>1</v>
      </c>
      <c r="O1759" t="str">
        <f>IFERROR(_xlfn.XLOOKUP(A1759,HC!A:A,HC!C:C),"")</f>
        <v>Workforce</v>
      </c>
      <c r="R1759" s="78" t="b">
        <f t="shared" si="1370"/>
        <v>0</v>
      </c>
      <c r="S1759" s="78" t="b">
        <f t="shared" si="1371"/>
        <v>0</v>
      </c>
      <c r="T1759" s="78" t="b">
        <f t="shared" si="1372"/>
        <v>0</v>
      </c>
      <c r="U1759" s="78" t="b">
        <f t="shared" si="1373"/>
        <v>0</v>
      </c>
      <c r="V1759" s="78" t="b">
        <f t="shared" si="1374"/>
        <v>0</v>
      </c>
      <c r="W1759" s="78" t="b">
        <f t="shared" si="1375"/>
        <v>0</v>
      </c>
      <c r="X1759" s="78" t="b">
        <f t="shared" si="1376"/>
        <v>0</v>
      </c>
      <c r="Y1759" s="78" t="b">
        <f t="shared" si="1377"/>
        <v>0</v>
      </c>
      <c r="Z1759" s="78" t="b">
        <f t="shared" si="1378"/>
        <v>0</v>
      </c>
      <c r="AA1759" s="78" t="b">
        <f t="shared" si="1379"/>
        <v>0</v>
      </c>
      <c r="AB1759" s="78" t="b">
        <f t="shared" si="1380"/>
        <v>0</v>
      </c>
      <c r="AC1759" s="78" t="b">
        <f t="shared" si="1381"/>
        <v>0</v>
      </c>
      <c r="AD1759" s="78" t="b">
        <f t="shared" si="1382"/>
        <v>0</v>
      </c>
      <c r="AE1759" s="78" t="b">
        <f t="shared" si="1383"/>
        <v>0</v>
      </c>
      <c r="AF1759" s="78" t="b">
        <f t="shared" si="1384"/>
        <v>0</v>
      </c>
      <c r="AG1759" s="78" t="b">
        <f t="shared" si="1385"/>
        <v>0</v>
      </c>
      <c r="AH1759" s="78" t="b">
        <f t="shared" si="1386"/>
        <v>0</v>
      </c>
      <c r="AI1759" s="78" t="b">
        <f t="shared" si="1387"/>
        <v>0</v>
      </c>
      <c r="AJ1759" s="78" t="b">
        <f t="shared" si="1388"/>
        <v>0</v>
      </c>
      <c r="AK1759" s="78" t="b">
        <f t="shared" si="1389"/>
        <v>0</v>
      </c>
      <c r="AL1759" s="78" t="b">
        <f t="shared" si="1390"/>
        <v>0</v>
      </c>
      <c r="AM1759" s="78" t="b">
        <f t="shared" si="1391"/>
        <v>0</v>
      </c>
      <c r="AN1759" s="78" t="b">
        <f t="shared" si="1392"/>
        <v>0</v>
      </c>
      <c r="AO1759" s="78" t="b">
        <f t="shared" si="1393"/>
        <v>0</v>
      </c>
    </row>
    <row r="1760" spans="7:41" x14ac:dyDescent="0.35">
      <c r="G1760" s="77">
        <f t="shared" si="1363"/>
        <v>0</v>
      </c>
      <c r="H1760" s="78">
        <f t="shared" si="1364"/>
        <v>0</v>
      </c>
      <c r="I1760" s="77">
        <f t="shared" si="1365"/>
        <v>0</v>
      </c>
      <c r="J1760" s="78">
        <f t="shared" si="1366"/>
        <v>0</v>
      </c>
      <c r="K1760" s="78" t="str">
        <f t="shared" si="1367"/>
        <v>1900-01-00 00:0:00</v>
      </c>
      <c r="L1760" s="78" t="str">
        <f t="shared" si="1368"/>
        <v>1900-01-00 00:0:00</v>
      </c>
      <c r="M1760" s="79">
        <f t="shared" si="1369"/>
        <v>0</v>
      </c>
      <c r="N1760">
        <f t="shared" si="1394"/>
        <v>1</v>
      </c>
      <c r="O1760" t="str">
        <f>IFERROR(_xlfn.XLOOKUP(A1760,HC!A:A,HC!C:C),"")</f>
        <v>Workforce</v>
      </c>
      <c r="R1760" s="78" t="b">
        <f t="shared" si="1370"/>
        <v>0</v>
      </c>
      <c r="S1760" s="78" t="b">
        <f t="shared" si="1371"/>
        <v>0</v>
      </c>
      <c r="T1760" s="78" t="b">
        <f t="shared" si="1372"/>
        <v>0</v>
      </c>
      <c r="U1760" s="78" t="b">
        <f t="shared" si="1373"/>
        <v>0</v>
      </c>
      <c r="V1760" s="78" t="b">
        <f t="shared" si="1374"/>
        <v>0</v>
      </c>
      <c r="W1760" s="78" t="b">
        <f t="shared" si="1375"/>
        <v>0</v>
      </c>
      <c r="X1760" s="78" t="b">
        <f t="shared" si="1376"/>
        <v>0</v>
      </c>
      <c r="Y1760" s="78" t="b">
        <f t="shared" si="1377"/>
        <v>0</v>
      </c>
      <c r="Z1760" s="78" t="b">
        <f t="shared" si="1378"/>
        <v>0</v>
      </c>
      <c r="AA1760" s="78" t="b">
        <f t="shared" si="1379"/>
        <v>0</v>
      </c>
      <c r="AB1760" s="78" t="b">
        <f t="shared" si="1380"/>
        <v>0</v>
      </c>
      <c r="AC1760" s="78" t="b">
        <f t="shared" si="1381"/>
        <v>0</v>
      </c>
      <c r="AD1760" s="78" t="b">
        <f t="shared" si="1382"/>
        <v>0</v>
      </c>
      <c r="AE1760" s="78" t="b">
        <f t="shared" si="1383"/>
        <v>0</v>
      </c>
      <c r="AF1760" s="78" t="b">
        <f t="shared" si="1384"/>
        <v>0</v>
      </c>
      <c r="AG1760" s="78" t="b">
        <f t="shared" si="1385"/>
        <v>0</v>
      </c>
      <c r="AH1760" s="78" t="b">
        <f t="shared" si="1386"/>
        <v>0</v>
      </c>
      <c r="AI1760" s="78" t="b">
        <f t="shared" si="1387"/>
        <v>0</v>
      </c>
      <c r="AJ1760" s="78" t="b">
        <f t="shared" si="1388"/>
        <v>0</v>
      </c>
      <c r="AK1760" s="78" t="b">
        <f t="shared" si="1389"/>
        <v>0</v>
      </c>
      <c r="AL1760" s="78" t="b">
        <f t="shared" si="1390"/>
        <v>0</v>
      </c>
      <c r="AM1760" s="78" t="b">
        <f t="shared" si="1391"/>
        <v>0</v>
      </c>
      <c r="AN1760" s="78" t="b">
        <f t="shared" si="1392"/>
        <v>0</v>
      </c>
      <c r="AO1760" s="78" t="b">
        <f t="shared" si="1393"/>
        <v>0</v>
      </c>
    </row>
    <row r="1761" spans="7:41" x14ac:dyDescent="0.35">
      <c r="G1761" s="77">
        <f t="shared" si="1363"/>
        <v>0</v>
      </c>
      <c r="H1761" s="78">
        <f t="shared" si="1364"/>
        <v>0</v>
      </c>
      <c r="I1761" s="77">
        <f t="shared" si="1365"/>
        <v>0</v>
      </c>
      <c r="J1761" s="78">
        <f t="shared" si="1366"/>
        <v>0</v>
      </c>
      <c r="K1761" s="78" t="str">
        <f t="shared" si="1367"/>
        <v>1900-01-00 00:0:00</v>
      </c>
      <c r="L1761" s="78" t="str">
        <f t="shared" si="1368"/>
        <v>1900-01-00 00:0:00</v>
      </c>
      <c r="M1761" s="79">
        <f t="shared" si="1369"/>
        <v>0</v>
      </c>
      <c r="N1761">
        <f t="shared" si="1394"/>
        <v>1</v>
      </c>
      <c r="O1761" t="str">
        <f>IFERROR(_xlfn.XLOOKUP(A1761,HC!A:A,HC!C:C),"")</f>
        <v>Workforce</v>
      </c>
      <c r="R1761" s="78" t="b">
        <f t="shared" si="1370"/>
        <v>0</v>
      </c>
      <c r="S1761" s="78" t="b">
        <f t="shared" si="1371"/>
        <v>0</v>
      </c>
      <c r="T1761" s="78" t="b">
        <f t="shared" si="1372"/>
        <v>0</v>
      </c>
      <c r="U1761" s="78" t="b">
        <f t="shared" si="1373"/>
        <v>0</v>
      </c>
      <c r="V1761" s="78" t="b">
        <f t="shared" si="1374"/>
        <v>0</v>
      </c>
      <c r="W1761" s="78" t="b">
        <f t="shared" si="1375"/>
        <v>0</v>
      </c>
      <c r="X1761" s="78" t="b">
        <f t="shared" si="1376"/>
        <v>0</v>
      </c>
      <c r="Y1761" s="78" t="b">
        <f t="shared" si="1377"/>
        <v>0</v>
      </c>
      <c r="Z1761" s="78" t="b">
        <f t="shared" si="1378"/>
        <v>0</v>
      </c>
      <c r="AA1761" s="78" t="b">
        <f t="shared" si="1379"/>
        <v>0</v>
      </c>
      <c r="AB1761" s="78" t="b">
        <f t="shared" si="1380"/>
        <v>0</v>
      </c>
      <c r="AC1761" s="78" t="b">
        <f t="shared" si="1381"/>
        <v>0</v>
      </c>
      <c r="AD1761" s="78" t="b">
        <f t="shared" si="1382"/>
        <v>0</v>
      </c>
      <c r="AE1761" s="78" t="b">
        <f t="shared" si="1383"/>
        <v>0</v>
      </c>
      <c r="AF1761" s="78" t="b">
        <f t="shared" si="1384"/>
        <v>0</v>
      </c>
      <c r="AG1761" s="78" t="b">
        <f t="shared" si="1385"/>
        <v>0</v>
      </c>
      <c r="AH1761" s="78" t="b">
        <f t="shared" si="1386"/>
        <v>0</v>
      </c>
      <c r="AI1761" s="78" t="b">
        <f t="shared" si="1387"/>
        <v>0</v>
      </c>
      <c r="AJ1761" s="78" t="b">
        <f t="shared" si="1388"/>
        <v>0</v>
      </c>
      <c r="AK1761" s="78" t="b">
        <f t="shared" si="1389"/>
        <v>0</v>
      </c>
      <c r="AL1761" s="78" t="b">
        <f t="shared" si="1390"/>
        <v>0</v>
      </c>
      <c r="AM1761" s="78" t="b">
        <f t="shared" si="1391"/>
        <v>0</v>
      </c>
      <c r="AN1761" s="78" t="b">
        <f t="shared" si="1392"/>
        <v>0</v>
      </c>
      <c r="AO1761" s="78" t="b">
        <f t="shared" si="1393"/>
        <v>0</v>
      </c>
    </row>
    <row r="1762" spans="7:41" x14ac:dyDescent="0.35">
      <c r="G1762" s="77">
        <f t="shared" si="1363"/>
        <v>0</v>
      </c>
      <c r="H1762" s="78">
        <f t="shared" si="1364"/>
        <v>0</v>
      </c>
      <c r="I1762" s="77">
        <f t="shared" si="1365"/>
        <v>0</v>
      </c>
      <c r="J1762" s="78">
        <f t="shared" si="1366"/>
        <v>0</v>
      </c>
      <c r="K1762" s="78" t="str">
        <f t="shared" si="1367"/>
        <v>1900-01-00 00:0:00</v>
      </c>
      <c r="L1762" s="78" t="str">
        <f t="shared" si="1368"/>
        <v>1900-01-00 00:0:00</v>
      </c>
      <c r="M1762" s="79">
        <f t="shared" si="1369"/>
        <v>0</v>
      </c>
      <c r="N1762">
        <f t="shared" si="1394"/>
        <v>1</v>
      </c>
      <c r="O1762" t="str">
        <f>IFERROR(_xlfn.XLOOKUP(A1762,HC!A:A,HC!C:C),"")</f>
        <v>Workforce</v>
      </c>
      <c r="R1762" s="78" t="b">
        <f t="shared" si="1370"/>
        <v>0</v>
      </c>
      <c r="S1762" s="78" t="b">
        <f t="shared" si="1371"/>
        <v>0</v>
      </c>
      <c r="T1762" s="78" t="b">
        <f t="shared" si="1372"/>
        <v>0</v>
      </c>
      <c r="U1762" s="78" t="b">
        <f t="shared" si="1373"/>
        <v>0</v>
      </c>
      <c r="V1762" s="78" t="b">
        <f t="shared" si="1374"/>
        <v>0</v>
      </c>
      <c r="W1762" s="78" t="b">
        <f t="shared" si="1375"/>
        <v>0</v>
      </c>
      <c r="X1762" s="78" t="b">
        <f t="shared" si="1376"/>
        <v>0</v>
      </c>
      <c r="Y1762" s="78" t="b">
        <f t="shared" si="1377"/>
        <v>0</v>
      </c>
      <c r="Z1762" s="78" t="b">
        <f t="shared" si="1378"/>
        <v>0</v>
      </c>
      <c r="AA1762" s="78" t="b">
        <f t="shared" si="1379"/>
        <v>0</v>
      </c>
      <c r="AB1762" s="78" t="b">
        <f t="shared" si="1380"/>
        <v>0</v>
      </c>
      <c r="AC1762" s="78" t="b">
        <f t="shared" si="1381"/>
        <v>0</v>
      </c>
      <c r="AD1762" s="78" t="b">
        <f t="shared" si="1382"/>
        <v>0</v>
      </c>
      <c r="AE1762" s="78" t="b">
        <f t="shared" si="1383"/>
        <v>0</v>
      </c>
      <c r="AF1762" s="78" t="b">
        <f t="shared" si="1384"/>
        <v>0</v>
      </c>
      <c r="AG1762" s="78" t="b">
        <f t="shared" si="1385"/>
        <v>0</v>
      </c>
      <c r="AH1762" s="78" t="b">
        <f t="shared" si="1386"/>
        <v>0</v>
      </c>
      <c r="AI1762" s="78" t="b">
        <f t="shared" si="1387"/>
        <v>0</v>
      </c>
      <c r="AJ1762" s="78" t="b">
        <f t="shared" si="1388"/>
        <v>0</v>
      </c>
      <c r="AK1762" s="78" t="b">
        <f t="shared" si="1389"/>
        <v>0</v>
      </c>
      <c r="AL1762" s="78" t="b">
        <f t="shared" si="1390"/>
        <v>0</v>
      </c>
      <c r="AM1762" s="78" t="b">
        <f t="shared" si="1391"/>
        <v>0</v>
      </c>
      <c r="AN1762" s="78" t="b">
        <f t="shared" si="1392"/>
        <v>0</v>
      </c>
      <c r="AO1762" s="78" t="b">
        <f t="shared" si="1393"/>
        <v>0</v>
      </c>
    </row>
    <row r="1763" spans="7:41" x14ac:dyDescent="0.35">
      <c r="G1763" s="77">
        <f t="shared" si="1363"/>
        <v>0</v>
      </c>
      <c r="H1763" s="78">
        <f t="shared" si="1364"/>
        <v>0</v>
      </c>
      <c r="I1763" s="77">
        <f t="shared" si="1365"/>
        <v>0</v>
      </c>
      <c r="J1763" s="78">
        <f t="shared" si="1366"/>
        <v>0</v>
      </c>
      <c r="K1763" s="78" t="str">
        <f t="shared" si="1367"/>
        <v>1900-01-00 00:0:00</v>
      </c>
      <c r="L1763" s="78" t="str">
        <f t="shared" si="1368"/>
        <v>1900-01-00 00:0:00</v>
      </c>
      <c r="M1763" s="79">
        <f t="shared" si="1369"/>
        <v>0</v>
      </c>
      <c r="N1763">
        <f t="shared" si="1394"/>
        <v>1</v>
      </c>
      <c r="O1763" t="str">
        <f>IFERROR(_xlfn.XLOOKUP(A1763,HC!A:A,HC!C:C),"")</f>
        <v>Workforce</v>
      </c>
      <c r="R1763" s="78" t="b">
        <f t="shared" si="1370"/>
        <v>0</v>
      </c>
      <c r="S1763" s="78" t="b">
        <f t="shared" si="1371"/>
        <v>0</v>
      </c>
      <c r="T1763" s="78" t="b">
        <f t="shared" si="1372"/>
        <v>0</v>
      </c>
      <c r="U1763" s="78" t="b">
        <f t="shared" si="1373"/>
        <v>0</v>
      </c>
      <c r="V1763" s="78" t="b">
        <f t="shared" si="1374"/>
        <v>0</v>
      </c>
      <c r="W1763" s="78" t="b">
        <f t="shared" si="1375"/>
        <v>0</v>
      </c>
      <c r="X1763" s="78" t="b">
        <f t="shared" si="1376"/>
        <v>0</v>
      </c>
      <c r="Y1763" s="78" t="b">
        <f t="shared" si="1377"/>
        <v>0</v>
      </c>
      <c r="Z1763" s="78" t="b">
        <f t="shared" si="1378"/>
        <v>0</v>
      </c>
      <c r="AA1763" s="78" t="b">
        <f t="shared" si="1379"/>
        <v>0</v>
      </c>
      <c r="AB1763" s="78" t="b">
        <f t="shared" si="1380"/>
        <v>0</v>
      </c>
      <c r="AC1763" s="78" t="b">
        <f t="shared" si="1381"/>
        <v>0</v>
      </c>
      <c r="AD1763" s="78" t="b">
        <f t="shared" si="1382"/>
        <v>0</v>
      </c>
      <c r="AE1763" s="78" t="b">
        <f t="shared" si="1383"/>
        <v>0</v>
      </c>
      <c r="AF1763" s="78" t="b">
        <f t="shared" si="1384"/>
        <v>0</v>
      </c>
      <c r="AG1763" s="78" t="b">
        <f t="shared" si="1385"/>
        <v>0</v>
      </c>
      <c r="AH1763" s="78" t="b">
        <f t="shared" si="1386"/>
        <v>0</v>
      </c>
      <c r="AI1763" s="78" t="b">
        <f t="shared" si="1387"/>
        <v>0</v>
      </c>
      <c r="AJ1763" s="78" t="b">
        <f t="shared" si="1388"/>
        <v>0</v>
      </c>
      <c r="AK1763" s="78" t="b">
        <f t="shared" si="1389"/>
        <v>0</v>
      </c>
      <c r="AL1763" s="78" t="b">
        <f t="shared" si="1390"/>
        <v>0</v>
      </c>
      <c r="AM1763" s="78" t="b">
        <f t="shared" si="1391"/>
        <v>0</v>
      </c>
      <c r="AN1763" s="78" t="b">
        <f t="shared" si="1392"/>
        <v>0</v>
      </c>
      <c r="AO1763" s="78" t="b">
        <f t="shared" si="1393"/>
        <v>0</v>
      </c>
    </row>
    <row r="1764" spans="7:41" x14ac:dyDescent="0.35">
      <c r="G1764" s="77">
        <f t="shared" si="1363"/>
        <v>0</v>
      </c>
      <c r="H1764" s="78">
        <f t="shared" si="1364"/>
        <v>0</v>
      </c>
      <c r="I1764" s="77">
        <f t="shared" si="1365"/>
        <v>0</v>
      </c>
      <c r="J1764" s="78">
        <f t="shared" si="1366"/>
        <v>0</v>
      </c>
      <c r="K1764" s="78" t="str">
        <f t="shared" si="1367"/>
        <v>1900-01-00 00:0:00</v>
      </c>
      <c r="L1764" s="78" t="str">
        <f t="shared" si="1368"/>
        <v>1900-01-00 00:0:00</v>
      </c>
      <c r="M1764" s="79">
        <f t="shared" si="1369"/>
        <v>0</v>
      </c>
      <c r="N1764">
        <f t="shared" si="1394"/>
        <v>1</v>
      </c>
      <c r="O1764" t="str">
        <f>IFERROR(_xlfn.XLOOKUP(A1764,HC!A:A,HC!C:C),"")</f>
        <v>Workforce</v>
      </c>
      <c r="R1764" s="78" t="b">
        <f t="shared" si="1370"/>
        <v>0</v>
      </c>
      <c r="S1764" s="78" t="b">
        <f t="shared" si="1371"/>
        <v>0</v>
      </c>
      <c r="T1764" s="78" t="b">
        <f t="shared" si="1372"/>
        <v>0</v>
      </c>
      <c r="U1764" s="78" t="b">
        <f t="shared" si="1373"/>
        <v>0</v>
      </c>
      <c r="V1764" s="78" t="b">
        <f t="shared" si="1374"/>
        <v>0</v>
      </c>
      <c r="W1764" s="78" t="b">
        <f t="shared" si="1375"/>
        <v>0</v>
      </c>
      <c r="X1764" s="78" t="b">
        <f t="shared" si="1376"/>
        <v>0</v>
      </c>
      <c r="Y1764" s="78" t="b">
        <f t="shared" si="1377"/>
        <v>0</v>
      </c>
      <c r="Z1764" s="78" t="b">
        <f t="shared" si="1378"/>
        <v>0</v>
      </c>
      <c r="AA1764" s="78" t="b">
        <f t="shared" si="1379"/>
        <v>0</v>
      </c>
      <c r="AB1764" s="78" t="b">
        <f t="shared" si="1380"/>
        <v>0</v>
      </c>
      <c r="AC1764" s="78" t="b">
        <f t="shared" si="1381"/>
        <v>0</v>
      </c>
      <c r="AD1764" s="78" t="b">
        <f t="shared" si="1382"/>
        <v>0</v>
      </c>
      <c r="AE1764" s="78" t="b">
        <f t="shared" si="1383"/>
        <v>0</v>
      </c>
      <c r="AF1764" s="78" t="b">
        <f t="shared" si="1384"/>
        <v>0</v>
      </c>
      <c r="AG1764" s="78" t="b">
        <f t="shared" si="1385"/>
        <v>0</v>
      </c>
      <c r="AH1764" s="78" t="b">
        <f t="shared" si="1386"/>
        <v>0</v>
      </c>
      <c r="AI1764" s="78" t="b">
        <f t="shared" si="1387"/>
        <v>0</v>
      </c>
      <c r="AJ1764" s="78" t="b">
        <f t="shared" si="1388"/>
        <v>0</v>
      </c>
      <c r="AK1764" s="78" t="b">
        <f t="shared" si="1389"/>
        <v>0</v>
      </c>
      <c r="AL1764" s="78" t="b">
        <f t="shared" si="1390"/>
        <v>0</v>
      </c>
      <c r="AM1764" s="78" t="b">
        <f t="shared" si="1391"/>
        <v>0</v>
      </c>
      <c r="AN1764" s="78" t="b">
        <f t="shared" si="1392"/>
        <v>0</v>
      </c>
      <c r="AO1764" s="78" t="b">
        <f t="shared" si="1393"/>
        <v>0</v>
      </c>
    </row>
    <row r="1765" spans="7:41" x14ac:dyDescent="0.35">
      <c r="G1765" s="77">
        <f t="shared" si="1363"/>
        <v>0</v>
      </c>
      <c r="H1765" s="78">
        <f t="shared" si="1364"/>
        <v>0</v>
      </c>
      <c r="I1765" s="77">
        <f t="shared" si="1365"/>
        <v>0</v>
      </c>
      <c r="J1765" s="78">
        <f t="shared" si="1366"/>
        <v>0</v>
      </c>
      <c r="K1765" s="78" t="str">
        <f t="shared" si="1367"/>
        <v>1900-01-00 00:0:00</v>
      </c>
      <c r="L1765" s="78" t="str">
        <f t="shared" si="1368"/>
        <v>1900-01-00 00:0:00</v>
      </c>
      <c r="M1765" s="79">
        <f t="shared" si="1369"/>
        <v>0</v>
      </c>
      <c r="N1765">
        <f t="shared" si="1394"/>
        <v>1</v>
      </c>
      <c r="O1765" t="str">
        <f>IFERROR(_xlfn.XLOOKUP(A1765,HC!A:A,HC!C:C),"")</f>
        <v>Workforce</v>
      </c>
      <c r="R1765" s="78" t="b">
        <f t="shared" si="1370"/>
        <v>0</v>
      </c>
      <c r="S1765" s="78" t="b">
        <f t="shared" si="1371"/>
        <v>0</v>
      </c>
      <c r="T1765" s="78" t="b">
        <f t="shared" si="1372"/>
        <v>0</v>
      </c>
      <c r="U1765" s="78" t="b">
        <f t="shared" si="1373"/>
        <v>0</v>
      </c>
      <c r="V1765" s="78" t="b">
        <f t="shared" si="1374"/>
        <v>0</v>
      </c>
      <c r="W1765" s="78" t="b">
        <f t="shared" si="1375"/>
        <v>0</v>
      </c>
      <c r="X1765" s="78" t="b">
        <f t="shared" si="1376"/>
        <v>0</v>
      </c>
      <c r="Y1765" s="78" t="b">
        <f t="shared" si="1377"/>
        <v>0</v>
      </c>
      <c r="Z1765" s="78" t="b">
        <f t="shared" si="1378"/>
        <v>0</v>
      </c>
      <c r="AA1765" s="78" t="b">
        <f t="shared" si="1379"/>
        <v>0</v>
      </c>
      <c r="AB1765" s="78" t="b">
        <f t="shared" si="1380"/>
        <v>0</v>
      </c>
      <c r="AC1765" s="78" t="b">
        <f t="shared" si="1381"/>
        <v>0</v>
      </c>
      <c r="AD1765" s="78" t="b">
        <f t="shared" si="1382"/>
        <v>0</v>
      </c>
      <c r="AE1765" s="78" t="b">
        <f t="shared" si="1383"/>
        <v>0</v>
      </c>
      <c r="AF1765" s="78" t="b">
        <f t="shared" si="1384"/>
        <v>0</v>
      </c>
      <c r="AG1765" s="78" t="b">
        <f t="shared" si="1385"/>
        <v>0</v>
      </c>
      <c r="AH1765" s="78" t="b">
        <f t="shared" si="1386"/>
        <v>0</v>
      </c>
      <c r="AI1765" s="78" t="b">
        <f t="shared" si="1387"/>
        <v>0</v>
      </c>
      <c r="AJ1765" s="78" t="b">
        <f t="shared" si="1388"/>
        <v>0</v>
      </c>
      <c r="AK1765" s="78" t="b">
        <f t="shared" si="1389"/>
        <v>0</v>
      </c>
      <c r="AL1765" s="78" t="b">
        <f t="shared" si="1390"/>
        <v>0</v>
      </c>
      <c r="AM1765" s="78" t="b">
        <f t="shared" si="1391"/>
        <v>0</v>
      </c>
      <c r="AN1765" s="78" t="b">
        <f t="shared" si="1392"/>
        <v>0</v>
      </c>
      <c r="AO1765" s="78" t="b">
        <f t="shared" si="1393"/>
        <v>0</v>
      </c>
    </row>
    <row r="1766" spans="7:41" x14ac:dyDescent="0.35">
      <c r="G1766" s="77">
        <f t="shared" si="1363"/>
        <v>0</v>
      </c>
      <c r="H1766" s="78">
        <f t="shared" si="1364"/>
        <v>0</v>
      </c>
      <c r="I1766" s="77">
        <f t="shared" si="1365"/>
        <v>0</v>
      </c>
      <c r="J1766" s="78">
        <f t="shared" si="1366"/>
        <v>0</v>
      </c>
      <c r="K1766" s="78" t="str">
        <f t="shared" si="1367"/>
        <v>1900-01-00 00:0:00</v>
      </c>
      <c r="L1766" s="78" t="str">
        <f t="shared" si="1368"/>
        <v>1900-01-00 00:0:00</v>
      </c>
      <c r="M1766" s="79">
        <f t="shared" si="1369"/>
        <v>0</v>
      </c>
      <c r="N1766">
        <f t="shared" si="1394"/>
        <v>1</v>
      </c>
      <c r="O1766" t="str">
        <f>IFERROR(_xlfn.XLOOKUP(A1766,HC!A:A,HC!C:C),"")</f>
        <v>Workforce</v>
      </c>
      <c r="R1766" s="78" t="b">
        <f t="shared" si="1370"/>
        <v>0</v>
      </c>
      <c r="S1766" s="78" t="b">
        <f t="shared" si="1371"/>
        <v>0</v>
      </c>
      <c r="T1766" s="78" t="b">
        <f t="shared" si="1372"/>
        <v>0</v>
      </c>
      <c r="U1766" s="78" t="b">
        <f t="shared" si="1373"/>
        <v>0</v>
      </c>
      <c r="V1766" s="78" t="b">
        <f t="shared" si="1374"/>
        <v>0</v>
      </c>
      <c r="W1766" s="78" t="b">
        <f t="shared" si="1375"/>
        <v>0</v>
      </c>
      <c r="X1766" s="78" t="b">
        <f t="shared" si="1376"/>
        <v>0</v>
      </c>
      <c r="Y1766" s="78" t="b">
        <f t="shared" si="1377"/>
        <v>0</v>
      </c>
      <c r="Z1766" s="78" t="b">
        <f t="shared" si="1378"/>
        <v>0</v>
      </c>
      <c r="AA1766" s="78" t="b">
        <f t="shared" si="1379"/>
        <v>0</v>
      </c>
      <c r="AB1766" s="78" t="b">
        <f t="shared" si="1380"/>
        <v>0</v>
      </c>
      <c r="AC1766" s="78" t="b">
        <f t="shared" si="1381"/>
        <v>0</v>
      </c>
      <c r="AD1766" s="78" t="b">
        <f t="shared" si="1382"/>
        <v>0</v>
      </c>
      <c r="AE1766" s="78" t="b">
        <f t="shared" si="1383"/>
        <v>0</v>
      </c>
      <c r="AF1766" s="78" t="b">
        <f t="shared" si="1384"/>
        <v>0</v>
      </c>
      <c r="AG1766" s="78" t="b">
        <f t="shared" si="1385"/>
        <v>0</v>
      </c>
      <c r="AH1766" s="78" t="b">
        <f t="shared" si="1386"/>
        <v>0</v>
      </c>
      <c r="AI1766" s="78" t="b">
        <f t="shared" si="1387"/>
        <v>0</v>
      </c>
      <c r="AJ1766" s="78" t="b">
        <f t="shared" si="1388"/>
        <v>0</v>
      </c>
      <c r="AK1766" s="78" t="b">
        <f t="shared" si="1389"/>
        <v>0</v>
      </c>
      <c r="AL1766" s="78" t="b">
        <f t="shared" si="1390"/>
        <v>0</v>
      </c>
      <c r="AM1766" s="78" t="b">
        <f t="shared" si="1391"/>
        <v>0</v>
      </c>
      <c r="AN1766" s="78" t="b">
        <f t="shared" si="1392"/>
        <v>0</v>
      </c>
      <c r="AO1766" s="78" t="b">
        <f t="shared" si="1393"/>
        <v>0</v>
      </c>
    </row>
    <row r="1767" spans="7:41" x14ac:dyDescent="0.35">
      <c r="G1767" s="77">
        <f t="shared" si="1363"/>
        <v>0</v>
      </c>
      <c r="H1767" s="78">
        <f t="shared" si="1364"/>
        <v>0</v>
      </c>
      <c r="I1767" s="77">
        <f t="shared" si="1365"/>
        <v>0</v>
      </c>
      <c r="J1767" s="78">
        <f t="shared" si="1366"/>
        <v>0</v>
      </c>
      <c r="K1767" s="78" t="str">
        <f t="shared" si="1367"/>
        <v>1900-01-00 00:0:00</v>
      </c>
      <c r="L1767" s="78" t="str">
        <f t="shared" si="1368"/>
        <v>1900-01-00 00:0:00</v>
      </c>
      <c r="M1767" s="79">
        <f t="shared" si="1369"/>
        <v>0</v>
      </c>
      <c r="N1767">
        <f t="shared" si="1394"/>
        <v>1</v>
      </c>
      <c r="O1767" t="str">
        <f>IFERROR(_xlfn.XLOOKUP(A1767,HC!A:A,HC!C:C),"")</f>
        <v>Workforce</v>
      </c>
      <c r="R1767" s="78" t="b">
        <f t="shared" si="1370"/>
        <v>0</v>
      </c>
      <c r="S1767" s="78" t="b">
        <f t="shared" si="1371"/>
        <v>0</v>
      </c>
      <c r="T1767" s="78" t="b">
        <f t="shared" si="1372"/>
        <v>0</v>
      </c>
      <c r="U1767" s="78" t="b">
        <f t="shared" si="1373"/>
        <v>0</v>
      </c>
      <c r="V1767" s="78" t="b">
        <f t="shared" si="1374"/>
        <v>0</v>
      </c>
      <c r="W1767" s="78" t="b">
        <f t="shared" si="1375"/>
        <v>0</v>
      </c>
      <c r="X1767" s="78" t="b">
        <f t="shared" si="1376"/>
        <v>0</v>
      </c>
      <c r="Y1767" s="78" t="b">
        <f t="shared" si="1377"/>
        <v>0</v>
      </c>
      <c r="Z1767" s="78" t="b">
        <f t="shared" si="1378"/>
        <v>0</v>
      </c>
      <c r="AA1767" s="78" t="b">
        <f t="shared" si="1379"/>
        <v>0</v>
      </c>
      <c r="AB1767" s="78" t="b">
        <f t="shared" si="1380"/>
        <v>0</v>
      </c>
      <c r="AC1767" s="78" t="b">
        <f t="shared" si="1381"/>
        <v>0</v>
      </c>
      <c r="AD1767" s="78" t="b">
        <f t="shared" si="1382"/>
        <v>0</v>
      </c>
      <c r="AE1767" s="78" t="b">
        <f t="shared" si="1383"/>
        <v>0</v>
      </c>
      <c r="AF1767" s="78" t="b">
        <f t="shared" si="1384"/>
        <v>0</v>
      </c>
      <c r="AG1767" s="78" t="b">
        <f t="shared" si="1385"/>
        <v>0</v>
      </c>
      <c r="AH1767" s="78" t="b">
        <f t="shared" si="1386"/>
        <v>0</v>
      </c>
      <c r="AI1767" s="78" t="b">
        <f t="shared" si="1387"/>
        <v>0</v>
      </c>
      <c r="AJ1767" s="78" t="b">
        <f t="shared" si="1388"/>
        <v>0</v>
      </c>
      <c r="AK1767" s="78" t="b">
        <f t="shared" si="1389"/>
        <v>0</v>
      </c>
      <c r="AL1767" s="78" t="b">
        <f t="shared" si="1390"/>
        <v>0</v>
      </c>
      <c r="AM1767" s="78" t="b">
        <f t="shared" si="1391"/>
        <v>0</v>
      </c>
      <c r="AN1767" s="78" t="b">
        <f t="shared" si="1392"/>
        <v>0</v>
      </c>
      <c r="AO1767" s="78" t="b">
        <f t="shared" si="1393"/>
        <v>0</v>
      </c>
    </row>
    <row r="1768" spans="7:41" x14ac:dyDescent="0.35">
      <c r="G1768" s="77">
        <f t="shared" si="1363"/>
        <v>0</v>
      </c>
      <c r="H1768" s="78">
        <f t="shared" si="1364"/>
        <v>0</v>
      </c>
      <c r="I1768" s="77">
        <f t="shared" si="1365"/>
        <v>0</v>
      </c>
      <c r="J1768" s="78">
        <f t="shared" si="1366"/>
        <v>0</v>
      </c>
      <c r="K1768" s="78" t="str">
        <f t="shared" si="1367"/>
        <v>1900-01-00 00:0:00</v>
      </c>
      <c r="L1768" s="78" t="str">
        <f t="shared" si="1368"/>
        <v>1900-01-00 00:0:00</v>
      </c>
      <c r="M1768" s="79">
        <f t="shared" si="1369"/>
        <v>0</v>
      </c>
      <c r="N1768">
        <f t="shared" si="1394"/>
        <v>1</v>
      </c>
      <c r="O1768" t="str">
        <f>IFERROR(_xlfn.XLOOKUP(A1768,HC!A:A,HC!C:C),"")</f>
        <v>Workforce</v>
      </c>
      <c r="R1768" s="78" t="b">
        <f t="shared" si="1370"/>
        <v>0</v>
      </c>
      <c r="S1768" s="78" t="b">
        <f t="shared" si="1371"/>
        <v>0</v>
      </c>
      <c r="T1768" s="78" t="b">
        <f t="shared" si="1372"/>
        <v>0</v>
      </c>
      <c r="U1768" s="78" t="b">
        <f t="shared" si="1373"/>
        <v>0</v>
      </c>
      <c r="V1768" s="78" t="b">
        <f t="shared" si="1374"/>
        <v>0</v>
      </c>
      <c r="W1768" s="78" t="b">
        <f t="shared" si="1375"/>
        <v>0</v>
      </c>
      <c r="X1768" s="78" t="b">
        <f t="shared" si="1376"/>
        <v>0</v>
      </c>
      <c r="Y1768" s="78" t="b">
        <f t="shared" si="1377"/>
        <v>0</v>
      </c>
      <c r="Z1768" s="78" t="b">
        <f t="shared" si="1378"/>
        <v>0</v>
      </c>
      <c r="AA1768" s="78" t="b">
        <f t="shared" si="1379"/>
        <v>0</v>
      </c>
      <c r="AB1768" s="78" t="b">
        <f t="shared" si="1380"/>
        <v>0</v>
      </c>
      <c r="AC1768" s="78" t="b">
        <f t="shared" si="1381"/>
        <v>0</v>
      </c>
      <c r="AD1768" s="78" t="b">
        <f t="shared" si="1382"/>
        <v>0</v>
      </c>
      <c r="AE1768" s="78" t="b">
        <f t="shared" si="1383"/>
        <v>0</v>
      </c>
      <c r="AF1768" s="78" t="b">
        <f t="shared" si="1384"/>
        <v>0</v>
      </c>
      <c r="AG1768" s="78" t="b">
        <f t="shared" si="1385"/>
        <v>0</v>
      </c>
      <c r="AH1768" s="78" t="b">
        <f t="shared" si="1386"/>
        <v>0</v>
      </c>
      <c r="AI1768" s="78" t="b">
        <f t="shared" si="1387"/>
        <v>0</v>
      </c>
      <c r="AJ1768" s="78" t="b">
        <f t="shared" si="1388"/>
        <v>0</v>
      </c>
      <c r="AK1768" s="78" t="b">
        <f t="shared" si="1389"/>
        <v>0</v>
      </c>
      <c r="AL1768" s="78" t="b">
        <f t="shared" si="1390"/>
        <v>0</v>
      </c>
      <c r="AM1768" s="78" t="b">
        <f t="shared" si="1391"/>
        <v>0</v>
      </c>
      <c r="AN1768" s="78" t="b">
        <f t="shared" si="1392"/>
        <v>0</v>
      </c>
      <c r="AO1768" s="78" t="b">
        <f t="shared" si="1393"/>
        <v>0</v>
      </c>
    </row>
    <row r="1769" spans="7:41" x14ac:dyDescent="0.35">
      <c r="G1769" s="77">
        <f t="shared" si="1363"/>
        <v>0</v>
      </c>
      <c r="H1769" s="78">
        <f t="shared" si="1364"/>
        <v>0</v>
      </c>
      <c r="I1769" s="77">
        <f t="shared" si="1365"/>
        <v>0</v>
      </c>
      <c r="J1769" s="78">
        <f t="shared" si="1366"/>
        <v>0</v>
      </c>
      <c r="K1769" s="78" t="str">
        <f t="shared" si="1367"/>
        <v>1900-01-00 00:0:00</v>
      </c>
      <c r="L1769" s="78" t="str">
        <f t="shared" si="1368"/>
        <v>1900-01-00 00:0:00</v>
      </c>
      <c r="M1769" s="79">
        <f t="shared" si="1369"/>
        <v>0</v>
      </c>
      <c r="N1769">
        <f t="shared" si="1394"/>
        <v>1</v>
      </c>
      <c r="O1769" t="str">
        <f>IFERROR(_xlfn.XLOOKUP(A1769,HC!A:A,HC!C:C),"")</f>
        <v>Workforce</v>
      </c>
      <c r="R1769" s="78" t="b">
        <f t="shared" si="1370"/>
        <v>0</v>
      </c>
      <c r="S1769" s="78" t="b">
        <f t="shared" si="1371"/>
        <v>0</v>
      </c>
      <c r="T1769" s="78" t="b">
        <f t="shared" si="1372"/>
        <v>0</v>
      </c>
      <c r="U1769" s="78" t="b">
        <f t="shared" si="1373"/>
        <v>0</v>
      </c>
      <c r="V1769" s="78" t="b">
        <f t="shared" si="1374"/>
        <v>0</v>
      </c>
      <c r="W1769" s="78" t="b">
        <f t="shared" si="1375"/>
        <v>0</v>
      </c>
      <c r="X1769" s="78" t="b">
        <f t="shared" si="1376"/>
        <v>0</v>
      </c>
      <c r="Y1769" s="78" t="b">
        <f t="shared" si="1377"/>
        <v>0</v>
      </c>
      <c r="Z1769" s="78" t="b">
        <f t="shared" si="1378"/>
        <v>0</v>
      </c>
      <c r="AA1769" s="78" t="b">
        <f t="shared" si="1379"/>
        <v>0</v>
      </c>
      <c r="AB1769" s="78" t="b">
        <f t="shared" si="1380"/>
        <v>0</v>
      </c>
      <c r="AC1769" s="78" t="b">
        <f t="shared" si="1381"/>
        <v>0</v>
      </c>
      <c r="AD1769" s="78" t="b">
        <f t="shared" si="1382"/>
        <v>0</v>
      </c>
      <c r="AE1769" s="78" t="b">
        <f t="shared" si="1383"/>
        <v>0</v>
      </c>
      <c r="AF1769" s="78" t="b">
        <f t="shared" si="1384"/>
        <v>0</v>
      </c>
      <c r="AG1769" s="78" t="b">
        <f t="shared" si="1385"/>
        <v>0</v>
      </c>
      <c r="AH1769" s="78" t="b">
        <f t="shared" si="1386"/>
        <v>0</v>
      </c>
      <c r="AI1769" s="78" t="b">
        <f t="shared" si="1387"/>
        <v>0</v>
      </c>
      <c r="AJ1769" s="78" t="b">
        <f t="shared" si="1388"/>
        <v>0</v>
      </c>
      <c r="AK1769" s="78" t="b">
        <f t="shared" si="1389"/>
        <v>0</v>
      </c>
      <c r="AL1769" s="78" t="b">
        <f t="shared" si="1390"/>
        <v>0</v>
      </c>
      <c r="AM1769" s="78" t="b">
        <f t="shared" si="1391"/>
        <v>0</v>
      </c>
      <c r="AN1769" s="78" t="b">
        <f t="shared" si="1392"/>
        <v>0</v>
      </c>
      <c r="AO1769" s="78" t="b">
        <f t="shared" si="1393"/>
        <v>0</v>
      </c>
    </row>
    <row r="1770" spans="7:41" x14ac:dyDescent="0.35">
      <c r="G1770" s="77">
        <f t="shared" si="1363"/>
        <v>0</v>
      </c>
      <c r="H1770" s="78">
        <f t="shared" si="1364"/>
        <v>0</v>
      </c>
      <c r="I1770" s="77">
        <f t="shared" si="1365"/>
        <v>0</v>
      </c>
      <c r="J1770" s="78">
        <f t="shared" si="1366"/>
        <v>0</v>
      </c>
      <c r="K1770" s="78" t="str">
        <f t="shared" si="1367"/>
        <v>1900-01-00 00:0:00</v>
      </c>
      <c r="L1770" s="78" t="str">
        <f t="shared" si="1368"/>
        <v>1900-01-00 00:0:00</v>
      </c>
      <c r="M1770" s="79">
        <f t="shared" si="1369"/>
        <v>0</v>
      </c>
      <c r="N1770">
        <f t="shared" si="1394"/>
        <v>1</v>
      </c>
      <c r="O1770" t="str">
        <f>IFERROR(_xlfn.XLOOKUP(A1770,HC!A:A,HC!C:C),"")</f>
        <v>Workforce</v>
      </c>
      <c r="R1770" s="78" t="b">
        <f t="shared" si="1370"/>
        <v>0</v>
      </c>
      <c r="S1770" s="78" t="b">
        <f t="shared" si="1371"/>
        <v>0</v>
      </c>
      <c r="T1770" s="78" t="b">
        <f t="shared" si="1372"/>
        <v>0</v>
      </c>
      <c r="U1770" s="78" t="b">
        <f t="shared" si="1373"/>
        <v>0</v>
      </c>
      <c r="V1770" s="78" t="b">
        <f t="shared" si="1374"/>
        <v>0</v>
      </c>
      <c r="W1770" s="78" t="b">
        <f t="shared" si="1375"/>
        <v>0</v>
      </c>
      <c r="X1770" s="78" t="b">
        <f t="shared" si="1376"/>
        <v>0</v>
      </c>
      <c r="Y1770" s="78" t="b">
        <f t="shared" si="1377"/>
        <v>0</v>
      </c>
      <c r="Z1770" s="78" t="b">
        <f t="shared" si="1378"/>
        <v>0</v>
      </c>
      <c r="AA1770" s="78" t="b">
        <f t="shared" si="1379"/>
        <v>0</v>
      </c>
      <c r="AB1770" s="78" t="b">
        <f t="shared" si="1380"/>
        <v>0</v>
      </c>
      <c r="AC1770" s="78" t="b">
        <f t="shared" si="1381"/>
        <v>0</v>
      </c>
      <c r="AD1770" s="78" t="b">
        <f t="shared" si="1382"/>
        <v>0</v>
      </c>
      <c r="AE1770" s="78" t="b">
        <f t="shared" si="1383"/>
        <v>0</v>
      </c>
      <c r="AF1770" s="78" t="b">
        <f t="shared" si="1384"/>
        <v>0</v>
      </c>
      <c r="AG1770" s="78" t="b">
        <f t="shared" si="1385"/>
        <v>0</v>
      </c>
      <c r="AH1770" s="78" t="b">
        <f t="shared" si="1386"/>
        <v>0</v>
      </c>
      <c r="AI1770" s="78" t="b">
        <f t="shared" si="1387"/>
        <v>0</v>
      </c>
      <c r="AJ1770" s="78" t="b">
        <f t="shared" si="1388"/>
        <v>0</v>
      </c>
      <c r="AK1770" s="78" t="b">
        <f t="shared" si="1389"/>
        <v>0</v>
      </c>
      <c r="AL1770" s="78" t="b">
        <f t="shared" si="1390"/>
        <v>0</v>
      </c>
      <c r="AM1770" s="78" t="b">
        <f t="shared" si="1391"/>
        <v>0</v>
      </c>
      <c r="AN1770" s="78" t="b">
        <f t="shared" si="1392"/>
        <v>0</v>
      </c>
      <c r="AO1770" s="78" t="b">
        <f t="shared" si="1393"/>
        <v>0</v>
      </c>
    </row>
    <row r="1771" spans="7:41" x14ac:dyDescent="0.35">
      <c r="G1771" s="77">
        <f t="shared" si="1363"/>
        <v>0</v>
      </c>
      <c r="H1771" s="78">
        <f t="shared" si="1364"/>
        <v>0</v>
      </c>
      <c r="I1771" s="77">
        <f t="shared" si="1365"/>
        <v>0</v>
      </c>
      <c r="J1771" s="78">
        <f t="shared" si="1366"/>
        <v>0</v>
      </c>
      <c r="K1771" s="78" t="str">
        <f t="shared" si="1367"/>
        <v>1900-01-00 00:0:00</v>
      </c>
      <c r="L1771" s="78" t="str">
        <f t="shared" si="1368"/>
        <v>1900-01-00 00:0:00</v>
      </c>
      <c r="M1771" s="79">
        <f t="shared" si="1369"/>
        <v>0</v>
      </c>
      <c r="N1771">
        <f t="shared" si="1394"/>
        <v>1</v>
      </c>
      <c r="O1771" t="str">
        <f>IFERROR(_xlfn.XLOOKUP(A1771,HC!A:A,HC!C:C),"")</f>
        <v>Workforce</v>
      </c>
      <c r="R1771" s="78" t="b">
        <f t="shared" si="1370"/>
        <v>0</v>
      </c>
      <c r="S1771" s="78" t="b">
        <f t="shared" si="1371"/>
        <v>0</v>
      </c>
      <c r="T1771" s="78" t="b">
        <f t="shared" si="1372"/>
        <v>0</v>
      </c>
      <c r="U1771" s="78" t="b">
        <f t="shared" si="1373"/>
        <v>0</v>
      </c>
      <c r="V1771" s="78" t="b">
        <f t="shared" si="1374"/>
        <v>0</v>
      </c>
      <c r="W1771" s="78" t="b">
        <f t="shared" si="1375"/>
        <v>0</v>
      </c>
      <c r="X1771" s="78" t="b">
        <f t="shared" si="1376"/>
        <v>0</v>
      </c>
      <c r="Y1771" s="78" t="b">
        <f t="shared" si="1377"/>
        <v>0</v>
      </c>
      <c r="Z1771" s="78" t="b">
        <f t="shared" si="1378"/>
        <v>0</v>
      </c>
      <c r="AA1771" s="78" t="b">
        <f t="shared" si="1379"/>
        <v>0</v>
      </c>
      <c r="AB1771" s="78" t="b">
        <f t="shared" si="1380"/>
        <v>0</v>
      </c>
      <c r="AC1771" s="78" t="b">
        <f t="shared" si="1381"/>
        <v>0</v>
      </c>
      <c r="AD1771" s="78" t="b">
        <f t="shared" si="1382"/>
        <v>0</v>
      </c>
      <c r="AE1771" s="78" t="b">
        <f t="shared" si="1383"/>
        <v>0</v>
      </c>
      <c r="AF1771" s="78" t="b">
        <f t="shared" si="1384"/>
        <v>0</v>
      </c>
      <c r="AG1771" s="78" t="b">
        <f t="shared" si="1385"/>
        <v>0</v>
      </c>
      <c r="AH1771" s="78" t="b">
        <f t="shared" si="1386"/>
        <v>0</v>
      </c>
      <c r="AI1771" s="78" t="b">
        <f t="shared" si="1387"/>
        <v>0</v>
      </c>
      <c r="AJ1771" s="78" t="b">
        <f t="shared" si="1388"/>
        <v>0</v>
      </c>
      <c r="AK1771" s="78" t="b">
        <f t="shared" si="1389"/>
        <v>0</v>
      </c>
      <c r="AL1771" s="78" t="b">
        <f t="shared" si="1390"/>
        <v>0</v>
      </c>
      <c r="AM1771" s="78" t="b">
        <f t="shared" si="1391"/>
        <v>0</v>
      </c>
      <c r="AN1771" s="78" t="b">
        <f t="shared" si="1392"/>
        <v>0</v>
      </c>
      <c r="AO1771" s="78" t="b">
        <f t="shared" si="1393"/>
        <v>0</v>
      </c>
    </row>
    <row r="1772" spans="7:41" x14ac:dyDescent="0.35">
      <c r="G1772" s="77">
        <f t="shared" si="1363"/>
        <v>0</v>
      </c>
      <c r="H1772" s="78">
        <f t="shared" si="1364"/>
        <v>0</v>
      </c>
      <c r="I1772" s="77">
        <f t="shared" si="1365"/>
        <v>0</v>
      </c>
      <c r="J1772" s="78">
        <f t="shared" si="1366"/>
        <v>0</v>
      </c>
      <c r="K1772" s="78" t="str">
        <f t="shared" si="1367"/>
        <v>1900-01-00 00:0:00</v>
      </c>
      <c r="L1772" s="78" t="str">
        <f t="shared" si="1368"/>
        <v>1900-01-00 00:0:00</v>
      </c>
      <c r="M1772" s="79">
        <f t="shared" si="1369"/>
        <v>0</v>
      </c>
      <c r="N1772">
        <f t="shared" si="1394"/>
        <v>1</v>
      </c>
      <c r="O1772" t="str">
        <f>IFERROR(_xlfn.XLOOKUP(A1772,HC!A:A,HC!C:C),"")</f>
        <v>Workforce</v>
      </c>
      <c r="R1772" s="78" t="b">
        <f t="shared" si="1370"/>
        <v>0</v>
      </c>
      <c r="S1772" s="78" t="b">
        <f t="shared" si="1371"/>
        <v>0</v>
      </c>
      <c r="T1772" s="78" t="b">
        <f t="shared" si="1372"/>
        <v>0</v>
      </c>
      <c r="U1772" s="78" t="b">
        <f t="shared" si="1373"/>
        <v>0</v>
      </c>
      <c r="V1772" s="78" t="b">
        <f t="shared" si="1374"/>
        <v>0</v>
      </c>
      <c r="W1772" s="78" t="b">
        <f t="shared" si="1375"/>
        <v>0</v>
      </c>
      <c r="X1772" s="78" t="b">
        <f t="shared" si="1376"/>
        <v>0</v>
      </c>
      <c r="Y1772" s="78" t="b">
        <f t="shared" si="1377"/>
        <v>0</v>
      </c>
      <c r="Z1772" s="78" t="b">
        <f t="shared" si="1378"/>
        <v>0</v>
      </c>
      <c r="AA1772" s="78" t="b">
        <f t="shared" si="1379"/>
        <v>0</v>
      </c>
      <c r="AB1772" s="78" t="b">
        <f t="shared" si="1380"/>
        <v>0</v>
      </c>
      <c r="AC1772" s="78" t="b">
        <f t="shared" si="1381"/>
        <v>0</v>
      </c>
      <c r="AD1772" s="78" t="b">
        <f t="shared" si="1382"/>
        <v>0</v>
      </c>
      <c r="AE1772" s="78" t="b">
        <f t="shared" si="1383"/>
        <v>0</v>
      </c>
      <c r="AF1772" s="78" t="b">
        <f t="shared" si="1384"/>
        <v>0</v>
      </c>
      <c r="AG1772" s="78" t="b">
        <f t="shared" si="1385"/>
        <v>0</v>
      </c>
      <c r="AH1772" s="78" t="b">
        <f t="shared" si="1386"/>
        <v>0</v>
      </c>
      <c r="AI1772" s="78" t="b">
        <f t="shared" si="1387"/>
        <v>0</v>
      </c>
      <c r="AJ1772" s="78" t="b">
        <f t="shared" si="1388"/>
        <v>0</v>
      </c>
      <c r="AK1772" s="78" t="b">
        <f t="shared" si="1389"/>
        <v>0</v>
      </c>
      <c r="AL1772" s="78" t="b">
        <f t="shared" si="1390"/>
        <v>0</v>
      </c>
      <c r="AM1772" s="78" t="b">
        <f t="shared" si="1391"/>
        <v>0</v>
      </c>
      <c r="AN1772" s="78" t="b">
        <f t="shared" si="1392"/>
        <v>0</v>
      </c>
      <c r="AO1772" s="78" t="b">
        <f t="shared" si="1393"/>
        <v>0</v>
      </c>
    </row>
    <row r="1773" spans="7:41" x14ac:dyDescent="0.35">
      <c r="G1773" s="77">
        <f t="shared" si="1363"/>
        <v>0</v>
      </c>
      <c r="H1773" s="78">
        <f t="shared" si="1364"/>
        <v>0</v>
      </c>
      <c r="I1773" s="77">
        <f t="shared" si="1365"/>
        <v>0</v>
      </c>
      <c r="J1773" s="78">
        <f t="shared" si="1366"/>
        <v>0</v>
      </c>
      <c r="K1773" s="78" t="str">
        <f t="shared" si="1367"/>
        <v>1900-01-00 00:0:00</v>
      </c>
      <c r="L1773" s="78" t="str">
        <f t="shared" si="1368"/>
        <v>1900-01-00 00:0:00</v>
      </c>
      <c r="M1773" s="79">
        <f t="shared" si="1369"/>
        <v>0</v>
      </c>
      <c r="N1773">
        <f t="shared" si="1394"/>
        <v>1</v>
      </c>
      <c r="O1773" t="str">
        <f>IFERROR(_xlfn.XLOOKUP(A1773,HC!A:A,HC!C:C),"")</f>
        <v>Workforce</v>
      </c>
      <c r="R1773" s="78" t="b">
        <f t="shared" si="1370"/>
        <v>0</v>
      </c>
      <c r="S1773" s="78" t="b">
        <f t="shared" si="1371"/>
        <v>0</v>
      </c>
      <c r="T1773" s="78" t="b">
        <f t="shared" si="1372"/>
        <v>0</v>
      </c>
      <c r="U1773" s="78" t="b">
        <f t="shared" si="1373"/>
        <v>0</v>
      </c>
      <c r="V1773" s="78" t="b">
        <f t="shared" si="1374"/>
        <v>0</v>
      </c>
      <c r="W1773" s="78" t="b">
        <f t="shared" si="1375"/>
        <v>0</v>
      </c>
      <c r="X1773" s="78" t="b">
        <f t="shared" si="1376"/>
        <v>0</v>
      </c>
      <c r="Y1773" s="78" t="b">
        <f t="shared" si="1377"/>
        <v>0</v>
      </c>
      <c r="Z1773" s="78" t="b">
        <f t="shared" si="1378"/>
        <v>0</v>
      </c>
      <c r="AA1773" s="78" t="b">
        <f t="shared" si="1379"/>
        <v>0</v>
      </c>
      <c r="AB1773" s="78" t="b">
        <f t="shared" si="1380"/>
        <v>0</v>
      </c>
      <c r="AC1773" s="78" t="b">
        <f t="shared" si="1381"/>
        <v>0</v>
      </c>
      <c r="AD1773" s="78" t="b">
        <f t="shared" si="1382"/>
        <v>0</v>
      </c>
      <c r="AE1773" s="78" t="b">
        <f t="shared" si="1383"/>
        <v>0</v>
      </c>
      <c r="AF1773" s="78" t="b">
        <f t="shared" si="1384"/>
        <v>0</v>
      </c>
      <c r="AG1773" s="78" t="b">
        <f t="shared" si="1385"/>
        <v>0</v>
      </c>
      <c r="AH1773" s="78" t="b">
        <f t="shared" si="1386"/>
        <v>0</v>
      </c>
      <c r="AI1773" s="78" t="b">
        <f t="shared" si="1387"/>
        <v>0</v>
      </c>
      <c r="AJ1773" s="78" t="b">
        <f t="shared" si="1388"/>
        <v>0</v>
      </c>
      <c r="AK1773" s="78" t="b">
        <f t="shared" si="1389"/>
        <v>0</v>
      </c>
      <c r="AL1773" s="78" t="b">
        <f t="shared" si="1390"/>
        <v>0</v>
      </c>
      <c r="AM1773" s="78" t="b">
        <f t="shared" si="1391"/>
        <v>0</v>
      </c>
      <c r="AN1773" s="78" t="b">
        <f t="shared" si="1392"/>
        <v>0</v>
      </c>
      <c r="AO1773" s="78" t="b">
        <f t="shared" si="1393"/>
        <v>0</v>
      </c>
    </row>
    <row r="1774" spans="7:41" x14ac:dyDescent="0.35">
      <c r="G1774" s="77">
        <f t="shared" si="1363"/>
        <v>0</v>
      </c>
      <c r="H1774" s="78">
        <f t="shared" si="1364"/>
        <v>0</v>
      </c>
      <c r="I1774" s="77">
        <f t="shared" si="1365"/>
        <v>0</v>
      </c>
      <c r="J1774" s="78">
        <f t="shared" si="1366"/>
        <v>0</v>
      </c>
      <c r="K1774" s="78" t="str">
        <f t="shared" si="1367"/>
        <v>1900-01-00 00:0:00</v>
      </c>
      <c r="L1774" s="78" t="str">
        <f t="shared" si="1368"/>
        <v>1900-01-00 00:0:00</v>
      </c>
      <c r="M1774" s="79">
        <f t="shared" si="1369"/>
        <v>0</v>
      </c>
      <c r="N1774">
        <f t="shared" si="1394"/>
        <v>1</v>
      </c>
      <c r="O1774" t="str">
        <f>IFERROR(_xlfn.XLOOKUP(A1774,HC!A:A,HC!C:C),"")</f>
        <v>Workforce</v>
      </c>
      <c r="R1774" s="78" t="b">
        <f t="shared" si="1370"/>
        <v>0</v>
      </c>
      <c r="S1774" s="78" t="b">
        <f t="shared" si="1371"/>
        <v>0</v>
      </c>
      <c r="T1774" s="78" t="b">
        <f t="shared" si="1372"/>
        <v>0</v>
      </c>
      <c r="U1774" s="78" t="b">
        <f t="shared" si="1373"/>
        <v>0</v>
      </c>
      <c r="V1774" s="78" t="b">
        <f t="shared" si="1374"/>
        <v>0</v>
      </c>
      <c r="W1774" s="78" t="b">
        <f t="shared" si="1375"/>
        <v>0</v>
      </c>
      <c r="X1774" s="78" t="b">
        <f t="shared" si="1376"/>
        <v>0</v>
      </c>
      <c r="Y1774" s="78" t="b">
        <f t="shared" si="1377"/>
        <v>0</v>
      </c>
      <c r="Z1774" s="78" t="b">
        <f t="shared" si="1378"/>
        <v>0</v>
      </c>
      <c r="AA1774" s="78" t="b">
        <f t="shared" si="1379"/>
        <v>0</v>
      </c>
      <c r="AB1774" s="78" t="b">
        <f t="shared" si="1380"/>
        <v>0</v>
      </c>
      <c r="AC1774" s="78" t="b">
        <f t="shared" si="1381"/>
        <v>0</v>
      </c>
      <c r="AD1774" s="78" t="b">
        <f t="shared" si="1382"/>
        <v>0</v>
      </c>
      <c r="AE1774" s="78" t="b">
        <f t="shared" si="1383"/>
        <v>0</v>
      </c>
      <c r="AF1774" s="78" t="b">
        <f t="shared" si="1384"/>
        <v>0</v>
      </c>
      <c r="AG1774" s="78" t="b">
        <f t="shared" si="1385"/>
        <v>0</v>
      </c>
      <c r="AH1774" s="78" t="b">
        <f t="shared" si="1386"/>
        <v>0</v>
      </c>
      <c r="AI1774" s="78" t="b">
        <f t="shared" si="1387"/>
        <v>0</v>
      </c>
      <c r="AJ1774" s="78" t="b">
        <f t="shared" si="1388"/>
        <v>0</v>
      </c>
      <c r="AK1774" s="78" t="b">
        <f t="shared" si="1389"/>
        <v>0</v>
      </c>
      <c r="AL1774" s="78" t="b">
        <f t="shared" si="1390"/>
        <v>0</v>
      </c>
      <c r="AM1774" s="78" t="b">
        <f t="shared" si="1391"/>
        <v>0</v>
      </c>
      <c r="AN1774" s="78" t="b">
        <f t="shared" si="1392"/>
        <v>0</v>
      </c>
      <c r="AO1774" s="78" t="b">
        <f t="shared" si="1393"/>
        <v>0</v>
      </c>
    </row>
    <row r="1775" spans="7:41" x14ac:dyDescent="0.35">
      <c r="G1775" s="77">
        <f t="shared" si="1363"/>
        <v>0</v>
      </c>
      <c r="H1775" s="78">
        <f t="shared" si="1364"/>
        <v>0</v>
      </c>
      <c r="I1775" s="77">
        <f t="shared" si="1365"/>
        <v>0</v>
      </c>
      <c r="J1775" s="78">
        <f t="shared" si="1366"/>
        <v>0</v>
      </c>
      <c r="K1775" s="78" t="str">
        <f t="shared" si="1367"/>
        <v>1900-01-00 00:0:00</v>
      </c>
      <c r="L1775" s="78" t="str">
        <f t="shared" si="1368"/>
        <v>1900-01-00 00:0:00</v>
      </c>
      <c r="M1775" s="79">
        <f t="shared" si="1369"/>
        <v>0</v>
      </c>
      <c r="N1775">
        <f t="shared" si="1394"/>
        <v>1</v>
      </c>
      <c r="O1775" t="str">
        <f>IFERROR(_xlfn.XLOOKUP(A1775,HC!A:A,HC!C:C),"")</f>
        <v>Workforce</v>
      </c>
      <c r="R1775" s="78" t="b">
        <f t="shared" si="1370"/>
        <v>0</v>
      </c>
      <c r="S1775" s="78" t="b">
        <f t="shared" si="1371"/>
        <v>0</v>
      </c>
      <c r="T1775" s="78" t="b">
        <f t="shared" si="1372"/>
        <v>0</v>
      </c>
      <c r="U1775" s="78" t="b">
        <f t="shared" si="1373"/>
        <v>0</v>
      </c>
      <c r="V1775" s="78" t="b">
        <f t="shared" si="1374"/>
        <v>0</v>
      </c>
      <c r="W1775" s="78" t="b">
        <f t="shared" si="1375"/>
        <v>0</v>
      </c>
      <c r="X1775" s="78" t="b">
        <f t="shared" si="1376"/>
        <v>0</v>
      </c>
      <c r="Y1775" s="78" t="b">
        <f t="shared" si="1377"/>
        <v>0</v>
      </c>
      <c r="Z1775" s="78" t="b">
        <f t="shared" si="1378"/>
        <v>0</v>
      </c>
      <c r="AA1775" s="78" t="b">
        <f t="shared" si="1379"/>
        <v>0</v>
      </c>
      <c r="AB1775" s="78" t="b">
        <f t="shared" si="1380"/>
        <v>0</v>
      </c>
      <c r="AC1775" s="78" t="b">
        <f t="shared" si="1381"/>
        <v>0</v>
      </c>
      <c r="AD1775" s="78" t="b">
        <f t="shared" si="1382"/>
        <v>0</v>
      </c>
      <c r="AE1775" s="78" t="b">
        <f t="shared" si="1383"/>
        <v>0</v>
      </c>
      <c r="AF1775" s="78" t="b">
        <f t="shared" si="1384"/>
        <v>0</v>
      </c>
      <c r="AG1775" s="78" t="b">
        <f t="shared" si="1385"/>
        <v>0</v>
      </c>
      <c r="AH1775" s="78" t="b">
        <f t="shared" si="1386"/>
        <v>0</v>
      </c>
      <c r="AI1775" s="78" t="b">
        <f t="shared" si="1387"/>
        <v>0</v>
      </c>
      <c r="AJ1775" s="78" t="b">
        <f t="shared" si="1388"/>
        <v>0</v>
      </c>
      <c r="AK1775" s="78" t="b">
        <f t="shared" si="1389"/>
        <v>0</v>
      </c>
      <c r="AL1775" s="78" t="b">
        <f t="shared" si="1390"/>
        <v>0</v>
      </c>
      <c r="AM1775" s="78" t="b">
        <f t="shared" si="1391"/>
        <v>0</v>
      </c>
      <c r="AN1775" s="78" t="b">
        <f t="shared" si="1392"/>
        <v>0</v>
      </c>
      <c r="AO1775" s="78" t="b">
        <f t="shared" si="1393"/>
        <v>0</v>
      </c>
    </row>
    <row r="1776" spans="7:41" x14ac:dyDescent="0.35">
      <c r="G1776" s="77">
        <f t="shared" si="1363"/>
        <v>0</v>
      </c>
      <c r="H1776" s="78">
        <f t="shared" si="1364"/>
        <v>0</v>
      </c>
      <c r="I1776" s="77">
        <f t="shared" si="1365"/>
        <v>0</v>
      </c>
      <c r="J1776" s="78">
        <f t="shared" si="1366"/>
        <v>0</v>
      </c>
      <c r="K1776" s="78" t="str">
        <f t="shared" si="1367"/>
        <v>1900-01-00 00:0:00</v>
      </c>
      <c r="L1776" s="78" t="str">
        <f t="shared" si="1368"/>
        <v>1900-01-00 00:0:00</v>
      </c>
      <c r="M1776" s="79">
        <f t="shared" si="1369"/>
        <v>0</v>
      </c>
      <c r="N1776">
        <f t="shared" si="1394"/>
        <v>1</v>
      </c>
      <c r="O1776" t="str">
        <f>IFERROR(_xlfn.XLOOKUP(A1776,HC!A:A,HC!C:C),"")</f>
        <v>Workforce</v>
      </c>
      <c r="R1776" s="78" t="b">
        <f t="shared" si="1370"/>
        <v>0</v>
      </c>
      <c r="S1776" s="78" t="b">
        <f t="shared" si="1371"/>
        <v>0</v>
      </c>
      <c r="T1776" s="78" t="b">
        <f t="shared" si="1372"/>
        <v>0</v>
      </c>
      <c r="U1776" s="78" t="b">
        <f t="shared" si="1373"/>
        <v>0</v>
      </c>
      <c r="V1776" s="78" t="b">
        <f t="shared" si="1374"/>
        <v>0</v>
      </c>
      <c r="W1776" s="78" t="b">
        <f t="shared" si="1375"/>
        <v>0</v>
      </c>
      <c r="X1776" s="78" t="b">
        <f t="shared" si="1376"/>
        <v>0</v>
      </c>
      <c r="Y1776" s="78" t="b">
        <f t="shared" si="1377"/>
        <v>0</v>
      </c>
      <c r="Z1776" s="78" t="b">
        <f t="shared" si="1378"/>
        <v>0</v>
      </c>
      <c r="AA1776" s="78" t="b">
        <f t="shared" si="1379"/>
        <v>0</v>
      </c>
      <c r="AB1776" s="78" t="b">
        <f t="shared" si="1380"/>
        <v>0</v>
      </c>
      <c r="AC1776" s="78" t="b">
        <f t="shared" si="1381"/>
        <v>0</v>
      </c>
      <c r="AD1776" s="78" t="b">
        <f t="shared" si="1382"/>
        <v>0</v>
      </c>
      <c r="AE1776" s="78" t="b">
        <f t="shared" si="1383"/>
        <v>0</v>
      </c>
      <c r="AF1776" s="78" t="b">
        <f t="shared" si="1384"/>
        <v>0</v>
      </c>
      <c r="AG1776" s="78" t="b">
        <f t="shared" si="1385"/>
        <v>0</v>
      </c>
      <c r="AH1776" s="78" t="b">
        <f t="shared" si="1386"/>
        <v>0</v>
      </c>
      <c r="AI1776" s="78" t="b">
        <f t="shared" si="1387"/>
        <v>0</v>
      </c>
      <c r="AJ1776" s="78" t="b">
        <f t="shared" si="1388"/>
        <v>0</v>
      </c>
      <c r="AK1776" s="78" t="b">
        <f t="shared" si="1389"/>
        <v>0</v>
      </c>
      <c r="AL1776" s="78" t="b">
        <f t="shared" si="1390"/>
        <v>0</v>
      </c>
      <c r="AM1776" s="78" t="b">
        <f t="shared" si="1391"/>
        <v>0</v>
      </c>
      <c r="AN1776" s="78" t="b">
        <f t="shared" si="1392"/>
        <v>0</v>
      </c>
      <c r="AO1776" s="78" t="b">
        <f t="shared" si="1393"/>
        <v>0</v>
      </c>
    </row>
    <row r="1777" spans="7:41" x14ac:dyDescent="0.35">
      <c r="G1777" s="77">
        <f t="shared" si="1363"/>
        <v>0</v>
      </c>
      <c r="H1777" s="78">
        <f t="shared" si="1364"/>
        <v>0</v>
      </c>
      <c r="I1777" s="77">
        <f t="shared" si="1365"/>
        <v>0</v>
      </c>
      <c r="J1777" s="78">
        <f t="shared" si="1366"/>
        <v>0</v>
      </c>
      <c r="K1777" s="78" t="str">
        <f t="shared" si="1367"/>
        <v>1900-01-00 00:0:00</v>
      </c>
      <c r="L1777" s="78" t="str">
        <f t="shared" si="1368"/>
        <v>1900-01-00 00:0:00</v>
      </c>
      <c r="M1777" s="79">
        <f t="shared" si="1369"/>
        <v>0</v>
      </c>
      <c r="N1777">
        <f t="shared" si="1394"/>
        <v>1</v>
      </c>
      <c r="O1777" t="str">
        <f>IFERROR(_xlfn.XLOOKUP(A1777,HC!A:A,HC!C:C),"")</f>
        <v>Workforce</v>
      </c>
      <c r="R1777" s="78" t="b">
        <f t="shared" si="1370"/>
        <v>0</v>
      </c>
      <c r="S1777" s="78" t="b">
        <f t="shared" si="1371"/>
        <v>0</v>
      </c>
      <c r="T1777" s="78" t="b">
        <f t="shared" si="1372"/>
        <v>0</v>
      </c>
      <c r="U1777" s="78" t="b">
        <f t="shared" si="1373"/>
        <v>0</v>
      </c>
      <c r="V1777" s="78" t="b">
        <f t="shared" si="1374"/>
        <v>0</v>
      </c>
      <c r="W1777" s="78" t="b">
        <f t="shared" si="1375"/>
        <v>0</v>
      </c>
      <c r="X1777" s="78" t="b">
        <f t="shared" si="1376"/>
        <v>0</v>
      </c>
      <c r="Y1777" s="78" t="b">
        <f t="shared" si="1377"/>
        <v>0</v>
      </c>
      <c r="Z1777" s="78" t="b">
        <f t="shared" si="1378"/>
        <v>0</v>
      </c>
      <c r="AA1777" s="78" t="b">
        <f t="shared" si="1379"/>
        <v>0</v>
      </c>
      <c r="AB1777" s="78" t="b">
        <f t="shared" si="1380"/>
        <v>0</v>
      </c>
      <c r="AC1777" s="78" t="b">
        <f t="shared" si="1381"/>
        <v>0</v>
      </c>
      <c r="AD1777" s="78" t="b">
        <f t="shared" si="1382"/>
        <v>0</v>
      </c>
      <c r="AE1777" s="78" t="b">
        <f t="shared" si="1383"/>
        <v>0</v>
      </c>
      <c r="AF1777" s="78" t="b">
        <f t="shared" si="1384"/>
        <v>0</v>
      </c>
      <c r="AG1777" s="78" t="b">
        <f t="shared" si="1385"/>
        <v>0</v>
      </c>
      <c r="AH1777" s="78" t="b">
        <f t="shared" si="1386"/>
        <v>0</v>
      </c>
      <c r="AI1777" s="78" t="b">
        <f t="shared" si="1387"/>
        <v>0</v>
      </c>
      <c r="AJ1777" s="78" t="b">
        <f t="shared" si="1388"/>
        <v>0</v>
      </c>
      <c r="AK1777" s="78" t="b">
        <f t="shared" si="1389"/>
        <v>0</v>
      </c>
      <c r="AL1777" s="78" t="b">
        <f t="shared" si="1390"/>
        <v>0</v>
      </c>
      <c r="AM1777" s="78" t="b">
        <f t="shared" si="1391"/>
        <v>0</v>
      </c>
      <c r="AN1777" s="78" t="b">
        <f t="shared" si="1392"/>
        <v>0</v>
      </c>
      <c r="AO1777" s="78" t="b">
        <f t="shared" si="1393"/>
        <v>0</v>
      </c>
    </row>
    <row r="1778" spans="7:41" x14ac:dyDescent="0.35">
      <c r="G1778" s="77">
        <f t="shared" si="1363"/>
        <v>0</v>
      </c>
      <c r="H1778" s="78">
        <f t="shared" si="1364"/>
        <v>0</v>
      </c>
      <c r="I1778" s="77">
        <f t="shared" si="1365"/>
        <v>0</v>
      </c>
      <c r="J1778" s="78">
        <f t="shared" si="1366"/>
        <v>0</v>
      </c>
      <c r="K1778" s="78" t="str">
        <f t="shared" si="1367"/>
        <v>1900-01-00 00:0:00</v>
      </c>
      <c r="L1778" s="78" t="str">
        <f t="shared" si="1368"/>
        <v>1900-01-00 00:0:00</v>
      </c>
      <c r="M1778" s="79">
        <f t="shared" si="1369"/>
        <v>0</v>
      </c>
      <c r="N1778">
        <f t="shared" si="1394"/>
        <v>1</v>
      </c>
      <c r="O1778" t="str">
        <f>IFERROR(_xlfn.XLOOKUP(A1778,HC!A:A,HC!C:C),"")</f>
        <v>Workforce</v>
      </c>
      <c r="R1778" s="78" t="b">
        <f t="shared" si="1370"/>
        <v>0</v>
      </c>
      <c r="S1778" s="78" t="b">
        <f t="shared" si="1371"/>
        <v>0</v>
      </c>
      <c r="T1778" s="78" t="b">
        <f t="shared" si="1372"/>
        <v>0</v>
      </c>
      <c r="U1778" s="78" t="b">
        <f t="shared" si="1373"/>
        <v>0</v>
      </c>
      <c r="V1778" s="78" t="b">
        <f t="shared" si="1374"/>
        <v>0</v>
      </c>
      <c r="W1778" s="78" t="b">
        <f t="shared" si="1375"/>
        <v>0</v>
      </c>
      <c r="X1778" s="78" t="b">
        <f t="shared" si="1376"/>
        <v>0</v>
      </c>
      <c r="Y1778" s="78" t="b">
        <f t="shared" si="1377"/>
        <v>0</v>
      </c>
      <c r="Z1778" s="78" t="b">
        <f t="shared" si="1378"/>
        <v>0</v>
      </c>
      <c r="AA1778" s="78" t="b">
        <f t="shared" si="1379"/>
        <v>0</v>
      </c>
      <c r="AB1778" s="78" t="b">
        <f t="shared" si="1380"/>
        <v>0</v>
      </c>
      <c r="AC1778" s="78" t="b">
        <f t="shared" si="1381"/>
        <v>0</v>
      </c>
      <c r="AD1778" s="78" t="b">
        <f t="shared" si="1382"/>
        <v>0</v>
      </c>
      <c r="AE1778" s="78" t="b">
        <f t="shared" si="1383"/>
        <v>0</v>
      </c>
      <c r="AF1778" s="78" t="b">
        <f t="shared" si="1384"/>
        <v>0</v>
      </c>
      <c r="AG1778" s="78" t="b">
        <f t="shared" si="1385"/>
        <v>0</v>
      </c>
      <c r="AH1778" s="78" t="b">
        <f t="shared" si="1386"/>
        <v>0</v>
      </c>
      <c r="AI1778" s="78" t="b">
        <f t="shared" si="1387"/>
        <v>0</v>
      </c>
      <c r="AJ1778" s="78" t="b">
        <f t="shared" si="1388"/>
        <v>0</v>
      </c>
      <c r="AK1778" s="78" t="b">
        <f t="shared" si="1389"/>
        <v>0</v>
      </c>
      <c r="AL1778" s="78" t="b">
        <f t="shared" si="1390"/>
        <v>0</v>
      </c>
      <c r="AM1778" s="78" t="b">
        <f t="shared" si="1391"/>
        <v>0</v>
      </c>
      <c r="AN1778" s="78" t="b">
        <f t="shared" si="1392"/>
        <v>0</v>
      </c>
      <c r="AO1778" s="78" t="b">
        <f t="shared" si="1393"/>
        <v>0</v>
      </c>
    </row>
    <row r="1779" spans="7:41" x14ac:dyDescent="0.35">
      <c r="G1779" s="77">
        <f t="shared" si="1363"/>
        <v>0</v>
      </c>
      <c r="H1779" s="78">
        <f t="shared" si="1364"/>
        <v>0</v>
      </c>
      <c r="I1779" s="77">
        <f t="shared" si="1365"/>
        <v>0</v>
      </c>
      <c r="J1779" s="78">
        <f t="shared" si="1366"/>
        <v>0</v>
      </c>
      <c r="K1779" s="78" t="str">
        <f t="shared" si="1367"/>
        <v>1900-01-00 00:0:00</v>
      </c>
      <c r="L1779" s="78" t="str">
        <f t="shared" si="1368"/>
        <v>1900-01-00 00:0:00</v>
      </c>
      <c r="M1779" s="79">
        <f t="shared" si="1369"/>
        <v>0</v>
      </c>
      <c r="N1779">
        <f t="shared" si="1394"/>
        <v>1</v>
      </c>
      <c r="O1779" t="str">
        <f>IFERROR(_xlfn.XLOOKUP(A1779,HC!A:A,HC!C:C),"")</f>
        <v>Workforce</v>
      </c>
      <c r="R1779" s="78" t="b">
        <f t="shared" si="1370"/>
        <v>0</v>
      </c>
      <c r="S1779" s="78" t="b">
        <f t="shared" si="1371"/>
        <v>0</v>
      </c>
      <c r="T1779" s="78" t="b">
        <f t="shared" si="1372"/>
        <v>0</v>
      </c>
      <c r="U1779" s="78" t="b">
        <f t="shared" si="1373"/>
        <v>0</v>
      </c>
      <c r="V1779" s="78" t="b">
        <f t="shared" si="1374"/>
        <v>0</v>
      </c>
      <c r="W1779" s="78" t="b">
        <f t="shared" si="1375"/>
        <v>0</v>
      </c>
      <c r="X1779" s="78" t="b">
        <f t="shared" si="1376"/>
        <v>0</v>
      </c>
      <c r="Y1779" s="78" t="b">
        <f t="shared" si="1377"/>
        <v>0</v>
      </c>
      <c r="Z1779" s="78" t="b">
        <f t="shared" si="1378"/>
        <v>0</v>
      </c>
      <c r="AA1779" s="78" t="b">
        <f t="shared" si="1379"/>
        <v>0</v>
      </c>
      <c r="AB1779" s="78" t="b">
        <f t="shared" si="1380"/>
        <v>0</v>
      </c>
      <c r="AC1779" s="78" t="b">
        <f t="shared" si="1381"/>
        <v>0</v>
      </c>
      <c r="AD1779" s="78" t="b">
        <f t="shared" si="1382"/>
        <v>0</v>
      </c>
      <c r="AE1779" s="78" t="b">
        <f t="shared" si="1383"/>
        <v>0</v>
      </c>
      <c r="AF1779" s="78" t="b">
        <f t="shared" si="1384"/>
        <v>0</v>
      </c>
      <c r="AG1779" s="78" t="b">
        <f t="shared" si="1385"/>
        <v>0</v>
      </c>
      <c r="AH1779" s="78" t="b">
        <f t="shared" si="1386"/>
        <v>0</v>
      </c>
      <c r="AI1779" s="78" t="b">
        <f t="shared" si="1387"/>
        <v>0</v>
      </c>
      <c r="AJ1779" s="78" t="b">
        <f t="shared" si="1388"/>
        <v>0</v>
      </c>
      <c r="AK1779" s="78" t="b">
        <f t="shared" si="1389"/>
        <v>0</v>
      </c>
      <c r="AL1779" s="78" t="b">
        <f t="shared" si="1390"/>
        <v>0</v>
      </c>
      <c r="AM1779" s="78" t="b">
        <f t="shared" si="1391"/>
        <v>0</v>
      </c>
      <c r="AN1779" s="78" t="b">
        <f t="shared" si="1392"/>
        <v>0</v>
      </c>
      <c r="AO1779" s="78" t="b">
        <f t="shared" si="1393"/>
        <v>0</v>
      </c>
    </row>
    <row r="1780" spans="7:41" x14ac:dyDescent="0.35">
      <c r="G1780" s="77">
        <f t="shared" si="1363"/>
        <v>0</v>
      </c>
      <c r="H1780" s="78">
        <f t="shared" si="1364"/>
        <v>0</v>
      </c>
      <c r="I1780" s="77">
        <f t="shared" si="1365"/>
        <v>0</v>
      </c>
      <c r="J1780" s="78">
        <f t="shared" si="1366"/>
        <v>0</v>
      </c>
      <c r="K1780" s="78" t="str">
        <f t="shared" si="1367"/>
        <v>1900-01-00 00:0:00</v>
      </c>
      <c r="L1780" s="78" t="str">
        <f t="shared" si="1368"/>
        <v>1900-01-00 00:0:00</v>
      </c>
      <c r="M1780" s="79">
        <f t="shared" si="1369"/>
        <v>0</v>
      </c>
      <c r="N1780">
        <f t="shared" si="1394"/>
        <v>1</v>
      </c>
      <c r="O1780" t="str">
        <f>IFERROR(_xlfn.XLOOKUP(A1780,HC!A:A,HC!C:C),"")</f>
        <v>Workforce</v>
      </c>
      <c r="R1780" s="78" t="b">
        <f t="shared" si="1370"/>
        <v>0</v>
      </c>
      <c r="S1780" s="78" t="b">
        <f t="shared" si="1371"/>
        <v>0</v>
      </c>
      <c r="T1780" s="78" t="b">
        <f t="shared" si="1372"/>
        <v>0</v>
      </c>
      <c r="U1780" s="78" t="b">
        <f t="shared" si="1373"/>
        <v>0</v>
      </c>
      <c r="V1780" s="78" t="b">
        <f t="shared" si="1374"/>
        <v>0</v>
      </c>
      <c r="W1780" s="78" t="b">
        <f t="shared" si="1375"/>
        <v>0</v>
      </c>
      <c r="X1780" s="78" t="b">
        <f t="shared" si="1376"/>
        <v>0</v>
      </c>
      <c r="Y1780" s="78" t="b">
        <f t="shared" si="1377"/>
        <v>0</v>
      </c>
      <c r="Z1780" s="78" t="b">
        <f t="shared" si="1378"/>
        <v>0</v>
      </c>
      <c r="AA1780" s="78" t="b">
        <f t="shared" si="1379"/>
        <v>0</v>
      </c>
      <c r="AB1780" s="78" t="b">
        <f t="shared" si="1380"/>
        <v>0</v>
      </c>
      <c r="AC1780" s="78" t="b">
        <f t="shared" si="1381"/>
        <v>0</v>
      </c>
      <c r="AD1780" s="78" t="b">
        <f t="shared" si="1382"/>
        <v>0</v>
      </c>
      <c r="AE1780" s="78" t="b">
        <f t="shared" si="1383"/>
        <v>0</v>
      </c>
      <c r="AF1780" s="78" t="b">
        <f t="shared" si="1384"/>
        <v>0</v>
      </c>
      <c r="AG1780" s="78" t="b">
        <f t="shared" si="1385"/>
        <v>0</v>
      </c>
      <c r="AH1780" s="78" t="b">
        <f t="shared" si="1386"/>
        <v>0</v>
      </c>
      <c r="AI1780" s="78" t="b">
        <f t="shared" si="1387"/>
        <v>0</v>
      </c>
      <c r="AJ1780" s="78" t="b">
        <f t="shared" si="1388"/>
        <v>0</v>
      </c>
      <c r="AK1780" s="78" t="b">
        <f t="shared" si="1389"/>
        <v>0</v>
      </c>
      <c r="AL1780" s="78" t="b">
        <f t="shared" si="1390"/>
        <v>0</v>
      </c>
      <c r="AM1780" s="78" t="b">
        <f t="shared" si="1391"/>
        <v>0</v>
      </c>
      <c r="AN1780" s="78" t="b">
        <f t="shared" si="1392"/>
        <v>0</v>
      </c>
      <c r="AO1780" s="78" t="b">
        <f t="shared" si="1393"/>
        <v>0</v>
      </c>
    </row>
    <row r="1781" spans="7:41" x14ac:dyDescent="0.35">
      <c r="G1781" s="77">
        <f t="shared" si="1363"/>
        <v>0</v>
      </c>
      <c r="H1781" s="78">
        <f t="shared" si="1364"/>
        <v>0</v>
      </c>
      <c r="I1781" s="77">
        <f t="shared" si="1365"/>
        <v>0</v>
      </c>
      <c r="J1781" s="78">
        <f t="shared" si="1366"/>
        <v>0</v>
      </c>
      <c r="K1781" s="78" t="str">
        <f t="shared" si="1367"/>
        <v>1900-01-00 00:0:00</v>
      </c>
      <c r="L1781" s="78" t="str">
        <f t="shared" si="1368"/>
        <v>1900-01-00 00:0:00</v>
      </c>
      <c r="M1781" s="79">
        <f t="shared" si="1369"/>
        <v>0</v>
      </c>
      <c r="N1781">
        <f t="shared" si="1394"/>
        <v>1</v>
      </c>
      <c r="O1781" t="str">
        <f>IFERROR(_xlfn.XLOOKUP(A1781,HC!A:A,HC!C:C),"")</f>
        <v>Workforce</v>
      </c>
      <c r="R1781" s="78" t="b">
        <f t="shared" si="1370"/>
        <v>0</v>
      </c>
      <c r="S1781" s="78" t="b">
        <f t="shared" si="1371"/>
        <v>0</v>
      </c>
      <c r="T1781" s="78" t="b">
        <f t="shared" si="1372"/>
        <v>0</v>
      </c>
      <c r="U1781" s="78" t="b">
        <f t="shared" si="1373"/>
        <v>0</v>
      </c>
      <c r="V1781" s="78" t="b">
        <f t="shared" si="1374"/>
        <v>0</v>
      </c>
      <c r="W1781" s="78" t="b">
        <f t="shared" si="1375"/>
        <v>0</v>
      </c>
      <c r="X1781" s="78" t="b">
        <f t="shared" si="1376"/>
        <v>0</v>
      </c>
      <c r="Y1781" s="78" t="b">
        <f t="shared" si="1377"/>
        <v>0</v>
      </c>
      <c r="Z1781" s="78" t="b">
        <f t="shared" si="1378"/>
        <v>0</v>
      </c>
      <c r="AA1781" s="78" t="b">
        <f t="shared" si="1379"/>
        <v>0</v>
      </c>
      <c r="AB1781" s="78" t="b">
        <f t="shared" si="1380"/>
        <v>0</v>
      </c>
      <c r="AC1781" s="78" t="b">
        <f t="shared" si="1381"/>
        <v>0</v>
      </c>
      <c r="AD1781" s="78" t="b">
        <f t="shared" si="1382"/>
        <v>0</v>
      </c>
      <c r="AE1781" s="78" t="b">
        <f t="shared" si="1383"/>
        <v>0</v>
      </c>
      <c r="AF1781" s="78" t="b">
        <f t="shared" si="1384"/>
        <v>0</v>
      </c>
      <c r="AG1781" s="78" t="b">
        <f t="shared" si="1385"/>
        <v>0</v>
      </c>
      <c r="AH1781" s="78" t="b">
        <f t="shared" si="1386"/>
        <v>0</v>
      </c>
      <c r="AI1781" s="78" t="b">
        <f t="shared" si="1387"/>
        <v>0</v>
      </c>
      <c r="AJ1781" s="78" t="b">
        <f t="shared" si="1388"/>
        <v>0</v>
      </c>
      <c r="AK1781" s="78" t="b">
        <f t="shared" si="1389"/>
        <v>0</v>
      </c>
      <c r="AL1781" s="78" t="b">
        <f t="shared" si="1390"/>
        <v>0</v>
      </c>
      <c r="AM1781" s="78" t="b">
        <f t="shared" si="1391"/>
        <v>0</v>
      </c>
      <c r="AN1781" s="78" t="b">
        <f t="shared" si="1392"/>
        <v>0</v>
      </c>
      <c r="AO1781" s="78" t="b">
        <f t="shared" si="1393"/>
        <v>0</v>
      </c>
    </row>
    <row r="1782" spans="7:41" x14ac:dyDescent="0.35">
      <c r="G1782" s="77">
        <f t="shared" si="1363"/>
        <v>0</v>
      </c>
      <c r="H1782" s="78">
        <f t="shared" si="1364"/>
        <v>0</v>
      </c>
      <c r="I1782" s="77">
        <f t="shared" si="1365"/>
        <v>0</v>
      </c>
      <c r="J1782" s="78">
        <f t="shared" si="1366"/>
        <v>0</v>
      </c>
      <c r="K1782" s="78" t="str">
        <f t="shared" si="1367"/>
        <v>1900-01-00 00:0:00</v>
      </c>
      <c r="L1782" s="78" t="str">
        <f t="shared" si="1368"/>
        <v>1900-01-00 00:0:00</v>
      </c>
      <c r="M1782" s="79">
        <f t="shared" si="1369"/>
        <v>0</v>
      </c>
      <c r="N1782">
        <f t="shared" si="1394"/>
        <v>1</v>
      </c>
      <c r="O1782" t="str">
        <f>IFERROR(_xlfn.XLOOKUP(A1782,HC!A:A,HC!C:C),"")</f>
        <v>Workforce</v>
      </c>
      <c r="R1782" s="78" t="b">
        <f t="shared" si="1370"/>
        <v>0</v>
      </c>
      <c r="S1782" s="78" t="b">
        <f t="shared" si="1371"/>
        <v>0</v>
      </c>
      <c r="T1782" s="78" t="b">
        <f t="shared" si="1372"/>
        <v>0</v>
      </c>
      <c r="U1782" s="78" t="b">
        <f t="shared" si="1373"/>
        <v>0</v>
      </c>
      <c r="V1782" s="78" t="b">
        <f t="shared" si="1374"/>
        <v>0</v>
      </c>
      <c r="W1782" s="78" t="b">
        <f t="shared" si="1375"/>
        <v>0</v>
      </c>
      <c r="X1782" s="78" t="b">
        <f t="shared" si="1376"/>
        <v>0</v>
      </c>
      <c r="Y1782" s="78" t="b">
        <f t="shared" si="1377"/>
        <v>0</v>
      </c>
      <c r="Z1782" s="78" t="b">
        <f t="shared" si="1378"/>
        <v>0</v>
      </c>
      <c r="AA1782" s="78" t="b">
        <f t="shared" si="1379"/>
        <v>0</v>
      </c>
      <c r="AB1782" s="78" t="b">
        <f t="shared" si="1380"/>
        <v>0</v>
      </c>
      <c r="AC1782" s="78" t="b">
        <f t="shared" si="1381"/>
        <v>0</v>
      </c>
      <c r="AD1782" s="78" t="b">
        <f t="shared" si="1382"/>
        <v>0</v>
      </c>
      <c r="AE1782" s="78" t="b">
        <f t="shared" si="1383"/>
        <v>0</v>
      </c>
      <c r="AF1782" s="78" t="b">
        <f t="shared" si="1384"/>
        <v>0</v>
      </c>
      <c r="AG1782" s="78" t="b">
        <f t="shared" si="1385"/>
        <v>0</v>
      </c>
      <c r="AH1782" s="78" t="b">
        <f t="shared" si="1386"/>
        <v>0</v>
      </c>
      <c r="AI1782" s="78" t="b">
        <f t="shared" si="1387"/>
        <v>0</v>
      </c>
      <c r="AJ1782" s="78" t="b">
        <f t="shared" si="1388"/>
        <v>0</v>
      </c>
      <c r="AK1782" s="78" t="b">
        <f t="shared" si="1389"/>
        <v>0</v>
      </c>
      <c r="AL1782" s="78" t="b">
        <f t="shared" si="1390"/>
        <v>0</v>
      </c>
      <c r="AM1782" s="78" t="b">
        <f t="shared" si="1391"/>
        <v>0</v>
      </c>
      <c r="AN1782" s="78" t="b">
        <f t="shared" si="1392"/>
        <v>0</v>
      </c>
      <c r="AO1782" s="78" t="b">
        <f t="shared" si="1393"/>
        <v>0</v>
      </c>
    </row>
    <row r="1783" spans="7:41" x14ac:dyDescent="0.35">
      <c r="G1783" s="77">
        <f t="shared" si="1363"/>
        <v>0</v>
      </c>
      <c r="H1783" s="78">
        <f t="shared" si="1364"/>
        <v>0</v>
      </c>
      <c r="I1783" s="77">
        <f t="shared" si="1365"/>
        <v>0</v>
      </c>
      <c r="J1783" s="78">
        <f t="shared" si="1366"/>
        <v>0</v>
      </c>
      <c r="K1783" s="78" t="str">
        <f t="shared" si="1367"/>
        <v>1900-01-00 00:0:00</v>
      </c>
      <c r="L1783" s="78" t="str">
        <f t="shared" si="1368"/>
        <v>1900-01-00 00:0:00</v>
      </c>
      <c r="M1783" s="79">
        <f t="shared" si="1369"/>
        <v>0</v>
      </c>
      <c r="N1783">
        <f t="shared" si="1394"/>
        <v>1</v>
      </c>
      <c r="O1783" t="str">
        <f>IFERROR(_xlfn.XLOOKUP(A1783,HC!A:A,HC!C:C),"")</f>
        <v>Workforce</v>
      </c>
      <c r="R1783" s="78" t="b">
        <f t="shared" si="1370"/>
        <v>0</v>
      </c>
      <c r="S1783" s="78" t="b">
        <f t="shared" si="1371"/>
        <v>0</v>
      </c>
      <c r="T1783" s="78" t="b">
        <f t="shared" si="1372"/>
        <v>0</v>
      </c>
      <c r="U1783" s="78" t="b">
        <f t="shared" si="1373"/>
        <v>0</v>
      </c>
      <c r="V1783" s="78" t="b">
        <f t="shared" si="1374"/>
        <v>0</v>
      </c>
      <c r="W1783" s="78" t="b">
        <f t="shared" si="1375"/>
        <v>0</v>
      </c>
      <c r="X1783" s="78" t="b">
        <f t="shared" si="1376"/>
        <v>0</v>
      </c>
      <c r="Y1783" s="78" t="b">
        <f t="shared" si="1377"/>
        <v>0</v>
      </c>
      <c r="Z1783" s="78" t="b">
        <f t="shared" si="1378"/>
        <v>0</v>
      </c>
      <c r="AA1783" s="78" t="b">
        <f t="shared" si="1379"/>
        <v>0</v>
      </c>
      <c r="AB1783" s="78" t="b">
        <f t="shared" si="1380"/>
        <v>0</v>
      </c>
      <c r="AC1783" s="78" t="b">
        <f t="shared" si="1381"/>
        <v>0</v>
      </c>
      <c r="AD1783" s="78" t="b">
        <f t="shared" si="1382"/>
        <v>0</v>
      </c>
      <c r="AE1783" s="78" t="b">
        <f t="shared" si="1383"/>
        <v>0</v>
      </c>
      <c r="AF1783" s="78" t="b">
        <f t="shared" si="1384"/>
        <v>0</v>
      </c>
      <c r="AG1783" s="78" t="b">
        <f t="shared" si="1385"/>
        <v>0</v>
      </c>
      <c r="AH1783" s="78" t="b">
        <f t="shared" si="1386"/>
        <v>0</v>
      </c>
      <c r="AI1783" s="78" t="b">
        <f t="shared" si="1387"/>
        <v>0</v>
      </c>
      <c r="AJ1783" s="78" t="b">
        <f t="shared" si="1388"/>
        <v>0</v>
      </c>
      <c r="AK1783" s="78" t="b">
        <f t="shared" si="1389"/>
        <v>0</v>
      </c>
      <c r="AL1783" s="78" t="b">
        <f t="shared" si="1390"/>
        <v>0</v>
      </c>
      <c r="AM1783" s="78" t="b">
        <f t="shared" si="1391"/>
        <v>0</v>
      </c>
      <c r="AN1783" s="78" t="b">
        <f t="shared" si="1392"/>
        <v>0</v>
      </c>
      <c r="AO1783" s="78" t="b">
        <f t="shared" si="1393"/>
        <v>0</v>
      </c>
    </row>
    <row r="1784" spans="7:41" x14ac:dyDescent="0.35">
      <c r="G1784" s="77">
        <f t="shared" si="1363"/>
        <v>0</v>
      </c>
      <c r="H1784" s="78">
        <f t="shared" si="1364"/>
        <v>0</v>
      </c>
      <c r="I1784" s="77">
        <f t="shared" si="1365"/>
        <v>0</v>
      </c>
      <c r="J1784" s="78">
        <f t="shared" si="1366"/>
        <v>0</v>
      </c>
      <c r="K1784" s="78" t="str">
        <f t="shared" si="1367"/>
        <v>1900-01-00 00:0:00</v>
      </c>
      <c r="L1784" s="78" t="str">
        <f t="shared" si="1368"/>
        <v>1900-01-00 00:0:00</v>
      </c>
      <c r="M1784" s="79">
        <f t="shared" si="1369"/>
        <v>0</v>
      </c>
      <c r="N1784">
        <f t="shared" si="1394"/>
        <v>1</v>
      </c>
      <c r="O1784" t="str">
        <f>IFERROR(_xlfn.XLOOKUP(A1784,HC!A:A,HC!C:C),"")</f>
        <v>Workforce</v>
      </c>
      <c r="R1784" s="78" t="b">
        <f t="shared" si="1370"/>
        <v>0</v>
      </c>
      <c r="S1784" s="78" t="b">
        <f t="shared" si="1371"/>
        <v>0</v>
      </c>
      <c r="T1784" s="78" t="b">
        <f t="shared" si="1372"/>
        <v>0</v>
      </c>
      <c r="U1784" s="78" t="b">
        <f t="shared" si="1373"/>
        <v>0</v>
      </c>
      <c r="V1784" s="78" t="b">
        <f t="shared" si="1374"/>
        <v>0</v>
      </c>
      <c r="W1784" s="78" t="b">
        <f t="shared" si="1375"/>
        <v>0</v>
      </c>
      <c r="X1784" s="78" t="b">
        <f t="shared" si="1376"/>
        <v>0</v>
      </c>
      <c r="Y1784" s="78" t="b">
        <f t="shared" si="1377"/>
        <v>0</v>
      </c>
      <c r="Z1784" s="78" t="b">
        <f t="shared" si="1378"/>
        <v>0</v>
      </c>
      <c r="AA1784" s="78" t="b">
        <f t="shared" si="1379"/>
        <v>0</v>
      </c>
      <c r="AB1784" s="78" t="b">
        <f t="shared" si="1380"/>
        <v>0</v>
      </c>
      <c r="AC1784" s="78" t="b">
        <f t="shared" si="1381"/>
        <v>0</v>
      </c>
      <c r="AD1784" s="78" t="b">
        <f t="shared" si="1382"/>
        <v>0</v>
      </c>
      <c r="AE1784" s="78" t="b">
        <f t="shared" si="1383"/>
        <v>0</v>
      </c>
      <c r="AF1784" s="78" t="b">
        <f t="shared" si="1384"/>
        <v>0</v>
      </c>
      <c r="AG1784" s="78" t="b">
        <f t="shared" si="1385"/>
        <v>0</v>
      </c>
      <c r="AH1784" s="78" t="b">
        <f t="shared" si="1386"/>
        <v>0</v>
      </c>
      <c r="AI1784" s="78" t="b">
        <f t="shared" si="1387"/>
        <v>0</v>
      </c>
      <c r="AJ1784" s="78" t="b">
        <f t="shared" si="1388"/>
        <v>0</v>
      </c>
      <c r="AK1784" s="78" t="b">
        <f t="shared" si="1389"/>
        <v>0</v>
      </c>
      <c r="AL1784" s="78" t="b">
        <f t="shared" si="1390"/>
        <v>0</v>
      </c>
      <c r="AM1784" s="78" t="b">
        <f t="shared" si="1391"/>
        <v>0</v>
      </c>
      <c r="AN1784" s="78" t="b">
        <f t="shared" si="1392"/>
        <v>0</v>
      </c>
      <c r="AO1784" s="78" t="b">
        <f t="shared" si="1393"/>
        <v>0</v>
      </c>
    </row>
    <row r="1785" spans="7:41" x14ac:dyDescent="0.35">
      <c r="G1785" s="77">
        <f t="shared" si="1363"/>
        <v>0</v>
      </c>
      <c r="H1785" s="78">
        <f t="shared" si="1364"/>
        <v>0</v>
      </c>
      <c r="I1785" s="77">
        <f t="shared" si="1365"/>
        <v>0</v>
      </c>
      <c r="J1785" s="78">
        <f t="shared" si="1366"/>
        <v>0</v>
      </c>
      <c r="K1785" s="78" t="str">
        <f t="shared" si="1367"/>
        <v>1900-01-00 00:0:00</v>
      </c>
      <c r="L1785" s="78" t="str">
        <f t="shared" si="1368"/>
        <v>1900-01-00 00:0:00</v>
      </c>
      <c r="M1785" s="79">
        <f t="shared" si="1369"/>
        <v>0</v>
      </c>
      <c r="N1785">
        <f t="shared" si="1394"/>
        <v>1</v>
      </c>
      <c r="O1785" t="str">
        <f>IFERROR(_xlfn.XLOOKUP(A1785,HC!A:A,HC!C:C),"")</f>
        <v>Workforce</v>
      </c>
      <c r="R1785" s="78" t="b">
        <f t="shared" si="1370"/>
        <v>0</v>
      </c>
      <c r="S1785" s="78" t="b">
        <f t="shared" si="1371"/>
        <v>0</v>
      </c>
      <c r="T1785" s="78" t="b">
        <f t="shared" si="1372"/>
        <v>0</v>
      </c>
      <c r="U1785" s="78" t="b">
        <f t="shared" si="1373"/>
        <v>0</v>
      </c>
      <c r="V1785" s="78" t="b">
        <f t="shared" si="1374"/>
        <v>0</v>
      </c>
      <c r="W1785" s="78" t="b">
        <f t="shared" si="1375"/>
        <v>0</v>
      </c>
      <c r="X1785" s="78" t="b">
        <f t="shared" si="1376"/>
        <v>0</v>
      </c>
      <c r="Y1785" s="78" t="b">
        <f t="shared" si="1377"/>
        <v>0</v>
      </c>
      <c r="Z1785" s="78" t="b">
        <f t="shared" si="1378"/>
        <v>0</v>
      </c>
      <c r="AA1785" s="78" t="b">
        <f t="shared" si="1379"/>
        <v>0</v>
      </c>
      <c r="AB1785" s="78" t="b">
        <f t="shared" si="1380"/>
        <v>0</v>
      </c>
      <c r="AC1785" s="78" t="b">
        <f t="shared" si="1381"/>
        <v>0</v>
      </c>
      <c r="AD1785" s="78" t="b">
        <f t="shared" si="1382"/>
        <v>0</v>
      </c>
      <c r="AE1785" s="78" t="b">
        <f t="shared" si="1383"/>
        <v>0</v>
      </c>
      <c r="AF1785" s="78" t="b">
        <f t="shared" si="1384"/>
        <v>0</v>
      </c>
      <c r="AG1785" s="78" t="b">
        <f t="shared" si="1385"/>
        <v>0</v>
      </c>
      <c r="AH1785" s="78" t="b">
        <f t="shared" si="1386"/>
        <v>0</v>
      </c>
      <c r="AI1785" s="78" t="b">
        <f t="shared" si="1387"/>
        <v>0</v>
      </c>
      <c r="AJ1785" s="78" t="b">
        <f t="shared" si="1388"/>
        <v>0</v>
      </c>
      <c r="AK1785" s="78" t="b">
        <f t="shared" si="1389"/>
        <v>0</v>
      </c>
      <c r="AL1785" s="78" t="b">
        <f t="shared" si="1390"/>
        <v>0</v>
      </c>
      <c r="AM1785" s="78" t="b">
        <f t="shared" si="1391"/>
        <v>0</v>
      </c>
      <c r="AN1785" s="78" t="b">
        <f t="shared" si="1392"/>
        <v>0</v>
      </c>
      <c r="AO1785" s="78" t="b">
        <f t="shared" si="1393"/>
        <v>0</v>
      </c>
    </row>
    <row r="1786" spans="7:41" x14ac:dyDescent="0.35">
      <c r="G1786" s="77">
        <f t="shared" ref="G1786:G1849" si="1395">INT(D1786)</f>
        <v>0</v>
      </c>
      <c r="H1786" s="78">
        <f t="shared" ref="H1786:H1849" si="1396">D1786-G1786</f>
        <v>0</v>
      </c>
      <c r="I1786" s="77">
        <f t="shared" ref="I1786:I1849" si="1397">INT(E1786)</f>
        <v>0</v>
      </c>
      <c r="J1786" s="78">
        <f t="shared" ref="J1786:J1849" si="1398">E1786-I1786</f>
        <v>0</v>
      </c>
      <c r="K1786" s="78" t="str">
        <f t="shared" ref="K1786:K1849" si="1399">TEXT(G1786+H1786,"yyyy-mm-dd hh:m:ss")</f>
        <v>1900-01-00 00:0:00</v>
      </c>
      <c r="L1786" s="78" t="str">
        <f t="shared" ref="L1786:L1849" si="1400">TEXT(I1786+J1786,"yyyy-mm-dd hh:m:ss")</f>
        <v>1900-01-00 00:0:00</v>
      </c>
      <c r="M1786" s="79">
        <f t="shared" ref="M1786:M1849" si="1401">E1786-D1786</f>
        <v>0</v>
      </c>
      <c r="N1786">
        <f t="shared" si="1394"/>
        <v>1</v>
      </c>
      <c r="O1786" t="str">
        <f>IFERROR(_xlfn.XLOOKUP(A1786,HC!A:A,HC!C:C),"")</f>
        <v>Workforce</v>
      </c>
      <c r="R1786" s="78" t="b">
        <f t="shared" si="1370"/>
        <v>0</v>
      </c>
      <c r="S1786" s="78" t="b">
        <f t="shared" si="1371"/>
        <v>0</v>
      </c>
      <c r="T1786" s="78" t="b">
        <f t="shared" si="1372"/>
        <v>0</v>
      </c>
      <c r="U1786" s="78" t="b">
        <f t="shared" si="1373"/>
        <v>0</v>
      </c>
      <c r="V1786" s="78" t="b">
        <f t="shared" si="1374"/>
        <v>0</v>
      </c>
      <c r="W1786" s="78" t="b">
        <f t="shared" si="1375"/>
        <v>0</v>
      </c>
      <c r="X1786" s="78" t="b">
        <f t="shared" si="1376"/>
        <v>0</v>
      </c>
      <c r="Y1786" s="78" t="b">
        <f t="shared" si="1377"/>
        <v>0</v>
      </c>
      <c r="Z1786" s="78" t="b">
        <f t="shared" si="1378"/>
        <v>0</v>
      </c>
      <c r="AA1786" s="78" t="b">
        <f t="shared" si="1379"/>
        <v>0</v>
      </c>
      <c r="AB1786" s="78" t="b">
        <f t="shared" si="1380"/>
        <v>0</v>
      </c>
      <c r="AC1786" s="78" t="b">
        <f t="shared" si="1381"/>
        <v>0</v>
      </c>
      <c r="AD1786" s="78" t="b">
        <f t="shared" si="1382"/>
        <v>0</v>
      </c>
      <c r="AE1786" s="78" t="b">
        <f t="shared" si="1383"/>
        <v>0</v>
      </c>
      <c r="AF1786" s="78" t="b">
        <f t="shared" si="1384"/>
        <v>0</v>
      </c>
      <c r="AG1786" s="78" t="b">
        <f t="shared" si="1385"/>
        <v>0</v>
      </c>
      <c r="AH1786" s="78" t="b">
        <f t="shared" si="1386"/>
        <v>0</v>
      </c>
      <c r="AI1786" s="78" t="b">
        <f t="shared" si="1387"/>
        <v>0</v>
      </c>
      <c r="AJ1786" s="78" t="b">
        <f t="shared" si="1388"/>
        <v>0</v>
      </c>
      <c r="AK1786" s="78" t="b">
        <f t="shared" si="1389"/>
        <v>0</v>
      </c>
      <c r="AL1786" s="78" t="b">
        <f t="shared" si="1390"/>
        <v>0</v>
      </c>
      <c r="AM1786" s="78" t="b">
        <f t="shared" si="1391"/>
        <v>0</v>
      </c>
      <c r="AN1786" s="78" t="b">
        <f t="shared" si="1392"/>
        <v>0</v>
      </c>
      <c r="AO1786" s="78" t="b">
        <f t="shared" si="1393"/>
        <v>0</v>
      </c>
    </row>
    <row r="1787" spans="7:41" x14ac:dyDescent="0.35">
      <c r="G1787" s="77">
        <f t="shared" si="1395"/>
        <v>0</v>
      </c>
      <c r="H1787" s="78">
        <f t="shared" si="1396"/>
        <v>0</v>
      </c>
      <c r="I1787" s="77">
        <f t="shared" si="1397"/>
        <v>0</v>
      </c>
      <c r="J1787" s="78">
        <f t="shared" si="1398"/>
        <v>0</v>
      </c>
      <c r="K1787" s="78" t="str">
        <f t="shared" si="1399"/>
        <v>1900-01-00 00:0:00</v>
      </c>
      <c r="L1787" s="78" t="str">
        <f t="shared" si="1400"/>
        <v>1900-01-00 00:0:00</v>
      </c>
      <c r="M1787" s="79">
        <f t="shared" si="1401"/>
        <v>0</v>
      </c>
      <c r="N1787">
        <f t="shared" si="1394"/>
        <v>1</v>
      </c>
      <c r="O1787" t="str">
        <f>IFERROR(_xlfn.XLOOKUP(A1787,HC!A:A,HC!C:C),"")</f>
        <v>Workforce</v>
      </c>
      <c r="R1787" s="78" t="b">
        <f t="shared" si="1370"/>
        <v>0</v>
      </c>
      <c r="S1787" s="78" t="b">
        <f t="shared" si="1371"/>
        <v>0</v>
      </c>
      <c r="T1787" s="78" t="b">
        <f t="shared" si="1372"/>
        <v>0</v>
      </c>
      <c r="U1787" s="78" t="b">
        <f t="shared" si="1373"/>
        <v>0</v>
      </c>
      <c r="V1787" s="78" t="b">
        <f t="shared" si="1374"/>
        <v>0</v>
      </c>
      <c r="W1787" s="78" t="b">
        <f t="shared" si="1375"/>
        <v>0</v>
      </c>
      <c r="X1787" s="78" t="b">
        <f t="shared" si="1376"/>
        <v>0</v>
      </c>
      <c r="Y1787" s="78" t="b">
        <f t="shared" si="1377"/>
        <v>0</v>
      </c>
      <c r="Z1787" s="78" t="b">
        <f t="shared" si="1378"/>
        <v>0</v>
      </c>
      <c r="AA1787" s="78" t="b">
        <f t="shared" si="1379"/>
        <v>0</v>
      </c>
      <c r="AB1787" s="78" t="b">
        <f t="shared" si="1380"/>
        <v>0</v>
      </c>
      <c r="AC1787" s="78" t="b">
        <f t="shared" si="1381"/>
        <v>0</v>
      </c>
      <c r="AD1787" s="78" t="b">
        <f t="shared" si="1382"/>
        <v>0</v>
      </c>
      <c r="AE1787" s="78" t="b">
        <f t="shared" si="1383"/>
        <v>0</v>
      </c>
      <c r="AF1787" s="78" t="b">
        <f t="shared" si="1384"/>
        <v>0</v>
      </c>
      <c r="AG1787" s="78" t="b">
        <f t="shared" si="1385"/>
        <v>0</v>
      </c>
      <c r="AH1787" s="78" t="b">
        <f t="shared" si="1386"/>
        <v>0</v>
      </c>
      <c r="AI1787" s="78" t="b">
        <f t="shared" si="1387"/>
        <v>0</v>
      </c>
      <c r="AJ1787" s="78" t="b">
        <f t="shared" si="1388"/>
        <v>0</v>
      </c>
      <c r="AK1787" s="78" t="b">
        <f t="shared" si="1389"/>
        <v>0</v>
      </c>
      <c r="AL1787" s="78" t="b">
        <f t="shared" si="1390"/>
        <v>0</v>
      </c>
      <c r="AM1787" s="78" t="b">
        <f t="shared" si="1391"/>
        <v>0</v>
      </c>
      <c r="AN1787" s="78" t="b">
        <f t="shared" si="1392"/>
        <v>0</v>
      </c>
      <c r="AO1787" s="78" t="b">
        <f t="shared" si="1393"/>
        <v>0</v>
      </c>
    </row>
    <row r="1788" spans="7:41" x14ac:dyDescent="0.35">
      <c r="G1788" s="77">
        <f t="shared" si="1395"/>
        <v>0</v>
      </c>
      <c r="H1788" s="78">
        <f t="shared" si="1396"/>
        <v>0</v>
      </c>
      <c r="I1788" s="77">
        <f t="shared" si="1397"/>
        <v>0</v>
      </c>
      <c r="J1788" s="78">
        <f t="shared" si="1398"/>
        <v>0</v>
      </c>
      <c r="K1788" s="78" t="str">
        <f t="shared" si="1399"/>
        <v>1900-01-00 00:0:00</v>
      </c>
      <c r="L1788" s="78" t="str">
        <f t="shared" si="1400"/>
        <v>1900-01-00 00:0:00</v>
      </c>
      <c r="M1788" s="79">
        <f t="shared" si="1401"/>
        <v>0</v>
      </c>
      <c r="N1788">
        <f t="shared" si="1394"/>
        <v>1</v>
      </c>
      <c r="O1788" t="str">
        <f>IFERROR(_xlfn.XLOOKUP(A1788,HC!A:A,HC!C:C),"")</f>
        <v>Workforce</v>
      </c>
      <c r="R1788" s="78" t="b">
        <f t="shared" ref="R1788:R1851" si="1402">IFERROR(IF($B1788=$D$1,IF(AND($K1788&lt;R$1,$L1788&lt;R$1),"",IF(AND($K1788&gt;S$1,$L1788&gt;S$1),"",IF(AND($K1788&lt;R$1,$L1788&lt;=S$1),$L1788-R$1,IF(AND($K1788&gt;=R$1,$L1788&gt;S$1),S$1-$K1788,IF(AND($K1788&gt;=R$1,$L1788&lt;=S$1),$L1788-$K1788,IF(AND($K1788&lt;R$1,$L1788&gt;S$1),S$1-R$1,""))))))),"")</f>
        <v>0</v>
      </c>
      <c r="S1788" s="78" t="b">
        <f t="shared" ref="S1788:S1851" si="1403">IFERROR(IF($B1788=$D$1,IF(AND($K1788&lt;S$1,$L1788&lt;S$1),"",IF(AND($K1788&gt;T$1,$L1788&gt;T$1),"",IF(AND($K1788&lt;S$1,$L1788&lt;=T$1),$L1788-S$1,IF(AND($K1788&gt;=S$1,$L1788&gt;T$1),T$1-$K1788,IF(AND($K1788&gt;=S$1,$L1788&lt;=T$1),$L1788-$K1788,IF(AND($K1788&lt;S$1,$L1788&gt;T$1),T$1-S$1,""))))))),"")</f>
        <v>0</v>
      </c>
      <c r="T1788" s="78" t="b">
        <f t="shared" ref="T1788:T1851" si="1404">IFERROR(IF($B1788=$D$1,IF(AND($K1788&lt;T$1,$L1788&lt;T$1),"",IF(AND($K1788&gt;U$1,$L1788&gt;U$1),"",IF(AND($K1788&lt;T$1,$L1788&lt;=U$1),$L1788-T$1,IF(AND($K1788&gt;=T$1,$L1788&gt;U$1),U$1-$K1788,IF(AND($K1788&gt;=T$1,$L1788&lt;=U$1),$L1788-$K1788,IF(AND($K1788&lt;T$1,$L1788&gt;U$1),U$1-T$1,""))))))),"")</f>
        <v>0</v>
      </c>
      <c r="U1788" s="78" t="b">
        <f t="shared" ref="U1788:U1851" si="1405">IFERROR(IF($B1788=$D$1,IF(AND($K1788&lt;U$1,$L1788&lt;U$1),"",IF(AND($K1788&gt;V$1,$L1788&gt;V$1),"",IF(AND($K1788&lt;U$1,$L1788&lt;=V$1),$L1788-U$1,IF(AND($K1788&gt;=U$1,$L1788&gt;V$1),V$1-$K1788,IF(AND($K1788&gt;=U$1,$L1788&lt;=V$1),$L1788-$K1788,IF(AND($K1788&lt;U$1,$L1788&gt;V$1),V$1-U$1,""))))))),"")</f>
        <v>0</v>
      </c>
      <c r="V1788" s="78" t="b">
        <f t="shared" ref="V1788:V1851" si="1406">IFERROR(IF($B1788=$D$1,IF(AND($K1788&lt;V$1,$L1788&lt;V$1),"",IF(AND($K1788&gt;W$1,$L1788&gt;W$1),"",IF(AND($K1788&lt;V$1,$L1788&lt;=W$1),$L1788-V$1,IF(AND($K1788&gt;=V$1,$L1788&gt;W$1),W$1-$K1788,IF(AND($K1788&gt;=V$1,$L1788&lt;=W$1),$L1788-$K1788,IF(AND($K1788&lt;V$1,$L1788&gt;W$1),W$1-V$1,""))))))),"")</f>
        <v>0</v>
      </c>
      <c r="W1788" s="78" t="b">
        <f t="shared" ref="W1788:W1851" si="1407">IFERROR(IF($B1788=$D$1,IF(AND($K1788&lt;W$1,$L1788&lt;W$1),"",IF(AND($K1788&gt;X$1,$L1788&gt;X$1),"",IF(AND($K1788&lt;W$1,$L1788&lt;=X$1),$L1788-W$1,IF(AND($K1788&gt;=W$1,$L1788&gt;X$1),X$1-$K1788,IF(AND($K1788&gt;=W$1,$L1788&lt;=X$1),$L1788-$K1788,IF(AND($K1788&lt;W$1,$L1788&gt;X$1),X$1-W$1,""))))))),"")</f>
        <v>0</v>
      </c>
      <c r="X1788" s="78" t="b">
        <f t="shared" ref="X1788:X1851" si="1408">IFERROR(IF($B1788=$D$1,IF(AND($K1788&lt;X$1,$L1788&lt;X$1),"",IF(AND($K1788&gt;Y$1,$L1788&gt;Y$1),"",IF(AND($K1788&lt;X$1,$L1788&lt;=Y$1),$L1788-X$1,IF(AND($K1788&gt;=X$1,$L1788&gt;Y$1),Y$1-$K1788,IF(AND($K1788&gt;=X$1,$L1788&lt;=Y$1),$L1788-$K1788,IF(AND($K1788&lt;X$1,$L1788&gt;Y$1),Y$1-X$1,""))))))),"")</f>
        <v>0</v>
      </c>
      <c r="Y1788" s="78" t="b">
        <f t="shared" ref="Y1788:Y1851" si="1409">IFERROR(IF($B1788=$D$1,IF(AND($K1788&lt;Y$1,$L1788&lt;Y$1),"",IF(AND($K1788&gt;Z$1,$L1788&gt;Z$1),"",IF(AND($K1788&lt;Y$1,$L1788&lt;=Z$1),$L1788-Y$1,IF(AND($K1788&gt;=Y$1,$L1788&gt;Z$1),Z$1-$K1788,IF(AND($K1788&gt;=Y$1,$L1788&lt;=Z$1),$L1788-$K1788,IF(AND($K1788&lt;Y$1,$L1788&gt;Z$1),Z$1-Y$1,""))))))),"")</f>
        <v>0</v>
      </c>
      <c r="Z1788" s="78" t="b">
        <f t="shared" ref="Z1788:Z1851" si="1410">IFERROR(IF($B1788=$D$1,IF(AND($K1788&lt;Z$1,$L1788&lt;Z$1),"",IF(AND($K1788&gt;AA$1,$L1788&gt;AA$1),"",IF(AND($K1788&lt;Z$1,$L1788&lt;=AA$1),$L1788-Z$1,IF(AND($K1788&gt;=Z$1,$L1788&gt;AA$1),AA$1-$K1788,IF(AND($K1788&gt;=Z$1,$L1788&lt;=AA$1),$L1788-$K1788,IF(AND($K1788&lt;Z$1,$L1788&gt;AA$1),AA$1-Z$1,""))))))),"")</f>
        <v>0</v>
      </c>
      <c r="AA1788" s="78" t="b">
        <f t="shared" ref="AA1788:AA1851" si="1411">IFERROR(IF($B1788=$D$1,IF(AND($K1788&lt;AA$1,$L1788&lt;AA$1),"",IF(AND($K1788&gt;AB$1,$L1788&gt;AB$1),"",IF(AND($K1788&lt;AA$1,$L1788&lt;=AB$1),$L1788-AA$1,IF(AND($K1788&gt;=AA$1,$L1788&gt;AB$1),AB$1-$K1788,IF(AND($K1788&gt;=AA$1,$L1788&lt;=AB$1),$L1788-$K1788,IF(AND($K1788&lt;AA$1,$L1788&gt;AB$1),AB$1-AA$1,""))))))),"")</f>
        <v>0</v>
      </c>
      <c r="AB1788" s="78" t="b">
        <f t="shared" ref="AB1788:AB1851" si="1412">IFERROR(IF($B1788=$D$1,IF(AND($K1788&lt;AB$1,$L1788&lt;AB$1),"",IF(AND($K1788&gt;AC$1,$L1788&gt;AC$1),"",IF(AND($K1788&lt;AB$1,$L1788&lt;=AC$1),$L1788-AB$1,IF(AND($K1788&gt;=AB$1,$L1788&gt;AC$1),AC$1-$K1788,IF(AND($K1788&gt;=AB$1,$L1788&lt;=AC$1),$L1788-$K1788,IF(AND($K1788&lt;AB$1,$L1788&gt;AC$1),AC$1-AB$1,""))))))),"")</f>
        <v>0</v>
      </c>
      <c r="AC1788" s="78" t="b">
        <f t="shared" ref="AC1788:AC1851" si="1413">IFERROR(IF($B1788=$D$1,IF(AND($K1788&lt;AC$1,$L1788&lt;AC$1),"",IF(AND($K1788&gt;AD$1,$L1788&gt;AD$1),"",IF(AND($K1788&lt;AC$1,$L1788&lt;=AD$1),$L1788-AC$1,IF(AND($K1788&gt;=AC$1,$L1788&gt;AD$1),AD$1-$K1788,IF(AND($K1788&gt;=AC$1,$L1788&lt;=AD$1),$L1788-$K1788,IF(AND($K1788&lt;AC$1,$L1788&gt;AD$1),AD$1-AC$1,""))))))),"")</f>
        <v>0</v>
      </c>
      <c r="AD1788" s="78" t="b">
        <f t="shared" ref="AD1788:AD1851" si="1414">IFERROR(IF($B1788=$D$1,IF(AND($K1788&lt;AD$1,$L1788&lt;AD$1),"",IF(AND($K1788&gt;AE$1,$L1788&gt;AE$1),"",IF(AND($K1788&lt;AD$1,$L1788&lt;=AE$1),$L1788-AD$1,IF(AND($K1788&gt;=AD$1,$L1788&gt;AE$1),AE$1-$K1788,IF(AND($K1788&gt;=AD$1,$L1788&lt;=AE$1),$L1788-$K1788,IF(AND($K1788&lt;AD$1,$L1788&gt;AE$1),AE$1-AD$1,""))))))),"")</f>
        <v>0</v>
      </c>
      <c r="AE1788" s="78" t="b">
        <f t="shared" ref="AE1788:AE1851" si="1415">IFERROR(IF($B1788=$D$1,IF(AND($K1788&lt;AE$1,$L1788&lt;AE$1),"",IF(AND($K1788&gt;AF$1,$L1788&gt;AF$1),"",IF(AND($K1788&lt;AE$1,$L1788&lt;=AF$1),$L1788-AE$1,IF(AND($K1788&gt;=AE$1,$L1788&gt;AF$1),AF$1-$K1788,IF(AND($K1788&gt;=AE$1,$L1788&lt;=AF$1),$L1788-$K1788,IF(AND($K1788&lt;AE$1,$L1788&gt;AF$1),AF$1-AE$1,""))))))),"")</f>
        <v>0</v>
      </c>
      <c r="AF1788" s="78" t="b">
        <f t="shared" ref="AF1788:AF1851" si="1416">IFERROR(IF($B1788=$D$1,IF(AND($K1788&lt;AF$1,$L1788&lt;AF$1),"",IF(AND($K1788&gt;AG$1,$L1788&gt;AG$1),"",IF(AND($K1788&lt;AF$1,$L1788&lt;=AG$1),$L1788-AF$1,IF(AND($K1788&gt;=AF$1,$L1788&gt;AG$1),AG$1-$K1788,IF(AND($K1788&gt;=AF$1,$L1788&lt;=AG$1),$L1788-$K1788,IF(AND($K1788&lt;AF$1,$L1788&gt;AG$1),AG$1-AF$1,""))))))),"")</f>
        <v>0</v>
      </c>
      <c r="AG1788" s="78" t="b">
        <f t="shared" ref="AG1788:AG1851" si="1417">IFERROR(IF($B1788=$D$1,IF(AND($K1788&lt;AG$1,$L1788&lt;AG$1),"",IF(AND($K1788&gt;AH$1,$L1788&gt;AH$1),"",IF(AND($K1788&lt;AG$1,$L1788&lt;=AH$1),$L1788-AG$1,IF(AND($K1788&gt;=AG$1,$L1788&gt;AH$1),AH$1-$K1788,IF(AND($K1788&gt;=AG$1,$L1788&lt;=AH$1),$L1788-$K1788,IF(AND($K1788&lt;AG$1,$L1788&gt;AH$1),AH$1-AG$1,""))))))),"")</f>
        <v>0</v>
      </c>
      <c r="AH1788" s="78" t="b">
        <f t="shared" ref="AH1788:AH1851" si="1418">IFERROR(IF($B1788=$D$1,IF(AND($K1788&lt;AH$1,$L1788&lt;AH$1),"",IF(AND($K1788&gt;AI$1,$L1788&gt;AI$1),"",IF(AND($K1788&lt;AH$1,$L1788&lt;=AI$1),$L1788-AH$1,IF(AND($K1788&gt;=AH$1,$L1788&gt;AI$1),AI$1-$K1788,IF(AND($K1788&gt;=AH$1,$L1788&lt;=AI$1),$L1788-$K1788,IF(AND($K1788&lt;AH$1,$L1788&gt;AI$1),AI$1-AH$1,""))))))),"")</f>
        <v>0</v>
      </c>
      <c r="AI1788" s="78" t="b">
        <f t="shared" ref="AI1788:AI1851" si="1419">IFERROR(IF($B1788=$D$1,IF(AND($K1788&lt;AI$1,$L1788&lt;AI$1),"",IF(AND($K1788&gt;AJ$1,$L1788&gt;AJ$1),"",IF(AND($K1788&lt;AI$1,$L1788&lt;=AJ$1),$L1788-AI$1,IF(AND($K1788&gt;=AI$1,$L1788&gt;AJ$1),AJ$1-$K1788,IF(AND($K1788&gt;=AI$1,$L1788&lt;=AJ$1),$L1788-$K1788,IF(AND($K1788&lt;AI$1,$L1788&gt;AJ$1),AJ$1-AI$1,""))))))),"")</f>
        <v>0</v>
      </c>
      <c r="AJ1788" s="78" t="b">
        <f t="shared" ref="AJ1788:AJ1851" si="1420">IFERROR(IF($B1788=$D$1,IF(AND($K1788&lt;AJ$1,$L1788&lt;AJ$1),"",IF(AND($K1788&gt;AK$1,$L1788&gt;AK$1),"",IF(AND($K1788&lt;AJ$1,$L1788&lt;=AK$1),$L1788-AJ$1,IF(AND($K1788&gt;=AJ$1,$L1788&gt;AK$1),AK$1-$K1788,IF(AND($K1788&gt;=AJ$1,$L1788&lt;=AK$1),$L1788-$K1788,IF(AND($K1788&lt;AJ$1,$L1788&gt;AK$1),AK$1-AJ$1,""))))))),"")</f>
        <v>0</v>
      </c>
      <c r="AK1788" s="78" t="b">
        <f t="shared" ref="AK1788:AK1851" si="1421">IFERROR(IF($B1788=$D$1,IF(AND($K1788&lt;AK$1,$L1788&lt;AK$1),"",IF(AND($K1788&gt;AL$1,$L1788&gt;AL$1),"",IF(AND($K1788&lt;AK$1,$L1788&lt;=AL$1),$L1788-AK$1,IF(AND($K1788&gt;=AK$1,$L1788&gt;AL$1),AL$1-$K1788,IF(AND($K1788&gt;=AK$1,$L1788&lt;=AL$1),$L1788-$K1788,IF(AND($K1788&lt;AK$1,$L1788&gt;AL$1),AL$1-AK$1,""))))))),"")</f>
        <v>0</v>
      </c>
      <c r="AL1788" s="78" t="b">
        <f t="shared" ref="AL1788:AL1851" si="1422">IFERROR(IF($B1788=$D$1,IF(AND($K1788&lt;AL$1,$L1788&lt;AL$1),"",IF(AND($K1788&gt;AM$1,$L1788&gt;AM$1),"",IF(AND($K1788&lt;AL$1,$L1788&lt;=AM$1),$L1788-AL$1,IF(AND($K1788&gt;=AL$1,$L1788&gt;AM$1),AM$1-$K1788,IF(AND($K1788&gt;=AL$1,$L1788&lt;=AM$1),$L1788-$K1788,IF(AND($K1788&lt;AL$1,$L1788&gt;AM$1),AM$1-AL$1,""))))))),"")</f>
        <v>0</v>
      </c>
      <c r="AM1788" s="78" t="b">
        <f t="shared" ref="AM1788:AM1851" si="1423">IFERROR(IF($B1788=$D$1,IF(AND($K1788&lt;AM$1,$L1788&lt;AM$1),"",IF(AND($K1788&gt;AN$1,$L1788&gt;AN$1),"",IF(AND($K1788&lt;AM$1,$L1788&lt;=AN$1),$L1788-AM$1,IF(AND($K1788&gt;=AM$1,$L1788&gt;AN$1),AN$1-$K1788,IF(AND($K1788&gt;=AM$1,$L1788&lt;=AN$1),$L1788-$K1788,IF(AND($K1788&lt;AM$1,$L1788&gt;AN$1),AN$1-AM$1,""))))))),"")</f>
        <v>0</v>
      </c>
      <c r="AN1788" s="78" t="b">
        <f t="shared" ref="AN1788:AN1851" si="1424">IFERROR(IF($B1788=$D$1,IF(AND($K1788&lt;AN$1,$L1788&lt;AN$1),"",IF(AND($K1788&gt;AO$1,$L1788&gt;AO$1),"",IF(AND($K1788&lt;AN$1,$L1788&lt;=AO$1),$L1788-AN$1,IF(AND($K1788&gt;=AN$1,$L1788&gt;AO$1),AO$1-$K1788,IF(AND($K1788&gt;=AN$1,$L1788&lt;=AO$1),$L1788-$K1788,IF(AND($K1788&lt;AN$1,$L1788&gt;AO$1),AO$1-AN$1,""))))))),"")</f>
        <v>0</v>
      </c>
      <c r="AO1788" s="78" t="b">
        <f t="shared" ref="AO1788:AO1851" si="1425">IFERROR(IF($B1788=$D$1,IF(AND($K1788&lt;AO$1,$L1788&lt;AO$1),"",IF(AND($K1788&gt;AP$1,$L1788&gt;AP$1),"",IF(AND($K1788&lt;AO$1,$L1788&lt;=AP$1),$L1788-AO$1,IF(AND($K1788&gt;=AO$1,$L1788&gt;AP$1),AP$1-$K1788,IF(AND($K1788&gt;=AO$1,$L1788&lt;=AP$1),$L1788-$K1788,IF(AND($K1788&lt;AO$1,$L1788&gt;AP$1),AP$1-AO$1,""))))))),"")</f>
        <v>0</v>
      </c>
    </row>
    <row r="1789" spans="7:41" x14ac:dyDescent="0.35">
      <c r="G1789" s="77">
        <f t="shared" si="1395"/>
        <v>0</v>
      </c>
      <c r="H1789" s="78">
        <f t="shared" si="1396"/>
        <v>0</v>
      </c>
      <c r="I1789" s="77">
        <f t="shared" si="1397"/>
        <v>0</v>
      </c>
      <c r="J1789" s="78">
        <f t="shared" si="1398"/>
        <v>0</v>
      </c>
      <c r="K1789" s="78" t="str">
        <f t="shared" si="1399"/>
        <v>1900-01-00 00:0:00</v>
      </c>
      <c r="L1789" s="78" t="str">
        <f t="shared" si="1400"/>
        <v>1900-01-00 00:0:00</v>
      </c>
      <c r="M1789" s="79">
        <f t="shared" si="1401"/>
        <v>0</v>
      </c>
      <c r="N1789">
        <f t="shared" si="1394"/>
        <v>1</v>
      </c>
      <c r="O1789" t="str">
        <f>IFERROR(_xlfn.XLOOKUP(A1789,HC!A:A,HC!C:C),"")</f>
        <v>Workforce</v>
      </c>
      <c r="R1789" s="78" t="b">
        <f t="shared" si="1402"/>
        <v>0</v>
      </c>
      <c r="S1789" s="78" t="b">
        <f t="shared" si="1403"/>
        <v>0</v>
      </c>
      <c r="T1789" s="78" t="b">
        <f t="shared" si="1404"/>
        <v>0</v>
      </c>
      <c r="U1789" s="78" t="b">
        <f t="shared" si="1405"/>
        <v>0</v>
      </c>
      <c r="V1789" s="78" t="b">
        <f t="shared" si="1406"/>
        <v>0</v>
      </c>
      <c r="W1789" s="78" t="b">
        <f t="shared" si="1407"/>
        <v>0</v>
      </c>
      <c r="X1789" s="78" t="b">
        <f t="shared" si="1408"/>
        <v>0</v>
      </c>
      <c r="Y1789" s="78" t="b">
        <f t="shared" si="1409"/>
        <v>0</v>
      </c>
      <c r="Z1789" s="78" t="b">
        <f t="shared" si="1410"/>
        <v>0</v>
      </c>
      <c r="AA1789" s="78" t="b">
        <f t="shared" si="1411"/>
        <v>0</v>
      </c>
      <c r="AB1789" s="78" t="b">
        <f t="shared" si="1412"/>
        <v>0</v>
      </c>
      <c r="AC1789" s="78" t="b">
        <f t="shared" si="1413"/>
        <v>0</v>
      </c>
      <c r="AD1789" s="78" t="b">
        <f t="shared" si="1414"/>
        <v>0</v>
      </c>
      <c r="AE1789" s="78" t="b">
        <f t="shared" si="1415"/>
        <v>0</v>
      </c>
      <c r="AF1789" s="78" t="b">
        <f t="shared" si="1416"/>
        <v>0</v>
      </c>
      <c r="AG1789" s="78" t="b">
        <f t="shared" si="1417"/>
        <v>0</v>
      </c>
      <c r="AH1789" s="78" t="b">
        <f t="shared" si="1418"/>
        <v>0</v>
      </c>
      <c r="AI1789" s="78" t="b">
        <f t="shared" si="1419"/>
        <v>0</v>
      </c>
      <c r="AJ1789" s="78" t="b">
        <f t="shared" si="1420"/>
        <v>0</v>
      </c>
      <c r="AK1789" s="78" t="b">
        <f t="shared" si="1421"/>
        <v>0</v>
      </c>
      <c r="AL1789" s="78" t="b">
        <f t="shared" si="1422"/>
        <v>0</v>
      </c>
      <c r="AM1789" s="78" t="b">
        <f t="shared" si="1423"/>
        <v>0</v>
      </c>
      <c r="AN1789" s="78" t="b">
        <f t="shared" si="1424"/>
        <v>0</v>
      </c>
      <c r="AO1789" s="78" t="b">
        <f t="shared" si="1425"/>
        <v>0</v>
      </c>
    </row>
    <row r="1790" spans="7:41" x14ac:dyDescent="0.35">
      <c r="G1790" s="77">
        <f t="shared" si="1395"/>
        <v>0</v>
      </c>
      <c r="H1790" s="78">
        <f t="shared" si="1396"/>
        <v>0</v>
      </c>
      <c r="I1790" s="77">
        <f t="shared" si="1397"/>
        <v>0</v>
      </c>
      <c r="J1790" s="78">
        <f t="shared" si="1398"/>
        <v>0</v>
      </c>
      <c r="K1790" s="78" t="str">
        <f t="shared" si="1399"/>
        <v>1900-01-00 00:0:00</v>
      </c>
      <c r="L1790" s="78" t="str">
        <f t="shared" si="1400"/>
        <v>1900-01-00 00:0:00</v>
      </c>
      <c r="M1790" s="79">
        <f t="shared" si="1401"/>
        <v>0</v>
      </c>
      <c r="N1790">
        <f t="shared" si="1394"/>
        <v>1</v>
      </c>
      <c r="O1790" t="str">
        <f>IFERROR(_xlfn.XLOOKUP(A1790,HC!A:A,HC!C:C),"")</f>
        <v>Workforce</v>
      </c>
      <c r="R1790" s="78" t="b">
        <f t="shared" si="1402"/>
        <v>0</v>
      </c>
      <c r="S1790" s="78" t="b">
        <f t="shared" si="1403"/>
        <v>0</v>
      </c>
      <c r="T1790" s="78" t="b">
        <f t="shared" si="1404"/>
        <v>0</v>
      </c>
      <c r="U1790" s="78" t="b">
        <f t="shared" si="1405"/>
        <v>0</v>
      </c>
      <c r="V1790" s="78" t="b">
        <f t="shared" si="1406"/>
        <v>0</v>
      </c>
      <c r="W1790" s="78" t="b">
        <f t="shared" si="1407"/>
        <v>0</v>
      </c>
      <c r="X1790" s="78" t="b">
        <f t="shared" si="1408"/>
        <v>0</v>
      </c>
      <c r="Y1790" s="78" t="b">
        <f t="shared" si="1409"/>
        <v>0</v>
      </c>
      <c r="Z1790" s="78" t="b">
        <f t="shared" si="1410"/>
        <v>0</v>
      </c>
      <c r="AA1790" s="78" t="b">
        <f t="shared" si="1411"/>
        <v>0</v>
      </c>
      <c r="AB1790" s="78" t="b">
        <f t="shared" si="1412"/>
        <v>0</v>
      </c>
      <c r="AC1790" s="78" t="b">
        <f t="shared" si="1413"/>
        <v>0</v>
      </c>
      <c r="AD1790" s="78" t="b">
        <f t="shared" si="1414"/>
        <v>0</v>
      </c>
      <c r="AE1790" s="78" t="b">
        <f t="shared" si="1415"/>
        <v>0</v>
      </c>
      <c r="AF1790" s="78" t="b">
        <f t="shared" si="1416"/>
        <v>0</v>
      </c>
      <c r="AG1790" s="78" t="b">
        <f t="shared" si="1417"/>
        <v>0</v>
      </c>
      <c r="AH1790" s="78" t="b">
        <f t="shared" si="1418"/>
        <v>0</v>
      </c>
      <c r="AI1790" s="78" t="b">
        <f t="shared" si="1419"/>
        <v>0</v>
      </c>
      <c r="AJ1790" s="78" t="b">
        <f t="shared" si="1420"/>
        <v>0</v>
      </c>
      <c r="AK1790" s="78" t="b">
        <f t="shared" si="1421"/>
        <v>0</v>
      </c>
      <c r="AL1790" s="78" t="b">
        <f t="shared" si="1422"/>
        <v>0</v>
      </c>
      <c r="AM1790" s="78" t="b">
        <f t="shared" si="1423"/>
        <v>0</v>
      </c>
      <c r="AN1790" s="78" t="b">
        <f t="shared" si="1424"/>
        <v>0</v>
      </c>
      <c r="AO1790" s="78" t="b">
        <f t="shared" si="1425"/>
        <v>0</v>
      </c>
    </row>
    <row r="1791" spans="7:41" x14ac:dyDescent="0.35">
      <c r="G1791" s="77">
        <f t="shared" si="1395"/>
        <v>0</v>
      </c>
      <c r="H1791" s="78">
        <f t="shared" si="1396"/>
        <v>0</v>
      </c>
      <c r="I1791" s="77">
        <f t="shared" si="1397"/>
        <v>0</v>
      </c>
      <c r="J1791" s="78">
        <f t="shared" si="1398"/>
        <v>0</v>
      </c>
      <c r="K1791" s="78" t="str">
        <f t="shared" si="1399"/>
        <v>1900-01-00 00:0:00</v>
      </c>
      <c r="L1791" s="78" t="str">
        <f t="shared" si="1400"/>
        <v>1900-01-00 00:0:00</v>
      </c>
      <c r="M1791" s="79">
        <f t="shared" si="1401"/>
        <v>0</v>
      </c>
      <c r="N1791">
        <f t="shared" si="1394"/>
        <v>1</v>
      </c>
      <c r="O1791" t="str">
        <f>IFERROR(_xlfn.XLOOKUP(A1791,HC!A:A,HC!C:C),"")</f>
        <v>Workforce</v>
      </c>
      <c r="R1791" s="78" t="b">
        <f t="shared" si="1402"/>
        <v>0</v>
      </c>
      <c r="S1791" s="78" t="b">
        <f t="shared" si="1403"/>
        <v>0</v>
      </c>
      <c r="T1791" s="78" t="b">
        <f t="shared" si="1404"/>
        <v>0</v>
      </c>
      <c r="U1791" s="78" t="b">
        <f t="shared" si="1405"/>
        <v>0</v>
      </c>
      <c r="V1791" s="78" t="b">
        <f t="shared" si="1406"/>
        <v>0</v>
      </c>
      <c r="W1791" s="78" t="b">
        <f t="shared" si="1407"/>
        <v>0</v>
      </c>
      <c r="X1791" s="78" t="b">
        <f t="shared" si="1408"/>
        <v>0</v>
      </c>
      <c r="Y1791" s="78" t="b">
        <f t="shared" si="1409"/>
        <v>0</v>
      </c>
      <c r="Z1791" s="78" t="b">
        <f t="shared" si="1410"/>
        <v>0</v>
      </c>
      <c r="AA1791" s="78" t="b">
        <f t="shared" si="1411"/>
        <v>0</v>
      </c>
      <c r="AB1791" s="78" t="b">
        <f t="shared" si="1412"/>
        <v>0</v>
      </c>
      <c r="AC1791" s="78" t="b">
        <f t="shared" si="1413"/>
        <v>0</v>
      </c>
      <c r="AD1791" s="78" t="b">
        <f t="shared" si="1414"/>
        <v>0</v>
      </c>
      <c r="AE1791" s="78" t="b">
        <f t="shared" si="1415"/>
        <v>0</v>
      </c>
      <c r="AF1791" s="78" t="b">
        <f t="shared" si="1416"/>
        <v>0</v>
      </c>
      <c r="AG1791" s="78" t="b">
        <f t="shared" si="1417"/>
        <v>0</v>
      </c>
      <c r="AH1791" s="78" t="b">
        <f t="shared" si="1418"/>
        <v>0</v>
      </c>
      <c r="AI1791" s="78" t="b">
        <f t="shared" si="1419"/>
        <v>0</v>
      </c>
      <c r="AJ1791" s="78" t="b">
        <f t="shared" si="1420"/>
        <v>0</v>
      </c>
      <c r="AK1791" s="78" t="b">
        <f t="shared" si="1421"/>
        <v>0</v>
      </c>
      <c r="AL1791" s="78" t="b">
        <f t="shared" si="1422"/>
        <v>0</v>
      </c>
      <c r="AM1791" s="78" t="b">
        <f t="shared" si="1423"/>
        <v>0</v>
      </c>
      <c r="AN1791" s="78" t="b">
        <f t="shared" si="1424"/>
        <v>0</v>
      </c>
      <c r="AO1791" s="78" t="b">
        <f t="shared" si="1425"/>
        <v>0</v>
      </c>
    </row>
    <row r="1792" spans="7:41" x14ac:dyDescent="0.35">
      <c r="G1792" s="77">
        <f t="shared" si="1395"/>
        <v>0</v>
      </c>
      <c r="H1792" s="78">
        <f t="shared" si="1396"/>
        <v>0</v>
      </c>
      <c r="I1792" s="77">
        <f t="shared" si="1397"/>
        <v>0</v>
      </c>
      <c r="J1792" s="78">
        <f t="shared" si="1398"/>
        <v>0</v>
      </c>
      <c r="K1792" s="78" t="str">
        <f t="shared" si="1399"/>
        <v>1900-01-00 00:0:00</v>
      </c>
      <c r="L1792" s="78" t="str">
        <f t="shared" si="1400"/>
        <v>1900-01-00 00:0:00</v>
      </c>
      <c r="M1792" s="79">
        <f t="shared" si="1401"/>
        <v>0</v>
      </c>
      <c r="N1792">
        <f t="shared" si="1394"/>
        <v>1</v>
      </c>
      <c r="O1792" t="str">
        <f>IFERROR(_xlfn.XLOOKUP(A1792,HC!A:A,HC!C:C),"")</f>
        <v>Workforce</v>
      </c>
      <c r="R1792" s="78" t="b">
        <f t="shared" si="1402"/>
        <v>0</v>
      </c>
      <c r="S1792" s="78" t="b">
        <f t="shared" si="1403"/>
        <v>0</v>
      </c>
      <c r="T1792" s="78" t="b">
        <f t="shared" si="1404"/>
        <v>0</v>
      </c>
      <c r="U1792" s="78" t="b">
        <f t="shared" si="1405"/>
        <v>0</v>
      </c>
      <c r="V1792" s="78" t="b">
        <f t="shared" si="1406"/>
        <v>0</v>
      </c>
      <c r="W1792" s="78" t="b">
        <f t="shared" si="1407"/>
        <v>0</v>
      </c>
      <c r="X1792" s="78" t="b">
        <f t="shared" si="1408"/>
        <v>0</v>
      </c>
      <c r="Y1792" s="78" t="b">
        <f t="shared" si="1409"/>
        <v>0</v>
      </c>
      <c r="Z1792" s="78" t="b">
        <f t="shared" si="1410"/>
        <v>0</v>
      </c>
      <c r="AA1792" s="78" t="b">
        <f t="shared" si="1411"/>
        <v>0</v>
      </c>
      <c r="AB1792" s="78" t="b">
        <f t="shared" si="1412"/>
        <v>0</v>
      </c>
      <c r="AC1792" s="78" t="b">
        <f t="shared" si="1413"/>
        <v>0</v>
      </c>
      <c r="AD1792" s="78" t="b">
        <f t="shared" si="1414"/>
        <v>0</v>
      </c>
      <c r="AE1792" s="78" t="b">
        <f t="shared" si="1415"/>
        <v>0</v>
      </c>
      <c r="AF1792" s="78" t="b">
        <f t="shared" si="1416"/>
        <v>0</v>
      </c>
      <c r="AG1792" s="78" t="b">
        <f t="shared" si="1417"/>
        <v>0</v>
      </c>
      <c r="AH1792" s="78" t="b">
        <f t="shared" si="1418"/>
        <v>0</v>
      </c>
      <c r="AI1792" s="78" t="b">
        <f t="shared" si="1419"/>
        <v>0</v>
      </c>
      <c r="AJ1792" s="78" t="b">
        <f t="shared" si="1420"/>
        <v>0</v>
      </c>
      <c r="AK1792" s="78" t="b">
        <f t="shared" si="1421"/>
        <v>0</v>
      </c>
      <c r="AL1792" s="78" t="b">
        <f t="shared" si="1422"/>
        <v>0</v>
      </c>
      <c r="AM1792" s="78" t="b">
        <f t="shared" si="1423"/>
        <v>0</v>
      </c>
      <c r="AN1792" s="78" t="b">
        <f t="shared" si="1424"/>
        <v>0</v>
      </c>
      <c r="AO1792" s="78" t="b">
        <f t="shared" si="1425"/>
        <v>0</v>
      </c>
    </row>
    <row r="1793" spans="7:41" x14ac:dyDescent="0.35">
      <c r="G1793" s="77">
        <f t="shared" si="1395"/>
        <v>0</v>
      </c>
      <c r="H1793" s="78">
        <f t="shared" si="1396"/>
        <v>0</v>
      </c>
      <c r="I1793" s="77">
        <f t="shared" si="1397"/>
        <v>0</v>
      </c>
      <c r="J1793" s="78">
        <f t="shared" si="1398"/>
        <v>0</v>
      </c>
      <c r="K1793" s="78" t="str">
        <f t="shared" si="1399"/>
        <v>1900-01-00 00:0:00</v>
      </c>
      <c r="L1793" s="78" t="str">
        <f t="shared" si="1400"/>
        <v>1900-01-00 00:0:00</v>
      </c>
      <c r="M1793" s="79">
        <f t="shared" si="1401"/>
        <v>0</v>
      </c>
      <c r="N1793">
        <f t="shared" si="1394"/>
        <v>1</v>
      </c>
      <c r="O1793" t="str">
        <f>IFERROR(_xlfn.XLOOKUP(A1793,HC!A:A,HC!C:C),"")</f>
        <v>Workforce</v>
      </c>
      <c r="R1793" s="78" t="b">
        <f t="shared" si="1402"/>
        <v>0</v>
      </c>
      <c r="S1793" s="78" t="b">
        <f t="shared" si="1403"/>
        <v>0</v>
      </c>
      <c r="T1793" s="78" t="b">
        <f t="shared" si="1404"/>
        <v>0</v>
      </c>
      <c r="U1793" s="78" t="b">
        <f t="shared" si="1405"/>
        <v>0</v>
      </c>
      <c r="V1793" s="78" t="b">
        <f t="shared" si="1406"/>
        <v>0</v>
      </c>
      <c r="W1793" s="78" t="b">
        <f t="shared" si="1407"/>
        <v>0</v>
      </c>
      <c r="X1793" s="78" t="b">
        <f t="shared" si="1408"/>
        <v>0</v>
      </c>
      <c r="Y1793" s="78" t="b">
        <f t="shared" si="1409"/>
        <v>0</v>
      </c>
      <c r="Z1793" s="78" t="b">
        <f t="shared" si="1410"/>
        <v>0</v>
      </c>
      <c r="AA1793" s="78" t="b">
        <f t="shared" si="1411"/>
        <v>0</v>
      </c>
      <c r="AB1793" s="78" t="b">
        <f t="shared" si="1412"/>
        <v>0</v>
      </c>
      <c r="AC1793" s="78" t="b">
        <f t="shared" si="1413"/>
        <v>0</v>
      </c>
      <c r="AD1793" s="78" t="b">
        <f t="shared" si="1414"/>
        <v>0</v>
      </c>
      <c r="AE1793" s="78" t="b">
        <f t="shared" si="1415"/>
        <v>0</v>
      </c>
      <c r="AF1793" s="78" t="b">
        <f t="shared" si="1416"/>
        <v>0</v>
      </c>
      <c r="AG1793" s="78" t="b">
        <f t="shared" si="1417"/>
        <v>0</v>
      </c>
      <c r="AH1793" s="78" t="b">
        <f t="shared" si="1418"/>
        <v>0</v>
      </c>
      <c r="AI1793" s="78" t="b">
        <f t="shared" si="1419"/>
        <v>0</v>
      </c>
      <c r="AJ1793" s="78" t="b">
        <f t="shared" si="1420"/>
        <v>0</v>
      </c>
      <c r="AK1793" s="78" t="b">
        <f t="shared" si="1421"/>
        <v>0</v>
      </c>
      <c r="AL1793" s="78" t="b">
        <f t="shared" si="1422"/>
        <v>0</v>
      </c>
      <c r="AM1793" s="78" t="b">
        <f t="shared" si="1423"/>
        <v>0</v>
      </c>
      <c r="AN1793" s="78" t="b">
        <f t="shared" si="1424"/>
        <v>0</v>
      </c>
      <c r="AO1793" s="78" t="b">
        <f t="shared" si="1425"/>
        <v>0</v>
      </c>
    </row>
    <row r="1794" spans="7:41" x14ac:dyDescent="0.35">
      <c r="G1794" s="77">
        <f t="shared" si="1395"/>
        <v>0</v>
      </c>
      <c r="H1794" s="78">
        <f t="shared" si="1396"/>
        <v>0</v>
      </c>
      <c r="I1794" s="77">
        <f t="shared" si="1397"/>
        <v>0</v>
      </c>
      <c r="J1794" s="78">
        <f t="shared" si="1398"/>
        <v>0</v>
      </c>
      <c r="K1794" s="78" t="str">
        <f t="shared" si="1399"/>
        <v>1900-01-00 00:0:00</v>
      </c>
      <c r="L1794" s="78" t="str">
        <f t="shared" si="1400"/>
        <v>1900-01-00 00:0:00</v>
      </c>
      <c r="M1794" s="79">
        <f t="shared" si="1401"/>
        <v>0</v>
      </c>
      <c r="N1794">
        <f t="shared" si="1394"/>
        <v>1</v>
      </c>
      <c r="O1794" t="str">
        <f>IFERROR(_xlfn.XLOOKUP(A1794,HC!A:A,HC!C:C),"")</f>
        <v>Workforce</v>
      </c>
      <c r="R1794" s="78" t="b">
        <f t="shared" si="1402"/>
        <v>0</v>
      </c>
      <c r="S1794" s="78" t="b">
        <f t="shared" si="1403"/>
        <v>0</v>
      </c>
      <c r="T1794" s="78" t="b">
        <f t="shared" si="1404"/>
        <v>0</v>
      </c>
      <c r="U1794" s="78" t="b">
        <f t="shared" si="1405"/>
        <v>0</v>
      </c>
      <c r="V1794" s="78" t="b">
        <f t="shared" si="1406"/>
        <v>0</v>
      </c>
      <c r="W1794" s="78" t="b">
        <f t="shared" si="1407"/>
        <v>0</v>
      </c>
      <c r="X1794" s="78" t="b">
        <f t="shared" si="1408"/>
        <v>0</v>
      </c>
      <c r="Y1794" s="78" t="b">
        <f t="shared" si="1409"/>
        <v>0</v>
      </c>
      <c r="Z1794" s="78" t="b">
        <f t="shared" si="1410"/>
        <v>0</v>
      </c>
      <c r="AA1794" s="78" t="b">
        <f t="shared" si="1411"/>
        <v>0</v>
      </c>
      <c r="AB1794" s="78" t="b">
        <f t="shared" si="1412"/>
        <v>0</v>
      </c>
      <c r="AC1794" s="78" t="b">
        <f t="shared" si="1413"/>
        <v>0</v>
      </c>
      <c r="AD1794" s="78" t="b">
        <f t="shared" si="1414"/>
        <v>0</v>
      </c>
      <c r="AE1794" s="78" t="b">
        <f t="shared" si="1415"/>
        <v>0</v>
      </c>
      <c r="AF1794" s="78" t="b">
        <f t="shared" si="1416"/>
        <v>0</v>
      </c>
      <c r="AG1794" s="78" t="b">
        <f t="shared" si="1417"/>
        <v>0</v>
      </c>
      <c r="AH1794" s="78" t="b">
        <f t="shared" si="1418"/>
        <v>0</v>
      </c>
      <c r="AI1794" s="78" t="b">
        <f t="shared" si="1419"/>
        <v>0</v>
      </c>
      <c r="AJ1794" s="78" t="b">
        <f t="shared" si="1420"/>
        <v>0</v>
      </c>
      <c r="AK1794" s="78" t="b">
        <f t="shared" si="1421"/>
        <v>0</v>
      </c>
      <c r="AL1794" s="78" t="b">
        <f t="shared" si="1422"/>
        <v>0</v>
      </c>
      <c r="AM1794" s="78" t="b">
        <f t="shared" si="1423"/>
        <v>0</v>
      </c>
      <c r="AN1794" s="78" t="b">
        <f t="shared" si="1424"/>
        <v>0</v>
      </c>
      <c r="AO1794" s="78" t="b">
        <f t="shared" si="1425"/>
        <v>0</v>
      </c>
    </row>
    <row r="1795" spans="7:41" x14ac:dyDescent="0.35">
      <c r="G1795" s="77">
        <f t="shared" si="1395"/>
        <v>0</v>
      </c>
      <c r="H1795" s="78">
        <f t="shared" si="1396"/>
        <v>0</v>
      </c>
      <c r="I1795" s="77">
        <f t="shared" si="1397"/>
        <v>0</v>
      </c>
      <c r="J1795" s="78">
        <f t="shared" si="1398"/>
        <v>0</v>
      </c>
      <c r="K1795" s="78" t="str">
        <f t="shared" si="1399"/>
        <v>1900-01-00 00:0:00</v>
      </c>
      <c r="L1795" s="78" t="str">
        <f t="shared" si="1400"/>
        <v>1900-01-00 00:0:00</v>
      </c>
      <c r="M1795" s="79">
        <f t="shared" si="1401"/>
        <v>0</v>
      </c>
      <c r="N1795">
        <f t="shared" si="1394"/>
        <v>1</v>
      </c>
      <c r="O1795" t="str">
        <f>IFERROR(_xlfn.XLOOKUP(A1795,HC!A:A,HC!C:C),"")</f>
        <v>Workforce</v>
      </c>
      <c r="R1795" s="78" t="b">
        <f t="shared" si="1402"/>
        <v>0</v>
      </c>
      <c r="S1795" s="78" t="b">
        <f t="shared" si="1403"/>
        <v>0</v>
      </c>
      <c r="T1795" s="78" t="b">
        <f t="shared" si="1404"/>
        <v>0</v>
      </c>
      <c r="U1795" s="78" t="b">
        <f t="shared" si="1405"/>
        <v>0</v>
      </c>
      <c r="V1795" s="78" t="b">
        <f t="shared" si="1406"/>
        <v>0</v>
      </c>
      <c r="W1795" s="78" t="b">
        <f t="shared" si="1407"/>
        <v>0</v>
      </c>
      <c r="X1795" s="78" t="b">
        <f t="shared" si="1408"/>
        <v>0</v>
      </c>
      <c r="Y1795" s="78" t="b">
        <f t="shared" si="1409"/>
        <v>0</v>
      </c>
      <c r="Z1795" s="78" t="b">
        <f t="shared" si="1410"/>
        <v>0</v>
      </c>
      <c r="AA1795" s="78" t="b">
        <f t="shared" si="1411"/>
        <v>0</v>
      </c>
      <c r="AB1795" s="78" t="b">
        <f t="shared" si="1412"/>
        <v>0</v>
      </c>
      <c r="AC1795" s="78" t="b">
        <f t="shared" si="1413"/>
        <v>0</v>
      </c>
      <c r="AD1795" s="78" t="b">
        <f t="shared" si="1414"/>
        <v>0</v>
      </c>
      <c r="AE1795" s="78" t="b">
        <f t="shared" si="1415"/>
        <v>0</v>
      </c>
      <c r="AF1795" s="78" t="b">
        <f t="shared" si="1416"/>
        <v>0</v>
      </c>
      <c r="AG1795" s="78" t="b">
        <f t="shared" si="1417"/>
        <v>0</v>
      </c>
      <c r="AH1795" s="78" t="b">
        <f t="shared" si="1418"/>
        <v>0</v>
      </c>
      <c r="AI1795" s="78" t="b">
        <f t="shared" si="1419"/>
        <v>0</v>
      </c>
      <c r="AJ1795" s="78" t="b">
        <f t="shared" si="1420"/>
        <v>0</v>
      </c>
      <c r="AK1795" s="78" t="b">
        <f t="shared" si="1421"/>
        <v>0</v>
      </c>
      <c r="AL1795" s="78" t="b">
        <f t="shared" si="1422"/>
        <v>0</v>
      </c>
      <c r="AM1795" s="78" t="b">
        <f t="shared" si="1423"/>
        <v>0</v>
      </c>
      <c r="AN1795" s="78" t="b">
        <f t="shared" si="1424"/>
        <v>0</v>
      </c>
      <c r="AO1795" s="78" t="b">
        <f t="shared" si="1425"/>
        <v>0</v>
      </c>
    </row>
    <row r="1796" spans="7:41" x14ac:dyDescent="0.35">
      <c r="G1796" s="77">
        <f t="shared" si="1395"/>
        <v>0</v>
      </c>
      <c r="H1796" s="78">
        <f t="shared" si="1396"/>
        <v>0</v>
      </c>
      <c r="I1796" s="77">
        <f t="shared" si="1397"/>
        <v>0</v>
      </c>
      <c r="J1796" s="78">
        <f t="shared" si="1398"/>
        <v>0</v>
      </c>
      <c r="K1796" s="78" t="str">
        <f t="shared" si="1399"/>
        <v>1900-01-00 00:0:00</v>
      </c>
      <c r="L1796" s="78" t="str">
        <f t="shared" si="1400"/>
        <v>1900-01-00 00:0:00</v>
      </c>
      <c r="M1796" s="79">
        <f t="shared" si="1401"/>
        <v>0</v>
      </c>
      <c r="N1796">
        <f t="shared" ref="N1796:N1859" si="1426">IF(M1796&lt;$BA$1,1,0)</f>
        <v>1</v>
      </c>
      <c r="O1796" t="str">
        <f>IFERROR(_xlfn.XLOOKUP(A1796,HC!A:A,HC!C:C),"")</f>
        <v>Workforce</v>
      </c>
      <c r="R1796" s="78" t="b">
        <f t="shared" si="1402"/>
        <v>0</v>
      </c>
      <c r="S1796" s="78" t="b">
        <f t="shared" si="1403"/>
        <v>0</v>
      </c>
      <c r="T1796" s="78" t="b">
        <f t="shared" si="1404"/>
        <v>0</v>
      </c>
      <c r="U1796" s="78" t="b">
        <f t="shared" si="1405"/>
        <v>0</v>
      </c>
      <c r="V1796" s="78" t="b">
        <f t="shared" si="1406"/>
        <v>0</v>
      </c>
      <c r="W1796" s="78" t="b">
        <f t="shared" si="1407"/>
        <v>0</v>
      </c>
      <c r="X1796" s="78" t="b">
        <f t="shared" si="1408"/>
        <v>0</v>
      </c>
      <c r="Y1796" s="78" t="b">
        <f t="shared" si="1409"/>
        <v>0</v>
      </c>
      <c r="Z1796" s="78" t="b">
        <f t="shared" si="1410"/>
        <v>0</v>
      </c>
      <c r="AA1796" s="78" t="b">
        <f t="shared" si="1411"/>
        <v>0</v>
      </c>
      <c r="AB1796" s="78" t="b">
        <f t="shared" si="1412"/>
        <v>0</v>
      </c>
      <c r="AC1796" s="78" t="b">
        <f t="shared" si="1413"/>
        <v>0</v>
      </c>
      <c r="AD1796" s="78" t="b">
        <f t="shared" si="1414"/>
        <v>0</v>
      </c>
      <c r="AE1796" s="78" t="b">
        <f t="shared" si="1415"/>
        <v>0</v>
      </c>
      <c r="AF1796" s="78" t="b">
        <f t="shared" si="1416"/>
        <v>0</v>
      </c>
      <c r="AG1796" s="78" t="b">
        <f t="shared" si="1417"/>
        <v>0</v>
      </c>
      <c r="AH1796" s="78" t="b">
        <f t="shared" si="1418"/>
        <v>0</v>
      </c>
      <c r="AI1796" s="78" t="b">
        <f t="shared" si="1419"/>
        <v>0</v>
      </c>
      <c r="AJ1796" s="78" t="b">
        <f t="shared" si="1420"/>
        <v>0</v>
      </c>
      <c r="AK1796" s="78" t="b">
        <f t="shared" si="1421"/>
        <v>0</v>
      </c>
      <c r="AL1796" s="78" t="b">
        <f t="shared" si="1422"/>
        <v>0</v>
      </c>
      <c r="AM1796" s="78" t="b">
        <f t="shared" si="1423"/>
        <v>0</v>
      </c>
      <c r="AN1796" s="78" t="b">
        <f t="shared" si="1424"/>
        <v>0</v>
      </c>
      <c r="AO1796" s="78" t="b">
        <f t="shared" si="1425"/>
        <v>0</v>
      </c>
    </row>
    <row r="1797" spans="7:41" x14ac:dyDescent="0.35">
      <c r="G1797" s="77">
        <f t="shared" si="1395"/>
        <v>0</v>
      </c>
      <c r="H1797" s="78">
        <f t="shared" si="1396"/>
        <v>0</v>
      </c>
      <c r="I1797" s="77">
        <f t="shared" si="1397"/>
        <v>0</v>
      </c>
      <c r="J1797" s="78">
        <f t="shared" si="1398"/>
        <v>0</v>
      </c>
      <c r="K1797" s="78" t="str">
        <f t="shared" si="1399"/>
        <v>1900-01-00 00:0:00</v>
      </c>
      <c r="L1797" s="78" t="str">
        <f t="shared" si="1400"/>
        <v>1900-01-00 00:0:00</v>
      </c>
      <c r="M1797" s="79">
        <f t="shared" si="1401"/>
        <v>0</v>
      </c>
      <c r="N1797">
        <f t="shared" si="1426"/>
        <v>1</v>
      </c>
      <c r="O1797" t="str">
        <f>IFERROR(_xlfn.XLOOKUP(A1797,HC!A:A,HC!C:C),"")</f>
        <v>Workforce</v>
      </c>
      <c r="R1797" s="78" t="b">
        <f t="shared" si="1402"/>
        <v>0</v>
      </c>
      <c r="S1797" s="78" t="b">
        <f t="shared" si="1403"/>
        <v>0</v>
      </c>
      <c r="T1797" s="78" t="b">
        <f t="shared" si="1404"/>
        <v>0</v>
      </c>
      <c r="U1797" s="78" t="b">
        <f t="shared" si="1405"/>
        <v>0</v>
      </c>
      <c r="V1797" s="78" t="b">
        <f t="shared" si="1406"/>
        <v>0</v>
      </c>
      <c r="W1797" s="78" t="b">
        <f t="shared" si="1407"/>
        <v>0</v>
      </c>
      <c r="X1797" s="78" t="b">
        <f t="shared" si="1408"/>
        <v>0</v>
      </c>
      <c r="Y1797" s="78" t="b">
        <f t="shared" si="1409"/>
        <v>0</v>
      </c>
      <c r="Z1797" s="78" t="b">
        <f t="shared" si="1410"/>
        <v>0</v>
      </c>
      <c r="AA1797" s="78" t="b">
        <f t="shared" si="1411"/>
        <v>0</v>
      </c>
      <c r="AB1797" s="78" t="b">
        <f t="shared" si="1412"/>
        <v>0</v>
      </c>
      <c r="AC1797" s="78" t="b">
        <f t="shared" si="1413"/>
        <v>0</v>
      </c>
      <c r="AD1797" s="78" t="b">
        <f t="shared" si="1414"/>
        <v>0</v>
      </c>
      <c r="AE1797" s="78" t="b">
        <f t="shared" si="1415"/>
        <v>0</v>
      </c>
      <c r="AF1797" s="78" t="b">
        <f t="shared" si="1416"/>
        <v>0</v>
      </c>
      <c r="AG1797" s="78" t="b">
        <f t="shared" si="1417"/>
        <v>0</v>
      </c>
      <c r="AH1797" s="78" t="b">
        <f t="shared" si="1418"/>
        <v>0</v>
      </c>
      <c r="AI1797" s="78" t="b">
        <f t="shared" si="1419"/>
        <v>0</v>
      </c>
      <c r="AJ1797" s="78" t="b">
        <f t="shared" si="1420"/>
        <v>0</v>
      </c>
      <c r="AK1797" s="78" t="b">
        <f t="shared" si="1421"/>
        <v>0</v>
      </c>
      <c r="AL1797" s="78" t="b">
        <f t="shared" si="1422"/>
        <v>0</v>
      </c>
      <c r="AM1797" s="78" t="b">
        <f t="shared" si="1423"/>
        <v>0</v>
      </c>
      <c r="AN1797" s="78" t="b">
        <f t="shared" si="1424"/>
        <v>0</v>
      </c>
      <c r="AO1797" s="78" t="b">
        <f t="shared" si="1425"/>
        <v>0</v>
      </c>
    </row>
    <row r="1798" spans="7:41" x14ac:dyDescent="0.35">
      <c r="G1798" s="77">
        <f t="shared" si="1395"/>
        <v>0</v>
      </c>
      <c r="H1798" s="78">
        <f t="shared" si="1396"/>
        <v>0</v>
      </c>
      <c r="I1798" s="77">
        <f t="shared" si="1397"/>
        <v>0</v>
      </c>
      <c r="J1798" s="78">
        <f t="shared" si="1398"/>
        <v>0</v>
      </c>
      <c r="K1798" s="78" t="str">
        <f t="shared" si="1399"/>
        <v>1900-01-00 00:0:00</v>
      </c>
      <c r="L1798" s="78" t="str">
        <f t="shared" si="1400"/>
        <v>1900-01-00 00:0:00</v>
      </c>
      <c r="M1798" s="79">
        <f t="shared" si="1401"/>
        <v>0</v>
      </c>
      <c r="N1798">
        <f t="shared" si="1426"/>
        <v>1</v>
      </c>
      <c r="O1798" t="str">
        <f>IFERROR(_xlfn.XLOOKUP(A1798,HC!A:A,HC!C:C),"")</f>
        <v>Workforce</v>
      </c>
      <c r="R1798" s="78" t="b">
        <f t="shared" si="1402"/>
        <v>0</v>
      </c>
      <c r="S1798" s="78" t="b">
        <f t="shared" si="1403"/>
        <v>0</v>
      </c>
      <c r="T1798" s="78" t="b">
        <f t="shared" si="1404"/>
        <v>0</v>
      </c>
      <c r="U1798" s="78" t="b">
        <f t="shared" si="1405"/>
        <v>0</v>
      </c>
      <c r="V1798" s="78" t="b">
        <f t="shared" si="1406"/>
        <v>0</v>
      </c>
      <c r="W1798" s="78" t="b">
        <f t="shared" si="1407"/>
        <v>0</v>
      </c>
      <c r="X1798" s="78" t="b">
        <f t="shared" si="1408"/>
        <v>0</v>
      </c>
      <c r="Y1798" s="78" t="b">
        <f t="shared" si="1409"/>
        <v>0</v>
      </c>
      <c r="Z1798" s="78" t="b">
        <f t="shared" si="1410"/>
        <v>0</v>
      </c>
      <c r="AA1798" s="78" t="b">
        <f t="shared" si="1411"/>
        <v>0</v>
      </c>
      <c r="AB1798" s="78" t="b">
        <f t="shared" si="1412"/>
        <v>0</v>
      </c>
      <c r="AC1798" s="78" t="b">
        <f t="shared" si="1413"/>
        <v>0</v>
      </c>
      <c r="AD1798" s="78" t="b">
        <f t="shared" si="1414"/>
        <v>0</v>
      </c>
      <c r="AE1798" s="78" t="b">
        <f t="shared" si="1415"/>
        <v>0</v>
      </c>
      <c r="AF1798" s="78" t="b">
        <f t="shared" si="1416"/>
        <v>0</v>
      </c>
      <c r="AG1798" s="78" t="b">
        <f t="shared" si="1417"/>
        <v>0</v>
      </c>
      <c r="AH1798" s="78" t="b">
        <f t="shared" si="1418"/>
        <v>0</v>
      </c>
      <c r="AI1798" s="78" t="b">
        <f t="shared" si="1419"/>
        <v>0</v>
      </c>
      <c r="AJ1798" s="78" t="b">
        <f t="shared" si="1420"/>
        <v>0</v>
      </c>
      <c r="AK1798" s="78" t="b">
        <f t="shared" si="1421"/>
        <v>0</v>
      </c>
      <c r="AL1798" s="78" t="b">
        <f t="shared" si="1422"/>
        <v>0</v>
      </c>
      <c r="AM1798" s="78" t="b">
        <f t="shared" si="1423"/>
        <v>0</v>
      </c>
      <c r="AN1798" s="78" t="b">
        <f t="shared" si="1424"/>
        <v>0</v>
      </c>
      <c r="AO1798" s="78" t="b">
        <f t="shared" si="1425"/>
        <v>0</v>
      </c>
    </row>
    <row r="1799" spans="7:41" x14ac:dyDescent="0.35">
      <c r="G1799" s="77">
        <f t="shared" si="1395"/>
        <v>0</v>
      </c>
      <c r="H1799" s="78">
        <f t="shared" si="1396"/>
        <v>0</v>
      </c>
      <c r="I1799" s="77">
        <f t="shared" si="1397"/>
        <v>0</v>
      </c>
      <c r="J1799" s="78">
        <f t="shared" si="1398"/>
        <v>0</v>
      </c>
      <c r="K1799" s="78" t="str">
        <f t="shared" si="1399"/>
        <v>1900-01-00 00:0:00</v>
      </c>
      <c r="L1799" s="78" t="str">
        <f t="shared" si="1400"/>
        <v>1900-01-00 00:0:00</v>
      </c>
      <c r="M1799" s="79">
        <f t="shared" si="1401"/>
        <v>0</v>
      </c>
      <c r="N1799">
        <f t="shared" si="1426"/>
        <v>1</v>
      </c>
      <c r="O1799" t="str">
        <f>IFERROR(_xlfn.XLOOKUP(A1799,HC!A:A,HC!C:C),"")</f>
        <v>Workforce</v>
      </c>
      <c r="R1799" s="78" t="b">
        <f t="shared" si="1402"/>
        <v>0</v>
      </c>
      <c r="S1799" s="78" t="b">
        <f t="shared" si="1403"/>
        <v>0</v>
      </c>
      <c r="T1799" s="78" t="b">
        <f t="shared" si="1404"/>
        <v>0</v>
      </c>
      <c r="U1799" s="78" t="b">
        <f t="shared" si="1405"/>
        <v>0</v>
      </c>
      <c r="V1799" s="78" t="b">
        <f t="shared" si="1406"/>
        <v>0</v>
      </c>
      <c r="W1799" s="78" t="b">
        <f t="shared" si="1407"/>
        <v>0</v>
      </c>
      <c r="X1799" s="78" t="b">
        <f t="shared" si="1408"/>
        <v>0</v>
      </c>
      <c r="Y1799" s="78" t="b">
        <f t="shared" si="1409"/>
        <v>0</v>
      </c>
      <c r="Z1799" s="78" t="b">
        <f t="shared" si="1410"/>
        <v>0</v>
      </c>
      <c r="AA1799" s="78" t="b">
        <f t="shared" si="1411"/>
        <v>0</v>
      </c>
      <c r="AB1799" s="78" t="b">
        <f t="shared" si="1412"/>
        <v>0</v>
      </c>
      <c r="AC1799" s="78" t="b">
        <f t="shared" si="1413"/>
        <v>0</v>
      </c>
      <c r="AD1799" s="78" t="b">
        <f t="shared" si="1414"/>
        <v>0</v>
      </c>
      <c r="AE1799" s="78" t="b">
        <f t="shared" si="1415"/>
        <v>0</v>
      </c>
      <c r="AF1799" s="78" t="b">
        <f t="shared" si="1416"/>
        <v>0</v>
      </c>
      <c r="AG1799" s="78" t="b">
        <f t="shared" si="1417"/>
        <v>0</v>
      </c>
      <c r="AH1799" s="78" t="b">
        <f t="shared" si="1418"/>
        <v>0</v>
      </c>
      <c r="AI1799" s="78" t="b">
        <f t="shared" si="1419"/>
        <v>0</v>
      </c>
      <c r="AJ1799" s="78" t="b">
        <f t="shared" si="1420"/>
        <v>0</v>
      </c>
      <c r="AK1799" s="78" t="b">
        <f t="shared" si="1421"/>
        <v>0</v>
      </c>
      <c r="AL1799" s="78" t="b">
        <f t="shared" si="1422"/>
        <v>0</v>
      </c>
      <c r="AM1799" s="78" t="b">
        <f t="shared" si="1423"/>
        <v>0</v>
      </c>
      <c r="AN1799" s="78" t="b">
        <f t="shared" si="1424"/>
        <v>0</v>
      </c>
      <c r="AO1799" s="78" t="b">
        <f t="shared" si="1425"/>
        <v>0</v>
      </c>
    </row>
    <row r="1800" spans="7:41" x14ac:dyDescent="0.35">
      <c r="G1800" s="77">
        <f t="shared" si="1395"/>
        <v>0</v>
      </c>
      <c r="H1800" s="78">
        <f t="shared" si="1396"/>
        <v>0</v>
      </c>
      <c r="I1800" s="77">
        <f t="shared" si="1397"/>
        <v>0</v>
      </c>
      <c r="J1800" s="78">
        <f t="shared" si="1398"/>
        <v>0</v>
      </c>
      <c r="K1800" s="78" t="str">
        <f t="shared" si="1399"/>
        <v>1900-01-00 00:0:00</v>
      </c>
      <c r="L1800" s="78" t="str">
        <f t="shared" si="1400"/>
        <v>1900-01-00 00:0:00</v>
      </c>
      <c r="M1800" s="79">
        <f t="shared" si="1401"/>
        <v>0</v>
      </c>
      <c r="N1800">
        <f t="shared" si="1426"/>
        <v>1</v>
      </c>
      <c r="O1800" t="str">
        <f>IFERROR(_xlfn.XLOOKUP(A1800,HC!A:A,HC!C:C),"")</f>
        <v>Workforce</v>
      </c>
      <c r="R1800" s="78" t="b">
        <f t="shared" si="1402"/>
        <v>0</v>
      </c>
      <c r="S1800" s="78" t="b">
        <f t="shared" si="1403"/>
        <v>0</v>
      </c>
      <c r="T1800" s="78" t="b">
        <f t="shared" si="1404"/>
        <v>0</v>
      </c>
      <c r="U1800" s="78" t="b">
        <f t="shared" si="1405"/>
        <v>0</v>
      </c>
      <c r="V1800" s="78" t="b">
        <f t="shared" si="1406"/>
        <v>0</v>
      </c>
      <c r="W1800" s="78" t="b">
        <f t="shared" si="1407"/>
        <v>0</v>
      </c>
      <c r="X1800" s="78" t="b">
        <f t="shared" si="1408"/>
        <v>0</v>
      </c>
      <c r="Y1800" s="78" t="b">
        <f t="shared" si="1409"/>
        <v>0</v>
      </c>
      <c r="Z1800" s="78" t="b">
        <f t="shared" si="1410"/>
        <v>0</v>
      </c>
      <c r="AA1800" s="78" t="b">
        <f t="shared" si="1411"/>
        <v>0</v>
      </c>
      <c r="AB1800" s="78" t="b">
        <f t="shared" si="1412"/>
        <v>0</v>
      </c>
      <c r="AC1800" s="78" t="b">
        <f t="shared" si="1413"/>
        <v>0</v>
      </c>
      <c r="AD1800" s="78" t="b">
        <f t="shared" si="1414"/>
        <v>0</v>
      </c>
      <c r="AE1800" s="78" t="b">
        <f t="shared" si="1415"/>
        <v>0</v>
      </c>
      <c r="AF1800" s="78" t="b">
        <f t="shared" si="1416"/>
        <v>0</v>
      </c>
      <c r="AG1800" s="78" t="b">
        <f t="shared" si="1417"/>
        <v>0</v>
      </c>
      <c r="AH1800" s="78" t="b">
        <f t="shared" si="1418"/>
        <v>0</v>
      </c>
      <c r="AI1800" s="78" t="b">
        <f t="shared" si="1419"/>
        <v>0</v>
      </c>
      <c r="AJ1800" s="78" t="b">
        <f t="shared" si="1420"/>
        <v>0</v>
      </c>
      <c r="AK1800" s="78" t="b">
        <f t="shared" si="1421"/>
        <v>0</v>
      </c>
      <c r="AL1800" s="78" t="b">
        <f t="shared" si="1422"/>
        <v>0</v>
      </c>
      <c r="AM1800" s="78" t="b">
        <f t="shared" si="1423"/>
        <v>0</v>
      </c>
      <c r="AN1800" s="78" t="b">
        <f t="shared" si="1424"/>
        <v>0</v>
      </c>
      <c r="AO1800" s="78" t="b">
        <f t="shared" si="1425"/>
        <v>0</v>
      </c>
    </row>
    <row r="1801" spans="7:41" x14ac:dyDescent="0.35">
      <c r="G1801" s="77">
        <f t="shared" si="1395"/>
        <v>0</v>
      </c>
      <c r="H1801" s="78">
        <f t="shared" si="1396"/>
        <v>0</v>
      </c>
      <c r="I1801" s="77">
        <f t="shared" si="1397"/>
        <v>0</v>
      </c>
      <c r="J1801" s="78">
        <f t="shared" si="1398"/>
        <v>0</v>
      </c>
      <c r="K1801" s="78" t="str">
        <f t="shared" si="1399"/>
        <v>1900-01-00 00:0:00</v>
      </c>
      <c r="L1801" s="78" t="str">
        <f t="shared" si="1400"/>
        <v>1900-01-00 00:0:00</v>
      </c>
      <c r="M1801" s="79">
        <f t="shared" si="1401"/>
        <v>0</v>
      </c>
      <c r="N1801">
        <f t="shared" si="1426"/>
        <v>1</v>
      </c>
      <c r="O1801" t="str">
        <f>IFERROR(_xlfn.XLOOKUP(A1801,HC!A:A,HC!C:C),"")</f>
        <v>Workforce</v>
      </c>
      <c r="R1801" s="78" t="b">
        <f t="shared" si="1402"/>
        <v>0</v>
      </c>
      <c r="S1801" s="78" t="b">
        <f t="shared" si="1403"/>
        <v>0</v>
      </c>
      <c r="T1801" s="78" t="b">
        <f t="shared" si="1404"/>
        <v>0</v>
      </c>
      <c r="U1801" s="78" t="b">
        <f t="shared" si="1405"/>
        <v>0</v>
      </c>
      <c r="V1801" s="78" t="b">
        <f t="shared" si="1406"/>
        <v>0</v>
      </c>
      <c r="W1801" s="78" t="b">
        <f t="shared" si="1407"/>
        <v>0</v>
      </c>
      <c r="X1801" s="78" t="b">
        <f t="shared" si="1408"/>
        <v>0</v>
      </c>
      <c r="Y1801" s="78" t="b">
        <f t="shared" si="1409"/>
        <v>0</v>
      </c>
      <c r="Z1801" s="78" t="b">
        <f t="shared" si="1410"/>
        <v>0</v>
      </c>
      <c r="AA1801" s="78" t="b">
        <f t="shared" si="1411"/>
        <v>0</v>
      </c>
      <c r="AB1801" s="78" t="b">
        <f t="shared" si="1412"/>
        <v>0</v>
      </c>
      <c r="AC1801" s="78" t="b">
        <f t="shared" si="1413"/>
        <v>0</v>
      </c>
      <c r="AD1801" s="78" t="b">
        <f t="shared" si="1414"/>
        <v>0</v>
      </c>
      <c r="AE1801" s="78" t="b">
        <f t="shared" si="1415"/>
        <v>0</v>
      </c>
      <c r="AF1801" s="78" t="b">
        <f t="shared" si="1416"/>
        <v>0</v>
      </c>
      <c r="AG1801" s="78" t="b">
        <f t="shared" si="1417"/>
        <v>0</v>
      </c>
      <c r="AH1801" s="78" t="b">
        <f t="shared" si="1418"/>
        <v>0</v>
      </c>
      <c r="AI1801" s="78" t="b">
        <f t="shared" si="1419"/>
        <v>0</v>
      </c>
      <c r="AJ1801" s="78" t="b">
        <f t="shared" si="1420"/>
        <v>0</v>
      </c>
      <c r="AK1801" s="78" t="b">
        <f t="shared" si="1421"/>
        <v>0</v>
      </c>
      <c r="AL1801" s="78" t="b">
        <f t="shared" si="1422"/>
        <v>0</v>
      </c>
      <c r="AM1801" s="78" t="b">
        <f t="shared" si="1423"/>
        <v>0</v>
      </c>
      <c r="AN1801" s="78" t="b">
        <f t="shared" si="1424"/>
        <v>0</v>
      </c>
      <c r="AO1801" s="78" t="b">
        <f t="shared" si="1425"/>
        <v>0</v>
      </c>
    </row>
    <row r="1802" spans="7:41" x14ac:dyDescent="0.35">
      <c r="G1802" s="77">
        <f t="shared" si="1395"/>
        <v>0</v>
      </c>
      <c r="H1802" s="78">
        <f t="shared" si="1396"/>
        <v>0</v>
      </c>
      <c r="I1802" s="77">
        <f t="shared" si="1397"/>
        <v>0</v>
      </c>
      <c r="J1802" s="78">
        <f t="shared" si="1398"/>
        <v>0</v>
      </c>
      <c r="K1802" s="78" t="str">
        <f t="shared" si="1399"/>
        <v>1900-01-00 00:0:00</v>
      </c>
      <c r="L1802" s="78" t="str">
        <f t="shared" si="1400"/>
        <v>1900-01-00 00:0:00</v>
      </c>
      <c r="M1802" s="79">
        <f t="shared" si="1401"/>
        <v>0</v>
      </c>
      <c r="N1802">
        <f t="shared" si="1426"/>
        <v>1</v>
      </c>
      <c r="O1802" t="str">
        <f>IFERROR(_xlfn.XLOOKUP(A1802,HC!A:A,HC!C:C),"")</f>
        <v>Workforce</v>
      </c>
      <c r="R1802" s="78" t="b">
        <f t="shared" si="1402"/>
        <v>0</v>
      </c>
      <c r="S1802" s="78" t="b">
        <f t="shared" si="1403"/>
        <v>0</v>
      </c>
      <c r="T1802" s="78" t="b">
        <f t="shared" si="1404"/>
        <v>0</v>
      </c>
      <c r="U1802" s="78" t="b">
        <f t="shared" si="1405"/>
        <v>0</v>
      </c>
      <c r="V1802" s="78" t="b">
        <f t="shared" si="1406"/>
        <v>0</v>
      </c>
      <c r="W1802" s="78" t="b">
        <f t="shared" si="1407"/>
        <v>0</v>
      </c>
      <c r="X1802" s="78" t="b">
        <f t="shared" si="1408"/>
        <v>0</v>
      </c>
      <c r="Y1802" s="78" t="b">
        <f t="shared" si="1409"/>
        <v>0</v>
      </c>
      <c r="Z1802" s="78" t="b">
        <f t="shared" si="1410"/>
        <v>0</v>
      </c>
      <c r="AA1802" s="78" t="b">
        <f t="shared" si="1411"/>
        <v>0</v>
      </c>
      <c r="AB1802" s="78" t="b">
        <f t="shared" si="1412"/>
        <v>0</v>
      </c>
      <c r="AC1802" s="78" t="b">
        <f t="shared" si="1413"/>
        <v>0</v>
      </c>
      <c r="AD1802" s="78" t="b">
        <f t="shared" si="1414"/>
        <v>0</v>
      </c>
      <c r="AE1802" s="78" t="b">
        <f t="shared" si="1415"/>
        <v>0</v>
      </c>
      <c r="AF1802" s="78" t="b">
        <f t="shared" si="1416"/>
        <v>0</v>
      </c>
      <c r="AG1802" s="78" t="b">
        <f t="shared" si="1417"/>
        <v>0</v>
      </c>
      <c r="AH1802" s="78" t="b">
        <f t="shared" si="1418"/>
        <v>0</v>
      </c>
      <c r="AI1802" s="78" t="b">
        <f t="shared" si="1419"/>
        <v>0</v>
      </c>
      <c r="AJ1802" s="78" t="b">
        <f t="shared" si="1420"/>
        <v>0</v>
      </c>
      <c r="AK1802" s="78" t="b">
        <f t="shared" si="1421"/>
        <v>0</v>
      </c>
      <c r="AL1802" s="78" t="b">
        <f t="shared" si="1422"/>
        <v>0</v>
      </c>
      <c r="AM1802" s="78" t="b">
        <f t="shared" si="1423"/>
        <v>0</v>
      </c>
      <c r="AN1802" s="78" t="b">
        <f t="shared" si="1424"/>
        <v>0</v>
      </c>
      <c r="AO1802" s="78" t="b">
        <f t="shared" si="1425"/>
        <v>0</v>
      </c>
    </row>
    <row r="1803" spans="7:41" x14ac:dyDescent="0.35">
      <c r="G1803" s="77">
        <f t="shared" si="1395"/>
        <v>0</v>
      </c>
      <c r="H1803" s="78">
        <f t="shared" si="1396"/>
        <v>0</v>
      </c>
      <c r="I1803" s="77">
        <f t="shared" si="1397"/>
        <v>0</v>
      </c>
      <c r="J1803" s="78">
        <f t="shared" si="1398"/>
        <v>0</v>
      </c>
      <c r="K1803" s="78" t="str">
        <f t="shared" si="1399"/>
        <v>1900-01-00 00:0:00</v>
      </c>
      <c r="L1803" s="78" t="str">
        <f t="shared" si="1400"/>
        <v>1900-01-00 00:0:00</v>
      </c>
      <c r="M1803" s="79">
        <f t="shared" si="1401"/>
        <v>0</v>
      </c>
      <c r="N1803">
        <f t="shared" si="1426"/>
        <v>1</v>
      </c>
      <c r="O1803" t="str">
        <f>IFERROR(_xlfn.XLOOKUP(A1803,HC!A:A,HC!C:C),"")</f>
        <v>Workforce</v>
      </c>
      <c r="R1803" s="78" t="b">
        <f t="shared" si="1402"/>
        <v>0</v>
      </c>
      <c r="S1803" s="78" t="b">
        <f t="shared" si="1403"/>
        <v>0</v>
      </c>
      <c r="T1803" s="78" t="b">
        <f t="shared" si="1404"/>
        <v>0</v>
      </c>
      <c r="U1803" s="78" t="b">
        <f t="shared" si="1405"/>
        <v>0</v>
      </c>
      <c r="V1803" s="78" t="b">
        <f t="shared" si="1406"/>
        <v>0</v>
      </c>
      <c r="W1803" s="78" t="b">
        <f t="shared" si="1407"/>
        <v>0</v>
      </c>
      <c r="X1803" s="78" t="b">
        <f t="shared" si="1408"/>
        <v>0</v>
      </c>
      <c r="Y1803" s="78" t="b">
        <f t="shared" si="1409"/>
        <v>0</v>
      </c>
      <c r="Z1803" s="78" t="b">
        <f t="shared" si="1410"/>
        <v>0</v>
      </c>
      <c r="AA1803" s="78" t="b">
        <f t="shared" si="1411"/>
        <v>0</v>
      </c>
      <c r="AB1803" s="78" t="b">
        <f t="shared" si="1412"/>
        <v>0</v>
      </c>
      <c r="AC1803" s="78" t="b">
        <f t="shared" si="1413"/>
        <v>0</v>
      </c>
      <c r="AD1803" s="78" t="b">
        <f t="shared" si="1414"/>
        <v>0</v>
      </c>
      <c r="AE1803" s="78" t="b">
        <f t="shared" si="1415"/>
        <v>0</v>
      </c>
      <c r="AF1803" s="78" t="b">
        <f t="shared" si="1416"/>
        <v>0</v>
      </c>
      <c r="AG1803" s="78" t="b">
        <f t="shared" si="1417"/>
        <v>0</v>
      </c>
      <c r="AH1803" s="78" t="b">
        <f t="shared" si="1418"/>
        <v>0</v>
      </c>
      <c r="AI1803" s="78" t="b">
        <f t="shared" si="1419"/>
        <v>0</v>
      </c>
      <c r="AJ1803" s="78" t="b">
        <f t="shared" si="1420"/>
        <v>0</v>
      </c>
      <c r="AK1803" s="78" t="b">
        <f t="shared" si="1421"/>
        <v>0</v>
      </c>
      <c r="AL1803" s="78" t="b">
        <f t="shared" si="1422"/>
        <v>0</v>
      </c>
      <c r="AM1803" s="78" t="b">
        <f t="shared" si="1423"/>
        <v>0</v>
      </c>
      <c r="AN1803" s="78" t="b">
        <f t="shared" si="1424"/>
        <v>0</v>
      </c>
      <c r="AO1803" s="78" t="b">
        <f t="shared" si="1425"/>
        <v>0</v>
      </c>
    </row>
    <row r="1804" spans="7:41" x14ac:dyDescent="0.35">
      <c r="G1804" s="77">
        <f t="shared" si="1395"/>
        <v>0</v>
      </c>
      <c r="H1804" s="78">
        <f t="shared" si="1396"/>
        <v>0</v>
      </c>
      <c r="I1804" s="77">
        <f t="shared" si="1397"/>
        <v>0</v>
      </c>
      <c r="J1804" s="78">
        <f t="shared" si="1398"/>
        <v>0</v>
      </c>
      <c r="K1804" s="78" t="str">
        <f t="shared" si="1399"/>
        <v>1900-01-00 00:0:00</v>
      </c>
      <c r="L1804" s="78" t="str">
        <f t="shared" si="1400"/>
        <v>1900-01-00 00:0:00</v>
      </c>
      <c r="M1804" s="79">
        <f t="shared" si="1401"/>
        <v>0</v>
      </c>
      <c r="N1804">
        <f t="shared" si="1426"/>
        <v>1</v>
      </c>
      <c r="O1804" t="str">
        <f>IFERROR(_xlfn.XLOOKUP(A1804,HC!A:A,HC!C:C),"")</f>
        <v>Workforce</v>
      </c>
      <c r="R1804" s="78" t="b">
        <f t="shared" si="1402"/>
        <v>0</v>
      </c>
      <c r="S1804" s="78" t="b">
        <f t="shared" si="1403"/>
        <v>0</v>
      </c>
      <c r="T1804" s="78" t="b">
        <f t="shared" si="1404"/>
        <v>0</v>
      </c>
      <c r="U1804" s="78" t="b">
        <f t="shared" si="1405"/>
        <v>0</v>
      </c>
      <c r="V1804" s="78" t="b">
        <f t="shared" si="1406"/>
        <v>0</v>
      </c>
      <c r="W1804" s="78" t="b">
        <f t="shared" si="1407"/>
        <v>0</v>
      </c>
      <c r="X1804" s="78" t="b">
        <f t="shared" si="1408"/>
        <v>0</v>
      </c>
      <c r="Y1804" s="78" t="b">
        <f t="shared" si="1409"/>
        <v>0</v>
      </c>
      <c r="Z1804" s="78" t="b">
        <f t="shared" si="1410"/>
        <v>0</v>
      </c>
      <c r="AA1804" s="78" t="b">
        <f t="shared" si="1411"/>
        <v>0</v>
      </c>
      <c r="AB1804" s="78" t="b">
        <f t="shared" si="1412"/>
        <v>0</v>
      </c>
      <c r="AC1804" s="78" t="b">
        <f t="shared" si="1413"/>
        <v>0</v>
      </c>
      <c r="AD1804" s="78" t="b">
        <f t="shared" si="1414"/>
        <v>0</v>
      </c>
      <c r="AE1804" s="78" t="b">
        <f t="shared" si="1415"/>
        <v>0</v>
      </c>
      <c r="AF1804" s="78" t="b">
        <f t="shared" si="1416"/>
        <v>0</v>
      </c>
      <c r="AG1804" s="78" t="b">
        <f t="shared" si="1417"/>
        <v>0</v>
      </c>
      <c r="AH1804" s="78" t="b">
        <f t="shared" si="1418"/>
        <v>0</v>
      </c>
      <c r="AI1804" s="78" t="b">
        <f t="shared" si="1419"/>
        <v>0</v>
      </c>
      <c r="AJ1804" s="78" t="b">
        <f t="shared" si="1420"/>
        <v>0</v>
      </c>
      <c r="AK1804" s="78" t="b">
        <f t="shared" si="1421"/>
        <v>0</v>
      </c>
      <c r="AL1804" s="78" t="b">
        <f t="shared" si="1422"/>
        <v>0</v>
      </c>
      <c r="AM1804" s="78" t="b">
        <f t="shared" si="1423"/>
        <v>0</v>
      </c>
      <c r="AN1804" s="78" t="b">
        <f t="shared" si="1424"/>
        <v>0</v>
      </c>
      <c r="AO1804" s="78" t="b">
        <f t="shared" si="1425"/>
        <v>0</v>
      </c>
    </row>
    <row r="1805" spans="7:41" x14ac:dyDescent="0.35">
      <c r="G1805" s="77">
        <f t="shared" si="1395"/>
        <v>0</v>
      </c>
      <c r="H1805" s="78">
        <f t="shared" si="1396"/>
        <v>0</v>
      </c>
      <c r="I1805" s="77">
        <f t="shared" si="1397"/>
        <v>0</v>
      </c>
      <c r="J1805" s="78">
        <f t="shared" si="1398"/>
        <v>0</v>
      </c>
      <c r="K1805" s="78" t="str">
        <f t="shared" si="1399"/>
        <v>1900-01-00 00:0:00</v>
      </c>
      <c r="L1805" s="78" t="str">
        <f t="shared" si="1400"/>
        <v>1900-01-00 00:0:00</v>
      </c>
      <c r="M1805" s="79">
        <f t="shared" si="1401"/>
        <v>0</v>
      </c>
      <c r="N1805">
        <f t="shared" si="1426"/>
        <v>1</v>
      </c>
      <c r="O1805" t="str">
        <f>IFERROR(_xlfn.XLOOKUP(A1805,HC!A:A,HC!C:C),"")</f>
        <v>Workforce</v>
      </c>
      <c r="R1805" s="78" t="b">
        <f t="shared" si="1402"/>
        <v>0</v>
      </c>
      <c r="S1805" s="78" t="b">
        <f t="shared" si="1403"/>
        <v>0</v>
      </c>
      <c r="T1805" s="78" t="b">
        <f t="shared" si="1404"/>
        <v>0</v>
      </c>
      <c r="U1805" s="78" t="b">
        <f t="shared" si="1405"/>
        <v>0</v>
      </c>
      <c r="V1805" s="78" t="b">
        <f t="shared" si="1406"/>
        <v>0</v>
      </c>
      <c r="W1805" s="78" t="b">
        <f t="shared" si="1407"/>
        <v>0</v>
      </c>
      <c r="X1805" s="78" t="b">
        <f t="shared" si="1408"/>
        <v>0</v>
      </c>
      <c r="Y1805" s="78" t="b">
        <f t="shared" si="1409"/>
        <v>0</v>
      </c>
      <c r="Z1805" s="78" t="b">
        <f t="shared" si="1410"/>
        <v>0</v>
      </c>
      <c r="AA1805" s="78" t="b">
        <f t="shared" si="1411"/>
        <v>0</v>
      </c>
      <c r="AB1805" s="78" t="b">
        <f t="shared" si="1412"/>
        <v>0</v>
      </c>
      <c r="AC1805" s="78" t="b">
        <f t="shared" si="1413"/>
        <v>0</v>
      </c>
      <c r="AD1805" s="78" t="b">
        <f t="shared" si="1414"/>
        <v>0</v>
      </c>
      <c r="AE1805" s="78" t="b">
        <f t="shared" si="1415"/>
        <v>0</v>
      </c>
      <c r="AF1805" s="78" t="b">
        <f t="shared" si="1416"/>
        <v>0</v>
      </c>
      <c r="AG1805" s="78" t="b">
        <f t="shared" si="1417"/>
        <v>0</v>
      </c>
      <c r="AH1805" s="78" t="b">
        <f t="shared" si="1418"/>
        <v>0</v>
      </c>
      <c r="AI1805" s="78" t="b">
        <f t="shared" si="1419"/>
        <v>0</v>
      </c>
      <c r="AJ1805" s="78" t="b">
        <f t="shared" si="1420"/>
        <v>0</v>
      </c>
      <c r="AK1805" s="78" t="b">
        <f t="shared" si="1421"/>
        <v>0</v>
      </c>
      <c r="AL1805" s="78" t="b">
        <f t="shared" si="1422"/>
        <v>0</v>
      </c>
      <c r="AM1805" s="78" t="b">
        <f t="shared" si="1423"/>
        <v>0</v>
      </c>
      <c r="AN1805" s="78" t="b">
        <f t="shared" si="1424"/>
        <v>0</v>
      </c>
      <c r="AO1805" s="78" t="b">
        <f t="shared" si="1425"/>
        <v>0</v>
      </c>
    </row>
    <row r="1806" spans="7:41" x14ac:dyDescent="0.35">
      <c r="G1806" s="77">
        <f t="shared" si="1395"/>
        <v>0</v>
      </c>
      <c r="H1806" s="78">
        <f t="shared" si="1396"/>
        <v>0</v>
      </c>
      <c r="I1806" s="77">
        <f t="shared" si="1397"/>
        <v>0</v>
      </c>
      <c r="J1806" s="78">
        <f t="shared" si="1398"/>
        <v>0</v>
      </c>
      <c r="K1806" s="78" t="str">
        <f t="shared" si="1399"/>
        <v>1900-01-00 00:0:00</v>
      </c>
      <c r="L1806" s="78" t="str">
        <f t="shared" si="1400"/>
        <v>1900-01-00 00:0:00</v>
      </c>
      <c r="M1806" s="79">
        <f t="shared" si="1401"/>
        <v>0</v>
      </c>
      <c r="N1806">
        <f t="shared" si="1426"/>
        <v>1</v>
      </c>
      <c r="O1806" t="str">
        <f>IFERROR(_xlfn.XLOOKUP(A1806,HC!A:A,HC!C:C),"")</f>
        <v>Workforce</v>
      </c>
      <c r="R1806" s="78" t="b">
        <f t="shared" si="1402"/>
        <v>0</v>
      </c>
      <c r="S1806" s="78" t="b">
        <f t="shared" si="1403"/>
        <v>0</v>
      </c>
      <c r="T1806" s="78" t="b">
        <f t="shared" si="1404"/>
        <v>0</v>
      </c>
      <c r="U1806" s="78" t="b">
        <f t="shared" si="1405"/>
        <v>0</v>
      </c>
      <c r="V1806" s="78" t="b">
        <f t="shared" si="1406"/>
        <v>0</v>
      </c>
      <c r="W1806" s="78" t="b">
        <f t="shared" si="1407"/>
        <v>0</v>
      </c>
      <c r="X1806" s="78" t="b">
        <f t="shared" si="1408"/>
        <v>0</v>
      </c>
      <c r="Y1806" s="78" t="b">
        <f t="shared" si="1409"/>
        <v>0</v>
      </c>
      <c r="Z1806" s="78" t="b">
        <f t="shared" si="1410"/>
        <v>0</v>
      </c>
      <c r="AA1806" s="78" t="b">
        <f t="shared" si="1411"/>
        <v>0</v>
      </c>
      <c r="AB1806" s="78" t="b">
        <f t="shared" si="1412"/>
        <v>0</v>
      </c>
      <c r="AC1806" s="78" t="b">
        <f t="shared" si="1413"/>
        <v>0</v>
      </c>
      <c r="AD1806" s="78" t="b">
        <f t="shared" si="1414"/>
        <v>0</v>
      </c>
      <c r="AE1806" s="78" t="b">
        <f t="shared" si="1415"/>
        <v>0</v>
      </c>
      <c r="AF1806" s="78" t="b">
        <f t="shared" si="1416"/>
        <v>0</v>
      </c>
      <c r="AG1806" s="78" t="b">
        <f t="shared" si="1417"/>
        <v>0</v>
      </c>
      <c r="AH1806" s="78" t="b">
        <f t="shared" si="1418"/>
        <v>0</v>
      </c>
      <c r="AI1806" s="78" t="b">
        <f t="shared" si="1419"/>
        <v>0</v>
      </c>
      <c r="AJ1806" s="78" t="b">
        <f t="shared" si="1420"/>
        <v>0</v>
      </c>
      <c r="AK1806" s="78" t="b">
        <f t="shared" si="1421"/>
        <v>0</v>
      </c>
      <c r="AL1806" s="78" t="b">
        <f t="shared" si="1422"/>
        <v>0</v>
      </c>
      <c r="AM1806" s="78" t="b">
        <f t="shared" si="1423"/>
        <v>0</v>
      </c>
      <c r="AN1806" s="78" t="b">
        <f t="shared" si="1424"/>
        <v>0</v>
      </c>
      <c r="AO1806" s="78" t="b">
        <f t="shared" si="1425"/>
        <v>0</v>
      </c>
    </row>
    <row r="1807" spans="7:41" x14ac:dyDescent="0.35">
      <c r="G1807" s="77">
        <f t="shared" si="1395"/>
        <v>0</v>
      </c>
      <c r="H1807" s="78">
        <f t="shared" si="1396"/>
        <v>0</v>
      </c>
      <c r="I1807" s="77">
        <f t="shared" si="1397"/>
        <v>0</v>
      </c>
      <c r="J1807" s="78">
        <f t="shared" si="1398"/>
        <v>0</v>
      </c>
      <c r="K1807" s="78" t="str">
        <f t="shared" si="1399"/>
        <v>1900-01-00 00:0:00</v>
      </c>
      <c r="L1807" s="78" t="str">
        <f t="shared" si="1400"/>
        <v>1900-01-00 00:0:00</v>
      </c>
      <c r="M1807" s="79">
        <f t="shared" si="1401"/>
        <v>0</v>
      </c>
      <c r="N1807">
        <f t="shared" si="1426"/>
        <v>1</v>
      </c>
      <c r="O1807" t="str">
        <f>IFERROR(_xlfn.XLOOKUP(A1807,HC!A:A,HC!C:C),"")</f>
        <v>Workforce</v>
      </c>
      <c r="R1807" s="78" t="b">
        <f t="shared" si="1402"/>
        <v>0</v>
      </c>
      <c r="S1807" s="78" t="b">
        <f t="shared" si="1403"/>
        <v>0</v>
      </c>
      <c r="T1807" s="78" t="b">
        <f t="shared" si="1404"/>
        <v>0</v>
      </c>
      <c r="U1807" s="78" t="b">
        <f t="shared" si="1405"/>
        <v>0</v>
      </c>
      <c r="V1807" s="78" t="b">
        <f t="shared" si="1406"/>
        <v>0</v>
      </c>
      <c r="W1807" s="78" t="b">
        <f t="shared" si="1407"/>
        <v>0</v>
      </c>
      <c r="X1807" s="78" t="b">
        <f t="shared" si="1408"/>
        <v>0</v>
      </c>
      <c r="Y1807" s="78" t="b">
        <f t="shared" si="1409"/>
        <v>0</v>
      </c>
      <c r="Z1807" s="78" t="b">
        <f t="shared" si="1410"/>
        <v>0</v>
      </c>
      <c r="AA1807" s="78" t="b">
        <f t="shared" si="1411"/>
        <v>0</v>
      </c>
      <c r="AB1807" s="78" t="b">
        <f t="shared" si="1412"/>
        <v>0</v>
      </c>
      <c r="AC1807" s="78" t="b">
        <f t="shared" si="1413"/>
        <v>0</v>
      </c>
      <c r="AD1807" s="78" t="b">
        <f t="shared" si="1414"/>
        <v>0</v>
      </c>
      <c r="AE1807" s="78" t="b">
        <f t="shared" si="1415"/>
        <v>0</v>
      </c>
      <c r="AF1807" s="78" t="b">
        <f t="shared" si="1416"/>
        <v>0</v>
      </c>
      <c r="AG1807" s="78" t="b">
        <f t="shared" si="1417"/>
        <v>0</v>
      </c>
      <c r="AH1807" s="78" t="b">
        <f t="shared" si="1418"/>
        <v>0</v>
      </c>
      <c r="AI1807" s="78" t="b">
        <f t="shared" si="1419"/>
        <v>0</v>
      </c>
      <c r="AJ1807" s="78" t="b">
        <f t="shared" si="1420"/>
        <v>0</v>
      </c>
      <c r="AK1807" s="78" t="b">
        <f t="shared" si="1421"/>
        <v>0</v>
      </c>
      <c r="AL1807" s="78" t="b">
        <f t="shared" si="1422"/>
        <v>0</v>
      </c>
      <c r="AM1807" s="78" t="b">
        <f t="shared" si="1423"/>
        <v>0</v>
      </c>
      <c r="AN1807" s="78" t="b">
        <f t="shared" si="1424"/>
        <v>0</v>
      </c>
      <c r="AO1807" s="78" t="b">
        <f t="shared" si="1425"/>
        <v>0</v>
      </c>
    </row>
    <row r="1808" spans="7:41" x14ac:dyDescent="0.35">
      <c r="G1808" s="77">
        <f t="shared" si="1395"/>
        <v>0</v>
      </c>
      <c r="H1808" s="78">
        <f t="shared" si="1396"/>
        <v>0</v>
      </c>
      <c r="I1808" s="77">
        <f t="shared" si="1397"/>
        <v>0</v>
      </c>
      <c r="J1808" s="78">
        <f t="shared" si="1398"/>
        <v>0</v>
      </c>
      <c r="K1808" s="78" t="str">
        <f t="shared" si="1399"/>
        <v>1900-01-00 00:0:00</v>
      </c>
      <c r="L1808" s="78" t="str">
        <f t="shared" si="1400"/>
        <v>1900-01-00 00:0:00</v>
      </c>
      <c r="M1808" s="79">
        <f t="shared" si="1401"/>
        <v>0</v>
      </c>
      <c r="N1808">
        <f t="shared" si="1426"/>
        <v>1</v>
      </c>
      <c r="O1808" t="str">
        <f>IFERROR(_xlfn.XLOOKUP(A1808,HC!A:A,HC!C:C),"")</f>
        <v>Workforce</v>
      </c>
      <c r="R1808" s="78" t="b">
        <f t="shared" si="1402"/>
        <v>0</v>
      </c>
      <c r="S1808" s="78" t="b">
        <f t="shared" si="1403"/>
        <v>0</v>
      </c>
      <c r="T1808" s="78" t="b">
        <f t="shared" si="1404"/>
        <v>0</v>
      </c>
      <c r="U1808" s="78" t="b">
        <f t="shared" si="1405"/>
        <v>0</v>
      </c>
      <c r="V1808" s="78" t="b">
        <f t="shared" si="1406"/>
        <v>0</v>
      </c>
      <c r="W1808" s="78" t="b">
        <f t="shared" si="1407"/>
        <v>0</v>
      </c>
      <c r="X1808" s="78" t="b">
        <f t="shared" si="1408"/>
        <v>0</v>
      </c>
      <c r="Y1808" s="78" t="b">
        <f t="shared" si="1409"/>
        <v>0</v>
      </c>
      <c r="Z1808" s="78" t="b">
        <f t="shared" si="1410"/>
        <v>0</v>
      </c>
      <c r="AA1808" s="78" t="b">
        <f t="shared" si="1411"/>
        <v>0</v>
      </c>
      <c r="AB1808" s="78" t="b">
        <f t="shared" si="1412"/>
        <v>0</v>
      </c>
      <c r="AC1808" s="78" t="b">
        <f t="shared" si="1413"/>
        <v>0</v>
      </c>
      <c r="AD1808" s="78" t="b">
        <f t="shared" si="1414"/>
        <v>0</v>
      </c>
      <c r="AE1808" s="78" t="b">
        <f t="shared" si="1415"/>
        <v>0</v>
      </c>
      <c r="AF1808" s="78" t="b">
        <f t="shared" si="1416"/>
        <v>0</v>
      </c>
      <c r="AG1808" s="78" t="b">
        <f t="shared" si="1417"/>
        <v>0</v>
      </c>
      <c r="AH1808" s="78" t="b">
        <f t="shared" si="1418"/>
        <v>0</v>
      </c>
      <c r="AI1808" s="78" t="b">
        <f t="shared" si="1419"/>
        <v>0</v>
      </c>
      <c r="AJ1808" s="78" t="b">
        <f t="shared" si="1420"/>
        <v>0</v>
      </c>
      <c r="AK1808" s="78" t="b">
        <f t="shared" si="1421"/>
        <v>0</v>
      </c>
      <c r="AL1808" s="78" t="b">
        <f t="shared" si="1422"/>
        <v>0</v>
      </c>
      <c r="AM1808" s="78" t="b">
        <f t="shared" si="1423"/>
        <v>0</v>
      </c>
      <c r="AN1808" s="78" t="b">
        <f t="shared" si="1424"/>
        <v>0</v>
      </c>
      <c r="AO1808" s="78" t="b">
        <f t="shared" si="1425"/>
        <v>0</v>
      </c>
    </row>
    <row r="1809" spans="7:41" x14ac:dyDescent="0.35">
      <c r="G1809" s="77">
        <f t="shared" si="1395"/>
        <v>0</v>
      </c>
      <c r="H1809" s="78">
        <f t="shared" si="1396"/>
        <v>0</v>
      </c>
      <c r="I1809" s="77">
        <f t="shared" si="1397"/>
        <v>0</v>
      </c>
      <c r="J1809" s="78">
        <f t="shared" si="1398"/>
        <v>0</v>
      </c>
      <c r="K1809" s="78" t="str">
        <f t="shared" si="1399"/>
        <v>1900-01-00 00:0:00</v>
      </c>
      <c r="L1809" s="78" t="str">
        <f t="shared" si="1400"/>
        <v>1900-01-00 00:0:00</v>
      </c>
      <c r="M1809" s="79">
        <f t="shared" si="1401"/>
        <v>0</v>
      </c>
      <c r="N1809">
        <f t="shared" si="1426"/>
        <v>1</v>
      </c>
      <c r="O1809" t="str">
        <f>IFERROR(_xlfn.XLOOKUP(A1809,HC!A:A,HC!C:C),"")</f>
        <v>Workforce</v>
      </c>
      <c r="R1809" s="78" t="b">
        <f t="shared" si="1402"/>
        <v>0</v>
      </c>
      <c r="S1809" s="78" t="b">
        <f t="shared" si="1403"/>
        <v>0</v>
      </c>
      <c r="T1809" s="78" t="b">
        <f t="shared" si="1404"/>
        <v>0</v>
      </c>
      <c r="U1809" s="78" t="b">
        <f t="shared" si="1405"/>
        <v>0</v>
      </c>
      <c r="V1809" s="78" t="b">
        <f t="shared" si="1406"/>
        <v>0</v>
      </c>
      <c r="W1809" s="78" t="b">
        <f t="shared" si="1407"/>
        <v>0</v>
      </c>
      <c r="X1809" s="78" t="b">
        <f t="shared" si="1408"/>
        <v>0</v>
      </c>
      <c r="Y1809" s="78" t="b">
        <f t="shared" si="1409"/>
        <v>0</v>
      </c>
      <c r="Z1809" s="78" t="b">
        <f t="shared" si="1410"/>
        <v>0</v>
      </c>
      <c r="AA1809" s="78" t="b">
        <f t="shared" si="1411"/>
        <v>0</v>
      </c>
      <c r="AB1809" s="78" t="b">
        <f t="shared" si="1412"/>
        <v>0</v>
      </c>
      <c r="AC1809" s="78" t="b">
        <f t="shared" si="1413"/>
        <v>0</v>
      </c>
      <c r="AD1809" s="78" t="b">
        <f t="shared" si="1414"/>
        <v>0</v>
      </c>
      <c r="AE1809" s="78" t="b">
        <f t="shared" si="1415"/>
        <v>0</v>
      </c>
      <c r="AF1809" s="78" t="b">
        <f t="shared" si="1416"/>
        <v>0</v>
      </c>
      <c r="AG1809" s="78" t="b">
        <f t="shared" si="1417"/>
        <v>0</v>
      </c>
      <c r="AH1809" s="78" t="b">
        <f t="shared" si="1418"/>
        <v>0</v>
      </c>
      <c r="AI1809" s="78" t="b">
        <f t="shared" si="1419"/>
        <v>0</v>
      </c>
      <c r="AJ1809" s="78" t="b">
        <f t="shared" si="1420"/>
        <v>0</v>
      </c>
      <c r="AK1809" s="78" t="b">
        <f t="shared" si="1421"/>
        <v>0</v>
      </c>
      <c r="AL1809" s="78" t="b">
        <f t="shared" si="1422"/>
        <v>0</v>
      </c>
      <c r="AM1809" s="78" t="b">
        <f t="shared" si="1423"/>
        <v>0</v>
      </c>
      <c r="AN1809" s="78" t="b">
        <f t="shared" si="1424"/>
        <v>0</v>
      </c>
      <c r="AO1809" s="78" t="b">
        <f t="shared" si="1425"/>
        <v>0</v>
      </c>
    </row>
    <row r="1810" spans="7:41" x14ac:dyDescent="0.35">
      <c r="G1810" s="77">
        <f t="shared" si="1395"/>
        <v>0</v>
      </c>
      <c r="H1810" s="78">
        <f t="shared" si="1396"/>
        <v>0</v>
      </c>
      <c r="I1810" s="77">
        <f t="shared" si="1397"/>
        <v>0</v>
      </c>
      <c r="J1810" s="78">
        <f t="shared" si="1398"/>
        <v>0</v>
      </c>
      <c r="K1810" s="78" t="str">
        <f t="shared" si="1399"/>
        <v>1900-01-00 00:0:00</v>
      </c>
      <c r="L1810" s="78" t="str">
        <f t="shared" si="1400"/>
        <v>1900-01-00 00:0:00</v>
      </c>
      <c r="M1810" s="79">
        <f t="shared" si="1401"/>
        <v>0</v>
      </c>
      <c r="N1810">
        <f t="shared" si="1426"/>
        <v>1</v>
      </c>
      <c r="O1810" t="str">
        <f>IFERROR(_xlfn.XLOOKUP(A1810,HC!A:A,HC!C:C),"")</f>
        <v>Workforce</v>
      </c>
      <c r="R1810" s="78" t="b">
        <f t="shared" si="1402"/>
        <v>0</v>
      </c>
      <c r="S1810" s="78" t="b">
        <f t="shared" si="1403"/>
        <v>0</v>
      </c>
      <c r="T1810" s="78" t="b">
        <f t="shared" si="1404"/>
        <v>0</v>
      </c>
      <c r="U1810" s="78" t="b">
        <f t="shared" si="1405"/>
        <v>0</v>
      </c>
      <c r="V1810" s="78" t="b">
        <f t="shared" si="1406"/>
        <v>0</v>
      </c>
      <c r="W1810" s="78" t="b">
        <f t="shared" si="1407"/>
        <v>0</v>
      </c>
      <c r="X1810" s="78" t="b">
        <f t="shared" si="1408"/>
        <v>0</v>
      </c>
      <c r="Y1810" s="78" t="b">
        <f t="shared" si="1409"/>
        <v>0</v>
      </c>
      <c r="Z1810" s="78" t="b">
        <f t="shared" si="1410"/>
        <v>0</v>
      </c>
      <c r="AA1810" s="78" t="b">
        <f t="shared" si="1411"/>
        <v>0</v>
      </c>
      <c r="AB1810" s="78" t="b">
        <f t="shared" si="1412"/>
        <v>0</v>
      </c>
      <c r="AC1810" s="78" t="b">
        <f t="shared" si="1413"/>
        <v>0</v>
      </c>
      <c r="AD1810" s="78" t="b">
        <f t="shared" si="1414"/>
        <v>0</v>
      </c>
      <c r="AE1810" s="78" t="b">
        <f t="shared" si="1415"/>
        <v>0</v>
      </c>
      <c r="AF1810" s="78" t="b">
        <f t="shared" si="1416"/>
        <v>0</v>
      </c>
      <c r="AG1810" s="78" t="b">
        <f t="shared" si="1417"/>
        <v>0</v>
      </c>
      <c r="AH1810" s="78" t="b">
        <f t="shared" si="1418"/>
        <v>0</v>
      </c>
      <c r="AI1810" s="78" t="b">
        <f t="shared" si="1419"/>
        <v>0</v>
      </c>
      <c r="AJ1810" s="78" t="b">
        <f t="shared" si="1420"/>
        <v>0</v>
      </c>
      <c r="AK1810" s="78" t="b">
        <f t="shared" si="1421"/>
        <v>0</v>
      </c>
      <c r="AL1810" s="78" t="b">
        <f t="shared" si="1422"/>
        <v>0</v>
      </c>
      <c r="AM1810" s="78" t="b">
        <f t="shared" si="1423"/>
        <v>0</v>
      </c>
      <c r="AN1810" s="78" t="b">
        <f t="shared" si="1424"/>
        <v>0</v>
      </c>
      <c r="AO1810" s="78" t="b">
        <f t="shared" si="1425"/>
        <v>0</v>
      </c>
    </row>
    <row r="1811" spans="7:41" x14ac:dyDescent="0.35">
      <c r="G1811" s="77">
        <f t="shared" si="1395"/>
        <v>0</v>
      </c>
      <c r="H1811" s="78">
        <f t="shared" si="1396"/>
        <v>0</v>
      </c>
      <c r="I1811" s="77">
        <f t="shared" si="1397"/>
        <v>0</v>
      </c>
      <c r="J1811" s="78">
        <f t="shared" si="1398"/>
        <v>0</v>
      </c>
      <c r="K1811" s="78" t="str">
        <f t="shared" si="1399"/>
        <v>1900-01-00 00:0:00</v>
      </c>
      <c r="L1811" s="78" t="str">
        <f t="shared" si="1400"/>
        <v>1900-01-00 00:0:00</v>
      </c>
      <c r="M1811" s="79">
        <f t="shared" si="1401"/>
        <v>0</v>
      </c>
      <c r="N1811">
        <f t="shared" si="1426"/>
        <v>1</v>
      </c>
      <c r="O1811" t="str">
        <f>IFERROR(_xlfn.XLOOKUP(A1811,HC!A:A,HC!C:C),"")</f>
        <v>Workforce</v>
      </c>
      <c r="R1811" s="78" t="b">
        <f t="shared" si="1402"/>
        <v>0</v>
      </c>
      <c r="S1811" s="78" t="b">
        <f t="shared" si="1403"/>
        <v>0</v>
      </c>
      <c r="T1811" s="78" t="b">
        <f t="shared" si="1404"/>
        <v>0</v>
      </c>
      <c r="U1811" s="78" t="b">
        <f t="shared" si="1405"/>
        <v>0</v>
      </c>
      <c r="V1811" s="78" t="b">
        <f t="shared" si="1406"/>
        <v>0</v>
      </c>
      <c r="W1811" s="78" t="b">
        <f t="shared" si="1407"/>
        <v>0</v>
      </c>
      <c r="X1811" s="78" t="b">
        <f t="shared" si="1408"/>
        <v>0</v>
      </c>
      <c r="Y1811" s="78" t="b">
        <f t="shared" si="1409"/>
        <v>0</v>
      </c>
      <c r="Z1811" s="78" t="b">
        <f t="shared" si="1410"/>
        <v>0</v>
      </c>
      <c r="AA1811" s="78" t="b">
        <f t="shared" si="1411"/>
        <v>0</v>
      </c>
      <c r="AB1811" s="78" t="b">
        <f t="shared" si="1412"/>
        <v>0</v>
      </c>
      <c r="AC1811" s="78" t="b">
        <f t="shared" si="1413"/>
        <v>0</v>
      </c>
      <c r="AD1811" s="78" t="b">
        <f t="shared" si="1414"/>
        <v>0</v>
      </c>
      <c r="AE1811" s="78" t="b">
        <f t="shared" si="1415"/>
        <v>0</v>
      </c>
      <c r="AF1811" s="78" t="b">
        <f t="shared" si="1416"/>
        <v>0</v>
      </c>
      <c r="AG1811" s="78" t="b">
        <f t="shared" si="1417"/>
        <v>0</v>
      </c>
      <c r="AH1811" s="78" t="b">
        <f t="shared" si="1418"/>
        <v>0</v>
      </c>
      <c r="AI1811" s="78" t="b">
        <f t="shared" si="1419"/>
        <v>0</v>
      </c>
      <c r="AJ1811" s="78" t="b">
        <f t="shared" si="1420"/>
        <v>0</v>
      </c>
      <c r="AK1811" s="78" t="b">
        <f t="shared" si="1421"/>
        <v>0</v>
      </c>
      <c r="AL1811" s="78" t="b">
        <f t="shared" si="1422"/>
        <v>0</v>
      </c>
      <c r="AM1811" s="78" t="b">
        <f t="shared" si="1423"/>
        <v>0</v>
      </c>
      <c r="AN1811" s="78" t="b">
        <f t="shared" si="1424"/>
        <v>0</v>
      </c>
      <c r="AO1811" s="78" t="b">
        <f t="shared" si="1425"/>
        <v>0</v>
      </c>
    </row>
    <row r="1812" spans="7:41" x14ac:dyDescent="0.35">
      <c r="G1812" s="77">
        <f t="shared" si="1395"/>
        <v>0</v>
      </c>
      <c r="H1812" s="78">
        <f t="shared" si="1396"/>
        <v>0</v>
      </c>
      <c r="I1812" s="77">
        <f t="shared" si="1397"/>
        <v>0</v>
      </c>
      <c r="J1812" s="78">
        <f t="shared" si="1398"/>
        <v>0</v>
      </c>
      <c r="K1812" s="78" t="str">
        <f t="shared" si="1399"/>
        <v>1900-01-00 00:0:00</v>
      </c>
      <c r="L1812" s="78" t="str">
        <f t="shared" si="1400"/>
        <v>1900-01-00 00:0:00</v>
      </c>
      <c r="M1812" s="79">
        <f t="shared" si="1401"/>
        <v>0</v>
      </c>
      <c r="N1812">
        <f t="shared" si="1426"/>
        <v>1</v>
      </c>
      <c r="O1812" t="str">
        <f>IFERROR(_xlfn.XLOOKUP(A1812,HC!A:A,HC!C:C),"")</f>
        <v>Workforce</v>
      </c>
      <c r="R1812" s="78" t="b">
        <f t="shared" si="1402"/>
        <v>0</v>
      </c>
      <c r="S1812" s="78" t="b">
        <f t="shared" si="1403"/>
        <v>0</v>
      </c>
      <c r="T1812" s="78" t="b">
        <f t="shared" si="1404"/>
        <v>0</v>
      </c>
      <c r="U1812" s="78" t="b">
        <f t="shared" si="1405"/>
        <v>0</v>
      </c>
      <c r="V1812" s="78" t="b">
        <f t="shared" si="1406"/>
        <v>0</v>
      </c>
      <c r="W1812" s="78" t="b">
        <f t="shared" si="1407"/>
        <v>0</v>
      </c>
      <c r="X1812" s="78" t="b">
        <f t="shared" si="1408"/>
        <v>0</v>
      </c>
      <c r="Y1812" s="78" t="b">
        <f t="shared" si="1409"/>
        <v>0</v>
      </c>
      <c r="Z1812" s="78" t="b">
        <f t="shared" si="1410"/>
        <v>0</v>
      </c>
      <c r="AA1812" s="78" t="b">
        <f t="shared" si="1411"/>
        <v>0</v>
      </c>
      <c r="AB1812" s="78" t="b">
        <f t="shared" si="1412"/>
        <v>0</v>
      </c>
      <c r="AC1812" s="78" t="b">
        <f t="shared" si="1413"/>
        <v>0</v>
      </c>
      <c r="AD1812" s="78" t="b">
        <f t="shared" si="1414"/>
        <v>0</v>
      </c>
      <c r="AE1812" s="78" t="b">
        <f t="shared" si="1415"/>
        <v>0</v>
      </c>
      <c r="AF1812" s="78" t="b">
        <f t="shared" si="1416"/>
        <v>0</v>
      </c>
      <c r="AG1812" s="78" t="b">
        <f t="shared" si="1417"/>
        <v>0</v>
      </c>
      <c r="AH1812" s="78" t="b">
        <f t="shared" si="1418"/>
        <v>0</v>
      </c>
      <c r="AI1812" s="78" t="b">
        <f t="shared" si="1419"/>
        <v>0</v>
      </c>
      <c r="AJ1812" s="78" t="b">
        <f t="shared" si="1420"/>
        <v>0</v>
      </c>
      <c r="AK1812" s="78" t="b">
        <f t="shared" si="1421"/>
        <v>0</v>
      </c>
      <c r="AL1812" s="78" t="b">
        <f t="shared" si="1422"/>
        <v>0</v>
      </c>
      <c r="AM1812" s="78" t="b">
        <f t="shared" si="1423"/>
        <v>0</v>
      </c>
      <c r="AN1812" s="78" t="b">
        <f t="shared" si="1424"/>
        <v>0</v>
      </c>
      <c r="AO1812" s="78" t="b">
        <f t="shared" si="1425"/>
        <v>0</v>
      </c>
    </row>
    <row r="1813" spans="7:41" x14ac:dyDescent="0.35">
      <c r="G1813" s="77">
        <f t="shared" si="1395"/>
        <v>0</v>
      </c>
      <c r="H1813" s="78">
        <f t="shared" si="1396"/>
        <v>0</v>
      </c>
      <c r="I1813" s="77">
        <f t="shared" si="1397"/>
        <v>0</v>
      </c>
      <c r="J1813" s="78">
        <f t="shared" si="1398"/>
        <v>0</v>
      </c>
      <c r="K1813" s="78" t="str">
        <f t="shared" si="1399"/>
        <v>1900-01-00 00:0:00</v>
      </c>
      <c r="L1813" s="78" t="str">
        <f t="shared" si="1400"/>
        <v>1900-01-00 00:0:00</v>
      </c>
      <c r="M1813" s="79">
        <f t="shared" si="1401"/>
        <v>0</v>
      </c>
      <c r="N1813">
        <f t="shared" si="1426"/>
        <v>1</v>
      </c>
      <c r="O1813" t="str">
        <f>IFERROR(_xlfn.XLOOKUP(A1813,HC!A:A,HC!C:C),"")</f>
        <v>Workforce</v>
      </c>
      <c r="R1813" s="78" t="b">
        <f t="shared" si="1402"/>
        <v>0</v>
      </c>
      <c r="S1813" s="78" t="b">
        <f t="shared" si="1403"/>
        <v>0</v>
      </c>
      <c r="T1813" s="78" t="b">
        <f t="shared" si="1404"/>
        <v>0</v>
      </c>
      <c r="U1813" s="78" t="b">
        <f t="shared" si="1405"/>
        <v>0</v>
      </c>
      <c r="V1813" s="78" t="b">
        <f t="shared" si="1406"/>
        <v>0</v>
      </c>
      <c r="W1813" s="78" t="b">
        <f t="shared" si="1407"/>
        <v>0</v>
      </c>
      <c r="X1813" s="78" t="b">
        <f t="shared" si="1408"/>
        <v>0</v>
      </c>
      <c r="Y1813" s="78" t="b">
        <f t="shared" si="1409"/>
        <v>0</v>
      </c>
      <c r="Z1813" s="78" t="b">
        <f t="shared" si="1410"/>
        <v>0</v>
      </c>
      <c r="AA1813" s="78" t="b">
        <f t="shared" si="1411"/>
        <v>0</v>
      </c>
      <c r="AB1813" s="78" t="b">
        <f t="shared" si="1412"/>
        <v>0</v>
      </c>
      <c r="AC1813" s="78" t="b">
        <f t="shared" si="1413"/>
        <v>0</v>
      </c>
      <c r="AD1813" s="78" t="b">
        <f t="shared" si="1414"/>
        <v>0</v>
      </c>
      <c r="AE1813" s="78" t="b">
        <f t="shared" si="1415"/>
        <v>0</v>
      </c>
      <c r="AF1813" s="78" t="b">
        <f t="shared" si="1416"/>
        <v>0</v>
      </c>
      <c r="AG1813" s="78" t="b">
        <f t="shared" si="1417"/>
        <v>0</v>
      </c>
      <c r="AH1813" s="78" t="b">
        <f t="shared" si="1418"/>
        <v>0</v>
      </c>
      <c r="AI1813" s="78" t="b">
        <f t="shared" si="1419"/>
        <v>0</v>
      </c>
      <c r="AJ1813" s="78" t="b">
        <f t="shared" si="1420"/>
        <v>0</v>
      </c>
      <c r="AK1813" s="78" t="b">
        <f t="shared" si="1421"/>
        <v>0</v>
      </c>
      <c r="AL1813" s="78" t="b">
        <f t="shared" si="1422"/>
        <v>0</v>
      </c>
      <c r="AM1813" s="78" t="b">
        <f t="shared" si="1423"/>
        <v>0</v>
      </c>
      <c r="AN1813" s="78" t="b">
        <f t="shared" si="1424"/>
        <v>0</v>
      </c>
      <c r="AO1813" s="78" t="b">
        <f t="shared" si="1425"/>
        <v>0</v>
      </c>
    </row>
    <row r="1814" spans="7:41" x14ac:dyDescent="0.35">
      <c r="G1814" s="77">
        <f t="shared" si="1395"/>
        <v>0</v>
      </c>
      <c r="H1814" s="78">
        <f t="shared" si="1396"/>
        <v>0</v>
      </c>
      <c r="I1814" s="77">
        <f t="shared" si="1397"/>
        <v>0</v>
      </c>
      <c r="J1814" s="78">
        <f t="shared" si="1398"/>
        <v>0</v>
      </c>
      <c r="K1814" s="78" t="str">
        <f t="shared" si="1399"/>
        <v>1900-01-00 00:0:00</v>
      </c>
      <c r="L1814" s="78" t="str">
        <f t="shared" si="1400"/>
        <v>1900-01-00 00:0:00</v>
      </c>
      <c r="M1814" s="79">
        <f t="shared" si="1401"/>
        <v>0</v>
      </c>
      <c r="N1814">
        <f t="shared" si="1426"/>
        <v>1</v>
      </c>
      <c r="O1814" t="str">
        <f>IFERROR(_xlfn.XLOOKUP(A1814,HC!A:A,HC!C:C),"")</f>
        <v>Workforce</v>
      </c>
      <c r="R1814" s="78" t="b">
        <f t="shared" si="1402"/>
        <v>0</v>
      </c>
      <c r="S1814" s="78" t="b">
        <f t="shared" si="1403"/>
        <v>0</v>
      </c>
      <c r="T1814" s="78" t="b">
        <f t="shared" si="1404"/>
        <v>0</v>
      </c>
      <c r="U1814" s="78" t="b">
        <f t="shared" si="1405"/>
        <v>0</v>
      </c>
      <c r="V1814" s="78" t="b">
        <f t="shared" si="1406"/>
        <v>0</v>
      </c>
      <c r="W1814" s="78" t="b">
        <f t="shared" si="1407"/>
        <v>0</v>
      </c>
      <c r="X1814" s="78" t="b">
        <f t="shared" si="1408"/>
        <v>0</v>
      </c>
      <c r="Y1814" s="78" t="b">
        <f t="shared" si="1409"/>
        <v>0</v>
      </c>
      <c r="Z1814" s="78" t="b">
        <f t="shared" si="1410"/>
        <v>0</v>
      </c>
      <c r="AA1814" s="78" t="b">
        <f t="shared" si="1411"/>
        <v>0</v>
      </c>
      <c r="AB1814" s="78" t="b">
        <f t="shared" si="1412"/>
        <v>0</v>
      </c>
      <c r="AC1814" s="78" t="b">
        <f t="shared" si="1413"/>
        <v>0</v>
      </c>
      <c r="AD1814" s="78" t="b">
        <f t="shared" si="1414"/>
        <v>0</v>
      </c>
      <c r="AE1814" s="78" t="b">
        <f t="shared" si="1415"/>
        <v>0</v>
      </c>
      <c r="AF1814" s="78" t="b">
        <f t="shared" si="1416"/>
        <v>0</v>
      </c>
      <c r="AG1814" s="78" t="b">
        <f t="shared" si="1417"/>
        <v>0</v>
      </c>
      <c r="AH1814" s="78" t="b">
        <f t="shared" si="1418"/>
        <v>0</v>
      </c>
      <c r="AI1814" s="78" t="b">
        <f t="shared" si="1419"/>
        <v>0</v>
      </c>
      <c r="AJ1814" s="78" t="b">
        <f t="shared" si="1420"/>
        <v>0</v>
      </c>
      <c r="AK1814" s="78" t="b">
        <f t="shared" si="1421"/>
        <v>0</v>
      </c>
      <c r="AL1814" s="78" t="b">
        <f t="shared" si="1422"/>
        <v>0</v>
      </c>
      <c r="AM1814" s="78" t="b">
        <f t="shared" si="1423"/>
        <v>0</v>
      </c>
      <c r="AN1814" s="78" t="b">
        <f t="shared" si="1424"/>
        <v>0</v>
      </c>
      <c r="AO1814" s="78" t="b">
        <f t="shared" si="1425"/>
        <v>0</v>
      </c>
    </row>
    <row r="1815" spans="7:41" x14ac:dyDescent="0.35">
      <c r="G1815" s="77">
        <f t="shared" si="1395"/>
        <v>0</v>
      </c>
      <c r="H1815" s="78">
        <f t="shared" si="1396"/>
        <v>0</v>
      </c>
      <c r="I1815" s="77">
        <f t="shared" si="1397"/>
        <v>0</v>
      </c>
      <c r="J1815" s="78">
        <f t="shared" si="1398"/>
        <v>0</v>
      </c>
      <c r="K1815" s="78" t="str">
        <f t="shared" si="1399"/>
        <v>1900-01-00 00:0:00</v>
      </c>
      <c r="L1815" s="78" t="str">
        <f t="shared" si="1400"/>
        <v>1900-01-00 00:0:00</v>
      </c>
      <c r="M1815" s="79">
        <f t="shared" si="1401"/>
        <v>0</v>
      </c>
      <c r="N1815">
        <f t="shared" si="1426"/>
        <v>1</v>
      </c>
      <c r="O1815" t="str">
        <f>IFERROR(_xlfn.XLOOKUP(A1815,HC!A:A,HC!C:C),"")</f>
        <v>Workforce</v>
      </c>
      <c r="R1815" s="78" t="b">
        <f t="shared" si="1402"/>
        <v>0</v>
      </c>
      <c r="S1815" s="78" t="b">
        <f t="shared" si="1403"/>
        <v>0</v>
      </c>
      <c r="T1815" s="78" t="b">
        <f t="shared" si="1404"/>
        <v>0</v>
      </c>
      <c r="U1815" s="78" t="b">
        <f t="shared" si="1405"/>
        <v>0</v>
      </c>
      <c r="V1815" s="78" t="b">
        <f t="shared" si="1406"/>
        <v>0</v>
      </c>
      <c r="W1815" s="78" t="b">
        <f t="shared" si="1407"/>
        <v>0</v>
      </c>
      <c r="X1815" s="78" t="b">
        <f t="shared" si="1408"/>
        <v>0</v>
      </c>
      <c r="Y1815" s="78" t="b">
        <f t="shared" si="1409"/>
        <v>0</v>
      </c>
      <c r="Z1815" s="78" t="b">
        <f t="shared" si="1410"/>
        <v>0</v>
      </c>
      <c r="AA1815" s="78" t="b">
        <f t="shared" si="1411"/>
        <v>0</v>
      </c>
      <c r="AB1815" s="78" t="b">
        <f t="shared" si="1412"/>
        <v>0</v>
      </c>
      <c r="AC1815" s="78" t="b">
        <f t="shared" si="1413"/>
        <v>0</v>
      </c>
      <c r="AD1815" s="78" t="b">
        <f t="shared" si="1414"/>
        <v>0</v>
      </c>
      <c r="AE1815" s="78" t="b">
        <f t="shared" si="1415"/>
        <v>0</v>
      </c>
      <c r="AF1815" s="78" t="b">
        <f t="shared" si="1416"/>
        <v>0</v>
      </c>
      <c r="AG1815" s="78" t="b">
        <f t="shared" si="1417"/>
        <v>0</v>
      </c>
      <c r="AH1815" s="78" t="b">
        <f t="shared" si="1418"/>
        <v>0</v>
      </c>
      <c r="AI1815" s="78" t="b">
        <f t="shared" si="1419"/>
        <v>0</v>
      </c>
      <c r="AJ1815" s="78" t="b">
        <f t="shared" si="1420"/>
        <v>0</v>
      </c>
      <c r="AK1815" s="78" t="b">
        <f t="shared" si="1421"/>
        <v>0</v>
      </c>
      <c r="AL1815" s="78" t="b">
        <f t="shared" si="1422"/>
        <v>0</v>
      </c>
      <c r="AM1815" s="78" t="b">
        <f t="shared" si="1423"/>
        <v>0</v>
      </c>
      <c r="AN1815" s="78" t="b">
        <f t="shared" si="1424"/>
        <v>0</v>
      </c>
      <c r="AO1815" s="78" t="b">
        <f t="shared" si="1425"/>
        <v>0</v>
      </c>
    </row>
    <row r="1816" spans="7:41" x14ac:dyDescent="0.35">
      <c r="G1816" s="77">
        <f t="shared" si="1395"/>
        <v>0</v>
      </c>
      <c r="H1816" s="78">
        <f t="shared" si="1396"/>
        <v>0</v>
      </c>
      <c r="I1816" s="77">
        <f t="shared" si="1397"/>
        <v>0</v>
      </c>
      <c r="J1816" s="78">
        <f t="shared" si="1398"/>
        <v>0</v>
      </c>
      <c r="K1816" s="78" t="str">
        <f t="shared" si="1399"/>
        <v>1900-01-00 00:0:00</v>
      </c>
      <c r="L1816" s="78" t="str">
        <f t="shared" si="1400"/>
        <v>1900-01-00 00:0:00</v>
      </c>
      <c r="M1816" s="79">
        <f t="shared" si="1401"/>
        <v>0</v>
      </c>
      <c r="N1816">
        <f t="shared" si="1426"/>
        <v>1</v>
      </c>
      <c r="O1816" t="str">
        <f>IFERROR(_xlfn.XLOOKUP(A1816,HC!A:A,HC!C:C),"")</f>
        <v>Workforce</v>
      </c>
      <c r="R1816" s="78" t="b">
        <f t="shared" si="1402"/>
        <v>0</v>
      </c>
      <c r="S1816" s="78" t="b">
        <f t="shared" si="1403"/>
        <v>0</v>
      </c>
      <c r="T1816" s="78" t="b">
        <f t="shared" si="1404"/>
        <v>0</v>
      </c>
      <c r="U1816" s="78" t="b">
        <f t="shared" si="1405"/>
        <v>0</v>
      </c>
      <c r="V1816" s="78" t="b">
        <f t="shared" si="1406"/>
        <v>0</v>
      </c>
      <c r="W1816" s="78" t="b">
        <f t="shared" si="1407"/>
        <v>0</v>
      </c>
      <c r="X1816" s="78" t="b">
        <f t="shared" si="1408"/>
        <v>0</v>
      </c>
      <c r="Y1816" s="78" t="b">
        <f t="shared" si="1409"/>
        <v>0</v>
      </c>
      <c r="Z1816" s="78" t="b">
        <f t="shared" si="1410"/>
        <v>0</v>
      </c>
      <c r="AA1816" s="78" t="b">
        <f t="shared" si="1411"/>
        <v>0</v>
      </c>
      <c r="AB1816" s="78" t="b">
        <f t="shared" si="1412"/>
        <v>0</v>
      </c>
      <c r="AC1816" s="78" t="b">
        <f t="shared" si="1413"/>
        <v>0</v>
      </c>
      <c r="AD1816" s="78" t="b">
        <f t="shared" si="1414"/>
        <v>0</v>
      </c>
      <c r="AE1816" s="78" t="b">
        <f t="shared" si="1415"/>
        <v>0</v>
      </c>
      <c r="AF1816" s="78" t="b">
        <f t="shared" si="1416"/>
        <v>0</v>
      </c>
      <c r="AG1816" s="78" t="b">
        <f t="shared" si="1417"/>
        <v>0</v>
      </c>
      <c r="AH1816" s="78" t="b">
        <f t="shared" si="1418"/>
        <v>0</v>
      </c>
      <c r="AI1816" s="78" t="b">
        <f t="shared" si="1419"/>
        <v>0</v>
      </c>
      <c r="AJ1816" s="78" t="b">
        <f t="shared" si="1420"/>
        <v>0</v>
      </c>
      <c r="AK1816" s="78" t="b">
        <f t="shared" si="1421"/>
        <v>0</v>
      </c>
      <c r="AL1816" s="78" t="b">
        <f t="shared" si="1422"/>
        <v>0</v>
      </c>
      <c r="AM1816" s="78" t="b">
        <f t="shared" si="1423"/>
        <v>0</v>
      </c>
      <c r="AN1816" s="78" t="b">
        <f t="shared" si="1424"/>
        <v>0</v>
      </c>
      <c r="AO1816" s="78" t="b">
        <f t="shared" si="1425"/>
        <v>0</v>
      </c>
    </row>
    <row r="1817" spans="7:41" x14ac:dyDescent="0.35">
      <c r="G1817" s="77">
        <f t="shared" si="1395"/>
        <v>0</v>
      </c>
      <c r="H1817" s="78">
        <f t="shared" si="1396"/>
        <v>0</v>
      </c>
      <c r="I1817" s="77">
        <f t="shared" si="1397"/>
        <v>0</v>
      </c>
      <c r="J1817" s="78">
        <f t="shared" si="1398"/>
        <v>0</v>
      </c>
      <c r="K1817" s="78" t="str">
        <f t="shared" si="1399"/>
        <v>1900-01-00 00:0:00</v>
      </c>
      <c r="L1817" s="78" t="str">
        <f t="shared" si="1400"/>
        <v>1900-01-00 00:0:00</v>
      </c>
      <c r="M1817" s="79">
        <f t="shared" si="1401"/>
        <v>0</v>
      </c>
      <c r="N1817">
        <f t="shared" si="1426"/>
        <v>1</v>
      </c>
      <c r="O1817" t="str">
        <f>IFERROR(_xlfn.XLOOKUP(A1817,HC!A:A,HC!C:C),"")</f>
        <v>Workforce</v>
      </c>
      <c r="R1817" s="78" t="b">
        <f t="shared" si="1402"/>
        <v>0</v>
      </c>
      <c r="S1817" s="78" t="b">
        <f t="shared" si="1403"/>
        <v>0</v>
      </c>
      <c r="T1817" s="78" t="b">
        <f t="shared" si="1404"/>
        <v>0</v>
      </c>
      <c r="U1817" s="78" t="b">
        <f t="shared" si="1405"/>
        <v>0</v>
      </c>
      <c r="V1817" s="78" t="b">
        <f t="shared" si="1406"/>
        <v>0</v>
      </c>
      <c r="W1817" s="78" t="b">
        <f t="shared" si="1407"/>
        <v>0</v>
      </c>
      <c r="X1817" s="78" t="b">
        <f t="shared" si="1408"/>
        <v>0</v>
      </c>
      <c r="Y1817" s="78" t="b">
        <f t="shared" si="1409"/>
        <v>0</v>
      </c>
      <c r="Z1817" s="78" t="b">
        <f t="shared" si="1410"/>
        <v>0</v>
      </c>
      <c r="AA1817" s="78" t="b">
        <f t="shared" si="1411"/>
        <v>0</v>
      </c>
      <c r="AB1817" s="78" t="b">
        <f t="shared" si="1412"/>
        <v>0</v>
      </c>
      <c r="AC1817" s="78" t="b">
        <f t="shared" si="1413"/>
        <v>0</v>
      </c>
      <c r="AD1817" s="78" t="b">
        <f t="shared" si="1414"/>
        <v>0</v>
      </c>
      <c r="AE1817" s="78" t="b">
        <f t="shared" si="1415"/>
        <v>0</v>
      </c>
      <c r="AF1817" s="78" t="b">
        <f t="shared" si="1416"/>
        <v>0</v>
      </c>
      <c r="AG1817" s="78" t="b">
        <f t="shared" si="1417"/>
        <v>0</v>
      </c>
      <c r="AH1817" s="78" t="b">
        <f t="shared" si="1418"/>
        <v>0</v>
      </c>
      <c r="AI1817" s="78" t="b">
        <f t="shared" si="1419"/>
        <v>0</v>
      </c>
      <c r="AJ1817" s="78" t="b">
        <f t="shared" si="1420"/>
        <v>0</v>
      </c>
      <c r="AK1817" s="78" t="b">
        <f t="shared" si="1421"/>
        <v>0</v>
      </c>
      <c r="AL1817" s="78" t="b">
        <f t="shared" si="1422"/>
        <v>0</v>
      </c>
      <c r="AM1817" s="78" t="b">
        <f t="shared" si="1423"/>
        <v>0</v>
      </c>
      <c r="AN1817" s="78" t="b">
        <f t="shared" si="1424"/>
        <v>0</v>
      </c>
      <c r="AO1817" s="78" t="b">
        <f t="shared" si="1425"/>
        <v>0</v>
      </c>
    </row>
    <row r="1818" spans="7:41" x14ac:dyDescent="0.35">
      <c r="G1818" s="77">
        <f t="shared" si="1395"/>
        <v>0</v>
      </c>
      <c r="H1818" s="78">
        <f t="shared" si="1396"/>
        <v>0</v>
      </c>
      <c r="I1818" s="77">
        <f t="shared" si="1397"/>
        <v>0</v>
      </c>
      <c r="J1818" s="78">
        <f t="shared" si="1398"/>
        <v>0</v>
      </c>
      <c r="K1818" s="78" t="str">
        <f t="shared" si="1399"/>
        <v>1900-01-00 00:0:00</v>
      </c>
      <c r="L1818" s="78" t="str">
        <f t="shared" si="1400"/>
        <v>1900-01-00 00:0:00</v>
      </c>
      <c r="M1818" s="79">
        <f t="shared" si="1401"/>
        <v>0</v>
      </c>
      <c r="N1818">
        <f t="shared" si="1426"/>
        <v>1</v>
      </c>
      <c r="O1818" t="str">
        <f>IFERROR(_xlfn.XLOOKUP(A1818,HC!A:A,HC!C:C),"")</f>
        <v>Workforce</v>
      </c>
      <c r="R1818" s="78" t="b">
        <f t="shared" si="1402"/>
        <v>0</v>
      </c>
      <c r="S1818" s="78" t="b">
        <f t="shared" si="1403"/>
        <v>0</v>
      </c>
      <c r="T1818" s="78" t="b">
        <f t="shared" si="1404"/>
        <v>0</v>
      </c>
      <c r="U1818" s="78" t="b">
        <f t="shared" si="1405"/>
        <v>0</v>
      </c>
      <c r="V1818" s="78" t="b">
        <f t="shared" si="1406"/>
        <v>0</v>
      </c>
      <c r="W1818" s="78" t="b">
        <f t="shared" si="1407"/>
        <v>0</v>
      </c>
      <c r="X1818" s="78" t="b">
        <f t="shared" si="1408"/>
        <v>0</v>
      </c>
      <c r="Y1818" s="78" t="b">
        <f t="shared" si="1409"/>
        <v>0</v>
      </c>
      <c r="Z1818" s="78" t="b">
        <f t="shared" si="1410"/>
        <v>0</v>
      </c>
      <c r="AA1818" s="78" t="b">
        <f t="shared" si="1411"/>
        <v>0</v>
      </c>
      <c r="AB1818" s="78" t="b">
        <f t="shared" si="1412"/>
        <v>0</v>
      </c>
      <c r="AC1818" s="78" t="b">
        <f t="shared" si="1413"/>
        <v>0</v>
      </c>
      <c r="AD1818" s="78" t="b">
        <f t="shared" si="1414"/>
        <v>0</v>
      </c>
      <c r="AE1818" s="78" t="b">
        <f t="shared" si="1415"/>
        <v>0</v>
      </c>
      <c r="AF1818" s="78" t="b">
        <f t="shared" si="1416"/>
        <v>0</v>
      </c>
      <c r="AG1818" s="78" t="b">
        <f t="shared" si="1417"/>
        <v>0</v>
      </c>
      <c r="AH1818" s="78" t="b">
        <f t="shared" si="1418"/>
        <v>0</v>
      </c>
      <c r="AI1818" s="78" t="b">
        <f t="shared" si="1419"/>
        <v>0</v>
      </c>
      <c r="AJ1818" s="78" t="b">
        <f t="shared" si="1420"/>
        <v>0</v>
      </c>
      <c r="AK1818" s="78" t="b">
        <f t="shared" si="1421"/>
        <v>0</v>
      </c>
      <c r="AL1818" s="78" t="b">
        <f t="shared" si="1422"/>
        <v>0</v>
      </c>
      <c r="AM1818" s="78" t="b">
        <f t="shared" si="1423"/>
        <v>0</v>
      </c>
      <c r="AN1818" s="78" t="b">
        <f t="shared" si="1424"/>
        <v>0</v>
      </c>
      <c r="AO1818" s="78" t="b">
        <f t="shared" si="1425"/>
        <v>0</v>
      </c>
    </row>
    <row r="1819" spans="7:41" x14ac:dyDescent="0.35">
      <c r="G1819" s="77">
        <f t="shared" si="1395"/>
        <v>0</v>
      </c>
      <c r="H1819" s="78">
        <f t="shared" si="1396"/>
        <v>0</v>
      </c>
      <c r="I1819" s="77">
        <f t="shared" si="1397"/>
        <v>0</v>
      </c>
      <c r="J1819" s="78">
        <f t="shared" si="1398"/>
        <v>0</v>
      </c>
      <c r="K1819" s="78" t="str">
        <f t="shared" si="1399"/>
        <v>1900-01-00 00:0:00</v>
      </c>
      <c r="L1819" s="78" t="str">
        <f t="shared" si="1400"/>
        <v>1900-01-00 00:0:00</v>
      </c>
      <c r="M1819" s="79">
        <f t="shared" si="1401"/>
        <v>0</v>
      </c>
      <c r="N1819">
        <f t="shared" si="1426"/>
        <v>1</v>
      </c>
      <c r="O1819" t="str">
        <f>IFERROR(_xlfn.XLOOKUP(A1819,HC!A:A,HC!C:C),"")</f>
        <v>Workforce</v>
      </c>
      <c r="R1819" s="78" t="b">
        <f t="shared" si="1402"/>
        <v>0</v>
      </c>
      <c r="S1819" s="78" t="b">
        <f t="shared" si="1403"/>
        <v>0</v>
      </c>
      <c r="T1819" s="78" t="b">
        <f t="shared" si="1404"/>
        <v>0</v>
      </c>
      <c r="U1819" s="78" t="b">
        <f t="shared" si="1405"/>
        <v>0</v>
      </c>
      <c r="V1819" s="78" t="b">
        <f t="shared" si="1406"/>
        <v>0</v>
      </c>
      <c r="W1819" s="78" t="b">
        <f t="shared" si="1407"/>
        <v>0</v>
      </c>
      <c r="X1819" s="78" t="b">
        <f t="shared" si="1408"/>
        <v>0</v>
      </c>
      <c r="Y1819" s="78" t="b">
        <f t="shared" si="1409"/>
        <v>0</v>
      </c>
      <c r="Z1819" s="78" t="b">
        <f t="shared" si="1410"/>
        <v>0</v>
      </c>
      <c r="AA1819" s="78" t="b">
        <f t="shared" si="1411"/>
        <v>0</v>
      </c>
      <c r="AB1819" s="78" t="b">
        <f t="shared" si="1412"/>
        <v>0</v>
      </c>
      <c r="AC1819" s="78" t="b">
        <f t="shared" si="1413"/>
        <v>0</v>
      </c>
      <c r="AD1819" s="78" t="b">
        <f t="shared" si="1414"/>
        <v>0</v>
      </c>
      <c r="AE1819" s="78" t="b">
        <f t="shared" si="1415"/>
        <v>0</v>
      </c>
      <c r="AF1819" s="78" t="b">
        <f t="shared" si="1416"/>
        <v>0</v>
      </c>
      <c r="AG1819" s="78" t="b">
        <f t="shared" si="1417"/>
        <v>0</v>
      </c>
      <c r="AH1819" s="78" t="b">
        <f t="shared" si="1418"/>
        <v>0</v>
      </c>
      <c r="AI1819" s="78" t="b">
        <f t="shared" si="1419"/>
        <v>0</v>
      </c>
      <c r="AJ1819" s="78" t="b">
        <f t="shared" si="1420"/>
        <v>0</v>
      </c>
      <c r="AK1819" s="78" t="b">
        <f t="shared" si="1421"/>
        <v>0</v>
      </c>
      <c r="AL1819" s="78" t="b">
        <f t="shared" si="1422"/>
        <v>0</v>
      </c>
      <c r="AM1819" s="78" t="b">
        <f t="shared" si="1423"/>
        <v>0</v>
      </c>
      <c r="AN1819" s="78" t="b">
        <f t="shared" si="1424"/>
        <v>0</v>
      </c>
      <c r="AO1819" s="78" t="b">
        <f t="shared" si="1425"/>
        <v>0</v>
      </c>
    </row>
    <row r="1820" spans="7:41" x14ac:dyDescent="0.35">
      <c r="G1820" s="77">
        <f t="shared" si="1395"/>
        <v>0</v>
      </c>
      <c r="H1820" s="78">
        <f t="shared" si="1396"/>
        <v>0</v>
      </c>
      <c r="I1820" s="77">
        <f t="shared" si="1397"/>
        <v>0</v>
      </c>
      <c r="J1820" s="78">
        <f t="shared" si="1398"/>
        <v>0</v>
      </c>
      <c r="K1820" s="78" t="str">
        <f t="shared" si="1399"/>
        <v>1900-01-00 00:0:00</v>
      </c>
      <c r="L1820" s="78" t="str">
        <f t="shared" si="1400"/>
        <v>1900-01-00 00:0:00</v>
      </c>
      <c r="M1820" s="79">
        <f t="shared" si="1401"/>
        <v>0</v>
      </c>
      <c r="N1820">
        <f t="shared" si="1426"/>
        <v>1</v>
      </c>
      <c r="O1820" t="str">
        <f>IFERROR(_xlfn.XLOOKUP(A1820,HC!A:A,HC!C:C),"")</f>
        <v>Workforce</v>
      </c>
      <c r="R1820" s="78" t="b">
        <f t="shared" si="1402"/>
        <v>0</v>
      </c>
      <c r="S1820" s="78" t="b">
        <f t="shared" si="1403"/>
        <v>0</v>
      </c>
      <c r="T1820" s="78" t="b">
        <f t="shared" si="1404"/>
        <v>0</v>
      </c>
      <c r="U1820" s="78" t="b">
        <f t="shared" si="1405"/>
        <v>0</v>
      </c>
      <c r="V1820" s="78" t="b">
        <f t="shared" si="1406"/>
        <v>0</v>
      </c>
      <c r="W1820" s="78" t="b">
        <f t="shared" si="1407"/>
        <v>0</v>
      </c>
      <c r="X1820" s="78" t="b">
        <f t="shared" si="1408"/>
        <v>0</v>
      </c>
      <c r="Y1820" s="78" t="b">
        <f t="shared" si="1409"/>
        <v>0</v>
      </c>
      <c r="Z1820" s="78" t="b">
        <f t="shared" si="1410"/>
        <v>0</v>
      </c>
      <c r="AA1820" s="78" t="b">
        <f t="shared" si="1411"/>
        <v>0</v>
      </c>
      <c r="AB1820" s="78" t="b">
        <f t="shared" si="1412"/>
        <v>0</v>
      </c>
      <c r="AC1820" s="78" t="b">
        <f t="shared" si="1413"/>
        <v>0</v>
      </c>
      <c r="AD1820" s="78" t="b">
        <f t="shared" si="1414"/>
        <v>0</v>
      </c>
      <c r="AE1820" s="78" t="b">
        <f t="shared" si="1415"/>
        <v>0</v>
      </c>
      <c r="AF1820" s="78" t="b">
        <f t="shared" si="1416"/>
        <v>0</v>
      </c>
      <c r="AG1820" s="78" t="b">
        <f t="shared" si="1417"/>
        <v>0</v>
      </c>
      <c r="AH1820" s="78" t="b">
        <f t="shared" si="1418"/>
        <v>0</v>
      </c>
      <c r="AI1820" s="78" t="b">
        <f t="shared" si="1419"/>
        <v>0</v>
      </c>
      <c r="AJ1820" s="78" t="b">
        <f t="shared" si="1420"/>
        <v>0</v>
      </c>
      <c r="AK1820" s="78" t="b">
        <f t="shared" si="1421"/>
        <v>0</v>
      </c>
      <c r="AL1820" s="78" t="b">
        <f t="shared" si="1422"/>
        <v>0</v>
      </c>
      <c r="AM1820" s="78" t="b">
        <f t="shared" si="1423"/>
        <v>0</v>
      </c>
      <c r="AN1820" s="78" t="b">
        <f t="shared" si="1424"/>
        <v>0</v>
      </c>
      <c r="AO1820" s="78" t="b">
        <f t="shared" si="1425"/>
        <v>0</v>
      </c>
    </row>
    <row r="1821" spans="7:41" x14ac:dyDescent="0.35">
      <c r="G1821" s="77">
        <f t="shared" si="1395"/>
        <v>0</v>
      </c>
      <c r="H1821" s="78">
        <f t="shared" si="1396"/>
        <v>0</v>
      </c>
      <c r="I1821" s="77">
        <f t="shared" si="1397"/>
        <v>0</v>
      </c>
      <c r="J1821" s="78">
        <f t="shared" si="1398"/>
        <v>0</v>
      </c>
      <c r="K1821" s="78" t="str">
        <f t="shared" si="1399"/>
        <v>1900-01-00 00:0:00</v>
      </c>
      <c r="L1821" s="78" t="str">
        <f t="shared" si="1400"/>
        <v>1900-01-00 00:0:00</v>
      </c>
      <c r="M1821" s="79">
        <f t="shared" si="1401"/>
        <v>0</v>
      </c>
      <c r="N1821">
        <f t="shared" si="1426"/>
        <v>1</v>
      </c>
      <c r="O1821" t="str">
        <f>IFERROR(_xlfn.XLOOKUP(A1821,HC!A:A,HC!C:C),"")</f>
        <v>Workforce</v>
      </c>
      <c r="R1821" s="78" t="b">
        <f t="shared" si="1402"/>
        <v>0</v>
      </c>
      <c r="S1821" s="78" t="b">
        <f t="shared" si="1403"/>
        <v>0</v>
      </c>
      <c r="T1821" s="78" t="b">
        <f t="shared" si="1404"/>
        <v>0</v>
      </c>
      <c r="U1821" s="78" t="b">
        <f t="shared" si="1405"/>
        <v>0</v>
      </c>
      <c r="V1821" s="78" t="b">
        <f t="shared" si="1406"/>
        <v>0</v>
      </c>
      <c r="W1821" s="78" t="b">
        <f t="shared" si="1407"/>
        <v>0</v>
      </c>
      <c r="X1821" s="78" t="b">
        <f t="shared" si="1408"/>
        <v>0</v>
      </c>
      <c r="Y1821" s="78" t="b">
        <f t="shared" si="1409"/>
        <v>0</v>
      </c>
      <c r="Z1821" s="78" t="b">
        <f t="shared" si="1410"/>
        <v>0</v>
      </c>
      <c r="AA1821" s="78" t="b">
        <f t="shared" si="1411"/>
        <v>0</v>
      </c>
      <c r="AB1821" s="78" t="b">
        <f t="shared" si="1412"/>
        <v>0</v>
      </c>
      <c r="AC1821" s="78" t="b">
        <f t="shared" si="1413"/>
        <v>0</v>
      </c>
      <c r="AD1821" s="78" t="b">
        <f t="shared" si="1414"/>
        <v>0</v>
      </c>
      <c r="AE1821" s="78" t="b">
        <f t="shared" si="1415"/>
        <v>0</v>
      </c>
      <c r="AF1821" s="78" t="b">
        <f t="shared" si="1416"/>
        <v>0</v>
      </c>
      <c r="AG1821" s="78" t="b">
        <f t="shared" si="1417"/>
        <v>0</v>
      </c>
      <c r="AH1821" s="78" t="b">
        <f t="shared" si="1418"/>
        <v>0</v>
      </c>
      <c r="AI1821" s="78" t="b">
        <f t="shared" si="1419"/>
        <v>0</v>
      </c>
      <c r="AJ1821" s="78" t="b">
        <f t="shared" si="1420"/>
        <v>0</v>
      </c>
      <c r="AK1821" s="78" t="b">
        <f t="shared" si="1421"/>
        <v>0</v>
      </c>
      <c r="AL1821" s="78" t="b">
        <f t="shared" si="1422"/>
        <v>0</v>
      </c>
      <c r="AM1821" s="78" t="b">
        <f t="shared" si="1423"/>
        <v>0</v>
      </c>
      <c r="AN1821" s="78" t="b">
        <f t="shared" si="1424"/>
        <v>0</v>
      </c>
      <c r="AO1821" s="78" t="b">
        <f t="shared" si="1425"/>
        <v>0</v>
      </c>
    </row>
    <row r="1822" spans="7:41" x14ac:dyDescent="0.35">
      <c r="G1822" s="77">
        <f t="shared" si="1395"/>
        <v>0</v>
      </c>
      <c r="H1822" s="78">
        <f t="shared" si="1396"/>
        <v>0</v>
      </c>
      <c r="I1822" s="77">
        <f t="shared" si="1397"/>
        <v>0</v>
      </c>
      <c r="J1822" s="78">
        <f t="shared" si="1398"/>
        <v>0</v>
      </c>
      <c r="K1822" s="78" t="str">
        <f t="shared" si="1399"/>
        <v>1900-01-00 00:0:00</v>
      </c>
      <c r="L1822" s="78" t="str">
        <f t="shared" si="1400"/>
        <v>1900-01-00 00:0:00</v>
      </c>
      <c r="M1822" s="79">
        <f t="shared" si="1401"/>
        <v>0</v>
      </c>
      <c r="N1822">
        <f t="shared" si="1426"/>
        <v>1</v>
      </c>
      <c r="O1822" t="str">
        <f>IFERROR(_xlfn.XLOOKUP(A1822,HC!A:A,HC!C:C),"")</f>
        <v>Workforce</v>
      </c>
      <c r="R1822" s="78" t="b">
        <f t="shared" si="1402"/>
        <v>0</v>
      </c>
      <c r="S1822" s="78" t="b">
        <f t="shared" si="1403"/>
        <v>0</v>
      </c>
      <c r="T1822" s="78" t="b">
        <f t="shared" si="1404"/>
        <v>0</v>
      </c>
      <c r="U1822" s="78" t="b">
        <f t="shared" si="1405"/>
        <v>0</v>
      </c>
      <c r="V1822" s="78" t="b">
        <f t="shared" si="1406"/>
        <v>0</v>
      </c>
      <c r="W1822" s="78" t="b">
        <f t="shared" si="1407"/>
        <v>0</v>
      </c>
      <c r="X1822" s="78" t="b">
        <f t="shared" si="1408"/>
        <v>0</v>
      </c>
      <c r="Y1822" s="78" t="b">
        <f t="shared" si="1409"/>
        <v>0</v>
      </c>
      <c r="Z1822" s="78" t="b">
        <f t="shared" si="1410"/>
        <v>0</v>
      </c>
      <c r="AA1822" s="78" t="b">
        <f t="shared" si="1411"/>
        <v>0</v>
      </c>
      <c r="AB1822" s="78" t="b">
        <f t="shared" si="1412"/>
        <v>0</v>
      </c>
      <c r="AC1822" s="78" t="b">
        <f t="shared" si="1413"/>
        <v>0</v>
      </c>
      <c r="AD1822" s="78" t="b">
        <f t="shared" si="1414"/>
        <v>0</v>
      </c>
      <c r="AE1822" s="78" t="b">
        <f t="shared" si="1415"/>
        <v>0</v>
      </c>
      <c r="AF1822" s="78" t="b">
        <f t="shared" si="1416"/>
        <v>0</v>
      </c>
      <c r="AG1822" s="78" t="b">
        <f t="shared" si="1417"/>
        <v>0</v>
      </c>
      <c r="AH1822" s="78" t="b">
        <f t="shared" si="1418"/>
        <v>0</v>
      </c>
      <c r="AI1822" s="78" t="b">
        <f t="shared" si="1419"/>
        <v>0</v>
      </c>
      <c r="AJ1822" s="78" t="b">
        <f t="shared" si="1420"/>
        <v>0</v>
      </c>
      <c r="AK1822" s="78" t="b">
        <f t="shared" si="1421"/>
        <v>0</v>
      </c>
      <c r="AL1822" s="78" t="b">
        <f t="shared" si="1422"/>
        <v>0</v>
      </c>
      <c r="AM1822" s="78" t="b">
        <f t="shared" si="1423"/>
        <v>0</v>
      </c>
      <c r="AN1822" s="78" t="b">
        <f t="shared" si="1424"/>
        <v>0</v>
      </c>
      <c r="AO1822" s="78" t="b">
        <f t="shared" si="1425"/>
        <v>0</v>
      </c>
    </row>
    <row r="1823" spans="7:41" x14ac:dyDescent="0.35">
      <c r="G1823" s="77">
        <f t="shared" si="1395"/>
        <v>0</v>
      </c>
      <c r="H1823" s="78">
        <f t="shared" si="1396"/>
        <v>0</v>
      </c>
      <c r="I1823" s="77">
        <f t="shared" si="1397"/>
        <v>0</v>
      </c>
      <c r="J1823" s="78">
        <f t="shared" si="1398"/>
        <v>0</v>
      </c>
      <c r="K1823" s="78" t="str">
        <f t="shared" si="1399"/>
        <v>1900-01-00 00:0:00</v>
      </c>
      <c r="L1823" s="78" t="str">
        <f t="shared" si="1400"/>
        <v>1900-01-00 00:0:00</v>
      </c>
      <c r="M1823" s="79">
        <f t="shared" si="1401"/>
        <v>0</v>
      </c>
      <c r="N1823">
        <f t="shared" si="1426"/>
        <v>1</v>
      </c>
      <c r="O1823" t="str">
        <f>IFERROR(_xlfn.XLOOKUP(A1823,HC!A:A,HC!C:C),"")</f>
        <v>Workforce</v>
      </c>
      <c r="R1823" s="78" t="b">
        <f t="shared" si="1402"/>
        <v>0</v>
      </c>
      <c r="S1823" s="78" t="b">
        <f t="shared" si="1403"/>
        <v>0</v>
      </c>
      <c r="T1823" s="78" t="b">
        <f t="shared" si="1404"/>
        <v>0</v>
      </c>
      <c r="U1823" s="78" t="b">
        <f t="shared" si="1405"/>
        <v>0</v>
      </c>
      <c r="V1823" s="78" t="b">
        <f t="shared" si="1406"/>
        <v>0</v>
      </c>
      <c r="W1823" s="78" t="b">
        <f t="shared" si="1407"/>
        <v>0</v>
      </c>
      <c r="X1823" s="78" t="b">
        <f t="shared" si="1408"/>
        <v>0</v>
      </c>
      <c r="Y1823" s="78" t="b">
        <f t="shared" si="1409"/>
        <v>0</v>
      </c>
      <c r="Z1823" s="78" t="b">
        <f t="shared" si="1410"/>
        <v>0</v>
      </c>
      <c r="AA1823" s="78" t="b">
        <f t="shared" si="1411"/>
        <v>0</v>
      </c>
      <c r="AB1823" s="78" t="b">
        <f t="shared" si="1412"/>
        <v>0</v>
      </c>
      <c r="AC1823" s="78" t="b">
        <f t="shared" si="1413"/>
        <v>0</v>
      </c>
      <c r="AD1823" s="78" t="b">
        <f t="shared" si="1414"/>
        <v>0</v>
      </c>
      <c r="AE1823" s="78" t="b">
        <f t="shared" si="1415"/>
        <v>0</v>
      </c>
      <c r="AF1823" s="78" t="b">
        <f t="shared" si="1416"/>
        <v>0</v>
      </c>
      <c r="AG1823" s="78" t="b">
        <f t="shared" si="1417"/>
        <v>0</v>
      </c>
      <c r="AH1823" s="78" t="b">
        <f t="shared" si="1418"/>
        <v>0</v>
      </c>
      <c r="AI1823" s="78" t="b">
        <f t="shared" si="1419"/>
        <v>0</v>
      </c>
      <c r="AJ1823" s="78" t="b">
        <f t="shared" si="1420"/>
        <v>0</v>
      </c>
      <c r="AK1823" s="78" t="b">
        <f t="shared" si="1421"/>
        <v>0</v>
      </c>
      <c r="AL1823" s="78" t="b">
        <f t="shared" si="1422"/>
        <v>0</v>
      </c>
      <c r="AM1823" s="78" t="b">
        <f t="shared" si="1423"/>
        <v>0</v>
      </c>
      <c r="AN1823" s="78" t="b">
        <f t="shared" si="1424"/>
        <v>0</v>
      </c>
      <c r="AO1823" s="78" t="b">
        <f t="shared" si="1425"/>
        <v>0</v>
      </c>
    </row>
    <row r="1824" spans="7:41" x14ac:dyDescent="0.35">
      <c r="G1824" s="77">
        <f t="shared" si="1395"/>
        <v>0</v>
      </c>
      <c r="H1824" s="78">
        <f t="shared" si="1396"/>
        <v>0</v>
      </c>
      <c r="I1824" s="77">
        <f t="shared" si="1397"/>
        <v>0</v>
      </c>
      <c r="J1824" s="78">
        <f t="shared" si="1398"/>
        <v>0</v>
      </c>
      <c r="K1824" s="78" t="str">
        <f t="shared" si="1399"/>
        <v>1900-01-00 00:0:00</v>
      </c>
      <c r="L1824" s="78" t="str">
        <f t="shared" si="1400"/>
        <v>1900-01-00 00:0:00</v>
      </c>
      <c r="M1824" s="79">
        <f t="shared" si="1401"/>
        <v>0</v>
      </c>
      <c r="N1824">
        <f t="shared" si="1426"/>
        <v>1</v>
      </c>
      <c r="O1824" t="str">
        <f>IFERROR(_xlfn.XLOOKUP(A1824,HC!A:A,HC!C:C),"")</f>
        <v>Workforce</v>
      </c>
      <c r="R1824" s="78" t="b">
        <f t="shared" si="1402"/>
        <v>0</v>
      </c>
      <c r="S1824" s="78" t="b">
        <f t="shared" si="1403"/>
        <v>0</v>
      </c>
      <c r="T1824" s="78" t="b">
        <f t="shared" si="1404"/>
        <v>0</v>
      </c>
      <c r="U1824" s="78" t="b">
        <f t="shared" si="1405"/>
        <v>0</v>
      </c>
      <c r="V1824" s="78" t="b">
        <f t="shared" si="1406"/>
        <v>0</v>
      </c>
      <c r="W1824" s="78" t="b">
        <f t="shared" si="1407"/>
        <v>0</v>
      </c>
      <c r="X1824" s="78" t="b">
        <f t="shared" si="1408"/>
        <v>0</v>
      </c>
      <c r="Y1824" s="78" t="b">
        <f t="shared" si="1409"/>
        <v>0</v>
      </c>
      <c r="Z1824" s="78" t="b">
        <f t="shared" si="1410"/>
        <v>0</v>
      </c>
      <c r="AA1824" s="78" t="b">
        <f t="shared" si="1411"/>
        <v>0</v>
      </c>
      <c r="AB1824" s="78" t="b">
        <f t="shared" si="1412"/>
        <v>0</v>
      </c>
      <c r="AC1824" s="78" t="b">
        <f t="shared" si="1413"/>
        <v>0</v>
      </c>
      <c r="AD1824" s="78" t="b">
        <f t="shared" si="1414"/>
        <v>0</v>
      </c>
      <c r="AE1824" s="78" t="b">
        <f t="shared" si="1415"/>
        <v>0</v>
      </c>
      <c r="AF1824" s="78" t="b">
        <f t="shared" si="1416"/>
        <v>0</v>
      </c>
      <c r="AG1824" s="78" t="b">
        <f t="shared" si="1417"/>
        <v>0</v>
      </c>
      <c r="AH1824" s="78" t="b">
        <f t="shared" si="1418"/>
        <v>0</v>
      </c>
      <c r="AI1824" s="78" t="b">
        <f t="shared" si="1419"/>
        <v>0</v>
      </c>
      <c r="AJ1824" s="78" t="b">
        <f t="shared" si="1420"/>
        <v>0</v>
      </c>
      <c r="AK1824" s="78" t="b">
        <f t="shared" si="1421"/>
        <v>0</v>
      </c>
      <c r="AL1824" s="78" t="b">
        <f t="shared" si="1422"/>
        <v>0</v>
      </c>
      <c r="AM1824" s="78" t="b">
        <f t="shared" si="1423"/>
        <v>0</v>
      </c>
      <c r="AN1824" s="78" t="b">
        <f t="shared" si="1424"/>
        <v>0</v>
      </c>
      <c r="AO1824" s="78" t="b">
        <f t="shared" si="1425"/>
        <v>0</v>
      </c>
    </row>
    <row r="1825" spans="7:41" x14ac:dyDescent="0.35">
      <c r="G1825" s="77">
        <f t="shared" si="1395"/>
        <v>0</v>
      </c>
      <c r="H1825" s="78">
        <f t="shared" si="1396"/>
        <v>0</v>
      </c>
      <c r="I1825" s="77">
        <f t="shared" si="1397"/>
        <v>0</v>
      </c>
      <c r="J1825" s="78">
        <f t="shared" si="1398"/>
        <v>0</v>
      </c>
      <c r="K1825" s="78" t="str">
        <f t="shared" si="1399"/>
        <v>1900-01-00 00:0:00</v>
      </c>
      <c r="L1825" s="78" t="str">
        <f t="shared" si="1400"/>
        <v>1900-01-00 00:0:00</v>
      </c>
      <c r="M1825" s="79">
        <f t="shared" si="1401"/>
        <v>0</v>
      </c>
      <c r="N1825">
        <f t="shared" si="1426"/>
        <v>1</v>
      </c>
      <c r="O1825" t="str">
        <f>IFERROR(_xlfn.XLOOKUP(A1825,HC!A:A,HC!C:C),"")</f>
        <v>Workforce</v>
      </c>
      <c r="R1825" s="78" t="b">
        <f t="shared" si="1402"/>
        <v>0</v>
      </c>
      <c r="S1825" s="78" t="b">
        <f t="shared" si="1403"/>
        <v>0</v>
      </c>
      <c r="T1825" s="78" t="b">
        <f t="shared" si="1404"/>
        <v>0</v>
      </c>
      <c r="U1825" s="78" t="b">
        <f t="shared" si="1405"/>
        <v>0</v>
      </c>
      <c r="V1825" s="78" t="b">
        <f t="shared" si="1406"/>
        <v>0</v>
      </c>
      <c r="W1825" s="78" t="b">
        <f t="shared" si="1407"/>
        <v>0</v>
      </c>
      <c r="X1825" s="78" t="b">
        <f t="shared" si="1408"/>
        <v>0</v>
      </c>
      <c r="Y1825" s="78" t="b">
        <f t="shared" si="1409"/>
        <v>0</v>
      </c>
      <c r="Z1825" s="78" t="b">
        <f t="shared" si="1410"/>
        <v>0</v>
      </c>
      <c r="AA1825" s="78" t="b">
        <f t="shared" si="1411"/>
        <v>0</v>
      </c>
      <c r="AB1825" s="78" t="b">
        <f t="shared" si="1412"/>
        <v>0</v>
      </c>
      <c r="AC1825" s="78" t="b">
        <f t="shared" si="1413"/>
        <v>0</v>
      </c>
      <c r="AD1825" s="78" t="b">
        <f t="shared" si="1414"/>
        <v>0</v>
      </c>
      <c r="AE1825" s="78" t="b">
        <f t="shared" si="1415"/>
        <v>0</v>
      </c>
      <c r="AF1825" s="78" t="b">
        <f t="shared" si="1416"/>
        <v>0</v>
      </c>
      <c r="AG1825" s="78" t="b">
        <f t="shared" si="1417"/>
        <v>0</v>
      </c>
      <c r="AH1825" s="78" t="b">
        <f t="shared" si="1418"/>
        <v>0</v>
      </c>
      <c r="AI1825" s="78" t="b">
        <f t="shared" si="1419"/>
        <v>0</v>
      </c>
      <c r="AJ1825" s="78" t="b">
        <f t="shared" si="1420"/>
        <v>0</v>
      </c>
      <c r="AK1825" s="78" t="b">
        <f t="shared" si="1421"/>
        <v>0</v>
      </c>
      <c r="AL1825" s="78" t="b">
        <f t="shared" si="1422"/>
        <v>0</v>
      </c>
      <c r="AM1825" s="78" t="b">
        <f t="shared" si="1423"/>
        <v>0</v>
      </c>
      <c r="AN1825" s="78" t="b">
        <f t="shared" si="1424"/>
        <v>0</v>
      </c>
      <c r="AO1825" s="78" t="b">
        <f t="shared" si="1425"/>
        <v>0</v>
      </c>
    </row>
    <row r="1826" spans="7:41" x14ac:dyDescent="0.35">
      <c r="G1826" s="77">
        <f t="shared" si="1395"/>
        <v>0</v>
      </c>
      <c r="H1826" s="78">
        <f t="shared" si="1396"/>
        <v>0</v>
      </c>
      <c r="I1826" s="77">
        <f t="shared" si="1397"/>
        <v>0</v>
      </c>
      <c r="J1826" s="78">
        <f t="shared" si="1398"/>
        <v>0</v>
      </c>
      <c r="K1826" s="78" t="str">
        <f t="shared" si="1399"/>
        <v>1900-01-00 00:0:00</v>
      </c>
      <c r="L1826" s="78" t="str">
        <f t="shared" si="1400"/>
        <v>1900-01-00 00:0:00</v>
      </c>
      <c r="M1826" s="79">
        <f t="shared" si="1401"/>
        <v>0</v>
      </c>
      <c r="N1826">
        <f t="shared" si="1426"/>
        <v>1</v>
      </c>
      <c r="O1826" t="str">
        <f>IFERROR(_xlfn.XLOOKUP(A1826,HC!A:A,HC!C:C),"")</f>
        <v>Workforce</v>
      </c>
      <c r="R1826" s="78" t="b">
        <f t="shared" si="1402"/>
        <v>0</v>
      </c>
      <c r="S1826" s="78" t="b">
        <f t="shared" si="1403"/>
        <v>0</v>
      </c>
      <c r="T1826" s="78" t="b">
        <f t="shared" si="1404"/>
        <v>0</v>
      </c>
      <c r="U1826" s="78" t="b">
        <f t="shared" si="1405"/>
        <v>0</v>
      </c>
      <c r="V1826" s="78" t="b">
        <f t="shared" si="1406"/>
        <v>0</v>
      </c>
      <c r="W1826" s="78" t="b">
        <f t="shared" si="1407"/>
        <v>0</v>
      </c>
      <c r="X1826" s="78" t="b">
        <f t="shared" si="1408"/>
        <v>0</v>
      </c>
      <c r="Y1826" s="78" t="b">
        <f t="shared" si="1409"/>
        <v>0</v>
      </c>
      <c r="Z1826" s="78" t="b">
        <f t="shared" si="1410"/>
        <v>0</v>
      </c>
      <c r="AA1826" s="78" t="b">
        <f t="shared" si="1411"/>
        <v>0</v>
      </c>
      <c r="AB1826" s="78" t="b">
        <f t="shared" si="1412"/>
        <v>0</v>
      </c>
      <c r="AC1826" s="78" t="b">
        <f t="shared" si="1413"/>
        <v>0</v>
      </c>
      <c r="AD1826" s="78" t="b">
        <f t="shared" si="1414"/>
        <v>0</v>
      </c>
      <c r="AE1826" s="78" t="b">
        <f t="shared" si="1415"/>
        <v>0</v>
      </c>
      <c r="AF1826" s="78" t="b">
        <f t="shared" si="1416"/>
        <v>0</v>
      </c>
      <c r="AG1826" s="78" t="b">
        <f t="shared" si="1417"/>
        <v>0</v>
      </c>
      <c r="AH1826" s="78" t="b">
        <f t="shared" si="1418"/>
        <v>0</v>
      </c>
      <c r="AI1826" s="78" t="b">
        <f t="shared" si="1419"/>
        <v>0</v>
      </c>
      <c r="AJ1826" s="78" t="b">
        <f t="shared" si="1420"/>
        <v>0</v>
      </c>
      <c r="AK1826" s="78" t="b">
        <f t="shared" si="1421"/>
        <v>0</v>
      </c>
      <c r="AL1826" s="78" t="b">
        <f t="shared" si="1422"/>
        <v>0</v>
      </c>
      <c r="AM1826" s="78" t="b">
        <f t="shared" si="1423"/>
        <v>0</v>
      </c>
      <c r="AN1826" s="78" t="b">
        <f t="shared" si="1424"/>
        <v>0</v>
      </c>
      <c r="AO1826" s="78" t="b">
        <f t="shared" si="1425"/>
        <v>0</v>
      </c>
    </row>
    <row r="1827" spans="7:41" x14ac:dyDescent="0.35">
      <c r="G1827" s="77">
        <f t="shared" si="1395"/>
        <v>0</v>
      </c>
      <c r="H1827" s="78">
        <f t="shared" si="1396"/>
        <v>0</v>
      </c>
      <c r="I1827" s="77">
        <f t="shared" si="1397"/>
        <v>0</v>
      </c>
      <c r="J1827" s="78">
        <f t="shared" si="1398"/>
        <v>0</v>
      </c>
      <c r="K1827" s="78" t="str">
        <f t="shared" si="1399"/>
        <v>1900-01-00 00:0:00</v>
      </c>
      <c r="L1827" s="78" t="str">
        <f t="shared" si="1400"/>
        <v>1900-01-00 00:0:00</v>
      </c>
      <c r="M1827" s="79">
        <f t="shared" si="1401"/>
        <v>0</v>
      </c>
      <c r="N1827">
        <f t="shared" si="1426"/>
        <v>1</v>
      </c>
      <c r="O1827" t="str">
        <f>IFERROR(_xlfn.XLOOKUP(A1827,HC!A:A,HC!C:C),"")</f>
        <v>Workforce</v>
      </c>
      <c r="R1827" s="78" t="b">
        <f t="shared" si="1402"/>
        <v>0</v>
      </c>
      <c r="S1827" s="78" t="b">
        <f t="shared" si="1403"/>
        <v>0</v>
      </c>
      <c r="T1827" s="78" t="b">
        <f t="shared" si="1404"/>
        <v>0</v>
      </c>
      <c r="U1827" s="78" t="b">
        <f t="shared" si="1405"/>
        <v>0</v>
      </c>
      <c r="V1827" s="78" t="b">
        <f t="shared" si="1406"/>
        <v>0</v>
      </c>
      <c r="W1827" s="78" t="b">
        <f t="shared" si="1407"/>
        <v>0</v>
      </c>
      <c r="X1827" s="78" t="b">
        <f t="shared" si="1408"/>
        <v>0</v>
      </c>
      <c r="Y1827" s="78" t="b">
        <f t="shared" si="1409"/>
        <v>0</v>
      </c>
      <c r="Z1827" s="78" t="b">
        <f t="shared" si="1410"/>
        <v>0</v>
      </c>
      <c r="AA1827" s="78" t="b">
        <f t="shared" si="1411"/>
        <v>0</v>
      </c>
      <c r="AB1827" s="78" t="b">
        <f t="shared" si="1412"/>
        <v>0</v>
      </c>
      <c r="AC1827" s="78" t="b">
        <f t="shared" si="1413"/>
        <v>0</v>
      </c>
      <c r="AD1827" s="78" t="b">
        <f t="shared" si="1414"/>
        <v>0</v>
      </c>
      <c r="AE1827" s="78" t="b">
        <f t="shared" si="1415"/>
        <v>0</v>
      </c>
      <c r="AF1827" s="78" t="b">
        <f t="shared" si="1416"/>
        <v>0</v>
      </c>
      <c r="AG1827" s="78" t="b">
        <f t="shared" si="1417"/>
        <v>0</v>
      </c>
      <c r="AH1827" s="78" t="b">
        <f t="shared" si="1418"/>
        <v>0</v>
      </c>
      <c r="AI1827" s="78" t="b">
        <f t="shared" si="1419"/>
        <v>0</v>
      </c>
      <c r="AJ1827" s="78" t="b">
        <f t="shared" si="1420"/>
        <v>0</v>
      </c>
      <c r="AK1827" s="78" t="b">
        <f t="shared" si="1421"/>
        <v>0</v>
      </c>
      <c r="AL1827" s="78" t="b">
        <f t="shared" si="1422"/>
        <v>0</v>
      </c>
      <c r="AM1827" s="78" t="b">
        <f t="shared" si="1423"/>
        <v>0</v>
      </c>
      <c r="AN1827" s="78" t="b">
        <f t="shared" si="1424"/>
        <v>0</v>
      </c>
      <c r="AO1827" s="78" t="b">
        <f t="shared" si="1425"/>
        <v>0</v>
      </c>
    </row>
    <row r="1828" spans="7:41" x14ac:dyDescent="0.35">
      <c r="G1828" s="77">
        <f t="shared" si="1395"/>
        <v>0</v>
      </c>
      <c r="H1828" s="78">
        <f t="shared" si="1396"/>
        <v>0</v>
      </c>
      <c r="I1828" s="77">
        <f t="shared" si="1397"/>
        <v>0</v>
      </c>
      <c r="J1828" s="78">
        <f t="shared" si="1398"/>
        <v>0</v>
      </c>
      <c r="K1828" s="78" t="str">
        <f t="shared" si="1399"/>
        <v>1900-01-00 00:0:00</v>
      </c>
      <c r="L1828" s="78" t="str">
        <f t="shared" si="1400"/>
        <v>1900-01-00 00:0:00</v>
      </c>
      <c r="M1828" s="79">
        <f t="shared" si="1401"/>
        <v>0</v>
      </c>
      <c r="N1828">
        <f t="shared" si="1426"/>
        <v>1</v>
      </c>
      <c r="O1828" t="str">
        <f>IFERROR(_xlfn.XLOOKUP(A1828,HC!A:A,HC!C:C),"")</f>
        <v>Workforce</v>
      </c>
      <c r="R1828" s="78" t="b">
        <f t="shared" si="1402"/>
        <v>0</v>
      </c>
      <c r="S1828" s="78" t="b">
        <f t="shared" si="1403"/>
        <v>0</v>
      </c>
      <c r="T1828" s="78" t="b">
        <f t="shared" si="1404"/>
        <v>0</v>
      </c>
      <c r="U1828" s="78" t="b">
        <f t="shared" si="1405"/>
        <v>0</v>
      </c>
      <c r="V1828" s="78" t="b">
        <f t="shared" si="1406"/>
        <v>0</v>
      </c>
      <c r="W1828" s="78" t="b">
        <f t="shared" si="1407"/>
        <v>0</v>
      </c>
      <c r="X1828" s="78" t="b">
        <f t="shared" si="1408"/>
        <v>0</v>
      </c>
      <c r="Y1828" s="78" t="b">
        <f t="shared" si="1409"/>
        <v>0</v>
      </c>
      <c r="Z1828" s="78" t="b">
        <f t="shared" si="1410"/>
        <v>0</v>
      </c>
      <c r="AA1828" s="78" t="b">
        <f t="shared" si="1411"/>
        <v>0</v>
      </c>
      <c r="AB1828" s="78" t="b">
        <f t="shared" si="1412"/>
        <v>0</v>
      </c>
      <c r="AC1828" s="78" t="b">
        <f t="shared" si="1413"/>
        <v>0</v>
      </c>
      <c r="AD1828" s="78" t="b">
        <f t="shared" si="1414"/>
        <v>0</v>
      </c>
      <c r="AE1828" s="78" t="b">
        <f t="shared" si="1415"/>
        <v>0</v>
      </c>
      <c r="AF1828" s="78" t="b">
        <f t="shared" si="1416"/>
        <v>0</v>
      </c>
      <c r="AG1828" s="78" t="b">
        <f t="shared" si="1417"/>
        <v>0</v>
      </c>
      <c r="AH1828" s="78" t="b">
        <f t="shared" si="1418"/>
        <v>0</v>
      </c>
      <c r="AI1828" s="78" t="b">
        <f t="shared" si="1419"/>
        <v>0</v>
      </c>
      <c r="AJ1828" s="78" t="b">
        <f t="shared" si="1420"/>
        <v>0</v>
      </c>
      <c r="AK1828" s="78" t="b">
        <f t="shared" si="1421"/>
        <v>0</v>
      </c>
      <c r="AL1828" s="78" t="b">
        <f t="shared" si="1422"/>
        <v>0</v>
      </c>
      <c r="AM1828" s="78" t="b">
        <f t="shared" si="1423"/>
        <v>0</v>
      </c>
      <c r="AN1828" s="78" t="b">
        <f t="shared" si="1424"/>
        <v>0</v>
      </c>
      <c r="AO1828" s="78" t="b">
        <f t="shared" si="1425"/>
        <v>0</v>
      </c>
    </row>
    <row r="1829" spans="7:41" x14ac:dyDescent="0.35">
      <c r="G1829" s="77">
        <f t="shared" si="1395"/>
        <v>0</v>
      </c>
      <c r="H1829" s="78">
        <f t="shared" si="1396"/>
        <v>0</v>
      </c>
      <c r="I1829" s="77">
        <f t="shared" si="1397"/>
        <v>0</v>
      </c>
      <c r="J1829" s="78">
        <f t="shared" si="1398"/>
        <v>0</v>
      </c>
      <c r="K1829" s="78" t="str">
        <f t="shared" si="1399"/>
        <v>1900-01-00 00:0:00</v>
      </c>
      <c r="L1829" s="78" t="str">
        <f t="shared" si="1400"/>
        <v>1900-01-00 00:0:00</v>
      </c>
      <c r="M1829" s="79">
        <f t="shared" si="1401"/>
        <v>0</v>
      </c>
      <c r="N1829">
        <f t="shared" si="1426"/>
        <v>1</v>
      </c>
      <c r="O1829" t="str">
        <f>IFERROR(_xlfn.XLOOKUP(A1829,HC!A:A,HC!C:C),"")</f>
        <v>Workforce</v>
      </c>
      <c r="R1829" s="78" t="b">
        <f t="shared" si="1402"/>
        <v>0</v>
      </c>
      <c r="S1829" s="78" t="b">
        <f t="shared" si="1403"/>
        <v>0</v>
      </c>
      <c r="T1829" s="78" t="b">
        <f t="shared" si="1404"/>
        <v>0</v>
      </c>
      <c r="U1829" s="78" t="b">
        <f t="shared" si="1405"/>
        <v>0</v>
      </c>
      <c r="V1829" s="78" t="b">
        <f t="shared" si="1406"/>
        <v>0</v>
      </c>
      <c r="W1829" s="78" t="b">
        <f t="shared" si="1407"/>
        <v>0</v>
      </c>
      <c r="X1829" s="78" t="b">
        <f t="shared" si="1408"/>
        <v>0</v>
      </c>
      <c r="Y1829" s="78" t="b">
        <f t="shared" si="1409"/>
        <v>0</v>
      </c>
      <c r="Z1829" s="78" t="b">
        <f t="shared" si="1410"/>
        <v>0</v>
      </c>
      <c r="AA1829" s="78" t="b">
        <f t="shared" si="1411"/>
        <v>0</v>
      </c>
      <c r="AB1829" s="78" t="b">
        <f t="shared" si="1412"/>
        <v>0</v>
      </c>
      <c r="AC1829" s="78" t="b">
        <f t="shared" si="1413"/>
        <v>0</v>
      </c>
      <c r="AD1829" s="78" t="b">
        <f t="shared" si="1414"/>
        <v>0</v>
      </c>
      <c r="AE1829" s="78" t="b">
        <f t="shared" si="1415"/>
        <v>0</v>
      </c>
      <c r="AF1829" s="78" t="b">
        <f t="shared" si="1416"/>
        <v>0</v>
      </c>
      <c r="AG1829" s="78" t="b">
        <f t="shared" si="1417"/>
        <v>0</v>
      </c>
      <c r="AH1829" s="78" t="b">
        <f t="shared" si="1418"/>
        <v>0</v>
      </c>
      <c r="AI1829" s="78" t="b">
        <f t="shared" si="1419"/>
        <v>0</v>
      </c>
      <c r="AJ1829" s="78" t="b">
        <f t="shared" si="1420"/>
        <v>0</v>
      </c>
      <c r="AK1829" s="78" t="b">
        <f t="shared" si="1421"/>
        <v>0</v>
      </c>
      <c r="AL1829" s="78" t="b">
        <f t="shared" si="1422"/>
        <v>0</v>
      </c>
      <c r="AM1829" s="78" t="b">
        <f t="shared" si="1423"/>
        <v>0</v>
      </c>
      <c r="AN1829" s="78" t="b">
        <f t="shared" si="1424"/>
        <v>0</v>
      </c>
      <c r="AO1829" s="78" t="b">
        <f t="shared" si="1425"/>
        <v>0</v>
      </c>
    </row>
    <row r="1830" spans="7:41" x14ac:dyDescent="0.35">
      <c r="G1830" s="77">
        <f t="shared" si="1395"/>
        <v>0</v>
      </c>
      <c r="H1830" s="78">
        <f t="shared" si="1396"/>
        <v>0</v>
      </c>
      <c r="I1830" s="77">
        <f t="shared" si="1397"/>
        <v>0</v>
      </c>
      <c r="J1830" s="78">
        <f t="shared" si="1398"/>
        <v>0</v>
      </c>
      <c r="K1830" s="78" t="str">
        <f t="shared" si="1399"/>
        <v>1900-01-00 00:0:00</v>
      </c>
      <c r="L1830" s="78" t="str">
        <f t="shared" si="1400"/>
        <v>1900-01-00 00:0:00</v>
      </c>
      <c r="M1830" s="79">
        <f t="shared" si="1401"/>
        <v>0</v>
      </c>
      <c r="N1830">
        <f t="shared" si="1426"/>
        <v>1</v>
      </c>
      <c r="O1830" t="str">
        <f>IFERROR(_xlfn.XLOOKUP(A1830,HC!A:A,HC!C:C),"")</f>
        <v>Workforce</v>
      </c>
      <c r="R1830" s="78" t="b">
        <f t="shared" si="1402"/>
        <v>0</v>
      </c>
      <c r="S1830" s="78" t="b">
        <f t="shared" si="1403"/>
        <v>0</v>
      </c>
      <c r="T1830" s="78" t="b">
        <f t="shared" si="1404"/>
        <v>0</v>
      </c>
      <c r="U1830" s="78" t="b">
        <f t="shared" si="1405"/>
        <v>0</v>
      </c>
      <c r="V1830" s="78" t="b">
        <f t="shared" si="1406"/>
        <v>0</v>
      </c>
      <c r="W1830" s="78" t="b">
        <f t="shared" si="1407"/>
        <v>0</v>
      </c>
      <c r="X1830" s="78" t="b">
        <f t="shared" si="1408"/>
        <v>0</v>
      </c>
      <c r="Y1830" s="78" t="b">
        <f t="shared" si="1409"/>
        <v>0</v>
      </c>
      <c r="Z1830" s="78" t="b">
        <f t="shared" si="1410"/>
        <v>0</v>
      </c>
      <c r="AA1830" s="78" t="b">
        <f t="shared" si="1411"/>
        <v>0</v>
      </c>
      <c r="AB1830" s="78" t="b">
        <f t="shared" si="1412"/>
        <v>0</v>
      </c>
      <c r="AC1830" s="78" t="b">
        <f t="shared" si="1413"/>
        <v>0</v>
      </c>
      <c r="AD1830" s="78" t="b">
        <f t="shared" si="1414"/>
        <v>0</v>
      </c>
      <c r="AE1830" s="78" t="b">
        <f t="shared" si="1415"/>
        <v>0</v>
      </c>
      <c r="AF1830" s="78" t="b">
        <f t="shared" si="1416"/>
        <v>0</v>
      </c>
      <c r="AG1830" s="78" t="b">
        <f t="shared" si="1417"/>
        <v>0</v>
      </c>
      <c r="AH1830" s="78" t="b">
        <f t="shared" si="1418"/>
        <v>0</v>
      </c>
      <c r="AI1830" s="78" t="b">
        <f t="shared" si="1419"/>
        <v>0</v>
      </c>
      <c r="AJ1830" s="78" t="b">
        <f t="shared" si="1420"/>
        <v>0</v>
      </c>
      <c r="AK1830" s="78" t="b">
        <f t="shared" si="1421"/>
        <v>0</v>
      </c>
      <c r="AL1830" s="78" t="b">
        <f t="shared" si="1422"/>
        <v>0</v>
      </c>
      <c r="AM1830" s="78" t="b">
        <f t="shared" si="1423"/>
        <v>0</v>
      </c>
      <c r="AN1830" s="78" t="b">
        <f t="shared" si="1424"/>
        <v>0</v>
      </c>
      <c r="AO1830" s="78" t="b">
        <f t="shared" si="1425"/>
        <v>0</v>
      </c>
    </row>
    <row r="1831" spans="7:41" x14ac:dyDescent="0.35">
      <c r="G1831" s="77">
        <f t="shared" si="1395"/>
        <v>0</v>
      </c>
      <c r="H1831" s="78">
        <f t="shared" si="1396"/>
        <v>0</v>
      </c>
      <c r="I1831" s="77">
        <f t="shared" si="1397"/>
        <v>0</v>
      </c>
      <c r="J1831" s="78">
        <f t="shared" si="1398"/>
        <v>0</v>
      </c>
      <c r="K1831" s="78" t="str">
        <f t="shared" si="1399"/>
        <v>1900-01-00 00:0:00</v>
      </c>
      <c r="L1831" s="78" t="str">
        <f t="shared" si="1400"/>
        <v>1900-01-00 00:0:00</v>
      </c>
      <c r="M1831" s="79">
        <f t="shared" si="1401"/>
        <v>0</v>
      </c>
      <c r="N1831">
        <f t="shared" si="1426"/>
        <v>1</v>
      </c>
      <c r="O1831" t="str">
        <f>IFERROR(_xlfn.XLOOKUP(A1831,HC!A:A,HC!C:C),"")</f>
        <v>Workforce</v>
      </c>
      <c r="R1831" s="78" t="b">
        <f t="shared" si="1402"/>
        <v>0</v>
      </c>
      <c r="S1831" s="78" t="b">
        <f t="shared" si="1403"/>
        <v>0</v>
      </c>
      <c r="T1831" s="78" t="b">
        <f t="shared" si="1404"/>
        <v>0</v>
      </c>
      <c r="U1831" s="78" t="b">
        <f t="shared" si="1405"/>
        <v>0</v>
      </c>
      <c r="V1831" s="78" t="b">
        <f t="shared" si="1406"/>
        <v>0</v>
      </c>
      <c r="W1831" s="78" t="b">
        <f t="shared" si="1407"/>
        <v>0</v>
      </c>
      <c r="X1831" s="78" t="b">
        <f t="shared" si="1408"/>
        <v>0</v>
      </c>
      <c r="Y1831" s="78" t="b">
        <f t="shared" si="1409"/>
        <v>0</v>
      </c>
      <c r="Z1831" s="78" t="b">
        <f t="shared" si="1410"/>
        <v>0</v>
      </c>
      <c r="AA1831" s="78" t="b">
        <f t="shared" si="1411"/>
        <v>0</v>
      </c>
      <c r="AB1831" s="78" t="b">
        <f t="shared" si="1412"/>
        <v>0</v>
      </c>
      <c r="AC1831" s="78" t="b">
        <f t="shared" si="1413"/>
        <v>0</v>
      </c>
      <c r="AD1831" s="78" t="b">
        <f t="shared" si="1414"/>
        <v>0</v>
      </c>
      <c r="AE1831" s="78" t="b">
        <f t="shared" si="1415"/>
        <v>0</v>
      </c>
      <c r="AF1831" s="78" t="b">
        <f t="shared" si="1416"/>
        <v>0</v>
      </c>
      <c r="AG1831" s="78" t="b">
        <f t="shared" si="1417"/>
        <v>0</v>
      </c>
      <c r="AH1831" s="78" t="b">
        <f t="shared" si="1418"/>
        <v>0</v>
      </c>
      <c r="AI1831" s="78" t="b">
        <f t="shared" si="1419"/>
        <v>0</v>
      </c>
      <c r="AJ1831" s="78" t="b">
        <f t="shared" si="1420"/>
        <v>0</v>
      </c>
      <c r="AK1831" s="78" t="b">
        <f t="shared" si="1421"/>
        <v>0</v>
      </c>
      <c r="AL1831" s="78" t="b">
        <f t="shared" si="1422"/>
        <v>0</v>
      </c>
      <c r="AM1831" s="78" t="b">
        <f t="shared" si="1423"/>
        <v>0</v>
      </c>
      <c r="AN1831" s="78" t="b">
        <f t="shared" si="1424"/>
        <v>0</v>
      </c>
      <c r="AO1831" s="78" t="b">
        <f t="shared" si="1425"/>
        <v>0</v>
      </c>
    </row>
    <row r="1832" spans="7:41" x14ac:dyDescent="0.35">
      <c r="G1832" s="77">
        <f t="shared" si="1395"/>
        <v>0</v>
      </c>
      <c r="H1832" s="78">
        <f t="shared" si="1396"/>
        <v>0</v>
      </c>
      <c r="I1832" s="77">
        <f t="shared" si="1397"/>
        <v>0</v>
      </c>
      <c r="J1832" s="78">
        <f t="shared" si="1398"/>
        <v>0</v>
      </c>
      <c r="K1832" s="78" t="str">
        <f t="shared" si="1399"/>
        <v>1900-01-00 00:0:00</v>
      </c>
      <c r="L1832" s="78" t="str">
        <f t="shared" si="1400"/>
        <v>1900-01-00 00:0:00</v>
      </c>
      <c r="M1832" s="79">
        <f t="shared" si="1401"/>
        <v>0</v>
      </c>
      <c r="N1832">
        <f t="shared" si="1426"/>
        <v>1</v>
      </c>
      <c r="O1832" t="str">
        <f>IFERROR(_xlfn.XLOOKUP(A1832,HC!A:A,HC!C:C),"")</f>
        <v>Workforce</v>
      </c>
      <c r="R1832" s="78" t="b">
        <f t="shared" si="1402"/>
        <v>0</v>
      </c>
      <c r="S1832" s="78" t="b">
        <f t="shared" si="1403"/>
        <v>0</v>
      </c>
      <c r="T1832" s="78" t="b">
        <f t="shared" si="1404"/>
        <v>0</v>
      </c>
      <c r="U1832" s="78" t="b">
        <f t="shared" si="1405"/>
        <v>0</v>
      </c>
      <c r="V1832" s="78" t="b">
        <f t="shared" si="1406"/>
        <v>0</v>
      </c>
      <c r="W1832" s="78" t="b">
        <f t="shared" si="1407"/>
        <v>0</v>
      </c>
      <c r="X1832" s="78" t="b">
        <f t="shared" si="1408"/>
        <v>0</v>
      </c>
      <c r="Y1832" s="78" t="b">
        <f t="shared" si="1409"/>
        <v>0</v>
      </c>
      <c r="Z1832" s="78" t="b">
        <f t="shared" si="1410"/>
        <v>0</v>
      </c>
      <c r="AA1832" s="78" t="b">
        <f t="shared" si="1411"/>
        <v>0</v>
      </c>
      <c r="AB1832" s="78" t="b">
        <f t="shared" si="1412"/>
        <v>0</v>
      </c>
      <c r="AC1832" s="78" t="b">
        <f t="shared" si="1413"/>
        <v>0</v>
      </c>
      <c r="AD1832" s="78" t="b">
        <f t="shared" si="1414"/>
        <v>0</v>
      </c>
      <c r="AE1832" s="78" t="b">
        <f t="shared" si="1415"/>
        <v>0</v>
      </c>
      <c r="AF1832" s="78" t="b">
        <f t="shared" si="1416"/>
        <v>0</v>
      </c>
      <c r="AG1832" s="78" t="b">
        <f t="shared" si="1417"/>
        <v>0</v>
      </c>
      <c r="AH1832" s="78" t="b">
        <f t="shared" si="1418"/>
        <v>0</v>
      </c>
      <c r="AI1832" s="78" t="b">
        <f t="shared" si="1419"/>
        <v>0</v>
      </c>
      <c r="AJ1832" s="78" t="b">
        <f t="shared" si="1420"/>
        <v>0</v>
      </c>
      <c r="AK1832" s="78" t="b">
        <f t="shared" si="1421"/>
        <v>0</v>
      </c>
      <c r="AL1832" s="78" t="b">
        <f t="shared" si="1422"/>
        <v>0</v>
      </c>
      <c r="AM1832" s="78" t="b">
        <f t="shared" si="1423"/>
        <v>0</v>
      </c>
      <c r="AN1832" s="78" t="b">
        <f t="shared" si="1424"/>
        <v>0</v>
      </c>
      <c r="AO1832" s="78" t="b">
        <f t="shared" si="1425"/>
        <v>0</v>
      </c>
    </row>
    <row r="1833" spans="7:41" x14ac:dyDescent="0.35">
      <c r="G1833" s="77">
        <f t="shared" si="1395"/>
        <v>0</v>
      </c>
      <c r="H1833" s="78">
        <f t="shared" si="1396"/>
        <v>0</v>
      </c>
      <c r="I1833" s="77">
        <f t="shared" si="1397"/>
        <v>0</v>
      </c>
      <c r="J1833" s="78">
        <f t="shared" si="1398"/>
        <v>0</v>
      </c>
      <c r="K1833" s="78" t="str">
        <f t="shared" si="1399"/>
        <v>1900-01-00 00:0:00</v>
      </c>
      <c r="L1833" s="78" t="str">
        <f t="shared" si="1400"/>
        <v>1900-01-00 00:0:00</v>
      </c>
      <c r="M1833" s="79">
        <f t="shared" si="1401"/>
        <v>0</v>
      </c>
      <c r="N1833">
        <f t="shared" si="1426"/>
        <v>1</v>
      </c>
      <c r="O1833" t="str">
        <f>IFERROR(_xlfn.XLOOKUP(A1833,HC!A:A,HC!C:C),"")</f>
        <v>Workforce</v>
      </c>
      <c r="R1833" s="78" t="b">
        <f t="shared" si="1402"/>
        <v>0</v>
      </c>
      <c r="S1833" s="78" t="b">
        <f t="shared" si="1403"/>
        <v>0</v>
      </c>
      <c r="T1833" s="78" t="b">
        <f t="shared" si="1404"/>
        <v>0</v>
      </c>
      <c r="U1833" s="78" t="b">
        <f t="shared" si="1405"/>
        <v>0</v>
      </c>
      <c r="V1833" s="78" t="b">
        <f t="shared" si="1406"/>
        <v>0</v>
      </c>
      <c r="W1833" s="78" t="b">
        <f t="shared" si="1407"/>
        <v>0</v>
      </c>
      <c r="X1833" s="78" t="b">
        <f t="shared" si="1408"/>
        <v>0</v>
      </c>
      <c r="Y1833" s="78" t="b">
        <f t="shared" si="1409"/>
        <v>0</v>
      </c>
      <c r="Z1833" s="78" t="b">
        <f t="shared" si="1410"/>
        <v>0</v>
      </c>
      <c r="AA1833" s="78" t="b">
        <f t="shared" si="1411"/>
        <v>0</v>
      </c>
      <c r="AB1833" s="78" t="b">
        <f t="shared" si="1412"/>
        <v>0</v>
      </c>
      <c r="AC1833" s="78" t="b">
        <f t="shared" si="1413"/>
        <v>0</v>
      </c>
      <c r="AD1833" s="78" t="b">
        <f t="shared" si="1414"/>
        <v>0</v>
      </c>
      <c r="AE1833" s="78" t="b">
        <f t="shared" si="1415"/>
        <v>0</v>
      </c>
      <c r="AF1833" s="78" t="b">
        <f t="shared" si="1416"/>
        <v>0</v>
      </c>
      <c r="AG1833" s="78" t="b">
        <f t="shared" si="1417"/>
        <v>0</v>
      </c>
      <c r="AH1833" s="78" t="b">
        <f t="shared" si="1418"/>
        <v>0</v>
      </c>
      <c r="AI1833" s="78" t="b">
        <f t="shared" si="1419"/>
        <v>0</v>
      </c>
      <c r="AJ1833" s="78" t="b">
        <f t="shared" si="1420"/>
        <v>0</v>
      </c>
      <c r="AK1833" s="78" t="b">
        <f t="shared" si="1421"/>
        <v>0</v>
      </c>
      <c r="AL1833" s="78" t="b">
        <f t="shared" si="1422"/>
        <v>0</v>
      </c>
      <c r="AM1833" s="78" t="b">
        <f t="shared" si="1423"/>
        <v>0</v>
      </c>
      <c r="AN1833" s="78" t="b">
        <f t="shared" si="1424"/>
        <v>0</v>
      </c>
      <c r="AO1833" s="78" t="b">
        <f t="shared" si="1425"/>
        <v>0</v>
      </c>
    </row>
    <row r="1834" spans="7:41" x14ac:dyDescent="0.35">
      <c r="G1834" s="77">
        <f t="shared" si="1395"/>
        <v>0</v>
      </c>
      <c r="H1834" s="78">
        <f t="shared" si="1396"/>
        <v>0</v>
      </c>
      <c r="I1834" s="77">
        <f t="shared" si="1397"/>
        <v>0</v>
      </c>
      <c r="J1834" s="78">
        <f t="shared" si="1398"/>
        <v>0</v>
      </c>
      <c r="K1834" s="78" t="str">
        <f t="shared" si="1399"/>
        <v>1900-01-00 00:0:00</v>
      </c>
      <c r="L1834" s="78" t="str">
        <f t="shared" si="1400"/>
        <v>1900-01-00 00:0:00</v>
      </c>
      <c r="M1834" s="79">
        <f t="shared" si="1401"/>
        <v>0</v>
      </c>
      <c r="N1834">
        <f t="shared" si="1426"/>
        <v>1</v>
      </c>
      <c r="O1834" t="str">
        <f>IFERROR(_xlfn.XLOOKUP(A1834,HC!A:A,HC!C:C),"")</f>
        <v>Workforce</v>
      </c>
      <c r="R1834" s="78" t="b">
        <f t="shared" si="1402"/>
        <v>0</v>
      </c>
      <c r="S1834" s="78" t="b">
        <f t="shared" si="1403"/>
        <v>0</v>
      </c>
      <c r="T1834" s="78" t="b">
        <f t="shared" si="1404"/>
        <v>0</v>
      </c>
      <c r="U1834" s="78" t="b">
        <f t="shared" si="1405"/>
        <v>0</v>
      </c>
      <c r="V1834" s="78" t="b">
        <f t="shared" si="1406"/>
        <v>0</v>
      </c>
      <c r="W1834" s="78" t="b">
        <f t="shared" si="1407"/>
        <v>0</v>
      </c>
      <c r="X1834" s="78" t="b">
        <f t="shared" si="1408"/>
        <v>0</v>
      </c>
      <c r="Y1834" s="78" t="b">
        <f t="shared" si="1409"/>
        <v>0</v>
      </c>
      <c r="Z1834" s="78" t="b">
        <f t="shared" si="1410"/>
        <v>0</v>
      </c>
      <c r="AA1834" s="78" t="b">
        <f t="shared" si="1411"/>
        <v>0</v>
      </c>
      <c r="AB1834" s="78" t="b">
        <f t="shared" si="1412"/>
        <v>0</v>
      </c>
      <c r="AC1834" s="78" t="b">
        <f t="shared" si="1413"/>
        <v>0</v>
      </c>
      <c r="AD1834" s="78" t="b">
        <f t="shared" si="1414"/>
        <v>0</v>
      </c>
      <c r="AE1834" s="78" t="b">
        <f t="shared" si="1415"/>
        <v>0</v>
      </c>
      <c r="AF1834" s="78" t="b">
        <f t="shared" si="1416"/>
        <v>0</v>
      </c>
      <c r="AG1834" s="78" t="b">
        <f t="shared" si="1417"/>
        <v>0</v>
      </c>
      <c r="AH1834" s="78" t="b">
        <f t="shared" si="1418"/>
        <v>0</v>
      </c>
      <c r="AI1834" s="78" t="b">
        <f t="shared" si="1419"/>
        <v>0</v>
      </c>
      <c r="AJ1834" s="78" t="b">
        <f t="shared" si="1420"/>
        <v>0</v>
      </c>
      <c r="AK1834" s="78" t="b">
        <f t="shared" si="1421"/>
        <v>0</v>
      </c>
      <c r="AL1834" s="78" t="b">
        <f t="shared" si="1422"/>
        <v>0</v>
      </c>
      <c r="AM1834" s="78" t="b">
        <f t="shared" si="1423"/>
        <v>0</v>
      </c>
      <c r="AN1834" s="78" t="b">
        <f t="shared" si="1424"/>
        <v>0</v>
      </c>
      <c r="AO1834" s="78" t="b">
        <f t="shared" si="1425"/>
        <v>0</v>
      </c>
    </row>
    <row r="1835" spans="7:41" x14ac:dyDescent="0.35">
      <c r="G1835" s="77">
        <f t="shared" si="1395"/>
        <v>0</v>
      </c>
      <c r="H1835" s="78">
        <f t="shared" si="1396"/>
        <v>0</v>
      </c>
      <c r="I1835" s="77">
        <f t="shared" si="1397"/>
        <v>0</v>
      </c>
      <c r="J1835" s="78">
        <f t="shared" si="1398"/>
        <v>0</v>
      </c>
      <c r="K1835" s="78" t="str">
        <f t="shared" si="1399"/>
        <v>1900-01-00 00:0:00</v>
      </c>
      <c r="L1835" s="78" t="str">
        <f t="shared" si="1400"/>
        <v>1900-01-00 00:0:00</v>
      </c>
      <c r="M1835" s="79">
        <f t="shared" si="1401"/>
        <v>0</v>
      </c>
      <c r="N1835">
        <f t="shared" si="1426"/>
        <v>1</v>
      </c>
      <c r="O1835" t="str">
        <f>IFERROR(_xlfn.XLOOKUP(A1835,HC!A:A,HC!C:C),"")</f>
        <v>Workforce</v>
      </c>
      <c r="R1835" s="78" t="b">
        <f t="shared" si="1402"/>
        <v>0</v>
      </c>
      <c r="S1835" s="78" t="b">
        <f t="shared" si="1403"/>
        <v>0</v>
      </c>
      <c r="T1835" s="78" t="b">
        <f t="shared" si="1404"/>
        <v>0</v>
      </c>
      <c r="U1835" s="78" t="b">
        <f t="shared" si="1405"/>
        <v>0</v>
      </c>
      <c r="V1835" s="78" t="b">
        <f t="shared" si="1406"/>
        <v>0</v>
      </c>
      <c r="W1835" s="78" t="b">
        <f t="shared" si="1407"/>
        <v>0</v>
      </c>
      <c r="X1835" s="78" t="b">
        <f t="shared" si="1408"/>
        <v>0</v>
      </c>
      <c r="Y1835" s="78" t="b">
        <f t="shared" si="1409"/>
        <v>0</v>
      </c>
      <c r="Z1835" s="78" t="b">
        <f t="shared" si="1410"/>
        <v>0</v>
      </c>
      <c r="AA1835" s="78" t="b">
        <f t="shared" si="1411"/>
        <v>0</v>
      </c>
      <c r="AB1835" s="78" t="b">
        <f t="shared" si="1412"/>
        <v>0</v>
      </c>
      <c r="AC1835" s="78" t="b">
        <f t="shared" si="1413"/>
        <v>0</v>
      </c>
      <c r="AD1835" s="78" t="b">
        <f t="shared" si="1414"/>
        <v>0</v>
      </c>
      <c r="AE1835" s="78" t="b">
        <f t="shared" si="1415"/>
        <v>0</v>
      </c>
      <c r="AF1835" s="78" t="b">
        <f t="shared" si="1416"/>
        <v>0</v>
      </c>
      <c r="AG1835" s="78" t="b">
        <f t="shared" si="1417"/>
        <v>0</v>
      </c>
      <c r="AH1835" s="78" t="b">
        <f t="shared" si="1418"/>
        <v>0</v>
      </c>
      <c r="AI1835" s="78" t="b">
        <f t="shared" si="1419"/>
        <v>0</v>
      </c>
      <c r="AJ1835" s="78" t="b">
        <f t="shared" si="1420"/>
        <v>0</v>
      </c>
      <c r="AK1835" s="78" t="b">
        <f t="shared" si="1421"/>
        <v>0</v>
      </c>
      <c r="AL1835" s="78" t="b">
        <f t="shared" si="1422"/>
        <v>0</v>
      </c>
      <c r="AM1835" s="78" t="b">
        <f t="shared" si="1423"/>
        <v>0</v>
      </c>
      <c r="AN1835" s="78" t="b">
        <f t="shared" si="1424"/>
        <v>0</v>
      </c>
      <c r="AO1835" s="78" t="b">
        <f t="shared" si="1425"/>
        <v>0</v>
      </c>
    </row>
    <row r="1836" spans="7:41" x14ac:dyDescent="0.35">
      <c r="G1836" s="77">
        <f t="shared" si="1395"/>
        <v>0</v>
      </c>
      <c r="H1836" s="78">
        <f t="shared" si="1396"/>
        <v>0</v>
      </c>
      <c r="I1836" s="77">
        <f t="shared" si="1397"/>
        <v>0</v>
      </c>
      <c r="J1836" s="78">
        <f t="shared" si="1398"/>
        <v>0</v>
      </c>
      <c r="K1836" s="78" t="str">
        <f t="shared" si="1399"/>
        <v>1900-01-00 00:0:00</v>
      </c>
      <c r="L1836" s="78" t="str">
        <f t="shared" si="1400"/>
        <v>1900-01-00 00:0:00</v>
      </c>
      <c r="M1836" s="79">
        <f t="shared" si="1401"/>
        <v>0</v>
      </c>
      <c r="N1836">
        <f t="shared" si="1426"/>
        <v>1</v>
      </c>
      <c r="O1836" t="str">
        <f>IFERROR(_xlfn.XLOOKUP(A1836,HC!A:A,HC!C:C),"")</f>
        <v>Workforce</v>
      </c>
      <c r="R1836" s="78" t="b">
        <f t="shared" si="1402"/>
        <v>0</v>
      </c>
      <c r="S1836" s="78" t="b">
        <f t="shared" si="1403"/>
        <v>0</v>
      </c>
      <c r="T1836" s="78" t="b">
        <f t="shared" si="1404"/>
        <v>0</v>
      </c>
      <c r="U1836" s="78" t="b">
        <f t="shared" si="1405"/>
        <v>0</v>
      </c>
      <c r="V1836" s="78" t="b">
        <f t="shared" si="1406"/>
        <v>0</v>
      </c>
      <c r="W1836" s="78" t="b">
        <f t="shared" si="1407"/>
        <v>0</v>
      </c>
      <c r="X1836" s="78" t="b">
        <f t="shared" si="1408"/>
        <v>0</v>
      </c>
      <c r="Y1836" s="78" t="b">
        <f t="shared" si="1409"/>
        <v>0</v>
      </c>
      <c r="Z1836" s="78" t="b">
        <f t="shared" si="1410"/>
        <v>0</v>
      </c>
      <c r="AA1836" s="78" t="b">
        <f t="shared" si="1411"/>
        <v>0</v>
      </c>
      <c r="AB1836" s="78" t="b">
        <f t="shared" si="1412"/>
        <v>0</v>
      </c>
      <c r="AC1836" s="78" t="b">
        <f t="shared" si="1413"/>
        <v>0</v>
      </c>
      <c r="AD1836" s="78" t="b">
        <f t="shared" si="1414"/>
        <v>0</v>
      </c>
      <c r="AE1836" s="78" t="b">
        <f t="shared" si="1415"/>
        <v>0</v>
      </c>
      <c r="AF1836" s="78" t="b">
        <f t="shared" si="1416"/>
        <v>0</v>
      </c>
      <c r="AG1836" s="78" t="b">
        <f t="shared" si="1417"/>
        <v>0</v>
      </c>
      <c r="AH1836" s="78" t="b">
        <f t="shared" si="1418"/>
        <v>0</v>
      </c>
      <c r="AI1836" s="78" t="b">
        <f t="shared" si="1419"/>
        <v>0</v>
      </c>
      <c r="AJ1836" s="78" t="b">
        <f t="shared" si="1420"/>
        <v>0</v>
      </c>
      <c r="AK1836" s="78" t="b">
        <f t="shared" si="1421"/>
        <v>0</v>
      </c>
      <c r="AL1836" s="78" t="b">
        <f t="shared" si="1422"/>
        <v>0</v>
      </c>
      <c r="AM1836" s="78" t="b">
        <f t="shared" si="1423"/>
        <v>0</v>
      </c>
      <c r="AN1836" s="78" t="b">
        <f t="shared" si="1424"/>
        <v>0</v>
      </c>
      <c r="AO1836" s="78" t="b">
        <f t="shared" si="1425"/>
        <v>0</v>
      </c>
    </row>
    <row r="1837" spans="7:41" x14ac:dyDescent="0.35">
      <c r="G1837" s="77">
        <f t="shared" si="1395"/>
        <v>0</v>
      </c>
      <c r="H1837" s="78">
        <f t="shared" si="1396"/>
        <v>0</v>
      </c>
      <c r="I1837" s="77">
        <f t="shared" si="1397"/>
        <v>0</v>
      </c>
      <c r="J1837" s="78">
        <f t="shared" si="1398"/>
        <v>0</v>
      </c>
      <c r="K1837" s="78" t="str">
        <f t="shared" si="1399"/>
        <v>1900-01-00 00:0:00</v>
      </c>
      <c r="L1837" s="78" t="str">
        <f t="shared" si="1400"/>
        <v>1900-01-00 00:0:00</v>
      </c>
      <c r="M1837" s="79">
        <f t="shared" si="1401"/>
        <v>0</v>
      </c>
      <c r="N1837">
        <f t="shared" si="1426"/>
        <v>1</v>
      </c>
      <c r="O1837" t="str">
        <f>IFERROR(_xlfn.XLOOKUP(A1837,HC!A:A,HC!C:C),"")</f>
        <v>Workforce</v>
      </c>
      <c r="R1837" s="78" t="b">
        <f t="shared" si="1402"/>
        <v>0</v>
      </c>
      <c r="S1837" s="78" t="b">
        <f t="shared" si="1403"/>
        <v>0</v>
      </c>
      <c r="T1837" s="78" t="b">
        <f t="shared" si="1404"/>
        <v>0</v>
      </c>
      <c r="U1837" s="78" t="b">
        <f t="shared" si="1405"/>
        <v>0</v>
      </c>
      <c r="V1837" s="78" t="b">
        <f t="shared" si="1406"/>
        <v>0</v>
      </c>
      <c r="W1837" s="78" t="b">
        <f t="shared" si="1407"/>
        <v>0</v>
      </c>
      <c r="X1837" s="78" t="b">
        <f t="shared" si="1408"/>
        <v>0</v>
      </c>
      <c r="Y1837" s="78" t="b">
        <f t="shared" si="1409"/>
        <v>0</v>
      </c>
      <c r="Z1837" s="78" t="b">
        <f t="shared" si="1410"/>
        <v>0</v>
      </c>
      <c r="AA1837" s="78" t="b">
        <f t="shared" si="1411"/>
        <v>0</v>
      </c>
      <c r="AB1837" s="78" t="b">
        <f t="shared" si="1412"/>
        <v>0</v>
      </c>
      <c r="AC1837" s="78" t="b">
        <f t="shared" si="1413"/>
        <v>0</v>
      </c>
      <c r="AD1837" s="78" t="b">
        <f t="shared" si="1414"/>
        <v>0</v>
      </c>
      <c r="AE1837" s="78" t="b">
        <f t="shared" si="1415"/>
        <v>0</v>
      </c>
      <c r="AF1837" s="78" t="b">
        <f t="shared" si="1416"/>
        <v>0</v>
      </c>
      <c r="AG1837" s="78" t="b">
        <f t="shared" si="1417"/>
        <v>0</v>
      </c>
      <c r="AH1837" s="78" t="b">
        <f t="shared" si="1418"/>
        <v>0</v>
      </c>
      <c r="AI1837" s="78" t="b">
        <f t="shared" si="1419"/>
        <v>0</v>
      </c>
      <c r="AJ1837" s="78" t="b">
        <f t="shared" si="1420"/>
        <v>0</v>
      </c>
      <c r="AK1837" s="78" t="b">
        <f t="shared" si="1421"/>
        <v>0</v>
      </c>
      <c r="AL1837" s="78" t="b">
        <f t="shared" si="1422"/>
        <v>0</v>
      </c>
      <c r="AM1837" s="78" t="b">
        <f t="shared" si="1423"/>
        <v>0</v>
      </c>
      <c r="AN1837" s="78" t="b">
        <f t="shared" si="1424"/>
        <v>0</v>
      </c>
      <c r="AO1837" s="78" t="b">
        <f t="shared" si="1425"/>
        <v>0</v>
      </c>
    </row>
    <row r="1838" spans="7:41" x14ac:dyDescent="0.35">
      <c r="G1838" s="77">
        <f t="shared" si="1395"/>
        <v>0</v>
      </c>
      <c r="H1838" s="78">
        <f t="shared" si="1396"/>
        <v>0</v>
      </c>
      <c r="I1838" s="77">
        <f t="shared" si="1397"/>
        <v>0</v>
      </c>
      <c r="J1838" s="78">
        <f t="shared" si="1398"/>
        <v>0</v>
      </c>
      <c r="K1838" s="78" t="str">
        <f t="shared" si="1399"/>
        <v>1900-01-00 00:0:00</v>
      </c>
      <c r="L1838" s="78" t="str">
        <f t="shared" si="1400"/>
        <v>1900-01-00 00:0:00</v>
      </c>
      <c r="M1838" s="79">
        <f t="shared" si="1401"/>
        <v>0</v>
      </c>
      <c r="N1838">
        <f t="shared" si="1426"/>
        <v>1</v>
      </c>
      <c r="O1838" t="str">
        <f>IFERROR(_xlfn.XLOOKUP(A1838,HC!A:A,HC!C:C),"")</f>
        <v>Workforce</v>
      </c>
      <c r="R1838" s="78" t="b">
        <f t="shared" si="1402"/>
        <v>0</v>
      </c>
      <c r="S1838" s="78" t="b">
        <f t="shared" si="1403"/>
        <v>0</v>
      </c>
      <c r="T1838" s="78" t="b">
        <f t="shared" si="1404"/>
        <v>0</v>
      </c>
      <c r="U1838" s="78" t="b">
        <f t="shared" si="1405"/>
        <v>0</v>
      </c>
      <c r="V1838" s="78" t="b">
        <f t="shared" si="1406"/>
        <v>0</v>
      </c>
      <c r="W1838" s="78" t="b">
        <f t="shared" si="1407"/>
        <v>0</v>
      </c>
      <c r="X1838" s="78" t="b">
        <f t="shared" si="1408"/>
        <v>0</v>
      </c>
      <c r="Y1838" s="78" t="b">
        <f t="shared" si="1409"/>
        <v>0</v>
      </c>
      <c r="Z1838" s="78" t="b">
        <f t="shared" si="1410"/>
        <v>0</v>
      </c>
      <c r="AA1838" s="78" t="b">
        <f t="shared" si="1411"/>
        <v>0</v>
      </c>
      <c r="AB1838" s="78" t="b">
        <f t="shared" si="1412"/>
        <v>0</v>
      </c>
      <c r="AC1838" s="78" t="b">
        <f t="shared" si="1413"/>
        <v>0</v>
      </c>
      <c r="AD1838" s="78" t="b">
        <f t="shared" si="1414"/>
        <v>0</v>
      </c>
      <c r="AE1838" s="78" t="b">
        <f t="shared" si="1415"/>
        <v>0</v>
      </c>
      <c r="AF1838" s="78" t="b">
        <f t="shared" si="1416"/>
        <v>0</v>
      </c>
      <c r="AG1838" s="78" t="b">
        <f t="shared" si="1417"/>
        <v>0</v>
      </c>
      <c r="AH1838" s="78" t="b">
        <f t="shared" si="1418"/>
        <v>0</v>
      </c>
      <c r="AI1838" s="78" t="b">
        <f t="shared" si="1419"/>
        <v>0</v>
      </c>
      <c r="AJ1838" s="78" t="b">
        <f t="shared" si="1420"/>
        <v>0</v>
      </c>
      <c r="AK1838" s="78" t="b">
        <f t="shared" si="1421"/>
        <v>0</v>
      </c>
      <c r="AL1838" s="78" t="b">
        <f t="shared" si="1422"/>
        <v>0</v>
      </c>
      <c r="AM1838" s="78" t="b">
        <f t="shared" si="1423"/>
        <v>0</v>
      </c>
      <c r="AN1838" s="78" t="b">
        <f t="shared" si="1424"/>
        <v>0</v>
      </c>
      <c r="AO1838" s="78" t="b">
        <f t="shared" si="1425"/>
        <v>0</v>
      </c>
    </row>
    <row r="1839" spans="7:41" x14ac:dyDescent="0.35">
      <c r="G1839" s="77">
        <f t="shared" si="1395"/>
        <v>0</v>
      </c>
      <c r="H1839" s="78">
        <f t="shared" si="1396"/>
        <v>0</v>
      </c>
      <c r="I1839" s="77">
        <f t="shared" si="1397"/>
        <v>0</v>
      </c>
      <c r="J1839" s="78">
        <f t="shared" si="1398"/>
        <v>0</v>
      </c>
      <c r="K1839" s="78" t="str">
        <f t="shared" si="1399"/>
        <v>1900-01-00 00:0:00</v>
      </c>
      <c r="L1839" s="78" t="str">
        <f t="shared" si="1400"/>
        <v>1900-01-00 00:0:00</v>
      </c>
      <c r="M1839" s="79">
        <f t="shared" si="1401"/>
        <v>0</v>
      </c>
      <c r="N1839">
        <f t="shared" si="1426"/>
        <v>1</v>
      </c>
      <c r="O1839" t="str">
        <f>IFERROR(_xlfn.XLOOKUP(A1839,HC!A:A,HC!C:C),"")</f>
        <v>Workforce</v>
      </c>
      <c r="R1839" s="78" t="b">
        <f t="shared" si="1402"/>
        <v>0</v>
      </c>
      <c r="S1839" s="78" t="b">
        <f t="shared" si="1403"/>
        <v>0</v>
      </c>
      <c r="T1839" s="78" t="b">
        <f t="shared" si="1404"/>
        <v>0</v>
      </c>
      <c r="U1839" s="78" t="b">
        <f t="shared" si="1405"/>
        <v>0</v>
      </c>
      <c r="V1839" s="78" t="b">
        <f t="shared" si="1406"/>
        <v>0</v>
      </c>
      <c r="W1839" s="78" t="b">
        <f t="shared" si="1407"/>
        <v>0</v>
      </c>
      <c r="X1839" s="78" t="b">
        <f t="shared" si="1408"/>
        <v>0</v>
      </c>
      <c r="Y1839" s="78" t="b">
        <f t="shared" si="1409"/>
        <v>0</v>
      </c>
      <c r="Z1839" s="78" t="b">
        <f t="shared" si="1410"/>
        <v>0</v>
      </c>
      <c r="AA1839" s="78" t="b">
        <f t="shared" si="1411"/>
        <v>0</v>
      </c>
      <c r="AB1839" s="78" t="b">
        <f t="shared" si="1412"/>
        <v>0</v>
      </c>
      <c r="AC1839" s="78" t="b">
        <f t="shared" si="1413"/>
        <v>0</v>
      </c>
      <c r="AD1839" s="78" t="b">
        <f t="shared" si="1414"/>
        <v>0</v>
      </c>
      <c r="AE1839" s="78" t="b">
        <f t="shared" si="1415"/>
        <v>0</v>
      </c>
      <c r="AF1839" s="78" t="b">
        <f t="shared" si="1416"/>
        <v>0</v>
      </c>
      <c r="AG1839" s="78" t="b">
        <f t="shared" si="1417"/>
        <v>0</v>
      </c>
      <c r="AH1839" s="78" t="b">
        <f t="shared" si="1418"/>
        <v>0</v>
      </c>
      <c r="AI1839" s="78" t="b">
        <f t="shared" si="1419"/>
        <v>0</v>
      </c>
      <c r="AJ1839" s="78" t="b">
        <f t="shared" si="1420"/>
        <v>0</v>
      </c>
      <c r="AK1839" s="78" t="b">
        <f t="shared" si="1421"/>
        <v>0</v>
      </c>
      <c r="AL1839" s="78" t="b">
        <f t="shared" si="1422"/>
        <v>0</v>
      </c>
      <c r="AM1839" s="78" t="b">
        <f t="shared" si="1423"/>
        <v>0</v>
      </c>
      <c r="AN1839" s="78" t="b">
        <f t="shared" si="1424"/>
        <v>0</v>
      </c>
      <c r="AO1839" s="78" t="b">
        <f t="shared" si="1425"/>
        <v>0</v>
      </c>
    </row>
    <row r="1840" spans="7:41" x14ac:dyDescent="0.35">
      <c r="G1840" s="77">
        <f t="shared" si="1395"/>
        <v>0</v>
      </c>
      <c r="H1840" s="78">
        <f t="shared" si="1396"/>
        <v>0</v>
      </c>
      <c r="I1840" s="77">
        <f t="shared" si="1397"/>
        <v>0</v>
      </c>
      <c r="J1840" s="78">
        <f t="shared" si="1398"/>
        <v>0</v>
      </c>
      <c r="K1840" s="78" t="str">
        <f t="shared" si="1399"/>
        <v>1900-01-00 00:0:00</v>
      </c>
      <c r="L1840" s="78" t="str">
        <f t="shared" si="1400"/>
        <v>1900-01-00 00:0:00</v>
      </c>
      <c r="M1840" s="79">
        <f t="shared" si="1401"/>
        <v>0</v>
      </c>
      <c r="N1840">
        <f t="shared" si="1426"/>
        <v>1</v>
      </c>
      <c r="O1840" t="str">
        <f>IFERROR(_xlfn.XLOOKUP(A1840,HC!A:A,HC!C:C),"")</f>
        <v>Workforce</v>
      </c>
      <c r="R1840" s="78" t="b">
        <f t="shared" si="1402"/>
        <v>0</v>
      </c>
      <c r="S1840" s="78" t="b">
        <f t="shared" si="1403"/>
        <v>0</v>
      </c>
      <c r="T1840" s="78" t="b">
        <f t="shared" si="1404"/>
        <v>0</v>
      </c>
      <c r="U1840" s="78" t="b">
        <f t="shared" si="1405"/>
        <v>0</v>
      </c>
      <c r="V1840" s="78" t="b">
        <f t="shared" si="1406"/>
        <v>0</v>
      </c>
      <c r="W1840" s="78" t="b">
        <f t="shared" si="1407"/>
        <v>0</v>
      </c>
      <c r="X1840" s="78" t="b">
        <f t="shared" si="1408"/>
        <v>0</v>
      </c>
      <c r="Y1840" s="78" t="b">
        <f t="shared" si="1409"/>
        <v>0</v>
      </c>
      <c r="Z1840" s="78" t="b">
        <f t="shared" si="1410"/>
        <v>0</v>
      </c>
      <c r="AA1840" s="78" t="b">
        <f t="shared" si="1411"/>
        <v>0</v>
      </c>
      <c r="AB1840" s="78" t="b">
        <f t="shared" si="1412"/>
        <v>0</v>
      </c>
      <c r="AC1840" s="78" t="b">
        <f t="shared" si="1413"/>
        <v>0</v>
      </c>
      <c r="AD1840" s="78" t="b">
        <f t="shared" si="1414"/>
        <v>0</v>
      </c>
      <c r="AE1840" s="78" t="b">
        <f t="shared" si="1415"/>
        <v>0</v>
      </c>
      <c r="AF1840" s="78" t="b">
        <f t="shared" si="1416"/>
        <v>0</v>
      </c>
      <c r="AG1840" s="78" t="b">
        <f t="shared" si="1417"/>
        <v>0</v>
      </c>
      <c r="AH1840" s="78" t="b">
        <f t="shared" si="1418"/>
        <v>0</v>
      </c>
      <c r="AI1840" s="78" t="b">
        <f t="shared" si="1419"/>
        <v>0</v>
      </c>
      <c r="AJ1840" s="78" t="b">
        <f t="shared" si="1420"/>
        <v>0</v>
      </c>
      <c r="AK1840" s="78" t="b">
        <f t="shared" si="1421"/>
        <v>0</v>
      </c>
      <c r="AL1840" s="78" t="b">
        <f t="shared" si="1422"/>
        <v>0</v>
      </c>
      <c r="AM1840" s="78" t="b">
        <f t="shared" si="1423"/>
        <v>0</v>
      </c>
      <c r="AN1840" s="78" t="b">
        <f t="shared" si="1424"/>
        <v>0</v>
      </c>
      <c r="AO1840" s="78" t="b">
        <f t="shared" si="1425"/>
        <v>0</v>
      </c>
    </row>
    <row r="1841" spans="7:41" x14ac:dyDescent="0.35">
      <c r="G1841" s="77">
        <f t="shared" si="1395"/>
        <v>0</v>
      </c>
      <c r="H1841" s="78">
        <f t="shared" si="1396"/>
        <v>0</v>
      </c>
      <c r="I1841" s="77">
        <f t="shared" si="1397"/>
        <v>0</v>
      </c>
      <c r="J1841" s="78">
        <f t="shared" si="1398"/>
        <v>0</v>
      </c>
      <c r="K1841" s="78" t="str">
        <f t="shared" si="1399"/>
        <v>1900-01-00 00:0:00</v>
      </c>
      <c r="L1841" s="78" t="str">
        <f t="shared" si="1400"/>
        <v>1900-01-00 00:0:00</v>
      </c>
      <c r="M1841" s="79">
        <f t="shared" si="1401"/>
        <v>0</v>
      </c>
      <c r="N1841">
        <f t="shared" si="1426"/>
        <v>1</v>
      </c>
      <c r="O1841" t="str">
        <f>IFERROR(_xlfn.XLOOKUP(A1841,HC!A:A,HC!C:C),"")</f>
        <v>Workforce</v>
      </c>
      <c r="R1841" s="78" t="b">
        <f t="shared" si="1402"/>
        <v>0</v>
      </c>
      <c r="S1841" s="78" t="b">
        <f t="shared" si="1403"/>
        <v>0</v>
      </c>
      <c r="T1841" s="78" t="b">
        <f t="shared" si="1404"/>
        <v>0</v>
      </c>
      <c r="U1841" s="78" t="b">
        <f t="shared" si="1405"/>
        <v>0</v>
      </c>
      <c r="V1841" s="78" t="b">
        <f t="shared" si="1406"/>
        <v>0</v>
      </c>
      <c r="W1841" s="78" t="b">
        <f t="shared" si="1407"/>
        <v>0</v>
      </c>
      <c r="X1841" s="78" t="b">
        <f t="shared" si="1408"/>
        <v>0</v>
      </c>
      <c r="Y1841" s="78" t="b">
        <f t="shared" si="1409"/>
        <v>0</v>
      </c>
      <c r="Z1841" s="78" t="b">
        <f t="shared" si="1410"/>
        <v>0</v>
      </c>
      <c r="AA1841" s="78" t="b">
        <f t="shared" si="1411"/>
        <v>0</v>
      </c>
      <c r="AB1841" s="78" t="b">
        <f t="shared" si="1412"/>
        <v>0</v>
      </c>
      <c r="AC1841" s="78" t="b">
        <f t="shared" si="1413"/>
        <v>0</v>
      </c>
      <c r="AD1841" s="78" t="b">
        <f t="shared" si="1414"/>
        <v>0</v>
      </c>
      <c r="AE1841" s="78" t="b">
        <f t="shared" si="1415"/>
        <v>0</v>
      </c>
      <c r="AF1841" s="78" t="b">
        <f t="shared" si="1416"/>
        <v>0</v>
      </c>
      <c r="AG1841" s="78" t="b">
        <f t="shared" si="1417"/>
        <v>0</v>
      </c>
      <c r="AH1841" s="78" t="b">
        <f t="shared" si="1418"/>
        <v>0</v>
      </c>
      <c r="AI1841" s="78" t="b">
        <f t="shared" si="1419"/>
        <v>0</v>
      </c>
      <c r="AJ1841" s="78" t="b">
        <f t="shared" si="1420"/>
        <v>0</v>
      </c>
      <c r="AK1841" s="78" t="b">
        <f t="shared" si="1421"/>
        <v>0</v>
      </c>
      <c r="AL1841" s="78" t="b">
        <f t="shared" si="1422"/>
        <v>0</v>
      </c>
      <c r="AM1841" s="78" t="b">
        <f t="shared" si="1423"/>
        <v>0</v>
      </c>
      <c r="AN1841" s="78" t="b">
        <f t="shared" si="1424"/>
        <v>0</v>
      </c>
      <c r="AO1841" s="78" t="b">
        <f t="shared" si="1425"/>
        <v>0</v>
      </c>
    </row>
    <row r="1842" spans="7:41" x14ac:dyDescent="0.35">
      <c r="G1842" s="77">
        <f t="shared" si="1395"/>
        <v>0</v>
      </c>
      <c r="H1842" s="78">
        <f t="shared" si="1396"/>
        <v>0</v>
      </c>
      <c r="I1842" s="77">
        <f t="shared" si="1397"/>
        <v>0</v>
      </c>
      <c r="J1842" s="78">
        <f t="shared" si="1398"/>
        <v>0</v>
      </c>
      <c r="K1842" s="78" t="str">
        <f t="shared" si="1399"/>
        <v>1900-01-00 00:0:00</v>
      </c>
      <c r="L1842" s="78" t="str">
        <f t="shared" si="1400"/>
        <v>1900-01-00 00:0:00</v>
      </c>
      <c r="M1842" s="79">
        <f t="shared" si="1401"/>
        <v>0</v>
      </c>
      <c r="N1842">
        <f t="shared" si="1426"/>
        <v>1</v>
      </c>
      <c r="O1842" t="str">
        <f>IFERROR(_xlfn.XLOOKUP(A1842,HC!A:A,HC!C:C),"")</f>
        <v>Workforce</v>
      </c>
      <c r="R1842" s="78" t="b">
        <f t="shared" si="1402"/>
        <v>0</v>
      </c>
      <c r="S1842" s="78" t="b">
        <f t="shared" si="1403"/>
        <v>0</v>
      </c>
      <c r="T1842" s="78" t="b">
        <f t="shared" si="1404"/>
        <v>0</v>
      </c>
      <c r="U1842" s="78" t="b">
        <f t="shared" si="1405"/>
        <v>0</v>
      </c>
      <c r="V1842" s="78" t="b">
        <f t="shared" si="1406"/>
        <v>0</v>
      </c>
      <c r="W1842" s="78" t="b">
        <f t="shared" si="1407"/>
        <v>0</v>
      </c>
      <c r="X1842" s="78" t="b">
        <f t="shared" si="1408"/>
        <v>0</v>
      </c>
      <c r="Y1842" s="78" t="b">
        <f t="shared" si="1409"/>
        <v>0</v>
      </c>
      <c r="Z1842" s="78" t="b">
        <f t="shared" si="1410"/>
        <v>0</v>
      </c>
      <c r="AA1842" s="78" t="b">
        <f t="shared" si="1411"/>
        <v>0</v>
      </c>
      <c r="AB1842" s="78" t="b">
        <f t="shared" si="1412"/>
        <v>0</v>
      </c>
      <c r="AC1842" s="78" t="b">
        <f t="shared" si="1413"/>
        <v>0</v>
      </c>
      <c r="AD1842" s="78" t="b">
        <f t="shared" si="1414"/>
        <v>0</v>
      </c>
      <c r="AE1842" s="78" t="b">
        <f t="shared" si="1415"/>
        <v>0</v>
      </c>
      <c r="AF1842" s="78" t="b">
        <f t="shared" si="1416"/>
        <v>0</v>
      </c>
      <c r="AG1842" s="78" t="b">
        <f t="shared" si="1417"/>
        <v>0</v>
      </c>
      <c r="AH1842" s="78" t="b">
        <f t="shared" si="1418"/>
        <v>0</v>
      </c>
      <c r="AI1842" s="78" t="b">
        <f t="shared" si="1419"/>
        <v>0</v>
      </c>
      <c r="AJ1842" s="78" t="b">
        <f t="shared" si="1420"/>
        <v>0</v>
      </c>
      <c r="AK1842" s="78" t="b">
        <f t="shared" si="1421"/>
        <v>0</v>
      </c>
      <c r="AL1842" s="78" t="b">
        <f t="shared" si="1422"/>
        <v>0</v>
      </c>
      <c r="AM1842" s="78" t="b">
        <f t="shared" si="1423"/>
        <v>0</v>
      </c>
      <c r="AN1842" s="78" t="b">
        <f t="shared" si="1424"/>
        <v>0</v>
      </c>
      <c r="AO1842" s="78" t="b">
        <f t="shared" si="1425"/>
        <v>0</v>
      </c>
    </row>
    <row r="1843" spans="7:41" x14ac:dyDescent="0.35">
      <c r="G1843" s="77">
        <f t="shared" si="1395"/>
        <v>0</v>
      </c>
      <c r="H1843" s="78">
        <f t="shared" si="1396"/>
        <v>0</v>
      </c>
      <c r="I1843" s="77">
        <f t="shared" si="1397"/>
        <v>0</v>
      </c>
      <c r="J1843" s="78">
        <f t="shared" si="1398"/>
        <v>0</v>
      </c>
      <c r="K1843" s="78" t="str">
        <f t="shared" si="1399"/>
        <v>1900-01-00 00:0:00</v>
      </c>
      <c r="L1843" s="78" t="str">
        <f t="shared" si="1400"/>
        <v>1900-01-00 00:0:00</v>
      </c>
      <c r="M1843" s="79">
        <f t="shared" si="1401"/>
        <v>0</v>
      </c>
      <c r="N1843">
        <f t="shared" si="1426"/>
        <v>1</v>
      </c>
      <c r="O1843" t="str">
        <f>IFERROR(_xlfn.XLOOKUP(A1843,HC!A:A,HC!C:C),"")</f>
        <v>Workforce</v>
      </c>
      <c r="R1843" s="78" t="b">
        <f t="shared" si="1402"/>
        <v>0</v>
      </c>
      <c r="S1843" s="78" t="b">
        <f t="shared" si="1403"/>
        <v>0</v>
      </c>
      <c r="T1843" s="78" t="b">
        <f t="shared" si="1404"/>
        <v>0</v>
      </c>
      <c r="U1843" s="78" t="b">
        <f t="shared" si="1405"/>
        <v>0</v>
      </c>
      <c r="V1843" s="78" t="b">
        <f t="shared" si="1406"/>
        <v>0</v>
      </c>
      <c r="W1843" s="78" t="b">
        <f t="shared" si="1407"/>
        <v>0</v>
      </c>
      <c r="X1843" s="78" t="b">
        <f t="shared" si="1408"/>
        <v>0</v>
      </c>
      <c r="Y1843" s="78" t="b">
        <f t="shared" si="1409"/>
        <v>0</v>
      </c>
      <c r="Z1843" s="78" t="b">
        <f t="shared" si="1410"/>
        <v>0</v>
      </c>
      <c r="AA1843" s="78" t="b">
        <f t="shared" si="1411"/>
        <v>0</v>
      </c>
      <c r="AB1843" s="78" t="b">
        <f t="shared" si="1412"/>
        <v>0</v>
      </c>
      <c r="AC1843" s="78" t="b">
        <f t="shared" si="1413"/>
        <v>0</v>
      </c>
      <c r="AD1843" s="78" t="b">
        <f t="shared" si="1414"/>
        <v>0</v>
      </c>
      <c r="AE1843" s="78" t="b">
        <f t="shared" si="1415"/>
        <v>0</v>
      </c>
      <c r="AF1843" s="78" t="b">
        <f t="shared" si="1416"/>
        <v>0</v>
      </c>
      <c r="AG1843" s="78" t="b">
        <f t="shared" si="1417"/>
        <v>0</v>
      </c>
      <c r="AH1843" s="78" t="b">
        <f t="shared" si="1418"/>
        <v>0</v>
      </c>
      <c r="AI1843" s="78" t="b">
        <f t="shared" si="1419"/>
        <v>0</v>
      </c>
      <c r="AJ1843" s="78" t="b">
        <f t="shared" si="1420"/>
        <v>0</v>
      </c>
      <c r="AK1843" s="78" t="b">
        <f t="shared" si="1421"/>
        <v>0</v>
      </c>
      <c r="AL1843" s="78" t="b">
        <f t="shared" si="1422"/>
        <v>0</v>
      </c>
      <c r="AM1843" s="78" t="b">
        <f t="shared" si="1423"/>
        <v>0</v>
      </c>
      <c r="AN1843" s="78" t="b">
        <f t="shared" si="1424"/>
        <v>0</v>
      </c>
      <c r="AO1843" s="78" t="b">
        <f t="shared" si="1425"/>
        <v>0</v>
      </c>
    </row>
    <row r="1844" spans="7:41" x14ac:dyDescent="0.35">
      <c r="G1844" s="77">
        <f t="shared" si="1395"/>
        <v>0</v>
      </c>
      <c r="H1844" s="78">
        <f t="shared" si="1396"/>
        <v>0</v>
      </c>
      <c r="I1844" s="77">
        <f t="shared" si="1397"/>
        <v>0</v>
      </c>
      <c r="J1844" s="78">
        <f t="shared" si="1398"/>
        <v>0</v>
      </c>
      <c r="K1844" s="78" t="str">
        <f t="shared" si="1399"/>
        <v>1900-01-00 00:0:00</v>
      </c>
      <c r="L1844" s="78" t="str">
        <f t="shared" si="1400"/>
        <v>1900-01-00 00:0:00</v>
      </c>
      <c r="M1844" s="79">
        <f t="shared" si="1401"/>
        <v>0</v>
      </c>
      <c r="N1844">
        <f t="shared" si="1426"/>
        <v>1</v>
      </c>
      <c r="O1844" t="str">
        <f>IFERROR(_xlfn.XLOOKUP(A1844,HC!A:A,HC!C:C),"")</f>
        <v>Workforce</v>
      </c>
      <c r="R1844" s="78" t="b">
        <f t="shared" si="1402"/>
        <v>0</v>
      </c>
      <c r="S1844" s="78" t="b">
        <f t="shared" si="1403"/>
        <v>0</v>
      </c>
      <c r="T1844" s="78" t="b">
        <f t="shared" si="1404"/>
        <v>0</v>
      </c>
      <c r="U1844" s="78" t="b">
        <f t="shared" si="1405"/>
        <v>0</v>
      </c>
      <c r="V1844" s="78" t="b">
        <f t="shared" si="1406"/>
        <v>0</v>
      </c>
      <c r="W1844" s="78" t="b">
        <f t="shared" si="1407"/>
        <v>0</v>
      </c>
      <c r="X1844" s="78" t="b">
        <f t="shared" si="1408"/>
        <v>0</v>
      </c>
      <c r="Y1844" s="78" t="b">
        <f t="shared" si="1409"/>
        <v>0</v>
      </c>
      <c r="Z1844" s="78" t="b">
        <f t="shared" si="1410"/>
        <v>0</v>
      </c>
      <c r="AA1844" s="78" t="b">
        <f t="shared" si="1411"/>
        <v>0</v>
      </c>
      <c r="AB1844" s="78" t="b">
        <f t="shared" si="1412"/>
        <v>0</v>
      </c>
      <c r="AC1844" s="78" t="b">
        <f t="shared" si="1413"/>
        <v>0</v>
      </c>
      <c r="AD1844" s="78" t="b">
        <f t="shared" si="1414"/>
        <v>0</v>
      </c>
      <c r="AE1844" s="78" t="b">
        <f t="shared" si="1415"/>
        <v>0</v>
      </c>
      <c r="AF1844" s="78" t="b">
        <f t="shared" si="1416"/>
        <v>0</v>
      </c>
      <c r="AG1844" s="78" t="b">
        <f t="shared" si="1417"/>
        <v>0</v>
      </c>
      <c r="AH1844" s="78" t="b">
        <f t="shared" si="1418"/>
        <v>0</v>
      </c>
      <c r="AI1844" s="78" t="b">
        <f t="shared" si="1419"/>
        <v>0</v>
      </c>
      <c r="AJ1844" s="78" t="b">
        <f t="shared" si="1420"/>
        <v>0</v>
      </c>
      <c r="AK1844" s="78" t="b">
        <f t="shared" si="1421"/>
        <v>0</v>
      </c>
      <c r="AL1844" s="78" t="b">
        <f t="shared" si="1422"/>
        <v>0</v>
      </c>
      <c r="AM1844" s="78" t="b">
        <f t="shared" si="1423"/>
        <v>0</v>
      </c>
      <c r="AN1844" s="78" t="b">
        <f t="shared" si="1424"/>
        <v>0</v>
      </c>
      <c r="AO1844" s="78" t="b">
        <f t="shared" si="1425"/>
        <v>0</v>
      </c>
    </row>
    <row r="1845" spans="7:41" x14ac:dyDescent="0.35">
      <c r="G1845" s="77">
        <f t="shared" si="1395"/>
        <v>0</v>
      </c>
      <c r="H1845" s="78">
        <f t="shared" si="1396"/>
        <v>0</v>
      </c>
      <c r="I1845" s="77">
        <f t="shared" si="1397"/>
        <v>0</v>
      </c>
      <c r="J1845" s="78">
        <f t="shared" si="1398"/>
        <v>0</v>
      </c>
      <c r="K1845" s="78" t="str">
        <f t="shared" si="1399"/>
        <v>1900-01-00 00:0:00</v>
      </c>
      <c r="L1845" s="78" t="str">
        <f t="shared" si="1400"/>
        <v>1900-01-00 00:0:00</v>
      </c>
      <c r="M1845" s="79">
        <f t="shared" si="1401"/>
        <v>0</v>
      </c>
      <c r="N1845">
        <f t="shared" si="1426"/>
        <v>1</v>
      </c>
      <c r="O1845" t="str">
        <f>IFERROR(_xlfn.XLOOKUP(A1845,HC!A:A,HC!C:C),"")</f>
        <v>Workforce</v>
      </c>
      <c r="R1845" s="78" t="b">
        <f t="shared" si="1402"/>
        <v>0</v>
      </c>
      <c r="S1845" s="78" t="b">
        <f t="shared" si="1403"/>
        <v>0</v>
      </c>
      <c r="T1845" s="78" t="b">
        <f t="shared" si="1404"/>
        <v>0</v>
      </c>
      <c r="U1845" s="78" t="b">
        <f t="shared" si="1405"/>
        <v>0</v>
      </c>
      <c r="V1845" s="78" t="b">
        <f t="shared" si="1406"/>
        <v>0</v>
      </c>
      <c r="W1845" s="78" t="b">
        <f t="shared" si="1407"/>
        <v>0</v>
      </c>
      <c r="X1845" s="78" t="b">
        <f t="shared" si="1408"/>
        <v>0</v>
      </c>
      <c r="Y1845" s="78" t="b">
        <f t="shared" si="1409"/>
        <v>0</v>
      </c>
      <c r="Z1845" s="78" t="b">
        <f t="shared" si="1410"/>
        <v>0</v>
      </c>
      <c r="AA1845" s="78" t="b">
        <f t="shared" si="1411"/>
        <v>0</v>
      </c>
      <c r="AB1845" s="78" t="b">
        <f t="shared" si="1412"/>
        <v>0</v>
      </c>
      <c r="AC1845" s="78" t="b">
        <f t="shared" si="1413"/>
        <v>0</v>
      </c>
      <c r="AD1845" s="78" t="b">
        <f t="shared" si="1414"/>
        <v>0</v>
      </c>
      <c r="AE1845" s="78" t="b">
        <f t="shared" si="1415"/>
        <v>0</v>
      </c>
      <c r="AF1845" s="78" t="b">
        <f t="shared" si="1416"/>
        <v>0</v>
      </c>
      <c r="AG1845" s="78" t="b">
        <f t="shared" si="1417"/>
        <v>0</v>
      </c>
      <c r="AH1845" s="78" t="b">
        <f t="shared" si="1418"/>
        <v>0</v>
      </c>
      <c r="AI1845" s="78" t="b">
        <f t="shared" si="1419"/>
        <v>0</v>
      </c>
      <c r="AJ1845" s="78" t="b">
        <f t="shared" si="1420"/>
        <v>0</v>
      </c>
      <c r="AK1845" s="78" t="b">
        <f t="shared" si="1421"/>
        <v>0</v>
      </c>
      <c r="AL1845" s="78" t="b">
        <f t="shared" si="1422"/>
        <v>0</v>
      </c>
      <c r="AM1845" s="78" t="b">
        <f t="shared" si="1423"/>
        <v>0</v>
      </c>
      <c r="AN1845" s="78" t="b">
        <f t="shared" si="1424"/>
        <v>0</v>
      </c>
      <c r="AO1845" s="78" t="b">
        <f t="shared" si="1425"/>
        <v>0</v>
      </c>
    </row>
    <row r="1846" spans="7:41" x14ac:dyDescent="0.35">
      <c r="G1846" s="77">
        <f t="shared" si="1395"/>
        <v>0</v>
      </c>
      <c r="H1846" s="78">
        <f t="shared" si="1396"/>
        <v>0</v>
      </c>
      <c r="I1846" s="77">
        <f t="shared" si="1397"/>
        <v>0</v>
      </c>
      <c r="J1846" s="78">
        <f t="shared" si="1398"/>
        <v>0</v>
      </c>
      <c r="K1846" s="78" t="str">
        <f t="shared" si="1399"/>
        <v>1900-01-00 00:0:00</v>
      </c>
      <c r="L1846" s="78" t="str">
        <f t="shared" si="1400"/>
        <v>1900-01-00 00:0:00</v>
      </c>
      <c r="M1846" s="79">
        <f t="shared" si="1401"/>
        <v>0</v>
      </c>
      <c r="N1846">
        <f t="shared" si="1426"/>
        <v>1</v>
      </c>
      <c r="O1846" t="str">
        <f>IFERROR(_xlfn.XLOOKUP(A1846,HC!A:A,HC!C:C),"")</f>
        <v>Workforce</v>
      </c>
      <c r="R1846" s="78" t="b">
        <f t="shared" si="1402"/>
        <v>0</v>
      </c>
      <c r="S1846" s="78" t="b">
        <f t="shared" si="1403"/>
        <v>0</v>
      </c>
      <c r="T1846" s="78" t="b">
        <f t="shared" si="1404"/>
        <v>0</v>
      </c>
      <c r="U1846" s="78" t="b">
        <f t="shared" si="1405"/>
        <v>0</v>
      </c>
      <c r="V1846" s="78" t="b">
        <f t="shared" si="1406"/>
        <v>0</v>
      </c>
      <c r="W1846" s="78" t="b">
        <f t="shared" si="1407"/>
        <v>0</v>
      </c>
      <c r="X1846" s="78" t="b">
        <f t="shared" si="1408"/>
        <v>0</v>
      </c>
      <c r="Y1846" s="78" t="b">
        <f t="shared" si="1409"/>
        <v>0</v>
      </c>
      <c r="Z1846" s="78" t="b">
        <f t="shared" si="1410"/>
        <v>0</v>
      </c>
      <c r="AA1846" s="78" t="b">
        <f t="shared" si="1411"/>
        <v>0</v>
      </c>
      <c r="AB1846" s="78" t="b">
        <f t="shared" si="1412"/>
        <v>0</v>
      </c>
      <c r="AC1846" s="78" t="b">
        <f t="shared" si="1413"/>
        <v>0</v>
      </c>
      <c r="AD1846" s="78" t="b">
        <f t="shared" si="1414"/>
        <v>0</v>
      </c>
      <c r="AE1846" s="78" t="b">
        <f t="shared" si="1415"/>
        <v>0</v>
      </c>
      <c r="AF1846" s="78" t="b">
        <f t="shared" si="1416"/>
        <v>0</v>
      </c>
      <c r="AG1846" s="78" t="b">
        <f t="shared" si="1417"/>
        <v>0</v>
      </c>
      <c r="AH1846" s="78" t="b">
        <f t="shared" si="1418"/>
        <v>0</v>
      </c>
      <c r="AI1846" s="78" t="b">
        <f t="shared" si="1419"/>
        <v>0</v>
      </c>
      <c r="AJ1846" s="78" t="b">
        <f t="shared" si="1420"/>
        <v>0</v>
      </c>
      <c r="AK1846" s="78" t="b">
        <f t="shared" si="1421"/>
        <v>0</v>
      </c>
      <c r="AL1846" s="78" t="b">
        <f t="shared" si="1422"/>
        <v>0</v>
      </c>
      <c r="AM1846" s="78" t="b">
        <f t="shared" si="1423"/>
        <v>0</v>
      </c>
      <c r="AN1846" s="78" t="b">
        <f t="shared" si="1424"/>
        <v>0</v>
      </c>
      <c r="AO1846" s="78" t="b">
        <f t="shared" si="1425"/>
        <v>0</v>
      </c>
    </row>
    <row r="1847" spans="7:41" x14ac:dyDescent="0.35">
      <c r="G1847" s="77">
        <f t="shared" si="1395"/>
        <v>0</v>
      </c>
      <c r="H1847" s="78">
        <f t="shared" si="1396"/>
        <v>0</v>
      </c>
      <c r="I1847" s="77">
        <f t="shared" si="1397"/>
        <v>0</v>
      </c>
      <c r="J1847" s="78">
        <f t="shared" si="1398"/>
        <v>0</v>
      </c>
      <c r="K1847" s="78" t="str">
        <f t="shared" si="1399"/>
        <v>1900-01-00 00:0:00</v>
      </c>
      <c r="L1847" s="78" t="str">
        <f t="shared" si="1400"/>
        <v>1900-01-00 00:0:00</v>
      </c>
      <c r="M1847" s="79">
        <f t="shared" si="1401"/>
        <v>0</v>
      </c>
      <c r="N1847">
        <f t="shared" si="1426"/>
        <v>1</v>
      </c>
      <c r="O1847" t="str">
        <f>IFERROR(_xlfn.XLOOKUP(A1847,HC!A:A,HC!C:C),"")</f>
        <v>Workforce</v>
      </c>
      <c r="R1847" s="78" t="b">
        <f t="shared" si="1402"/>
        <v>0</v>
      </c>
      <c r="S1847" s="78" t="b">
        <f t="shared" si="1403"/>
        <v>0</v>
      </c>
      <c r="T1847" s="78" t="b">
        <f t="shared" si="1404"/>
        <v>0</v>
      </c>
      <c r="U1847" s="78" t="b">
        <f t="shared" si="1405"/>
        <v>0</v>
      </c>
      <c r="V1847" s="78" t="b">
        <f t="shared" si="1406"/>
        <v>0</v>
      </c>
      <c r="W1847" s="78" t="b">
        <f t="shared" si="1407"/>
        <v>0</v>
      </c>
      <c r="X1847" s="78" t="b">
        <f t="shared" si="1408"/>
        <v>0</v>
      </c>
      <c r="Y1847" s="78" t="b">
        <f t="shared" si="1409"/>
        <v>0</v>
      </c>
      <c r="Z1847" s="78" t="b">
        <f t="shared" si="1410"/>
        <v>0</v>
      </c>
      <c r="AA1847" s="78" t="b">
        <f t="shared" si="1411"/>
        <v>0</v>
      </c>
      <c r="AB1847" s="78" t="b">
        <f t="shared" si="1412"/>
        <v>0</v>
      </c>
      <c r="AC1847" s="78" t="b">
        <f t="shared" si="1413"/>
        <v>0</v>
      </c>
      <c r="AD1847" s="78" t="b">
        <f t="shared" si="1414"/>
        <v>0</v>
      </c>
      <c r="AE1847" s="78" t="b">
        <f t="shared" si="1415"/>
        <v>0</v>
      </c>
      <c r="AF1847" s="78" t="b">
        <f t="shared" si="1416"/>
        <v>0</v>
      </c>
      <c r="AG1847" s="78" t="b">
        <f t="shared" si="1417"/>
        <v>0</v>
      </c>
      <c r="AH1847" s="78" t="b">
        <f t="shared" si="1418"/>
        <v>0</v>
      </c>
      <c r="AI1847" s="78" t="b">
        <f t="shared" si="1419"/>
        <v>0</v>
      </c>
      <c r="AJ1847" s="78" t="b">
        <f t="shared" si="1420"/>
        <v>0</v>
      </c>
      <c r="AK1847" s="78" t="b">
        <f t="shared" si="1421"/>
        <v>0</v>
      </c>
      <c r="AL1847" s="78" t="b">
        <f t="shared" si="1422"/>
        <v>0</v>
      </c>
      <c r="AM1847" s="78" t="b">
        <f t="shared" si="1423"/>
        <v>0</v>
      </c>
      <c r="AN1847" s="78" t="b">
        <f t="shared" si="1424"/>
        <v>0</v>
      </c>
      <c r="AO1847" s="78" t="b">
        <f t="shared" si="1425"/>
        <v>0</v>
      </c>
    </row>
    <row r="1848" spans="7:41" x14ac:dyDescent="0.35">
      <c r="G1848" s="77">
        <f t="shared" si="1395"/>
        <v>0</v>
      </c>
      <c r="H1848" s="78">
        <f t="shared" si="1396"/>
        <v>0</v>
      </c>
      <c r="I1848" s="77">
        <f t="shared" si="1397"/>
        <v>0</v>
      </c>
      <c r="J1848" s="78">
        <f t="shared" si="1398"/>
        <v>0</v>
      </c>
      <c r="K1848" s="78" t="str">
        <f t="shared" si="1399"/>
        <v>1900-01-00 00:0:00</v>
      </c>
      <c r="L1848" s="78" t="str">
        <f t="shared" si="1400"/>
        <v>1900-01-00 00:0:00</v>
      </c>
      <c r="M1848" s="79">
        <f t="shared" si="1401"/>
        <v>0</v>
      </c>
      <c r="N1848">
        <f t="shared" si="1426"/>
        <v>1</v>
      </c>
      <c r="O1848" t="str">
        <f>IFERROR(_xlfn.XLOOKUP(A1848,HC!A:A,HC!C:C),"")</f>
        <v>Workforce</v>
      </c>
      <c r="R1848" s="78" t="b">
        <f t="shared" si="1402"/>
        <v>0</v>
      </c>
      <c r="S1848" s="78" t="b">
        <f t="shared" si="1403"/>
        <v>0</v>
      </c>
      <c r="T1848" s="78" t="b">
        <f t="shared" si="1404"/>
        <v>0</v>
      </c>
      <c r="U1848" s="78" t="b">
        <f t="shared" si="1405"/>
        <v>0</v>
      </c>
      <c r="V1848" s="78" t="b">
        <f t="shared" si="1406"/>
        <v>0</v>
      </c>
      <c r="W1848" s="78" t="b">
        <f t="shared" si="1407"/>
        <v>0</v>
      </c>
      <c r="X1848" s="78" t="b">
        <f t="shared" si="1408"/>
        <v>0</v>
      </c>
      <c r="Y1848" s="78" t="b">
        <f t="shared" si="1409"/>
        <v>0</v>
      </c>
      <c r="Z1848" s="78" t="b">
        <f t="shared" si="1410"/>
        <v>0</v>
      </c>
      <c r="AA1848" s="78" t="b">
        <f t="shared" si="1411"/>
        <v>0</v>
      </c>
      <c r="AB1848" s="78" t="b">
        <f t="shared" si="1412"/>
        <v>0</v>
      </c>
      <c r="AC1848" s="78" t="b">
        <f t="shared" si="1413"/>
        <v>0</v>
      </c>
      <c r="AD1848" s="78" t="b">
        <f t="shared" si="1414"/>
        <v>0</v>
      </c>
      <c r="AE1848" s="78" t="b">
        <f t="shared" si="1415"/>
        <v>0</v>
      </c>
      <c r="AF1848" s="78" t="b">
        <f t="shared" si="1416"/>
        <v>0</v>
      </c>
      <c r="AG1848" s="78" t="b">
        <f t="shared" si="1417"/>
        <v>0</v>
      </c>
      <c r="AH1848" s="78" t="b">
        <f t="shared" si="1418"/>
        <v>0</v>
      </c>
      <c r="AI1848" s="78" t="b">
        <f t="shared" si="1419"/>
        <v>0</v>
      </c>
      <c r="AJ1848" s="78" t="b">
        <f t="shared" si="1420"/>
        <v>0</v>
      </c>
      <c r="AK1848" s="78" t="b">
        <f t="shared" si="1421"/>
        <v>0</v>
      </c>
      <c r="AL1848" s="78" t="b">
        <f t="shared" si="1422"/>
        <v>0</v>
      </c>
      <c r="AM1848" s="78" t="b">
        <f t="shared" si="1423"/>
        <v>0</v>
      </c>
      <c r="AN1848" s="78" t="b">
        <f t="shared" si="1424"/>
        <v>0</v>
      </c>
      <c r="AO1848" s="78" t="b">
        <f t="shared" si="1425"/>
        <v>0</v>
      </c>
    </row>
    <row r="1849" spans="7:41" x14ac:dyDescent="0.35">
      <c r="G1849" s="77">
        <f t="shared" si="1395"/>
        <v>0</v>
      </c>
      <c r="H1849" s="78">
        <f t="shared" si="1396"/>
        <v>0</v>
      </c>
      <c r="I1849" s="77">
        <f t="shared" si="1397"/>
        <v>0</v>
      </c>
      <c r="J1849" s="78">
        <f t="shared" si="1398"/>
        <v>0</v>
      </c>
      <c r="K1849" s="78" t="str">
        <f t="shared" si="1399"/>
        <v>1900-01-00 00:0:00</v>
      </c>
      <c r="L1849" s="78" t="str">
        <f t="shared" si="1400"/>
        <v>1900-01-00 00:0:00</v>
      </c>
      <c r="M1849" s="79">
        <f t="shared" si="1401"/>
        <v>0</v>
      </c>
      <c r="N1849">
        <f t="shared" si="1426"/>
        <v>1</v>
      </c>
      <c r="O1849" t="str">
        <f>IFERROR(_xlfn.XLOOKUP(A1849,HC!A:A,HC!C:C),"")</f>
        <v>Workforce</v>
      </c>
      <c r="R1849" s="78" t="b">
        <f t="shared" si="1402"/>
        <v>0</v>
      </c>
      <c r="S1849" s="78" t="b">
        <f t="shared" si="1403"/>
        <v>0</v>
      </c>
      <c r="T1849" s="78" t="b">
        <f t="shared" si="1404"/>
        <v>0</v>
      </c>
      <c r="U1849" s="78" t="b">
        <f t="shared" si="1405"/>
        <v>0</v>
      </c>
      <c r="V1849" s="78" t="b">
        <f t="shared" si="1406"/>
        <v>0</v>
      </c>
      <c r="W1849" s="78" t="b">
        <f t="shared" si="1407"/>
        <v>0</v>
      </c>
      <c r="X1849" s="78" t="b">
        <f t="shared" si="1408"/>
        <v>0</v>
      </c>
      <c r="Y1849" s="78" t="b">
        <f t="shared" si="1409"/>
        <v>0</v>
      </c>
      <c r="Z1849" s="78" t="b">
        <f t="shared" si="1410"/>
        <v>0</v>
      </c>
      <c r="AA1849" s="78" t="b">
        <f t="shared" si="1411"/>
        <v>0</v>
      </c>
      <c r="AB1849" s="78" t="b">
        <f t="shared" si="1412"/>
        <v>0</v>
      </c>
      <c r="AC1849" s="78" t="b">
        <f t="shared" si="1413"/>
        <v>0</v>
      </c>
      <c r="AD1849" s="78" t="b">
        <f t="shared" si="1414"/>
        <v>0</v>
      </c>
      <c r="AE1849" s="78" t="b">
        <f t="shared" si="1415"/>
        <v>0</v>
      </c>
      <c r="AF1849" s="78" t="b">
        <f t="shared" si="1416"/>
        <v>0</v>
      </c>
      <c r="AG1849" s="78" t="b">
        <f t="shared" si="1417"/>
        <v>0</v>
      </c>
      <c r="AH1849" s="78" t="b">
        <f t="shared" si="1418"/>
        <v>0</v>
      </c>
      <c r="AI1849" s="78" t="b">
        <f t="shared" si="1419"/>
        <v>0</v>
      </c>
      <c r="AJ1849" s="78" t="b">
        <f t="shared" si="1420"/>
        <v>0</v>
      </c>
      <c r="AK1849" s="78" t="b">
        <f t="shared" si="1421"/>
        <v>0</v>
      </c>
      <c r="AL1849" s="78" t="b">
        <f t="shared" si="1422"/>
        <v>0</v>
      </c>
      <c r="AM1849" s="78" t="b">
        <f t="shared" si="1423"/>
        <v>0</v>
      </c>
      <c r="AN1849" s="78" t="b">
        <f t="shared" si="1424"/>
        <v>0</v>
      </c>
      <c r="AO1849" s="78" t="b">
        <f t="shared" si="1425"/>
        <v>0</v>
      </c>
    </row>
    <row r="1850" spans="7:41" x14ac:dyDescent="0.35">
      <c r="G1850" s="77">
        <f t="shared" ref="G1850:G1913" si="1427">INT(D1850)</f>
        <v>0</v>
      </c>
      <c r="H1850" s="78">
        <f t="shared" ref="H1850:H1913" si="1428">D1850-G1850</f>
        <v>0</v>
      </c>
      <c r="I1850" s="77">
        <f t="shared" ref="I1850:I1913" si="1429">INT(E1850)</f>
        <v>0</v>
      </c>
      <c r="J1850" s="78">
        <f t="shared" ref="J1850:J1913" si="1430">E1850-I1850</f>
        <v>0</v>
      </c>
      <c r="K1850" s="78" t="str">
        <f t="shared" ref="K1850:K1913" si="1431">TEXT(G1850+H1850,"yyyy-mm-dd hh:m:ss")</f>
        <v>1900-01-00 00:0:00</v>
      </c>
      <c r="L1850" s="78" t="str">
        <f t="shared" ref="L1850:L1913" si="1432">TEXT(I1850+J1850,"yyyy-mm-dd hh:m:ss")</f>
        <v>1900-01-00 00:0:00</v>
      </c>
      <c r="M1850" s="79">
        <f t="shared" ref="M1850:M1913" si="1433">E1850-D1850</f>
        <v>0</v>
      </c>
      <c r="N1850">
        <f t="shared" si="1426"/>
        <v>1</v>
      </c>
      <c r="O1850" t="str">
        <f>IFERROR(_xlfn.XLOOKUP(A1850,HC!A:A,HC!C:C),"")</f>
        <v>Workforce</v>
      </c>
      <c r="R1850" s="78" t="b">
        <f t="shared" si="1402"/>
        <v>0</v>
      </c>
      <c r="S1850" s="78" t="b">
        <f t="shared" si="1403"/>
        <v>0</v>
      </c>
      <c r="T1850" s="78" t="b">
        <f t="shared" si="1404"/>
        <v>0</v>
      </c>
      <c r="U1850" s="78" t="b">
        <f t="shared" si="1405"/>
        <v>0</v>
      </c>
      <c r="V1850" s="78" t="b">
        <f t="shared" si="1406"/>
        <v>0</v>
      </c>
      <c r="W1850" s="78" t="b">
        <f t="shared" si="1407"/>
        <v>0</v>
      </c>
      <c r="X1850" s="78" t="b">
        <f t="shared" si="1408"/>
        <v>0</v>
      </c>
      <c r="Y1850" s="78" t="b">
        <f t="shared" si="1409"/>
        <v>0</v>
      </c>
      <c r="Z1850" s="78" t="b">
        <f t="shared" si="1410"/>
        <v>0</v>
      </c>
      <c r="AA1850" s="78" t="b">
        <f t="shared" si="1411"/>
        <v>0</v>
      </c>
      <c r="AB1850" s="78" t="b">
        <f t="shared" si="1412"/>
        <v>0</v>
      </c>
      <c r="AC1850" s="78" t="b">
        <f t="shared" si="1413"/>
        <v>0</v>
      </c>
      <c r="AD1850" s="78" t="b">
        <f t="shared" si="1414"/>
        <v>0</v>
      </c>
      <c r="AE1850" s="78" t="b">
        <f t="shared" si="1415"/>
        <v>0</v>
      </c>
      <c r="AF1850" s="78" t="b">
        <f t="shared" si="1416"/>
        <v>0</v>
      </c>
      <c r="AG1850" s="78" t="b">
        <f t="shared" si="1417"/>
        <v>0</v>
      </c>
      <c r="AH1850" s="78" t="b">
        <f t="shared" si="1418"/>
        <v>0</v>
      </c>
      <c r="AI1850" s="78" t="b">
        <f t="shared" si="1419"/>
        <v>0</v>
      </c>
      <c r="AJ1850" s="78" t="b">
        <f t="shared" si="1420"/>
        <v>0</v>
      </c>
      <c r="AK1850" s="78" t="b">
        <f t="shared" si="1421"/>
        <v>0</v>
      </c>
      <c r="AL1850" s="78" t="b">
        <f t="shared" si="1422"/>
        <v>0</v>
      </c>
      <c r="AM1850" s="78" t="b">
        <f t="shared" si="1423"/>
        <v>0</v>
      </c>
      <c r="AN1850" s="78" t="b">
        <f t="shared" si="1424"/>
        <v>0</v>
      </c>
      <c r="AO1850" s="78" t="b">
        <f t="shared" si="1425"/>
        <v>0</v>
      </c>
    </row>
    <row r="1851" spans="7:41" x14ac:dyDescent="0.35">
      <c r="G1851" s="77">
        <f t="shared" si="1427"/>
        <v>0</v>
      </c>
      <c r="H1851" s="78">
        <f t="shared" si="1428"/>
        <v>0</v>
      </c>
      <c r="I1851" s="77">
        <f t="shared" si="1429"/>
        <v>0</v>
      </c>
      <c r="J1851" s="78">
        <f t="shared" si="1430"/>
        <v>0</v>
      </c>
      <c r="K1851" s="78" t="str">
        <f t="shared" si="1431"/>
        <v>1900-01-00 00:0:00</v>
      </c>
      <c r="L1851" s="78" t="str">
        <f t="shared" si="1432"/>
        <v>1900-01-00 00:0:00</v>
      </c>
      <c r="M1851" s="79">
        <f t="shared" si="1433"/>
        <v>0</v>
      </c>
      <c r="N1851">
        <f t="shared" si="1426"/>
        <v>1</v>
      </c>
      <c r="O1851" t="str">
        <f>IFERROR(_xlfn.XLOOKUP(A1851,HC!A:A,HC!C:C),"")</f>
        <v>Workforce</v>
      </c>
      <c r="R1851" s="78" t="b">
        <f t="shared" si="1402"/>
        <v>0</v>
      </c>
      <c r="S1851" s="78" t="b">
        <f t="shared" si="1403"/>
        <v>0</v>
      </c>
      <c r="T1851" s="78" t="b">
        <f t="shared" si="1404"/>
        <v>0</v>
      </c>
      <c r="U1851" s="78" t="b">
        <f t="shared" si="1405"/>
        <v>0</v>
      </c>
      <c r="V1851" s="78" t="b">
        <f t="shared" si="1406"/>
        <v>0</v>
      </c>
      <c r="W1851" s="78" t="b">
        <f t="shared" si="1407"/>
        <v>0</v>
      </c>
      <c r="X1851" s="78" t="b">
        <f t="shared" si="1408"/>
        <v>0</v>
      </c>
      <c r="Y1851" s="78" t="b">
        <f t="shared" si="1409"/>
        <v>0</v>
      </c>
      <c r="Z1851" s="78" t="b">
        <f t="shared" si="1410"/>
        <v>0</v>
      </c>
      <c r="AA1851" s="78" t="b">
        <f t="shared" si="1411"/>
        <v>0</v>
      </c>
      <c r="AB1851" s="78" t="b">
        <f t="shared" si="1412"/>
        <v>0</v>
      </c>
      <c r="AC1851" s="78" t="b">
        <f t="shared" si="1413"/>
        <v>0</v>
      </c>
      <c r="AD1851" s="78" t="b">
        <f t="shared" si="1414"/>
        <v>0</v>
      </c>
      <c r="AE1851" s="78" t="b">
        <f t="shared" si="1415"/>
        <v>0</v>
      </c>
      <c r="AF1851" s="78" t="b">
        <f t="shared" si="1416"/>
        <v>0</v>
      </c>
      <c r="AG1851" s="78" t="b">
        <f t="shared" si="1417"/>
        <v>0</v>
      </c>
      <c r="AH1851" s="78" t="b">
        <f t="shared" si="1418"/>
        <v>0</v>
      </c>
      <c r="AI1851" s="78" t="b">
        <f t="shared" si="1419"/>
        <v>0</v>
      </c>
      <c r="AJ1851" s="78" t="b">
        <f t="shared" si="1420"/>
        <v>0</v>
      </c>
      <c r="AK1851" s="78" t="b">
        <f t="shared" si="1421"/>
        <v>0</v>
      </c>
      <c r="AL1851" s="78" t="b">
        <f t="shared" si="1422"/>
        <v>0</v>
      </c>
      <c r="AM1851" s="78" t="b">
        <f t="shared" si="1423"/>
        <v>0</v>
      </c>
      <c r="AN1851" s="78" t="b">
        <f t="shared" si="1424"/>
        <v>0</v>
      </c>
      <c r="AO1851" s="78" t="b">
        <f t="shared" si="1425"/>
        <v>0</v>
      </c>
    </row>
    <row r="1852" spans="7:41" x14ac:dyDescent="0.35">
      <c r="G1852" s="77">
        <f t="shared" si="1427"/>
        <v>0</v>
      </c>
      <c r="H1852" s="78">
        <f t="shared" si="1428"/>
        <v>0</v>
      </c>
      <c r="I1852" s="77">
        <f t="shared" si="1429"/>
        <v>0</v>
      </c>
      <c r="J1852" s="78">
        <f t="shared" si="1430"/>
        <v>0</v>
      </c>
      <c r="K1852" s="78" t="str">
        <f t="shared" si="1431"/>
        <v>1900-01-00 00:0:00</v>
      </c>
      <c r="L1852" s="78" t="str">
        <f t="shared" si="1432"/>
        <v>1900-01-00 00:0:00</v>
      </c>
      <c r="M1852" s="79">
        <f t="shared" si="1433"/>
        <v>0</v>
      </c>
      <c r="N1852">
        <f t="shared" si="1426"/>
        <v>1</v>
      </c>
      <c r="O1852" t="str">
        <f>IFERROR(_xlfn.XLOOKUP(A1852,HC!A:A,HC!C:C),"")</f>
        <v>Workforce</v>
      </c>
      <c r="R1852" s="78" t="b">
        <f t="shared" ref="R1852:R1915" si="1434">IFERROR(IF($B1852=$D$1,IF(AND($K1852&lt;R$1,$L1852&lt;R$1),"",IF(AND($K1852&gt;S$1,$L1852&gt;S$1),"",IF(AND($K1852&lt;R$1,$L1852&lt;=S$1),$L1852-R$1,IF(AND($K1852&gt;=R$1,$L1852&gt;S$1),S$1-$K1852,IF(AND($K1852&gt;=R$1,$L1852&lt;=S$1),$L1852-$K1852,IF(AND($K1852&lt;R$1,$L1852&gt;S$1),S$1-R$1,""))))))),"")</f>
        <v>0</v>
      </c>
      <c r="S1852" s="78" t="b">
        <f t="shared" ref="S1852:S1915" si="1435">IFERROR(IF($B1852=$D$1,IF(AND($K1852&lt;S$1,$L1852&lt;S$1),"",IF(AND($K1852&gt;T$1,$L1852&gt;T$1),"",IF(AND($K1852&lt;S$1,$L1852&lt;=T$1),$L1852-S$1,IF(AND($K1852&gt;=S$1,$L1852&gt;T$1),T$1-$K1852,IF(AND($K1852&gt;=S$1,$L1852&lt;=T$1),$L1852-$K1852,IF(AND($K1852&lt;S$1,$L1852&gt;T$1),T$1-S$1,""))))))),"")</f>
        <v>0</v>
      </c>
      <c r="T1852" s="78" t="b">
        <f t="shared" ref="T1852:T1915" si="1436">IFERROR(IF($B1852=$D$1,IF(AND($K1852&lt;T$1,$L1852&lt;T$1),"",IF(AND($K1852&gt;U$1,$L1852&gt;U$1),"",IF(AND($K1852&lt;T$1,$L1852&lt;=U$1),$L1852-T$1,IF(AND($K1852&gt;=T$1,$L1852&gt;U$1),U$1-$K1852,IF(AND($K1852&gt;=T$1,$L1852&lt;=U$1),$L1852-$K1852,IF(AND($K1852&lt;T$1,$L1852&gt;U$1),U$1-T$1,""))))))),"")</f>
        <v>0</v>
      </c>
      <c r="U1852" s="78" t="b">
        <f t="shared" ref="U1852:U1915" si="1437">IFERROR(IF($B1852=$D$1,IF(AND($K1852&lt;U$1,$L1852&lt;U$1),"",IF(AND($K1852&gt;V$1,$L1852&gt;V$1),"",IF(AND($K1852&lt;U$1,$L1852&lt;=V$1),$L1852-U$1,IF(AND($K1852&gt;=U$1,$L1852&gt;V$1),V$1-$K1852,IF(AND($K1852&gt;=U$1,$L1852&lt;=V$1),$L1852-$K1852,IF(AND($K1852&lt;U$1,$L1852&gt;V$1),V$1-U$1,""))))))),"")</f>
        <v>0</v>
      </c>
      <c r="V1852" s="78" t="b">
        <f t="shared" ref="V1852:V1915" si="1438">IFERROR(IF($B1852=$D$1,IF(AND($K1852&lt;V$1,$L1852&lt;V$1),"",IF(AND($K1852&gt;W$1,$L1852&gt;W$1),"",IF(AND($K1852&lt;V$1,$L1852&lt;=W$1),$L1852-V$1,IF(AND($K1852&gt;=V$1,$L1852&gt;W$1),W$1-$K1852,IF(AND($K1852&gt;=V$1,$L1852&lt;=W$1),$L1852-$K1852,IF(AND($K1852&lt;V$1,$L1852&gt;W$1),W$1-V$1,""))))))),"")</f>
        <v>0</v>
      </c>
      <c r="W1852" s="78" t="b">
        <f t="shared" ref="W1852:W1915" si="1439">IFERROR(IF($B1852=$D$1,IF(AND($K1852&lt;W$1,$L1852&lt;W$1),"",IF(AND($K1852&gt;X$1,$L1852&gt;X$1),"",IF(AND($K1852&lt;W$1,$L1852&lt;=X$1),$L1852-W$1,IF(AND($K1852&gt;=W$1,$L1852&gt;X$1),X$1-$K1852,IF(AND($K1852&gt;=W$1,$L1852&lt;=X$1),$L1852-$K1852,IF(AND($K1852&lt;W$1,$L1852&gt;X$1),X$1-W$1,""))))))),"")</f>
        <v>0</v>
      </c>
      <c r="X1852" s="78" t="b">
        <f t="shared" ref="X1852:X1915" si="1440">IFERROR(IF($B1852=$D$1,IF(AND($K1852&lt;X$1,$L1852&lt;X$1),"",IF(AND($K1852&gt;Y$1,$L1852&gt;Y$1),"",IF(AND($K1852&lt;X$1,$L1852&lt;=Y$1),$L1852-X$1,IF(AND($K1852&gt;=X$1,$L1852&gt;Y$1),Y$1-$K1852,IF(AND($K1852&gt;=X$1,$L1852&lt;=Y$1),$L1852-$K1852,IF(AND($K1852&lt;X$1,$L1852&gt;Y$1),Y$1-X$1,""))))))),"")</f>
        <v>0</v>
      </c>
      <c r="Y1852" s="78" t="b">
        <f t="shared" ref="Y1852:Y1915" si="1441">IFERROR(IF($B1852=$D$1,IF(AND($K1852&lt;Y$1,$L1852&lt;Y$1),"",IF(AND($K1852&gt;Z$1,$L1852&gt;Z$1),"",IF(AND($K1852&lt;Y$1,$L1852&lt;=Z$1),$L1852-Y$1,IF(AND($K1852&gt;=Y$1,$L1852&gt;Z$1),Z$1-$K1852,IF(AND($K1852&gt;=Y$1,$L1852&lt;=Z$1),$L1852-$K1852,IF(AND($K1852&lt;Y$1,$L1852&gt;Z$1),Z$1-Y$1,""))))))),"")</f>
        <v>0</v>
      </c>
      <c r="Z1852" s="78" t="b">
        <f t="shared" ref="Z1852:Z1915" si="1442">IFERROR(IF($B1852=$D$1,IF(AND($K1852&lt;Z$1,$L1852&lt;Z$1),"",IF(AND($K1852&gt;AA$1,$L1852&gt;AA$1),"",IF(AND($K1852&lt;Z$1,$L1852&lt;=AA$1),$L1852-Z$1,IF(AND($K1852&gt;=Z$1,$L1852&gt;AA$1),AA$1-$K1852,IF(AND($K1852&gt;=Z$1,$L1852&lt;=AA$1),$L1852-$K1852,IF(AND($K1852&lt;Z$1,$L1852&gt;AA$1),AA$1-Z$1,""))))))),"")</f>
        <v>0</v>
      </c>
      <c r="AA1852" s="78" t="b">
        <f t="shared" ref="AA1852:AA1915" si="1443">IFERROR(IF($B1852=$D$1,IF(AND($K1852&lt;AA$1,$L1852&lt;AA$1),"",IF(AND($K1852&gt;AB$1,$L1852&gt;AB$1),"",IF(AND($K1852&lt;AA$1,$L1852&lt;=AB$1),$L1852-AA$1,IF(AND($K1852&gt;=AA$1,$L1852&gt;AB$1),AB$1-$K1852,IF(AND($K1852&gt;=AA$1,$L1852&lt;=AB$1),$L1852-$K1852,IF(AND($K1852&lt;AA$1,$L1852&gt;AB$1),AB$1-AA$1,""))))))),"")</f>
        <v>0</v>
      </c>
      <c r="AB1852" s="78" t="b">
        <f t="shared" ref="AB1852:AB1915" si="1444">IFERROR(IF($B1852=$D$1,IF(AND($K1852&lt;AB$1,$L1852&lt;AB$1),"",IF(AND($K1852&gt;AC$1,$L1852&gt;AC$1),"",IF(AND($K1852&lt;AB$1,$L1852&lt;=AC$1),$L1852-AB$1,IF(AND($K1852&gt;=AB$1,$L1852&gt;AC$1),AC$1-$K1852,IF(AND($K1852&gt;=AB$1,$L1852&lt;=AC$1),$L1852-$K1852,IF(AND($K1852&lt;AB$1,$L1852&gt;AC$1),AC$1-AB$1,""))))))),"")</f>
        <v>0</v>
      </c>
      <c r="AC1852" s="78" t="b">
        <f t="shared" ref="AC1852:AC1915" si="1445">IFERROR(IF($B1852=$D$1,IF(AND($K1852&lt;AC$1,$L1852&lt;AC$1),"",IF(AND($K1852&gt;AD$1,$L1852&gt;AD$1),"",IF(AND($K1852&lt;AC$1,$L1852&lt;=AD$1),$L1852-AC$1,IF(AND($K1852&gt;=AC$1,$L1852&gt;AD$1),AD$1-$K1852,IF(AND($K1852&gt;=AC$1,$L1852&lt;=AD$1),$L1852-$K1852,IF(AND($K1852&lt;AC$1,$L1852&gt;AD$1),AD$1-AC$1,""))))))),"")</f>
        <v>0</v>
      </c>
      <c r="AD1852" s="78" t="b">
        <f t="shared" ref="AD1852:AD1915" si="1446">IFERROR(IF($B1852=$D$1,IF(AND($K1852&lt;AD$1,$L1852&lt;AD$1),"",IF(AND($K1852&gt;AE$1,$L1852&gt;AE$1),"",IF(AND($K1852&lt;AD$1,$L1852&lt;=AE$1),$L1852-AD$1,IF(AND($K1852&gt;=AD$1,$L1852&gt;AE$1),AE$1-$K1852,IF(AND($K1852&gt;=AD$1,$L1852&lt;=AE$1),$L1852-$K1852,IF(AND($K1852&lt;AD$1,$L1852&gt;AE$1),AE$1-AD$1,""))))))),"")</f>
        <v>0</v>
      </c>
      <c r="AE1852" s="78" t="b">
        <f t="shared" ref="AE1852:AE1915" si="1447">IFERROR(IF($B1852=$D$1,IF(AND($K1852&lt;AE$1,$L1852&lt;AE$1),"",IF(AND($K1852&gt;AF$1,$L1852&gt;AF$1),"",IF(AND($K1852&lt;AE$1,$L1852&lt;=AF$1),$L1852-AE$1,IF(AND($K1852&gt;=AE$1,$L1852&gt;AF$1),AF$1-$K1852,IF(AND($K1852&gt;=AE$1,$L1852&lt;=AF$1),$L1852-$K1852,IF(AND($K1852&lt;AE$1,$L1852&gt;AF$1),AF$1-AE$1,""))))))),"")</f>
        <v>0</v>
      </c>
      <c r="AF1852" s="78" t="b">
        <f t="shared" ref="AF1852:AF1915" si="1448">IFERROR(IF($B1852=$D$1,IF(AND($K1852&lt;AF$1,$L1852&lt;AF$1),"",IF(AND($K1852&gt;AG$1,$L1852&gt;AG$1),"",IF(AND($K1852&lt;AF$1,$L1852&lt;=AG$1),$L1852-AF$1,IF(AND($K1852&gt;=AF$1,$L1852&gt;AG$1),AG$1-$K1852,IF(AND($K1852&gt;=AF$1,$L1852&lt;=AG$1),$L1852-$K1852,IF(AND($K1852&lt;AF$1,$L1852&gt;AG$1),AG$1-AF$1,""))))))),"")</f>
        <v>0</v>
      </c>
      <c r="AG1852" s="78" t="b">
        <f t="shared" ref="AG1852:AG1915" si="1449">IFERROR(IF($B1852=$D$1,IF(AND($K1852&lt;AG$1,$L1852&lt;AG$1),"",IF(AND($K1852&gt;AH$1,$L1852&gt;AH$1),"",IF(AND($K1852&lt;AG$1,$L1852&lt;=AH$1),$L1852-AG$1,IF(AND($K1852&gt;=AG$1,$L1852&gt;AH$1),AH$1-$K1852,IF(AND($K1852&gt;=AG$1,$L1852&lt;=AH$1),$L1852-$K1852,IF(AND($K1852&lt;AG$1,$L1852&gt;AH$1),AH$1-AG$1,""))))))),"")</f>
        <v>0</v>
      </c>
      <c r="AH1852" s="78" t="b">
        <f t="shared" ref="AH1852:AH1915" si="1450">IFERROR(IF($B1852=$D$1,IF(AND($K1852&lt;AH$1,$L1852&lt;AH$1),"",IF(AND($K1852&gt;AI$1,$L1852&gt;AI$1),"",IF(AND($K1852&lt;AH$1,$L1852&lt;=AI$1),$L1852-AH$1,IF(AND($K1852&gt;=AH$1,$L1852&gt;AI$1),AI$1-$K1852,IF(AND($K1852&gt;=AH$1,$L1852&lt;=AI$1),$L1852-$K1852,IF(AND($K1852&lt;AH$1,$L1852&gt;AI$1),AI$1-AH$1,""))))))),"")</f>
        <v>0</v>
      </c>
      <c r="AI1852" s="78" t="b">
        <f t="shared" ref="AI1852:AI1915" si="1451">IFERROR(IF($B1852=$D$1,IF(AND($K1852&lt;AI$1,$L1852&lt;AI$1),"",IF(AND($K1852&gt;AJ$1,$L1852&gt;AJ$1),"",IF(AND($K1852&lt;AI$1,$L1852&lt;=AJ$1),$L1852-AI$1,IF(AND($K1852&gt;=AI$1,$L1852&gt;AJ$1),AJ$1-$K1852,IF(AND($K1852&gt;=AI$1,$L1852&lt;=AJ$1),$L1852-$K1852,IF(AND($K1852&lt;AI$1,$L1852&gt;AJ$1),AJ$1-AI$1,""))))))),"")</f>
        <v>0</v>
      </c>
      <c r="AJ1852" s="78" t="b">
        <f t="shared" ref="AJ1852:AJ1915" si="1452">IFERROR(IF($B1852=$D$1,IF(AND($K1852&lt;AJ$1,$L1852&lt;AJ$1),"",IF(AND($K1852&gt;AK$1,$L1852&gt;AK$1),"",IF(AND($K1852&lt;AJ$1,$L1852&lt;=AK$1),$L1852-AJ$1,IF(AND($K1852&gt;=AJ$1,$L1852&gt;AK$1),AK$1-$K1852,IF(AND($K1852&gt;=AJ$1,$L1852&lt;=AK$1),$L1852-$K1852,IF(AND($K1852&lt;AJ$1,$L1852&gt;AK$1),AK$1-AJ$1,""))))))),"")</f>
        <v>0</v>
      </c>
      <c r="AK1852" s="78" t="b">
        <f t="shared" ref="AK1852:AK1915" si="1453">IFERROR(IF($B1852=$D$1,IF(AND($K1852&lt;AK$1,$L1852&lt;AK$1),"",IF(AND($K1852&gt;AL$1,$L1852&gt;AL$1),"",IF(AND($K1852&lt;AK$1,$L1852&lt;=AL$1),$L1852-AK$1,IF(AND($K1852&gt;=AK$1,$L1852&gt;AL$1),AL$1-$K1852,IF(AND($K1852&gt;=AK$1,$L1852&lt;=AL$1),$L1852-$K1852,IF(AND($K1852&lt;AK$1,$L1852&gt;AL$1),AL$1-AK$1,""))))))),"")</f>
        <v>0</v>
      </c>
      <c r="AL1852" s="78" t="b">
        <f t="shared" ref="AL1852:AL1915" si="1454">IFERROR(IF($B1852=$D$1,IF(AND($K1852&lt;AL$1,$L1852&lt;AL$1),"",IF(AND($K1852&gt;AM$1,$L1852&gt;AM$1),"",IF(AND($K1852&lt;AL$1,$L1852&lt;=AM$1),$L1852-AL$1,IF(AND($K1852&gt;=AL$1,$L1852&gt;AM$1),AM$1-$K1852,IF(AND($K1852&gt;=AL$1,$L1852&lt;=AM$1),$L1852-$K1852,IF(AND($K1852&lt;AL$1,$L1852&gt;AM$1),AM$1-AL$1,""))))))),"")</f>
        <v>0</v>
      </c>
      <c r="AM1852" s="78" t="b">
        <f t="shared" ref="AM1852:AM1915" si="1455">IFERROR(IF($B1852=$D$1,IF(AND($K1852&lt;AM$1,$L1852&lt;AM$1),"",IF(AND($K1852&gt;AN$1,$L1852&gt;AN$1),"",IF(AND($K1852&lt;AM$1,$L1852&lt;=AN$1),$L1852-AM$1,IF(AND($K1852&gt;=AM$1,$L1852&gt;AN$1),AN$1-$K1852,IF(AND($K1852&gt;=AM$1,$L1852&lt;=AN$1),$L1852-$K1852,IF(AND($K1852&lt;AM$1,$L1852&gt;AN$1),AN$1-AM$1,""))))))),"")</f>
        <v>0</v>
      </c>
      <c r="AN1852" s="78" t="b">
        <f t="shared" ref="AN1852:AN1915" si="1456">IFERROR(IF($B1852=$D$1,IF(AND($K1852&lt;AN$1,$L1852&lt;AN$1),"",IF(AND($K1852&gt;AO$1,$L1852&gt;AO$1),"",IF(AND($K1852&lt;AN$1,$L1852&lt;=AO$1),$L1852-AN$1,IF(AND($K1852&gt;=AN$1,$L1852&gt;AO$1),AO$1-$K1852,IF(AND($K1852&gt;=AN$1,$L1852&lt;=AO$1),$L1852-$K1852,IF(AND($K1852&lt;AN$1,$L1852&gt;AO$1),AO$1-AN$1,""))))))),"")</f>
        <v>0</v>
      </c>
      <c r="AO1852" s="78" t="b">
        <f t="shared" ref="AO1852:AO1915" si="1457">IFERROR(IF($B1852=$D$1,IF(AND($K1852&lt;AO$1,$L1852&lt;AO$1),"",IF(AND($K1852&gt;AP$1,$L1852&gt;AP$1),"",IF(AND($K1852&lt;AO$1,$L1852&lt;=AP$1),$L1852-AO$1,IF(AND($K1852&gt;=AO$1,$L1852&gt;AP$1),AP$1-$K1852,IF(AND($K1852&gt;=AO$1,$L1852&lt;=AP$1),$L1852-$K1852,IF(AND($K1852&lt;AO$1,$L1852&gt;AP$1),AP$1-AO$1,""))))))),"")</f>
        <v>0</v>
      </c>
    </row>
    <row r="1853" spans="7:41" x14ac:dyDescent="0.35">
      <c r="G1853" s="77">
        <f t="shared" si="1427"/>
        <v>0</v>
      </c>
      <c r="H1853" s="78">
        <f t="shared" si="1428"/>
        <v>0</v>
      </c>
      <c r="I1853" s="77">
        <f t="shared" si="1429"/>
        <v>0</v>
      </c>
      <c r="J1853" s="78">
        <f t="shared" si="1430"/>
        <v>0</v>
      </c>
      <c r="K1853" s="78" t="str">
        <f t="shared" si="1431"/>
        <v>1900-01-00 00:0:00</v>
      </c>
      <c r="L1853" s="78" t="str">
        <f t="shared" si="1432"/>
        <v>1900-01-00 00:0:00</v>
      </c>
      <c r="M1853" s="79">
        <f t="shared" si="1433"/>
        <v>0</v>
      </c>
      <c r="N1853">
        <f t="shared" si="1426"/>
        <v>1</v>
      </c>
      <c r="O1853" t="str">
        <f>IFERROR(_xlfn.XLOOKUP(A1853,HC!A:A,HC!C:C),"")</f>
        <v>Workforce</v>
      </c>
      <c r="R1853" s="78" t="b">
        <f t="shared" si="1434"/>
        <v>0</v>
      </c>
      <c r="S1853" s="78" t="b">
        <f t="shared" si="1435"/>
        <v>0</v>
      </c>
      <c r="T1853" s="78" t="b">
        <f t="shared" si="1436"/>
        <v>0</v>
      </c>
      <c r="U1853" s="78" t="b">
        <f t="shared" si="1437"/>
        <v>0</v>
      </c>
      <c r="V1853" s="78" t="b">
        <f t="shared" si="1438"/>
        <v>0</v>
      </c>
      <c r="W1853" s="78" t="b">
        <f t="shared" si="1439"/>
        <v>0</v>
      </c>
      <c r="X1853" s="78" t="b">
        <f t="shared" si="1440"/>
        <v>0</v>
      </c>
      <c r="Y1853" s="78" t="b">
        <f t="shared" si="1441"/>
        <v>0</v>
      </c>
      <c r="Z1853" s="78" t="b">
        <f t="shared" si="1442"/>
        <v>0</v>
      </c>
      <c r="AA1853" s="78" t="b">
        <f t="shared" si="1443"/>
        <v>0</v>
      </c>
      <c r="AB1853" s="78" t="b">
        <f t="shared" si="1444"/>
        <v>0</v>
      </c>
      <c r="AC1853" s="78" t="b">
        <f t="shared" si="1445"/>
        <v>0</v>
      </c>
      <c r="AD1853" s="78" t="b">
        <f t="shared" si="1446"/>
        <v>0</v>
      </c>
      <c r="AE1853" s="78" t="b">
        <f t="shared" si="1447"/>
        <v>0</v>
      </c>
      <c r="AF1853" s="78" t="b">
        <f t="shared" si="1448"/>
        <v>0</v>
      </c>
      <c r="AG1853" s="78" t="b">
        <f t="shared" si="1449"/>
        <v>0</v>
      </c>
      <c r="AH1853" s="78" t="b">
        <f t="shared" si="1450"/>
        <v>0</v>
      </c>
      <c r="AI1853" s="78" t="b">
        <f t="shared" si="1451"/>
        <v>0</v>
      </c>
      <c r="AJ1853" s="78" t="b">
        <f t="shared" si="1452"/>
        <v>0</v>
      </c>
      <c r="AK1853" s="78" t="b">
        <f t="shared" si="1453"/>
        <v>0</v>
      </c>
      <c r="AL1853" s="78" t="b">
        <f t="shared" si="1454"/>
        <v>0</v>
      </c>
      <c r="AM1853" s="78" t="b">
        <f t="shared" si="1455"/>
        <v>0</v>
      </c>
      <c r="AN1853" s="78" t="b">
        <f t="shared" si="1456"/>
        <v>0</v>
      </c>
      <c r="AO1853" s="78" t="b">
        <f t="shared" si="1457"/>
        <v>0</v>
      </c>
    </row>
    <row r="1854" spans="7:41" x14ac:dyDescent="0.35">
      <c r="G1854" s="77">
        <f t="shared" si="1427"/>
        <v>0</v>
      </c>
      <c r="H1854" s="78">
        <f t="shared" si="1428"/>
        <v>0</v>
      </c>
      <c r="I1854" s="77">
        <f t="shared" si="1429"/>
        <v>0</v>
      </c>
      <c r="J1854" s="78">
        <f t="shared" si="1430"/>
        <v>0</v>
      </c>
      <c r="K1854" s="78" t="str">
        <f t="shared" si="1431"/>
        <v>1900-01-00 00:0:00</v>
      </c>
      <c r="L1854" s="78" t="str">
        <f t="shared" si="1432"/>
        <v>1900-01-00 00:0:00</v>
      </c>
      <c r="M1854" s="79">
        <f t="shared" si="1433"/>
        <v>0</v>
      </c>
      <c r="N1854">
        <f t="shared" si="1426"/>
        <v>1</v>
      </c>
      <c r="O1854" t="str">
        <f>IFERROR(_xlfn.XLOOKUP(A1854,HC!A:A,HC!C:C),"")</f>
        <v>Workforce</v>
      </c>
      <c r="R1854" s="78" t="b">
        <f t="shared" si="1434"/>
        <v>0</v>
      </c>
      <c r="S1854" s="78" t="b">
        <f t="shared" si="1435"/>
        <v>0</v>
      </c>
      <c r="T1854" s="78" t="b">
        <f t="shared" si="1436"/>
        <v>0</v>
      </c>
      <c r="U1854" s="78" t="b">
        <f t="shared" si="1437"/>
        <v>0</v>
      </c>
      <c r="V1854" s="78" t="b">
        <f t="shared" si="1438"/>
        <v>0</v>
      </c>
      <c r="W1854" s="78" t="b">
        <f t="shared" si="1439"/>
        <v>0</v>
      </c>
      <c r="X1854" s="78" t="b">
        <f t="shared" si="1440"/>
        <v>0</v>
      </c>
      <c r="Y1854" s="78" t="b">
        <f t="shared" si="1441"/>
        <v>0</v>
      </c>
      <c r="Z1854" s="78" t="b">
        <f t="shared" si="1442"/>
        <v>0</v>
      </c>
      <c r="AA1854" s="78" t="b">
        <f t="shared" si="1443"/>
        <v>0</v>
      </c>
      <c r="AB1854" s="78" t="b">
        <f t="shared" si="1444"/>
        <v>0</v>
      </c>
      <c r="AC1854" s="78" t="b">
        <f t="shared" si="1445"/>
        <v>0</v>
      </c>
      <c r="AD1854" s="78" t="b">
        <f t="shared" si="1446"/>
        <v>0</v>
      </c>
      <c r="AE1854" s="78" t="b">
        <f t="shared" si="1447"/>
        <v>0</v>
      </c>
      <c r="AF1854" s="78" t="b">
        <f t="shared" si="1448"/>
        <v>0</v>
      </c>
      <c r="AG1854" s="78" t="b">
        <f t="shared" si="1449"/>
        <v>0</v>
      </c>
      <c r="AH1854" s="78" t="b">
        <f t="shared" si="1450"/>
        <v>0</v>
      </c>
      <c r="AI1854" s="78" t="b">
        <f t="shared" si="1451"/>
        <v>0</v>
      </c>
      <c r="AJ1854" s="78" t="b">
        <f t="shared" si="1452"/>
        <v>0</v>
      </c>
      <c r="AK1854" s="78" t="b">
        <f t="shared" si="1453"/>
        <v>0</v>
      </c>
      <c r="AL1854" s="78" t="b">
        <f t="shared" si="1454"/>
        <v>0</v>
      </c>
      <c r="AM1854" s="78" t="b">
        <f t="shared" si="1455"/>
        <v>0</v>
      </c>
      <c r="AN1854" s="78" t="b">
        <f t="shared" si="1456"/>
        <v>0</v>
      </c>
      <c r="AO1854" s="78" t="b">
        <f t="shared" si="1457"/>
        <v>0</v>
      </c>
    </row>
    <row r="1855" spans="7:41" x14ac:dyDescent="0.35">
      <c r="G1855" s="77">
        <f t="shared" si="1427"/>
        <v>0</v>
      </c>
      <c r="H1855" s="78">
        <f t="shared" si="1428"/>
        <v>0</v>
      </c>
      <c r="I1855" s="77">
        <f t="shared" si="1429"/>
        <v>0</v>
      </c>
      <c r="J1855" s="78">
        <f t="shared" si="1430"/>
        <v>0</v>
      </c>
      <c r="K1855" s="78" t="str">
        <f t="shared" si="1431"/>
        <v>1900-01-00 00:0:00</v>
      </c>
      <c r="L1855" s="78" t="str">
        <f t="shared" si="1432"/>
        <v>1900-01-00 00:0:00</v>
      </c>
      <c r="M1855" s="79">
        <f t="shared" si="1433"/>
        <v>0</v>
      </c>
      <c r="N1855">
        <f t="shared" si="1426"/>
        <v>1</v>
      </c>
      <c r="O1855" t="str">
        <f>IFERROR(_xlfn.XLOOKUP(A1855,HC!A:A,HC!C:C),"")</f>
        <v>Workforce</v>
      </c>
      <c r="R1855" s="78" t="b">
        <f t="shared" si="1434"/>
        <v>0</v>
      </c>
      <c r="S1855" s="78" t="b">
        <f t="shared" si="1435"/>
        <v>0</v>
      </c>
      <c r="T1855" s="78" t="b">
        <f t="shared" si="1436"/>
        <v>0</v>
      </c>
      <c r="U1855" s="78" t="b">
        <f t="shared" si="1437"/>
        <v>0</v>
      </c>
      <c r="V1855" s="78" t="b">
        <f t="shared" si="1438"/>
        <v>0</v>
      </c>
      <c r="W1855" s="78" t="b">
        <f t="shared" si="1439"/>
        <v>0</v>
      </c>
      <c r="X1855" s="78" t="b">
        <f t="shared" si="1440"/>
        <v>0</v>
      </c>
      <c r="Y1855" s="78" t="b">
        <f t="shared" si="1441"/>
        <v>0</v>
      </c>
      <c r="Z1855" s="78" t="b">
        <f t="shared" si="1442"/>
        <v>0</v>
      </c>
      <c r="AA1855" s="78" t="b">
        <f t="shared" si="1443"/>
        <v>0</v>
      </c>
      <c r="AB1855" s="78" t="b">
        <f t="shared" si="1444"/>
        <v>0</v>
      </c>
      <c r="AC1855" s="78" t="b">
        <f t="shared" si="1445"/>
        <v>0</v>
      </c>
      <c r="AD1855" s="78" t="b">
        <f t="shared" si="1446"/>
        <v>0</v>
      </c>
      <c r="AE1855" s="78" t="b">
        <f t="shared" si="1447"/>
        <v>0</v>
      </c>
      <c r="AF1855" s="78" t="b">
        <f t="shared" si="1448"/>
        <v>0</v>
      </c>
      <c r="AG1855" s="78" t="b">
        <f t="shared" si="1449"/>
        <v>0</v>
      </c>
      <c r="AH1855" s="78" t="b">
        <f t="shared" si="1450"/>
        <v>0</v>
      </c>
      <c r="AI1855" s="78" t="b">
        <f t="shared" si="1451"/>
        <v>0</v>
      </c>
      <c r="AJ1855" s="78" t="b">
        <f t="shared" si="1452"/>
        <v>0</v>
      </c>
      <c r="AK1855" s="78" t="b">
        <f t="shared" si="1453"/>
        <v>0</v>
      </c>
      <c r="AL1855" s="78" t="b">
        <f t="shared" si="1454"/>
        <v>0</v>
      </c>
      <c r="AM1855" s="78" t="b">
        <f t="shared" si="1455"/>
        <v>0</v>
      </c>
      <c r="AN1855" s="78" t="b">
        <f t="shared" si="1456"/>
        <v>0</v>
      </c>
      <c r="AO1855" s="78" t="b">
        <f t="shared" si="1457"/>
        <v>0</v>
      </c>
    </row>
    <row r="1856" spans="7:41" x14ac:dyDescent="0.35">
      <c r="G1856" s="77">
        <f t="shared" si="1427"/>
        <v>0</v>
      </c>
      <c r="H1856" s="78">
        <f t="shared" si="1428"/>
        <v>0</v>
      </c>
      <c r="I1856" s="77">
        <f t="shared" si="1429"/>
        <v>0</v>
      </c>
      <c r="J1856" s="78">
        <f t="shared" si="1430"/>
        <v>0</v>
      </c>
      <c r="K1856" s="78" t="str">
        <f t="shared" si="1431"/>
        <v>1900-01-00 00:0:00</v>
      </c>
      <c r="L1856" s="78" t="str">
        <f t="shared" si="1432"/>
        <v>1900-01-00 00:0:00</v>
      </c>
      <c r="M1856" s="79">
        <f t="shared" si="1433"/>
        <v>0</v>
      </c>
      <c r="N1856">
        <f t="shared" si="1426"/>
        <v>1</v>
      </c>
      <c r="O1856" t="str">
        <f>IFERROR(_xlfn.XLOOKUP(A1856,HC!A:A,HC!C:C),"")</f>
        <v>Workforce</v>
      </c>
      <c r="R1856" s="78" t="b">
        <f t="shared" si="1434"/>
        <v>0</v>
      </c>
      <c r="S1856" s="78" t="b">
        <f t="shared" si="1435"/>
        <v>0</v>
      </c>
      <c r="T1856" s="78" t="b">
        <f t="shared" si="1436"/>
        <v>0</v>
      </c>
      <c r="U1856" s="78" t="b">
        <f t="shared" si="1437"/>
        <v>0</v>
      </c>
      <c r="V1856" s="78" t="b">
        <f t="shared" si="1438"/>
        <v>0</v>
      </c>
      <c r="W1856" s="78" t="b">
        <f t="shared" si="1439"/>
        <v>0</v>
      </c>
      <c r="X1856" s="78" t="b">
        <f t="shared" si="1440"/>
        <v>0</v>
      </c>
      <c r="Y1856" s="78" t="b">
        <f t="shared" si="1441"/>
        <v>0</v>
      </c>
      <c r="Z1856" s="78" t="b">
        <f t="shared" si="1442"/>
        <v>0</v>
      </c>
      <c r="AA1856" s="78" t="b">
        <f t="shared" si="1443"/>
        <v>0</v>
      </c>
      <c r="AB1856" s="78" t="b">
        <f t="shared" si="1444"/>
        <v>0</v>
      </c>
      <c r="AC1856" s="78" t="b">
        <f t="shared" si="1445"/>
        <v>0</v>
      </c>
      <c r="AD1856" s="78" t="b">
        <f t="shared" si="1446"/>
        <v>0</v>
      </c>
      <c r="AE1856" s="78" t="b">
        <f t="shared" si="1447"/>
        <v>0</v>
      </c>
      <c r="AF1856" s="78" t="b">
        <f t="shared" si="1448"/>
        <v>0</v>
      </c>
      <c r="AG1856" s="78" t="b">
        <f t="shared" si="1449"/>
        <v>0</v>
      </c>
      <c r="AH1856" s="78" t="b">
        <f t="shared" si="1450"/>
        <v>0</v>
      </c>
      <c r="AI1856" s="78" t="b">
        <f t="shared" si="1451"/>
        <v>0</v>
      </c>
      <c r="AJ1856" s="78" t="b">
        <f t="shared" si="1452"/>
        <v>0</v>
      </c>
      <c r="AK1856" s="78" t="b">
        <f t="shared" si="1453"/>
        <v>0</v>
      </c>
      <c r="AL1856" s="78" t="b">
        <f t="shared" si="1454"/>
        <v>0</v>
      </c>
      <c r="AM1856" s="78" t="b">
        <f t="shared" si="1455"/>
        <v>0</v>
      </c>
      <c r="AN1856" s="78" t="b">
        <f t="shared" si="1456"/>
        <v>0</v>
      </c>
      <c r="AO1856" s="78" t="b">
        <f t="shared" si="1457"/>
        <v>0</v>
      </c>
    </row>
    <row r="1857" spans="7:41" x14ac:dyDescent="0.35">
      <c r="G1857" s="77">
        <f t="shared" si="1427"/>
        <v>0</v>
      </c>
      <c r="H1857" s="78">
        <f t="shared" si="1428"/>
        <v>0</v>
      </c>
      <c r="I1857" s="77">
        <f t="shared" si="1429"/>
        <v>0</v>
      </c>
      <c r="J1857" s="78">
        <f t="shared" si="1430"/>
        <v>0</v>
      </c>
      <c r="K1857" s="78" t="str">
        <f t="shared" si="1431"/>
        <v>1900-01-00 00:0:00</v>
      </c>
      <c r="L1857" s="78" t="str">
        <f t="shared" si="1432"/>
        <v>1900-01-00 00:0:00</v>
      </c>
      <c r="M1857" s="79">
        <f t="shared" si="1433"/>
        <v>0</v>
      </c>
      <c r="N1857">
        <f t="shared" si="1426"/>
        <v>1</v>
      </c>
      <c r="O1857" t="str">
        <f>IFERROR(_xlfn.XLOOKUP(A1857,HC!A:A,HC!C:C),"")</f>
        <v>Workforce</v>
      </c>
      <c r="R1857" s="78" t="b">
        <f t="shared" si="1434"/>
        <v>0</v>
      </c>
      <c r="S1857" s="78" t="b">
        <f t="shared" si="1435"/>
        <v>0</v>
      </c>
      <c r="T1857" s="78" t="b">
        <f t="shared" si="1436"/>
        <v>0</v>
      </c>
      <c r="U1857" s="78" t="b">
        <f t="shared" si="1437"/>
        <v>0</v>
      </c>
      <c r="V1857" s="78" t="b">
        <f t="shared" si="1438"/>
        <v>0</v>
      </c>
      <c r="W1857" s="78" t="b">
        <f t="shared" si="1439"/>
        <v>0</v>
      </c>
      <c r="X1857" s="78" t="b">
        <f t="shared" si="1440"/>
        <v>0</v>
      </c>
      <c r="Y1857" s="78" t="b">
        <f t="shared" si="1441"/>
        <v>0</v>
      </c>
      <c r="Z1857" s="78" t="b">
        <f t="shared" si="1442"/>
        <v>0</v>
      </c>
      <c r="AA1857" s="78" t="b">
        <f t="shared" si="1443"/>
        <v>0</v>
      </c>
      <c r="AB1857" s="78" t="b">
        <f t="shared" si="1444"/>
        <v>0</v>
      </c>
      <c r="AC1857" s="78" t="b">
        <f t="shared" si="1445"/>
        <v>0</v>
      </c>
      <c r="AD1857" s="78" t="b">
        <f t="shared" si="1446"/>
        <v>0</v>
      </c>
      <c r="AE1857" s="78" t="b">
        <f t="shared" si="1447"/>
        <v>0</v>
      </c>
      <c r="AF1857" s="78" t="b">
        <f t="shared" si="1448"/>
        <v>0</v>
      </c>
      <c r="AG1857" s="78" t="b">
        <f t="shared" si="1449"/>
        <v>0</v>
      </c>
      <c r="AH1857" s="78" t="b">
        <f t="shared" si="1450"/>
        <v>0</v>
      </c>
      <c r="AI1857" s="78" t="b">
        <f t="shared" si="1451"/>
        <v>0</v>
      </c>
      <c r="AJ1857" s="78" t="b">
        <f t="shared" si="1452"/>
        <v>0</v>
      </c>
      <c r="AK1857" s="78" t="b">
        <f t="shared" si="1453"/>
        <v>0</v>
      </c>
      <c r="AL1857" s="78" t="b">
        <f t="shared" si="1454"/>
        <v>0</v>
      </c>
      <c r="AM1857" s="78" t="b">
        <f t="shared" si="1455"/>
        <v>0</v>
      </c>
      <c r="AN1857" s="78" t="b">
        <f t="shared" si="1456"/>
        <v>0</v>
      </c>
      <c r="AO1857" s="78" t="b">
        <f t="shared" si="1457"/>
        <v>0</v>
      </c>
    </row>
    <row r="1858" spans="7:41" x14ac:dyDescent="0.35">
      <c r="G1858" s="77">
        <f t="shared" si="1427"/>
        <v>0</v>
      </c>
      <c r="H1858" s="78">
        <f t="shared" si="1428"/>
        <v>0</v>
      </c>
      <c r="I1858" s="77">
        <f t="shared" si="1429"/>
        <v>0</v>
      </c>
      <c r="J1858" s="78">
        <f t="shared" si="1430"/>
        <v>0</v>
      </c>
      <c r="K1858" s="78" t="str">
        <f t="shared" si="1431"/>
        <v>1900-01-00 00:0:00</v>
      </c>
      <c r="L1858" s="78" t="str">
        <f t="shared" si="1432"/>
        <v>1900-01-00 00:0:00</v>
      </c>
      <c r="M1858" s="79">
        <f t="shared" si="1433"/>
        <v>0</v>
      </c>
      <c r="N1858">
        <f t="shared" si="1426"/>
        <v>1</v>
      </c>
      <c r="O1858" t="str">
        <f>IFERROR(_xlfn.XLOOKUP(A1858,HC!A:A,HC!C:C),"")</f>
        <v>Workforce</v>
      </c>
      <c r="R1858" s="78" t="b">
        <f t="shared" si="1434"/>
        <v>0</v>
      </c>
      <c r="S1858" s="78" t="b">
        <f t="shared" si="1435"/>
        <v>0</v>
      </c>
      <c r="T1858" s="78" t="b">
        <f t="shared" si="1436"/>
        <v>0</v>
      </c>
      <c r="U1858" s="78" t="b">
        <f t="shared" si="1437"/>
        <v>0</v>
      </c>
      <c r="V1858" s="78" t="b">
        <f t="shared" si="1438"/>
        <v>0</v>
      </c>
      <c r="W1858" s="78" t="b">
        <f t="shared" si="1439"/>
        <v>0</v>
      </c>
      <c r="X1858" s="78" t="b">
        <f t="shared" si="1440"/>
        <v>0</v>
      </c>
      <c r="Y1858" s="78" t="b">
        <f t="shared" si="1441"/>
        <v>0</v>
      </c>
      <c r="Z1858" s="78" t="b">
        <f t="shared" si="1442"/>
        <v>0</v>
      </c>
      <c r="AA1858" s="78" t="b">
        <f t="shared" si="1443"/>
        <v>0</v>
      </c>
      <c r="AB1858" s="78" t="b">
        <f t="shared" si="1444"/>
        <v>0</v>
      </c>
      <c r="AC1858" s="78" t="b">
        <f t="shared" si="1445"/>
        <v>0</v>
      </c>
      <c r="AD1858" s="78" t="b">
        <f t="shared" si="1446"/>
        <v>0</v>
      </c>
      <c r="AE1858" s="78" t="b">
        <f t="shared" si="1447"/>
        <v>0</v>
      </c>
      <c r="AF1858" s="78" t="b">
        <f t="shared" si="1448"/>
        <v>0</v>
      </c>
      <c r="AG1858" s="78" t="b">
        <f t="shared" si="1449"/>
        <v>0</v>
      </c>
      <c r="AH1858" s="78" t="b">
        <f t="shared" si="1450"/>
        <v>0</v>
      </c>
      <c r="AI1858" s="78" t="b">
        <f t="shared" si="1451"/>
        <v>0</v>
      </c>
      <c r="AJ1858" s="78" t="b">
        <f t="shared" si="1452"/>
        <v>0</v>
      </c>
      <c r="AK1858" s="78" t="b">
        <f t="shared" si="1453"/>
        <v>0</v>
      </c>
      <c r="AL1858" s="78" t="b">
        <f t="shared" si="1454"/>
        <v>0</v>
      </c>
      <c r="AM1858" s="78" t="b">
        <f t="shared" si="1455"/>
        <v>0</v>
      </c>
      <c r="AN1858" s="78" t="b">
        <f t="shared" si="1456"/>
        <v>0</v>
      </c>
      <c r="AO1858" s="78" t="b">
        <f t="shared" si="1457"/>
        <v>0</v>
      </c>
    </row>
    <row r="1859" spans="7:41" x14ac:dyDescent="0.35">
      <c r="G1859" s="77">
        <f t="shared" si="1427"/>
        <v>0</v>
      </c>
      <c r="H1859" s="78">
        <f t="shared" si="1428"/>
        <v>0</v>
      </c>
      <c r="I1859" s="77">
        <f t="shared" si="1429"/>
        <v>0</v>
      </c>
      <c r="J1859" s="78">
        <f t="shared" si="1430"/>
        <v>0</v>
      </c>
      <c r="K1859" s="78" t="str">
        <f t="shared" si="1431"/>
        <v>1900-01-00 00:0:00</v>
      </c>
      <c r="L1859" s="78" t="str">
        <f t="shared" si="1432"/>
        <v>1900-01-00 00:0:00</v>
      </c>
      <c r="M1859" s="79">
        <f t="shared" si="1433"/>
        <v>0</v>
      </c>
      <c r="N1859">
        <f t="shared" si="1426"/>
        <v>1</v>
      </c>
      <c r="O1859" t="str">
        <f>IFERROR(_xlfn.XLOOKUP(A1859,HC!A:A,HC!C:C),"")</f>
        <v>Workforce</v>
      </c>
      <c r="R1859" s="78" t="b">
        <f t="shared" si="1434"/>
        <v>0</v>
      </c>
      <c r="S1859" s="78" t="b">
        <f t="shared" si="1435"/>
        <v>0</v>
      </c>
      <c r="T1859" s="78" t="b">
        <f t="shared" si="1436"/>
        <v>0</v>
      </c>
      <c r="U1859" s="78" t="b">
        <f t="shared" si="1437"/>
        <v>0</v>
      </c>
      <c r="V1859" s="78" t="b">
        <f t="shared" si="1438"/>
        <v>0</v>
      </c>
      <c r="W1859" s="78" t="b">
        <f t="shared" si="1439"/>
        <v>0</v>
      </c>
      <c r="X1859" s="78" t="b">
        <f t="shared" si="1440"/>
        <v>0</v>
      </c>
      <c r="Y1859" s="78" t="b">
        <f t="shared" si="1441"/>
        <v>0</v>
      </c>
      <c r="Z1859" s="78" t="b">
        <f t="shared" si="1442"/>
        <v>0</v>
      </c>
      <c r="AA1859" s="78" t="b">
        <f t="shared" si="1443"/>
        <v>0</v>
      </c>
      <c r="AB1859" s="78" t="b">
        <f t="shared" si="1444"/>
        <v>0</v>
      </c>
      <c r="AC1859" s="78" t="b">
        <f t="shared" si="1445"/>
        <v>0</v>
      </c>
      <c r="AD1859" s="78" t="b">
        <f t="shared" si="1446"/>
        <v>0</v>
      </c>
      <c r="AE1859" s="78" t="b">
        <f t="shared" si="1447"/>
        <v>0</v>
      </c>
      <c r="AF1859" s="78" t="b">
        <f t="shared" si="1448"/>
        <v>0</v>
      </c>
      <c r="AG1859" s="78" t="b">
        <f t="shared" si="1449"/>
        <v>0</v>
      </c>
      <c r="AH1859" s="78" t="b">
        <f t="shared" si="1450"/>
        <v>0</v>
      </c>
      <c r="AI1859" s="78" t="b">
        <f t="shared" si="1451"/>
        <v>0</v>
      </c>
      <c r="AJ1859" s="78" t="b">
        <f t="shared" si="1452"/>
        <v>0</v>
      </c>
      <c r="AK1859" s="78" t="b">
        <f t="shared" si="1453"/>
        <v>0</v>
      </c>
      <c r="AL1859" s="78" t="b">
        <f t="shared" si="1454"/>
        <v>0</v>
      </c>
      <c r="AM1859" s="78" t="b">
        <f t="shared" si="1455"/>
        <v>0</v>
      </c>
      <c r="AN1859" s="78" t="b">
        <f t="shared" si="1456"/>
        <v>0</v>
      </c>
      <c r="AO1859" s="78" t="b">
        <f t="shared" si="1457"/>
        <v>0</v>
      </c>
    </row>
    <row r="1860" spans="7:41" x14ac:dyDescent="0.35">
      <c r="G1860" s="77">
        <f t="shared" si="1427"/>
        <v>0</v>
      </c>
      <c r="H1860" s="78">
        <f t="shared" si="1428"/>
        <v>0</v>
      </c>
      <c r="I1860" s="77">
        <f t="shared" si="1429"/>
        <v>0</v>
      </c>
      <c r="J1860" s="78">
        <f t="shared" si="1430"/>
        <v>0</v>
      </c>
      <c r="K1860" s="78" t="str">
        <f t="shared" si="1431"/>
        <v>1900-01-00 00:0:00</v>
      </c>
      <c r="L1860" s="78" t="str">
        <f t="shared" si="1432"/>
        <v>1900-01-00 00:0:00</v>
      </c>
      <c r="M1860" s="79">
        <f t="shared" si="1433"/>
        <v>0</v>
      </c>
      <c r="N1860">
        <f t="shared" ref="N1860:N1923" si="1458">IF(M1860&lt;$BA$1,1,0)</f>
        <v>1</v>
      </c>
      <c r="O1860" t="str">
        <f>IFERROR(_xlfn.XLOOKUP(A1860,HC!A:A,HC!C:C),"")</f>
        <v>Workforce</v>
      </c>
      <c r="R1860" s="78" t="b">
        <f t="shared" si="1434"/>
        <v>0</v>
      </c>
      <c r="S1860" s="78" t="b">
        <f t="shared" si="1435"/>
        <v>0</v>
      </c>
      <c r="T1860" s="78" t="b">
        <f t="shared" si="1436"/>
        <v>0</v>
      </c>
      <c r="U1860" s="78" t="b">
        <f t="shared" si="1437"/>
        <v>0</v>
      </c>
      <c r="V1860" s="78" t="b">
        <f t="shared" si="1438"/>
        <v>0</v>
      </c>
      <c r="W1860" s="78" t="b">
        <f t="shared" si="1439"/>
        <v>0</v>
      </c>
      <c r="X1860" s="78" t="b">
        <f t="shared" si="1440"/>
        <v>0</v>
      </c>
      <c r="Y1860" s="78" t="b">
        <f t="shared" si="1441"/>
        <v>0</v>
      </c>
      <c r="Z1860" s="78" t="b">
        <f t="shared" si="1442"/>
        <v>0</v>
      </c>
      <c r="AA1860" s="78" t="b">
        <f t="shared" si="1443"/>
        <v>0</v>
      </c>
      <c r="AB1860" s="78" t="b">
        <f t="shared" si="1444"/>
        <v>0</v>
      </c>
      <c r="AC1860" s="78" t="b">
        <f t="shared" si="1445"/>
        <v>0</v>
      </c>
      <c r="AD1860" s="78" t="b">
        <f t="shared" si="1446"/>
        <v>0</v>
      </c>
      <c r="AE1860" s="78" t="b">
        <f t="shared" si="1447"/>
        <v>0</v>
      </c>
      <c r="AF1860" s="78" t="b">
        <f t="shared" si="1448"/>
        <v>0</v>
      </c>
      <c r="AG1860" s="78" t="b">
        <f t="shared" si="1449"/>
        <v>0</v>
      </c>
      <c r="AH1860" s="78" t="b">
        <f t="shared" si="1450"/>
        <v>0</v>
      </c>
      <c r="AI1860" s="78" t="b">
        <f t="shared" si="1451"/>
        <v>0</v>
      </c>
      <c r="AJ1860" s="78" t="b">
        <f t="shared" si="1452"/>
        <v>0</v>
      </c>
      <c r="AK1860" s="78" t="b">
        <f t="shared" si="1453"/>
        <v>0</v>
      </c>
      <c r="AL1860" s="78" t="b">
        <f t="shared" si="1454"/>
        <v>0</v>
      </c>
      <c r="AM1860" s="78" t="b">
        <f t="shared" si="1455"/>
        <v>0</v>
      </c>
      <c r="AN1860" s="78" t="b">
        <f t="shared" si="1456"/>
        <v>0</v>
      </c>
      <c r="AO1860" s="78" t="b">
        <f t="shared" si="1457"/>
        <v>0</v>
      </c>
    </row>
    <row r="1861" spans="7:41" x14ac:dyDescent="0.35">
      <c r="G1861" s="77">
        <f t="shared" si="1427"/>
        <v>0</v>
      </c>
      <c r="H1861" s="78">
        <f t="shared" si="1428"/>
        <v>0</v>
      </c>
      <c r="I1861" s="77">
        <f t="shared" si="1429"/>
        <v>0</v>
      </c>
      <c r="J1861" s="78">
        <f t="shared" si="1430"/>
        <v>0</v>
      </c>
      <c r="K1861" s="78" t="str">
        <f t="shared" si="1431"/>
        <v>1900-01-00 00:0:00</v>
      </c>
      <c r="L1861" s="78" t="str">
        <f t="shared" si="1432"/>
        <v>1900-01-00 00:0:00</v>
      </c>
      <c r="M1861" s="79">
        <f t="shared" si="1433"/>
        <v>0</v>
      </c>
      <c r="N1861">
        <f t="shared" si="1458"/>
        <v>1</v>
      </c>
      <c r="O1861" t="str">
        <f>IFERROR(_xlfn.XLOOKUP(A1861,HC!A:A,HC!C:C),"")</f>
        <v>Workforce</v>
      </c>
      <c r="R1861" s="78" t="b">
        <f t="shared" si="1434"/>
        <v>0</v>
      </c>
      <c r="S1861" s="78" t="b">
        <f t="shared" si="1435"/>
        <v>0</v>
      </c>
      <c r="T1861" s="78" t="b">
        <f t="shared" si="1436"/>
        <v>0</v>
      </c>
      <c r="U1861" s="78" t="b">
        <f t="shared" si="1437"/>
        <v>0</v>
      </c>
      <c r="V1861" s="78" t="b">
        <f t="shared" si="1438"/>
        <v>0</v>
      </c>
      <c r="W1861" s="78" t="b">
        <f t="shared" si="1439"/>
        <v>0</v>
      </c>
      <c r="X1861" s="78" t="b">
        <f t="shared" si="1440"/>
        <v>0</v>
      </c>
      <c r="Y1861" s="78" t="b">
        <f t="shared" si="1441"/>
        <v>0</v>
      </c>
      <c r="Z1861" s="78" t="b">
        <f t="shared" si="1442"/>
        <v>0</v>
      </c>
      <c r="AA1861" s="78" t="b">
        <f t="shared" si="1443"/>
        <v>0</v>
      </c>
      <c r="AB1861" s="78" t="b">
        <f t="shared" si="1444"/>
        <v>0</v>
      </c>
      <c r="AC1861" s="78" t="b">
        <f t="shared" si="1445"/>
        <v>0</v>
      </c>
      <c r="AD1861" s="78" t="b">
        <f t="shared" si="1446"/>
        <v>0</v>
      </c>
      <c r="AE1861" s="78" t="b">
        <f t="shared" si="1447"/>
        <v>0</v>
      </c>
      <c r="AF1861" s="78" t="b">
        <f t="shared" si="1448"/>
        <v>0</v>
      </c>
      <c r="AG1861" s="78" t="b">
        <f t="shared" si="1449"/>
        <v>0</v>
      </c>
      <c r="AH1861" s="78" t="b">
        <f t="shared" si="1450"/>
        <v>0</v>
      </c>
      <c r="AI1861" s="78" t="b">
        <f t="shared" si="1451"/>
        <v>0</v>
      </c>
      <c r="AJ1861" s="78" t="b">
        <f t="shared" si="1452"/>
        <v>0</v>
      </c>
      <c r="AK1861" s="78" t="b">
        <f t="shared" si="1453"/>
        <v>0</v>
      </c>
      <c r="AL1861" s="78" t="b">
        <f t="shared" si="1454"/>
        <v>0</v>
      </c>
      <c r="AM1861" s="78" t="b">
        <f t="shared" si="1455"/>
        <v>0</v>
      </c>
      <c r="AN1861" s="78" t="b">
        <f t="shared" si="1456"/>
        <v>0</v>
      </c>
      <c r="AO1861" s="78" t="b">
        <f t="shared" si="1457"/>
        <v>0</v>
      </c>
    </row>
    <row r="1862" spans="7:41" x14ac:dyDescent="0.35">
      <c r="G1862" s="77">
        <f t="shared" si="1427"/>
        <v>0</v>
      </c>
      <c r="H1862" s="78">
        <f t="shared" si="1428"/>
        <v>0</v>
      </c>
      <c r="I1862" s="77">
        <f t="shared" si="1429"/>
        <v>0</v>
      </c>
      <c r="J1862" s="78">
        <f t="shared" si="1430"/>
        <v>0</v>
      </c>
      <c r="K1862" s="78" t="str">
        <f t="shared" si="1431"/>
        <v>1900-01-00 00:0:00</v>
      </c>
      <c r="L1862" s="78" t="str">
        <f t="shared" si="1432"/>
        <v>1900-01-00 00:0:00</v>
      </c>
      <c r="M1862" s="79">
        <f t="shared" si="1433"/>
        <v>0</v>
      </c>
      <c r="N1862">
        <f t="shared" si="1458"/>
        <v>1</v>
      </c>
      <c r="O1862" t="str">
        <f>IFERROR(_xlfn.XLOOKUP(A1862,HC!A:A,HC!C:C),"")</f>
        <v>Workforce</v>
      </c>
      <c r="R1862" s="78" t="b">
        <f t="shared" si="1434"/>
        <v>0</v>
      </c>
      <c r="S1862" s="78" t="b">
        <f t="shared" si="1435"/>
        <v>0</v>
      </c>
      <c r="T1862" s="78" t="b">
        <f t="shared" si="1436"/>
        <v>0</v>
      </c>
      <c r="U1862" s="78" t="b">
        <f t="shared" si="1437"/>
        <v>0</v>
      </c>
      <c r="V1862" s="78" t="b">
        <f t="shared" si="1438"/>
        <v>0</v>
      </c>
      <c r="W1862" s="78" t="b">
        <f t="shared" si="1439"/>
        <v>0</v>
      </c>
      <c r="X1862" s="78" t="b">
        <f t="shared" si="1440"/>
        <v>0</v>
      </c>
      <c r="Y1862" s="78" t="b">
        <f t="shared" si="1441"/>
        <v>0</v>
      </c>
      <c r="Z1862" s="78" t="b">
        <f t="shared" si="1442"/>
        <v>0</v>
      </c>
      <c r="AA1862" s="78" t="b">
        <f t="shared" si="1443"/>
        <v>0</v>
      </c>
      <c r="AB1862" s="78" t="b">
        <f t="shared" si="1444"/>
        <v>0</v>
      </c>
      <c r="AC1862" s="78" t="b">
        <f t="shared" si="1445"/>
        <v>0</v>
      </c>
      <c r="AD1862" s="78" t="b">
        <f t="shared" si="1446"/>
        <v>0</v>
      </c>
      <c r="AE1862" s="78" t="b">
        <f t="shared" si="1447"/>
        <v>0</v>
      </c>
      <c r="AF1862" s="78" t="b">
        <f t="shared" si="1448"/>
        <v>0</v>
      </c>
      <c r="AG1862" s="78" t="b">
        <f t="shared" si="1449"/>
        <v>0</v>
      </c>
      <c r="AH1862" s="78" t="b">
        <f t="shared" si="1450"/>
        <v>0</v>
      </c>
      <c r="AI1862" s="78" t="b">
        <f t="shared" si="1451"/>
        <v>0</v>
      </c>
      <c r="AJ1862" s="78" t="b">
        <f t="shared" si="1452"/>
        <v>0</v>
      </c>
      <c r="AK1862" s="78" t="b">
        <f t="shared" si="1453"/>
        <v>0</v>
      </c>
      <c r="AL1862" s="78" t="b">
        <f t="shared" si="1454"/>
        <v>0</v>
      </c>
      <c r="AM1862" s="78" t="b">
        <f t="shared" si="1455"/>
        <v>0</v>
      </c>
      <c r="AN1862" s="78" t="b">
        <f t="shared" si="1456"/>
        <v>0</v>
      </c>
      <c r="AO1862" s="78" t="b">
        <f t="shared" si="1457"/>
        <v>0</v>
      </c>
    </row>
    <row r="1863" spans="7:41" x14ac:dyDescent="0.35">
      <c r="G1863" s="77">
        <f t="shared" si="1427"/>
        <v>0</v>
      </c>
      <c r="H1863" s="78">
        <f t="shared" si="1428"/>
        <v>0</v>
      </c>
      <c r="I1863" s="77">
        <f t="shared" si="1429"/>
        <v>0</v>
      </c>
      <c r="J1863" s="78">
        <f t="shared" si="1430"/>
        <v>0</v>
      </c>
      <c r="K1863" s="78" t="str">
        <f t="shared" si="1431"/>
        <v>1900-01-00 00:0:00</v>
      </c>
      <c r="L1863" s="78" t="str">
        <f t="shared" si="1432"/>
        <v>1900-01-00 00:0:00</v>
      </c>
      <c r="M1863" s="79">
        <f t="shared" si="1433"/>
        <v>0</v>
      </c>
      <c r="N1863">
        <f t="shared" si="1458"/>
        <v>1</v>
      </c>
      <c r="O1863" t="str">
        <f>IFERROR(_xlfn.XLOOKUP(A1863,HC!A:A,HC!C:C),"")</f>
        <v>Workforce</v>
      </c>
      <c r="R1863" s="78" t="b">
        <f t="shared" si="1434"/>
        <v>0</v>
      </c>
      <c r="S1863" s="78" t="b">
        <f t="shared" si="1435"/>
        <v>0</v>
      </c>
      <c r="T1863" s="78" t="b">
        <f t="shared" si="1436"/>
        <v>0</v>
      </c>
      <c r="U1863" s="78" t="b">
        <f t="shared" si="1437"/>
        <v>0</v>
      </c>
      <c r="V1863" s="78" t="b">
        <f t="shared" si="1438"/>
        <v>0</v>
      </c>
      <c r="W1863" s="78" t="b">
        <f t="shared" si="1439"/>
        <v>0</v>
      </c>
      <c r="X1863" s="78" t="b">
        <f t="shared" si="1440"/>
        <v>0</v>
      </c>
      <c r="Y1863" s="78" t="b">
        <f t="shared" si="1441"/>
        <v>0</v>
      </c>
      <c r="Z1863" s="78" t="b">
        <f t="shared" si="1442"/>
        <v>0</v>
      </c>
      <c r="AA1863" s="78" t="b">
        <f t="shared" si="1443"/>
        <v>0</v>
      </c>
      <c r="AB1863" s="78" t="b">
        <f t="shared" si="1444"/>
        <v>0</v>
      </c>
      <c r="AC1863" s="78" t="b">
        <f t="shared" si="1445"/>
        <v>0</v>
      </c>
      <c r="AD1863" s="78" t="b">
        <f t="shared" si="1446"/>
        <v>0</v>
      </c>
      <c r="AE1863" s="78" t="b">
        <f t="shared" si="1447"/>
        <v>0</v>
      </c>
      <c r="AF1863" s="78" t="b">
        <f t="shared" si="1448"/>
        <v>0</v>
      </c>
      <c r="AG1863" s="78" t="b">
        <f t="shared" si="1449"/>
        <v>0</v>
      </c>
      <c r="AH1863" s="78" t="b">
        <f t="shared" si="1450"/>
        <v>0</v>
      </c>
      <c r="AI1863" s="78" t="b">
        <f t="shared" si="1451"/>
        <v>0</v>
      </c>
      <c r="AJ1863" s="78" t="b">
        <f t="shared" si="1452"/>
        <v>0</v>
      </c>
      <c r="AK1863" s="78" t="b">
        <f t="shared" si="1453"/>
        <v>0</v>
      </c>
      <c r="AL1863" s="78" t="b">
        <f t="shared" si="1454"/>
        <v>0</v>
      </c>
      <c r="AM1863" s="78" t="b">
        <f t="shared" si="1455"/>
        <v>0</v>
      </c>
      <c r="AN1863" s="78" t="b">
        <f t="shared" si="1456"/>
        <v>0</v>
      </c>
      <c r="AO1863" s="78" t="b">
        <f t="shared" si="1457"/>
        <v>0</v>
      </c>
    </row>
    <row r="1864" spans="7:41" x14ac:dyDescent="0.35">
      <c r="G1864" s="77">
        <f t="shared" si="1427"/>
        <v>0</v>
      </c>
      <c r="H1864" s="78">
        <f t="shared" si="1428"/>
        <v>0</v>
      </c>
      <c r="I1864" s="77">
        <f t="shared" si="1429"/>
        <v>0</v>
      </c>
      <c r="J1864" s="78">
        <f t="shared" si="1430"/>
        <v>0</v>
      </c>
      <c r="K1864" s="78" t="str">
        <f t="shared" si="1431"/>
        <v>1900-01-00 00:0:00</v>
      </c>
      <c r="L1864" s="78" t="str">
        <f t="shared" si="1432"/>
        <v>1900-01-00 00:0:00</v>
      </c>
      <c r="M1864" s="79">
        <f t="shared" si="1433"/>
        <v>0</v>
      </c>
      <c r="N1864">
        <f t="shared" si="1458"/>
        <v>1</v>
      </c>
      <c r="O1864" t="str">
        <f>IFERROR(_xlfn.XLOOKUP(A1864,HC!A:A,HC!C:C),"")</f>
        <v>Workforce</v>
      </c>
      <c r="R1864" s="78" t="b">
        <f t="shared" si="1434"/>
        <v>0</v>
      </c>
      <c r="S1864" s="78" t="b">
        <f t="shared" si="1435"/>
        <v>0</v>
      </c>
      <c r="T1864" s="78" t="b">
        <f t="shared" si="1436"/>
        <v>0</v>
      </c>
      <c r="U1864" s="78" t="b">
        <f t="shared" si="1437"/>
        <v>0</v>
      </c>
      <c r="V1864" s="78" t="b">
        <f t="shared" si="1438"/>
        <v>0</v>
      </c>
      <c r="W1864" s="78" t="b">
        <f t="shared" si="1439"/>
        <v>0</v>
      </c>
      <c r="X1864" s="78" t="b">
        <f t="shared" si="1440"/>
        <v>0</v>
      </c>
      <c r="Y1864" s="78" t="b">
        <f t="shared" si="1441"/>
        <v>0</v>
      </c>
      <c r="Z1864" s="78" t="b">
        <f t="shared" si="1442"/>
        <v>0</v>
      </c>
      <c r="AA1864" s="78" t="b">
        <f t="shared" si="1443"/>
        <v>0</v>
      </c>
      <c r="AB1864" s="78" t="b">
        <f t="shared" si="1444"/>
        <v>0</v>
      </c>
      <c r="AC1864" s="78" t="b">
        <f t="shared" si="1445"/>
        <v>0</v>
      </c>
      <c r="AD1864" s="78" t="b">
        <f t="shared" si="1446"/>
        <v>0</v>
      </c>
      <c r="AE1864" s="78" t="b">
        <f t="shared" si="1447"/>
        <v>0</v>
      </c>
      <c r="AF1864" s="78" t="b">
        <f t="shared" si="1448"/>
        <v>0</v>
      </c>
      <c r="AG1864" s="78" t="b">
        <f t="shared" si="1449"/>
        <v>0</v>
      </c>
      <c r="AH1864" s="78" t="b">
        <f t="shared" si="1450"/>
        <v>0</v>
      </c>
      <c r="AI1864" s="78" t="b">
        <f t="shared" si="1451"/>
        <v>0</v>
      </c>
      <c r="AJ1864" s="78" t="b">
        <f t="shared" si="1452"/>
        <v>0</v>
      </c>
      <c r="AK1864" s="78" t="b">
        <f t="shared" si="1453"/>
        <v>0</v>
      </c>
      <c r="AL1864" s="78" t="b">
        <f t="shared" si="1454"/>
        <v>0</v>
      </c>
      <c r="AM1864" s="78" t="b">
        <f t="shared" si="1455"/>
        <v>0</v>
      </c>
      <c r="AN1864" s="78" t="b">
        <f t="shared" si="1456"/>
        <v>0</v>
      </c>
      <c r="AO1864" s="78" t="b">
        <f t="shared" si="1457"/>
        <v>0</v>
      </c>
    </row>
    <row r="1865" spans="7:41" x14ac:dyDescent="0.35">
      <c r="G1865" s="77">
        <f t="shared" si="1427"/>
        <v>0</v>
      </c>
      <c r="H1865" s="78">
        <f t="shared" si="1428"/>
        <v>0</v>
      </c>
      <c r="I1865" s="77">
        <f t="shared" si="1429"/>
        <v>0</v>
      </c>
      <c r="J1865" s="78">
        <f t="shared" si="1430"/>
        <v>0</v>
      </c>
      <c r="K1865" s="78" t="str">
        <f t="shared" si="1431"/>
        <v>1900-01-00 00:0:00</v>
      </c>
      <c r="L1865" s="78" t="str">
        <f t="shared" si="1432"/>
        <v>1900-01-00 00:0:00</v>
      </c>
      <c r="M1865" s="79">
        <f t="shared" si="1433"/>
        <v>0</v>
      </c>
      <c r="N1865">
        <f t="shared" si="1458"/>
        <v>1</v>
      </c>
      <c r="O1865" t="str">
        <f>IFERROR(_xlfn.XLOOKUP(A1865,HC!A:A,HC!C:C),"")</f>
        <v>Workforce</v>
      </c>
      <c r="R1865" s="78" t="b">
        <f t="shared" si="1434"/>
        <v>0</v>
      </c>
      <c r="S1865" s="78" t="b">
        <f t="shared" si="1435"/>
        <v>0</v>
      </c>
      <c r="T1865" s="78" t="b">
        <f t="shared" si="1436"/>
        <v>0</v>
      </c>
      <c r="U1865" s="78" t="b">
        <f t="shared" si="1437"/>
        <v>0</v>
      </c>
      <c r="V1865" s="78" t="b">
        <f t="shared" si="1438"/>
        <v>0</v>
      </c>
      <c r="W1865" s="78" t="b">
        <f t="shared" si="1439"/>
        <v>0</v>
      </c>
      <c r="X1865" s="78" t="b">
        <f t="shared" si="1440"/>
        <v>0</v>
      </c>
      <c r="Y1865" s="78" t="b">
        <f t="shared" si="1441"/>
        <v>0</v>
      </c>
      <c r="Z1865" s="78" t="b">
        <f t="shared" si="1442"/>
        <v>0</v>
      </c>
      <c r="AA1865" s="78" t="b">
        <f t="shared" si="1443"/>
        <v>0</v>
      </c>
      <c r="AB1865" s="78" t="b">
        <f t="shared" si="1444"/>
        <v>0</v>
      </c>
      <c r="AC1865" s="78" t="b">
        <f t="shared" si="1445"/>
        <v>0</v>
      </c>
      <c r="AD1865" s="78" t="b">
        <f t="shared" si="1446"/>
        <v>0</v>
      </c>
      <c r="AE1865" s="78" t="b">
        <f t="shared" si="1447"/>
        <v>0</v>
      </c>
      <c r="AF1865" s="78" t="b">
        <f t="shared" si="1448"/>
        <v>0</v>
      </c>
      <c r="AG1865" s="78" t="b">
        <f t="shared" si="1449"/>
        <v>0</v>
      </c>
      <c r="AH1865" s="78" t="b">
        <f t="shared" si="1450"/>
        <v>0</v>
      </c>
      <c r="AI1865" s="78" t="b">
        <f t="shared" si="1451"/>
        <v>0</v>
      </c>
      <c r="AJ1865" s="78" t="b">
        <f t="shared" si="1452"/>
        <v>0</v>
      </c>
      <c r="AK1865" s="78" t="b">
        <f t="shared" si="1453"/>
        <v>0</v>
      </c>
      <c r="AL1865" s="78" t="b">
        <f t="shared" si="1454"/>
        <v>0</v>
      </c>
      <c r="AM1865" s="78" t="b">
        <f t="shared" si="1455"/>
        <v>0</v>
      </c>
      <c r="AN1865" s="78" t="b">
        <f t="shared" si="1456"/>
        <v>0</v>
      </c>
      <c r="AO1865" s="78" t="b">
        <f t="shared" si="1457"/>
        <v>0</v>
      </c>
    </row>
    <row r="1866" spans="7:41" x14ac:dyDescent="0.35">
      <c r="G1866" s="77">
        <f t="shared" si="1427"/>
        <v>0</v>
      </c>
      <c r="H1866" s="78">
        <f t="shared" si="1428"/>
        <v>0</v>
      </c>
      <c r="I1866" s="77">
        <f t="shared" si="1429"/>
        <v>0</v>
      </c>
      <c r="J1866" s="78">
        <f t="shared" si="1430"/>
        <v>0</v>
      </c>
      <c r="K1866" s="78" t="str">
        <f t="shared" si="1431"/>
        <v>1900-01-00 00:0:00</v>
      </c>
      <c r="L1866" s="78" t="str">
        <f t="shared" si="1432"/>
        <v>1900-01-00 00:0:00</v>
      </c>
      <c r="M1866" s="79">
        <f t="shared" si="1433"/>
        <v>0</v>
      </c>
      <c r="N1866">
        <f t="shared" si="1458"/>
        <v>1</v>
      </c>
      <c r="O1866" t="str">
        <f>IFERROR(_xlfn.XLOOKUP(A1866,HC!A:A,HC!C:C),"")</f>
        <v>Workforce</v>
      </c>
      <c r="R1866" s="78" t="b">
        <f t="shared" si="1434"/>
        <v>0</v>
      </c>
      <c r="S1866" s="78" t="b">
        <f t="shared" si="1435"/>
        <v>0</v>
      </c>
      <c r="T1866" s="78" t="b">
        <f t="shared" si="1436"/>
        <v>0</v>
      </c>
      <c r="U1866" s="78" t="b">
        <f t="shared" si="1437"/>
        <v>0</v>
      </c>
      <c r="V1866" s="78" t="b">
        <f t="shared" si="1438"/>
        <v>0</v>
      </c>
      <c r="W1866" s="78" t="b">
        <f t="shared" si="1439"/>
        <v>0</v>
      </c>
      <c r="X1866" s="78" t="b">
        <f t="shared" si="1440"/>
        <v>0</v>
      </c>
      <c r="Y1866" s="78" t="b">
        <f t="shared" si="1441"/>
        <v>0</v>
      </c>
      <c r="Z1866" s="78" t="b">
        <f t="shared" si="1442"/>
        <v>0</v>
      </c>
      <c r="AA1866" s="78" t="b">
        <f t="shared" si="1443"/>
        <v>0</v>
      </c>
      <c r="AB1866" s="78" t="b">
        <f t="shared" si="1444"/>
        <v>0</v>
      </c>
      <c r="AC1866" s="78" t="b">
        <f t="shared" si="1445"/>
        <v>0</v>
      </c>
      <c r="AD1866" s="78" t="b">
        <f t="shared" si="1446"/>
        <v>0</v>
      </c>
      <c r="AE1866" s="78" t="b">
        <f t="shared" si="1447"/>
        <v>0</v>
      </c>
      <c r="AF1866" s="78" t="b">
        <f t="shared" si="1448"/>
        <v>0</v>
      </c>
      <c r="AG1866" s="78" t="b">
        <f t="shared" si="1449"/>
        <v>0</v>
      </c>
      <c r="AH1866" s="78" t="b">
        <f t="shared" si="1450"/>
        <v>0</v>
      </c>
      <c r="AI1866" s="78" t="b">
        <f t="shared" si="1451"/>
        <v>0</v>
      </c>
      <c r="AJ1866" s="78" t="b">
        <f t="shared" si="1452"/>
        <v>0</v>
      </c>
      <c r="AK1866" s="78" t="b">
        <f t="shared" si="1453"/>
        <v>0</v>
      </c>
      <c r="AL1866" s="78" t="b">
        <f t="shared" si="1454"/>
        <v>0</v>
      </c>
      <c r="AM1866" s="78" t="b">
        <f t="shared" si="1455"/>
        <v>0</v>
      </c>
      <c r="AN1866" s="78" t="b">
        <f t="shared" si="1456"/>
        <v>0</v>
      </c>
      <c r="AO1866" s="78" t="b">
        <f t="shared" si="1457"/>
        <v>0</v>
      </c>
    </row>
    <row r="1867" spans="7:41" x14ac:dyDescent="0.35">
      <c r="G1867" s="77">
        <f t="shared" si="1427"/>
        <v>0</v>
      </c>
      <c r="H1867" s="78">
        <f t="shared" si="1428"/>
        <v>0</v>
      </c>
      <c r="I1867" s="77">
        <f t="shared" si="1429"/>
        <v>0</v>
      </c>
      <c r="J1867" s="78">
        <f t="shared" si="1430"/>
        <v>0</v>
      </c>
      <c r="K1867" s="78" t="str">
        <f t="shared" si="1431"/>
        <v>1900-01-00 00:0:00</v>
      </c>
      <c r="L1867" s="78" t="str">
        <f t="shared" si="1432"/>
        <v>1900-01-00 00:0:00</v>
      </c>
      <c r="M1867" s="79">
        <f t="shared" si="1433"/>
        <v>0</v>
      </c>
      <c r="N1867">
        <f t="shared" si="1458"/>
        <v>1</v>
      </c>
      <c r="O1867" t="str">
        <f>IFERROR(_xlfn.XLOOKUP(A1867,HC!A:A,HC!C:C),"")</f>
        <v>Workforce</v>
      </c>
      <c r="R1867" s="78" t="b">
        <f t="shared" si="1434"/>
        <v>0</v>
      </c>
      <c r="S1867" s="78" t="b">
        <f t="shared" si="1435"/>
        <v>0</v>
      </c>
      <c r="T1867" s="78" t="b">
        <f t="shared" si="1436"/>
        <v>0</v>
      </c>
      <c r="U1867" s="78" t="b">
        <f t="shared" si="1437"/>
        <v>0</v>
      </c>
      <c r="V1867" s="78" t="b">
        <f t="shared" si="1438"/>
        <v>0</v>
      </c>
      <c r="W1867" s="78" t="b">
        <f t="shared" si="1439"/>
        <v>0</v>
      </c>
      <c r="X1867" s="78" t="b">
        <f t="shared" si="1440"/>
        <v>0</v>
      </c>
      <c r="Y1867" s="78" t="b">
        <f t="shared" si="1441"/>
        <v>0</v>
      </c>
      <c r="Z1867" s="78" t="b">
        <f t="shared" si="1442"/>
        <v>0</v>
      </c>
      <c r="AA1867" s="78" t="b">
        <f t="shared" si="1443"/>
        <v>0</v>
      </c>
      <c r="AB1867" s="78" t="b">
        <f t="shared" si="1444"/>
        <v>0</v>
      </c>
      <c r="AC1867" s="78" t="b">
        <f t="shared" si="1445"/>
        <v>0</v>
      </c>
      <c r="AD1867" s="78" t="b">
        <f t="shared" si="1446"/>
        <v>0</v>
      </c>
      <c r="AE1867" s="78" t="b">
        <f t="shared" si="1447"/>
        <v>0</v>
      </c>
      <c r="AF1867" s="78" t="b">
        <f t="shared" si="1448"/>
        <v>0</v>
      </c>
      <c r="AG1867" s="78" t="b">
        <f t="shared" si="1449"/>
        <v>0</v>
      </c>
      <c r="AH1867" s="78" t="b">
        <f t="shared" si="1450"/>
        <v>0</v>
      </c>
      <c r="AI1867" s="78" t="b">
        <f t="shared" si="1451"/>
        <v>0</v>
      </c>
      <c r="AJ1867" s="78" t="b">
        <f t="shared" si="1452"/>
        <v>0</v>
      </c>
      <c r="AK1867" s="78" t="b">
        <f t="shared" si="1453"/>
        <v>0</v>
      </c>
      <c r="AL1867" s="78" t="b">
        <f t="shared" si="1454"/>
        <v>0</v>
      </c>
      <c r="AM1867" s="78" t="b">
        <f t="shared" si="1455"/>
        <v>0</v>
      </c>
      <c r="AN1867" s="78" t="b">
        <f t="shared" si="1456"/>
        <v>0</v>
      </c>
      <c r="AO1867" s="78" t="b">
        <f t="shared" si="1457"/>
        <v>0</v>
      </c>
    </row>
    <row r="1868" spans="7:41" x14ac:dyDescent="0.35">
      <c r="G1868" s="77">
        <f t="shared" si="1427"/>
        <v>0</v>
      </c>
      <c r="H1868" s="78">
        <f t="shared" si="1428"/>
        <v>0</v>
      </c>
      <c r="I1868" s="77">
        <f t="shared" si="1429"/>
        <v>0</v>
      </c>
      <c r="J1868" s="78">
        <f t="shared" si="1430"/>
        <v>0</v>
      </c>
      <c r="K1868" s="78" t="str">
        <f t="shared" si="1431"/>
        <v>1900-01-00 00:0:00</v>
      </c>
      <c r="L1868" s="78" t="str">
        <f t="shared" si="1432"/>
        <v>1900-01-00 00:0:00</v>
      </c>
      <c r="M1868" s="79">
        <f t="shared" si="1433"/>
        <v>0</v>
      </c>
      <c r="N1868">
        <f t="shared" si="1458"/>
        <v>1</v>
      </c>
      <c r="O1868" t="str">
        <f>IFERROR(_xlfn.XLOOKUP(A1868,HC!A:A,HC!C:C),"")</f>
        <v>Workforce</v>
      </c>
      <c r="R1868" s="78" t="b">
        <f t="shared" si="1434"/>
        <v>0</v>
      </c>
      <c r="S1868" s="78" t="b">
        <f t="shared" si="1435"/>
        <v>0</v>
      </c>
      <c r="T1868" s="78" t="b">
        <f t="shared" si="1436"/>
        <v>0</v>
      </c>
      <c r="U1868" s="78" t="b">
        <f t="shared" si="1437"/>
        <v>0</v>
      </c>
      <c r="V1868" s="78" t="b">
        <f t="shared" si="1438"/>
        <v>0</v>
      </c>
      <c r="W1868" s="78" t="b">
        <f t="shared" si="1439"/>
        <v>0</v>
      </c>
      <c r="X1868" s="78" t="b">
        <f t="shared" si="1440"/>
        <v>0</v>
      </c>
      <c r="Y1868" s="78" t="b">
        <f t="shared" si="1441"/>
        <v>0</v>
      </c>
      <c r="Z1868" s="78" t="b">
        <f t="shared" si="1442"/>
        <v>0</v>
      </c>
      <c r="AA1868" s="78" t="b">
        <f t="shared" si="1443"/>
        <v>0</v>
      </c>
      <c r="AB1868" s="78" t="b">
        <f t="shared" si="1444"/>
        <v>0</v>
      </c>
      <c r="AC1868" s="78" t="b">
        <f t="shared" si="1445"/>
        <v>0</v>
      </c>
      <c r="AD1868" s="78" t="b">
        <f t="shared" si="1446"/>
        <v>0</v>
      </c>
      <c r="AE1868" s="78" t="b">
        <f t="shared" si="1447"/>
        <v>0</v>
      </c>
      <c r="AF1868" s="78" t="b">
        <f t="shared" si="1448"/>
        <v>0</v>
      </c>
      <c r="AG1868" s="78" t="b">
        <f t="shared" si="1449"/>
        <v>0</v>
      </c>
      <c r="AH1868" s="78" t="b">
        <f t="shared" si="1450"/>
        <v>0</v>
      </c>
      <c r="AI1868" s="78" t="b">
        <f t="shared" si="1451"/>
        <v>0</v>
      </c>
      <c r="AJ1868" s="78" t="b">
        <f t="shared" si="1452"/>
        <v>0</v>
      </c>
      <c r="AK1868" s="78" t="b">
        <f t="shared" si="1453"/>
        <v>0</v>
      </c>
      <c r="AL1868" s="78" t="b">
        <f t="shared" si="1454"/>
        <v>0</v>
      </c>
      <c r="AM1868" s="78" t="b">
        <f t="shared" si="1455"/>
        <v>0</v>
      </c>
      <c r="AN1868" s="78" t="b">
        <f t="shared" si="1456"/>
        <v>0</v>
      </c>
      <c r="AO1868" s="78" t="b">
        <f t="shared" si="1457"/>
        <v>0</v>
      </c>
    </row>
    <row r="1869" spans="7:41" x14ac:dyDescent="0.35">
      <c r="G1869" s="77">
        <f t="shared" si="1427"/>
        <v>0</v>
      </c>
      <c r="H1869" s="78">
        <f t="shared" si="1428"/>
        <v>0</v>
      </c>
      <c r="I1869" s="77">
        <f t="shared" si="1429"/>
        <v>0</v>
      </c>
      <c r="J1869" s="78">
        <f t="shared" si="1430"/>
        <v>0</v>
      </c>
      <c r="K1869" s="78" t="str">
        <f t="shared" si="1431"/>
        <v>1900-01-00 00:0:00</v>
      </c>
      <c r="L1869" s="78" t="str">
        <f t="shared" si="1432"/>
        <v>1900-01-00 00:0:00</v>
      </c>
      <c r="M1869" s="79">
        <f t="shared" si="1433"/>
        <v>0</v>
      </c>
      <c r="N1869">
        <f t="shared" si="1458"/>
        <v>1</v>
      </c>
      <c r="O1869" t="str">
        <f>IFERROR(_xlfn.XLOOKUP(A1869,HC!A:A,HC!C:C),"")</f>
        <v>Workforce</v>
      </c>
      <c r="R1869" s="78" t="b">
        <f t="shared" si="1434"/>
        <v>0</v>
      </c>
      <c r="S1869" s="78" t="b">
        <f t="shared" si="1435"/>
        <v>0</v>
      </c>
      <c r="T1869" s="78" t="b">
        <f t="shared" si="1436"/>
        <v>0</v>
      </c>
      <c r="U1869" s="78" t="b">
        <f t="shared" si="1437"/>
        <v>0</v>
      </c>
      <c r="V1869" s="78" t="b">
        <f t="shared" si="1438"/>
        <v>0</v>
      </c>
      <c r="W1869" s="78" t="b">
        <f t="shared" si="1439"/>
        <v>0</v>
      </c>
      <c r="X1869" s="78" t="b">
        <f t="shared" si="1440"/>
        <v>0</v>
      </c>
      <c r="Y1869" s="78" t="b">
        <f t="shared" si="1441"/>
        <v>0</v>
      </c>
      <c r="Z1869" s="78" t="b">
        <f t="shared" si="1442"/>
        <v>0</v>
      </c>
      <c r="AA1869" s="78" t="b">
        <f t="shared" si="1443"/>
        <v>0</v>
      </c>
      <c r="AB1869" s="78" t="b">
        <f t="shared" si="1444"/>
        <v>0</v>
      </c>
      <c r="AC1869" s="78" t="b">
        <f t="shared" si="1445"/>
        <v>0</v>
      </c>
      <c r="AD1869" s="78" t="b">
        <f t="shared" si="1446"/>
        <v>0</v>
      </c>
      <c r="AE1869" s="78" t="b">
        <f t="shared" si="1447"/>
        <v>0</v>
      </c>
      <c r="AF1869" s="78" t="b">
        <f t="shared" si="1448"/>
        <v>0</v>
      </c>
      <c r="AG1869" s="78" t="b">
        <f t="shared" si="1449"/>
        <v>0</v>
      </c>
      <c r="AH1869" s="78" t="b">
        <f t="shared" si="1450"/>
        <v>0</v>
      </c>
      <c r="AI1869" s="78" t="b">
        <f t="shared" si="1451"/>
        <v>0</v>
      </c>
      <c r="AJ1869" s="78" t="b">
        <f t="shared" si="1452"/>
        <v>0</v>
      </c>
      <c r="AK1869" s="78" t="b">
        <f t="shared" si="1453"/>
        <v>0</v>
      </c>
      <c r="AL1869" s="78" t="b">
        <f t="shared" si="1454"/>
        <v>0</v>
      </c>
      <c r="AM1869" s="78" t="b">
        <f t="shared" si="1455"/>
        <v>0</v>
      </c>
      <c r="AN1869" s="78" t="b">
        <f t="shared" si="1456"/>
        <v>0</v>
      </c>
      <c r="AO1869" s="78" t="b">
        <f t="shared" si="1457"/>
        <v>0</v>
      </c>
    </row>
    <row r="1870" spans="7:41" x14ac:dyDescent="0.35">
      <c r="G1870" s="77">
        <f t="shared" si="1427"/>
        <v>0</v>
      </c>
      <c r="H1870" s="78">
        <f t="shared" si="1428"/>
        <v>0</v>
      </c>
      <c r="I1870" s="77">
        <f t="shared" si="1429"/>
        <v>0</v>
      </c>
      <c r="J1870" s="78">
        <f t="shared" si="1430"/>
        <v>0</v>
      </c>
      <c r="K1870" s="78" t="str">
        <f t="shared" si="1431"/>
        <v>1900-01-00 00:0:00</v>
      </c>
      <c r="L1870" s="78" t="str">
        <f t="shared" si="1432"/>
        <v>1900-01-00 00:0:00</v>
      </c>
      <c r="M1870" s="79">
        <f t="shared" si="1433"/>
        <v>0</v>
      </c>
      <c r="N1870">
        <f t="shared" si="1458"/>
        <v>1</v>
      </c>
      <c r="O1870" t="str">
        <f>IFERROR(_xlfn.XLOOKUP(A1870,HC!A:A,HC!C:C),"")</f>
        <v>Workforce</v>
      </c>
      <c r="R1870" s="78" t="b">
        <f t="shared" si="1434"/>
        <v>0</v>
      </c>
      <c r="S1870" s="78" t="b">
        <f t="shared" si="1435"/>
        <v>0</v>
      </c>
      <c r="T1870" s="78" t="b">
        <f t="shared" si="1436"/>
        <v>0</v>
      </c>
      <c r="U1870" s="78" t="b">
        <f t="shared" si="1437"/>
        <v>0</v>
      </c>
      <c r="V1870" s="78" t="b">
        <f t="shared" si="1438"/>
        <v>0</v>
      </c>
      <c r="W1870" s="78" t="b">
        <f t="shared" si="1439"/>
        <v>0</v>
      </c>
      <c r="X1870" s="78" t="b">
        <f t="shared" si="1440"/>
        <v>0</v>
      </c>
      <c r="Y1870" s="78" t="b">
        <f t="shared" si="1441"/>
        <v>0</v>
      </c>
      <c r="Z1870" s="78" t="b">
        <f t="shared" si="1442"/>
        <v>0</v>
      </c>
      <c r="AA1870" s="78" t="b">
        <f t="shared" si="1443"/>
        <v>0</v>
      </c>
      <c r="AB1870" s="78" t="b">
        <f t="shared" si="1444"/>
        <v>0</v>
      </c>
      <c r="AC1870" s="78" t="b">
        <f t="shared" si="1445"/>
        <v>0</v>
      </c>
      <c r="AD1870" s="78" t="b">
        <f t="shared" si="1446"/>
        <v>0</v>
      </c>
      <c r="AE1870" s="78" t="b">
        <f t="shared" si="1447"/>
        <v>0</v>
      </c>
      <c r="AF1870" s="78" t="b">
        <f t="shared" si="1448"/>
        <v>0</v>
      </c>
      <c r="AG1870" s="78" t="b">
        <f t="shared" si="1449"/>
        <v>0</v>
      </c>
      <c r="AH1870" s="78" t="b">
        <f t="shared" si="1450"/>
        <v>0</v>
      </c>
      <c r="AI1870" s="78" t="b">
        <f t="shared" si="1451"/>
        <v>0</v>
      </c>
      <c r="AJ1870" s="78" t="b">
        <f t="shared" si="1452"/>
        <v>0</v>
      </c>
      <c r="AK1870" s="78" t="b">
        <f t="shared" si="1453"/>
        <v>0</v>
      </c>
      <c r="AL1870" s="78" t="b">
        <f t="shared" si="1454"/>
        <v>0</v>
      </c>
      <c r="AM1870" s="78" t="b">
        <f t="shared" si="1455"/>
        <v>0</v>
      </c>
      <c r="AN1870" s="78" t="b">
        <f t="shared" si="1456"/>
        <v>0</v>
      </c>
      <c r="AO1870" s="78" t="b">
        <f t="shared" si="1457"/>
        <v>0</v>
      </c>
    </row>
    <row r="1871" spans="7:41" x14ac:dyDescent="0.35">
      <c r="G1871" s="77">
        <f t="shared" si="1427"/>
        <v>0</v>
      </c>
      <c r="H1871" s="78">
        <f t="shared" si="1428"/>
        <v>0</v>
      </c>
      <c r="I1871" s="77">
        <f t="shared" si="1429"/>
        <v>0</v>
      </c>
      <c r="J1871" s="78">
        <f t="shared" si="1430"/>
        <v>0</v>
      </c>
      <c r="K1871" s="78" t="str">
        <f t="shared" si="1431"/>
        <v>1900-01-00 00:0:00</v>
      </c>
      <c r="L1871" s="78" t="str">
        <f t="shared" si="1432"/>
        <v>1900-01-00 00:0:00</v>
      </c>
      <c r="M1871" s="79">
        <f t="shared" si="1433"/>
        <v>0</v>
      </c>
      <c r="N1871">
        <f t="shared" si="1458"/>
        <v>1</v>
      </c>
      <c r="O1871" t="str">
        <f>IFERROR(_xlfn.XLOOKUP(A1871,HC!A:A,HC!C:C),"")</f>
        <v>Workforce</v>
      </c>
      <c r="R1871" s="78" t="b">
        <f t="shared" si="1434"/>
        <v>0</v>
      </c>
      <c r="S1871" s="78" t="b">
        <f t="shared" si="1435"/>
        <v>0</v>
      </c>
      <c r="T1871" s="78" t="b">
        <f t="shared" si="1436"/>
        <v>0</v>
      </c>
      <c r="U1871" s="78" t="b">
        <f t="shared" si="1437"/>
        <v>0</v>
      </c>
      <c r="V1871" s="78" t="b">
        <f t="shared" si="1438"/>
        <v>0</v>
      </c>
      <c r="W1871" s="78" t="b">
        <f t="shared" si="1439"/>
        <v>0</v>
      </c>
      <c r="X1871" s="78" t="b">
        <f t="shared" si="1440"/>
        <v>0</v>
      </c>
      <c r="Y1871" s="78" t="b">
        <f t="shared" si="1441"/>
        <v>0</v>
      </c>
      <c r="Z1871" s="78" t="b">
        <f t="shared" si="1442"/>
        <v>0</v>
      </c>
      <c r="AA1871" s="78" t="b">
        <f t="shared" si="1443"/>
        <v>0</v>
      </c>
      <c r="AB1871" s="78" t="b">
        <f t="shared" si="1444"/>
        <v>0</v>
      </c>
      <c r="AC1871" s="78" t="b">
        <f t="shared" si="1445"/>
        <v>0</v>
      </c>
      <c r="AD1871" s="78" t="b">
        <f t="shared" si="1446"/>
        <v>0</v>
      </c>
      <c r="AE1871" s="78" t="b">
        <f t="shared" si="1447"/>
        <v>0</v>
      </c>
      <c r="AF1871" s="78" t="b">
        <f t="shared" si="1448"/>
        <v>0</v>
      </c>
      <c r="AG1871" s="78" t="b">
        <f t="shared" si="1449"/>
        <v>0</v>
      </c>
      <c r="AH1871" s="78" t="b">
        <f t="shared" si="1450"/>
        <v>0</v>
      </c>
      <c r="AI1871" s="78" t="b">
        <f t="shared" si="1451"/>
        <v>0</v>
      </c>
      <c r="AJ1871" s="78" t="b">
        <f t="shared" si="1452"/>
        <v>0</v>
      </c>
      <c r="AK1871" s="78" t="b">
        <f t="shared" si="1453"/>
        <v>0</v>
      </c>
      <c r="AL1871" s="78" t="b">
        <f t="shared" si="1454"/>
        <v>0</v>
      </c>
      <c r="AM1871" s="78" t="b">
        <f t="shared" si="1455"/>
        <v>0</v>
      </c>
      <c r="AN1871" s="78" t="b">
        <f t="shared" si="1456"/>
        <v>0</v>
      </c>
      <c r="AO1871" s="78" t="b">
        <f t="shared" si="1457"/>
        <v>0</v>
      </c>
    </row>
    <row r="1872" spans="7:41" x14ac:dyDescent="0.35">
      <c r="G1872" s="77">
        <f t="shared" si="1427"/>
        <v>0</v>
      </c>
      <c r="H1872" s="78">
        <f t="shared" si="1428"/>
        <v>0</v>
      </c>
      <c r="I1872" s="77">
        <f t="shared" si="1429"/>
        <v>0</v>
      </c>
      <c r="J1872" s="78">
        <f t="shared" si="1430"/>
        <v>0</v>
      </c>
      <c r="K1872" s="78" t="str">
        <f t="shared" si="1431"/>
        <v>1900-01-00 00:0:00</v>
      </c>
      <c r="L1872" s="78" t="str">
        <f t="shared" si="1432"/>
        <v>1900-01-00 00:0:00</v>
      </c>
      <c r="M1872" s="79">
        <f t="shared" si="1433"/>
        <v>0</v>
      </c>
      <c r="N1872">
        <f t="shared" si="1458"/>
        <v>1</v>
      </c>
      <c r="O1872" t="str">
        <f>IFERROR(_xlfn.XLOOKUP(A1872,HC!A:A,HC!C:C),"")</f>
        <v>Workforce</v>
      </c>
      <c r="R1872" s="78" t="b">
        <f t="shared" si="1434"/>
        <v>0</v>
      </c>
      <c r="S1872" s="78" t="b">
        <f t="shared" si="1435"/>
        <v>0</v>
      </c>
      <c r="T1872" s="78" t="b">
        <f t="shared" si="1436"/>
        <v>0</v>
      </c>
      <c r="U1872" s="78" t="b">
        <f t="shared" si="1437"/>
        <v>0</v>
      </c>
      <c r="V1872" s="78" t="b">
        <f t="shared" si="1438"/>
        <v>0</v>
      </c>
      <c r="W1872" s="78" t="b">
        <f t="shared" si="1439"/>
        <v>0</v>
      </c>
      <c r="X1872" s="78" t="b">
        <f t="shared" si="1440"/>
        <v>0</v>
      </c>
      <c r="Y1872" s="78" t="b">
        <f t="shared" si="1441"/>
        <v>0</v>
      </c>
      <c r="Z1872" s="78" t="b">
        <f t="shared" si="1442"/>
        <v>0</v>
      </c>
      <c r="AA1872" s="78" t="b">
        <f t="shared" si="1443"/>
        <v>0</v>
      </c>
      <c r="AB1872" s="78" t="b">
        <f t="shared" si="1444"/>
        <v>0</v>
      </c>
      <c r="AC1872" s="78" t="b">
        <f t="shared" si="1445"/>
        <v>0</v>
      </c>
      <c r="AD1872" s="78" t="b">
        <f t="shared" si="1446"/>
        <v>0</v>
      </c>
      <c r="AE1872" s="78" t="b">
        <f t="shared" si="1447"/>
        <v>0</v>
      </c>
      <c r="AF1872" s="78" t="b">
        <f t="shared" si="1448"/>
        <v>0</v>
      </c>
      <c r="AG1872" s="78" t="b">
        <f t="shared" si="1449"/>
        <v>0</v>
      </c>
      <c r="AH1872" s="78" t="b">
        <f t="shared" si="1450"/>
        <v>0</v>
      </c>
      <c r="AI1872" s="78" t="b">
        <f t="shared" si="1451"/>
        <v>0</v>
      </c>
      <c r="AJ1872" s="78" t="b">
        <f t="shared" si="1452"/>
        <v>0</v>
      </c>
      <c r="AK1872" s="78" t="b">
        <f t="shared" si="1453"/>
        <v>0</v>
      </c>
      <c r="AL1872" s="78" t="b">
        <f t="shared" si="1454"/>
        <v>0</v>
      </c>
      <c r="AM1872" s="78" t="b">
        <f t="shared" si="1455"/>
        <v>0</v>
      </c>
      <c r="AN1872" s="78" t="b">
        <f t="shared" si="1456"/>
        <v>0</v>
      </c>
      <c r="AO1872" s="78" t="b">
        <f t="shared" si="1457"/>
        <v>0</v>
      </c>
    </row>
    <row r="1873" spans="7:41" x14ac:dyDescent="0.35">
      <c r="G1873" s="77">
        <f t="shared" si="1427"/>
        <v>0</v>
      </c>
      <c r="H1873" s="78">
        <f t="shared" si="1428"/>
        <v>0</v>
      </c>
      <c r="I1873" s="77">
        <f t="shared" si="1429"/>
        <v>0</v>
      </c>
      <c r="J1873" s="78">
        <f t="shared" si="1430"/>
        <v>0</v>
      </c>
      <c r="K1873" s="78" t="str">
        <f t="shared" si="1431"/>
        <v>1900-01-00 00:0:00</v>
      </c>
      <c r="L1873" s="78" t="str">
        <f t="shared" si="1432"/>
        <v>1900-01-00 00:0:00</v>
      </c>
      <c r="M1873" s="79">
        <f t="shared" si="1433"/>
        <v>0</v>
      </c>
      <c r="N1873">
        <f t="shared" si="1458"/>
        <v>1</v>
      </c>
      <c r="O1873" t="str">
        <f>IFERROR(_xlfn.XLOOKUP(A1873,HC!A:A,HC!C:C),"")</f>
        <v>Workforce</v>
      </c>
      <c r="R1873" s="78" t="b">
        <f t="shared" si="1434"/>
        <v>0</v>
      </c>
      <c r="S1873" s="78" t="b">
        <f t="shared" si="1435"/>
        <v>0</v>
      </c>
      <c r="T1873" s="78" t="b">
        <f t="shared" si="1436"/>
        <v>0</v>
      </c>
      <c r="U1873" s="78" t="b">
        <f t="shared" si="1437"/>
        <v>0</v>
      </c>
      <c r="V1873" s="78" t="b">
        <f t="shared" si="1438"/>
        <v>0</v>
      </c>
      <c r="W1873" s="78" t="b">
        <f t="shared" si="1439"/>
        <v>0</v>
      </c>
      <c r="X1873" s="78" t="b">
        <f t="shared" si="1440"/>
        <v>0</v>
      </c>
      <c r="Y1873" s="78" t="b">
        <f t="shared" si="1441"/>
        <v>0</v>
      </c>
      <c r="Z1873" s="78" t="b">
        <f t="shared" si="1442"/>
        <v>0</v>
      </c>
      <c r="AA1873" s="78" t="b">
        <f t="shared" si="1443"/>
        <v>0</v>
      </c>
      <c r="AB1873" s="78" t="b">
        <f t="shared" si="1444"/>
        <v>0</v>
      </c>
      <c r="AC1873" s="78" t="b">
        <f t="shared" si="1445"/>
        <v>0</v>
      </c>
      <c r="AD1873" s="78" t="b">
        <f t="shared" si="1446"/>
        <v>0</v>
      </c>
      <c r="AE1873" s="78" t="b">
        <f t="shared" si="1447"/>
        <v>0</v>
      </c>
      <c r="AF1873" s="78" t="b">
        <f t="shared" si="1448"/>
        <v>0</v>
      </c>
      <c r="AG1873" s="78" t="b">
        <f t="shared" si="1449"/>
        <v>0</v>
      </c>
      <c r="AH1873" s="78" t="b">
        <f t="shared" si="1450"/>
        <v>0</v>
      </c>
      <c r="AI1873" s="78" t="b">
        <f t="shared" si="1451"/>
        <v>0</v>
      </c>
      <c r="AJ1873" s="78" t="b">
        <f t="shared" si="1452"/>
        <v>0</v>
      </c>
      <c r="AK1873" s="78" t="b">
        <f t="shared" si="1453"/>
        <v>0</v>
      </c>
      <c r="AL1873" s="78" t="b">
        <f t="shared" si="1454"/>
        <v>0</v>
      </c>
      <c r="AM1873" s="78" t="b">
        <f t="shared" si="1455"/>
        <v>0</v>
      </c>
      <c r="AN1873" s="78" t="b">
        <f t="shared" si="1456"/>
        <v>0</v>
      </c>
      <c r="AO1873" s="78" t="b">
        <f t="shared" si="1457"/>
        <v>0</v>
      </c>
    </row>
    <row r="1874" spans="7:41" x14ac:dyDescent="0.35">
      <c r="G1874" s="77">
        <f t="shared" si="1427"/>
        <v>0</v>
      </c>
      <c r="H1874" s="78">
        <f t="shared" si="1428"/>
        <v>0</v>
      </c>
      <c r="I1874" s="77">
        <f t="shared" si="1429"/>
        <v>0</v>
      </c>
      <c r="J1874" s="78">
        <f t="shared" si="1430"/>
        <v>0</v>
      </c>
      <c r="K1874" s="78" t="str">
        <f t="shared" si="1431"/>
        <v>1900-01-00 00:0:00</v>
      </c>
      <c r="L1874" s="78" t="str">
        <f t="shared" si="1432"/>
        <v>1900-01-00 00:0:00</v>
      </c>
      <c r="M1874" s="79">
        <f t="shared" si="1433"/>
        <v>0</v>
      </c>
      <c r="N1874">
        <f t="shared" si="1458"/>
        <v>1</v>
      </c>
      <c r="O1874" t="str">
        <f>IFERROR(_xlfn.XLOOKUP(A1874,HC!A:A,HC!C:C),"")</f>
        <v>Workforce</v>
      </c>
      <c r="R1874" s="78" t="b">
        <f t="shared" si="1434"/>
        <v>0</v>
      </c>
      <c r="S1874" s="78" t="b">
        <f t="shared" si="1435"/>
        <v>0</v>
      </c>
      <c r="T1874" s="78" t="b">
        <f t="shared" si="1436"/>
        <v>0</v>
      </c>
      <c r="U1874" s="78" t="b">
        <f t="shared" si="1437"/>
        <v>0</v>
      </c>
      <c r="V1874" s="78" t="b">
        <f t="shared" si="1438"/>
        <v>0</v>
      </c>
      <c r="W1874" s="78" t="b">
        <f t="shared" si="1439"/>
        <v>0</v>
      </c>
      <c r="X1874" s="78" t="b">
        <f t="shared" si="1440"/>
        <v>0</v>
      </c>
      <c r="Y1874" s="78" t="b">
        <f t="shared" si="1441"/>
        <v>0</v>
      </c>
      <c r="Z1874" s="78" t="b">
        <f t="shared" si="1442"/>
        <v>0</v>
      </c>
      <c r="AA1874" s="78" t="b">
        <f t="shared" si="1443"/>
        <v>0</v>
      </c>
      <c r="AB1874" s="78" t="b">
        <f t="shared" si="1444"/>
        <v>0</v>
      </c>
      <c r="AC1874" s="78" t="b">
        <f t="shared" si="1445"/>
        <v>0</v>
      </c>
      <c r="AD1874" s="78" t="b">
        <f t="shared" si="1446"/>
        <v>0</v>
      </c>
      <c r="AE1874" s="78" t="b">
        <f t="shared" si="1447"/>
        <v>0</v>
      </c>
      <c r="AF1874" s="78" t="b">
        <f t="shared" si="1448"/>
        <v>0</v>
      </c>
      <c r="AG1874" s="78" t="b">
        <f t="shared" si="1449"/>
        <v>0</v>
      </c>
      <c r="AH1874" s="78" t="b">
        <f t="shared" si="1450"/>
        <v>0</v>
      </c>
      <c r="AI1874" s="78" t="b">
        <f t="shared" si="1451"/>
        <v>0</v>
      </c>
      <c r="AJ1874" s="78" t="b">
        <f t="shared" si="1452"/>
        <v>0</v>
      </c>
      <c r="AK1874" s="78" t="b">
        <f t="shared" si="1453"/>
        <v>0</v>
      </c>
      <c r="AL1874" s="78" t="b">
        <f t="shared" si="1454"/>
        <v>0</v>
      </c>
      <c r="AM1874" s="78" t="b">
        <f t="shared" si="1455"/>
        <v>0</v>
      </c>
      <c r="AN1874" s="78" t="b">
        <f t="shared" si="1456"/>
        <v>0</v>
      </c>
      <c r="AO1874" s="78" t="b">
        <f t="shared" si="1457"/>
        <v>0</v>
      </c>
    </row>
    <row r="1875" spans="7:41" x14ac:dyDescent="0.35">
      <c r="G1875" s="77">
        <f t="shared" si="1427"/>
        <v>0</v>
      </c>
      <c r="H1875" s="78">
        <f t="shared" si="1428"/>
        <v>0</v>
      </c>
      <c r="I1875" s="77">
        <f t="shared" si="1429"/>
        <v>0</v>
      </c>
      <c r="J1875" s="78">
        <f t="shared" si="1430"/>
        <v>0</v>
      </c>
      <c r="K1875" s="78" t="str">
        <f t="shared" si="1431"/>
        <v>1900-01-00 00:0:00</v>
      </c>
      <c r="L1875" s="78" t="str">
        <f t="shared" si="1432"/>
        <v>1900-01-00 00:0:00</v>
      </c>
      <c r="M1875" s="79">
        <f t="shared" si="1433"/>
        <v>0</v>
      </c>
      <c r="N1875">
        <f t="shared" si="1458"/>
        <v>1</v>
      </c>
      <c r="O1875" t="str">
        <f>IFERROR(_xlfn.XLOOKUP(A1875,HC!A:A,HC!C:C),"")</f>
        <v>Workforce</v>
      </c>
      <c r="R1875" s="78" t="b">
        <f t="shared" si="1434"/>
        <v>0</v>
      </c>
      <c r="S1875" s="78" t="b">
        <f t="shared" si="1435"/>
        <v>0</v>
      </c>
      <c r="T1875" s="78" t="b">
        <f t="shared" si="1436"/>
        <v>0</v>
      </c>
      <c r="U1875" s="78" t="b">
        <f t="shared" si="1437"/>
        <v>0</v>
      </c>
      <c r="V1875" s="78" t="b">
        <f t="shared" si="1438"/>
        <v>0</v>
      </c>
      <c r="W1875" s="78" t="b">
        <f t="shared" si="1439"/>
        <v>0</v>
      </c>
      <c r="X1875" s="78" t="b">
        <f t="shared" si="1440"/>
        <v>0</v>
      </c>
      <c r="Y1875" s="78" t="b">
        <f t="shared" si="1441"/>
        <v>0</v>
      </c>
      <c r="Z1875" s="78" t="b">
        <f t="shared" si="1442"/>
        <v>0</v>
      </c>
      <c r="AA1875" s="78" t="b">
        <f t="shared" si="1443"/>
        <v>0</v>
      </c>
      <c r="AB1875" s="78" t="b">
        <f t="shared" si="1444"/>
        <v>0</v>
      </c>
      <c r="AC1875" s="78" t="b">
        <f t="shared" si="1445"/>
        <v>0</v>
      </c>
      <c r="AD1875" s="78" t="b">
        <f t="shared" si="1446"/>
        <v>0</v>
      </c>
      <c r="AE1875" s="78" t="b">
        <f t="shared" si="1447"/>
        <v>0</v>
      </c>
      <c r="AF1875" s="78" t="b">
        <f t="shared" si="1448"/>
        <v>0</v>
      </c>
      <c r="AG1875" s="78" t="b">
        <f t="shared" si="1449"/>
        <v>0</v>
      </c>
      <c r="AH1875" s="78" t="b">
        <f t="shared" si="1450"/>
        <v>0</v>
      </c>
      <c r="AI1875" s="78" t="b">
        <f t="shared" si="1451"/>
        <v>0</v>
      </c>
      <c r="AJ1875" s="78" t="b">
        <f t="shared" si="1452"/>
        <v>0</v>
      </c>
      <c r="AK1875" s="78" t="b">
        <f t="shared" si="1453"/>
        <v>0</v>
      </c>
      <c r="AL1875" s="78" t="b">
        <f t="shared" si="1454"/>
        <v>0</v>
      </c>
      <c r="AM1875" s="78" t="b">
        <f t="shared" si="1455"/>
        <v>0</v>
      </c>
      <c r="AN1875" s="78" t="b">
        <f t="shared" si="1456"/>
        <v>0</v>
      </c>
      <c r="AO1875" s="78" t="b">
        <f t="shared" si="1457"/>
        <v>0</v>
      </c>
    </row>
    <row r="1876" spans="7:41" x14ac:dyDescent="0.35">
      <c r="G1876" s="77">
        <f t="shared" si="1427"/>
        <v>0</v>
      </c>
      <c r="H1876" s="78">
        <f t="shared" si="1428"/>
        <v>0</v>
      </c>
      <c r="I1876" s="77">
        <f t="shared" si="1429"/>
        <v>0</v>
      </c>
      <c r="J1876" s="78">
        <f t="shared" si="1430"/>
        <v>0</v>
      </c>
      <c r="K1876" s="78" t="str">
        <f t="shared" si="1431"/>
        <v>1900-01-00 00:0:00</v>
      </c>
      <c r="L1876" s="78" t="str">
        <f t="shared" si="1432"/>
        <v>1900-01-00 00:0:00</v>
      </c>
      <c r="M1876" s="79">
        <f t="shared" si="1433"/>
        <v>0</v>
      </c>
      <c r="N1876">
        <f t="shared" si="1458"/>
        <v>1</v>
      </c>
      <c r="O1876" t="str">
        <f>IFERROR(_xlfn.XLOOKUP(A1876,HC!A:A,HC!C:C),"")</f>
        <v>Workforce</v>
      </c>
      <c r="R1876" s="78" t="b">
        <f t="shared" si="1434"/>
        <v>0</v>
      </c>
      <c r="S1876" s="78" t="b">
        <f t="shared" si="1435"/>
        <v>0</v>
      </c>
      <c r="T1876" s="78" t="b">
        <f t="shared" si="1436"/>
        <v>0</v>
      </c>
      <c r="U1876" s="78" t="b">
        <f t="shared" si="1437"/>
        <v>0</v>
      </c>
      <c r="V1876" s="78" t="b">
        <f t="shared" si="1438"/>
        <v>0</v>
      </c>
      <c r="W1876" s="78" t="b">
        <f t="shared" si="1439"/>
        <v>0</v>
      </c>
      <c r="X1876" s="78" t="b">
        <f t="shared" si="1440"/>
        <v>0</v>
      </c>
      <c r="Y1876" s="78" t="b">
        <f t="shared" si="1441"/>
        <v>0</v>
      </c>
      <c r="Z1876" s="78" t="b">
        <f t="shared" si="1442"/>
        <v>0</v>
      </c>
      <c r="AA1876" s="78" t="b">
        <f t="shared" si="1443"/>
        <v>0</v>
      </c>
      <c r="AB1876" s="78" t="b">
        <f t="shared" si="1444"/>
        <v>0</v>
      </c>
      <c r="AC1876" s="78" t="b">
        <f t="shared" si="1445"/>
        <v>0</v>
      </c>
      <c r="AD1876" s="78" t="b">
        <f t="shared" si="1446"/>
        <v>0</v>
      </c>
      <c r="AE1876" s="78" t="b">
        <f t="shared" si="1447"/>
        <v>0</v>
      </c>
      <c r="AF1876" s="78" t="b">
        <f t="shared" si="1448"/>
        <v>0</v>
      </c>
      <c r="AG1876" s="78" t="b">
        <f t="shared" si="1449"/>
        <v>0</v>
      </c>
      <c r="AH1876" s="78" t="b">
        <f t="shared" si="1450"/>
        <v>0</v>
      </c>
      <c r="AI1876" s="78" t="b">
        <f t="shared" si="1451"/>
        <v>0</v>
      </c>
      <c r="AJ1876" s="78" t="b">
        <f t="shared" si="1452"/>
        <v>0</v>
      </c>
      <c r="AK1876" s="78" t="b">
        <f t="shared" si="1453"/>
        <v>0</v>
      </c>
      <c r="AL1876" s="78" t="b">
        <f t="shared" si="1454"/>
        <v>0</v>
      </c>
      <c r="AM1876" s="78" t="b">
        <f t="shared" si="1455"/>
        <v>0</v>
      </c>
      <c r="AN1876" s="78" t="b">
        <f t="shared" si="1456"/>
        <v>0</v>
      </c>
      <c r="AO1876" s="78" t="b">
        <f t="shared" si="1457"/>
        <v>0</v>
      </c>
    </row>
    <row r="1877" spans="7:41" x14ac:dyDescent="0.35">
      <c r="G1877" s="77">
        <f t="shared" si="1427"/>
        <v>0</v>
      </c>
      <c r="H1877" s="78">
        <f t="shared" si="1428"/>
        <v>0</v>
      </c>
      <c r="I1877" s="77">
        <f t="shared" si="1429"/>
        <v>0</v>
      </c>
      <c r="J1877" s="78">
        <f t="shared" si="1430"/>
        <v>0</v>
      </c>
      <c r="K1877" s="78" t="str">
        <f t="shared" si="1431"/>
        <v>1900-01-00 00:0:00</v>
      </c>
      <c r="L1877" s="78" t="str">
        <f t="shared" si="1432"/>
        <v>1900-01-00 00:0:00</v>
      </c>
      <c r="M1877" s="79">
        <f t="shared" si="1433"/>
        <v>0</v>
      </c>
      <c r="N1877">
        <f t="shared" si="1458"/>
        <v>1</v>
      </c>
      <c r="O1877" t="str">
        <f>IFERROR(_xlfn.XLOOKUP(A1877,HC!A:A,HC!C:C),"")</f>
        <v>Workforce</v>
      </c>
      <c r="R1877" s="78" t="b">
        <f t="shared" si="1434"/>
        <v>0</v>
      </c>
      <c r="S1877" s="78" t="b">
        <f t="shared" si="1435"/>
        <v>0</v>
      </c>
      <c r="T1877" s="78" t="b">
        <f t="shared" si="1436"/>
        <v>0</v>
      </c>
      <c r="U1877" s="78" t="b">
        <f t="shared" si="1437"/>
        <v>0</v>
      </c>
      <c r="V1877" s="78" t="b">
        <f t="shared" si="1438"/>
        <v>0</v>
      </c>
      <c r="W1877" s="78" t="b">
        <f t="shared" si="1439"/>
        <v>0</v>
      </c>
      <c r="X1877" s="78" t="b">
        <f t="shared" si="1440"/>
        <v>0</v>
      </c>
      <c r="Y1877" s="78" t="b">
        <f t="shared" si="1441"/>
        <v>0</v>
      </c>
      <c r="Z1877" s="78" t="b">
        <f t="shared" si="1442"/>
        <v>0</v>
      </c>
      <c r="AA1877" s="78" t="b">
        <f t="shared" si="1443"/>
        <v>0</v>
      </c>
      <c r="AB1877" s="78" t="b">
        <f t="shared" si="1444"/>
        <v>0</v>
      </c>
      <c r="AC1877" s="78" t="b">
        <f t="shared" si="1445"/>
        <v>0</v>
      </c>
      <c r="AD1877" s="78" t="b">
        <f t="shared" si="1446"/>
        <v>0</v>
      </c>
      <c r="AE1877" s="78" t="b">
        <f t="shared" si="1447"/>
        <v>0</v>
      </c>
      <c r="AF1877" s="78" t="b">
        <f t="shared" si="1448"/>
        <v>0</v>
      </c>
      <c r="AG1877" s="78" t="b">
        <f t="shared" si="1449"/>
        <v>0</v>
      </c>
      <c r="AH1877" s="78" t="b">
        <f t="shared" si="1450"/>
        <v>0</v>
      </c>
      <c r="AI1877" s="78" t="b">
        <f t="shared" si="1451"/>
        <v>0</v>
      </c>
      <c r="AJ1877" s="78" t="b">
        <f t="shared" si="1452"/>
        <v>0</v>
      </c>
      <c r="AK1877" s="78" t="b">
        <f t="shared" si="1453"/>
        <v>0</v>
      </c>
      <c r="AL1877" s="78" t="b">
        <f t="shared" si="1454"/>
        <v>0</v>
      </c>
      <c r="AM1877" s="78" t="b">
        <f t="shared" si="1455"/>
        <v>0</v>
      </c>
      <c r="AN1877" s="78" t="b">
        <f t="shared" si="1456"/>
        <v>0</v>
      </c>
      <c r="AO1877" s="78" t="b">
        <f t="shared" si="1457"/>
        <v>0</v>
      </c>
    </row>
    <row r="1878" spans="7:41" x14ac:dyDescent="0.35">
      <c r="G1878" s="77">
        <f t="shared" si="1427"/>
        <v>0</v>
      </c>
      <c r="H1878" s="78">
        <f t="shared" si="1428"/>
        <v>0</v>
      </c>
      <c r="I1878" s="77">
        <f t="shared" si="1429"/>
        <v>0</v>
      </c>
      <c r="J1878" s="78">
        <f t="shared" si="1430"/>
        <v>0</v>
      </c>
      <c r="K1878" s="78" t="str">
        <f t="shared" si="1431"/>
        <v>1900-01-00 00:0:00</v>
      </c>
      <c r="L1878" s="78" t="str">
        <f t="shared" si="1432"/>
        <v>1900-01-00 00:0:00</v>
      </c>
      <c r="M1878" s="79">
        <f t="shared" si="1433"/>
        <v>0</v>
      </c>
      <c r="N1878">
        <f t="shared" si="1458"/>
        <v>1</v>
      </c>
      <c r="O1878" t="str">
        <f>IFERROR(_xlfn.XLOOKUP(A1878,HC!A:A,HC!C:C),"")</f>
        <v>Workforce</v>
      </c>
      <c r="R1878" s="78" t="b">
        <f t="shared" si="1434"/>
        <v>0</v>
      </c>
      <c r="S1878" s="78" t="b">
        <f t="shared" si="1435"/>
        <v>0</v>
      </c>
      <c r="T1878" s="78" t="b">
        <f t="shared" si="1436"/>
        <v>0</v>
      </c>
      <c r="U1878" s="78" t="b">
        <f t="shared" si="1437"/>
        <v>0</v>
      </c>
      <c r="V1878" s="78" t="b">
        <f t="shared" si="1438"/>
        <v>0</v>
      </c>
      <c r="W1878" s="78" t="b">
        <f t="shared" si="1439"/>
        <v>0</v>
      </c>
      <c r="X1878" s="78" t="b">
        <f t="shared" si="1440"/>
        <v>0</v>
      </c>
      <c r="Y1878" s="78" t="b">
        <f t="shared" si="1441"/>
        <v>0</v>
      </c>
      <c r="Z1878" s="78" t="b">
        <f t="shared" si="1442"/>
        <v>0</v>
      </c>
      <c r="AA1878" s="78" t="b">
        <f t="shared" si="1443"/>
        <v>0</v>
      </c>
      <c r="AB1878" s="78" t="b">
        <f t="shared" si="1444"/>
        <v>0</v>
      </c>
      <c r="AC1878" s="78" t="b">
        <f t="shared" si="1445"/>
        <v>0</v>
      </c>
      <c r="AD1878" s="78" t="b">
        <f t="shared" si="1446"/>
        <v>0</v>
      </c>
      <c r="AE1878" s="78" t="b">
        <f t="shared" si="1447"/>
        <v>0</v>
      </c>
      <c r="AF1878" s="78" t="b">
        <f t="shared" si="1448"/>
        <v>0</v>
      </c>
      <c r="AG1878" s="78" t="b">
        <f t="shared" si="1449"/>
        <v>0</v>
      </c>
      <c r="AH1878" s="78" t="b">
        <f t="shared" si="1450"/>
        <v>0</v>
      </c>
      <c r="AI1878" s="78" t="b">
        <f t="shared" si="1451"/>
        <v>0</v>
      </c>
      <c r="AJ1878" s="78" t="b">
        <f t="shared" si="1452"/>
        <v>0</v>
      </c>
      <c r="AK1878" s="78" t="b">
        <f t="shared" si="1453"/>
        <v>0</v>
      </c>
      <c r="AL1878" s="78" t="b">
        <f t="shared" si="1454"/>
        <v>0</v>
      </c>
      <c r="AM1878" s="78" t="b">
        <f t="shared" si="1455"/>
        <v>0</v>
      </c>
      <c r="AN1878" s="78" t="b">
        <f t="shared" si="1456"/>
        <v>0</v>
      </c>
      <c r="AO1878" s="78" t="b">
        <f t="shared" si="1457"/>
        <v>0</v>
      </c>
    </row>
    <row r="1879" spans="7:41" x14ac:dyDescent="0.35">
      <c r="G1879" s="77">
        <f t="shared" si="1427"/>
        <v>0</v>
      </c>
      <c r="H1879" s="78">
        <f t="shared" si="1428"/>
        <v>0</v>
      </c>
      <c r="I1879" s="77">
        <f t="shared" si="1429"/>
        <v>0</v>
      </c>
      <c r="J1879" s="78">
        <f t="shared" si="1430"/>
        <v>0</v>
      </c>
      <c r="K1879" s="78" t="str">
        <f t="shared" si="1431"/>
        <v>1900-01-00 00:0:00</v>
      </c>
      <c r="L1879" s="78" t="str">
        <f t="shared" si="1432"/>
        <v>1900-01-00 00:0:00</v>
      </c>
      <c r="M1879" s="79">
        <f t="shared" si="1433"/>
        <v>0</v>
      </c>
      <c r="N1879">
        <f t="shared" si="1458"/>
        <v>1</v>
      </c>
      <c r="O1879" t="str">
        <f>IFERROR(_xlfn.XLOOKUP(A1879,HC!A:A,HC!C:C),"")</f>
        <v>Workforce</v>
      </c>
      <c r="R1879" s="78" t="b">
        <f t="shared" si="1434"/>
        <v>0</v>
      </c>
      <c r="S1879" s="78" t="b">
        <f t="shared" si="1435"/>
        <v>0</v>
      </c>
      <c r="T1879" s="78" t="b">
        <f t="shared" si="1436"/>
        <v>0</v>
      </c>
      <c r="U1879" s="78" t="b">
        <f t="shared" si="1437"/>
        <v>0</v>
      </c>
      <c r="V1879" s="78" t="b">
        <f t="shared" si="1438"/>
        <v>0</v>
      </c>
      <c r="W1879" s="78" t="b">
        <f t="shared" si="1439"/>
        <v>0</v>
      </c>
      <c r="X1879" s="78" t="b">
        <f t="shared" si="1440"/>
        <v>0</v>
      </c>
      <c r="Y1879" s="78" t="b">
        <f t="shared" si="1441"/>
        <v>0</v>
      </c>
      <c r="Z1879" s="78" t="b">
        <f t="shared" si="1442"/>
        <v>0</v>
      </c>
      <c r="AA1879" s="78" t="b">
        <f t="shared" si="1443"/>
        <v>0</v>
      </c>
      <c r="AB1879" s="78" t="b">
        <f t="shared" si="1444"/>
        <v>0</v>
      </c>
      <c r="AC1879" s="78" t="b">
        <f t="shared" si="1445"/>
        <v>0</v>
      </c>
      <c r="AD1879" s="78" t="b">
        <f t="shared" si="1446"/>
        <v>0</v>
      </c>
      <c r="AE1879" s="78" t="b">
        <f t="shared" si="1447"/>
        <v>0</v>
      </c>
      <c r="AF1879" s="78" t="b">
        <f t="shared" si="1448"/>
        <v>0</v>
      </c>
      <c r="AG1879" s="78" t="b">
        <f t="shared" si="1449"/>
        <v>0</v>
      </c>
      <c r="AH1879" s="78" t="b">
        <f t="shared" si="1450"/>
        <v>0</v>
      </c>
      <c r="AI1879" s="78" t="b">
        <f t="shared" si="1451"/>
        <v>0</v>
      </c>
      <c r="AJ1879" s="78" t="b">
        <f t="shared" si="1452"/>
        <v>0</v>
      </c>
      <c r="AK1879" s="78" t="b">
        <f t="shared" si="1453"/>
        <v>0</v>
      </c>
      <c r="AL1879" s="78" t="b">
        <f t="shared" si="1454"/>
        <v>0</v>
      </c>
      <c r="AM1879" s="78" t="b">
        <f t="shared" si="1455"/>
        <v>0</v>
      </c>
      <c r="AN1879" s="78" t="b">
        <f t="shared" si="1456"/>
        <v>0</v>
      </c>
      <c r="AO1879" s="78" t="b">
        <f t="shared" si="1457"/>
        <v>0</v>
      </c>
    </row>
    <row r="1880" spans="7:41" x14ac:dyDescent="0.35">
      <c r="G1880" s="77">
        <f t="shared" si="1427"/>
        <v>0</v>
      </c>
      <c r="H1880" s="78">
        <f t="shared" si="1428"/>
        <v>0</v>
      </c>
      <c r="I1880" s="77">
        <f t="shared" si="1429"/>
        <v>0</v>
      </c>
      <c r="J1880" s="78">
        <f t="shared" si="1430"/>
        <v>0</v>
      </c>
      <c r="K1880" s="78" t="str">
        <f t="shared" si="1431"/>
        <v>1900-01-00 00:0:00</v>
      </c>
      <c r="L1880" s="78" t="str">
        <f t="shared" si="1432"/>
        <v>1900-01-00 00:0:00</v>
      </c>
      <c r="M1880" s="79">
        <f t="shared" si="1433"/>
        <v>0</v>
      </c>
      <c r="N1880">
        <f t="shared" si="1458"/>
        <v>1</v>
      </c>
      <c r="O1880" t="str">
        <f>IFERROR(_xlfn.XLOOKUP(A1880,HC!A:A,HC!C:C),"")</f>
        <v>Workforce</v>
      </c>
      <c r="R1880" s="78" t="b">
        <f t="shared" si="1434"/>
        <v>0</v>
      </c>
      <c r="S1880" s="78" t="b">
        <f t="shared" si="1435"/>
        <v>0</v>
      </c>
      <c r="T1880" s="78" t="b">
        <f t="shared" si="1436"/>
        <v>0</v>
      </c>
      <c r="U1880" s="78" t="b">
        <f t="shared" si="1437"/>
        <v>0</v>
      </c>
      <c r="V1880" s="78" t="b">
        <f t="shared" si="1438"/>
        <v>0</v>
      </c>
      <c r="W1880" s="78" t="b">
        <f t="shared" si="1439"/>
        <v>0</v>
      </c>
      <c r="X1880" s="78" t="b">
        <f t="shared" si="1440"/>
        <v>0</v>
      </c>
      <c r="Y1880" s="78" t="b">
        <f t="shared" si="1441"/>
        <v>0</v>
      </c>
      <c r="Z1880" s="78" t="b">
        <f t="shared" si="1442"/>
        <v>0</v>
      </c>
      <c r="AA1880" s="78" t="b">
        <f t="shared" si="1443"/>
        <v>0</v>
      </c>
      <c r="AB1880" s="78" t="b">
        <f t="shared" si="1444"/>
        <v>0</v>
      </c>
      <c r="AC1880" s="78" t="b">
        <f t="shared" si="1445"/>
        <v>0</v>
      </c>
      <c r="AD1880" s="78" t="b">
        <f t="shared" si="1446"/>
        <v>0</v>
      </c>
      <c r="AE1880" s="78" t="b">
        <f t="shared" si="1447"/>
        <v>0</v>
      </c>
      <c r="AF1880" s="78" t="b">
        <f t="shared" si="1448"/>
        <v>0</v>
      </c>
      <c r="AG1880" s="78" t="b">
        <f t="shared" si="1449"/>
        <v>0</v>
      </c>
      <c r="AH1880" s="78" t="b">
        <f t="shared" si="1450"/>
        <v>0</v>
      </c>
      <c r="AI1880" s="78" t="b">
        <f t="shared" si="1451"/>
        <v>0</v>
      </c>
      <c r="AJ1880" s="78" t="b">
        <f t="shared" si="1452"/>
        <v>0</v>
      </c>
      <c r="AK1880" s="78" t="b">
        <f t="shared" si="1453"/>
        <v>0</v>
      </c>
      <c r="AL1880" s="78" t="b">
        <f t="shared" si="1454"/>
        <v>0</v>
      </c>
      <c r="AM1880" s="78" t="b">
        <f t="shared" si="1455"/>
        <v>0</v>
      </c>
      <c r="AN1880" s="78" t="b">
        <f t="shared" si="1456"/>
        <v>0</v>
      </c>
      <c r="AO1880" s="78" t="b">
        <f t="shared" si="1457"/>
        <v>0</v>
      </c>
    </row>
    <row r="1881" spans="7:41" x14ac:dyDescent="0.35">
      <c r="G1881" s="77">
        <f t="shared" si="1427"/>
        <v>0</v>
      </c>
      <c r="H1881" s="78">
        <f t="shared" si="1428"/>
        <v>0</v>
      </c>
      <c r="I1881" s="77">
        <f t="shared" si="1429"/>
        <v>0</v>
      </c>
      <c r="J1881" s="78">
        <f t="shared" si="1430"/>
        <v>0</v>
      </c>
      <c r="K1881" s="78" t="str">
        <f t="shared" si="1431"/>
        <v>1900-01-00 00:0:00</v>
      </c>
      <c r="L1881" s="78" t="str">
        <f t="shared" si="1432"/>
        <v>1900-01-00 00:0:00</v>
      </c>
      <c r="M1881" s="79">
        <f t="shared" si="1433"/>
        <v>0</v>
      </c>
      <c r="N1881">
        <f t="shared" si="1458"/>
        <v>1</v>
      </c>
      <c r="O1881" t="str">
        <f>IFERROR(_xlfn.XLOOKUP(A1881,HC!A:A,HC!C:C),"")</f>
        <v>Workforce</v>
      </c>
      <c r="R1881" s="78" t="b">
        <f t="shared" si="1434"/>
        <v>0</v>
      </c>
      <c r="S1881" s="78" t="b">
        <f t="shared" si="1435"/>
        <v>0</v>
      </c>
      <c r="T1881" s="78" t="b">
        <f t="shared" si="1436"/>
        <v>0</v>
      </c>
      <c r="U1881" s="78" t="b">
        <f t="shared" si="1437"/>
        <v>0</v>
      </c>
      <c r="V1881" s="78" t="b">
        <f t="shared" si="1438"/>
        <v>0</v>
      </c>
      <c r="W1881" s="78" t="b">
        <f t="shared" si="1439"/>
        <v>0</v>
      </c>
      <c r="X1881" s="78" t="b">
        <f t="shared" si="1440"/>
        <v>0</v>
      </c>
      <c r="Y1881" s="78" t="b">
        <f t="shared" si="1441"/>
        <v>0</v>
      </c>
      <c r="Z1881" s="78" t="b">
        <f t="shared" si="1442"/>
        <v>0</v>
      </c>
      <c r="AA1881" s="78" t="b">
        <f t="shared" si="1443"/>
        <v>0</v>
      </c>
      <c r="AB1881" s="78" t="b">
        <f t="shared" si="1444"/>
        <v>0</v>
      </c>
      <c r="AC1881" s="78" t="b">
        <f t="shared" si="1445"/>
        <v>0</v>
      </c>
      <c r="AD1881" s="78" t="b">
        <f t="shared" si="1446"/>
        <v>0</v>
      </c>
      <c r="AE1881" s="78" t="b">
        <f t="shared" si="1447"/>
        <v>0</v>
      </c>
      <c r="AF1881" s="78" t="b">
        <f t="shared" si="1448"/>
        <v>0</v>
      </c>
      <c r="AG1881" s="78" t="b">
        <f t="shared" si="1449"/>
        <v>0</v>
      </c>
      <c r="AH1881" s="78" t="b">
        <f t="shared" si="1450"/>
        <v>0</v>
      </c>
      <c r="AI1881" s="78" t="b">
        <f t="shared" si="1451"/>
        <v>0</v>
      </c>
      <c r="AJ1881" s="78" t="b">
        <f t="shared" si="1452"/>
        <v>0</v>
      </c>
      <c r="AK1881" s="78" t="b">
        <f t="shared" si="1453"/>
        <v>0</v>
      </c>
      <c r="AL1881" s="78" t="b">
        <f t="shared" si="1454"/>
        <v>0</v>
      </c>
      <c r="AM1881" s="78" t="b">
        <f t="shared" si="1455"/>
        <v>0</v>
      </c>
      <c r="AN1881" s="78" t="b">
        <f t="shared" si="1456"/>
        <v>0</v>
      </c>
      <c r="AO1881" s="78" t="b">
        <f t="shared" si="1457"/>
        <v>0</v>
      </c>
    </row>
    <row r="1882" spans="7:41" x14ac:dyDescent="0.35">
      <c r="G1882" s="77">
        <f t="shared" si="1427"/>
        <v>0</v>
      </c>
      <c r="H1882" s="78">
        <f t="shared" si="1428"/>
        <v>0</v>
      </c>
      <c r="I1882" s="77">
        <f t="shared" si="1429"/>
        <v>0</v>
      </c>
      <c r="J1882" s="78">
        <f t="shared" si="1430"/>
        <v>0</v>
      </c>
      <c r="K1882" s="78" t="str">
        <f t="shared" si="1431"/>
        <v>1900-01-00 00:0:00</v>
      </c>
      <c r="L1882" s="78" t="str">
        <f t="shared" si="1432"/>
        <v>1900-01-00 00:0:00</v>
      </c>
      <c r="M1882" s="79">
        <f t="shared" si="1433"/>
        <v>0</v>
      </c>
      <c r="N1882">
        <f t="shared" si="1458"/>
        <v>1</v>
      </c>
      <c r="O1882" t="str">
        <f>IFERROR(_xlfn.XLOOKUP(A1882,HC!A:A,HC!C:C),"")</f>
        <v>Workforce</v>
      </c>
      <c r="R1882" s="78" t="b">
        <f t="shared" si="1434"/>
        <v>0</v>
      </c>
      <c r="S1882" s="78" t="b">
        <f t="shared" si="1435"/>
        <v>0</v>
      </c>
      <c r="T1882" s="78" t="b">
        <f t="shared" si="1436"/>
        <v>0</v>
      </c>
      <c r="U1882" s="78" t="b">
        <f t="shared" si="1437"/>
        <v>0</v>
      </c>
      <c r="V1882" s="78" t="b">
        <f t="shared" si="1438"/>
        <v>0</v>
      </c>
      <c r="W1882" s="78" t="b">
        <f t="shared" si="1439"/>
        <v>0</v>
      </c>
      <c r="X1882" s="78" t="b">
        <f t="shared" si="1440"/>
        <v>0</v>
      </c>
      <c r="Y1882" s="78" t="b">
        <f t="shared" si="1441"/>
        <v>0</v>
      </c>
      <c r="Z1882" s="78" t="b">
        <f t="shared" si="1442"/>
        <v>0</v>
      </c>
      <c r="AA1882" s="78" t="b">
        <f t="shared" si="1443"/>
        <v>0</v>
      </c>
      <c r="AB1882" s="78" t="b">
        <f t="shared" si="1444"/>
        <v>0</v>
      </c>
      <c r="AC1882" s="78" t="b">
        <f t="shared" si="1445"/>
        <v>0</v>
      </c>
      <c r="AD1882" s="78" t="b">
        <f t="shared" si="1446"/>
        <v>0</v>
      </c>
      <c r="AE1882" s="78" t="b">
        <f t="shared" si="1447"/>
        <v>0</v>
      </c>
      <c r="AF1882" s="78" t="b">
        <f t="shared" si="1448"/>
        <v>0</v>
      </c>
      <c r="AG1882" s="78" t="b">
        <f t="shared" si="1449"/>
        <v>0</v>
      </c>
      <c r="AH1882" s="78" t="b">
        <f t="shared" si="1450"/>
        <v>0</v>
      </c>
      <c r="AI1882" s="78" t="b">
        <f t="shared" si="1451"/>
        <v>0</v>
      </c>
      <c r="AJ1882" s="78" t="b">
        <f t="shared" si="1452"/>
        <v>0</v>
      </c>
      <c r="AK1882" s="78" t="b">
        <f t="shared" si="1453"/>
        <v>0</v>
      </c>
      <c r="AL1882" s="78" t="b">
        <f t="shared" si="1454"/>
        <v>0</v>
      </c>
      <c r="AM1882" s="78" t="b">
        <f t="shared" si="1455"/>
        <v>0</v>
      </c>
      <c r="AN1882" s="78" t="b">
        <f t="shared" si="1456"/>
        <v>0</v>
      </c>
      <c r="AO1882" s="78" t="b">
        <f t="shared" si="1457"/>
        <v>0</v>
      </c>
    </row>
    <row r="1883" spans="7:41" x14ac:dyDescent="0.35">
      <c r="G1883" s="77">
        <f t="shared" si="1427"/>
        <v>0</v>
      </c>
      <c r="H1883" s="78">
        <f t="shared" si="1428"/>
        <v>0</v>
      </c>
      <c r="I1883" s="77">
        <f t="shared" si="1429"/>
        <v>0</v>
      </c>
      <c r="J1883" s="78">
        <f t="shared" si="1430"/>
        <v>0</v>
      </c>
      <c r="K1883" s="78" t="str">
        <f t="shared" si="1431"/>
        <v>1900-01-00 00:0:00</v>
      </c>
      <c r="L1883" s="78" t="str">
        <f t="shared" si="1432"/>
        <v>1900-01-00 00:0:00</v>
      </c>
      <c r="M1883" s="79">
        <f t="shared" si="1433"/>
        <v>0</v>
      </c>
      <c r="N1883">
        <f t="shared" si="1458"/>
        <v>1</v>
      </c>
      <c r="O1883" t="str">
        <f>IFERROR(_xlfn.XLOOKUP(A1883,HC!A:A,HC!C:C),"")</f>
        <v>Workforce</v>
      </c>
      <c r="R1883" s="78" t="b">
        <f t="shared" si="1434"/>
        <v>0</v>
      </c>
      <c r="S1883" s="78" t="b">
        <f t="shared" si="1435"/>
        <v>0</v>
      </c>
      <c r="T1883" s="78" t="b">
        <f t="shared" si="1436"/>
        <v>0</v>
      </c>
      <c r="U1883" s="78" t="b">
        <f t="shared" si="1437"/>
        <v>0</v>
      </c>
      <c r="V1883" s="78" t="b">
        <f t="shared" si="1438"/>
        <v>0</v>
      </c>
      <c r="W1883" s="78" t="b">
        <f t="shared" si="1439"/>
        <v>0</v>
      </c>
      <c r="X1883" s="78" t="b">
        <f t="shared" si="1440"/>
        <v>0</v>
      </c>
      <c r="Y1883" s="78" t="b">
        <f t="shared" si="1441"/>
        <v>0</v>
      </c>
      <c r="Z1883" s="78" t="b">
        <f t="shared" si="1442"/>
        <v>0</v>
      </c>
      <c r="AA1883" s="78" t="b">
        <f t="shared" si="1443"/>
        <v>0</v>
      </c>
      <c r="AB1883" s="78" t="b">
        <f t="shared" si="1444"/>
        <v>0</v>
      </c>
      <c r="AC1883" s="78" t="b">
        <f t="shared" si="1445"/>
        <v>0</v>
      </c>
      <c r="AD1883" s="78" t="b">
        <f t="shared" si="1446"/>
        <v>0</v>
      </c>
      <c r="AE1883" s="78" t="b">
        <f t="shared" si="1447"/>
        <v>0</v>
      </c>
      <c r="AF1883" s="78" t="b">
        <f t="shared" si="1448"/>
        <v>0</v>
      </c>
      <c r="AG1883" s="78" t="b">
        <f t="shared" si="1449"/>
        <v>0</v>
      </c>
      <c r="AH1883" s="78" t="b">
        <f t="shared" si="1450"/>
        <v>0</v>
      </c>
      <c r="AI1883" s="78" t="b">
        <f t="shared" si="1451"/>
        <v>0</v>
      </c>
      <c r="AJ1883" s="78" t="b">
        <f t="shared" si="1452"/>
        <v>0</v>
      </c>
      <c r="AK1883" s="78" t="b">
        <f t="shared" si="1453"/>
        <v>0</v>
      </c>
      <c r="AL1883" s="78" t="b">
        <f t="shared" si="1454"/>
        <v>0</v>
      </c>
      <c r="AM1883" s="78" t="b">
        <f t="shared" si="1455"/>
        <v>0</v>
      </c>
      <c r="AN1883" s="78" t="b">
        <f t="shared" si="1456"/>
        <v>0</v>
      </c>
      <c r="AO1883" s="78" t="b">
        <f t="shared" si="1457"/>
        <v>0</v>
      </c>
    </row>
    <row r="1884" spans="7:41" x14ac:dyDescent="0.35">
      <c r="G1884" s="77">
        <f t="shared" si="1427"/>
        <v>0</v>
      </c>
      <c r="H1884" s="78">
        <f t="shared" si="1428"/>
        <v>0</v>
      </c>
      <c r="I1884" s="77">
        <f t="shared" si="1429"/>
        <v>0</v>
      </c>
      <c r="J1884" s="78">
        <f t="shared" si="1430"/>
        <v>0</v>
      </c>
      <c r="K1884" s="78" t="str">
        <f t="shared" si="1431"/>
        <v>1900-01-00 00:0:00</v>
      </c>
      <c r="L1884" s="78" t="str">
        <f t="shared" si="1432"/>
        <v>1900-01-00 00:0:00</v>
      </c>
      <c r="M1884" s="79">
        <f t="shared" si="1433"/>
        <v>0</v>
      </c>
      <c r="N1884">
        <f t="shared" si="1458"/>
        <v>1</v>
      </c>
      <c r="O1884" t="str">
        <f>IFERROR(_xlfn.XLOOKUP(A1884,HC!A:A,HC!C:C),"")</f>
        <v>Workforce</v>
      </c>
      <c r="R1884" s="78" t="b">
        <f t="shared" si="1434"/>
        <v>0</v>
      </c>
      <c r="S1884" s="78" t="b">
        <f t="shared" si="1435"/>
        <v>0</v>
      </c>
      <c r="T1884" s="78" t="b">
        <f t="shared" si="1436"/>
        <v>0</v>
      </c>
      <c r="U1884" s="78" t="b">
        <f t="shared" si="1437"/>
        <v>0</v>
      </c>
      <c r="V1884" s="78" t="b">
        <f t="shared" si="1438"/>
        <v>0</v>
      </c>
      <c r="W1884" s="78" t="b">
        <f t="shared" si="1439"/>
        <v>0</v>
      </c>
      <c r="X1884" s="78" t="b">
        <f t="shared" si="1440"/>
        <v>0</v>
      </c>
      <c r="Y1884" s="78" t="b">
        <f t="shared" si="1441"/>
        <v>0</v>
      </c>
      <c r="Z1884" s="78" t="b">
        <f t="shared" si="1442"/>
        <v>0</v>
      </c>
      <c r="AA1884" s="78" t="b">
        <f t="shared" si="1443"/>
        <v>0</v>
      </c>
      <c r="AB1884" s="78" t="b">
        <f t="shared" si="1444"/>
        <v>0</v>
      </c>
      <c r="AC1884" s="78" t="b">
        <f t="shared" si="1445"/>
        <v>0</v>
      </c>
      <c r="AD1884" s="78" t="b">
        <f t="shared" si="1446"/>
        <v>0</v>
      </c>
      <c r="AE1884" s="78" t="b">
        <f t="shared" si="1447"/>
        <v>0</v>
      </c>
      <c r="AF1884" s="78" t="b">
        <f t="shared" si="1448"/>
        <v>0</v>
      </c>
      <c r="AG1884" s="78" t="b">
        <f t="shared" si="1449"/>
        <v>0</v>
      </c>
      <c r="AH1884" s="78" t="b">
        <f t="shared" si="1450"/>
        <v>0</v>
      </c>
      <c r="AI1884" s="78" t="b">
        <f t="shared" si="1451"/>
        <v>0</v>
      </c>
      <c r="AJ1884" s="78" t="b">
        <f t="shared" si="1452"/>
        <v>0</v>
      </c>
      <c r="AK1884" s="78" t="b">
        <f t="shared" si="1453"/>
        <v>0</v>
      </c>
      <c r="AL1884" s="78" t="b">
        <f t="shared" si="1454"/>
        <v>0</v>
      </c>
      <c r="AM1884" s="78" t="b">
        <f t="shared" si="1455"/>
        <v>0</v>
      </c>
      <c r="AN1884" s="78" t="b">
        <f t="shared" si="1456"/>
        <v>0</v>
      </c>
      <c r="AO1884" s="78" t="b">
        <f t="shared" si="1457"/>
        <v>0</v>
      </c>
    </row>
    <row r="1885" spans="7:41" x14ac:dyDescent="0.35">
      <c r="G1885" s="77">
        <f t="shared" si="1427"/>
        <v>0</v>
      </c>
      <c r="H1885" s="78">
        <f t="shared" si="1428"/>
        <v>0</v>
      </c>
      <c r="I1885" s="77">
        <f t="shared" si="1429"/>
        <v>0</v>
      </c>
      <c r="J1885" s="78">
        <f t="shared" si="1430"/>
        <v>0</v>
      </c>
      <c r="K1885" s="78" t="str">
        <f t="shared" si="1431"/>
        <v>1900-01-00 00:0:00</v>
      </c>
      <c r="L1885" s="78" t="str">
        <f t="shared" si="1432"/>
        <v>1900-01-00 00:0:00</v>
      </c>
      <c r="M1885" s="79">
        <f t="shared" si="1433"/>
        <v>0</v>
      </c>
      <c r="N1885">
        <f t="shared" si="1458"/>
        <v>1</v>
      </c>
      <c r="O1885" t="str">
        <f>IFERROR(_xlfn.XLOOKUP(A1885,HC!A:A,HC!C:C),"")</f>
        <v>Workforce</v>
      </c>
      <c r="R1885" s="78" t="b">
        <f t="shared" si="1434"/>
        <v>0</v>
      </c>
      <c r="S1885" s="78" t="b">
        <f t="shared" si="1435"/>
        <v>0</v>
      </c>
      <c r="T1885" s="78" t="b">
        <f t="shared" si="1436"/>
        <v>0</v>
      </c>
      <c r="U1885" s="78" t="b">
        <f t="shared" si="1437"/>
        <v>0</v>
      </c>
      <c r="V1885" s="78" t="b">
        <f t="shared" si="1438"/>
        <v>0</v>
      </c>
      <c r="W1885" s="78" t="b">
        <f t="shared" si="1439"/>
        <v>0</v>
      </c>
      <c r="X1885" s="78" t="b">
        <f t="shared" si="1440"/>
        <v>0</v>
      </c>
      <c r="Y1885" s="78" t="b">
        <f t="shared" si="1441"/>
        <v>0</v>
      </c>
      <c r="Z1885" s="78" t="b">
        <f t="shared" si="1442"/>
        <v>0</v>
      </c>
      <c r="AA1885" s="78" t="b">
        <f t="shared" si="1443"/>
        <v>0</v>
      </c>
      <c r="AB1885" s="78" t="b">
        <f t="shared" si="1444"/>
        <v>0</v>
      </c>
      <c r="AC1885" s="78" t="b">
        <f t="shared" si="1445"/>
        <v>0</v>
      </c>
      <c r="AD1885" s="78" t="b">
        <f t="shared" si="1446"/>
        <v>0</v>
      </c>
      <c r="AE1885" s="78" t="b">
        <f t="shared" si="1447"/>
        <v>0</v>
      </c>
      <c r="AF1885" s="78" t="b">
        <f t="shared" si="1448"/>
        <v>0</v>
      </c>
      <c r="AG1885" s="78" t="b">
        <f t="shared" si="1449"/>
        <v>0</v>
      </c>
      <c r="AH1885" s="78" t="b">
        <f t="shared" si="1450"/>
        <v>0</v>
      </c>
      <c r="AI1885" s="78" t="b">
        <f t="shared" si="1451"/>
        <v>0</v>
      </c>
      <c r="AJ1885" s="78" t="b">
        <f t="shared" si="1452"/>
        <v>0</v>
      </c>
      <c r="AK1885" s="78" t="b">
        <f t="shared" si="1453"/>
        <v>0</v>
      </c>
      <c r="AL1885" s="78" t="b">
        <f t="shared" si="1454"/>
        <v>0</v>
      </c>
      <c r="AM1885" s="78" t="b">
        <f t="shared" si="1455"/>
        <v>0</v>
      </c>
      <c r="AN1885" s="78" t="b">
        <f t="shared" si="1456"/>
        <v>0</v>
      </c>
      <c r="AO1885" s="78" t="b">
        <f t="shared" si="1457"/>
        <v>0</v>
      </c>
    </row>
    <row r="1886" spans="7:41" x14ac:dyDescent="0.35">
      <c r="G1886" s="77">
        <f t="shared" si="1427"/>
        <v>0</v>
      </c>
      <c r="H1886" s="78">
        <f t="shared" si="1428"/>
        <v>0</v>
      </c>
      <c r="I1886" s="77">
        <f t="shared" si="1429"/>
        <v>0</v>
      </c>
      <c r="J1886" s="78">
        <f t="shared" si="1430"/>
        <v>0</v>
      </c>
      <c r="K1886" s="78" t="str">
        <f t="shared" si="1431"/>
        <v>1900-01-00 00:0:00</v>
      </c>
      <c r="L1886" s="78" t="str">
        <f t="shared" si="1432"/>
        <v>1900-01-00 00:0:00</v>
      </c>
      <c r="M1886" s="79">
        <f t="shared" si="1433"/>
        <v>0</v>
      </c>
      <c r="N1886">
        <f t="shared" si="1458"/>
        <v>1</v>
      </c>
      <c r="O1886" t="str">
        <f>IFERROR(_xlfn.XLOOKUP(A1886,HC!A:A,HC!C:C),"")</f>
        <v>Workforce</v>
      </c>
      <c r="R1886" s="78" t="b">
        <f t="shared" si="1434"/>
        <v>0</v>
      </c>
      <c r="S1886" s="78" t="b">
        <f t="shared" si="1435"/>
        <v>0</v>
      </c>
      <c r="T1886" s="78" t="b">
        <f t="shared" si="1436"/>
        <v>0</v>
      </c>
      <c r="U1886" s="78" t="b">
        <f t="shared" si="1437"/>
        <v>0</v>
      </c>
      <c r="V1886" s="78" t="b">
        <f t="shared" si="1438"/>
        <v>0</v>
      </c>
      <c r="W1886" s="78" t="b">
        <f t="shared" si="1439"/>
        <v>0</v>
      </c>
      <c r="X1886" s="78" t="b">
        <f t="shared" si="1440"/>
        <v>0</v>
      </c>
      <c r="Y1886" s="78" t="b">
        <f t="shared" si="1441"/>
        <v>0</v>
      </c>
      <c r="Z1886" s="78" t="b">
        <f t="shared" si="1442"/>
        <v>0</v>
      </c>
      <c r="AA1886" s="78" t="b">
        <f t="shared" si="1443"/>
        <v>0</v>
      </c>
      <c r="AB1886" s="78" t="b">
        <f t="shared" si="1444"/>
        <v>0</v>
      </c>
      <c r="AC1886" s="78" t="b">
        <f t="shared" si="1445"/>
        <v>0</v>
      </c>
      <c r="AD1886" s="78" t="b">
        <f t="shared" si="1446"/>
        <v>0</v>
      </c>
      <c r="AE1886" s="78" t="b">
        <f t="shared" si="1447"/>
        <v>0</v>
      </c>
      <c r="AF1886" s="78" t="b">
        <f t="shared" si="1448"/>
        <v>0</v>
      </c>
      <c r="AG1886" s="78" t="b">
        <f t="shared" si="1449"/>
        <v>0</v>
      </c>
      <c r="AH1886" s="78" t="b">
        <f t="shared" si="1450"/>
        <v>0</v>
      </c>
      <c r="AI1886" s="78" t="b">
        <f t="shared" si="1451"/>
        <v>0</v>
      </c>
      <c r="AJ1886" s="78" t="b">
        <f t="shared" si="1452"/>
        <v>0</v>
      </c>
      <c r="AK1886" s="78" t="b">
        <f t="shared" si="1453"/>
        <v>0</v>
      </c>
      <c r="AL1886" s="78" t="b">
        <f t="shared" si="1454"/>
        <v>0</v>
      </c>
      <c r="AM1886" s="78" t="b">
        <f t="shared" si="1455"/>
        <v>0</v>
      </c>
      <c r="AN1886" s="78" t="b">
        <f t="shared" si="1456"/>
        <v>0</v>
      </c>
      <c r="AO1886" s="78" t="b">
        <f t="shared" si="1457"/>
        <v>0</v>
      </c>
    </row>
    <row r="1887" spans="7:41" x14ac:dyDescent="0.35">
      <c r="G1887" s="77">
        <f t="shared" si="1427"/>
        <v>0</v>
      </c>
      <c r="H1887" s="78">
        <f t="shared" si="1428"/>
        <v>0</v>
      </c>
      <c r="I1887" s="77">
        <f t="shared" si="1429"/>
        <v>0</v>
      </c>
      <c r="J1887" s="78">
        <f t="shared" si="1430"/>
        <v>0</v>
      </c>
      <c r="K1887" s="78" t="str">
        <f t="shared" si="1431"/>
        <v>1900-01-00 00:0:00</v>
      </c>
      <c r="L1887" s="78" t="str">
        <f t="shared" si="1432"/>
        <v>1900-01-00 00:0:00</v>
      </c>
      <c r="M1887" s="79">
        <f t="shared" si="1433"/>
        <v>0</v>
      </c>
      <c r="N1887">
        <f t="shared" si="1458"/>
        <v>1</v>
      </c>
      <c r="O1887" t="str">
        <f>IFERROR(_xlfn.XLOOKUP(A1887,HC!A:A,HC!C:C),"")</f>
        <v>Workforce</v>
      </c>
      <c r="R1887" s="78" t="b">
        <f t="shared" si="1434"/>
        <v>0</v>
      </c>
      <c r="S1887" s="78" t="b">
        <f t="shared" si="1435"/>
        <v>0</v>
      </c>
      <c r="T1887" s="78" t="b">
        <f t="shared" si="1436"/>
        <v>0</v>
      </c>
      <c r="U1887" s="78" t="b">
        <f t="shared" si="1437"/>
        <v>0</v>
      </c>
      <c r="V1887" s="78" t="b">
        <f t="shared" si="1438"/>
        <v>0</v>
      </c>
      <c r="W1887" s="78" t="b">
        <f t="shared" si="1439"/>
        <v>0</v>
      </c>
      <c r="X1887" s="78" t="b">
        <f t="shared" si="1440"/>
        <v>0</v>
      </c>
      <c r="Y1887" s="78" t="b">
        <f t="shared" si="1441"/>
        <v>0</v>
      </c>
      <c r="Z1887" s="78" t="b">
        <f t="shared" si="1442"/>
        <v>0</v>
      </c>
      <c r="AA1887" s="78" t="b">
        <f t="shared" si="1443"/>
        <v>0</v>
      </c>
      <c r="AB1887" s="78" t="b">
        <f t="shared" si="1444"/>
        <v>0</v>
      </c>
      <c r="AC1887" s="78" t="b">
        <f t="shared" si="1445"/>
        <v>0</v>
      </c>
      <c r="AD1887" s="78" t="b">
        <f t="shared" si="1446"/>
        <v>0</v>
      </c>
      <c r="AE1887" s="78" t="b">
        <f t="shared" si="1447"/>
        <v>0</v>
      </c>
      <c r="AF1887" s="78" t="b">
        <f t="shared" si="1448"/>
        <v>0</v>
      </c>
      <c r="AG1887" s="78" t="b">
        <f t="shared" si="1449"/>
        <v>0</v>
      </c>
      <c r="AH1887" s="78" t="b">
        <f t="shared" si="1450"/>
        <v>0</v>
      </c>
      <c r="AI1887" s="78" t="b">
        <f t="shared" si="1451"/>
        <v>0</v>
      </c>
      <c r="AJ1887" s="78" t="b">
        <f t="shared" si="1452"/>
        <v>0</v>
      </c>
      <c r="AK1887" s="78" t="b">
        <f t="shared" si="1453"/>
        <v>0</v>
      </c>
      <c r="AL1887" s="78" t="b">
        <f t="shared" si="1454"/>
        <v>0</v>
      </c>
      <c r="AM1887" s="78" t="b">
        <f t="shared" si="1455"/>
        <v>0</v>
      </c>
      <c r="AN1887" s="78" t="b">
        <f t="shared" si="1456"/>
        <v>0</v>
      </c>
      <c r="AO1887" s="78" t="b">
        <f t="shared" si="1457"/>
        <v>0</v>
      </c>
    </row>
    <row r="1888" spans="7:41" x14ac:dyDescent="0.35">
      <c r="G1888" s="77">
        <f t="shared" si="1427"/>
        <v>0</v>
      </c>
      <c r="H1888" s="78">
        <f t="shared" si="1428"/>
        <v>0</v>
      </c>
      <c r="I1888" s="77">
        <f t="shared" si="1429"/>
        <v>0</v>
      </c>
      <c r="J1888" s="78">
        <f t="shared" si="1430"/>
        <v>0</v>
      </c>
      <c r="K1888" s="78" t="str">
        <f t="shared" si="1431"/>
        <v>1900-01-00 00:0:00</v>
      </c>
      <c r="L1888" s="78" t="str">
        <f t="shared" si="1432"/>
        <v>1900-01-00 00:0:00</v>
      </c>
      <c r="M1888" s="79">
        <f t="shared" si="1433"/>
        <v>0</v>
      </c>
      <c r="N1888">
        <f t="shared" si="1458"/>
        <v>1</v>
      </c>
      <c r="O1888" t="str">
        <f>IFERROR(_xlfn.XLOOKUP(A1888,HC!A:A,HC!C:C),"")</f>
        <v>Workforce</v>
      </c>
      <c r="R1888" s="78" t="b">
        <f t="shared" si="1434"/>
        <v>0</v>
      </c>
      <c r="S1888" s="78" t="b">
        <f t="shared" si="1435"/>
        <v>0</v>
      </c>
      <c r="T1888" s="78" t="b">
        <f t="shared" si="1436"/>
        <v>0</v>
      </c>
      <c r="U1888" s="78" t="b">
        <f t="shared" si="1437"/>
        <v>0</v>
      </c>
      <c r="V1888" s="78" t="b">
        <f t="shared" si="1438"/>
        <v>0</v>
      </c>
      <c r="W1888" s="78" t="b">
        <f t="shared" si="1439"/>
        <v>0</v>
      </c>
      <c r="X1888" s="78" t="b">
        <f t="shared" si="1440"/>
        <v>0</v>
      </c>
      <c r="Y1888" s="78" t="b">
        <f t="shared" si="1441"/>
        <v>0</v>
      </c>
      <c r="Z1888" s="78" t="b">
        <f t="shared" si="1442"/>
        <v>0</v>
      </c>
      <c r="AA1888" s="78" t="b">
        <f t="shared" si="1443"/>
        <v>0</v>
      </c>
      <c r="AB1888" s="78" t="b">
        <f t="shared" si="1444"/>
        <v>0</v>
      </c>
      <c r="AC1888" s="78" t="b">
        <f t="shared" si="1445"/>
        <v>0</v>
      </c>
      <c r="AD1888" s="78" t="b">
        <f t="shared" si="1446"/>
        <v>0</v>
      </c>
      <c r="AE1888" s="78" t="b">
        <f t="shared" si="1447"/>
        <v>0</v>
      </c>
      <c r="AF1888" s="78" t="b">
        <f t="shared" si="1448"/>
        <v>0</v>
      </c>
      <c r="AG1888" s="78" t="b">
        <f t="shared" si="1449"/>
        <v>0</v>
      </c>
      <c r="AH1888" s="78" t="b">
        <f t="shared" si="1450"/>
        <v>0</v>
      </c>
      <c r="AI1888" s="78" t="b">
        <f t="shared" si="1451"/>
        <v>0</v>
      </c>
      <c r="AJ1888" s="78" t="b">
        <f t="shared" si="1452"/>
        <v>0</v>
      </c>
      <c r="AK1888" s="78" t="b">
        <f t="shared" si="1453"/>
        <v>0</v>
      </c>
      <c r="AL1888" s="78" t="b">
        <f t="shared" si="1454"/>
        <v>0</v>
      </c>
      <c r="AM1888" s="78" t="b">
        <f t="shared" si="1455"/>
        <v>0</v>
      </c>
      <c r="AN1888" s="78" t="b">
        <f t="shared" si="1456"/>
        <v>0</v>
      </c>
      <c r="AO1888" s="78" t="b">
        <f t="shared" si="1457"/>
        <v>0</v>
      </c>
    </row>
    <row r="1889" spans="7:41" x14ac:dyDescent="0.35">
      <c r="G1889" s="77">
        <f t="shared" si="1427"/>
        <v>0</v>
      </c>
      <c r="H1889" s="78">
        <f t="shared" si="1428"/>
        <v>0</v>
      </c>
      <c r="I1889" s="77">
        <f t="shared" si="1429"/>
        <v>0</v>
      </c>
      <c r="J1889" s="78">
        <f t="shared" si="1430"/>
        <v>0</v>
      </c>
      <c r="K1889" s="78" t="str">
        <f t="shared" si="1431"/>
        <v>1900-01-00 00:0:00</v>
      </c>
      <c r="L1889" s="78" t="str">
        <f t="shared" si="1432"/>
        <v>1900-01-00 00:0:00</v>
      </c>
      <c r="M1889" s="79">
        <f t="shared" si="1433"/>
        <v>0</v>
      </c>
      <c r="N1889">
        <f t="shared" si="1458"/>
        <v>1</v>
      </c>
      <c r="O1889" t="str">
        <f>IFERROR(_xlfn.XLOOKUP(A1889,HC!A:A,HC!C:C),"")</f>
        <v>Workforce</v>
      </c>
      <c r="R1889" s="78" t="b">
        <f t="shared" si="1434"/>
        <v>0</v>
      </c>
      <c r="S1889" s="78" t="b">
        <f t="shared" si="1435"/>
        <v>0</v>
      </c>
      <c r="T1889" s="78" t="b">
        <f t="shared" si="1436"/>
        <v>0</v>
      </c>
      <c r="U1889" s="78" t="b">
        <f t="shared" si="1437"/>
        <v>0</v>
      </c>
      <c r="V1889" s="78" t="b">
        <f t="shared" si="1438"/>
        <v>0</v>
      </c>
      <c r="W1889" s="78" t="b">
        <f t="shared" si="1439"/>
        <v>0</v>
      </c>
      <c r="X1889" s="78" t="b">
        <f t="shared" si="1440"/>
        <v>0</v>
      </c>
      <c r="Y1889" s="78" t="b">
        <f t="shared" si="1441"/>
        <v>0</v>
      </c>
      <c r="Z1889" s="78" t="b">
        <f t="shared" si="1442"/>
        <v>0</v>
      </c>
      <c r="AA1889" s="78" t="b">
        <f t="shared" si="1443"/>
        <v>0</v>
      </c>
      <c r="AB1889" s="78" t="b">
        <f t="shared" si="1444"/>
        <v>0</v>
      </c>
      <c r="AC1889" s="78" t="b">
        <f t="shared" si="1445"/>
        <v>0</v>
      </c>
      <c r="AD1889" s="78" t="b">
        <f t="shared" si="1446"/>
        <v>0</v>
      </c>
      <c r="AE1889" s="78" t="b">
        <f t="shared" si="1447"/>
        <v>0</v>
      </c>
      <c r="AF1889" s="78" t="b">
        <f t="shared" si="1448"/>
        <v>0</v>
      </c>
      <c r="AG1889" s="78" t="b">
        <f t="shared" si="1449"/>
        <v>0</v>
      </c>
      <c r="AH1889" s="78" t="b">
        <f t="shared" si="1450"/>
        <v>0</v>
      </c>
      <c r="AI1889" s="78" t="b">
        <f t="shared" si="1451"/>
        <v>0</v>
      </c>
      <c r="AJ1889" s="78" t="b">
        <f t="shared" si="1452"/>
        <v>0</v>
      </c>
      <c r="AK1889" s="78" t="b">
        <f t="shared" si="1453"/>
        <v>0</v>
      </c>
      <c r="AL1889" s="78" t="b">
        <f t="shared" si="1454"/>
        <v>0</v>
      </c>
      <c r="AM1889" s="78" t="b">
        <f t="shared" si="1455"/>
        <v>0</v>
      </c>
      <c r="AN1889" s="78" t="b">
        <f t="shared" si="1456"/>
        <v>0</v>
      </c>
      <c r="AO1889" s="78" t="b">
        <f t="shared" si="1457"/>
        <v>0</v>
      </c>
    </row>
    <row r="1890" spans="7:41" x14ac:dyDescent="0.35">
      <c r="G1890" s="77">
        <f t="shared" si="1427"/>
        <v>0</v>
      </c>
      <c r="H1890" s="78">
        <f t="shared" si="1428"/>
        <v>0</v>
      </c>
      <c r="I1890" s="77">
        <f t="shared" si="1429"/>
        <v>0</v>
      </c>
      <c r="J1890" s="78">
        <f t="shared" si="1430"/>
        <v>0</v>
      </c>
      <c r="K1890" s="78" t="str">
        <f t="shared" si="1431"/>
        <v>1900-01-00 00:0:00</v>
      </c>
      <c r="L1890" s="78" t="str">
        <f t="shared" si="1432"/>
        <v>1900-01-00 00:0:00</v>
      </c>
      <c r="M1890" s="79">
        <f t="shared" si="1433"/>
        <v>0</v>
      </c>
      <c r="N1890">
        <f t="shared" si="1458"/>
        <v>1</v>
      </c>
      <c r="O1890" t="str">
        <f>IFERROR(_xlfn.XLOOKUP(A1890,HC!A:A,HC!C:C),"")</f>
        <v>Workforce</v>
      </c>
      <c r="R1890" s="78" t="b">
        <f t="shared" si="1434"/>
        <v>0</v>
      </c>
      <c r="S1890" s="78" t="b">
        <f t="shared" si="1435"/>
        <v>0</v>
      </c>
      <c r="T1890" s="78" t="b">
        <f t="shared" si="1436"/>
        <v>0</v>
      </c>
      <c r="U1890" s="78" t="b">
        <f t="shared" si="1437"/>
        <v>0</v>
      </c>
      <c r="V1890" s="78" t="b">
        <f t="shared" si="1438"/>
        <v>0</v>
      </c>
      <c r="W1890" s="78" t="b">
        <f t="shared" si="1439"/>
        <v>0</v>
      </c>
      <c r="X1890" s="78" t="b">
        <f t="shared" si="1440"/>
        <v>0</v>
      </c>
      <c r="Y1890" s="78" t="b">
        <f t="shared" si="1441"/>
        <v>0</v>
      </c>
      <c r="Z1890" s="78" t="b">
        <f t="shared" si="1442"/>
        <v>0</v>
      </c>
      <c r="AA1890" s="78" t="b">
        <f t="shared" si="1443"/>
        <v>0</v>
      </c>
      <c r="AB1890" s="78" t="b">
        <f t="shared" si="1444"/>
        <v>0</v>
      </c>
      <c r="AC1890" s="78" t="b">
        <f t="shared" si="1445"/>
        <v>0</v>
      </c>
      <c r="AD1890" s="78" t="b">
        <f t="shared" si="1446"/>
        <v>0</v>
      </c>
      <c r="AE1890" s="78" t="b">
        <f t="shared" si="1447"/>
        <v>0</v>
      </c>
      <c r="AF1890" s="78" t="b">
        <f t="shared" si="1448"/>
        <v>0</v>
      </c>
      <c r="AG1890" s="78" t="b">
        <f t="shared" si="1449"/>
        <v>0</v>
      </c>
      <c r="AH1890" s="78" t="b">
        <f t="shared" si="1450"/>
        <v>0</v>
      </c>
      <c r="AI1890" s="78" t="b">
        <f t="shared" si="1451"/>
        <v>0</v>
      </c>
      <c r="AJ1890" s="78" t="b">
        <f t="shared" si="1452"/>
        <v>0</v>
      </c>
      <c r="AK1890" s="78" t="b">
        <f t="shared" si="1453"/>
        <v>0</v>
      </c>
      <c r="AL1890" s="78" t="b">
        <f t="shared" si="1454"/>
        <v>0</v>
      </c>
      <c r="AM1890" s="78" t="b">
        <f t="shared" si="1455"/>
        <v>0</v>
      </c>
      <c r="AN1890" s="78" t="b">
        <f t="shared" si="1456"/>
        <v>0</v>
      </c>
      <c r="AO1890" s="78" t="b">
        <f t="shared" si="1457"/>
        <v>0</v>
      </c>
    </row>
    <row r="1891" spans="7:41" x14ac:dyDescent="0.35">
      <c r="G1891" s="77">
        <f t="shared" si="1427"/>
        <v>0</v>
      </c>
      <c r="H1891" s="78">
        <f t="shared" si="1428"/>
        <v>0</v>
      </c>
      <c r="I1891" s="77">
        <f t="shared" si="1429"/>
        <v>0</v>
      </c>
      <c r="J1891" s="78">
        <f t="shared" si="1430"/>
        <v>0</v>
      </c>
      <c r="K1891" s="78" t="str">
        <f t="shared" si="1431"/>
        <v>1900-01-00 00:0:00</v>
      </c>
      <c r="L1891" s="78" t="str">
        <f t="shared" si="1432"/>
        <v>1900-01-00 00:0:00</v>
      </c>
      <c r="M1891" s="79">
        <f t="shared" si="1433"/>
        <v>0</v>
      </c>
      <c r="N1891">
        <f t="shared" si="1458"/>
        <v>1</v>
      </c>
      <c r="O1891" t="str">
        <f>IFERROR(_xlfn.XLOOKUP(A1891,HC!A:A,HC!C:C),"")</f>
        <v>Workforce</v>
      </c>
      <c r="R1891" s="78" t="b">
        <f t="shared" si="1434"/>
        <v>0</v>
      </c>
      <c r="S1891" s="78" t="b">
        <f t="shared" si="1435"/>
        <v>0</v>
      </c>
      <c r="T1891" s="78" t="b">
        <f t="shared" si="1436"/>
        <v>0</v>
      </c>
      <c r="U1891" s="78" t="b">
        <f t="shared" si="1437"/>
        <v>0</v>
      </c>
      <c r="V1891" s="78" t="b">
        <f t="shared" si="1438"/>
        <v>0</v>
      </c>
      <c r="W1891" s="78" t="b">
        <f t="shared" si="1439"/>
        <v>0</v>
      </c>
      <c r="X1891" s="78" t="b">
        <f t="shared" si="1440"/>
        <v>0</v>
      </c>
      <c r="Y1891" s="78" t="b">
        <f t="shared" si="1441"/>
        <v>0</v>
      </c>
      <c r="Z1891" s="78" t="b">
        <f t="shared" si="1442"/>
        <v>0</v>
      </c>
      <c r="AA1891" s="78" t="b">
        <f t="shared" si="1443"/>
        <v>0</v>
      </c>
      <c r="AB1891" s="78" t="b">
        <f t="shared" si="1444"/>
        <v>0</v>
      </c>
      <c r="AC1891" s="78" t="b">
        <f t="shared" si="1445"/>
        <v>0</v>
      </c>
      <c r="AD1891" s="78" t="b">
        <f t="shared" si="1446"/>
        <v>0</v>
      </c>
      <c r="AE1891" s="78" t="b">
        <f t="shared" si="1447"/>
        <v>0</v>
      </c>
      <c r="AF1891" s="78" t="b">
        <f t="shared" si="1448"/>
        <v>0</v>
      </c>
      <c r="AG1891" s="78" t="b">
        <f t="shared" si="1449"/>
        <v>0</v>
      </c>
      <c r="AH1891" s="78" t="b">
        <f t="shared" si="1450"/>
        <v>0</v>
      </c>
      <c r="AI1891" s="78" t="b">
        <f t="shared" si="1451"/>
        <v>0</v>
      </c>
      <c r="AJ1891" s="78" t="b">
        <f t="shared" si="1452"/>
        <v>0</v>
      </c>
      <c r="AK1891" s="78" t="b">
        <f t="shared" si="1453"/>
        <v>0</v>
      </c>
      <c r="AL1891" s="78" t="b">
        <f t="shared" si="1454"/>
        <v>0</v>
      </c>
      <c r="AM1891" s="78" t="b">
        <f t="shared" si="1455"/>
        <v>0</v>
      </c>
      <c r="AN1891" s="78" t="b">
        <f t="shared" si="1456"/>
        <v>0</v>
      </c>
      <c r="AO1891" s="78" t="b">
        <f t="shared" si="1457"/>
        <v>0</v>
      </c>
    </row>
    <row r="1892" spans="7:41" x14ac:dyDescent="0.35">
      <c r="G1892" s="77">
        <f t="shared" si="1427"/>
        <v>0</v>
      </c>
      <c r="H1892" s="78">
        <f t="shared" si="1428"/>
        <v>0</v>
      </c>
      <c r="I1892" s="77">
        <f t="shared" si="1429"/>
        <v>0</v>
      </c>
      <c r="J1892" s="78">
        <f t="shared" si="1430"/>
        <v>0</v>
      </c>
      <c r="K1892" s="78" t="str">
        <f t="shared" si="1431"/>
        <v>1900-01-00 00:0:00</v>
      </c>
      <c r="L1892" s="78" t="str">
        <f t="shared" si="1432"/>
        <v>1900-01-00 00:0:00</v>
      </c>
      <c r="M1892" s="79">
        <f t="shared" si="1433"/>
        <v>0</v>
      </c>
      <c r="N1892">
        <f t="shared" si="1458"/>
        <v>1</v>
      </c>
      <c r="O1892" t="str">
        <f>IFERROR(_xlfn.XLOOKUP(A1892,HC!A:A,HC!C:C),"")</f>
        <v>Workforce</v>
      </c>
      <c r="R1892" s="78" t="b">
        <f t="shared" si="1434"/>
        <v>0</v>
      </c>
      <c r="S1892" s="78" t="b">
        <f t="shared" si="1435"/>
        <v>0</v>
      </c>
      <c r="T1892" s="78" t="b">
        <f t="shared" si="1436"/>
        <v>0</v>
      </c>
      <c r="U1892" s="78" t="b">
        <f t="shared" si="1437"/>
        <v>0</v>
      </c>
      <c r="V1892" s="78" t="b">
        <f t="shared" si="1438"/>
        <v>0</v>
      </c>
      <c r="W1892" s="78" t="b">
        <f t="shared" si="1439"/>
        <v>0</v>
      </c>
      <c r="X1892" s="78" t="b">
        <f t="shared" si="1440"/>
        <v>0</v>
      </c>
      <c r="Y1892" s="78" t="b">
        <f t="shared" si="1441"/>
        <v>0</v>
      </c>
      <c r="Z1892" s="78" t="b">
        <f t="shared" si="1442"/>
        <v>0</v>
      </c>
      <c r="AA1892" s="78" t="b">
        <f t="shared" si="1443"/>
        <v>0</v>
      </c>
      <c r="AB1892" s="78" t="b">
        <f t="shared" si="1444"/>
        <v>0</v>
      </c>
      <c r="AC1892" s="78" t="b">
        <f t="shared" si="1445"/>
        <v>0</v>
      </c>
      <c r="AD1892" s="78" t="b">
        <f t="shared" si="1446"/>
        <v>0</v>
      </c>
      <c r="AE1892" s="78" t="b">
        <f t="shared" si="1447"/>
        <v>0</v>
      </c>
      <c r="AF1892" s="78" t="b">
        <f t="shared" si="1448"/>
        <v>0</v>
      </c>
      <c r="AG1892" s="78" t="b">
        <f t="shared" si="1449"/>
        <v>0</v>
      </c>
      <c r="AH1892" s="78" t="b">
        <f t="shared" si="1450"/>
        <v>0</v>
      </c>
      <c r="AI1892" s="78" t="b">
        <f t="shared" si="1451"/>
        <v>0</v>
      </c>
      <c r="AJ1892" s="78" t="b">
        <f t="shared" si="1452"/>
        <v>0</v>
      </c>
      <c r="AK1892" s="78" t="b">
        <f t="shared" si="1453"/>
        <v>0</v>
      </c>
      <c r="AL1892" s="78" t="b">
        <f t="shared" si="1454"/>
        <v>0</v>
      </c>
      <c r="AM1892" s="78" t="b">
        <f t="shared" si="1455"/>
        <v>0</v>
      </c>
      <c r="AN1892" s="78" t="b">
        <f t="shared" si="1456"/>
        <v>0</v>
      </c>
      <c r="AO1892" s="78" t="b">
        <f t="shared" si="1457"/>
        <v>0</v>
      </c>
    </row>
    <row r="1893" spans="7:41" x14ac:dyDescent="0.35">
      <c r="G1893" s="77">
        <f t="shared" si="1427"/>
        <v>0</v>
      </c>
      <c r="H1893" s="78">
        <f t="shared" si="1428"/>
        <v>0</v>
      </c>
      <c r="I1893" s="77">
        <f t="shared" si="1429"/>
        <v>0</v>
      </c>
      <c r="J1893" s="78">
        <f t="shared" si="1430"/>
        <v>0</v>
      </c>
      <c r="K1893" s="78" t="str">
        <f t="shared" si="1431"/>
        <v>1900-01-00 00:0:00</v>
      </c>
      <c r="L1893" s="78" t="str">
        <f t="shared" si="1432"/>
        <v>1900-01-00 00:0:00</v>
      </c>
      <c r="M1893" s="79">
        <f t="shared" si="1433"/>
        <v>0</v>
      </c>
      <c r="N1893">
        <f t="shared" si="1458"/>
        <v>1</v>
      </c>
      <c r="O1893" t="str">
        <f>IFERROR(_xlfn.XLOOKUP(A1893,HC!A:A,HC!C:C),"")</f>
        <v>Workforce</v>
      </c>
      <c r="R1893" s="78" t="b">
        <f t="shared" si="1434"/>
        <v>0</v>
      </c>
      <c r="S1893" s="78" t="b">
        <f t="shared" si="1435"/>
        <v>0</v>
      </c>
      <c r="T1893" s="78" t="b">
        <f t="shared" si="1436"/>
        <v>0</v>
      </c>
      <c r="U1893" s="78" t="b">
        <f t="shared" si="1437"/>
        <v>0</v>
      </c>
      <c r="V1893" s="78" t="b">
        <f t="shared" si="1438"/>
        <v>0</v>
      </c>
      <c r="W1893" s="78" t="b">
        <f t="shared" si="1439"/>
        <v>0</v>
      </c>
      <c r="X1893" s="78" t="b">
        <f t="shared" si="1440"/>
        <v>0</v>
      </c>
      <c r="Y1893" s="78" t="b">
        <f t="shared" si="1441"/>
        <v>0</v>
      </c>
      <c r="Z1893" s="78" t="b">
        <f t="shared" si="1442"/>
        <v>0</v>
      </c>
      <c r="AA1893" s="78" t="b">
        <f t="shared" si="1443"/>
        <v>0</v>
      </c>
      <c r="AB1893" s="78" t="b">
        <f t="shared" si="1444"/>
        <v>0</v>
      </c>
      <c r="AC1893" s="78" t="b">
        <f t="shared" si="1445"/>
        <v>0</v>
      </c>
      <c r="AD1893" s="78" t="b">
        <f t="shared" si="1446"/>
        <v>0</v>
      </c>
      <c r="AE1893" s="78" t="b">
        <f t="shared" si="1447"/>
        <v>0</v>
      </c>
      <c r="AF1893" s="78" t="b">
        <f t="shared" si="1448"/>
        <v>0</v>
      </c>
      <c r="AG1893" s="78" t="b">
        <f t="shared" si="1449"/>
        <v>0</v>
      </c>
      <c r="AH1893" s="78" t="b">
        <f t="shared" si="1450"/>
        <v>0</v>
      </c>
      <c r="AI1893" s="78" t="b">
        <f t="shared" si="1451"/>
        <v>0</v>
      </c>
      <c r="AJ1893" s="78" t="b">
        <f t="shared" si="1452"/>
        <v>0</v>
      </c>
      <c r="AK1893" s="78" t="b">
        <f t="shared" si="1453"/>
        <v>0</v>
      </c>
      <c r="AL1893" s="78" t="b">
        <f t="shared" si="1454"/>
        <v>0</v>
      </c>
      <c r="AM1893" s="78" t="b">
        <f t="shared" si="1455"/>
        <v>0</v>
      </c>
      <c r="AN1893" s="78" t="b">
        <f t="shared" si="1456"/>
        <v>0</v>
      </c>
      <c r="AO1893" s="78" t="b">
        <f t="shared" si="1457"/>
        <v>0</v>
      </c>
    </row>
    <row r="1894" spans="7:41" x14ac:dyDescent="0.35">
      <c r="G1894" s="77">
        <f t="shared" si="1427"/>
        <v>0</v>
      </c>
      <c r="H1894" s="78">
        <f t="shared" si="1428"/>
        <v>0</v>
      </c>
      <c r="I1894" s="77">
        <f t="shared" si="1429"/>
        <v>0</v>
      </c>
      <c r="J1894" s="78">
        <f t="shared" si="1430"/>
        <v>0</v>
      </c>
      <c r="K1894" s="78" t="str">
        <f t="shared" si="1431"/>
        <v>1900-01-00 00:0:00</v>
      </c>
      <c r="L1894" s="78" t="str">
        <f t="shared" si="1432"/>
        <v>1900-01-00 00:0:00</v>
      </c>
      <c r="M1894" s="79">
        <f t="shared" si="1433"/>
        <v>0</v>
      </c>
      <c r="N1894">
        <f t="shared" si="1458"/>
        <v>1</v>
      </c>
      <c r="O1894" t="str">
        <f>IFERROR(_xlfn.XLOOKUP(A1894,HC!A:A,HC!C:C),"")</f>
        <v>Workforce</v>
      </c>
      <c r="R1894" s="78" t="b">
        <f t="shared" si="1434"/>
        <v>0</v>
      </c>
      <c r="S1894" s="78" t="b">
        <f t="shared" si="1435"/>
        <v>0</v>
      </c>
      <c r="T1894" s="78" t="b">
        <f t="shared" si="1436"/>
        <v>0</v>
      </c>
      <c r="U1894" s="78" t="b">
        <f t="shared" si="1437"/>
        <v>0</v>
      </c>
      <c r="V1894" s="78" t="b">
        <f t="shared" si="1438"/>
        <v>0</v>
      </c>
      <c r="W1894" s="78" t="b">
        <f t="shared" si="1439"/>
        <v>0</v>
      </c>
      <c r="X1894" s="78" t="b">
        <f t="shared" si="1440"/>
        <v>0</v>
      </c>
      <c r="Y1894" s="78" t="b">
        <f t="shared" si="1441"/>
        <v>0</v>
      </c>
      <c r="Z1894" s="78" t="b">
        <f t="shared" si="1442"/>
        <v>0</v>
      </c>
      <c r="AA1894" s="78" t="b">
        <f t="shared" si="1443"/>
        <v>0</v>
      </c>
      <c r="AB1894" s="78" t="b">
        <f t="shared" si="1444"/>
        <v>0</v>
      </c>
      <c r="AC1894" s="78" t="b">
        <f t="shared" si="1445"/>
        <v>0</v>
      </c>
      <c r="AD1894" s="78" t="b">
        <f t="shared" si="1446"/>
        <v>0</v>
      </c>
      <c r="AE1894" s="78" t="b">
        <f t="shared" si="1447"/>
        <v>0</v>
      </c>
      <c r="AF1894" s="78" t="b">
        <f t="shared" si="1448"/>
        <v>0</v>
      </c>
      <c r="AG1894" s="78" t="b">
        <f t="shared" si="1449"/>
        <v>0</v>
      </c>
      <c r="AH1894" s="78" t="b">
        <f t="shared" si="1450"/>
        <v>0</v>
      </c>
      <c r="AI1894" s="78" t="b">
        <f t="shared" si="1451"/>
        <v>0</v>
      </c>
      <c r="AJ1894" s="78" t="b">
        <f t="shared" si="1452"/>
        <v>0</v>
      </c>
      <c r="AK1894" s="78" t="b">
        <f t="shared" si="1453"/>
        <v>0</v>
      </c>
      <c r="AL1894" s="78" t="b">
        <f t="shared" si="1454"/>
        <v>0</v>
      </c>
      <c r="AM1894" s="78" t="b">
        <f t="shared" si="1455"/>
        <v>0</v>
      </c>
      <c r="AN1894" s="78" t="b">
        <f t="shared" si="1456"/>
        <v>0</v>
      </c>
      <c r="AO1894" s="78" t="b">
        <f t="shared" si="1457"/>
        <v>0</v>
      </c>
    </row>
    <row r="1895" spans="7:41" x14ac:dyDescent="0.35">
      <c r="G1895" s="77">
        <f t="shared" si="1427"/>
        <v>0</v>
      </c>
      <c r="H1895" s="78">
        <f t="shared" si="1428"/>
        <v>0</v>
      </c>
      <c r="I1895" s="77">
        <f t="shared" si="1429"/>
        <v>0</v>
      </c>
      <c r="J1895" s="78">
        <f t="shared" si="1430"/>
        <v>0</v>
      </c>
      <c r="K1895" s="78" t="str">
        <f t="shared" si="1431"/>
        <v>1900-01-00 00:0:00</v>
      </c>
      <c r="L1895" s="78" t="str">
        <f t="shared" si="1432"/>
        <v>1900-01-00 00:0:00</v>
      </c>
      <c r="M1895" s="79">
        <f t="shared" si="1433"/>
        <v>0</v>
      </c>
      <c r="N1895">
        <f t="shared" si="1458"/>
        <v>1</v>
      </c>
      <c r="O1895" t="str">
        <f>IFERROR(_xlfn.XLOOKUP(A1895,HC!A:A,HC!C:C),"")</f>
        <v>Workforce</v>
      </c>
      <c r="R1895" s="78" t="b">
        <f t="shared" si="1434"/>
        <v>0</v>
      </c>
      <c r="S1895" s="78" t="b">
        <f t="shared" si="1435"/>
        <v>0</v>
      </c>
      <c r="T1895" s="78" t="b">
        <f t="shared" si="1436"/>
        <v>0</v>
      </c>
      <c r="U1895" s="78" t="b">
        <f t="shared" si="1437"/>
        <v>0</v>
      </c>
      <c r="V1895" s="78" t="b">
        <f t="shared" si="1438"/>
        <v>0</v>
      </c>
      <c r="W1895" s="78" t="b">
        <f t="shared" si="1439"/>
        <v>0</v>
      </c>
      <c r="X1895" s="78" t="b">
        <f t="shared" si="1440"/>
        <v>0</v>
      </c>
      <c r="Y1895" s="78" t="b">
        <f t="shared" si="1441"/>
        <v>0</v>
      </c>
      <c r="Z1895" s="78" t="b">
        <f t="shared" si="1442"/>
        <v>0</v>
      </c>
      <c r="AA1895" s="78" t="b">
        <f t="shared" si="1443"/>
        <v>0</v>
      </c>
      <c r="AB1895" s="78" t="b">
        <f t="shared" si="1444"/>
        <v>0</v>
      </c>
      <c r="AC1895" s="78" t="b">
        <f t="shared" si="1445"/>
        <v>0</v>
      </c>
      <c r="AD1895" s="78" t="b">
        <f t="shared" si="1446"/>
        <v>0</v>
      </c>
      <c r="AE1895" s="78" t="b">
        <f t="shared" si="1447"/>
        <v>0</v>
      </c>
      <c r="AF1895" s="78" t="b">
        <f t="shared" si="1448"/>
        <v>0</v>
      </c>
      <c r="AG1895" s="78" t="b">
        <f t="shared" si="1449"/>
        <v>0</v>
      </c>
      <c r="AH1895" s="78" t="b">
        <f t="shared" si="1450"/>
        <v>0</v>
      </c>
      <c r="AI1895" s="78" t="b">
        <f t="shared" si="1451"/>
        <v>0</v>
      </c>
      <c r="AJ1895" s="78" t="b">
        <f t="shared" si="1452"/>
        <v>0</v>
      </c>
      <c r="AK1895" s="78" t="b">
        <f t="shared" si="1453"/>
        <v>0</v>
      </c>
      <c r="AL1895" s="78" t="b">
        <f t="shared" si="1454"/>
        <v>0</v>
      </c>
      <c r="AM1895" s="78" t="b">
        <f t="shared" si="1455"/>
        <v>0</v>
      </c>
      <c r="AN1895" s="78" t="b">
        <f t="shared" si="1456"/>
        <v>0</v>
      </c>
      <c r="AO1895" s="78" t="b">
        <f t="shared" si="1457"/>
        <v>0</v>
      </c>
    </row>
    <row r="1896" spans="7:41" x14ac:dyDescent="0.35">
      <c r="G1896" s="77">
        <f t="shared" si="1427"/>
        <v>0</v>
      </c>
      <c r="H1896" s="78">
        <f t="shared" si="1428"/>
        <v>0</v>
      </c>
      <c r="I1896" s="77">
        <f t="shared" si="1429"/>
        <v>0</v>
      </c>
      <c r="J1896" s="78">
        <f t="shared" si="1430"/>
        <v>0</v>
      </c>
      <c r="K1896" s="78" t="str">
        <f t="shared" si="1431"/>
        <v>1900-01-00 00:0:00</v>
      </c>
      <c r="L1896" s="78" t="str">
        <f t="shared" si="1432"/>
        <v>1900-01-00 00:0:00</v>
      </c>
      <c r="M1896" s="79">
        <f t="shared" si="1433"/>
        <v>0</v>
      </c>
      <c r="N1896">
        <f t="shared" si="1458"/>
        <v>1</v>
      </c>
      <c r="O1896" t="str">
        <f>IFERROR(_xlfn.XLOOKUP(A1896,HC!A:A,HC!C:C),"")</f>
        <v>Workforce</v>
      </c>
      <c r="R1896" s="78" t="b">
        <f t="shared" si="1434"/>
        <v>0</v>
      </c>
      <c r="S1896" s="78" t="b">
        <f t="shared" si="1435"/>
        <v>0</v>
      </c>
      <c r="T1896" s="78" t="b">
        <f t="shared" si="1436"/>
        <v>0</v>
      </c>
      <c r="U1896" s="78" t="b">
        <f t="shared" si="1437"/>
        <v>0</v>
      </c>
      <c r="V1896" s="78" t="b">
        <f t="shared" si="1438"/>
        <v>0</v>
      </c>
      <c r="W1896" s="78" t="b">
        <f t="shared" si="1439"/>
        <v>0</v>
      </c>
      <c r="X1896" s="78" t="b">
        <f t="shared" si="1440"/>
        <v>0</v>
      </c>
      <c r="Y1896" s="78" t="b">
        <f t="shared" si="1441"/>
        <v>0</v>
      </c>
      <c r="Z1896" s="78" t="b">
        <f t="shared" si="1442"/>
        <v>0</v>
      </c>
      <c r="AA1896" s="78" t="b">
        <f t="shared" si="1443"/>
        <v>0</v>
      </c>
      <c r="AB1896" s="78" t="b">
        <f t="shared" si="1444"/>
        <v>0</v>
      </c>
      <c r="AC1896" s="78" t="b">
        <f t="shared" si="1445"/>
        <v>0</v>
      </c>
      <c r="AD1896" s="78" t="b">
        <f t="shared" si="1446"/>
        <v>0</v>
      </c>
      <c r="AE1896" s="78" t="b">
        <f t="shared" si="1447"/>
        <v>0</v>
      </c>
      <c r="AF1896" s="78" t="b">
        <f t="shared" si="1448"/>
        <v>0</v>
      </c>
      <c r="AG1896" s="78" t="b">
        <f t="shared" si="1449"/>
        <v>0</v>
      </c>
      <c r="AH1896" s="78" t="b">
        <f t="shared" si="1450"/>
        <v>0</v>
      </c>
      <c r="AI1896" s="78" t="b">
        <f t="shared" si="1451"/>
        <v>0</v>
      </c>
      <c r="AJ1896" s="78" t="b">
        <f t="shared" si="1452"/>
        <v>0</v>
      </c>
      <c r="AK1896" s="78" t="b">
        <f t="shared" si="1453"/>
        <v>0</v>
      </c>
      <c r="AL1896" s="78" t="b">
        <f t="shared" si="1454"/>
        <v>0</v>
      </c>
      <c r="AM1896" s="78" t="b">
        <f t="shared" si="1455"/>
        <v>0</v>
      </c>
      <c r="AN1896" s="78" t="b">
        <f t="shared" si="1456"/>
        <v>0</v>
      </c>
      <c r="AO1896" s="78" t="b">
        <f t="shared" si="1457"/>
        <v>0</v>
      </c>
    </row>
    <row r="1897" spans="7:41" x14ac:dyDescent="0.35">
      <c r="G1897" s="77">
        <f t="shared" si="1427"/>
        <v>0</v>
      </c>
      <c r="H1897" s="78">
        <f t="shared" si="1428"/>
        <v>0</v>
      </c>
      <c r="I1897" s="77">
        <f t="shared" si="1429"/>
        <v>0</v>
      </c>
      <c r="J1897" s="78">
        <f t="shared" si="1430"/>
        <v>0</v>
      </c>
      <c r="K1897" s="78" t="str">
        <f t="shared" si="1431"/>
        <v>1900-01-00 00:0:00</v>
      </c>
      <c r="L1897" s="78" t="str">
        <f t="shared" si="1432"/>
        <v>1900-01-00 00:0:00</v>
      </c>
      <c r="M1897" s="79">
        <f t="shared" si="1433"/>
        <v>0</v>
      </c>
      <c r="N1897">
        <f t="shared" si="1458"/>
        <v>1</v>
      </c>
      <c r="O1897" t="str">
        <f>IFERROR(_xlfn.XLOOKUP(A1897,HC!A:A,HC!C:C),"")</f>
        <v>Workforce</v>
      </c>
      <c r="R1897" s="78" t="b">
        <f t="shared" si="1434"/>
        <v>0</v>
      </c>
      <c r="S1897" s="78" t="b">
        <f t="shared" si="1435"/>
        <v>0</v>
      </c>
      <c r="T1897" s="78" t="b">
        <f t="shared" si="1436"/>
        <v>0</v>
      </c>
      <c r="U1897" s="78" t="b">
        <f t="shared" si="1437"/>
        <v>0</v>
      </c>
      <c r="V1897" s="78" t="b">
        <f t="shared" si="1438"/>
        <v>0</v>
      </c>
      <c r="W1897" s="78" t="b">
        <f t="shared" si="1439"/>
        <v>0</v>
      </c>
      <c r="X1897" s="78" t="b">
        <f t="shared" si="1440"/>
        <v>0</v>
      </c>
      <c r="Y1897" s="78" t="b">
        <f t="shared" si="1441"/>
        <v>0</v>
      </c>
      <c r="Z1897" s="78" t="b">
        <f t="shared" si="1442"/>
        <v>0</v>
      </c>
      <c r="AA1897" s="78" t="b">
        <f t="shared" si="1443"/>
        <v>0</v>
      </c>
      <c r="AB1897" s="78" t="b">
        <f t="shared" si="1444"/>
        <v>0</v>
      </c>
      <c r="AC1897" s="78" t="b">
        <f t="shared" si="1445"/>
        <v>0</v>
      </c>
      <c r="AD1897" s="78" t="b">
        <f t="shared" si="1446"/>
        <v>0</v>
      </c>
      <c r="AE1897" s="78" t="b">
        <f t="shared" si="1447"/>
        <v>0</v>
      </c>
      <c r="AF1897" s="78" t="b">
        <f t="shared" si="1448"/>
        <v>0</v>
      </c>
      <c r="AG1897" s="78" t="b">
        <f t="shared" si="1449"/>
        <v>0</v>
      </c>
      <c r="AH1897" s="78" t="b">
        <f t="shared" si="1450"/>
        <v>0</v>
      </c>
      <c r="AI1897" s="78" t="b">
        <f t="shared" si="1451"/>
        <v>0</v>
      </c>
      <c r="AJ1897" s="78" t="b">
        <f t="shared" si="1452"/>
        <v>0</v>
      </c>
      <c r="AK1897" s="78" t="b">
        <f t="shared" si="1453"/>
        <v>0</v>
      </c>
      <c r="AL1897" s="78" t="b">
        <f t="shared" si="1454"/>
        <v>0</v>
      </c>
      <c r="AM1897" s="78" t="b">
        <f t="shared" si="1455"/>
        <v>0</v>
      </c>
      <c r="AN1897" s="78" t="b">
        <f t="shared" si="1456"/>
        <v>0</v>
      </c>
      <c r="AO1897" s="78" t="b">
        <f t="shared" si="1457"/>
        <v>0</v>
      </c>
    </row>
    <row r="1898" spans="7:41" x14ac:dyDescent="0.35">
      <c r="G1898" s="77">
        <f t="shared" si="1427"/>
        <v>0</v>
      </c>
      <c r="H1898" s="78">
        <f t="shared" si="1428"/>
        <v>0</v>
      </c>
      <c r="I1898" s="77">
        <f t="shared" si="1429"/>
        <v>0</v>
      </c>
      <c r="J1898" s="78">
        <f t="shared" si="1430"/>
        <v>0</v>
      </c>
      <c r="K1898" s="78" t="str">
        <f t="shared" si="1431"/>
        <v>1900-01-00 00:0:00</v>
      </c>
      <c r="L1898" s="78" t="str">
        <f t="shared" si="1432"/>
        <v>1900-01-00 00:0:00</v>
      </c>
      <c r="M1898" s="79">
        <f t="shared" si="1433"/>
        <v>0</v>
      </c>
      <c r="N1898">
        <f t="shared" si="1458"/>
        <v>1</v>
      </c>
      <c r="O1898" t="str">
        <f>IFERROR(_xlfn.XLOOKUP(A1898,HC!A:A,HC!C:C),"")</f>
        <v>Workforce</v>
      </c>
      <c r="R1898" s="78" t="b">
        <f t="shared" si="1434"/>
        <v>0</v>
      </c>
      <c r="S1898" s="78" t="b">
        <f t="shared" si="1435"/>
        <v>0</v>
      </c>
      <c r="T1898" s="78" t="b">
        <f t="shared" si="1436"/>
        <v>0</v>
      </c>
      <c r="U1898" s="78" t="b">
        <f t="shared" si="1437"/>
        <v>0</v>
      </c>
      <c r="V1898" s="78" t="b">
        <f t="shared" si="1438"/>
        <v>0</v>
      </c>
      <c r="W1898" s="78" t="b">
        <f t="shared" si="1439"/>
        <v>0</v>
      </c>
      <c r="X1898" s="78" t="b">
        <f t="shared" si="1440"/>
        <v>0</v>
      </c>
      <c r="Y1898" s="78" t="b">
        <f t="shared" si="1441"/>
        <v>0</v>
      </c>
      <c r="Z1898" s="78" t="b">
        <f t="shared" si="1442"/>
        <v>0</v>
      </c>
      <c r="AA1898" s="78" t="b">
        <f t="shared" si="1443"/>
        <v>0</v>
      </c>
      <c r="AB1898" s="78" t="b">
        <f t="shared" si="1444"/>
        <v>0</v>
      </c>
      <c r="AC1898" s="78" t="b">
        <f t="shared" si="1445"/>
        <v>0</v>
      </c>
      <c r="AD1898" s="78" t="b">
        <f t="shared" si="1446"/>
        <v>0</v>
      </c>
      <c r="AE1898" s="78" t="b">
        <f t="shared" si="1447"/>
        <v>0</v>
      </c>
      <c r="AF1898" s="78" t="b">
        <f t="shared" si="1448"/>
        <v>0</v>
      </c>
      <c r="AG1898" s="78" t="b">
        <f t="shared" si="1449"/>
        <v>0</v>
      </c>
      <c r="AH1898" s="78" t="b">
        <f t="shared" si="1450"/>
        <v>0</v>
      </c>
      <c r="AI1898" s="78" t="b">
        <f t="shared" si="1451"/>
        <v>0</v>
      </c>
      <c r="AJ1898" s="78" t="b">
        <f t="shared" si="1452"/>
        <v>0</v>
      </c>
      <c r="AK1898" s="78" t="b">
        <f t="shared" si="1453"/>
        <v>0</v>
      </c>
      <c r="AL1898" s="78" t="b">
        <f t="shared" si="1454"/>
        <v>0</v>
      </c>
      <c r="AM1898" s="78" t="b">
        <f t="shared" si="1455"/>
        <v>0</v>
      </c>
      <c r="AN1898" s="78" t="b">
        <f t="shared" si="1456"/>
        <v>0</v>
      </c>
      <c r="AO1898" s="78" t="b">
        <f t="shared" si="1457"/>
        <v>0</v>
      </c>
    </row>
    <row r="1899" spans="7:41" x14ac:dyDescent="0.35">
      <c r="G1899" s="77">
        <f t="shared" si="1427"/>
        <v>0</v>
      </c>
      <c r="H1899" s="78">
        <f t="shared" si="1428"/>
        <v>0</v>
      </c>
      <c r="I1899" s="77">
        <f t="shared" si="1429"/>
        <v>0</v>
      </c>
      <c r="J1899" s="78">
        <f t="shared" si="1430"/>
        <v>0</v>
      </c>
      <c r="K1899" s="78" t="str">
        <f t="shared" si="1431"/>
        <v>1900-01-00 00:0:00</v>
      </c>
      <c r="L1899" s="78" t="str">
        <f t="shared" si="1432"/>
        <v>1900-01-00 00:0:00</v>
      </c>
      <c r="M1899" s="79">
        <f t="shared" si="1433"/>
        <v>0</v>
      </c>
      <c r="N1899">
        <f t="shared" si="1458"/>
        <v>1</v>
      </c>
      <c r="O1899" t="str">
        <f>IFERROR(_xlfn.XLOOKUP(A1899,HC!A:A,HC!C:C),"")</f>
        <v>Workforce</v>
      </c>
      <c r="R1899" s="78" t="b">
        <f t="shared" si="1434"/>
        <v>0</v>
      </c>
      <c r="S1899" s="78" t="b">
        <f t="shared" si="1435"/>
        <v>0</v>
      </c>
      <c r="T1899" s="78" t="b">
        <f t="shared" si="1436"/>
        <v>0</v>
      </c>
      <c r="U1899" s="78" t="b">
        <f t="shared" si="1437"/>
        <v>0</v>
      </c>
      <c r="V1899" s="78" t="b">
        <f t="shared" si="1438"/>
        <v>0</v>
      </c>
      <c r="W1899" s="78" t="b">
        <f t="shared" si="1439"/>
        <v>0</v>
      </c>
      <c r="X1899" s="78" t="b">
        <f t="shared" si="1440"/>
        <v>0</v>
      </c>
      <c r="Y1899" s="78" t="b">
        <f t="shared" si="1441"/>
        <v>0</v>
      </c>
      <c r="Z1899" s="78" t="b">
        <f t="shared" si="1442"/>
        <v>0</v>
      </c>
      <c r="AA1899" s="78" t="b">
        <f t="shared" si="1443"/>
        <v>0</v>
      </c>
      <c r="AB1899" s="78" t="b">
        <f t="shared" si="1444"/>
        <v>0</v>
      </c>
      <c r="AC1899" s="78" t="b">
        <f t="shared" si="1445"/>
        <v>0</v>
      </c>
      <c r="AD1899" s="78" t="b">
        <f t="shared" si="1446"/>
        <v>0</v>
      </c>
      <c r="AE1899" s="78" t="b">
        <f t="shared" si="1447"/>
        <v>0</v>
      </c>
      <c r="AF1899" s="78" t="b">
        <f t="shared" si="1448"/>
        <v>0</v>
      </c>
      <c r="AG1899" s="78" t="b">
        <f t="shared" si="1449"/>
        <v>0</v>
      </c>
      <c r="AH1899" s="78" t="b">
        <f t="shared" si="1450"/>
        <v>0</v>
      </c>
      <c r="AI1899" s="78" t="b">
        <f t="shared" si="1451"/>
        <v>0</v>
      </c>
      <c r="AJ1899" s="78" t="b">
        <f t="shared" si="1452"/>
        <v>0</v>
      </c>
      <c r="AK1899" s="78" t="b">
        <f t="shared" si="1453"/>
        <v>0</v>
      </c>
      <c r="AL1899" s="78" t="b">
        <f t="shared" si="1454"/>
        <v>0</v>
      </c>
      <c r="AM1899" s="78" t="b">
        <f t="shared" si="1455"/>
        <v>0</v>
      </c>
      <c r="AN1899" s="78" t="b">
        <f t="shared" si="1456"/>
        <v>0</v>
      </c>
      <c r="AO1899" s="78" t="b">
        <f t="shared" si="1457"/>
        <v>0</v>
      </c>
    </row>
    <row r="1900" spans="7:41" x14ac:dyDescent="0.35">
      <c r="G1900" s="77">
        <f t="shared" si="1427"/>
        <v>0</v>
      </c>
      <c r="H1900" s="78">
        <f t="shared" si="1428"/>
        <v>0</v>
      </c>
      <c r="I1900" s="77">
        <f t="shared" si="1429"/>
        <v>0</v>
      </c>
      <c r="J1900" s="78">
        <f t="shared" si="1430"/>
        <v>0</v>
      </c>
      <c r="K1900" s="78" t="str">
        <f t="shared" si="1431"/>
        <v>1900-01-00 00:0:00</v>
      </c>
      <c r="L1900" s="78" t="str">
        <f t="shared" si="1432"/>
        <v>1900-01-00 00:0:00</v>
      </c>
      <c r="M1900" s="79">
        <f t="shared" si="1433"/>
        <v>0</v>
      </c>
      <c r="N1900">
        <f t="shared" si="1458"/>
        <v>1</v>
      </c>
      <c r="O1900" t="str">
        <f>IFERROR(_xlfn.XLOOKUP(A1900,HC!A:A,HC!C:C),"")</f>
        <v>Workforce</v>
      </c>
      <c r="R1900" s="78" t="b">
        <f t="shared" si="1434"/>
        <v>0</v>
      </c>
      <c r="S1900" s="78" t="b">
        <f t="shared" si="1435"/>
        <v>0</v>
      </c>
      <c r="T1900" s="78" t="b">
        <f t="shared" si="1436"/>
        <v>0</v>
      </c>
      <c r="U1900" s="78" t="b">
        <f t="shared" si="1437"/>
        <v>0</v>
      </c>
      <c r="V1900" s="78" t="b">
        <f t="shared" si="1438"/>
        <v>0</v>
      </c>
      <c r="W1900" s="78" t="b">
        <f t="shared" si="1439"/>
        <v>0</v>
      </c>
      <c r="X1900" s="78" t="b">
        <f t="shared" si="1440"/>
        <v>0</v>
      </c>
      <c r="Y1900" s="78" t="b">
        <f t="shared" si="1441"/>
        <v>0</v>
      </c>
      <c r="Z1900" s="78" t="b">
        <f t="shared" si="1442"/>
        <v>0</v>
      </c>
      <c r="AA1900" s="78" t="b">
        <f t="shared" si="1443"/>
        <v>0</v>
      </c>
      <c r="AB1900" s="78" t="b">
        <f t="shared" si="1444"/>
        <v>0</v>
      </c>
      <c r="AC1900" s="78" t="b">
        <f t="shared" si="1445"/>
        <v>0</v>
      </c>
      <c r="AD1900" s="78" t="b">
        <f t="shared" si="1446"/>
        <v>0</v>
      </c>
      <c r="AE1900" s="78" t="b">
        <f t="shared" si="1447"/>
        <v>0</v>
      </c>
      <c r="AF1900" s="78" t="b">
        <f t="shared" si="1448"/>
        <v>0</v>
      </c>
      <c r="AG1900" s="78" t="b">
        <f t="shared" si="1449"/>
        <v>0</v>
      </c>
      <c r="AH1900" s="78" t="b">
        <f t="shared" si="1450"/>
        <v>0</v>
      </c>
      <c r="AI1900" s="78" t="b">
        <f t="shared" si="1451"/>
        <v>0</v>
      </c>
      <c r="AJ1900" s="78" t="b">
        <f t="shared" si="1452"/>
        <v>0</v>
      </c>
      <c r="AK1900" s="78" t="b">
        <f t="shared" si="1453"/>
        <v>0</v>
      </c>
      <c r="AL1900" s="78" t="b">
        <f t="shared" si="1454"/>
        <v>0</v>
      </c>
      <c r="AM1900" s="78" t="b">
        <f t="shared" si="1455"/>
        <v>0</v>
      </c>
      <c r="AN1900" s="78" t="b">
        <f t="shared" si="1456"/>
        <v>0</v>
      </c>
      <c r="AO1900" s="78" t="b">
        <f t="shared" si="1457"/>
        <v>0</v>
      </c>
    </row>
    <row r="1901" spans="7:41" x14ac:dyDescent="0.35">
      <c r="G1901" s="77">
        <f t="shared" si="1427"/>
        <v>0</v>
      </c>
      <c r="H1901" s="78">
        <f t="shared" si="1428"/>
        <v>0</v>
      </c>
      <c r="I1901" s="77">
        <f t="shared" si="1429"/>
        <v>0</v>
      </c>
      <c r="J1901" s="78">
        <f t="shared" si="1430"/>
        <v>0</v>
      </c>
      <c r="K1901" s="78" t="str">
        <f t="shared" si="1431"/>
        <v>1900-01-00 00:0:00</v>
      </c>
      <c r="L1901" s="78" t="str">
        <f t="shared" si="1432"/>
        <v>1900-01-00 00:0:00</v>
      </c>
      <c r="M1901" s="79">
        <f t="shared" si="1433"/>
        <v>0</v>
      </c>
      <c r="N1901">
        <f t="shared" si="1458"/>
        <v>1</v>
      </c>
      <c r="O1901" t="str">
        <f>IFERROR(_xlfn.XLOOKUP(A1901,HC!A:A,HC!C:C),"")</f>
        <v>Workforce</v>
      </c>
      <c r="R1901" s="78" t="b">
        <f t="shared" si="1434"/>
        <v>0</v>
      </c>
      <c r="S1901" s="78" t="b">
        <f t="shared" si="1435"/>
        <v>0</v>
      </c>
      <c r="T1901" s="78" t="b">
        <f t="shared" si="1436"/>
        <v>0</v>
      </c>
      <c r="U1901" s="78" t="b">
        <f t="shared" si="1437"/>
        <v>0</v>
      </c>
      <c r="V1901" s="78" t="b">
        <f t="shared" si="1438"/>
        <v>0</v>
      </c>
      <c r="W1901" s="78" t="b">
        <f t="shared" si="1439"/>
        <v>0</v>
      </c>
      <c r="X1901" s="78" t="b">
        <f t="shared" si="1440"/>
        <v>0</v>
      </c>
      <c r="Y1901" s="78" t="b">
        <f t="shared" si="1441"/>
        <v>0</v>
      </c>
      <c r="Z1901" s="78" t="b">
        <f t="shared" si="1442"/>
        <v>0</v>
      </c>
      <c r="AA1901" s="78" t="b">
        <f t="shared" si="1443"/>
        <v>0</v>
      </c>
      <c r="AB1901" s="78" t="b">
        <f t="shared" si="1444"/>
        <v>0</v>
      </c>
      <c r="AC1901" s="78" t="b">
        <f t="shared" si="1445"/>
        <v>0</v>
      </c>
      <c r="AD1901" s="78" t="b">
        <f t="shared" si="1446"/>
        <v>0</v>
      </c>
      <c r="AE1901" s="78" t="b">
        <f t="shared" si="1447"/>
        <v>0</v>
      </c>
      <c r="AF1901" s="78" t="b">
        <f t="shared" si="1448"/>
        <v>0</v>
      </c>
      <c r="AG1901" s="78" t="b">
        <f t="shared" si="1449"/>
        <v>0</v>
      </c>
      <c r="AH1901" s="78" t="b">
        <f t="shared" si="1450"/>
        <v>0</v>
      </c>
      <c r="AI1901" s="78" t="b">
        <f t="shared" si="1451"/>
        <v>0</v>
      </c>
      <c r="AJ1901" s="78" t="b">
        <f t="shared" si="1452"/>
        <v>0</v>
      </c>
      <c r="AK1901" s="78" t="b">
        <f t="shared" si="1453"/>
        <v>0</v>
      </c>
      <c r="AL1901" s="78" t="b">
        <f t="shared" si="1454"/>
        <v>0</v>
      </c>
      <c r="AM1901" s="78" t="b">
        <f t="shared" si="1455"/>
        <v>0</v>
      </c>
      <c r="AN1901" s="78" t="b">
        <f t="shared" si="1456"/>
        <v>0</v>
      </c>
      <c r="AO1901" s="78" t="b">
        <f t="shared" si="1457"/>
        <v>0</v>
      </c>
    </row>
    <row r="1902" spans="7:41" x14ac:dyDescent="0.35">
      <c r="G1902" s="77">
        <f t="shared" si="1427"/>
        <v>0</v>
      </c>
      <c r="H1902" s="78">
        <f t="shared" si="1428"/>
        <v>0</v>
      </c>
      <c r="I1902" s="77">
        <f t="shared" si="1429"/>
        <v>0</v>
      </c>
      <c r="J1902" s="78">
        <f t="shared" si="1430"/>
        <v>0</v>
      </c>
      <c r="K1902" s="78" t="str">
        <f t="shared" si="1431"/>
        <v>1900-01-00 00:0:00</v>
      </c>
      <c r="L1902" s="78" t="str">
        <f t="shared" si="1432"/>
        <v>1900-01-00 00:0:00</v>
      </c>
      <c r="M1902" s="79">
        <f t="shared" si="1433"/>
        <v>0</v>
      </c>
      <c r="N1902">
        <f t="shared" si="1458"/>
        <v>1</v>
      </c>
      <c r="O1902" t="str">
        <f>IFERROR(_xlfn.XLOOKUP(A1902,HC!A:A,HC!C:C),"")</f>
        <v>Workforce</v>
      </c>
      <c r="R1902" s="78" t="b">
        <f t="shared" si="1434"/>
        <v>0</v>
      </c>
      <c r="S1902" s="78" t="b">
        <f t="shared" si="1435"/>
        <v>0</v>
      </c>
      <c r="T1902" s="78" t="b">
        <f t="shared" si="1436"/>
        <v>0</v>
      </c>
      <c r="U1902" s="78" t="b">
        <f t="shared" si="1437"/>
        <v>0</v>
      </c>
      <c r="V1902" s="78" t="b">
        <f t="shared" si="1438"/>
        <v>0</v>
      </c>
      <c r="W1902" s="78" t="b">
        <f t="shared" si="1439"/>
        <v>0</v>
      </c>
      <c r="X1902" s="78" t="b">
        <f t="shared" si="1440"/>
        <v>0</v>
      </c>
      <c r="Y1902" s="78" t="b">
        <f t="shared" si="1441"/>
        <v>0</v>
      </c>
      <c r="Z1902" s="78" t="b">
        <f t="shared" si="1442"/>
        <v>0</v>
      </c>
      <c r="AA1902" s="78" t="b">
        <f t="shared" si="1443"/>
        <v>0</v>
      </c>
      <c r="AB1902" s="78" t="b">
        <f t="shared" si="1444"/>
        <v>0</v>
      </c>
      <c r="AC1902" s="78" t="b">
        <f t="shared" si="1445"/>
        <v>0</v>
      </c>
      <c r="AD1902" s="78" t="b">
        <f t="shared" si="1446"/>
        <v>0</v>
      </c>
      <c r="AE1902" s="78" t="b">
        <f t="shared" si="1447"/>
        <v>0</v>
      </c>
      <c r="AF1902" s="78" t="b">
        <f t="shared" si="1448"/>
        <v>0</v>
      </c>
      <c r="AG1902" s="78" t="b">
        <f t="shared" si="1449"/>
        <v>0</v>
      </c>
      <c r="AH1902" s="78" t="b">
        <f t="shared" si="1450"/>
        <v>0</v>
      </c>
      <c r="AI1902" s="78" t="b">
        <f t="shared" si="1451"/>
        <v>0</v>
      </c>
      <c r="AJ1902" s="78" t="b">
        <f t="shared" si="1452"/>
        <v>0</v>
      </c>
      <c r="AK1902" s="78" t="b">
        <f t="shared" si="1453"/>
        <v>0</v>
      </c>
      <c r="AL1902" s="78" t="b">
        <f t="shared" si="1454"/>
        <v>0</v>
      </c>
      <c r="AM1902" s="78" t="b">
        <f t="shared" si="1455"/>
        <v>0</v>
      </c>
      <c r="AN1902" s="78" t="b">
        <f t="shared" si="1456"/>
        <v>0</v>
      </c>
      <c r="AO1902" s="78" t="b">
        <f t="shared" si="1457"/>
        <v>0</v>
      </c>
    </row>
    <row r="1903" spans="7:41" x14ac:dyDescent="0.35">
      <c r="G1903" s="77">
        <f t="shared" si="1427"/>
        <v>0</v>
      </c>
      <c r="H1903" s="78">
        <f t="shared" si="1428"/>
        <v>0</v>
      </c>
      <c r="I1903" s="77">
        <f t="shared" si="1429"/>
        <v>0</v>
      </c>
      <c r="J1903" s="78">
        <f t="shared" si="1430"/>
        <v>0</v>
      </c>
      <c r="K1903" s="78" t="str">
        <f t="shared" si="1431"/>
        <v>1900-01-00 00:0:00</v>
      </c>
      <c r="L1903" s="78" t="str">
        <f t="shared" si="1432"/>
        <v>1900-01-00 00:0:00</v>
      </c>
      <c r="M1903" s="79">
        <f t="shared" si="1433"/>
        <v>0</v>
      </c>
      <c r="N1903">
        <f t="shared" si="1458"/>
        <v>1</v>
      </c>
      <c r="O1903" t="str">
        <f>IFERROR(_xlfn.XLOOKUP(A1903,HC!A:A,HC!C:C),"")</f>
        <v>Workforce</v>
      </c>
      <c r="R1903" s="78" t="b">
        <f t="shared" si="1434"/>
        <v>0</v>
      </c>
      <c r="S1903" s="78" t="b">
        <f t="shared" si="1435"/>
        <v>0</v>
      </c>
      <c r="T1903" s="78" t="b">
        <f t="shared" si="1436"/>
        <v>0</v>
      </c>
      <c r="U1903" s="78" t="b">
        <f t="shared" si="1437"/>
        <v>0</v>
      </c>
      <c r="V1903" s="78" t="b">
        <f t="shared" si="1438"/>
        <v>0</v>
      </c>
      <c r="W1903" s="78" t="b">
        <f t="shared" si="1439"/>
        <v>0</v>
      </c>
      <c r="X1903" s="78" t="b">
        <f t="shared" si="1440"/>
        <v>0</v>
      </c>
      <c r="Y1903" s="78" t="b">
        <f t="shared" si="1441"/>
        <v>0</v>
      </c>
      <c r="Z1903" s="78" t="b">
        <f t="shared" si="1442"/>
        <v>0</v>
      </c>
      <c r="AA1903" s="78" t="b">
        <f t="shared" si="1443"/>
        <v>0</v>
      </c>
      <c r="AB1903" s="78" t="b">
        <f t="shared" si="1444"/>
        <v>0</v>
      </c>
      <c r="AC1903" s="78" t="b">
        <f t="shared" si="1445"/>
        <v>0</v>
      </c>
      <c r="AD1903" s="78" t="b">
        <f t="shared" si="1446"/>
        <v>0</v>
      </c>
      <c r="AE1903" s="78" t="b">
        <f t="shared" si="1447"/>
        <v>0</v>
      </c>
      <c r="AF1903" s="78" t="b">
        <f t="shared" si="1448"/>
        <v>0</v>
      </c>
      <c r="AG1903" s="78" t="b">
        <f t="shared" si="1449"/>
        <v>0</v>
      </c>
      <c r="AH1903" s="78" t="b">
        <f t="shared" si="1450"/>
        <v>0</v>
      </c>
      <c r="AI1903" s="78" t="b">
        <f t="shared" si="1451"/>
        <v>0</v>
      </c>
      <c r="AJ1903" s="78" t="b">
        <f t="shared" si="1452"/>
        <v>0</v>
      </c>
      <c r="AK1903" s="78" t="b">
        <f t="shared" si="1453"/>
        <v>0</v>
      </c>
      <c r="AL1903" s="78" t="b">
        <f t="shared" si="1454"/>
        <v>0</v>
      </c>
      <c r="AM1903" s="78" t="b">
        <f t="shared" si="1455"/>
        <v>0</v>
      </c>
      <c r="AN1903" s="78" t="b">
        <f t="shared" si="1456"/>
        <v>0</v>
      </c>
      <c r="AO1903" s="78" t="b">
        <f t="shared" si="1457"/>
        <v>0</v>
      </c>
    </row>
    <row r="1904" spans="7:41" x14ac:dyDescent="0.35">
      <c r="G1904" s="77">
        <f t="shared" si="1427"/>
        <v>0</v>
      </c>
      <c r="H1904" s="78">
        <f t="shared" si="1428"/>
        <v>0</v>
      </c>
      <c r="I1904" s="77">
        <f t="shared" si="1429"/>
        <v>0</v>
      </c>
      <c r="J1904" s="78">
        <f t="shared" si="1430"/>
        <v>0</v>
      </c>
      <c r="K1904" s="78" t="str">
        <f t="shared" si="1431"/>
        <v>1900-01-00 00:0:00</v>
      </c>
      <c r="L1904" s="78" t="str">
        <f t="shared" si="1432"/>
        <v>1900-01-00 00:0:00</v>
      </c>
      <c r="M1904" s="79">
        <f t="shared" si="1433"/>
        <v>0</v>
      </c>
      <c r="N1904">
        <f t="shared" si="1458"/>
        <v>1</v>
      </c>
      <c r="O1904" t="str">
        <f>IFERROR(_xlfn.XLOOKUP(A1904,HC!A:A,HC!C:C),"")</f>
        <v>Workforce</v>
      </c>
      <c r="R1904" s="78" t="b">
        <f t="shared" si="1434"/>
        <v>0</v>
      </c>
      <c r="S1904" s="78" t="b">
        <f t="shared" si="1435"/>
        <v>0</v>
      </c>
      <c r="T1904" s="78" t="b">
        <f t="shared" si="1436"/>
        <v>0</v>
      </c>
      <c r="U1904" s="78" t="b">
        <f t="shared" si="1437"/>
        <v>0</v>
      </c>
      <c r="V1904" s="78" t="b">
        <f t="shared" si="1438"/>
        <v>0</v>
      </c>
      <c r="W1904" s="78" t="b">
        <f t="shared" si="1439"/>
        <v>0</v>
      </c>
      <c r="X1904" s="78" t="b">
        <f t="shared" si="1440"/>
        <v>0</v>
      </c>
      <c r="Y1904" s="78" t="b">
        <f t="shared" si="1441"/>
        <v>0</v>
      </c>
      <c r="Z1904" s="78" t="b">
        <f t="shared" si="1442"/>
        <v>0</v>
      </c>
      <c r="AA1904" s="78" t="b">
        <f t="shared" si="1443"/>
        <v>0</v>
      </c>
      <c r="AB1904" s="78" t="b">
        <f t="shared" si="1444"/>
        <v>0</v>
      </c>
      <c r="AC1904" s="78" t="b">
        <f t="shared" si="1445"/>
        <v>0</v>
      </c>
      <c r="AD1904" s="78" t="b">
        <f t="shared" si="1446"/>
        <v>0</v>
      </c>
      <c r="AE1904" s="78" t="b">
        <f t="shared" si="1447"/>
        <v>0</v>
      </c>
      <c r="AF1904" s="78" t="b">
        <f t="shared" si="1448"/>
        <v>0</v>
      </c>
      <c r="AG1904" s="78" t="b">
        <f t="shared" si="1449"/>
        <v>0</v>
      </c>
      <c r="AH1904" s="78" t="b">
        <f t="shared" si="1450"/>
        <v>0</v>
      </c>
      <c r="AI1904" s="78" t="b">
        <f t="shared" si="1451"/>
        <v>0</v>
      </c>
      <c r="AJ1904" s="78" t="b">
        <f t="shared" si="1452"/>
        <v>0</v>
      </c>
      <c r="AK1904" s="78" t="b">
        <f t="shared" si="1453"/>
        <v>0</v>
      </c>
      <c r="AL1904" s="78" t="b">
        <f t="shared" si="1454"/>
        <v>0</v>
      </c>
      <c r="AM1904" s="78" t="b">
        <f t="shared" si="1455"/>
        <v>0</v>
      </c>
      <c r="AN1904" s="78" t="b">
        <f t="shared" si="1456"/>
        <v>0</v>
      </c>
      <c r="AO1904" s="78" t="b">
        <f t="shared" si="1457"/>
        <v>0</v>
      </c>
    </row>
    <row r="1905" spans="7:41" x14ac:dyDescent="0.35">
      <c r="G1905" s="77">
        <f t="shared" si="1427"/>
        <v>0</v>
      </c>
      <c r="H1905" s="78">
        <f t="shared" si="1428"/>
        <v>0</v>
      </c>
      <c r="I1905" s="77">
        <f t="shared" si="1429"/>
        <v>0</v>
      </c>
      <c r="J1905" s="78">
        <f t="shared" si="1430"/>
        <v>0</v>
      </c>
      <c r="K1905" s="78" t="str">
        <f t="shared" si="1431"/>
        <v>1900-01-00 00:0:00</v>
      </c>
      <c r="L1905" s="78" t="str">
        <f t="shared" si="1432"/>
        <v>1900-01-00 00:0:00</v>
      </c>
      <c r="M1905" s="79">
        <f t="shared" si="1433"/>
        <v>0</v>
      </c>
      <c r="N1905">
        <f t="shared" si="1458"/>
        <v>1</v>
      </c>
      <c r="O1905" t="str">
        <f>IFERROR(_xlfn.XLOOKUP(A1905,HC!A:A,HC!C:C),"")</f>
        <v>Workforce</v>
      </c>
      <c r="R1905" s="78" t="b">
        <f t="shared" si="1434"/>
        <v>0</v>
      </c>
      <c r="S1905" s="78" t="b">
        <f t="shared" si="1435"/>
        <v>0</v>
      </c>
      <c r="T1905" s="78" t="b">
        <f t="shared" si="1436"/>
        <v>0</v>
      </c>
      <c r="U1905" s="78" t="b">
        <f t="shared" si="1437"/>
        <v>0</v>
      </c>
      <c r="V1905" s="78" t="b">
        <f t="shared" si="1438"/>
        <v>0</v>
      </c>
      <c r="W1905" s="78" t="b">
        <f t="shared" si="1439"/>
        <v>0</v>
      </c>
      <c r="X1905" s="78" t="b">
        <f t="shared" si="1440"/>
        <v>0</v>
      </c>
      <c r="Y1905" s="78" t="b">
        <f t="shared" si="1441"/>
        <v>0</v>
      </c>
      <c r="Z1905" s="78" t="b">
        <f t="shared" si="1442"/>
        <v>0</v>
      </c>
      <c r="AA1905" s="78" t="b">
        <f t="shared" si="1443"/>
        <v>0</v>
      </c>
      <c r="AB1905" s="78" t="b">
        <f t="shared" si="1444"/>
        <v>0</v>
      </c>
      <c r="AC1905" s="78" t="b">
        <f t="shared" si="1445"/>
        <v>0</v>
      </c>
      <c r="AD1905" s="78" t="b">
        <f t="shared" si="1446"/>
        <v>0</v>
      </c>
      <c r="AE1905" s="78" t="b">
        <f t="shared" si="1447"/>
        <v>0</v>
      </c>
      <c r="AF1905" s="78" t="b">
        <f t="shared" si="1448"/>
        <v>0</v>
      </c>
      <c r="AG1905" s="78" t="b">
        <f t="shared" si="1449"/>
        <v>0</v>
      </c>
      <c r="AH1905" s="78" t="b">
        <f t="shared" si="1450"/>
        <v>0</v>
      </c>
      <c r="AI1905" s="78" t="b">
        <f t="shared" si="1451"/>
        <v>0</v>
      </c>
      <c r="AJ1905" s="78" t="b">
        <f t="shared" si="1452"/>
        <v>0</v>
      </c>
      <c r="AK1905" s="78" t="b">
        <f t="shared" si="1453"/>
        <v>0</v>
      </c>
      <c r="AL1905" s="78" t="b">
        <f t="shared" si="1454"/>
        <v>0</v>
      </c>
      <c r="AM1905" s="78" t="b">
        <f t="shared" si="1455"/>
        <v>0</v>
      </c>
      <c r="AN1905" s="78" t="b">
        <f t="shared" si="1456"/>
        <v>0</v>
      </c>
      <c r="AO1905" s="78" t="b">
        <f t="shared" si="1457"/>
        <v>0</v>
      </c>
    </row>
    <row r="1906" spans="7:41" x14ac:dyDescent="0.35">
      <c r="G1906" s="77">
        <f t="shared" si="1427"/>
        <v>0</v>
      </c>
      <c r="H1906" s="78">
        <f t="shared" si="1428"/>
        <v>0</v>
      </c>
      <c r="I1906" s="77">
        <f t="shared" si="1429"/>
        <v>0</v>
      </c>
      <c r="J1906" s="78">
        <f t="shared" si="1430"/>
        <v>0</v>
      </c>
      <c r="K1906" s="78" t="str">
        <f t="shared" si="1431"/>
        <v>1900-01-00 00:0:00</v>
      </c>
      <c r="L1906" s="78" t="str">
        <f t="shared" si="1432"/>
        <v>1900-01-00 00:0:00</v>
      </c>
      <c r="M1906" s="79">
        <f t="shared" si="1433"/>
        <v>0</v>
      </c>
      <c r="N1906">
        <f t="shared" si="1458"/>
        <v>1</v>
      </c>
      <c r="O1906" t="str">
        <f>IFERROR(_xlfn.XLOOKUP(A1906,HC!A:A,HC!C:C),"")</f>
        <v>Workforce</v>
      </c>
      <c r="R1906" s="78" t="b">
        <f t="shared" si="1434"/>
        <v>0</v>
      </c>
      <c r="S1906" s="78" t="b">
        <f t="shared" si="1435"/>
        <v>0</v>
      </c>
      <c r="T1906" s="78" t="b">
        <f t="shared" si="1436"/>
        <v>0</v>
      </c>
      <c r="U1906" s="78" t="b">
        <f t="shared" si="1437"/>
        <v>0</v>
      </c>
      <c r="V1906" s="78" t="b">
        <f t="shared" si="1438"/>
        <v>0</v>
      </c>
      <c r="W1906" s="78" t="b">
        <f t="shared" si="1439"/>
        <v>0</v>
      </c>
      <c r="X1906" s="78" t="b">
        <f t="shared" si="1440"/>
        <v>0</v>
      </c>
      <c r="Y1906" s="78" t="b">
        <f t="shared" si="1441"/>
        <v>0</v>
      </c>
      <c r="Z1906" s="78" t="b">
        <f t="shared" si="1442"/>
        <v>0</v>
      </c>
      <c r="AA1906" s="78" t="b">
        <f t="shared" si="1443"/>
        <v>0</v>
      </c>
      <c r="AB1906" s="78" t="b">
        <f t="shared" si="1444"/>
        <v>0</v>
      </c>
      <c r="AC1906" s="78" t="b">
        <f t="shared" si="1445"/>
        <v>0</v>
      </c>
      <c r="AD1906" s="78" t="b">
        <f t="shared" si="1446"/>
        <v>0</v>
      </c>
      <c r="AE1906" s="78" t="b">
        <f t="shared" si="1447"/>
        <v>0</v>
      </c>
      <c r="AF1906" s="78" t="b">
        <f t="shared" si="1448"/>
        <v>0</v>
      </c>
      <c r="AG1906" s="78" t="b">
        <f t="shared" si="1449"/>
        <v>0</v>
      </c>
      <c r="AH1906" s="78" t="b">
        <f t="shared" si="1450"/>
        <v>0</v>
      </c>
      <c r="AI1906" s="78" t="b">
        <f t="shared" si="1451"/>
        <v>0</v>
      </c>
      <c r="AJ1906" s="78" t="b">
        <f t="shared" si="1452"/>
        <v>0</v>
      </c>
      <c r="AK1906" s="78" t="b">
        <f t="shared" si="1453"/>
        <v>0</v>
      </c>
      <c r="AL1906" s="78" t="b">
        <f t="shared" si="1454"/>
        <v>0</v>
      </c>
      <c r="AM1906" s="78" t="b">
        <f t="shared" si="1455"/>
        <v>0</v>
      </c>
      <c r="AN1906" s="78" t="b">
        <f t="shared" si="1456"/>
        <v>0</v>
      </c>
      <c r="AO1906" s="78" t="b">
        <f t="shared" si="1457"/>
        <v>0</v>
      </c>
    </row>
    <row r="1907" spans="7:41" x14ac:dyDescent="0.35">
      <c r="G1907" s="77">
        <f t="shared" si="1427"/>
        <v>0</v>
      </c>
      <c r="H1907" s="78">
        <f t="shared" si="1428"/>
        <v>0</v>
      </c>
      <c r="I1907" s="77">
        <f t="shared" si="1429"/>
        <v>0</v>
      </c>
      <c r="J1907" s="78">
        <f t="shared" si="1430"/>
        <v>0</v>
      </c>
      <c r="K1907" s="78" t="str">
        <f t="shared" si="1431"/>
        <v>1900-01-00 00:0:00</v>
      </c>
      <c r="L1907" s="78" t="str">
        <f t="shared" si="1432"/>
        <v>1900-01-00 00:0:00</v>
      </c>
      <c r="M1907" s="79">
        <f t="shared" si="1433"/>
        <v>0</v>
      </c>
      <c r="N1907">
        <f t="shared" si="1458"/>
        <v>1</v>
      </c>
      <c r="O1907" t="str">
        <f>IFERROR(_xlfn.XLOOKUP(A1907,HC!A:A,HC!C:C),"")</f>
        <v>Workforce</v>
      </c>
      <c r="R1907" s="78" t="b">
        <f t="shared" si="1434"/>
        <v>0</v>
      </c>
      <c r="S1907" s="78" t="b">
        <f t="shared" si="1435"/>
        <v>0</v>
      </c>
      <c r="T1907" s="78" t="b">
        <f t="shared" si="1436"/>
        <v>0</v>
      </c>
      <c r="U1907" s="78" t="b">
        <f t="shared" si="1437"/>
        <v>0</v>
      </c>
      <c r="V1907" s="78" t="b">
        <f t="shared" si="1438"/>
        <v>0</v>
      </c>
      <c r="W1907" s="78" t="b">
        <f t="shared" si="1439"/>
        <v>0</v>
      </c>
      <c r="X1907" s="78" t="b">
        <f t="shared" si="1440"/>
        <v>0</v>
      </c>
      <c r="Y1907" s="78" t="b">
        <f t="shared" si="1441"/>
        <v>0</v>
      </c>
      <c r="Z1907" s="78" t="b">
        <f t="shared" si="1442"/>
        <v>0</v>
      </c>
      <c r="AA1907" s="78" t="b">
        <f t="shared" si="1443"/>
        <v>0</v>
      </c>
      <c r="AB1907" s="78" t="b">
        <f t="shared" si="1444"/>
        <v>0</v>
      </c>
      <c r="AC1907" s="78" t="b">
        <f t="shared" si="1445"/>
        <v>0</v>
      </c>
      <c r="AD1907" s="78" t="b">
        <f t="shared" si="1446"/>
        <v>0</v>
      </c>
      <c r="AE1907" s="78" t="b">
        <f t="shared" si="1447"/>
        <v>0</v>
      </c>
      <c r="AF1907" s="78" t="b">
        <f t="shared" si="1448"/>
        <v>0</v>
      </c>
      <c r="AG1907" s="78" t="b">
        <f t="shared" si="1449"/>
        <v>0</v>
      </c>
      <c r="AH1907" s="78" t="b">
        <f t="shared" si="1450"/>
        <v>0</v>
      </c>
      <c r="AI1907" s="78" t="b">
        <f t="shared" si="1451"/>
        <v>0</v>
      </c>
      <c r="AJ1907" s="78" t="b">
        <f t="shared" si="1452"/>
        <v>0</v>
      </c>
      <c r="AK1907" s="78" t="b">
        <f t="shared" si="1453"/>
        <v>0</v>
      </c>
      <c r="AL1907" s="78" t="b">
        <f t="shared" si="1454"/>
        <v>0</v>
      </c>
      <c r="AM1907" s="78" t="b">
        <f t="shared" si="1455"/>
        <v>0</v>
      </c>
      <c r="AN1907" s="78" t="b">
        <f t="shared" si="1456"/>
        <v>0</v>
      </c>
      <c r="AO1907" s="78" t="b">
        <f t="shared" si="1457"/>
        <v>0</v>
      </c>
    </row>
    <row r="1908" spans="7:41" x14ac:dyDescent="0.35">
      <c r="G1908" s="77">
        <f t="shared" si="1427"/>
        <v>0</v>
      </c>
      <c r="H1908" s="78">
        <f t="shared" si="1428"/>
        <v>0</v>
      </c>
      <c r="I1908" s="77">
        <f t="shared" si="1429"/>
        <v>0</v>
      </c>
      <c r="J1908" s="78">
        <f t="shared" si="1430"/>
        <v>0</v>
      </c>
      <c r="K1908" s="78" t="str">
        <f t="shared" si="1431"/>
        <v>1900-01-00 00:0:00</v>
      </c>
      <c r="L1908" s="78" t="str">
        <f t="shared" si="1432"/>
        <v>1900-01-00 00:0:00</v>
      </c>
      <c r="M1908" s="79">
        <f t="shared" si="1433"/>
        <v>0</v>
      </c>
      <c r="N1908">
        <f t="shared" si="1458"/>
        <v>1</v>
      </c>
      <c r="O1908" t="str">
        <f>IFERROR(_xlfn.XLOOKUP(A1908,HC!A:A,HC!C:C),"")</f>
        <v>Workforce</v>
      </c>
      <c r="R1908" s="78" t="b">
        <f t="shared" si="1434"/>
        <v>0</v>
      </c>
      <c r="S1908" s="78" t="b">
        <f t="shared" si="1435"/>
        <v>0</v>
      </c>
      <c r="T1908" s="78" t="b">
        <f t="shared" si="1436"/>
        <v>0</v>
      </c>
      <c r="U1908" s="78" t="b">
        <f t="shared" si="1437"/>
        <v>0</v>
      </c>
      <c r="V1908" s="78" t="b">
        <f t="shared" si="1438"/>
        <v>0</v>
      </c>
      <c r="W1908" s="78" t="b">
        <f t="shared" si="1439"/>
        <v>0</v>
      </c>
      <c r="X1908" s="78" t="b">
        <f t="shared" si="1440"/>
        <v>0</v>
      </c>
      <c r="Y1908" s="78" t="b">
        <f t="shared" si="1441"/>
        <v>0</v>
      </c>
      <c r="Z1908" s="78" t="b">
        <f t="shared" si="1442"/>
        <v>0</v>
      </c>
      <c r="AA1908" s="78" t="b">
        <f t="shared" si="1443"/>
        <v>0</v>
      </c>
      <c r="AB1908" s="78" t="b">
        <f t="shared" si="1444"/>
        <v>0</v>
      </c>
      <c r="AC1908" s="78" t="b">
        <f t="shared" si="1445"/>
        <v>0</v>
      </c>
      <c r="AD1908" s="78" t="b">
        <f t="shared" si="1446"/>
        <v>0</v>
      </c>
      <c r="AE1908" s="78" t="b">
        <f t="shared" si="1447"/>
        <v>0</v>
      </c>
      <c r="AF1908" s="78" t="b">
        <f t="shared" si="1448"/>
        <v>0</v>
      </c>
      <c r="AG1908" s="78" t="b">
        <f t="shared" si="1449"/>
        <v>0</v>
      </c>
      <c r="AH1908" s="78" t="b">
        <f t="shared" si="1450"/>
        <v>0</v>
      </c>
      <c r="AI1908" s="78" t="b">
        <f t="shared" si="1451"/>
        <v>0</v>
      </c>
      <c r="AJ1908" s="78" t="b">
        <f t="shared" si="1452"/>
        <v>0</v>
      </c>
      <c r="AK1908" s="78" t="b">
        <f t="shared" si="1453"/>
        <v>0</v>
      </c>
      <c r="AL1908" s="78" t="b">
        <f t="shared" si="1454"/>
        <v>0</v>
      </c>
      <c r="AM1908" s="78" t="b">
        <f t="shared" si="1455"/>
        <v>0</v>
      </c>
      <c r="AN1908" s="78" t="b">
        <f t="shared" si="1456"/>
        <v>0</v>
      </c>
      <c r="AO1908" s="78" t="b">
        <f t="shared" si="1457"/>
        <v>0</v>
      </c>
    </row>
    <row r="1909" spans="7:41" x14ac:dyDescent="0.35">
      <c r="G1909" s="77">
        <f t="shared" si="1427"/>
        <v>0</v>
      </c>
      <c r="H1909" s="78">
        <f t="shared" si="1428"/>
        <v>0</v>
      </c>
      <c r="I1909" s="77">
        <f t="shared" si="1429"/>
        <v>0</v>
      </c>
      <c r="J1909" s="78">
        <f t="shared" si="1430"/>
        <v>0</v>
      </c>
      <c r="K1909" s="78" t="str">
        <f t="shared" si="1431"/>
        <v>1900-01-00 00:0:00</v>
      </c>
      <c r="L1909" s="78" t="str">
        <f t="shared" si="1432"/>
        <v>1900-01-00 00:0:00</v>
      </c>
      <c r="M1909" s="79">
        <f t="shared" si="1433"/>
        <v>0</v>
      </c>
      <c r="N1909">
        <f t="shared" si="1458"/>
        <v>1</v>
      </c>
      <c r="O1909" t="str">
        <f>IFERROR(_xlfn.XLOOKUP(A1909,HC!A:A,HC!C:C),"")</f>
        <v>Workforce</v>
      </c>
      <c r="R1909" s="78" t="b">
        <f t="shared" si="1434"/>
        <v>0</v>
      </c>
      <c r="S1909" s="78" t="b">
        <f t="shared" si="1435"/>
        <v>0</v>
      </c>
      <c r="T1909" s="78" t="b">
        <f t="shared" si="1436"/>
        <v>0</v>
      </c>
      <c r="U1909" s="78" t="b">
        <f t="shared" si="1437"/>
        <v>0</v>
      </c>
      <c r="V1909" s="78" t="b">
        <f t="shared" si="1438"/>
        <v>0</v>
      </c>
      <c r="W1909" s="78" t="b">
        <f t="shared" si="1439"/>
        <v>0</v>
      </c>
      <c r="X1909" s="78" t="b">
        <f t="shared" si="1440"/>
        <v>0</v>
      </c>
      <c r="Y1909" s="78" t="b">
        <f t="shared" si="1441"/>
        <v>0</v>
      </c>
      <c r="Z1909" s="78" t="b">
        <f t="shared" si="1442"/>
        <v>0</v>
      </c>
      <c r="AA1909" s="78" t="b">
        <f t="shared" si="1443"/>
        <v>0</v>
      </c>
      <c r="AB1909" s="78" t="b">
        <f t="shared" si="1444"/>
        <v>0</v>
      </c>
      <c r="AC1909" s="78" t="b">
        <f t="shared" si="1445"/>
        <v>0</v>
      </c>
      <c r="AD1909" s="78" t="b">
        <f t="shared" si="1446"/>
        <v>0</v>
      </c>
      <c r="AE1909" s="78" t="b">
        <f t="shared" si="1447"/>
        <v>0</v>
      </c>
      <c r="AF1909" s="78" t="b">
        <f t="shared" si="1448"/>
        <v>0</v>
      </c>
      <c r="AG1909" s="78" t="b">
        <f t="shared" si="1449"/>
        <v>0</v>
      </c>
      <c r="AH1909" s="78" t="b">
        <f t="shared" si="1450"/>
        <v>0</v>
      </c>
      <c r="AI1909" s="78" t="b">
        <f t="shared" si="1451"/>
        <v>0</v>
      </c>
      <c r="AJ1909" s="78" t="b">
        <f t="shared" si="1452"/>
        <v>0</v>
      </c>
      <c r="AK1909" s="78" t="b">
        <f t="shared" si="1453"/>
        <v>0</v>
      </c>
      <c r="AL1909" s="78" t="b">
        <f t="shared" si="1454"/>
        <v>0</v>
      </c>
      <c r="AM1909" s="78" t="b">
        <f t="shared" si="1455"/>
        <v>0</v>
      </c>
      <c r="AN1909" s="78" t="b">
        <f t="shared" si="1456"/>
        <v>0</v>
      </c>
      <c r="AO1909" s="78" t="b">
        <f t="shared" si="1457"/>
        <v>0</v>
      </c>
    </row>
    <row r="1910" spans="7:41" x14ac:dyDescent="0.35">
      <c r="G1910" s="77">
        <f t="shared" si="1427"/>
        <v>0</v>
      </c>
      <c r="H1910" s="78">
        <f t="shared" si="1428"/>
        <v>0</v>
      </c>
      <c r="I1910" s="77">
        <f t="shared" si="1429"/>
        <v>0</v>
      </c>
      <c r="J1910" s="78">
        <f t="shared" si="1430"/>
        <v>0</v>
      </c>
      <c r="K1910" s="78" t="str">
        <f t="shared" si="1431"/>
        <v>1900-01-00 00:0:00</v>
      </c>
      <c r="L1910" s="78" t="str">
        <f t="shared" si="1432"/>
        <v>1900-01-00 00:0:00</v>
      </c>
      <c r="M1910" s="79">
        <f t="shared" si="1433"/>
        <v>0</v>
      </c>
      <c r="N1910">
        <f t="shared" si="1458"/>
        <v>1</v>
      </c>
      <c r="O1910" t="str">
        <f>IFERROR(_xlfn.XLOOKUP(A1910,HC!A:A,HC!C:C),"")</f>
        <v>Workforce</v>
      </c>
      <c r="R1910" s="78" t="b">
        <f t="shared" si="1434"/>
        <v>0</v>
      </c>
      <c r="S1910" s="78" t="b">
        <f t="shared" si="1435"/>
        <v>0</v>
      </c>
      <c r="T1910" s="78" t="b">
        <f t="shared" si="1436"/>
        <v>0</v>
      </c>
      <c r="U1910" s="78" t="b">
        <f t="shared" si="1437"/>
        <v>0</v>
      </c>
      <c r="V1910" s="78" t="b">
        <f t="shared" si="1438"/>
        <v>0</v>
      </c>
      <c r="W1910" s="78" t="b">
        <f t="shared" si="1439"/>
        <v>0</v>
      </c>
      <c r="X1910" s="78" t="b">
        <f t="shared" si="1440"/>
        <v>0</v>
      </c>
      <c r="Y1910" s="78" t="b">
        <f t="shared" si="1441"/>
        <v>0</v>
      </c>
      <c r="Z1910" s="78" t="b">
        <f t="shared" si="1442"/>
        <v>0</v>
      </c>
      <c r="AA1910" s="78" t="b">
        <f t="shared" si="1443"/>
        <v>0</v>
      </c>
      <c r="AB1910" s="78" t="b">
        <f t="shared" si="1444"/>
        <v>0</v>
      </c>
      <c r="AC1910" s="78" t="b">
        <f t="shared" si="1445"/>
        <v>0</v>
      </c>
      <c r="AD1910" s="78" t="b">
        <f t="shared" si="1446"/>
        <v>0</v>
      </c>
      <c r="AE1910" s="78" t="b">
        <f t="shared" si="1447"/>
        <v>0</v>
      </c>
      <c r="AF1910" s="78" t="b">
        <f t="shared" si="1448"/>
        <v>0</v>
      </c>
      <c r="AG1910" s="78" t="b">
        <f t="shared" si="1449"/>
        <v>0</v>
      </c>
      <c r="AH1910" s="78" t="b">
        <f t="shared" si="1450"/>
        <v>0</v>
      </c>
      <c r="AI1910" s="78" t="b">
        <f t="shared" si="1451"/>
        <v>0</v>
      </c>
      <c r="AJ1910" s="78" t="b">
        <f t="shared" si="1452"/>
        <v>0</v>
      </c>
      <c r="AK1910" s="78" t="b">
        <f t="shared" si="1453"/>
        <v>0</v>
      </c>
      <c r="AL1910" s="78" t="b">
        <f t="shared" si="1454"/>
        <v>0</v>
      </c>
      <c r="AM1910" s="78" t="b">
        <f t="shared" si="1455"/>
        <v>0</v>
      </c>
      <c r="AN1910" s="78" t="b">
        <f t="shared" si="1456"/>
        <v>0</v>
      </c>
      <c r="AO1910" s="78" t="b">
        <f t="shared" si="1457"/>
        <v>0</v>
      </c>
    </row>
    <row r="1911" spans="7:41" x14ac:dyDescent="0.35">
      <c r="G1911" s="77">
        <f t="shared" si="1427"/>
        <v>0</v>
      </c>
      <c r="H1911" s="78">
        <f t="shared" si="1428"/>
        <v>0</v>
      </c>
      <c r="I1911" s="77">
        <f t="shared" si="1429"/>
        <v>0</v>
      </c>
      <c r="J1911" s="78">
        <f t="shared" si="1430"/>
        <v>0</v>
      </c>
      <c r="K1911" s="78" t="str">
        <f t="shared" si="1431"/>
        <v>1900-01-00 00:0:00</v>
      </c>
      <c r="L1911" s="78" t="str">
        <f t="shared" si="1432"/>
        <v>1900-01-00 00:0:00</v>
      </c>
      <c r="M1911" s="79">
        <f t="shared" si="1433"/>
        <v>0</v>
      </c>
      <c r="N1911">
        <f t="shared" si="1458"/>
        <v>1</v>
      </c>
      <c r="O1911" t="str">
        <f>IFERROR(_xlfn.XLOOKUP(A1911,HC!A:A,HC!C:C),"")</f>
        <v>Workforce</v>
      </c>
      <c r="R1911" s="78" t="b">
        <f t="shared" si="1434"/>
        <v>0</v>
      </c>
      <c r="S1911" s="78" t="b">
        <f t="shared" si="1435"/>
        <v>0</v>
      </c>
      <c r="T1911" s="78" t="b">
        <f t="shared" si="1436"/>
        <v>0</v>
      </c>
      <c r="U1911" s="78" t="b">
        <f t="shared" si="1437"/>
        <v>0</v>
      </c>
      <c r="V1911" s="78" t="b">
        <f t="shared" si="1438"/>
        <v>0</v>
      </c>
      <c r="W1911" s="78" t="b">
        <f t="shared" si="1439"/>
        <v>0</v>
      </c>
      <c r="X1911" s="78" t="b">
        <f t="shared" si="1440"/>
        <v>0</v>
      </c>
      <c r="Y1911" s="78" t="b">
        <f t="shared" si="1441"/>
        <v>0</v>
      </c>
      <c r="Z1911" s="78" t="b">
        <f t="shared" si="1442"/>
        <v>0</v>
      </c>
      <c r="AA1911" s="78" t="b">
        <f t="shared" si="1443"/>
        <v>0</v>
      </c>
      <c r="AB1911" s="78" t="b">
        <f t="shared" si="1444"/>
        <v>0</v>
      </c>
      <c r="AC1911" s="78" t="b">
        <f t="shared" si="1445"/>
        <v>0</v>
      </c>
      <c r="AD1911" s="78" t="b">
        <f t="shared" si="1446"/>
        <v>0</v>
      </c>
      <c r="AE1911" s="78" t="b">
        <f t="shared" si="1447"/>
        <v>0</v>
      </c>
      <c r="AF1911" s="78" t="b">
        <f t="shared" si="1448"/>
        <v>0</v>
      </c>
      <c r="AG1911" s="78" t="b">
        <f t="shared" si="1449"/>
        <v>0</v>
      </c>
      <c r="AH1911" s="78" t="b">
        <f t="shared" si="1450"/>
        <v>0</v>
      </c>
      <c r="AI1911" s="78" t="b">
        <f t="shared" si="1451"/>
        <v>0</v>
      </c>
      <c r="AJ1911" s="78" t="b">
        <f t="shared" si="1452"/>
        <v>0</v>
      </c>
      <c r="AK1911" s="78" t="b">
        <f t="shared" si="1453"/>
        <v>0</v>
      </c>
      <c r="AL1911" s="78" t="b">
        <f t="shared" si="1454"/>
        <v>0</v>
      </c>
      <c r="AM1911" s="78" t="b">
        <f t="shared" si="1455"/>
        <v>0</v>
      </c>
      <c r="AN1911" s="78" t="b">
        <f t="shared" si="1456"/>
        <v>0</v>
      </c>
      <c r="AO1911" s="78" t="b">
        <f t="shared" si="1457"/>
        <v>0</v>
      </c>
    </row>
    <row r="1912" spans="7:41" x14ac:dyDescent="0.35">
      <c r="G1912" s="77">
        <f t="shared" si="1427"/>
        <v>0</v>
      </c>
      <c r="H1912" s="78">
        <f t="shared" si="1428"/>
        <v>0</v>
      </c>
      <c r="I1912" s="77">
        <f t="shared" si="1429"/>
        <v>0</v>
      </c>
      <c r="J1912" s="78">
        <f t="shared" si="1430"/>
        <v>0</v>
      </c>
      <c r="K1912" s="78" t="str">
        <f t="shared" si="1431"/>
        <v>1900-01-00 00:0:00</v>
      </c>
      <c r="L1912" s="78" t="str">
        <f t="shared" si="1432"/>
        <v>1900-01-00 00:0:00</v>
      </c>
      <c r="M1912" s="79">
        <f t="shared" si="1433"/>
        <v>0</v>
      </c>
      <c r="N1912">
        <f t="shared" si="1458"/>
        <v>1</v>
      </c>
      <c r="O1912" t="str">
        <f>IFERROR(_xlfn.XLOOKUP(A1912,HC!A:A,HC!C:C),"")</f>
        <v>Workforce</v>
      </c>
      <c r="R1912" s="78" t="b">
        <f t="shared" si="1434"/>
        <v>0</v>
      </c>
      <c r="S1912" s="78" t="b">
        <f t="shared" si="1435"/>
        <v>0</v>
      </c>
      <c r="T1912" s="78" t="b">
        <f t="shared" si="1436"/>
        <v>0</v>
      </c>
      <c r="U1912" s="78" t="b">
        <f t="shared" si="1437"/>
        <v>0</v>
      </c>
      <c r="V1912" s="78" t="b">
        <f t="shared" si="1438"/>
        <v>0</v>
      </c>
      <c r="W1912" s="78" t="b">
        <f t="shared" si="1439"/>
        <v>0</v>
      </c>
      <c r="X1912" s="78" t="b">
        <f t="shared" si="1440"/>
        <v>0</v>
      </c>
      <c r="Y1912" s="78" t="b">
        <f t="shared" si="1441"/>
        <v>0</v>
      </c>
      <c r="Z1912" s="78" t="b">
        <f t="shared" si="1442"/>
        <v>0</v>
      </c>
      <c r="AA1912" s="78" t="b">
        <f t="shared" si="1443"/>
        <v>0</v>
      </c>
      <c r="AB1912" s="78" t="b">
        <f t="shared" si="1444"/>
        <v>0</v>
      </c>
      <c r="AC1912" s="78" t="b">
        <f t="shared" si="1445"/>
        <v>0</v>
      </c>
      <c r="AD1912" s="78" t="b">
        <f t="shared" si="1446"/>
        <v>0</v>
      </c>
      <c r="AE1912" s="78" t="b">
        <f t="shared" si="1447"/>
        <v>0</v>
      </c>
      <c r="AF1912" s="78" t="b">
        <f t="shared" si="1448"/>
        <v>0</v>
      </c>
      <c r="AG1912" s="78" t="b">
        <f t="shared" si="1449"/>
        <v>0</v>
      </c>
      <c r="AH1912" s="78" t="b">
        <f t="shared" si="1450"/>
        <v>0</v>
      </c>
      <c r="AI1912" s="78" t="b">
        <f t="shared" si="1451"/>
        <v>0</v>
      </c>
      <c r="AJ1912" s="78" t="b">
        <f t="shared" si="1452"/>
        <v>0</v>
      </c>
      <c r="AK1912" s="78" t="b">
        <f t="shared" si="1453"/>
        <v>0</v>
      </c>
      <c r="AL1912" s="78" t="b">
        <f t="shared" si="1454"/>
        <v>0</v>
      </c>
      <c r="AM1912" s="78" t="b">
        <f t="shared" si="1455"/>
        <v>0</v>
      </c>
      <c r="AN1912" s="78" t="b">
        <f t="shared" si="1456"/>
        <v>0</v>
      </c>
      <c r="AO1912" s="78" t="b">
        <f t="shared" si="1457"/>
        <v>0</v>
      </c>
    </row>
    <row r="1913" spans="7:41" x14ac:dyDescent="0.35">
      <c r="G1913" s="77">
        <f t="shared" si="1427"/>
        <v>0</v>
      </c>
      <c r="H1913" s="78">
        <f t="shared" si="1428"/>
        <v>0</v>
      </c>
      <c r="I1913" s="77">
        <f t="shared" si="1429"/>
        <v>0</v>
      </c>
      <c r="J1913" s="78">
        <f t="shared" si="1430"/>
        <v>0</v>
      </c>
      <c r="K1913" s="78" t="str">
        <f t="shared" si="1431"/>
        <v>1900-01-00 00:0:00</v>
      </c>
      <c r="L1913" s="78" t="str">
        <f t="shared" si="1432"/>
        <v>1900-01-00 00:0:00</v>
      </c>
      <c r="M1913" s="79">
        <f t="shared" si="1433"/>
        <v>0</v>
      </c>
      <c r="N1913">
        <f t="shared" si="1458"/>
        <v>1</v>
      </c>
      <c r="O1913" t="str">
        <f>IFERROR(_xlfn.XLOOKUP(A1913,HC!A:A,HC!C:C),"")</f>
        <v>Workforce</v>
      </c>
      <c r="R1913" s="78" t="b">
        <f t="shared" si="1434"/>
        <v>0</v>
      </c>
      <c r="S1913" s="78" t="b">
        <f t="shared" si="1435"/>
        <v>0</v>
      </c>
      <c r="T1913" s="78" t="b">
        <f t="shared" si="1436"/>
        <v>0</v>
      </c>
      <c r="U1913" s="78" t="b">
        <f t="shared" si="1437"/>
        <v>0</v>
      </c>
      <c r="V1913" s="78" t="b">
        <f t="shared" si="1438"/>
        <v>0</v>
      </c>
      <c r="W1913" s="78" t="b">
        <f t="shared" si="1439"/>
        <v>0</v>
      </c>
      <c r="X1913" s="78" t="b">
        <f t="shared" si="1440"/>
        <v>0</v>
      </c>
      <c r="Y1913" s="78" t="b">
        <f t="shared" si="1441"/>
        <v>0</v>
      </c>
      <c r="Z1913" s="78" t="b">
        <f t="shared" si="1442"/>
        <v>0</v>
      </c>
      <c r="AA1913" s="78" t="b">
        <f t="shared" si="1443"/>
        <v>0</v>
      </c>
      <c r="AB1913" s="78" t="b">
        <f t="shared" si="1444"/>
        <v>0</v>
      </c>
      <c r="AC1913" s="78" t="b">
        <f t="shared" si="1445"/>
        <v>0</v>
      </c>
      <c r="AD1913" s="78" t="b">
        <f t="shared" si="1446"/>
        <v>0</v>
      </c>
      <c r="AE1913" s="78" t="b">
        <f t="shared" si="1447"/>
        <v>0</v>
      </c>
      <c r="AF1913" s="78" t="b">
        <f t="shared" si="1448"/>
        <v>0</v>
      </c>
      <c r="AG1913" s="78" t="b">
        <f t="shared" si="1449"/>
        <v>0</v>
      </c>
      <c r="AH1913" s="78" t="b">
        <f t="shared" si="1450"/>
        <v>0</v>
      </c>
      <c r="AI1913" s="78" t="b">
        <f t="shared" si="1451"/>
        <v>0</v>
      </c>
      <c r="AJ1913" s="78" t="b">
        <f t="shared" si="1452"/>
        <v>0</v>
      </c>
      <c r="AK1913" s="78" t="b">
        <f t="shared" si="1453"/>
        <v>0</v>
      </c>
      <c r="AL1913" s="78" t="b">
        <f t="shared" si="1454"/>
        <v>0</v>
      </c>
      <c r="AM1913" s="78" t="b">
        <f t="shared" si="1455"/>
        <v>0</v>
      </c>
      <c r="AN1913" s="78" t="b">
        <f t="shared" si="1456"/>
        <v>0</v>
      </c>
      <c r="AO1913" s="78" t="b">
        <f t="shared" si="1457"/>
        <v>0</v>
      </c>
    </row>
    <row r="1914" spans="7:41" x14ac:dyDescent="0.35">
      <c r="G1914" s="77">
        <f t="shared" ref="G1914:G1977" si="1459">INT(D1914)</f>
        <v>0</v>
      </c>
      <c r="H1914" s="78">
        <f t="shared" ref="H1914:H1977" si="1460">D1914-G1914</f>
        <v>0</v>
      </c>
      <c r="I1914" s="77">
        <f t="shared" ref="I1914:I1977" si="1461">INT(E1914)</f>
        <v>0</v>
      </c>
      <c r="J1914" s="78">
        <f t="shared" ref="J1914:J1977" si="1462">E1914-I1914</f>
        <v>0</v>
      </c>
      <c r="K1914" s="78" t="str">
        <f t="shared" ref="K1914:K1977" si="1463">TEXT(G1914+H1914,"yyyy-mm-dd hh:m:ss")</f>
        <v>1900-01-00 00:0:00</v>
      </c>
      <c r="L1914" s="78" t="str">
        <f t="shared" ref="L1914:L1977" si="1464">TEXT(I1914+J1914,"yyyy-mm-dd hh:m:ss")</f>
        <v>1900-01-00 00:0:00</v>
      </c>
      <c r="M1914" s="79">
        <f t="shared" ref="M1914:M1977" si="1465">E1914-D1914</f>
        <v>0</v>
      </c>
      <c r="N1914">
        <f t="shared" si="1458"/>
        <v>1</v>
      </c>
      <c r="O1914" t="str">
        <f>IFERROR(_xlfn.XLOOKUP(A1914,HC!A:A,HC!C:C),"")</f>
        <v>Workforce</v>
      </c>
      <c r="R1914" s="78" t="b">
        <f t="shared" si="1434"/>
        <v>0</v>
      </c>
      <c r="S1914" s="78" t="b">
        <f t="shared" si="1435"/>
        <v>0</v>
      </c>
      <c r="T1914" s="78" t="b">
        <f t="shared" si="1436"/>
        <v>0</v>
      </c>
      <c r="U1914" s="78" t="b">
        <f t="shared" si="1437"/>
        <v>0</v>
      </c>
      <c r="V1914" s="78" t="b">
        <f t="shared" si="1438"/>
        <v>0</v>
      </c>
      <c r="W1914" s="78" t="b">
        <f t="shared" si="1439"/>
        <v>0</v>
      </c>
      <c r="X1914" s="78" t="b">
        <f t="shared" si="1440"/>
        <v>0</v>
      </c>
      <c r="Y1914" s="78" t="b">
        <f t="shared" si="1441"/>
        <v>0</v>
      </c>
      <c r="Z1914" s="78" t="b">
        <f t="shared" si="1442"/>
        <v>0</v>
      </c>
      <c r="AA1914" s="78" t="b">
        <f t="shared" si="1443"/>
        <v>0</v>
      </c>
      <c r="AB1914" s="78" t="b">
        <f t="shared" si="1444"/>
        <v>0</v>
      </c>
      <c r="AC1914" s="78" t="b">
        <f t="shared" si="1445"/>
        <v>0</v>
      </c>
      <c r="AD1914" s="78" t="b">
        <f t="shared" si="1446"/>
        <v>0</v>
      </c>
      <c r="AE1914" s="78" t="b">
        <f t="shared" si="1447"/>
        <v>0</v>
      </c>
      <c r="AF1914" s="78" t="b">
        <f t="shared" si="1448"/>
        <v>0</v>
      </c>
      <c r="AG1914" s="78" t="b">
        <f t="shared" si="1449"/>
        <v>0</v>
      </c>
      <c r="AH1914" s="78" t="b">
        <f t="shared" si="1450"/>
        <v>0</v>
      </c>
      <c r="AI1914" s="78" t="b">
        <f t="shared" si="1451"/>
        <v>0</v>
      </c>
      <c r="AJ1914" s="78" t="b">
        <f t="shared" si="1452"/>
        <v>0</v>
      </c>
      <c r="AK1914" s="78" t="b">
        <f t="shared" si="1453"/>
        <v>0</v>
      </c>
      <c r="AL1914" s="78" t="b">
        <f t="shared" si="1454"/>
        <v>0</v>
      </c>
      <c r="AM1914" s="78" t="b">
        <f t="shared" si="1455"/>
        <v>0</v>
      </c>
      <c r="AN1914" s="78" t="b">
        <f t="shared" si="1456"/>
        <v>0</v>
      </c>
      <c r="AO1914" s="78" t="b">
        <f t="shared" si="1457"/>
        <v>0</v>
      </c>
    </row>
    <row r="1915" spans="7:41" x14ac:dyDescent="0.35">
      <c r="G1915" s="77">
        <f t="shared" si="1459"/>
        <v>0</v>
      </c>
      <c r="H1915" s="78">
        <f t="shared" si="1460"/>
        <v>0</v>
      </c>
      <c r="I1915" s="77">
        <f t="shared" si="1461"/>
        <v>0</v>
      </c>
      <c r="J1915" s="78">
        <f t="shared" si="1462"/>
        <v>0</v>
      </c>
      <c r="K1915" s="78" t="str">
        <f t="shared" si="1463"/>
        <v>1900-01-00 00:0:00</v>
      </c>
      <c r="L1915" s="78" t="str">
        <f t="shared" si="1464"/>
        <v>1900-01-00 00:0:00</v>
      </c>
      <c r="M1915" s="79">
        <f t="shared" si="1465"/>
        <v>0</v>
      </c>
      <c r="N1915">
        <f t="shared" si="1458"/>
        <v>1</v>
      </c>
      <c r="O1915" t="str">
        <f>IFERROR(_xlfn.XLOOKUP(A1915,HC!A:A,HC!C:C),"")</f>
        <v>Workforce</v>
      </c>
      <c r="R1915" s="78" t="b">
        <f t="shared" si="1434"/>
        <v>0</v>
      </c>
      <c r="S1915" s="78" t="b">
        <f t="shared" si="1435"/>
        <v>0</v>
      </c>
      <c r="T1915" s="78" t="b">
        <f t="shared" si="1436"/>
        <v>0</v>
      </c>
      <c r="U1915" s="78" t="b">
        <f t="shared" si="1437"/>
        <v>0</v>
      </c>
      <c r="V1915" s="78" t="b">
        <f t="shared" si="1438"/>
        <v>0</v>
      </c>
      <c r="W1915" s="78" t="b">
        <f t="shared" si="1439"/>
        <v>0</v>
      </c>
      <c r="X1915" s="78" t="b">
        <f t="shared" si="1440"/>
        <v>0</v>
      </c>
      <c r="Y1915" s="78" t="b">
        <f t="shared" si="1441"/>
        <v>0</v>
      </c>
      <c r="Z1915" s="78" t="b">
        <f t="shared" si="1442"/>
        <v>0</v>
      </c>
      <c r="AA1915" s="78" t="b">
        <f t="shared" si="1443"/>
        <v>0</v>
      </c>
      <c r="AB1915" s="78" t="b">
        <f t="shared" si="1444"/>
        <v>0</v>
      </c>
      <c r="AC1915" s="78" t="b">
        <f t="shared" si="1445"/>
        <v>0</v>
      </c>
      <c r="AD1915" s="78" t="b">
        <f t="shared" si="1446"/>
        <v>0</v>
      </c>
      <c r="AE1915" s="78" t="b">
        <f t="shared" si="1447"/>
        <v>0</v>
      </c>
      <c r="AF1915" s="78" t="b">
        <f t="shared" si="1448"/>
        <v>0</v>
      </c>
      <c r="AG1915" s="78" t="b">
        <f t="shared" si="1449"/>
        <v>0</v>
      </c>
      <c r="AH1915" s="78" t="b">
        <f t="shared" si="1450"/>
        <v>0</v>
      </c>
      <c r="AI1915" s="78" t="b">
        <f t="shared" si="1451"/>
        <v>0</v>
      </c>
      <c r="AJ1915" s="78" t="b">
        <f t="shared" si="1452"/>
        <v>0</v>
      </c>
      <c r="AK1915" s="78" t="b">
        <f t="shared" si="1453"/>
        <v>0</v>
      </c>
      <c r="AL1915" s="78" t="b">
        <f t="shared" si="1454"/>
        <v>0</v>
      </c>
      <c r="AM1915" s="78" t="b">
        <f t="shared" si="1455"/>
        <v>0</v>
      </c>
      <c r="AN1915" s="78" t="b">
        <f t="shared" si="1456"/>
        <v>0</v>
      </c>
      <c r="AO1915" s="78" t="b">
        <f t="shared" si="1457"/>
        <v>0</v>
      </c>
    </row>
    <row r="1916" spans="7:41" x14ac:dyDescent="0.35">
      <c r="G1916" s="77">
        <f t="shared" si="1459"/>
        <v>0</v>
      </c>
      <c r="H1916" s="78">
        <f t="shared" si="1460"/>
        <v>0</v>
      </c>
      <c r="I1916" s="77">
        <f t="shared" si="1461"/>
        <v>0</v>
      </c>
      <c r="J1916" s="78">
        <f t="shared" si="1462"/>
        <v>0</v>
      </c>
      <c r="K1916" s="78" t="str">
        <f t="shared" si="1463"/>
        <v>1900-01-00 00:0:00</v>
      </c>
      <c r="L1916" s="78" t="str">
        <f t="shared" si="1464"/>
        <v>1900-01-00 00:0:00</v>
      </c>
      <c r="M1916" s="79">
        <f t="shared" si="1465"/>
        <v>0</v>
      </c>
      <c r="N1916">
        <f t="shared" si="1458"/>
        <v>1</v>
      </c>
      <c r="O1916" t="str">
        <f>IFERROR(_xlfn.XLOOKUP(A1916,HC!A:A,HC!C:C),"")</f>
        <v>Workforce</v>
      </c>
      <c r="R1916" s="78" t="b">
        <f t="shared" ref="R1916:R1979" si="1466">IFERROR(IF($B1916=$D$1,IF(AND($K1916&lt;R$1,$L1916&lt;R$1),"",IF(AND($K1916&gt;S$1,$L1916&gt;S$1),"",IF(AND($K1916&lt;R$1,$L1916&lt;=S$1),$L1916-R$1,IF(AND($K1916&gt;=R$1,$L1916&gt;S$1),S$1-$K1916,IF(AND($K1916&gt;=R$1,$L1916&lt;=S$1),$L1916-$K1916,IF(AND($K1916&lt;R$1,$L1916&gt;S$1),S$1-R$1,""))))))),"")</f>
        <v>0</v>
      </c>
      <c r="S1916" s="78" t="b">
        <f t="shared" ref="S1916:S1979" si="1467">IFERROR(IF($B1916=$D$1,IF(AND($K1916&lt;S$1,$L1916&lt;S$1),"",IF(AND($K1916&gt;T$1,$L1916&gt;T$1),"",IF(AND($K1916&lt;S$1,$L1916&lt;=T$1),$L1916-S$1,IF(AND($K1916&gt;=S$1,$L1916&gt;T$1),T$1-$K1916,IF(AND($K1916&gt;=S$1,$L1916&lt;=T$1),$L1916-$K1916,IF(AND($K1916&lt;S$1,$L1916&gt;T$1),T$1-S$1,""))))))),"")</f>
        <v>0</v>
      </c>
      <c r="T1916" s="78" t="b">
        <f t="shared" ref="T1916:T1979" si="1468">IFERROR(IF($B1916=$D$1,IF(AND($K1916&lt;T$1,$L1916&lt;T$1),"",IF(AND($K1916&gt;U$1,$L1916&gt;U$1),"",IF(AND($K1916&lt;T$1,$L1916&lt;=U$1),$L1916-T$1,IF(AND($K1916&gt;=T$1,$L1916&gt;U$1),U$1-$K1916,IF(AND($K1916&gt;=T$1,$L1916&lt;=U$1),$L1916-$K1916,IF(AND($K1916&lt;T$1,$L1916&gt;U$1),U$1-T$1,""))))))),"")</f>
        <v>0</v>
      </c>
      <c r="U1916" s="78" t="b">
        <f t="shared" ref="U1916:U1979" si="1469">IFERROR(IF($B1916=$D$1,IF(AND($K1916&lt;U$1,$L1916&lt;U$1),"",IF(AND($K1916&gt;V$1,$L1916&gt;V$1),"",IF(AND($K1916&lt;U$1,$L1916&lt;=V$1),$L1916-U$1,IF(AND($K1916&gt;=U$1,$L1916&gt;V$1),V$1-$K1916,IF(AND($K1916&gt;=U$1,$L1916&lt;=V$1),$L1916-$K1916,IF(AND($K1916&lt;U$1,$L1916&gt;V$1),V$1-U$1,""))))))),"")</f>
        <v>0</v>
      </c>
      <c r="V1916" s="78" t="b">
        <f t="shared" ref="V1916:V1979" si="1470">IFERROR(IF($B1916=$D$1,IF(AND($K1916&lt;V$1,$L1916&lt;V$1),"",IF(AND($K1916&gt;W$1,$L1916&gt;W$1),"",IF(AND($K1916&lt;V$1,$L1916&lt;=W$1),$L1916-V$1,IF(AND($K1916&gt;=V$1,$L1916&gt;W$1),W$1-$K1916,IF(AND($K1916&gt;=V$1,$L1916&lt;=W$1),$L1916-$K1916,IF(AND($K1916&lt;V$1,$L1916&gt;W$1),W$1-V$1,""))))))),"")</f>
        <v>0</v>
      </c>
      <c r="W1916" s="78" t="b">
        <f t="shared" ref="W1916:W1979" si="1471">IFERROR(IF($B1916=$D$1,IF(AND($K1916&lt;W$1,$L1916&lt;W$1),"",IF(AND($K1916&gt;X$1,$L1916&gt;X$1),"",IF(AND($K1916&lt;W$1,$L1916&lt;=X$1),$L1916-W$1,IF(AND($K1916&gt;=W$1,$L1916&gt;X$1),X$1-$K1916,IF(AND($K1916&gt;=W$1,$L1916&lt;=X$1),$L1916-$K1916,IF(AND($K1916&lt;W$1,$L1916&gt;X$1),X$1-W$1,""))))))),"")</f>
        <v>0</v>
      </c>
      <c r="X1916" s="78" t="b">
        <f t="shared" ref="X1916:X1979" si="1472">IFERROR(IF($B1916=$D$1,IF(AND($K1916&lt;X$1,$L1916&lt;X$1),"",IF(AND($K1916&gt;Y$1,$L1916&gt;Y$1),"",IF(AND($K1916&lt;X$1,$L1916&lt;=Y$1),$L1916-X$1,IF(AND($K1916&gt;=X$1,$L1916&gt;Y$1),Y$1-$K1916,IF(AND($K1916&gt;=X$1,$L1916&lt;=Y$1),$L1916-$K1916,IF(AND($K1916&lt;X$1,$L1916&gt;Y$1),Y$1-X$1,""))))))),"")</f>
        <v>0</v>
      </c>
      <c r="Y1916" s="78" t="b">
        <f t="shared" ref="Y1916:Y1979" si="1473">IFERROR(IF($B1916=$D$1,IF(AND($K1916&lt;Y$1,$L1916&lt;Y$1),"",IF(AND($K1916&gt;Z$1,$L1916&gt;Z$1),"",IF(AND($K1916&lt;Y$1,$L1916&lt;=Z$1),$L1916-Y$1,IF(AND($K1916&gt;=Y$1,$L1916&gt;Z$1),Z$1-$K1916,IF(AND($K1916&gt;=Y$1,$L1916&lt;=Z$1),$L1916-$K1916,IF(AND($K1916&lt;Y$1,$L1916&gt;Z$1),Z$1-Y$1,""))))))),"")</f>
        <v>0</v>
      </c>
      <c r="Z1916" s="78" t="b">
        <f t="shared" ref="Z1916:Z1979" si="1474">IFERROR(IF($B1916=$D$1,IF(AND($K1916&lt;Z$1,$L1916&lt;Z$1),"",IF(AND($K1916&gt;AA$1,$L1916&gt;AA$1),"",IF(AND($K1916&lt;Z$1,$L1916&lt;=AA$1),$L1916-Z$1,IF(AND($K1916&gt;=Z$1,$L1916&gt;AA$1),AA$1-$K1916,IF(AND($K1916&gt;=Z$1,$L1916&lt;=AA$1),$L1916-$K1916,IF(AND($K1916&lt;Z$1,$L1916&gt;AA$1),AA$1-Z$1,""))))))),"")</f>
        <v>0</v>
      </c>
      <c r="AA1916" s="78" t="b">
        <f t="shared" ref="AA1916:AA1979" si="1475">IFERROR(IF($B1916=$D$1,IF(AND($K1916&lt;AA$1,$L1916&lt;AA$1),"",IF(AND($K1916&gt;AB$1,$L1916&gt;AB$1),"",IF(AND($K1916&lt;AA$1,$L1916&lt;=AB$1),$L1916-AA$1,IF(AND($K1916&gt;=AA$1,$L1916&gt;AB$1),AB$1-$K1916,IF(AND($K1916&gt;=AA$1,$L1916&lt;=AB$1),$L1916-$K1916,IF(AND($K1916&lt;AA$1,$L1916&gt;AB$1),AB$1-AA$1,""))))))),"")</f>
        <v>0</v>
      </c>
      <c r="AB1916" s="78" t="b">
        <f t="shared" ref="AB1916:AB1979" si="1476">IFERROR(IF($B1916=$D$1,IF(AND($K1916&lt;AB$1,$L1916&lt;AB$1),"",IF(AND($K1916&gt;AC$1,$L1916&gt;AC$1),"",IF(AND($K1916&lt;AB$1,$L1916&lt;=AC$1),$L1916-AB$1,IF(AND($K1916&gt;=AB$1,$L1916&gt;AC$1),AC$1-$K1916,IF(AND($K1916&gt;=AB$1,$L1916&lt;=AC$1),$L1916-$K1916,IF(AND($K1916&lt;AB$1,$L1916&gt;AC$1),AC$1-AB$1,""))))))),"")</f>
        <v>0</v>
      </c>
      <c r="AC1916" s="78" t="b">
        <f t="shared" ref="AC1916:AC1979" si="1477">IFERROR(IF($B1916=$D$1,IF(AND($K1916&lt;AC$1,$L1916&lt;AC$1),"",IF(AND($K1916&gt;AD$1,$L1916&gt;AD$1),"",IF(AND($K1916&lt;AC$1,$L1916&lt;=AD$1),$L1916-AC$1,IF(AND($K1916&gt;=AC$1,$L1916&gt;AD$1),AD$1-$K1916,IF(AND($K1916&gt;=AC$1,$L1916&lt;=AD$1),$L1916-$K1916,IF(AND($K1916&lt;AC$1,$L1916&gt;AD$1),AD$1-AC$1,""))))))),"")</f>
        <v>0</v>
      </c>
      <c r="AD1916" s="78" t="b">
        <f t="shared" ref="AD1916:AD1979" si="1478">IFERROR(IF($B1916=$D$1,IF(AND($K1916&lt;AD$1,$L1916&lt;AD$1),"",IF(AND($K1916&gt;AE$1,$L1916&gt;AE$1),"",IF(AND($K1916&lt;AD$1,$L1916&lt;=AE$1),$L1916-AD$1,IF(AND($K1916&gt;=AD$1,$L1916&gt;AE$1),AE$1-$K1916,IF(AND($K1916&gt;=AD$1,$L1916&lt;=AE$1),$L1916-$K1916,IF(AND($K1916&lt;AD$1,$L1916&gt;AE$1),AE$1-AD$1,""))))))),"")</f>
        <v>0</v>
      </c>
      <c r="AE1916" s="78" t="b">
        <f t="shared" ref="AE1916:AE1979" si="1479">IFERROR(IF($B1916=$D$1,IF(AND($K1916&lt;AE$1,$L1916&lt;AE$1),"",IF(AND($K1916&gt;AF$1,$L1916&gt;AF$1),"",IF(AND($K1916&lt;AE$1,$L1916&lt;=AF$1),$L1916-AE$1,IF(AND($K1916&gt;=AE$1,$L1916&gt;AF$1),AF$1-$K1916,IF(AND($K1916&gt;=AE$1,$L1916&lt;=AF$1),$L1916-$K1916,IF(AND($K1916&lt;AE$1,$L1916&gt;AF$1),AF$1-AE$1,""))))))),"")</f>
        <v>0</v>
      </c>
      <c r="AF1916" s="78" t="b">
        <f t="shared" ref="AF1916:AF1979" si="1480">IFERROR(IF($B1916=$D$1,IF(AND($K1916&lt;AF$1,$L1916&lt;AF$1),"",IF(AND($K1916&gt;AG$1,$L1916&gt;AG$1),"",IF(AND($K1916&lt;AF$1,$L1916&lt;=AG$1),$L1916-AF$1,IF(AND($K1916&gt;=AF$1,$L1916&gt;AG$1),AG$1-$K1916,IF(AND($K1916&gt;=AF$1,$L1916&lt;=AG$1),$L1916-$K1916,IF(AND($K1916&lt;AF$1,$L1916&gt;AG$1),AG$1-AF$1,""))))))),"")</f>
        <v>0</v>
      </c>
      <c r="AG1916" s="78" t="b">
        <f t="shared" ref="AG1916:AG1979" si="1481">IFERROR(IF($B1916=$D$1,IF(AND($K1916&lt;AG$1,$L1916&lt;AG$1),"",IF(AND($K1916&gt;AH$1,$L1916&gt;AH$1),"",IF(AND($K1916&lt;AG$1,$L1916&lt;=AH$1),$L1916-AG$1,IF(AND($K1916&gt;=AG$1,$L1916&gt;AH$1),AH$1-$K1916,IF(AND($K1916&gt;=AG$1,$L1916&lt;=AH$1),$L1916-$K1916,IF(AND($K1916&lt;AG$1,$L1916&gt;AH$1),AH$1-AG$1,""))))))),"")</f>
        <v>0</v>
      </c>
      <c r="AH1916" s="78" t="b">
        <f t="shared" ref="AH1916:AH1979" si="1482">IFERROR(IF($B1916=$D$1,IF(AND($K1916&lt;AH$1,$L1916&lt;AH$1),"",IF(AND($K1916&gt;AI$1,$L1916&gt;AI$1),"",IF(AND($K1916&lt;AH$1,$L1916&lt;=AI$1),$L1916-AH$1,IF(AND($K1916&gt;=AH$1,$L1916&gt;AI$1),AI$1-$K1916,IF(AND($K1916&gt;=AH$1,$L1916&lt;=AI$1),$L1916-$K1916,IF(AND($K1916&lt;AH$1,$L1916&gt;AI$1),AI$1-AH$1,""))))))),"")</f>
        <v>0</v>
      </c>
      <c r="AI1916" s="78" t="b">
        <f t="shared" ref="AI1916:AI1979" si="1483">IFERROR(IF($B1916=$D$1,IF(AND($K1916&lt;AI$1,$L1916&lt;AI$1),"",IF(AND($K1916&gt;AJ$1,$L1916&gt;AJ$1),"",IF(AND($K1916&lt;AI$1,$L1916&lt;=AJ$1),$L1916-AI$1,IF(AND($K1916&gt;=AI$1,$L1916&gt;AJ$1),AJ$1-$K1916,IF(AND($K1916&gt;=AI$1,$L1916&lt;=AJ$1),$L1916-$K1916,IF(AND($K1916&lt;AI$1,$L1916&gt;AJ$1),AJ$1-AI$1,""))))))),"")</f>
        <v>0</v>
      </c>
      <c r="AJ1916" s="78" t="b">
        <f t="shared" ref="AJ1916:AJ1979" si="1484">IFERROR(IF($B1916=$D$1,IF(AND($K1916&lt;AJ$1,$L1916&lt;AJ$1),"",IF(AND($K1916&gt;AK$1,$L1916&gt;AK$1),"",IF(AND($K1916&lt;AJ$1,$L1916&lt;=AK$1),$L1916-AJ$1,IF(AND($K1916&gt;=AJ$1,$L1916&gt;AK$1),AK$1-$K1916,IF(AND($K1916&gt;=AJ$1,$L1916&lt;=AK$1),$L1916-$K1916,IF(AND($K1916&lt;AJ$1,$L1916&gt;AK$1),AK$1-AJ$1,""))))))),"")</f>
        <v>0</v>
      </c>
      <c r="AK1916" s="78" t="b">
        <f t="shared" ref="AK1916:AK1979" si="1485">IFERROR(IF($B1916=$D$1,IF(AND($K1916&lt;AK$1,$L1916&lt;AK$1),"",IF(AND($K1916&gt;AL$1,$L1916&gt;AL$1),"",IF(AND($K1916&lt;AK$1,$L1916&lt;=AL$1),$L1916-AK$1,IF(AND($K1916&gt;=AK$1,$L1916&gt;AL$1),AL$1-$K1916,IF(AND($K1916&gt;=AK$1,$L1916&lt;=AL$1),$L1916-$K1916,IF(AND($K1916&lt;AK$1,$L1916&gt;AL$1),AL$1-AK$1,""))))))),"")</f>
        <v>0</v>
      </c>
      <c r="AL1916" s="78" t="b">
        <f t="shared" ref="AL1916:AL1979" si="1486">IFERROR(IF($B1916=$D$1,IF(AND($K1916&lt;AL$1,$L1916&lt;AL$1),"",IF(AND($K1916&gt;AM$1,$L1916&gt;AM$1),"",IF(AND($K1916&lt;AL$1,$L1916&lt;=AM$1),$L1916-AL$1,IF(AND($K1916&gt;=AL$1,$L1916&gt;AM$1),AM$1-$K1916,IF(AND($K1916&gt;=AL$1,$L1916&lt;=AM$1),$L1916-$K1916,IF(AND($K1916&lt;AL$1,$L1916&gt;AM$1),AM$1-AL$1,""))))))),"")</f>
        <v>0</v>
      </c>
      <c r="AM1916" s="78" t="b">
        <f t="shared" ref="AM1916:AM1979" si="1487">IFERROR(IF($B1916=$D$1,IF(AND($K1916&lt;AM$1,$L1916&lt;AM$1),"",IF(AND($K1916&gt;AN$1,$L1916&gt;AN$1),"",IF(AND($K1916&lt;AM$1,$L1916&lt;=AN$1),$L1916-AM$1,IF(AND($K1916&gt;=AM$1,$L1916&gt;AN$1),AN$1-$K1916,IF(AND($K1916&gt;=AM$1,$L1916&lt;=AN$1),$L1916-$K1916,IF(AND($K1916&lt;AM$1,$L1916&gt;AN$1),AN$1-AM$1,""))))))),"")</f>
        <v>0</v>
      </c>
      <c r="AN1916" s="78" t="b">
        <f t="shared" ref="AN1916:AN1979" si="1488">IFERROR(IF($B1916=$D$1,IF(AND($K1916&lt;AN$1,$L1916&lt;AN$1),"",IF(AND($K1916&gt;AO$1,$L1916&gt;AO$1),"",IF(AND($K1916&lt;AN$1,$L1916&lt;=AO$1),$L1916-AN$1,IF(AND($K1916&gt;=AN$1,$L1916&gt;AO$1),AO$1-$K1916,IF(AND($K1916&gt;=AN$1,$L1916&lt;=AO$1),$L1916-$K1916,IF(AND($K1916&lt;AN$1,$L1916&gt;AO$1),AO$1-AN$1,""))))))),"")</f>
        <v>0</v>
      </c>
      <c r="AO1916" s="78" t="b">
        <f t="shared" ref="AO1916:AO1979" si="1489">IFERROR(IF($B1916=$D$1,IF(AND($K1916&lt;AO$1,$L1916&lt;AO$1),"",IF(AND($K1916&gt;AP$1,$L1916&gt;AP$1),"",IF(AND($K1916&lt;AO$1,$L1916&lt;=AP$1),$L1916-AO$1,IF(AND($K1916&gt;=AO$1,$L1916&gt;AP$1),AP$1-$K1916,IF(AND($K1916&gt;=AO$1,$L1916&lt;=AP$1),$L1916-$K1916,IF(AND($K1916&lt;AO$1,$L1916&gt;AP$1),AP$1-AO$1,""))))))),"")</f>
        <v>0</v>
      </c>
    </row>
    <row r="1917" spans="7:41" x14ac:dyDescent="0.35">
      <c r="G1917" s="77">
        <f t="shared" si="1459"/>
        <v>0</v>
      </c>
      <c r="H1917" s="78">
        <f t="shared" si="1460"/>
        <v>0</v>
      </c>
      <c r="I1917" s="77">
        <f t="shared" si="1461"/>
        <v>0</v>
      </c>
      <c r="J1917" s="78">
        <f t="shared" si="1462"/>
        <v>0</v>
      </c>
      <c r="K1917" s="78" t="str">
        <f t="shared" si="1463"/>
        <v>1900-01-00 00:0:00</v>
      </c>
      <c r="L1917" s="78" t="str">
        <f t="shared" si="1464"/>
        <v>1900-01-00 00:0:00</v>
      </c>
      <c r="M1917" s="79">
        <f t="shared" si="1465"/>
        <v>0</v>
      </c>
      <c r="N1917">
        <f t="shared" si="1458"/>
        <v>1</v>
      </c>
      <c r="O1917" t="str">
        <f>IFERROR(_xlfn.XLOOKUP(A1917,HC!A:A,HC!C:C),"")</f>
        <v>Workforce</v>
      </c>
      <c r="R1917" s="78" t="b">
        <f t="shared" si="1466"/>
        <v>0</v>
      </c>
      <c r="S1917" s="78" t="b">
        <f t="shared" si="1467"/>
        <v>0</v>
      </c>
      <c r="T1917" s="78" t="b">
        <f t="shared" si="1468"/>
        <v>0</v>
      </c>
      <c r="U1917" s="78" t="b">
        <f t="shared" si="1469"/>
        <v>0</v>
      </c>
      <c r="V1917" s="78" t="b">
        <f t="shared" si="1470"/>
        <v>0</v>
      </c>
      <c r="W1917" s="78" t="b">
        <f t="shared" si="1471"/>
        <v>0</v>
      </c>
      <c r="X1917" s="78" t="b">
        <f t="shared" si="1472"/>
        <v>0</v>
      </c>
      <c r="Y1917" s="78" t="b">
        <f t="shared" si="1473"/>
        <v>0</v>
      </c>
      <c r="Z1917" s="78" t="b">
        <f t="shared" si="1474"/>
        <v>0</v>
      </c>
      <c r="AA1917" s="78" t="b">
        <f t="shared" si="1475"/>
        <v>0</v>
      </c>
      <c r="AB1917" s="78" t="b">
        <f t="shared" si="1476"/>
        <v>0</v>
      </c>
      <c r="AC1917" s="78" t="b">
        <f t="shared" si="1477"/>
        <v>0</v>
      </c>
      <c r="AD1917" s="78" t="b">
        <f t="shared" si="1478"/>
        <v>0</v>
      </c>
      <c r="AE1917" s="78" t="b">
        <f t="shared" si="1479"/>
        <v>0</v>
      </c>
      <c r="AF1917" s="78" t="b">
        <f t="shared" si="1480"/>
        <v>0</v>
      </c>
      <c r="AG1917" s="78" t="b">
        <f t="shared" si="1481"/>
        <v>0</v>
      </c>
      <c r="AH1917" s="78" t="b">
        <f t="shared" si="1482"/>
        <v>0</v>
      </c>
      <c r="AI1917" s="78" t="b">
        <f t="shared" si="1483"/>
        <v>0</v>
      </c>
      <c r="AJ1917" s="78" t="b">
        <f t="shared" si="1484"/>
        <v>0</v>
      </c>
      <c r="AK1917" s="78" t="b">
        <f t="shared" si="1485"/>
        <v>0</v>
      </c>
      <c r="AL1917" s="78" t="b">
        <f t="shared" si="1486"/>
        <v>0</v>
      </c>
      <c r="AM1917" s="78" t="b">
        <f t="shared" si="1487"/>
        <v>0</v>
      </c>
      <c r="AN1917" s="78" t="b">
        <f t="shared" si="1488"/>
        <v>0</v>
      </c>
      <c r="AO1917" s="78" t="b">
        <f t="shared" si="1489"/>
        <v>0</v>
      </c>
    </row>
    <row r="1918" spans="7:41" x14ac:dyDescent="0.35">
      <c r="G1918" s="77">
        <f t="shared" si="1459"/>
        <v>0</v>
      </c>
      <c r="H1918" s="78">
        <f t="shared" si="1460"/>
        <v>0</v>
      </c>
      <c r="I1918" s="77">
        <f t="shared" si="1461"/>
        <v>0</v>
      </c>
      <c r="J1918" s="78">
        <f t="shared" si="1462"/>
        <v>0</v>
      </c>
      <c r="K1918" s="78" t="str">
        <f t="shared" si="1463"/>
        <v>1900-01-00 00:0:00</v>
      </c>
      <c r="L1918" s="78" t="str">
        <f t="shared" si="1464"/>
        <v>1900-01-00 00:0:00</v>
      </c>
      <c r="M1918" s="79">
        <f t="shared" si="1465"/>
        <v>0</v>
      </c>
      <c r="N1918">
        <f t="shared" si="1458"/>
        <v>1</v>
      </c>
      <c r="O1918" t="str">
        <f>IFERROR(_xlfn.XLOOKUP(A1918,HC!A:A,HC!C:C),"")</f>
        <v>Workforce</v>
      </c>
      <c r="R1918" s="78" t="b">
        <f t="shared" si="1466"/>
        <v>0</v>
      </c>
      <c r="S1918" s="78" t="b">
        <f t="shared" si="1467"/>
        <v>0</v>
      </c>
      <c r="T1918" s="78" t="b">
        <f t="shared" si="1468"/>
        <v>0</v>
      </c>
      <c r="U1918" s="78" t="b">
        <f t="shared" si="1469"/>
        <v>0</v>
      </c>
      <c r="V1918" s="78" t="b">
        <f t="shared" si="1470"/>
        <v>0</v>
      </c>
      <c r="W1918" s="78" t="b">
        <f t="shared" si="1471"/>
        <v>0</v>
      </c>
      <c r="X1918" s="78" t="b">
        <f t="shared" si="1472"/>
        <v>0</v>
      </c>
      <c r="Y1918" s="78" t="b">
        <f t="shared" si="1473"/>
        <v>0</v>
      </c>
      <c r="Z1918" s="78" t="b">
        <f t="shared" si="1474"/>
        <v>0</v>
      </c>
      <c r="AA1918" s="78" t="b">
        <f t="shared" si="1475"/>
        <v>0</v>
      </c>
      <c r="AB1918" s="78" t="b">
        <f t="shared" si="1476"/>
        <v>0</v>
      </c>
      <c r="AC1918" s="78" t="b">
        <f t="shared" si="1477"/>
        <v>0</v>
      </c>
      <c r="AD1918" s="78" t="b">
        <f t="shared" si="1478"/>
        <v>0</v>
      </c>
      <c r="AE1918" s="78" t="b">
        <f t="shared" si="1479"/>
        <v>0</v>
      </c>
      <c r="AF1918" s="78" t="b">
        <f t="shared" si="1480"/>
        <v>0</v>
      </c>
      <c r="AG1918" s="78" t="b">
        <f t="shared" si="1481"/>
        <v>0</v>
      </c>
      <c r="AH1918" s="78" t="b">
        <f t="shared" si="1482"/>
        <v>0</v>
      </c>
      <c r="AI1918" s="78" t="b">
        <f t="shared" si="1483"/>
        <v>0</v>
      </c>
      <c r="AJ1918" s="78" t="b">
        <f t="shared" si="1484"/>
        <v>0</v>
      </c>
      <c r="AK1918" s="78" t="b">
        <f t="shared" si="1485"/>
        <v>0</v>
      </c>
      <c r="AL1918" s="78" t="b">
        <f t="shared" si="1486"/>
        <v>0</v>
      </c>
      <c r="AM1918" s="78" t="b">
        <f t="shared" si="1487"/>
        <v>0</v>
      </c>
      <c r="AN1918" s="78" t="b">
        <f t="shared" si="1488"/>
        <v>0</v>
      </c>
      <c r="AO1918" s="78" t="b">
        <f t="shared" si="1489"/>
        <v>0</v>
      </c>
    </row>
    <row r="1919" spans="7:41" x14ac:dyDescent="0.35">
      <c r="G1919" s="77">
        <f t="shared" si="1459"/>
        <v>0</v>
      </c>
      <c r="H1919" s="78">
        <f t="shared" si="1460"/>
        <v>0</v>
      </c>
      <c r="I1919" s="77">
        <f t="shared" si="1461"/>
        <v>0</v>
      </c>
      <c r="J1919" s="78">
        <f t="shared" si="1462"/>
        <v>0</v>
      </c>
      <c r="K1919" s="78" t="str">
        <f t="shared" si="1463"/>
        <v>1900-01-00 00:0:00</v>
      </c>
      <c r="L1919" s="78" t="str">
        <f t="shared" si="1464"/>
        <v>1900-01-00 00:0:00</v>
      </c>
      <c r="M1919" s="79">
        <f t="shared" si="1465"/>
        <v>0</v>
      </c>
      <c r="N1919">
        <f t="shared" si="1458"/>
        <v>1</v>
      </c>
      <c r="O1919" t="str">
        <f>IFERROR(_xlfn.XLOOKUP(A1919,HC!A:A,HC!C:C),"")</f>
        <v>Workforce</v>
      </c>
      <c r="R1919" s="78" t="b">
        <f t="shared" si="1466"/>
        <v>0</v>
      </c>
      <c r="S1919" s="78" t="b">
        <f t="shared" si="1467"/>
        <v>0</v>
      </c>
      <c r="T1919" s="78" t="b">
        <f t="shared" si="1468"/>
        <v>0</v>
      </c>
      <c r="U1919" s="78" t="b">
        <f t="shared" si="1469"/>
        <v>0</v>
      </c>
      <c r="V1919" s="78" t="b">
        <f t="shared" si="1470"/>
        <v>0</v>
      </c>
      <c r="W1919" s="78" t="b">
        <f t="shared" si="1471"/>
        <v>0</v>
      </c>
      <c r="X1919" s="78" t="b">
        <f t="shared" si="1472"/>
        <v>0</v>
      </c>
      <c r="Y1919" s="78" t="b">
        <f t="shared" si="1473"/>
        <v>0</v>
      </c>
      <c r="Z1919" s="78" t="b">
        <f t="shared" si="1474"/>
        <v>0</v>
      </c>
      <c r="AA1919" s="78" t="b">
        <f t="shared" si="1475"/>
        <v>0</v>
      </c>
      <c r="AB1919" s="78" t="b">
        <f t="shared" si="1476"/>
        <v>0</v>
      </c>
      <c r="AC1919" s="78" t="b">
        <f t="shared" si="1477"/>
        <v>0</v>
      </c>
      <c r="AD1919" s="78" t="b">
        <f t="shared" si="1478"/>
        <v>0</v>
      </c>
      <c r="AE1919" s="78" t="b">
        <f t="shared" si="1479"/>
        <v>0</v>
      </c>
      <c r="AF1919" s="78" t="b">
        <f t="shared" si="1480"/>
        <v>0</v>
      </c>
      <c r="AG1919" s="78" t="b">
        <f t="shared" si="1481"/>
        <v>0</v>
      </c>
      <c r="AH1919" s="78" t="b">
        <f t="shared" si="1482"/>
        <v>0</v>
      </c>
      <c r="AI1919" s="78" t="b">
        <f t="shared" si="1483"/>
        <v>0</v>
      </c>
      <c r="AJ1919" s="78" t="b">
        <f t="shared" si="1484"/>
        <v>0</v>
      </c>
      <c r="AK1919" s="78" t="b">
        <f t="shared" si="1485"/>
        <v>0</v>
      </c>
      <c r="AL1919" s="78" t="b">
        <f t="shared" si="1486"/>
        <v>0</v>
      </c>
      <c r="AM1919" s="78" t="b">
        <f t="shared" si="1487"/>
        <v>0</v>
      </c>
      <c r="AN1919" s="78" t="b">
        <f t="shared" si="1488"/>
        <v>0</v>
      </c>
      <c r="AO1919" s="78" t="b">
        <f t="shared" si="1489"/>
        <v>0</v>
      </c>
    </row>
    <row r="1920" spans="7:41" x14ac:dyDescent="0.35">
      <c r="G1920" s="77">
        <f t="shared" si="1459"/>
        <v>0</v>
      </c>
      <c r="H1920" s="78">
        <f t="shared" si="1460"/>
        <v>0</v>
      </c>
      <c r="I1920" s="77">
        <f t="shared" si="1461"/>
        <v>0</v>
      </c>
      <c r="J1920" s="78">
        <f t="shared" si="1462"/>
        <v>0</v>
      </c>
      <c r="K1920" s="78" t="str">
        <f t="shared" si="1463"/>
        <v>1900-01-00 00:0:00</v>
      </c>
      <c r="L1920" s="78" t="str">
        <f t="shared" si="1464"/>
        <v>1900-01-00 00:0:00</v>
      </c>
      <c r="M1920" s="79">
        <f t="shared" si="1465"/>
        <v>0</v>
      </c>
      <c r="N1920">
        <f t="shared" si="1458"/>
        <v>1</v>
      </c>
      <c r="O1920" t="str">
        <f>IFERROR(_xlfn.XLOOKUP(A1920,HC!A:A,HC!C:C),"")</f>
        <v>Workforce</v>
      </c>
      <c r="R1920" s="78" t="b">
        <f t="shared" si="1466"/>
        <v>0</v>
      </c>
      <c r="S1920" s="78" t="b">
        <f t="shared" si="1467"/>
        <v>0</v>
      </c>
      <c r="T1920" s="78" t="b">
        <f t="shared" si="1468"/>
        <v>0</v>
      </c>
      <c r="U1920" s="78" t="b">
        <f t="shared" si="1469"/>
        <v>0</v>
      </c>
      <c r="V1920" s="78" t="b">
        <f t="shared" si="1470"/>
        <v>0</v>
      </c>
      <c r="W1920" s="78" t="b">
        <f t="shared" si="1471"/>
        <v>0</v>
      </c>
      <c r="X1920" s="78" t="b">
        <f t="shared" si="1472"/>
        <v>0</v>
      </c>
      <c r="Y1920" s="78" t="b">
        <f t="shared" si="1473"/>
        <v>0</v>
      </c>
      <c r="Z1920" s="78" t="b">
        <f t="shared" si="1474"/>
        <v>0</v>
      </c>
      <c r="AA1920" s="78" t="b">
        <f t="shared" si="1475"/>
        <v>0</v>
      </c>
      <c r="AB1920" s="78" t="b">
        <f t="shared" si="1476"/>
        <v>0</v>
      </c>
      <c r="AC1920" s="78" t="b">
        <f t="shared" si="1477"/>
        <v>0</v>
      </c>
      <c r="AD1920" s="78" t="b">
        <f t="shared" si="1478"/>
        <v>0</v>
      </c>
      <c r="AE1920" s="78" t="b">
        <f t="shared" si="1479"/>
        <v>0</v>
      </c>
      <c r="AF1920" s="78" t="b">
        <f t="shared" si="1480"/>
        <v>0</v>
      </c>
      <c r="AG1920" s="78" t="b">
        <f t="shared" si="1481"/>
        <v>0</v>
      </c>
      <c r="AH1920" s="78" t="b">
        <f t="shared" si="1482"/>
        <v>0</v>
      </c>
      <c r="AI1920" s="78" t="b">
        <f t="shared" si="1483"/>
        <v>0</v>
      </c>
      <c r="AJ1920" s="78" t="b">
        <f t="shared" si="1484"/>
        <v>0</v>
      </c>
      <c r="AK1920" s="78" t="b">
        <f t="shared" si="1485"/>
        <v>0</v>
      </c>
      <c r="AL1920" s="78" t="b">
        <f t="shared" si="1486"/>
        <v>0</v>
      </c>
      <c r="AM1920" s="78" t="b">
        <f t="shared" si="1487"/>
        <v>0</v>
      </c>
      <c r="AN1920" s="78" t="b">
        <f t="shared" si="1488"/>
        <v>0</v>
      </c>
      <c r="AO1920" s="78" t="b">
        <f t="shared" si="1489"/>
        <v>0</v>
      </c>
    </row>
    <row r="1921" spans="7:41" x14ac:dyDescent="0.35">
      <c r="G1921" s="77">
        <f t="shared" si="1459"/>
        <v>0</v>
      </c>
      <c r="H1921" s="78">
        <f t="shared" si="1460"/>
        <v>0</v>
      </c>
      <c r="I1921" s="77">
        <f t="shared" si="1461"/>
        <v>0</v>
      </c>
      <c r="J1921" s="78">
        <f t="shared" si="1462"/>
        <v>0</v>
      </c>
      <c r="K1921" s="78" t="str">
        <f t="shared" si="1463"/>
        <v>1900-01-00 00:0:00</v>
      </c>
      <c r="L1921" s="78" t="str">
        <f t="shared" si="1464"/>
        <v>1900-01-00 00:0:00</v>
      </c>
      <c r="M1921" s="79">
        <f t="shared" si="1465"/>
        <v>0</v>
      </c>
      <c r="N1921">
        <f t="shared" si="1458"/>
        <v>1</v>
      </c>
      <c r="O1921" t="str">
        <f>IFERROR(_xlfn.XLOOKUP(A1921,HC!A:A,HC!C:C),"")</f>
        <v>Workforce</v>
      </c>
      <c r="R1921" s="78" t="b">
        <f t="shared" si="1466"/>
        <v>0</v>
      </c>
      <c r="S1921" s="78" t="b">
        <f t="shared" si="1467"/>
        <v>0</v>
      </c>
      <c r="T1921" s="78" t="b">
        <f t="shared" si="1468"/>
        <v>0</v>
      </c>
      <c r="U1921" s="78" t="b">
        <f t="shared" si="1469"/>
        <v>0</v>
      </c>
      <c r="V1921" s="78" t="b">
        <f t="shared" si="1470"/>
        <v>0</v>
      </c>
      <c r="W1921" s="78" t="b">
        <f t="shared" si="1471"/>
        <v>0</v>
      </c>
      <c r="X1921" s="78" t="b">
        <f t="shared" si="1472"/>
        <v>0</v>
      </c>
      <c r="Y1921" s="78" t="b">
        <f t="shared" si="1473"/>
        <v>0</v>
      </c>
      <c r="Z1921" s="78" t="b">
        <f t="shared" si="1474"/>
        <v>0</v>
      </c>
      <c r="AA1921" s="78" t="b">
        <f t="shared" si="1475"/>
        <v>0</v>
      </c>
      <c r="AB1921" s="78" t="b">
        <f t="shared" si="1476"/>
        <v>0</v>
      </c>
      <c r="AC1921" s="78" t="b">
        <f t="shared" si="1477"/>
        <v>0</v>
      </c>
      <c r="AD1921" s="78" t="b">
        <f t="shared" si="1478"/>
        <v>0</v>
      </c>
      <c r="AE1921" s="78" t="b">
        <f t="shared" si="1479"/>
        <v>0</v>
      </c>
      <c r="AF1921" s="78" t="b">
        <f t="shared" si="1480"/>
        <v>0</v>
      </c>
      <c r="AG1921" s="78" t="b">
        <f t="shared" si="1481"/>
        <v>0</v>
      </c>
      <c r="AH1921" s="78" t="b">
        <f t="shared" si="1482"/>
        <v>0</v>
      </c>
      <c r="AI1921" s="78" t="b">
        <f t="shared" si="1483"/>
        <v>0</v>
      </c>
      <c r="AJ1921" s="78" t="b">
        <f t="shared" si="1484"/>
        <v>0</v>
      </c>
      <c r="AK1921" s="78" t="b">
        <f t="shared" si="1485"/>
        <v>0</v>
      </c>
      <c r="AL1921" s="78" t="b">
        <f t="shared" si="1486"/>
        <v>0</v>
      </c>
      <c r="AM1921" s="78" t="b">
        <f t="shared" si="1487"/>
        <v>0</v>
      </c>
      <c r="AN1921" s="78" t="b">
        <f t="shared" si="1488"/>
        <v>0</v>
      </c>
      <c r="AO1921" s="78" t="b">
        <f t="shared" si="1489"/>
        <v>0</v>
      </c>
    </row>
    <row r="1922" spans="7:41" x14ac:dyDescent="0.35">
      <c r="G1922" s="77">
        <f t="shared" si="1459"/>
        <v>0</v>
      </c>
      <c r="H1922" s="78">
        <f t="shared" si="1460"/>
        <v>0</v>
      </c>
      <c r="I1922" s="77">
        <f t="shared" si="1461"/>
        <v>0</v>
      </c>
      <c r="J1922" s="78">
        <f t="shared" si="1462"/>
        <v>0</v>
      </c>
      <c r="K1922" s="78" t="str">
        <f t="shared" si="1463"/>
        <v>1900-01-00 00:0:00</v>
      </c>
      <c r="L1922" s="78" t="str">
        <f t="shared" si="1464"/>
        <v>1900-01-00 00:0:00</v>
      </c>
      <c r="M1922" s="79">
        <f t="shared" si="1465"/>
        <v>0</v>
      </c>
      <c r="N1922">
        <f t="shared" si="1458"/>
        <v>1</v>
      </c>
      <c r="O1922" t="str">
        <f>IFERROR(_xlfn.XLOOKUP(A1922,HC!A:A,HC!C:C),"")</f>
        <v>Workforce</v>
      </c>
      <c r="R1922" s="78" t="b">
        <f t="shared" si="1466"/>
        <v>0</v>
      </c>
      <c r="S1922" s="78" t="b">
        <f t="shared" si="1467"/>
        <v>0</v>
      </c>
      <c r="T1922" s="78" t="b">
        <f t="shared" si="1468"/>
        <v>0</v>
      </c>
      <c r="U1922" s="78" t="b">
        <f t="shared" si="1469"/>
        <v>0</v>
      </c>
      <c r="V1922" s="78" t="b">
        <f t="shared" si="1470"/>
        <v>0</v>
      </c>
      <c r="W1922" s="78" t="b">
        <f t="shared" si="1471"/>
        <v>0</v>
      </c>
      <c r="X1922" s="78" t="b">
        <f t="shared" si="1472"/>
        <v>0</v>
      </c>
      <c r="Y1922" s="78" t="b">
        <f t="shared" si="1473"/>
        <v>0</v>
      </c>
      <c r="Z1922" s="78" t="b">
        <f t="shared" si="1474"/>
        <v>0</v>
      </c>
      <c r="AA1922" s="78" t="b">
        <f t="shared" si="1475"/>
        <v>0</v>
      </c>
      <c r="AB1922" s="78" t="b">
        <f t="shared" si="1476"/>
        <v>0</v>
      </c>
      <c r="AC1922" s="78" t="b">
        <f t="shared" si="1477"/>
        <v>0</v>
      </c>
      <c r="AD1922" s="78" t="b">
        <f t="shared" si="1478"/>
        <v>0</v>
      </c>
      <c r="AE1922" s="78" t="b">
        <f t="shared" si="1479"/>
        <v>0</v>
      </c>
      <c r="AF1922" s="78" t="b">
        <f t="shared" si="1480"/>
        <v>0</v>
      </c>
      <c r="AG1922" s="78" t="b">
        <f t="shared" si="1481"/>
        <v>0</v>
      </c>
      <c r="AH1922" s="78" t="b">
        <f t="shared" si="1482"/>
        <v>0</v>
      </c>
      <c r="AI1922" s="78" t="b">
        <f t="shared" si="1483"/>
        <v>0</v>
      </c>
      <c r="AJ1922" s="78" t="b">
        <f t="shared" si="1484"/>
        <v>0</v>
      </c>
      <c r="AK1922" s="78" t="b">
        <f t="shared" si="1485"/>
        <v>0</v>
      </c>
      <c r="AL1922" s="78" t="b">
        <f t="shared" si="1486"/>
        <v>0</v>
      </c>
      <c r="AM1922" s="78" t="b">
        <f t="shared" si="1487"/>
        <v>0</v>
      </c>
      <c r="AN1922" s="78" t="b">
        <f t="shared" si="1488"/>
        <v>0</v>
      </c>
      <c r="AO1922" s="78" t="b">
        <f t="shared" si="1489"/>
        <v>0</v>
      </c>
    </row>
    <row r="1923" spans="7:41" x14ac:dyDescent="0.35">
      <c r="G1923" s="77">
        <f t="shared" si="1459"/>
        <v>0</v>
      </c>
      <c r="H1923" s="78">
        <f t="shared" si="1460"/>
        <v>0</v>
      </c>
      <c r="I1923" s="77">
        <f t="shared" si="1461"/>
        <v>0</v>
      </c>
      <c r="J1923" s="78">
        <f t="shared" si="1462"/>
        <v>0</v>
      </c>
      <c r="K1923" s="78" t="str">
        <f t="shared" si="1463"/>
        <v>1900-01-00 00:0:00</v>
      </c>
      <c r="L1923" s="78" t="str">
        <f t="shared" si="1464"/>
        <v>1900-01-00 00:0:00</v>
      </c>
      <c r="M1923" s="79">
        <f t="shared" si="1465"/>
        <v>0</v>
      </c>
      <c r="N1923">
        <f t="shared" si="1458"/>
        <v>1</v>
      </c>
      <c r="O1923" t="str">
        <f>IFERROR(_xlfn.XLOOKUP(A1923,HC!A:A,HC!C:C),"")</f>
        <v>Workforce</v>
      </c>
      <c r="R1923" s="78" t="b">
        <f t="shared" si="1466"/>
        <v>0</v>
      </c>
      <c r="S1923" s="78" t="b">
        <f t="shared" si="1467"/>
        <v>0</v>
      </c>
      <c r="T1923" s="78" t="b">
        <f t="shared" si="1468"/>
        <v>0</v>
      </c>
      <c r="U1923" s="78" t="b">
        <f t="shared" si="1469"/>
        <v>0</v>
      </c>
      <c r="V1923" s="78" t="b">
        <f t="shared" si="1470"/>
        <v>0</v>
      </c>
      <c r="W1923" s="78" t="b">
        <f t="shared" si="1471"/>
        <v>0</v>
      </c>
      <c r="X1923" s="78" t="b">
        <f t="shared" si="1472"/>
        <v>0</v>
      </c>
      <c r="Y1923" s="78" t="b">
        <f t="shared" si="1473"/>
        <v>0</v>
      </c>
      <c r="Z1923" s="78" t="b">
        <f t="shared" si="1474"/>
        <v>0</v>
      </c>
      <c r="AA1923" s="78" t="b">
        <f t="shared" si="1475"/>
        <v>0</v>
      </c>
      <c r="AB1923" s="78" t="b">
        <f t="shared" si="1476"/>
        <v>0</v>
      </c>
      <c r="AC1923" s="78" t="b">
        <f t="shared" si="1477"/>
        <v>0</v>
      </c>
      <c r="AD1923" s="78" t="b">
        <f t="shared" si="1478"/>
        <v>0</v>
      </c>
      <c r="AE1923" s="78" t="b">
        <f t="shared" si="1479"/>
        <v>0</v>
      </c>
      <c r="AF1923" s="78" t="b">
        <f t="shared" si="1480"/>
        <v>0</v>
      </c>
      <c r="AG1923" s="78" t="b">
        <f t="shared" si="1481"/>
        <v>0</v>
      </c>
      <c r="AH1923" s="78" t="b">
        <f t="shared" si="1482"/>
        <v>0</v>
      </c>
      <c r="AI1923" s="78" t="b">
        <f t="shared" si="1483"/>
        <v>0</v>
      </c>
      <c r="AJ1923" s="78" t="b">
        <f t="shared" si="1484"/>
        <v>0</v>
      </c>
      <c r="AK1923" s="78" t="b">
        <f t="shared" si="1485"/>
        <v>0</v>
      </c>
      <c r="AL1923" s="78" t="b">
        <f t="shared" si="1486"/>
        <v>0</v>
      </c>
      <c r="AM1923" s="78" t="b">
        <f t="shared" si="1487"/>
        <v>0</v>
      </c>
      <c r="AN1923" s="78" t="b">
        <f t="shared" si="1488"/>
        <v>0</v>
      </c>
      <c r="AO1923" s="78" t="b">
        <f t="shared" si="1489"/>
        <v>0</v>
      </c>
    </row>
    <row r="1924" spans="7:41" x14ac:dyDescent="0.35">
      <c r="G1924" s="77">
        <f t="shared" si="1459"/>
        <v>0</v>
      </c>
      <c r="H1924" s="78">
        <f t="shared" si="1460"/>
        <v>0</v>
      </c>
      <c r="I1924" s="77">
        <f t="shared" si="1461"/>
        <v>0</v>
      </c>
      <c r="J1924" s="78">
        <f t="shared" si="1462"/>
        <v>0</v>
      </c>
      <c r="K1924" s="78" t="str">
        <f t="shared" si="1463"/>
        <v>1900-01-00 00:0:00</v>
      </c>
      <c r="L1924" s="78" t="str">
        <f t="shared" si="1464"/>
        <v>1900-01-00 00:0:00</v>
      </c>
      <c r="M1924" s="79">
        <f t="shared" si="1465"/>
        <v>0</v>
      </c>
      <c r="N1924">
        <f t="shared" ref="N1924:N1987" si="1490">IF(M1924&lt;$BA$1,1,0)</f>
        <v>1</v>
      </c>
      <c r="O1924" t="str">
        <f>IFERROR(_xlfn.XLOOKUP(A1924,HC!A:A,HC!C:C),"")</f>
        <v>Workforce</v>
      </c>
      <c r="R1924" s="78" t="b">
        <f t="shared" si="1466"/>
        <v>0</v>
      </c>
      <c r="S1924" s="78" t="b">
        <f t="shared" si="1467"/>
        <v>0</v>
      </c>
      <c r="T1924" s="78" t="b">
        <f t="shared" si="1468"/>
        <v>0</v>
      </c>
      <c r="U1924" s="78" t="b">
        <f t="shared" si="1469"/>
        <v>0</v>
      </c>
      <c r="V1924" s="78" t="b">
        <f t="shared" si="1470"/>
        <v>0</v>
      </c>
      <c r="W1924" s="78" t="b">
        <f t="shared" si="1471"/>
        <v>0</v>
      </c>
      <c r="X1924" s="78" t="b">
        <f t="shared" si="1472"/>
        <v>0</v>
      </c>
      <c r="Y1924" s="78" t="b">
        <f t="shared" si="1473"/>
        <v>0</v>
      </c>
      <c r="Z1924" s="78" t="b">
        <f t="shared" si="1474"/>
        <v>0</v>
      </c>
      <c r="AA1924" s="78" t="b">
        <f t="shared" si="1475"/>
        <v>0</v>
      </c>
      <c r="AB1924" s="78" t="b">
        <f t="shared" si="1476"/>
        <v>0</v>
      </c>
      <c r="AC1924" s="78" t="b">
        <f t="shared" si="1477"/>
        <v>0</v>
      </c>
      <c r="AD1924" s="78" t="b">
        <f t="shared" si="1478"/>
        <v>0</v>
      </c>
      <c r="AE1924" s="78" t="b">
        <f t="shared" si="1479"/>
        <v>0</v>
      </c>
      <c r="AF1924" s="78" t="b">
        <f t="shared" si="1480"/>
        <v>0</v>
      </c>
      <c r="AG1924" s="78" t="b">
        <f t="shared" si="1481"/>
        <v>0</v>
      </c>
      <c r="AH1924" s="78" t="b">
        <f t="shared" si="1482"/>
        <v>0</v>
      </c>
      <c r="AI1924" s="78" t="b">
        <f t="shared" si="1483"/>
        <v>0</v>
      </c>
      <c r="AJ1924" s="78" t="b">
        <f t="shared" si="1484"/>
        <v>0</v>
      </c>
      <c r="AK1924" s="78" t="b">
        <f t="shared" si="1485"/>
        <v>0</v>
      </c>
      <c r="AL1924" s="78" t="b">
        <f t="shared" si="1486"/>
        <v>0</v>
      </c>
      <c r="AM1924" s="78" t="b">
        <f t="shared" si="1487"/>
        <v>0</v>
      </c>
      <c r="AN1924" s="78" t="b">
        <f t="shared" si="1488"/>
        <v>0</v>
      </c>
      <c r="AO1924" s="78" t="b">
        <f t="shared" si="1489"/>
        <v>0</v>
      </c>
    </row>
    <row r="1925" spans="7:41" x14ac:dyDescent="0.35">
      <c r="G1925" s="77">
        <f t="shared" si="1459"/>
        <v>0</v>
      </c>
      <c r="H1925" s="78">
        <f t="shared" si="1460"/>
        <v>0</v>
      </c>
      <c r="I1925" s="77">
        <f t="shared" si="1461"/>
        <v>0</v>
      </c>
      <c r="J1925" s="78">
        <f t="shared" si="1462"/>
        <v>0</v>
      </c>
      <c r="K1925" s="78" t="str">
        <f t="shared" si="1463"/>
        <v>1900-01-00 00:0:00</v>
      </c>
      <c r="L1925" s="78" t="str">
        <f t="shared" si="1464"/>
        <v>1900-01-00 00:0:00</v>
      </c>
      <c r="M1925" s="79">
        <f t="shared" si="1465"/>
        <v>0</v>
      </c>
      <c r="N1925">
        <f t="shared" si="1490"/>
        <v>1</v>
      </c>
      <c r="O1925" t="str">
        <f>IFERROR(_xlfn.XLOOKUP(A1925,HC!A:A,HC!C:C),"")</f>
        <v>Workforce</v>
      </c>
      <c r="R1925" s="78" t="b">
        <f t="shared" si="1466"/>
        <v>0</v>
      </c>
      <c r="S1925" s="78" t="b">
        <f t="shared" si="1467"/>
        <v>0</v>
      </c>
      <c r="T1925" s="78" t="b">
        <f t="shared" si="1468"/>
        <v>0</v>
      </c>
      <c r="U1925" s="78" t="b">
        <f t="shared" si="1469"/>
        <v>0</v>
      </c>
      <c r="V1925" s="78" t="b">
        <f t="shared" si="1470"/>
        <v>0</v>
      </c>
      <c r="W1925" s="78" t="b">
        <f t="shared" si="1471"/>
        <v>0</v>
      </c>
      <c r="X1925" s="78" t="b">
        <f t="shared" si="1472"/>
        <v>0</v>
      </c>
      <c r="Y1925" s="78" t="b">
        <f t="shared" si="1473"/>
        <v>0</v>
      </c>
      <c r="Z1925" s="78" t="b">
        <f t="shared" si="1474"/>
        <v>0</v>
      </c>
      <c r="AA1925" s="78" t="b">
        <f t="shared" si="1475"/>
        <v>0</v>
      </c>
      <c r="AB1925" s="78" t="b">
        <f t="shared" si="1476"/>
        <v>0</v>
      </c>
      <c r="AC1925" s="78" t="b">
        <f t="shared" si="1477"/>
        <v>0</v>
      </c>
      <c r="AD1925" s="78" t="b">
        <f t="shared" si="1478"/>
        <v>0</v>
      </c>
      <c r="AE1925" s="78" t="b">
        <f t="shared" si="1479"/>
        <v>0</v>
      </c>
      <c r="AF1925" s="78" t="b">
        <f t="shared" si="1480"/>
        <v>0</v>
      </c>
      <c r="AG1925" s="78" t="b">
        <f t="shared" si="1481"/>
        <v>0</v>
      </c>
      <c r="AH1925" s="78" t="b">
        <f t="shared" si="1482"/>
        <v>0</v>
      </c>
      <c r="AI1925" s="78" t="b">
        <f t="shared" si="1483"/>
        <v>0</v>
      </c>
      <c r="AJ1925" s="78" t="b">
        <f t="shared" si="1484"/>
        <v>0</v>
      </c>
      <c r="AK1925" s="78" t="b">
        <f t="shared" si="1485"/>
        <v>0</v>
      </c>
      <c r="AL1925" s="78" t="b">
        <f t="shared" si="1486"/>
        <v>0</v>
      </c>
      <c r="AM1925" s="78" t="b">
        <f t="shared" si="1487"/>
        <v>0</v>
      </c>
      <c r="AN1925" s="78" t="b">
        <f t="shared" si="1488"/>
        <v>0</v>
      </c>
      <c r="AO1925" s="78" t="b">
        <f t="shared" si="1489"/>
        <v>0</v>
      </c>
    </row>
    <row r="1926" spans="7:41" x14ac:dyDescent="0.35">
      <c r="G1926" s="77">
        <f t="shared" si="1459"/>
        <v>0</v>
      </c>
      <c r="H1926" s="78">
        <f t="shared" si="1460"/>
        <v>0</v>
      </c>
      <c r="I1926" s="77">
        <f t="shared" si="1461"/>
        <v>0</v>
      </c>
      <c r="J1926" s="78">
        <f t="shared" si="1462"/>
        <v>0</v>
      </c>
      <c r="K1926" s="78" t="str">
        <f t="shared" si="1463"/>
        <v>1900-01-00 00:0:00</v>
      </c>
      <c r="L1926" s="78" t="str">
        <f t="shared" si="1464"/>
        <v>1900-01-00 00:0:00</v>
      </c>
      <c r="M1926" s="79">
        <f t="shared" si="1465"/>
        <v>0</v>
      </c>
      <c r="N1926">
        <f t="shared" si="1490"/>
        <v>1</v>
      </c>
      <c r="O1926" t="str">
        <f>IFERROR(_xlfn.XLOOKUP(A1926,HC!A:A,HC!C:C),"")</f>
        <v>Workforce</v>
      </c>
      <c r="R1926" s="78" t="b">
        <f t="shared" si="1466"/>
        <v>0</v>
      </c>
      <c r="S1926" s="78" t="b">
        <f t="shared" si="1467"/>
        <v>0</v>
      </c>
      <c r="T1926" s="78" t="b">
        <f t="shared" si="1468"/>
        <v>0</v>
      </c>
      <c r="U1926" s="78" t="b">
        <f t="shared" si="1469"/>
        <v>0</v>
      </c>
      <c r="V1926" s="78" t="b">
        <f t="shared" si="1470"/>
        <v>0</v>
      </c>
      <c r="W1926" s="78" t="b">
        <f t="shared" si="1471"/>
        <v>0</v>
      </c>
      <c r="X1926" s="78" t="b">
        <f t="shared" si="1472"/>
        <v>0</v>
      </c>
      <c r="Y1926" s="78" t="b">
        <f t="shared" si="1473"/>
        <v>0</v>
      </c>
      <c r="Z1926" s="78" t="b">
        <f t="shared" si="1474"/>
        <v>0</v>
      </c>
      <c r="AA1926" s="78" t="b">
        <f t="shared" si="1475"/>
        <v>0</v>
      </c>
      <c r="AB1926" s="78" t="b">
        <f t="shared" si="1476"/>
        <v>0</v>
      </c>
      <c r="AC1926" s="78" t="b">
        <f t="shared" si="1477"/>
        <v>0</v>
      </c>
      <c r="AD1926" s="78" t="b">
        <f t="shared" si="1478"/>
        <v>0</v>
      </c>
      <c r="AE1926" s="78" t="b">
        <f t="shared" si="1479"/>
        <v>0</v>
      </c>
      <c r="AF1926" s="78" t="b">
        <f t="shared" si="1480"/>
        <v>0</v>
      </c>
      <c r="AG1926" s="78" t="b">
        <f t="shared" si="1481"/>
        <v>0</v>
      </c>
      <c r="AH1926" s="78" t="b">
        <f t="shared" si="1482"/>
        <v>0</v>
      </c>
      <c r="AI1926" s="78" t="b">
        <f t="shared" si="1483"/>
        <v>0</v>
      </c>
      <c r="AJ1926" s="78" t="b">
        <f t="shared" si="1484"/>
        <v>0</v>
      </c>
      <c r="AK1926" s="78" t="b">
        <f t="shared" si="1485"/>
        <v>0</v>
      </c>
      <c r="AL1926" s="78" t="b">
        <f t="shared" si="1486"/>
        <v>0</v>
      </c>
      <c r="AM1926" s="78" t="b">
        <f t="shared" si="1487"/>
        <v>0</v>
      </c>
      <c r="AN1926" s="78" t="b">
        <f t="shared" si="1488"/>
        <v>0</v>
      </c>
      <c r="AO1926" s="78" t="b">
        <f t="shared" si="1489"/>
        <v>0</v>
      </c>
    </row>
    <row r="1927" spans="7:41" x14ac:dyDescent="0.35">
      <c r="G1927" s="77">
        <f t="shared" si="1459"/>
        <v>0</v>
      </c>
      <c r="H1927" s="78">
        <f t="shared" si="1460"/>
        <v>0</v>
      </c>
      <c r="I1927" s="77">
        <f t="shared" si="1461"/>
        <v>0</v>
      </c>
      <c r="J1927" s="78">
        <f t="shared" si="1462"/>
        <v>0</v>
      </c>
      <c r="K1927" s="78" t="str">
        <f t="shared" si="1463"/>
        <v>1900-01-00 00:0:00</v>
      </c>
      <c r="L1927" s="78" t="str">
        <f t="shared" si="1464"/>
        <v>1900-01-00 00:0:00</v>
      </c>
      <c r="M1927" s="79">
        <f t="shared" si="1465"/>
        <v>0</v>
      </c>
      <c r="N1927">
        <f t="shared" si="1490"/>
        <v>1</v>
      </c>
      <c r="O1927" t="str">
        <f>IFERROR(_xlfn.XLOOKUP(A1927,HC!A:A,HC!C:C),"")</f>
        <v>Workforce</v>
      </c>
      <c r="R1927" s="78" t="b">
        <f t="shared" si="1466"/>
        <v>0</v>
      </c>
      <c r="S1927" s="78" t="b">
        <f t="shared" si="1467"/>
        <v>0</v>
      </c>
      <c r="T1927" s="78" t="b">
        <f t="shared" si="1468"/>
        <v>0</v>
      </c>
      <c r="U1927" s="78" t="b">
        <f t="shared" si="1469"/>
        <v>0</v>
      </c>
      <c r="V1927" s="78" t="b">
        <f t="shared" si="1470"/>
        <v>0</v>
      </c>
      <c r="W1927" s="78" t="b">
        <f t="shared" si="1471"/>
        <v>0</v>
      </c>
      <c r="X1927" s="78" t="b">
        <f t="shared" si="1472"/>
        <v>0</v>
      </c>
      <c r="Y1927" s="78" t="b">
        <f t="shared" si="1473"/>
        <v>0</v>
      </c>
      <c r="Z1927" s="78" t="b">
        <f t="shared" si="1474"/>
        <v>0</v>
      </c>
      <c r="AA1927" s="78" t="b">
        <f t="shared" si="1475"/>
        <v>0</v>
      </c>
      <c r="AB1927" s="78" t="b">
        <f t="shared" si="1476"/>
        <v>0</v>
      </c>
      <c r="AC1927" s="78" t="b">
        <f t="shared" si="1477"/>
        <v>0</v>
      </c>
      <c r="AD1927" s="78" t="b">
        <f t="shared" si="1478"/>
        <v>0</v>
      </c>
      <c r="AE1927" s="78" t="b">
        <f t="shared" si="1479"/>
        <v>0</v>
      </c>
      <c r="AF1927" s="78" t="b">
        <f t="shared" si="1480"/>
        <v>0</v>
      </c>
      <c r="AG1927" s="78" t="b">
        <f t="shared" si="1481"/>
        <v>0</v>
      </c>
      <c r="AH1927" s="78" t="b">
        <f t="shared" si="1482"/>
        <v>0</v>
      </c>
      <c r="AI1927" s="78" t="b">
        <f t="shared" si="1483"/>
        <v>0</v>
      </c>
      <c r="AJ1927" s="78" t="b">
        <f t="shared" si="1484"/>
        <v>0</v>
      </c>
      <c r="AK1927" s="78" t="b">
        <f t="shared" si="1485"/>
        <v>0</v>
      </c>
      <c r="AL1927" s="78" t="b">
        <f t="shared" si="1486"/>
        <v>0</v>
      </c>
      <c r="AM1927" s="78" t="b">
        <f t="shared" si="1487"/>
        <v>0</v>
      </c>
      <c r="AN1927" s="78" t="b">
        <f t="shared" si="1488"/>
        <v>0</v>
      </c>
      <c r="AO1927" s="78" t="b">
        <f t="shared" si="1489"/>
        <v>0</v>
      </c>
    </row>
    <row r="1928" spans="7:41" x14ac:dyDescent="0.35">
      <c r="G1928" s="77">
        <f t="shared" si="1459"/>
        <v>0</v>
      </c>
      <c r="H1928" s="78">
        <f t="shared" si="1460"/>
        <v>0</v>
      </c>
      <c r="I1928" s="77">
        <f t="shared" si="1461"/>
        <v>0</v>
      </c>
      <c r="J1928" s="78">
        <f t="shared" si="1462"/>
        <v>0</v>
      </c>
      <c r="K1928" s="78" t="str">
        <f t="shared" si="1463"/>
        <v>1900-01-00 00:0:00</v>
      </c>
      <c r="L1928" s="78" t="str">
        <f t="shared" si="1464"/>
        <v>1900-01-00 00:0:00</v>
      </c>
      <c r="M1928" s="79">
        <f t="shared" si="1465"/>
        <v>0</v>
      </c>
      <c r="N1928">
        <f t="shared" si="1490"/>
        <v>1</v>
      </c>
      <c r="O1928" t="str">
        <f>IFERROR(_xlfn.XLOOKUP(A1928,HC!A:A,HC!C:C),"")</f>
        <v>Workforce</v>
      </c>
      <c r="R1928" s="78" t="b">
        <f t="shared" si="1466"/>
        <v>0</v>
      </c>
      <c r="S1928" s="78" t="b">
        <f t="shared" si="1467"/>
        <v>0</v>
      </c>
      <c r="T1928" s="78" t="b">
        <f t="shared" si="1468"/>
        <v>0</v>
      </c>
      <c r="U1928" s="78" t="b">
        <f t="shared" si="1469"/>
        <v>0</v>
      </c>
      <c r="V1928" s="78" t="b">
        <f t="shared" si="1470"/>
        <v>0</v>
      </c>
      <c r="W1928" s="78" t="b">
        <f t="shared" si="1471"/>
        <v>0</v>
      </c>
      <c r="X1928" s="78" t="b">
        <f t="shared" si="1472"/>
        <v>0</v>
      </c>
      <c r="Y1928" s="78" t="b">
        <f t="shared" si="1473"/>
        <v>0</v>
      </c>
      <c r="Z1928" s="78" t="b">
        <f t="shared" si="1474"/>
        <v>0</v>
      </c>
      <c r="AA1928" s="78" t="b">
        <f t="shared" si="1475"/>
        <v>0</v>
      </c>
      <c r="AB1928" s="78" t="b">
        <f t="shared" si="1476"/>
        <v>0</v>
      </c>
      <c r="AC1928" s="78" t="b">
        <f t="shared" si="1477"/>
        <v>0</v>
      </c>
      <c r="AD1928" s="78" t="b">
        <f t="shared" si="1478"/>
        <v>0</v>
      </c>
      <c r="AE1928" s="78" t="b">
        <f t="shared" si="1479"/>
        <v>0</v>
      </c>
      <c r="AF1928" s="78" t="b">
        <f t="shared" si="1480"/>
        <v>0</v>
      </c>
      <c r="AG1928" s="78" t="b">
        <f t="shared" si="1481"/>
        <v>0</v>
      </c>
      <c r="AH1928" s="78" t="b">
        <f t="shared" si="1482"/>
        <v>0</v>
      </c>
      <c r="AI1928" s="78" t="b">
        <f t="shared" si="1483"/>
        <v>0</v>
      </c>
      <c r="AJ1928" s="78" t="b">
        <f t="shared" si="1484"/>
        <v>0</v>
      </c>
      <c r="AK1928" s="78" t="b">
        <f t="shared" si="1485"/>
        <v>0</v>
      </c>
      <c r="AL1928" s="78" t="b">
        <f t="shared" si="1486"/>
        <v>0</v>
      </c>
      <c r="AM1928" s="78" t="b">
        <f t="shared" si="1487"/>
        <v>0</v>
      </c>
      <c r="AN1928" s="78" t="b">
        <f t="shared" si="1488"/>
        <v>0</v>
      </c>
      <c r="AO1928" s="78" t="b">
        <f t="shared" si="1489"/>
        <v>0</v>
      </c>
    </row>
    <row r="1929" spans="7:41" x14ac:dyDescent="0.35">
      <c r="G1929" s="77">
        <f t="shared" si="1459"/>
        <v>0</v>
      </c>
      <c r="H1929" s="78">
        <f t="shared" si="1460"/>
        <v>0</v>
      </c>
      <c r="I1929" s="77">
        <f t="shared" si="1461"/>
        <v>0</v>
      </c>
      <c r="J1929" s="78">
        <f t="shared" si="1462"/>
        <v>0</v>
      </c>
      <c r="K1929" s="78" t="str">
        <f t="shared" si="1463"/>
        <v>1900-01-00 00:0:00</v>
      </c>
      <c r="L1929" s="78" t="str">
        <f t="shared" si="1464"/>
        <v>1900-01-00 00:0:00</v>
      </c>
      <c r="M1929" s="79">
        <f t="shared" si="1465"/>
        <v>0</v>
      </c>
      <c r="N1929">
        <f t="shared" si="1490"/>
        <v>1</v>
      </c>
      <c r="O1929" t="str">
        <f>IFERROR(_xlfn.XLOOKUP(A1929,HC!A:A,HC!C:C),"")</f>
        <v>Workforce</v>
      </c>
      <c r="R1929" s="78" t="b">
        <f t="shared" si="1466"/>
        <v>0</v>
      </c>
      <c r="S1929" s="78" t="b">
        <f t="shared" si="1467"/>
        <v>0</v>
      </c>
      <c r="T1929" s="78" t="b">
        <f t="shared" si="1468"/>
        <v>0</v>
      </c>
      <c r="U1929" s="78" t="b">
        <f t="shared" si="1469"/>
        <v>0</v>
      </c>
      <c r="V1929" s="78" t="b">
        <f t="shared" si="1470"/>
        <v>0</v>
      </c>
      <c r="W1929" s="78" t="b">
        <f t="shared" si="1471"/>
        <v>0</v>
      </c>
      <c r="X1929" s="78" t="b">
        <f t="shared" si="1472"/>
        <v>0</v>
      </c>
      <c r="Y1929" s="78" t="b">
        <f t="shared" si="1473"/>
        <v>0</v>
      </c>
      <c r="Z1929" s="78" t="b">
        <f t="shared" si="1474"/>
        <v>0</v>
      </c>
      <c r="AA1929" s="78" t="b">
        <f t="shared" si="1475"/>
        <v>0</v>
      </c>
      <c r="AB1929" s="78" t="b">
        <f t="shared" si="1476"/>
        <v>0</v>
      </c>
      <c r="AC1929" s="78" t="b">
        <f t="shared" si="1477"/>
        <v>0</v>
      </c>
      <c r="AD1929" s="78" t="b">
        <f t="shared" si="1478"/>
        <v>0</v>
      </c>
      <c r="AE1929" s="78" t="b">
        <f t="shared" si="1479"/>
        <v>0</v>
      </c>
      <c r="AF1929" s="78" t="b">
        <f t="shared" si="1480"/>
        <v>0</v>
      </c>
      <c r="AG1929" s="78" t="b">
        <f t="shared" si="1481"/>
        <v>0</v>
      </c>
      <c r="AH1929" s="78" t="b">
        <f t="shared" si="1482"/>
        <v>0</v>
      </c>
      <c r="AI1929" s="78" t="b">
        <f t="shared" si="1483"/>
        <v>0</v>
      </c>
      <c r="AJ1929" s="78" t="b">
        <f t="shared" si="1484"/>
        <v>0</v>
      </c>
      <c r="AK1929" s="78" t="b">
        <f t="shared" si="1485"/>
        <v>0</v>
      </c>
      <c r="AL1929" s="78" t="b">
        <f t="shared" si="1486"/>
        <v>0</v>
      </c>
      <c r="AM1929" s="78" t="b">
        <f t="shared" si="1487"/>
        <v>0</v>
      </c>
      <c r="AN1929" s="78" t="b">
        <f t="shared" si="1488"/>
        <v>0</v>
      </c>
      <c r="AO1929" s="78" t="b">
        <f t="shared" si="1489"/>
        <v>0</v>
      </c>
    </row>
    <row r="1930" spans="7:41" x14ac:dyDescent="0.35">
      <c r="G1930" s="77">
        <f t="shared" si="1459"/>
        <v>0</v>
      </c>
      <c r="H1930" s="78">
        <f t="shared" si="1460"/>
        <v>0</v>
      </c>
      <c r="I1930" s="77">
        <f t="shared" si="1461"/>
        <v>0</v>
      </c>
      <c r="J1930" s="78">
        <f t="shared" si="1462"/>
        <v>0</v>
      </c>
      <c r="K1930" s="78" t="str">
        <f t="shared" si="1463"/>
        <v>1900-01-00 00:0:00</v>
      </c>
      <c r="L1930" s="78" t="str">
        <f t="shared" si="1464"/>
        <v>1900-01-00 00:0:00</v>
      </c>
      <c r="M1930" s="79">
        <f t="shared" si="1465"/>
        <v>0</v>
      </c>
      <c r="N1930">
        <f t="shared" si="1490"/>
        <v>1</v>
      </c>
      <c r="O1930" t="str">
        <f>IFERROR(_xlfn.XLOOKUP(A1930,HC!A:A,HC!C:C),"")</f>
        <v>Workforce</v>
      </c>
      <c r="R1930" s="78" t="b">
        <f t="shared" si="1466"/>
        <v>0</v>
      </c>
      <c r="S1930" s="78" t="b">
        <f t="shared" si="1467"/>
        <v>0</v>
      </c>
      <c r="T1930" s="78" t="b">
        <f t="shared" si="1468"/>
        <v>0</v>
      </c>
      <c r="U1930" s="78" t="b">
        <f t="shared" si="1469"/>
        <v>0</v>
      </c>
      <c r="V1930" s="78" t="b">
        <f t="shared" si="1470"/>
        <v>0</v>
      </c>
      <c r="W1930" s="78" t="b">
        <f t="shared" si="1471"/>
        <v>0</v>
      </c>
      <c r="X1930" s="78" t="b">
        <f t="shared" si="1472"/>
        <v>0</v>
      </c>
      <c r="Y1930" s="78" t="b">
        <f t="shared" si="1473"/>
        <v>0</v>
      </c>
      <c r="Z1930" s="78" t="b">
        <f t="shared" si="1474"/>
        <v>0</v>
      </c>
      <c r="AA1930" s="78" t="b">
        <f t="shared" si="1475"/>
        <v>0</v>
      </c>
      <c r="AB1930" s="78" t="b">
        <f t="shared" si="1476"/>
        <v>0</v>
      </c>
      <c r="AC1930" s="78" t="b">
        <f t="shared" si="1477"/>
        <v>0</v>
      </c>
      <c r="AD1930" s="78" t="b">
        <f t="shared" si="1478"/>
        <v>0</v>
      </c>
      <c r="AE1930" s="78" t="b">
        <f t="shared" si="1479"/>
        <v>0</v>
      </c>
      <c r="AF1930" s="78" t="b">
        <f t="shared" si="1480"/>
        <v>0</v>
      </c>
      <c r="AG1930" s="78" t="b">
        <f t="shared" si="1481"/>
        <v>0</v>
      </c>
      <c r="AH1930" s="78" t="b">
        <f t="shared" si="1482"/>
        <v>0</v>
      </c>
      <c r="AI1930" s="78" t="b">
        <f t="shared" si="1483"/>
        <v>0</v>
      </c>
      <c r="AJ1930" s="78" t="b">
        <f t="shared" si="1484"/>
        <v>0</v>
      </c>
      <c r="AK1930" s="78" t="b">
        <f t="shared" si="1485"/>
        <v>0</v>
      </c>
      <c r="AL1930" s="78" t="b">
        <f t="shared" si="1486"/>
        <v>0</v>
      </c>
      <c r="AM1930" s="78" t="b">
        <f t="shared" si="1487"/>
        <v>0</v>
      </c>
      <c r="AN1930" s="78" t="b">
        <f t="shared" si="1488"/>
        <v>0</v>
      </c>
      <c r="AO1930" s="78" t="b">
        <f t="shared" si="1489"/>
        <v>0</v>
      </c>
    </row>
    <row r="1931" spans="7:41" x14ac:dyDescent="0.35">
      <c r="G1931" s="77">
        <f t="shared" si="1459"/>
        <v>0</v>
      </c>
      <c r="H1931" s="78">
        <f t="shared" si="1460"/>
        <v>0</v>
      </c>
      <c r="I1931" s="77">
        <f t="shared" si="1461"/>
        <v>0</v>
      </c>
      <c r="J1931" s="78">
        <f t="shared" si="1462"/>
        <v>0</v>
      </c>
      <c r="K1931" s="78" t="str">
        <f t="shared" si="1463"/>
        <v>1900-01-00 00:0:00</v>
      </c>
      <c r="L1931" s="78" t="str">
        <f t="shared" si="1464"/>
        <v>1900-01-00 00:0:00</v>
      </c>
      <c r="M1931" s="79">
        <f t="shared" si="1465"/>
        <v>0</v>
      </c>
      <c r="N1931">
        <f t="shared" si="1490"/>
        <v>1</v>
      </c>
      <c r="O1931" t="str">
        <f>IFERROR(_xlfn.XLOOKUP(A1931,HC!A:A,HC!C:C),"")</f>
        <v>Workforce</v>
      </c>
      <c r="R1931" s="78" t="b">
        <f t="shared" si="1466"/>
        <v>0</v>
      </c>
      <c r="S1931" s="78" t="b">
        <f t="shared" si="1467"/>
        <v>0</v>
      </c>
      <c r="T1931" s="78" t="b">
        <f t="shared" si="1468"/>
        <v>0</v>
      </c>
      <c r="U1931" s="78" t="b">
        <f t="shared" si="1469"/>
        <v>0</v>
      </c>
      <c r="V1931" s="78" t="b">
        <f t="shared" si="1470"/>
        <v>0</v>
      </c>
      <c r="W1931" s="78" t="b">
        <f t="shared" si="1471"/>
        <v>0</v>
      </c>
      <c r="X1931" s="78" t="b">
        <f t="shared" si="1472"/>
        <v>0</v>
      </c>
      <c r="Y1931" s="78" t="b">
        <f t="shared" si="1473"/>
        <v>0</v>
      </c>
      <c r="Z1931" s="78" t="b">
        <f t="shared" si="1474"/>
        <v>0</v>
      </c>
      <c r="AA1931" s="78" t="b">
        <f t="shared" si="1475"/>
        <v>0</v>
      </c>
      <c r="AB1931" s="78" t="b">
        <f t="shared" si="1476"/>
        <v>0</v>
      </c>
      <c r="AC1931" s="78" t="b">
        <f t="shared" si="1477"/>
        <v>0</v>
      </c>
      <c r="AD1931" s="78" t="b">
        <f t="shared" si="1478"/>
        <v>0</v>
      </c>
      <c r="AE1931" s="78" t="b">
        <f t="shared" si="1479"/>
        <v>0</v>
      </c>
      <c r="AF1931" s="78" t="b">
        <f t="shared" si="1480"/>
        <v>0</v>
      </c>
      <c r="AG1931" s="78" t="b">
        <f t="shared" si="1481"/>
        <v>0</v>
      </c>
      <c r="AH1931" s="78" t="b">
        <f t="shared" si="1482"/>
        <v>0</v>
      </c>
      <c r="AI1931" s="78" t="b">
        <f t="shared" si="1483"/>
        <v>0</v>
      </c>
      <c r="AJ1931" s="78" t="b">
        <f t="shared" si="1484"/>
        <v>0</v>
      </c>
      <c r="AK1931" s="78" t="b">
        <f t="shared" si="1485"/>
        <v>0</v>
      </c>
      <c r="AL1931" s="78" t="b">
        <f t="shared" si="1486"/>
        <v>0</v>
      </c>
      <c r="AM1931" s="78" t="b">
        <f t="shared" si="1487"/>
        <v>0</v>
      </c>
      <c r="AN1931" s="78" t="b">
        <f t="shared" si="1488"/>
        <v>0</v>
      </c>
      <c r="AO1931" s="78" t="b">
        <f t="shared" si="1489"/>
        <v>0</v>
      </c>
    </row>
    <row r="1932" spans="7:41" x14ac:dyDescent="0.35">
      <c r="G1932" s="77">
        <f t="shared" si="1459"/>
        <v>0</v>
      </c>
      <c r="H1932" s="78">
        <f t="shared" si="1460"/>
        <v>0</v>
      </c>
      <c r="I1932" s="77">
        <f t="shared" si="1461"/>
        <v>0</v>
      </c>
      <c r="J1932" s="78">
        <f t="shared" si="1462"/>
        <v>0</v>
      </c>
      <c r="K1932" s="78" t="str">
        <f t="shared" si="1463"/>
        <v>1900-01-00 00:0:00</v>
      </c>
      <c r="L1932" s="78" t="str">
        <f t="shared" si="1464"/>
        <v>1900-01-00 00:0:00</v>
      </c>
      <c r="M1932" s="79">
        <f t="shared" si="1465"/>
        <v>0</v>
      </c>
      <c r="N1932">
        <f t="shared" si="1490"/>
        <v>1</v>
      </c>
      <c r="O1932" t="str">
        <f>IFERROR(_xlfn.XLOOKUP(A1932,HC!A:A,HC!C:C),"")</f>
        <v>Workforce</v>
      </c>
      <c r="R1932" s="78" t="b">
        <f t="shared" si="1466"/>
        <v>0</v>
      </c>
      <c r="S1932" s="78" t="b">
        <f t="shared" si="1467"/>
        <v>0</v>
      </c>
      <c r="T1932" s="78" t="b">
        <f t="shared" si="1468"/>
        <v>0</v>
      </c>
      <c r="U1932" s="78" t="b">
        <f t="shared" si="1469"/>
        <v>0</v>
      </c>
      <c r="V1932" s="78" t="b">
        <f t="shared" si="1470"/>
        <v>0</v>
      </c>
      <c r="W1932" s="78" t="b">
        <f t="shared" si="1471"/>
        <v>0</v>
      </c>
      <c r="X1932" s="78" t="b">
        <f t="shared" si="1472"/>
        <v>0</v>
      </c>
      <c r="Y1932" s="78" t="b">
        <f t="shared" si="1473"/>
        <v>0</v>
      </c>
      <c r="Z1932" s="78" t="b">
        <f t="shared" si="1474"/>
        <v>0</v>
      </c>
      <c r="AA1932" s="78" t="b">
        <f t="shared" si="1475"/>
        <v>0</v>
      </c>
      <c r="AB1932" s="78" t="b">
        <f t="shared" si="1476"/>
        <v>0</v>
      </c>
      <c r="AC1932" s="78" t="b">
        <f t="shared" si="1477"/>
        <v>0</v>
      </c>
      <c r="AD1932" s="78" t="b">
        <f t="shared" si="1478"/>
        <v>0</v>
      </c>
      <c r="AE1932" s="78" t="b">
        <f t="shared" si="1479"/>
        <v>0</v>
      </c>
      <c r="AF1932" s="78" t="b">
        <f t="shared" si="1480"/>
        <v>0</v>
      </c>
      <c r="AG1932" s="78" t="b">
        <f t="shared" si="1481"/>
        <v>0</v>
      </c>
      <c r="AH1932" s="78" t="b">
        <f t="shared" si="1482"/>
        <v>0</v>
      </c>
      <c r="AI1932" s="78" t="b">
        <f t="shared" si="1483"/>
        <v>0</v>
      </c>
      <c r="AJ1932" s="78" t="b">
        <f t="shared" si="1484"/>
        <v>0</v>
      </c>
      <c r="AK1932" s="78" t="b">
        <f t="shared" si="1485"/>
        <v>0</v>
      </c>
      <c r="AL1932" s="78" t="b">
        <f t="shared" si="1486"/>
        <v>0</v>
      </c>
      <c r="AM1932" s="78" t="b">
        <f t="shared" si="1487"/>
        <v>0</v>
      </c>
      <c r="AN1932" s="78" t="b">
        <f t="shared" si="1488"/>
        <v>0</v>
      </c>
      <c r="AO1932" s="78" t="b">
        <f t="shared" si="1489"/>
        <v>0</v>
      </c>
    </row>
    <row r="1933" spans="7:41" x14ac:dyDescent="0.35">
      <c r="G1933" s="77">
        <f t="shared" si="1459"/>
        <v>0</v>
      </c>
      <c r="H1933" s="78">
        <f t="shared" si="1460"/>
        <v>0</v>
      </c>
      <c r="I1933" s="77">
        <f t="shared" si="1461"/>
        <v>0</v>
      </c>
      <c r="J1933" s="78">
        <f t="shared" si="1462"/>
        <v>0</v>
      </c>
      <c r="K1933" s="78" t="str">
        <f t="shared" si="1463"/>
        <v>1900-01-00 00:0:00</v>
      </c>
      <c r="L1933" s="78" t="str">
        <f t="shared" si="1464"/>
        <v>1900-01-00 00:0:00</v>
      </c>
      <c r="M1933" s="79">
        <f t="shared" si="1465"/>
        <v>0</v>
      </c>
      <c r="N1933">
        <f t="shared" si="1490"/>
        <v>1</v>
      </c>
      <c r="O1933" t="str">
        <f>IFERROR(_xlfn.XLOOKUP(A1933,HC!A:A,HC!C:C),"")</f>
        <v>Workforce</v>
      </c>
      <c r="R1933" s="78" t="b">
        <f t="shared" si="1466"/>
        <v>0</v>
      </c>
      <c r="S1933" s="78" t="b">
        <f t="shared" si="1467"/>
        <v>0</v>
      </c>
      <c r="T1933" s="78" t="b">
        <f t="shared" si="1468"/>
        <v>0</v>
      </c>
      <c r="U1933" s="78" t="b">
        <f t="shared" si="1469"/>
        <v>0</v>
      </c>
      <c r="V1933" s="78" t="b">
        <f t="shared" si="1470"/>
        <v>0</v>
      </c>
      <c r="W1933" s="78" t="b">
        <f t="shared" si="1471"/>
        <v>0</v>
      </c>
      <c r="X1933" s="78" t="b">
        <f t="shared" si="1472"/>
        <v>0</v>
      </c>
      <c r="Y1933" s="78" t="b">
        <f t="shared" si="1473"/>
        <v>0</v>
      </c>
      <c r="Z1933" s="78" t="b">
        <f t="shared" si="1474"/>
        <v>0</v>
      </c>
      <c r="AA1933" s="78" t="b">
        <f t="shared" si="1475"/>
        <v>0</v>
      </c>
      <c r="AB1933" s="78" t="b">
        <f t="shared" si="1476"/>
        <v>0</v>
      </c>
      <c r="AC1933" s="78" t="b">
        <f t="shared" si="1477"/>
        <v>0</v>
      </c>
      <c r="AD1933" s="78" t="b">
        <f t="shared" si="1478"/>
        <v>0</v>
      </c>
      <c r="AE1933" s="78" t="b">
        <f t="shared" si="1479"/>
        <v>0</v>
      </c>
      <c r="AF1933" s="78" t="b">
        <f t="shared" si="1480"/>
        <v>0</v>
      </c>
      <c r="AG1933" s="78" t="b">
        <f t="shared" si="1481"/>
        <v>0</v>
      </c>
      <c r="AH1933" s="78" t="b">
        <f t="shared" si="1482"/>
        <v>0</v>
      </c>
      <c r="AI1933" s="78" t="b">
        <f t="shared" si="1483"/>
        <v>0</v>
      </c>
      <c r="AJ1933" s="78" t="b">
        <f t="shared" si="1484"/>
        <v>0</v>
      </c>
      <c r="AK1933" s="78" t="b">
        <f t="shared" si="1485"/>
        <v>0</v>
      </c>
      <c r="AL1933" s="78" t="b">
        <f t="shared" si="1486"/>
        <v>0</v>
      </c>
      <c r="AM1933" s="78" t="b">
        <f t="shared" si="1487"/>
        <v>0</v>
      </c>
      <c r="AN1933" s="78" t="b">
        <f t="shared" si="1488"/>
        <v>0</v>
      </c>
      <c r="AO1933" s="78" t="b">
        <f t="shared" si="1489"/>
        <v>0</v>
      </c>
    </row>
    <row r="1934" spans="7:41" x14ac:dyDescent="0.35">
      <c r="G1934" s="77">
        <f t="shared" si="1459"/>
        <v>0</v>
      </c>
      <c r="H1934" s="78">
        <f t="shared" si="1460"/>
        <v>0</v>
      </c>
      <c r="I1934" s="77">
        <f t="shared" si="1461"/>
        <v>0</v>
      </c>
      <c r="J1934" s="78">
        <f t="shared" si="1462"/>
        <v>0</v>
      </c>
      <c r="K1934" s="78" t="str">
        <f t="shared" si="1463"/>
        <v>1900-01-00 00:0:00</v>
      </c>
      <c r="L1934" s="78" t="str">
        <f t="shared" si="1464"/>
        <v>1900-01-00 00:0:00</v>
      </c>
      <c r="M1934" s="79">
        <f t="shared" si="1465"/>
        <v>0</v>
      </c>
      <c r="N1934">
        <f t="shared" si="1490"/>
        <v>1</v>
      </c>
      <c r="O1934" t="str">
        <f>IFERROR(_xlfn.XLOOKUP(A1934,HC!A:A,HC!C:C),"")</f>
        <v>Workforce</v>
      </c>
      <c r="R1934" s="78" t="b">
        <f t="shared" si="1466"/>
        <v>0</v>
      </c>
      <c r="S1934" s="78" t="b">
        <f t="shared" si="1467"/>
        <v>0</v>
      </c>
      <c r="T1934" s="78" t="b">
        <f t="shared" si="1468"/>
        <v>0</v>
      </c>
      <c r="U1934" s="78" t="b">
        <f t="shared" si="1469"/>
        <v>0</v>
      </c>
      <c r="V1934" s="78" t="b">
        <f t="shared" si="1470"/>
        <v>0</v>
      </c>
      <c r="W1934" s="78" t="b">
        <f t="shared" si="1471"/>
        <v>0</v>
      </c>
      <c r="X1934" s="78" t="b">
        <f t="shared" si="1472"/>
        <v>0</v>
      </c>
      <c r="Y1934" s="78" t="b">
        <f t="shared" si="1473"/>
        <v>0</v>
      </c>
      <c r="Z1934" s="78" t="b">
        <f t="shared" si="1474"/>
        <v>0</v>
      </c>
      <c r="AA1934" s="78" t="b">
        <f t="shared" si="1475"/>
        <v>0</v>
      </c>
      <c r="AB1934" s="78" t="b">
        <f t="shared" si="1476"/>
        <v>0</v>
      </c>
      <c r="AC1934" s="78" t="b">
        <f t="shared" si="1477"/>
        <v>0</v>
      </c>
      <c r="AD1934" s="78" t="b">
        <f t="shared" si="1478"/>
        <v>0</v>
      </c>
      <c r="AE1934" s="78" t="b">
        <f t="shared" si="1479"/>
        <v>0</v>
      </c>
      <c r="AF1934" s="78" t="b">
        <f t="shared" si="1480"/>
        <v>0</v>
      </c>
      <c r="AG1934" s="78" t="b">
        <f t="shared" si="1481"/>
        <v>0</v>
      </c>
      <c r="AH1934" s="78" t="b">
        <f t="shared" si="1482"/>
        <v>0</v>
      </c>
      <c r="AI1934" s="78" t="b">
        <f t="shared" si="1483"/>
        <v>0</v>
      </c>
      <c r="AJ1934" s="78" t="b">
        <f t="shared" si="1484"/>
        <v>0</v>
      </c>
      <c r="AK1934" s="78" t="b">
        <f t="shared" si="1485"/>
        <v>0</v>
      </c>
      <c r="AL1934" s="78" t="b">
        <f t="shared" si="1486"/>
        <v>0</v>
      </c>
      <c r="AM1934" s="78" t="b">
        <f t="shared" si="1487"/>
        <v>0</v>
      </c>
      <c r="AN1934" s="78" t="b">
        <f t="shared" si="1488"/>
        <v>0</v>
      </c>
      <c r="AO1934" s="78" t="b">
        <f t="shared" si="1489"/>
        <v>0</v>
      </c>
    </row>
    <row r="1935" spans="7:41" x14ac:dyDescent="0.35">
      <c r="G1935" s="77">
        <f t="shared" si="1459"/>
        <v>0</v>
      </c>
      <c r="H1935" s="78">
        <f t="shared" si="1460"/>
        <v>0</v>
      </c>
      <c r="I1935" s="77">
        <f t="shared" si="1461"/>
        <v>0</v>
      </c>
      <c r="J1935" s="78">
        <f t="shared" si="1462"/>
        <v>0</v>
      </c>
      <c r="K1935" s="78" t="str">
        <f t="shared" si="1463"/>
        <v>1900-01-00 00:0:00</v>
      </c>
      <c r="L1935" s="78" t="str">
        <f t="shared" si="1464"/>
        <v>1900-01-00 00:0:00</v>
      </c>
      <c r="M1935" s="79">
        <f t="shared" si="1465"/>
        <v>0</v>
      </c>
      <c r="N1935">
        <f t="shared" si="1490"/>
        <v>1</v>
      </c>
      <c r="O1935" t="str">
        <f>IFERROR(_xlfn.XLOOKUP(A1935,HC!A:A,HC!C:C),"")</f>
        <v>Workforce</v>
      </c>
      <c r="R1935" s="78" t="b">
        <f t="shared" si="1466"/>
        <v>0</v>
      </c>
      <c r="S1935" s="78" t="b">
        <f t="shared" si="1467"/>
        <v>0</v>
      </c>
      <c r="T1935" s="78" t="b">
        <f t="shared" si="1468"/>
        <v>0</v>
      </c>
      <c r="U1935" s="78" t="b">
        <f t="shared" si="1469"/>
        <v>0</v>
      </c>
      <c r="V1935" s="78" t="b">
        <f t="shared" si="1470"/>
        <v>0</v>
      </c>
      <c r="W1935" s="78" t="b">
        <f t="shared" si="1471"/>
        <v>0</v>
      </c>
      <c r="X1935" s="78" t="b">
        <f t="shared" si="1472"/>
        <v>0</v>
      </c>
      <c r="Y1935" s="78" t="b">
        <f t="shared" si="1473"/>
        <v>0</v>
      </c>
      <c r="Z1935" s="78" t="b">
        <f t="shared" si="1474"/>
        <v>0</v>
      </c>
      <c r="AA1935" s="78" t="b">
        <f t="shared" si="1475"/>
        <v>0</v>
      </c>
      <c r="AB1935" s="78" t="b">
        <f t="shared" si="1476"/>
        <v>0</v>
      </c>
      <c r="AC1935" s="78" t="b">
        <f t="shared" si="1477"/>
        <v>0</v>
      </c>
      <c r="AD1935" s="78" t="b">
        <f t="shared" si="1478"/>
        <v>0</v>
      </c>
      <c r="AE1935" s="78" t="b">
        <f t="shared" si="1479"/>
        <v>0</v>
      </c>
      <c r="AF1935" s="78" t="b">
        <f t="shared" si="1480"/>
        <v>0</v>
      </c>
      <c r="AG1935" s="78" t="b">
        <f t="shared" si="1481"/>
        <v>0</v>
      </c>
      <c r="AH1935" s="78" t="b">
        <f t="shared" si="1482"/>
        <v>0</v>
      </c>
      <c r="AI1935" s="78" t="b">
        <f t="shared" si="1483"/>
        <v>0</v>
      </c>
      <c r="AJ1935" s="78" t="b">
        <f t="shared" si="1484"/>
        <v>0</v>
      </c>
      <c r="AK1935" s="78" t="b">
        <f t="shared" si="1485"/>
        <v>0</v>
      </c>
      <c r="AL1935" s="78" t="b">
        <f t="shared" si="1486"/>
        <v>0</v>
      </c>
      <c r="AM1935" s="78" t="b">
        <f t="shared" si="1487"/>
        <v>0</v>
      </c>
      <c r="AN1935" s="78" t="b">
        <f t="shared" si="1488"/>
        <v>0</v>
      </c>
      <c r="AO1935" s="78" t="b">
        <f t="shared" si="1489"/>
        <v>0</v>
      </c>
    </row>
    <row r="1936" spans="7:41" x14ac:dyDescent="0.35">
      <c r="G1936" s="77">
        <f t="shared" si="1459"/>
        <v>0</v>
      </c>
      <c r="H1936" s="78">
        <f t="shared" si="1460"/>
        <v>0</v>
      </c>
      <c r="I1936" s="77">
        <f t="shared" si="1461"/>
        <v>0</v>
      </c>
      <c r="J1936" s="78">
        <f t="shared" si="1462"/>
        <v>0</v>
      </c>
      <c r="K1936" s="78" t="str">
        <f t="shared" si="1463"/>
        <v>1900-01-00 00:0:00</v>
      </c>
      <c r="L1936" s="78" t="str">
        <f t="shared" si="1464"/>
        <v>1900-01-00 00:0:00</v>
      </c>
      <c r="M1936" s="79">
        <f t="shared" si="1465"/>
        <v>0</v>
      </c>
      <c r="N1936">
        <f t="shared" si="1490"/>
        <v>1</v>
      </c>
      <c r="O1936" t="str">
        <f>IFERROR(_xlfn.XLOOKUP(A1936,HC!A:A,HC!C:C),"")</f>
        <v>Workforce</v>
      </c>
      <c r="R1936" s="78" t="b">
        <f t="shared" si="1466"/>
        <v>0</v>
      </c>
      <c r="S1936" s="78" t="b">
        <f t="shared" si="1467"/>
        <v>0</v>
      </c>
      <c r="T1936" s="78" t="b">
        <f t="shared" si="1468"/>
        <v>0</v>
      </c>
      <c r="U1936" s="78" t="b">
        <f t="shared" si="1469"/>
        <v>0</v>
      </c>
      <c r="V1936" s="78" t="b">
        <f t="shared" si="1470"/>
        <v>0</v>
      </c>
      <c r="W1936" s="78" t="b">
        <f t="shared" si="1471"/>
        <v>0</v>
      </c>
      <c r="X1936" s="78" t="b">
        <f t="shared" si="1472"/>
        <v>0</v>
      </c>
      <c r="Y1936" s="78" t="b">
        <f t="shared" si="1473"/>
        <v>0</v>
      </c>
      <c r="Z1936" s="78" t="b">
        <f t="shared" si="1474"/>
        <v>0</v>
      </c>
      <c r="AA1936" s="78" t="b">
        <f t="shared" si="1475"/>
        <v>0</v>
      </c>
      <c r="AB1936" s="78" t="b">
        <f t="shared" si="1476"/>
        <v>0</v>
      </c>
      <c r="AC1936" s="78" t="b">
        <f t="shared" si="1477"/>
        <v>0</v>
      </c>
      <c r="AD1936" s="78" t="b">
        <f t="shared" si="1478"/>
        <v>0</v>
      </c>
      <c r="AE1936" s="78" t="b">
        <f t="shared" si="1479"/>
        <v>0</v>
      </c>
      <c r="AF1936" s="78" t="b">
        <f t="shared" si="1480"/>
        <v>0</v>
      </c>
      <c r="AG1936" s="78" t="b">
        <f t="shared" si="1481"/>
        <v>0</v>
      </c>
      <c r="AH1936" s="78" t="b">
        <f t="shared" si="1482"/>
        <v>0</v>
      </c>
      <c r="AI1936" s="78" t="b">
        <f t="shared" si="1483"/>
        <v>0</v>
      </c>
      <c r="AJ1936" s="78" t="b">
        <f t="shared" si="1484"/>
        <v>0</v>
      </c>
      <c r="AK1936" s="78" t="b">
        <f t="shared" si="1485"/>
        <v>0</v>
      </c>
      <c r="AL1936" s="78" t="b">
        <f t="shared" si="1486"/>
        <v>0</v>
      </c>
      <c r="AM1936" s="78" t="b">
        <f t="shared" si="1487"/>
        <v>0</v>
      </c>
      <c r="AN1936" s="78" t="b">
        <f t="shared" si="1488"/>
        <v>0</v>
      </c>
      <c r="AO1936" s="78" t="b">
        <f t="shared" si="1489"/>
        <v>0</v>
      </c>
    </row>
    <row r="1937" spans="7:41" x14ac:dyDescent="0.35">
      <c r="G1937" s="77">
        <f t="shared" si="1459"/>
        <v>0</v>
      </c>
      <c r="H1937" s="78">
        <f t="shared" si="1460"/>
        <v>0</v>
      </c>
      <c r="I1937" s="77">
        <f t="shared" si="1461"/>
        <v>0</v>
      </c>
      <c r="J1937" s="78">
        <f t="shared" si="1462"/>
        <v>0</v>
      </c>
      <c r="K1937" s="78" t="str">
        <f t="shared" si="1463"/>
        <v>1900-01-00 00:0:00</v>
      </c>
      <c r="L1937" s="78" t="str">
        <f t="shared" si="1464"/>
        <v>1900-01-00 00:0:00</v>
      </c>
      <c r="M1937" s="79">
        <f t="shared" si="1465"/>
        <v>0</v>
      </c>
      <c r="N1937">
        <f t="shared" si="1490"/>
        <v>1</v>
      </c>
      <c r="O1937" t="str">
        <f>IFERROR(_xlfn.XLOOKUP(A1937,HC!A:A,HC!C:C),"")</f>
        <v>Workforce</v>
      </c>
      <c r="R1937" s="78" t="b">
        <f t="shared" si="1466"/>
        <v>0</v>
      </c>
      <c r="S1937" s="78" t="b">
        <f t="shared" si="1467"/>
        <v>0</v>
      </c>
      <c r="T1937" s="78" t="b">
        <f t="shared" si="1468"/>
        <v>0</v>
      </c>
      <c r="U1937" s="78" t="b">
        <f t="shared" si="1469"/>
        <v>0</v>
      </c>
      <c r="V1937" s="78" t="b">
        <f t="shared" si="1470"/>
        <v>0</v>
      </c>
      <c r="W1937" s="78" t="b">
        <f t="shared" si="1471"/>
        <v>0</v>
      </c>
      <c r="X1937" s="78" t="b">
        <f t="shared" si="1472"/>
        <v>0</v>
      </c>
      <c r="Y1937" s="78" t="b">
        <f t="shared" si="1473"/>
        <v>0</v>
      </c>
      <c r="Z1937" s="78" t="b">
        <f t="shared" si="1474"/>
        <v>0</v>
      </c>
      <c r="AA1937" s="78" t="b">
        <f t="shared" si="1475"/>
        <v>0</v>
      </c>
      <c r="AB1937" s="78" t="b">
        <f t="shared" si="1476"/>
        <v>0</v>
      </c>
      <c r="AC1937" s="78" t="b">
        <f t="shared" si="1477"/>
        <v>0</v>
      </c>
      <c r="AD1937" s="78" t="b">
        <f t="shared" si="1478"/>
        <v>0</v>
      </c>
      <c r="AE1937" s="78" t="b">
        <f t="shared" si="1479"/>
        <v>0</v>
      </c>
      <c r="AF1937" s="78" t="b">
        <f t="shared" si="1480"/>
        <v>0</v>
      </c>
      <c r="AG1937" s="78" t="b">
        <f t="shared" si="1481"/>
        <v>0</v>
      </c>
      <c r="AH1937" s="78" t="b">
        <f t="shared" si="1482"/>
        <v>0</v>
      </c>
      <c r="AI1937" s="78" t="b">
        <f t="shared" si="1483"/>
        <v>0</v>
      </c>
      <c r="AJ1937" s="78" t="b">
        <f t="shared" si="1484"/>
        <v>0</v>
      </c>
      <c r="AK1937" s="78" t="b">
        <f t="shared" si="1485"/>
        <v>0</v>
      </c>
      <c r="AL1937" s="78" t="b">
        <f t="shared" si="1486"/>
        <v>0</v>
      </c>
      <c r="AM1937" s="78" t="b">
        <f t="shared" si="1487"/>
        <v>0</v>
      </c>
      <c r="AN1937" s="78" t="b">
        <f t="shared" si="1488"/>
        <v>0</v>
      </c>
      <c r="AO1937" s="78" t="b">
        <f t="shared" si="1489"/>
        <v>0</v>
      </c>
    </row>
    <row r="1938" spans="7:41" x14ac:dyDescent="0.35">
      <c r="G1938" s="77">
        <f t="shared" si="1459"/>
        <v>0</v>
      </c>
      <c r="H1938" s="78">
        <f t="shared" si="1460"/>
        <v>0</v>
      </c>
      <c r="I1938" s="77">
        <f t="shared" si="1461"/>
        <v>0</v>
      </c>
      <c r="J1938" s="78">
        <f t="shared" si="1462"/>
        <v>0</v>
      </c>
      <c r="K1938" s="78" t="str">
        <f t="shared" si="1463"/>
        <v>1900-01-00 00:0:00</v>
      </c>
      <c r="L1938" s="78" t="str">
        <f t="shared" si="1464"/>
        <v>1900-01-00 00:0:00</v>
      </c>
      <c r="M1938" s="79">
        <f t="shared" si="1465"/>
        <v>0</v>
      </c>
      <c r="N1938">
        <f t="shared" si="1490"/>
        <v>1</v>
      </c>
      <c r="O1938" t="str">
        <f>IFERROR(_xlfn.XLOOKUP(A1938,HC!A:A,HC!C:C),"")</f>
        <v>Workforce</v>
      </c>
      <c r="R1938" s="78" t="b">
        <f t="shared" si="1466"/>
        <v>0</v>
      </c>
      <c r="S1938" s="78" t="b">
        <f t="shared" si="1467"/>
        <v>0</v>
      </c>
      <c r="T1938" s="78" t="b">
        <f t="shared" si="1468"/>
        <v>0</v>
      </c>
      <c r="U1938" s="78" t="b">
        <f t="shared" si="1469"/>
        <v>0</v>
      </c>
      <c r="V1938" s="78" t="b">
        <f t="shared" si="1470"/>
        <v>0</v>
      </c>
      <c r="W1938" s="78" t="b">
        <f t="shared" si="1471"/>
        <v>0</v>
      </c>
      <c r="X1938" s="78" t="b">
        <f t="shared" si="1472"/>
        <v>0</v>
      </c>
      <c r="Y1938" s="78" t="b">
        <f t="shared" si="1473"/>
        <v>0</v>
      </c>
      <c r="Z1938" s="78" t="b">
        <f t="shared" si="1474"/>
        <v>0</v>
      </c>
      <c r="AA1938" s="78" t="b">
        <f t="shared" si="1475"/>
        <v>0</v>
      </c>
      <c r="AB1938" s="78" t="b">
        <f t="shared" si="1476"/>
        <v>0</v>
      </c>
      <c r="AC1938" s="78" t="b">
        <f t="shared" si="1477"/>
        <v>0</v>
      </c>
      <c r="AD1938" s="78" t="b">
        <f t="shared" si="1478"/>
        <v>0</v>
      </c>
      <c r="AE1938" s="78" t="b">
        <f t="shared" si="1479"/>
        <v>0</v>
      </c>
      <c r="AF1938" s="78" t="b">
        <f t="shared" si="1480"/>
        <v>0</v>
      </c>
      <c r="AG1938" s="78" t="b">
        <f t="shared" si="1481"/>
        <v>0</v>
      </c>
      <c r="AH1938" s="78" t="b">
        <f t="shared" si="1482"/>
        <v>0</v>
      </c>
      <c r="AI1938" s="78" t="b">
        <f t="shared" si="1483"/>
        <v>0</v>
      </c>
      <c r="AJ1938" s="78" t="b">
        <f t="shared" si="1484"/>
        <v>0</v>
      </c>
      <c r="AK1938" s="78" t="b">
        <f t="shared" si="1485"/>
        <v>0</v>
      </c>
      <c r="AL1938" s="78" t="b">
        <f t="shared" si="1486"/>
        <v>0</v>
      </c>
      <c r="AM1938" s="78" t="b">
        <f t="shared" si="1487"/>
        <v>0</v>
      </c>
      <c r="AN1938" s="78" t="b">
        <f t="shared" si="1488"/>
        <v>0</v>
      </c>
      <c r="AO1938" s="78" t="b">
        <f t="shared" si="1489"/>
        <v>0</v>
      </c>
    </row>
    <row r="1939" spans="7:41" x14ac:dyDescent="0.35">
      <c r="G1939" s="77">
        <f t="shared" si="1459"/>
        <v>0</v>
      </c>
      <c r="H1939" s="78">
        <f t="shared" si="1460"/>
        <v>0</v>
      </c>
      <c r="I1939" s="77">
        <f t="shared" si="1461"/>
        <v>0</v>
      </c>
      <c r="J1939" s="78">
        <f t="shared" si="1462"/>
        <v>0</v>
      </c>
      <c r="K1939" s="78" t="str">
        <f t="shared" si="1463"/>
        <v>1900-01-00 00:0:00</v>
      </c>
      <c r="L1939" s="78" t="str">
        <f t="shared" si="1464"/>
        <v>1900-01-00 00:0:00</v>
      </c>
      <c r="M1939" s="79">
        <f t="shared" si="1465"/>
        <v>0</v>
      </c>
      <c r="N1939">
        <f t="shared" si="1490"/>
        <v>1</v>
      </c>
      <c r="O1939" t="str">
        <f>IFERROR(_xlfn.XLOOKUP(A1939,HC!A:A,HC!C:C),"")</f>
        <v>Workforce</v>
      </c>
      <c r="R1939" s="78" t="b">
        <f t="shared" si="1466"/>
        <v>0</v>
      </c>
      <c r="S1939" s="78" t="b">
        <f t="shared" si="1467"/>
        <v>0</v>
      </c>
      <c r="T1939" s="78" t="b">
        <f t="shared" si="1468"/>
        <v>0</v>
      </c>
      <c r="U1939" s="78" t="b">
        <f t="shared" si="1469"/>
        <v>0</v>
      </c>
      <c r="V1939" s="78" t="b">
        <f t="shared" si="1470"/>
        <v>0</v>
      </c>
      <c r="W1939" s="78" t="b">
        <f t="shared" si="1471"/>
        <v>0</v>
      </c>
      <c r="X1939" s="78" t="b">
        <f t="shared" si="1472"/>
        <v>0</v>
      </c>
      <c r="Y1939" s="78" t="b">
        <f t="shared" si="1473"/>
        <v>0</v>
      </c>
      <c r="Z1939" s="78" t="b">
        <f t="shared" si="1474"/>
        <v>0</v>
      </c>
      <c r="AA1939" s="78" t="b">
        <f t="shared" si="1475"/>
        <v>0</v>
      </c>
      <c r="AB1939" s="78" t="b">
        <f t="shared" si="1476"/>
        <v>0</v>
      </c>
      <c r="AC1939" s="78" t="b">
        <f t="shared" si="1477"/>
        <v>0</v>
      </c>
      <c r="AD1939" s="78" t="b">
        <f t="shared" si="1478"/>
        <v>0</v>
      </c>
      <c r="AE1939" s="78" t="b">
        <f t="shared" si="1479"/>
        <v>0</v>
      </c>
      <c r="AF1939" s="78" t="b">
        <f t="shared" si="1480"/>
        <v>0</v>
      </c>
      <c r="AG1939" s="78" t="b">
        <f t="shared" si="1481"/>
        <v>0</v>
      </c>
      <c r="AH1939" s="78" t="b">
        <f t="shared" si="1482"/>
        <v>0</v>
      </c>
      <c r="AI1939" s="78" t="b">
        <f t="shared" si="1483"/>
        <v>0</v>
      </c>
      <c r="AJ1939" s="78" t="b">
        <f t="shared" si="1484"/>
        <v>0</v>
      </c>
      <c r="AK1939" s="78" t="b">
        <f t="shared" si="1485"/>
        <v>0</v>
      </c>
      <c r="AL1939" s="78" t="b">
        <f t="shared" si="1486"/>
        <v>0</v>
      </c>
      <c r="AM1939" s="78" t="b">
        <f t="shared" si="1487"/>
        <v>0</v>
      </c>
      <c r="AN1939" s="78" t="b">
        <f t="shared" si="1488"/>
        <v>0</v>
      </c>
      <c r="AO1939" s="78" t="b">
        <f t="shared" si="1489"/>
        <v>0</v>
      </c>
    </row>
    <row r="1940" spans="7:41" x14ac:dyDescent="0.35">
      <c r="G1940" s="77">
        <f t="shared" si="1459"/>
        <v>0</v>
      </c>
      <c r="H1940" s="78">
        <f t="shared" si="1460"/>
        <v>0</v>
      </c>
      <c r="I1940" s="77">
        <f t="shared" si="1461"/>
        <v>0</v>
      </c>
      <c r="J1940" s="78">
        <f t="shared" si="1462"/>
        <v>0</v>
      </c>
      <c r="K1940" s="78" t="str">
        <f t="shared" si="1463"/>
        <v>1900-01-00 00:0:00</v>
      </c>
      <c r="L1940" s="78" t="str">
        <f t="shared" si="1464"/>
        <v>1900-01-00 00:0:00</v>
      </c>
      <c r="M1940" s="79">
        <f t="shared" si="1465"/>
        <v>0</v>
      </c>
      <c r="N1940">
        <f t="shared" si="1490"/>
        <v>1</v>
      </c>
      <c r="O1940" t="str">
        <f>IFERROR(_xlfn.XLOOKUP(A1940,HC!A:A,HC!C:C),"")</f>
        <v>Workforce</v>
      </c>
      <c r="R1940" s="78" t="b">
        <f t="shared" si="1466"/>
        <v>0</v>
      </c>
      <c r="S1940" s="78" t="b">
        <f t="shared" si="1467"/>
        <v>0</v>
      </c>
      <c r="T1940" s="78" t="b">
        <f t="shared" si="1468"/>
        <v>0</v>
      </c>
      <c r="U1940" s="78" t="b">
        <f t="shared" si="1469"/>
        <v>0</v>
      </c>
      <c r="V1940" s="78" t="b">
        <f t="shared" si="1470"/>
        <v>0</v>
      </c>
      <c r="W1940" s="78" t="b">
        <f t="shared" si="1471"/>
        <v>0</v>
      </c>
      <c r="X1940" s="78" t="b">
        <f t="shared" si="1472"/>
        <v>0</v>
      </c>
      <c r="Y1940" s="78" t="b">
        <f t="shared" si="1473"/>
        <v>0</v>
      </c>
      <c r="Z1940" s="78" t="b">
        <f t="shared" si="1474"/>
        <v>0</v>
      </c>
      <c r="AA1940" s="78" t="b">
        <f t="shared" si="1475"/>
        <v>0</v>
      </c>
      <c r="AB1940" s="78" t="b">
        <f t="shared" si="1476"/>
        <v>0</v>
      </c>
      <c r="AC1940" s="78" t="b">
        <f t="shared" si="1477"/>
        <v>0</v>
      </c>
      <c r="AD1940" s="78" t="b">
        <f t="shared" si="1478"/>
        <v>0</v>
      </c>
      <c r="AE1940" s="78" t="b">
        <f t="shared" si="1479"/>
        <v>0</v>
      </c>
      <c r="AF1940" s="78" t="b">
        <f t="shared" si="1480"/>
        <v>0</v>
      </c>
      <c r="AG1940" s="78" t="b">
        <f t="shared" si="1481"/>
        <v>0</v>
      </c>
      <c r="AH1940" s="78" t="b">
        <f t="shared" si="1482"/>
        <v>0</v>
      </c>
      <c r="AI1940" s="78" t="b">
        <f t="shared" si="1483"/>
        <v>0</v>
      </c>
      <c r="AJ1940" s="78" t="b">
        <f t="shared" si="1484"/>
        <v>0</v>
      </c>
      <c r="AK1940" s="78" t="b">
        <f t="shared" si="1485"/>
        <v>0</v>
      </c>
      <c r="AL1940" s="78" t="b">
        <f t="shared" si="1486"/>
        <v>0</v>
      </c>
      <c r="AM1940" s="78" t="b">
        <f t="shared" si="1487"/>
        <v>0</v>
      </c>
      <c r="AN1940" s="78" t="b">
        <f t="shared" si="1488"/>
        <v>0</v>
      </c>
      <c r="AO1940" s="78" t="b">
        <f t="shared" si="1489"/>
        <v>0</v>
      </c>
    </row>
    <row r="1941" spans="7:41" x14ac:dyDescent="0.35">
      <c r="G1941" s="77">
        <f t="shared" si="1459"/>
        <v>0</v>
      </c>
      <c r="H1941" s="78">
        <f t="shared" si="1460"/>
        <v>0</v>
      </c>
      <c r="I1941" s="77">
        <f t="shared" si="1461"/>
        <v>0</v>
      </c>
      <c r="J1941" s="78">
        <f t="shared" si="1462"/>
        <v>0</v>
      </c>
      <c r="K1941" s="78" t="str">
        <f t="shared" si="1463"/>
        <v>1900-01-00 00:0:00</v>
      </c>
      <c r="L1941" s="78" t="str">
        <f t="shared" si="1464"/>
        <v>1900-01-00 00:0:00</v>
      </c>
      <c r="M1941" s="79">
        <f t="shared" si="1465"/>
        <v>0</v>
      </c>
      <c r="N1941">
        <f t="shared" si="1490"/>
        <v>1</v>
      </c>
      <c r="O1941" t="str">
        <f>IFERROR(_xlfn.XLOOKUP(A1941,HC!A:A,HC!C:C),"")</f>
        <v>Workforce</v>
      </c>
      <c r="R1941" s="78" t="b">
        <f t="shared" si="1466"/>
        <v>0</v>
      </c>
      <c r="S1941" s="78" t="b">
        <f t="shared" si="1467"/>
        <v>0</v>
      </c>
      <c r="T1941" s="78" t="b">
        <f t="shared" si="1468"/>
        <v>0</v>
      </c>
      <c r="U1941" s="78" t="b">
        <f t="shared" si="1469"/>
        <v>0</v>
      </c>
      <c r="V1941" s="78" t="b">
        <f t="shared" si="1470"/>
        <v>0</v>
      </c>
      <c r="W1941" s="78" t="b">
        <f t="shared" si="1471"/>
        <v>0</v>
      </c>
      <c r="X1941" s="78" t="b">
        <f t="shared" si="1472"/>
        <v>0</v>
      </c>
      <c r="Y1941" s="78" t="b">
        <f t="shared" si="1473"/>
        <v>0</v>
      </c>
      <c r="Z1941" s="78" t="b">
        <f t="shared" si="1474"/>
        <v>0</v>
      </c>
      <c r="AA1941" s="78" t="b">
        <f t="shared" si="1475"/>
        <v>0</v>
      </c>
      <c r="AB1941" s="78" t="b">
        <f t="shared" si="1476"/>
        <v>0</v>
      </c>
      <c r="AC1941" s="78" t="b">
        <f t="shared" si="1477"/>
        <v>0</v>
      </c>
      <c r="AD1941" s="78" t="b">
        <f t="shared" si="1478"/>
        <v>0</v>
      </c>
      <c r="AE1941" s="78" t="b">
        <f t="shared" si="1479"/>
        <v>0</v>
      </c>
      <c r="AF1941" s="78" t="b">
        <f t="shared" si="1480"/>
        <v>0</v>
      </c>
      <c r="AG1941" s="78" t="b">
        <f t="shared" si="1481"/>
        <v>0</v>
      </c>
      <c r="AH1941" s="78" t="b">
        <f t="shared" si="1482"/>
        <v>0</v>
      </c>
      <c r="AI1941" s="78" t="b">
        <f t="shared" si="1483"/>
        <v>0</v>
      </c>
      <c r="AJ1941" s="78" t="b">
        <f t="shared" si="1484"/>
        <v>0</v>
      </c>
      <c r="AK1941" s="78" t="b">
        <f t="shared" si="1485"/>
        <v>0</v>
      </c>
      <c r="AL1941" s="78" t="b">
        <f t="shared" si="1486"/>
        <v>0</v>
      </c>
      <c r="AM1941" s="78" t="b">
        <f t="shared" si="1487"/>
        <v>0</v>
      </c>
      <c r="AN1941" s="78" t="b">
        <f t="shared" si="1488"/>
        <v>0</v>
      </c>
      <c r="AO1941" s="78" t="b">
        <f t="shared" si="1489"/>
        <v>0</v>
      </c>
    </row>
    <row r="1942" spans="7:41" x14ac:dyDescent="0.35">
      <c r="G1942" s="77">
        <f t="shared" si="1459"/>
        <v>0</v>
      </c>
      <c r="H1942" s="78">
        <f t="shared" si="1460"/>
        <v>0</v>
      </c>
      <c r="I1942" s="77">
        <f t="shared" si="1461"/>
        <v>0</v>
      </c>
      <c r="J1942" s="78">
        <f t="shared" si="1462"/>
        <v>0</v>
      </c>
      <c r="K1942" s="78" t="str">
        <f t="shared" si="1463"/>
        <v>1900-01-00 00:0:00</v>
      </c>
      <c r="L1942" s="78" t="str">
        <f t="shared" si="1464"/>
        <v>1900-01-00 00:0:00</v>
      </c>
      <c r="M1942" s="79">
        <f t="shared" si="1465"/>
        <v>0</v>
      </c>
      <c r="N1942">
        <f t="shared" si="1490"/>
        <v>1</v>
      </c>
      <c r="O1942" t="str">
        <f>IFERROR(_xlfn.XLOOKUP(A1942,HC!A:A,HC!C:C),"")</f>
        <v>Workforce</v>
      </c>
      <c r="R1942" s="78" t="b">
        <f t="shared" si="1466"/>
        <v>0</v>
      </c>
      <c r="S1942" s="78" t="b">
        <f t="shared" si="1467"/>
        <v>0</v>
      </c>
      <c r="T1942" s="78" t="b">
        <f t="shared" si="1468"/>
        <v>0</v>
      </c>
      <c r="U1942" s="78" t="b">
        <f t="shared" si="1469"/>
        <v>0</v>
      </c>
      <c r="V1942" s="78" t="b">
        <f t="shared" si="1470"/>
        <v>0</v>
      </c>
      <c r="W1942" s="78" t="b">
        <f t="shared" si="1471"/>
        <v>0</v>
      </c>
      <c r="X1942" s="78" t="b">
        <f t="shared" si="1472"/>
        <v>0</v>
      </c>
      <c r="Y1942" s="78" t="b">
        <f t="shared" si="1473"/>
        <v>0</v>
      </c>
      <c r="Z1942" s="78" t="b">
        <f t="shared" si="1474"/>
        <v>0</v>
      </c>
      <c r="AA1942" s="78" t="b">
        <f t="shared" si="1475"/>
        <v>0</v>
      </c>
      <c r="AB1942" s="78" t="b">
        <f t="shared" si="1476"/>
        <v>0</v>
      </c>
      <c r="AC1942" s="78" t="b">
        <f t="shared" si="1477"/>
        <v>0</v>
      </c>
      <c r="AD1942" s="78" t="b">
        <f t="shared" si="1478"/>
        <v>0</v>
      </c>
      <c r="AE1942" s="78" t="b">
        <f t="shared" si="1479"/>
        <v>0</v>
      </c>
      <c r="AF1942" s="78" t="b">
        <f t="shared" si="1480"/>
        <v>0</v>
      </c>
      <c r="AG1942" s="78" t="b">
        <f t="shared" si="1481"/>
        <v>0</v>
      </c>
      <c r="AH1942" s="78" t="b">
        <f t="shared" si="1482"/>
        <v>0</v>
      </c>
      <c r="AI1942" s="78" t="b">
        <f t="shared" si="1483"/>
        <v>0</v>
      </c>
      <c r="AJ1942" s="78" t="b">
        <f t="shared" si="1484"/>
        <v>0</v>
      </c>
      <c r="AK1942" s="78" t="b">
        <f t="shared" si="1485"/>
        <v>0</v>
      </c>
      <c r="AL1942" s="78" t="b">
        <f t="shared" si="1486"/>
        <v>0</v>
      </c>
      <c r="AM1942" s="78" t="b">
        <f t="shared" si="1487"/>
        <v>0</v>
      </c>
      <c r="AN1942" s="78" t="b">
        <f t="shared" si="1488"/>
        <v>0</v>
      </c>
      <c r="AO1942" s="78" t="b">
        <f t="shared" si="1489"/>
        <v>0</v>
      </c>
    </row>
    <row r="1943" spans="7:41" x14ac:dyDescent="0.35">
      <c r="G1943" s="77">
        <f t="shared" si="1459"/>
        <v>0</v>
      </c>
      <c r="H1943" s="78">
        <f t="shared" si="1460"/>
        <v>0</v>
      </c>
      <c r="I1943" s="77">
        <f t="shared" si="1461"/>
        <v>0</v>
      </c>
      <c r="J1943" s="78">
        <f t="shared" si="1462"/>
        <v>0</v>
      </c>
      <c r="K1943" s="78" t="str">
        <f t="shared" si="1463"/>
        <v>1900-01-00 00:0:00</v>
      </c>
      <c r="L1943" s="78" t="str">
        <f t="shared" si="1464"/>
        <v>1900-01-00 00:0:00</v>
      </c>
      <c r="M1943" s="79">
        <f t="shared" si="1465"/>
        <v>0</v>
      </c>
      <c r="N1943">
        <f t="shared" si="1490"/>
        <v>1</v>
      </c>
      <c r="O1943" t="str">
        <f>IFERROR(_xlfn.XLOOKUP(A1943,HC!A:A,HC!C:C),"")</f>
        <v>Workforce</v>
      </c>
      <c r="R1943" s="78" t="b">
        <f t="shared" si="1466"/>
        <v>0</v>
      </c>
      <c r="S1943" s="78" t="b">
        <f t="shared" si="1467"/>
        <v>0</v>
      </c>
      <c r="T1943" s="78" t="b">
        <f t="shared" si="1468"/>
        <v>0</v>
      </c>
      <c r="U1943" s="78" t="b">
        <f t="shared" si="1469"/>
        <v>0</v>
      </c>
      <c r="V1943" s="78" t="b">
        <f t="shared" si="1470"/>
        <v>0</v>
      </c>
      <c r="W1943" s="78" t="b">
        <f t="shared" si="1471"/>
        <v>0</v>
      </c>
      <c r="X1943" s="78" t="b">
        <f t="shared" si="1472"/>
        <v>0</v>
      </c>
      <c r="Y1943" s="78" t="b">
        <f t="shared" si="1473"/>
        <v>0</v>
      </c>
      <c r="Z1943" s="78" t="b">
        <f t="shared" si="1474"/>
        <v>0</v>
      </c>
      <c r="AA1943" s="78" t="b">
        <f t="shared" si="1475"/>
        <v>0</v>
      </c>
      <c r="AB1943" s="78" t="b">
        <f t="shared" si="1476"/>
        <v>0</v>
      </c>
      <c r="AC1943" s="78" t="b">
        <f t="shared" si="1477"/>
        <v>0</v>
      </c>
      <c r="AD1943" s="78" t="b">
        <f t="shared" si="1478"/>
        <v>0</v>
      </c>
      <c r="AE1943" s="78" t="b">
        <f t="shared" si="1479"/>
        <v>0</v>
      </c>
      <c r="AF1943" s="78" t="b">
        <f t="shared" si="1480"/>
        <v>0</v>
      </c>
      <c r="AG1943" s="78" t="b">
        <f t="shared" si="1481"/>
        <v>0</v>
      </c>
      <c r="AH1943" s="78" t="b">
        <f t="shared" si="1482"/>
        <v>0</v>
      </c>
      <c r="AI1943" s="78" t="b">
        <f t="shared" si="1483"/>
        <v>0</v>
      </c>
      <c r="AJ1943" s="78" t="b">
        <f t="shared" si="1484"/>
        <v>0</v>
      </c>
      <c r="AK1943" s="78" t="b">
        <f t="shared" si="1485"/>
        <v>0</v>
      </c>
      <c r="AL1943" s="78" t="b">
        <f t="shared" si="1486"/>
        <v>0</v>
      </c>
      <c r="AM1943" s="78" t="b">
        <f t="shared" si="1487"/>
        <v>0</v>
      </c>
      <c r="AN1943" s="78" t="b">
        <f t="shared" si="1488"/>
        <v>0</v>
      </c>
      <c r="AO1943" s="78" t="b">
        <f t="shared" si="1489"/>
        <v>0</v>
      </c>
    </row>
    <row r="1944" spans="7:41" x14ac:dyDescent="0.35">
      <c r="G1944" s="77">
        <f t="shared" si="1459"/>
        <v>0</v>
      </c>
      <c r="H1944" s="78">
        <f t="shared" si="1460"/>
        <v>0</v>
      </c>
      <c r="I1944" s="77">
        <f t="shared" si="1461"/>
        <v>0</v>
      </c>
      <c r="J1944" s="78">
        <f t="shared" si="1462"/>
        <v>0</v>
      </c>
      <c r="K1944" s="78" t="str">
        <f t="shared" si="1463"/>
        <v>1900-01-00 00:0:00</v>
      </c>
      <c r="L1944" s="78" t="str">
        <f t="shared" si="1464"/>
        <v>1900-01-00 00:0:00</v>
      </c>
      <c r="M1944" s="79">
        <f t="shared" si="1465"/>
        <v>0</v>
      </c>
      <c r="N1944">
        <f t="shared" si="1490"/>
        <v>1</v>
      </c>
      <c r="O1944" t="str">
        <f>IFERROR(_xlfn.XLOOKUP(A1944,HC!A:A,HC!C:C),"")</f>
        <v>Workforce</v>
      </c>
      <c r="R1944" s="78" t="b">
        <f t="shared" si="1466"/>
        <v>0</v>
      </c>
      <c r="S1944" s="78" t="b">
        <f t="shared" si="1467"/>
        <v>0</v>
      </c>
      <c r="T1944" s="78" t="b">
        <f t="shared" si="1468"/>
        <v>0</v>
      </c>
      <c r="U1944" s="78" t="b">
        <f t="shared" si="1469"/>
        <v>0</v>
      </c>
      <c r="V1944" s="78" t="b">
        <f t="shared" si="1470"/>
        <v>0</v>
      </c>
      <c r="W1944" s="78" t="b">
        <f t="shared" si="1471"/>
        <v>0</v>
      </c>
      <c r="X1944" s="78" t="b">
        <f t="shared" si="1472"/>
        <v>0</v>
      </c>
      <c r="Y1944" s="78" t="b">
        <f t="shared" si="1473"/>
        <v>0</v>
      </c>
      <c r="Z1944" s="78" t="b">
        <f t="shared" si="1474"/>
        <v>0</v>
      </c>
      <c r="AA1944" s="78" t="b">
        <f t="shared" si="1475"/>
        <v>0</v>
      </c>
      <c r="AB1944" s="78" t="b">
        <f t="shared" si="1476"/>
        <v>0</v>
      </c>
      <c r="AC1944" s="78" t="b">
        <f t="shared" si="1477"/>
        <v>0</v>
      </c>
      <c r="AD1944" s="78" t="b">
        <f t="shared" si="1478"/>
        <v>0</v>
      </c>
      <c r="AE1944" s="78" t="b">
        <f t="shared" si="1479"/>
        <v>0</v>
      </c>
      <c r="AF1944" s="78" t="b">
        <f t="shared" si="1480"/>
        <v>0</v>
      </c>
      <c r="AG1944" s="78" t="b">
        <f t="shared" si="1481"/>
        <v>0</v>
      </c>
      <c r="AH1944" s="78" t="b">
        <f t="shared" si="1482"/>
        <v>0</v>
      </c>
      <c r="AI1944" s="78" t="b">
        <f t="shared" si="1483"/>
        <v>0</v>
      </c>
      <c r="AJ1944" s="78" t="b">
        <f t="shared" si="1484"/>
        <v>0</v>
      </c>
      <c r="AK1944" s="78" t="b">
        <f t="shared" si="1485"/>
        <v>0</v>
      </c>
      <c r="AL1944" s="78" t="b">
        <f t="shared" si="1486"/>
        <v>0</v>
      </c>
      <c r="AM1944" s="78" t="b">
        <f t="shared" si="1487"/>
        <v>0</v>
      </c>
      <c r="AN1944" s="78" t="b">
        <f t="shared" si="1488"/>
        <v>0</v>
      </c>
      <c r="AO1944" s="78" t="b">
        <f t="shared" si="1489"/>
        <v>0</v>
      </c>
    </row>
    <row r="1945" spans="7:41" x14ac:dyDescent="0.35">
      <c r="G1945" s="77">
        <f t="shared" si="1459"/>
        <v>0</v>
      </c>
      <c r="H1945" s="78">
        <f t="shared" si="1460"/>
        <v>0</v>
      </c>
      <c r="I1945" s="77">
        <f t="shared" si="1461"/>
        <v>0</v>
      </c>
      <c r="J1945" s="78">
        <f t="shared" si="1462"/>
        <v>0</v>
      </c>
      <c r="K1945" s="78" t="str">
        <f t="shared" si="1463"/>
        <v>1900-01-00 00:0:00</v>
      </c>
      <c r="L1945" s="78" t="str">
        <f t="shared" si="1464"/>
        <v>1900-01-00 00:0:00</v>
      </c>
      <c r="M1945" s="79">
        <f t="shared" si="1465"/>
        <v>0</v>
      </c>
      <c r="N1945">
        <f t="shared" si="1490"/>
        <v>1</v>
      </c>
      <c r="O1945" t="str">
        <f>IFERROR(_xlfn.XLOOKUP(A1945,HC!A:A,HC!C:C),"")</f>
        <v>Workforce</v>
      </c>
      <c r="R1945" s="78" t="b">
        <f t="shared" si="1466"/>
        <v>0</v>
      </c>
      <c r="S1945" s="78" t="b">
        <f t="shared" si="1467"/>
        <v>0</v>
      </c>
      <c r="T1945" s="78" t="b">
        <f t="shared" si="1468"/>
        <v>0</v>
      </c>
      <c r="U1945" s="78" t="b">
        <f t="shared" si="1469"/>
        <v>0</v>
      </c>
      <c r="V1945" s="78" t="b">
        <f t="shared" si="1470"/>
        <v>0</v>
      </c>
      <c r="W1945" s="78" t="b">
        <f t="shared" si="1471"/>
        <v>0</v>
      </c>
      <c r="X1945" s="78" t="b">
        <f t="shared" si="1472"/>
        <v>0</v>
      </c>
      <c r="Y1945" s="78" t="b">
        <f t="shared" si="1473"/>
        <v>0</v>
      </c>
      <c r="Z1945" s="78" t="b">
        <f t="shared" si="1474"/>
        <v>0</v>
      </c>
      <c r="AA1945" s="78" t="b">
        <f t="shared" si="1475"/>
        <v>0</v>
      </c>
      <c r="AB1945" s="78" t="b">
        <f t="shared" si="1476"/>
        <v>0</v>
      </c>
      <c r="AC1945" s="78" t="b">
        <f t="shared" si="1477"/>
        <v>0</v>
      </c>
      <c r="AD1945" s="78" t="b">
        <f t="shared" si="1478"/>
        <v>0</v>
      </c>
      <c r="AE1945" s="78" t="b">
        <f t="shared" si="1479"/>
        <v>0</v>
      </c>
      <c r="AF1945" s="78" t="b">
        <f t="shared" si="1480"/>
        <v>0</v>
      </c>
      <c r="AG1945" s="78" t="b">
        <f t="shared" si="1481"/>
        <v>0</v>
      </c>
      <c r="AH1945" s="78" t="b">
        <f t="shared" si="1482"/>
        <v>0</v>
      </c>
      <c r="AI1945" s="78" t="b">
        <f t="shared" si="1483"/>
        <v>0</v>
      </c>
      <c r="AJ1945" s="78" t="b">
        <f t="shared" si="1484"/>
        <v>0</v>
      </c>
      <c r="AK1945" s="78" t="b">
        <f t="shared" si="1485"/>
        <v>0</v>
      </c>
      <c r="AL1945" s="78" t="b">
        <f t="shared" si="1486"/>
        <v>0</v>
      </c>
      <c r="AM1945" s="78" t="b">
        <f t="shared" si="1487"/>
        <v>0</v>
      </c>
      <c r="AN1945" s="78" t="b">
        <f t="shared" si="1488"/>
        <v>0</v>
      </c>
      <c r="AO1945" s="78" t="b">
        <f t="shared" si="1489"/>
        <v>0</v>
      </c>
    </row>
    <row r="1946" spans="7:41" x14ac:dyDescent="0.35">
      <c r="G1946" s="77">
        <f t="shared" si="1459"/>
        <v>0</v>
      </c>
      <c r="H1946" s="78">
        <f t="shared" si="1460"/>
        <v>0</v>
      </c>
      <c r="I1946" s="77">
        <f t="shared" si="1461"/>
        <v>0</v>
      </c>
      <c r="J1946" s="78">
        <f t="shared" si="1462"/>
        <v>0</v>
      </c>
      <c r="K1946" s="78" t="str">
        <f t="shared" si="1463"/>
        <v>1900-01-00 00:0:00</v>
      </c>
      <c r="L1946" s="78" t="str">
        <f t="shared" si="1464"/>
        <v>1900-01-00 00:0:00</v>
      </c>
      <c r="M1946" s="79">
        <f t="shared" si="1465"/>
        <v>0</v>
      </c>
      <c r="N1946">
        <f t="shared" si="1490"/>
        <v>1</v>
      </c>
      <c r="O1946" t="str">
        <f>IFERROR(_xlfn.XLOOKUP(A1946,HC!A:A,HC!C:C),"")</f>
        <v>Workforce</v>
      </c>
      <c r="R1946" s="78" t="b">
        <f t="shared" si="1466"/>
        <v>0</v>
      </c>
      <c r="S1946" s="78" t="b">
        <f t="shared" si="1467"/>
        <v>0</v>
      </c>
      <c r="T1946" s="78" t="b">
        <f t="shared" si="1468"/>
        <v>0</v>
      </c>
      <c r="U1946" s="78" t="b">
        <f t="shared" si="1469"/>
        <v>0</v>
      </c>
      <c r="V1946" s="78" t="b">
        <f t="shared" si="1470"/>
        <v>0</v>
      </c>
      <c r="W1946" s="78" t="b">
        <f t="shared" si="1471"/>
        <v>0</v>
      </c>
      <c r="X1946" s="78" t="b">
        <f t="shared" si="1472"/>
        <v>0</v>
      </c>
      <c r="Y1946" s="78" t="b">
        <f t="shared" si="1473"/>
        <v>0</v>
      </c>
      <c r="Z1946" s="78" t="b">
        <f t="shared" si="1474"/>
        <v>0</v>
      </c>
      <c r="AA1946" s="78" t="b">
        <f t="shared" si="1475"/>
        <v>0</v>
      </c>
      <c r="AB1946" s="78" t="b">
        <f t="shared" si="1476"/>
        <v>0</v>
      </c>
      <c r="AC1946" s="78" t="b">
        <f t="shared" si="1477"/>
        <v>0</v>
      </c>
      <c r="AD1946" s="78" t="b">
        <f t="shared" si="1478"/>
        <v>0</v>
      </c>
      <c r="AE1946" s="78" t="b">
        <f t="shared" si="1479"/>
        <v>0</v>
      </c>
      <c r="AF1946" s="78" t="b">
        <f t="shared" si="1480"/>
        <v>0</v>
      </c>
      <c r="AG1946" s="78" t="b">
        <f t="shared" si="1481"/>
        <v>0</v>
      </c>
      <c r="AH1946" s="78" t="b">
        <f t="shared" si="1482"/>
        <v>0</v>
      </c>
      <c r="AI1946" s="78" t="b">
        <f t="shared" si="1483"/>
        <v>0</v>
      </c>
      <c r="AJ1946" s="78" t="b">
        <f t="shared" si="1484"/>
        <v>0</v>
      </c>
      <c r="AK1946" s="78" t="b">
        <f t="shared" si="1485"/>
        <v>0</v>
      </c>
      <c r="AL1946" s="78" t="b">
        <f t="shared" si="1486"/>
        <v>0</v>
      </c>
      <c r="AM1946" s="78" t="b">
        <f t="shared" si="1487"/>
        <v>0</v>
      </c>
      <c r="AN1946" s="78" t="b">
        <f t="shared" si="1488"/>
        <v>0</v>
      </c>
      <c r="AO1946" s="78" t="b">
        <f t="shared" si="1489"/>
        <v>0</v>
      </c>
    </row>
    <row r="1947" spans="7:41" x14ac:dyDescent="0.35">
      <c r="G1947" s="77">
        <f t="shared" si="1459"/>
        <v>0</v>
      </c>
      <c r="H1947" s="78">
        <f t="shared" si="1460"/>
        <v>0</v>
      </c>
      <c r="I1947" s="77">
        <f t="shared" si="1461"/>
        <v>0</v>
      </c>
      <c r="J1947" s="78">
        <f t="shared" si="1462"/>
        <v>0</v>
      </c>
      <c r="K1947" s="78" t="str">
        <f t="shared" si="1463"/>
        <v>1900-01-00 00:0:00</v>
      </c>
      <c r="L1947" s="78" t="str">
        <f t="shared" si="1464"/>
        <v>1900-01-00 00:0:00</v>
      </c>
      <c r="M1947" s="79">
        <f t="shared" si="1465"/>
        <v>0</v>
      </c>
      <c r="N1947">
        <f t="shared" si="1490"/>
        <v>1</v>
      </c>
      <c r="O1947" t="str">
        <f>IFERROR(_xlfn.XLOOKUP(A1947,HC!A:A,HC!C:C),"")</f>
        <v>Workforce</v>
      </c>
      <c r="R1947" s="78" t="b">
        <f t="shared" si="1466"/>
        <v>0</v>
      </c>
      <c r="S1947" s="78" t="b">
        <f t="shared" si="1467"/>
        <v>0</v>
      </c>
      <c r="T1947" s="78" t="b">
        <f t="shared" si="1468"/>
        <v>0</v>
      </c>
      <c r="U1947" s="78" t="b">
        <f t="shared" si="1469"/>
        <v>0</v>
      </c>
      <c r="V1947" s="78" t="b">
        <f t="shared" si="1470"/>
        <v>0</v>
      </c>
      <c r="W1947" s="78" t="b">
        <f t="shared" si="1471"/>
        <v>0</v>
      </c>
      <c r="X1947" s="78" t="b">
        <f t="shared" si="1472"/>
        <v>0</v>
      </c>
      <c r="Y1947" s="78" t="b">
        <f t="shared" si="1473"/>
        <v>0</v>
      </c>
      <c r="Z1947" s="78" t="b">
        <f t="shared" si="1474"/>
        <v>0</v>
      </c>
      <c r="AA1947" s="78" t="b">
        <f t="shared" si="1475"/>
        <v>0</v>
      </c>
      <c r="AB1947" s="78" t="b">
        <f t="shared" si="1476"/>
        <v>0</v>
      </c>
      <c r="AC1947" s="78" t="b">
        <f t="shared" si="1477"/>
        <v>0</v>
      </c>
      <c r="AD1947" s="78" t="b">
        <f t="shared" si="1478"/>
        <v>0</v>
      </c>
      <c r="AE1947" s="78" t="b">
        <f t="shared" si="1479"/>
        <v>0</v>
      </c>
      <c r="AF1947" s="78" t="b">
        <f t="shared" si="1480"/>
        <v>0</v>
      </c>
      <c r="AG1947" s="78" t="b">
        <f t="shared" si="1481"/>
        <v>0</v>
      </c>
      <c r="AH1947" s="78" t="b">
        <f t="shared" si="1482"/>
        <v>0</v>
      </c>
      <c r="AI1947" s="78" t="b">
        <f t="shared" si="1483"/>
        <v>0</v>
      </c>
      <c r="AJ1947" s="78" t="b">
        <f t="shared" si="1484"/>
        <v>0</v>
      </c>
      <c r="AK1947" s="78" t="b">
        <f t="shared" si="1485"/>
        <v>0</v>
      </c>
      <c r="AL1947" s="78" t="b">
        <f t="shared" si="1486"/>
        <v>0</v>
      </c>
      <c r="AM1947" s="78" t="b">
        <f t="shared" si="1487"/>
        <v>0</v>
      </c>
      <c r="AN1947" s="78" t="b">
        <f t="shared" si="1488"/>
        <v>0</v>
      </c>
      <c r="AO1947" s="78" t="b">
        <f t="shared" si="1489"/>
        <v>0</v>
      </c>
    </row>
    <row r="1948" spans="7:41" x14ac:dyDescent="0.35">
      <c r="G1948" s="77">
        <f t="shared" si="1459"/>
        <v>0</v>
      </c>
      <c r="H1948" s="78">
        <f t="shared" si="1460"/>
        <v>0</v>
      </c>
      <c r="I1948" s="77">
        <f t="shared" si="1461"/>
        <v>0</v>
      </c>
      <c r="J1948" s="78">
        <f t="shared" si="1462"/>
        <v>0</v>
      </c>
      <c r="K1948" s="78" t="str">
        <f t="shared" si="1463"/>
        <v>1900-01-00 00:0:00</v>
      </c>
      <c r="L1948" s="78" t="str">
        <f t="shared" si="1464"/>
        <v>1900-01-00 00:0:00</v>
      </c>
      <c r="M1948" s="79">
        <f t="shared" si="1465"/>
        <v>0</v>
      </c>
      <c r="N1948">
        <f t="shared" si="1490"/>
        <v>1</v>
      </c>
      <c r="O1948" t="str">
        <f>IFERROR(_xlfn.XLOOKUP(A1948,HC!A:A,HC!C:C),"")</f>
        <v>Workforce</v>
      </c>
      <c r="R1948" s="78" t="b">
        <f t="shared" si="1466"/>
        <v>0</v>
      </c>
      <c r="S1948" s="78" t="b">
        <f t="shared" si="1467"/>
        <v>0</v>
      </c>
      <c r="T1948" s="78" t="b">
        <f t="shared" si="1468"/>
        <v>0</v>
      </c>
      <c r="U1948" s="78" t="b">
        <f t="shared" si="1469"/>
        <v>0</v>
      </c>
      <c r="V1948" s="78" t="b">
        <f t="shared" si="1470"/>
        <v>0</v>
      </c>
      <c r="W1948" s="78" t="b">
        <f t="shared" si="1471"/>
        <v>0</v>
      </c>
      <c r="X1948" s="78" t="b">
        <f t="shared" si="1472"/>
        <v>0</v>
      </c>
      <c r="Y1948" s="78" t="b">
        <f t="shared" si="1473"/>
        <v>0</v>
      </c>
      <c r="Z1948" s="78" t="b">
        <f t="shared" si="1474"/>
        <v>0</v>
      </c>
      <c r="AA1948" s="78" t="b">
        <f t="shared" si="1475"/>
        <v>0</v>
      </c>
      <c r="AB1948" s="78" t="b">
        <f t="shared" si="1476"/>
        <v>0</v>
      </c>
      <c r="AC1948" s="78" t="b">
        <f t="shared" si="1477"/>
        <v>0</v>
      </c>
      <c r="AD1948" s="78" t="b">
        <f t="shared" si="1478"/>
        <v>0</v>
      </c>
      <c r="AE1948" s="78" t="b">
        <f t="shared" si="1479"/>
        <v>0</v>
      </c>
      <c r="AF1948" s="78" t="b">
        <f t="shared" si="1480"/>
        <v>0</v>
      </c>
      <c r="AG1948" s="78" t="b">
        <f t="shared" si="1481"/>
        <v>0</v>
      </c>
      <c r="AH1948" s="78" t="b">
        <f t="shared" si="1482"/>
        <v>0</v>
      </c>
      <c r="AI1948" s="78" t="b">
        <f t="shared" si="1483"/>
        <v>0</v>
      </c>
      <c r="AJ1948" s="78" t="b">
        <f t="shared" si="1484"/>
        <v>0</v>
      </c>
      <c r="AK1948" s="78" t="b">
        <f t="shared" si="1485"/>
        <v>0</v>
      </c>
      <c r="AL1948" s="78" t="b">
        <f t="shared" si="1486"/>
        <v>0</v>
      </c>
      <c r="AM1948" s="78" t="b">
        <f t="shared" si="1487"/>
        <v>0</v>
      </c>
      <c r="AN1948" s="78" t="b">
        <f t="shared" si="1488"/>
        <v>0</v>
      </c>
      <c r="AO1948" s="78" t="b">
        <f t="shared" si="1489"/>
        <v>0</v>
      </c>
    </row>
    <row r="1949" spans="7:41" x14ac:dyDescent="0.35">
      <c r="G1949" s="77">
        <f t="shared" si="1459"/>
        <v>0</v>
      </c>
      <c r="H1949" s="78">
        <f t="shared" si="1460"/>
        <v>0</v>
      </c>
      <c r="I1949" s="77">
        <f t="shared" si="1461"/>
        <v>0</v>
      </c>
      <c r="J1949" s="78">
        <f t="shared" si="1462"/>
        <v>0</v>
      </c>
      <c r="K1949" s="78" t="str">
        <f t="shared" si="1463"/>
        <v>1900-01-00 00:0:00</v>
      </c>
      <c r="L1949" s="78" t="str">
        <f t="shared" si="1464"/>
        <v>1900-01-00 00:0:00</v>
      </c>
      <c r="M1949" s="79">
        <f t="shared" si="1465"/>
        <v>0</v>
      </c>
      <c r="N1949">
        <f t="shared" si="1490"/>
        <v>1</v>
      </c>
      <c r="O1949" t="str">
        <f>IFERROR(_xlfn.XLOOKUP(A1949,HC!A:A,HC!C:C),"")</f>
        <v>Workforce</v>
      </c>
      <c r="R1949" s="78" t="b">
        <f t="shared" si="1466"/>
        <v>0</v>
      </c>
      <c r="S1949" s="78" t="b">
        <f t="shared" si="1467"/>
        <v>0</v>
      </c>
      <c r="T1949" s="78" t="b">
        <f t="shared" si="1468"/>
        <v>0</v>
      </c>
      <c r="U1949" s="78" t="b">
        <f t="shared" si="1469"/>
        <v>0</v>
      </c>
      <c r="V1949" s="78" t="b">
        <f t="shared" si="1470"/>
        <v>0</v>
      </c>
      <c r="W1949" s="78" t="b">
        <f t="shared" si="1471"/>
        <v>0</v>
      </c>
      <c r="X1949" s="78" t="b">
        <f t="shared" si="1472"/>
        <v>0</v>
      </c>
      <c r="Y1949" s="78" t="b">
        <f t="shared" si="1473"/>
        <v>0</v>
      </c>
      <c r="Z1949" s="78" t="b">
        <f t="shared" si="1474"/>
        <v>0</v>
      </c>
      <c r="AA1949" s="78" t="b">
        <f t="shared" si="1475"/>
        <v>0</v>
      </c>
      <c r="AB1949" s="78" t="b">
        <f t="shared" si="1476"/>
        <v>0</v>
      </c>
      <c r="AC1949" s="78" t="b">
        <f t="shared" si="1477"/>
        <v>0</v>
      </c>
      <c r="AD1949" s="78" t="b">
        <f t="shared" si="1478"/>
        <v>0</v>
      </c>
      <c r="AE1949" s="78" t="b">
        <f t="shared" si="1479"/>
        <v>0</v>
      </c>
      <c r="AF1949" s="78" t="b">
        <f t="shared" si="1480"/>
        <v>0</v>
      </c>
      <c r="AG1949" s="78" t="b">
        <f t="shared" si="1481"/>
        <v>0</v>
      </c>
      <c r="AH1949" s="78" t="b">
        <f t="shared" si="1482"/>
        <v>0</v>
      </c>
      <c r="AI1949" s="78" t="b">
        <f t="shared" si="1483"/>
        <v>0</v>
      </c>
      <c r="AJ1949" s="78" t="b">
        <f t="shared" si="1484"/>
        <v>0</v>
      </c>
      <c r="AK1949" s="78" t="b">
        <f t="shared" si="1485"/>
        <v>0</v>
      </c>
      <c r="AL1949" s="78" t="b">
        <f t="shared" si="1486"/>
        <v>0</v>
      </c>
      <c r="AM1949" s="78" t="b">
        <f t="shared" si="1487"/>
        <v>0</v>
      </c>
      <c r="AN1949" s="78" t="b">
        <f t="shared" si="1488"/>
        <v>0</v>
      </c>
      <c r="AO1949" s="78" t="b">
        <f t="shared" si="1489"/>
        <v>0</v>
      </c>
    </row>
    <row r="1950" spans="7:41" x14ac:dyDescent="0.35">
      <c r="G1950" s="77">
        <f t="shared" si="1459"/>
        <v>0</v>
      </c>
      <c r="H1950" s="78">
        <f t="shared" si="1460"/>
        <v>0</v>
      </c>
      <c r="I1950" s="77">
        <f t="shared" si="1461"/>
        <v>0</v>
      </c>
      <c r="J1950" s="78">
        <f t="shared" si="1462"/>
        <v>0</v>
      </c>
      <c r="K1950" s="78" t="str">
        <f t="shared" si="1463"/>
        <v>1900-01-00 00:0:00</v>
      </c>
      <c r="L1950" s="78" t="str">
        <f t="shared" si="1464"/>
        <v>1900-01-00 00:0:00</v>
      </c>
      <c r="M1950" s="79">
        <f t="shared" si="1465"/>
        <v>0</v>
      </c>
      <c r="N1950">
        <f t="shared" si="1490"/>
        <v>1</v>
      </c>
      <c r="O1950" t="str">
        <f>IFERROR(_xlfn.XLOOKUP(A1950,HC!A:A,HC!C:C),"")</f>
        <v>Workforce</v>
      </c>
      <c r="R1950" s="78" t="b">
        <f t="shared" si="1466"/>
        <v>0</v>
      </c>
      <c r="S1950" s="78" t="b">
        <f t="shared" si="1467"/>
        <v>0</v>
      </c>
      <c r="T1950" s="78" t="b">
        <f t="shared" si="1468"/>
        <v>0</v>
      </c>
      <c r="U1950" s="78" t="b">
        <f t="shared" si="1469"/>
        <v>0</v>
      </c>
      <c r="V1950" s="78" t="b">
        <f t="shared" si="1470"/>
        <v>0</v>
      </c>
      <c r="W1950" s="78" t="b">
        <f t="shared" si="1471"/>
        <v>0</v>
      </c>
      <c r="X1950" s="78" t="b">
        <f t="shared" si="1472"/>
        <v>0</v>
      </c>
      <c r="Y1950" s="78" t="b">
        <f t="shared" si="1473"/>
        <v>0</v>
      </c>
      <c r="Z1950" s="78" t="b">
        <f t="shared" si="1474"/>
        <v>0</v>
      </c>
      <c r="AA1950" s="78" t="b">
        <f t="shared" si="1475"/>
        <v>0</v>
      </c>
      <c r="AB1950" s="78" t="b">
        <f t="shared" si="1476"/>
        <v>0</v>
      </c>
      <c r="AC1950" s="78" t="b">
        <f t="shared" si="1477"/>
        <v>0</v>
      </c>
      <c r="AD1950" s="78" t="b">
        <f t="shared" si="1478"/>
        <v>0</v>
      </c>
      <c r="AE1950" s="78" t="b">
        <f t="shared" si="1479"/>
        <v>0</v>
      </c>
      <c r="AF1950" s="78" t="b">
        <f t="shared" si="1480"/>
        <v>0</v>
      </c>
      <c r="AG1950" s="78" t="b">
        <f t="shared" si="1481"/>
        <v>0</v>
      </c>
      <c r="AH1950" s="78" t="b">
        <f t="shared" si="1482"/>
        <v>0</v>
      </c>
      <c r="AI1950" s="78" t="b">
        <f t="shared" si="1483"/>
        <v>0</v>
      </c>
      <c r="AJ1950" s="78" t="b">
        <f t="shared" si="1484"/>
        <v>0</v>
      </c>
      <c r="AK1950" s="78" t="b">
        <f t="shared" si="1485"/>
        <v>0</v>
      </c>
      <c r="AL1950" s="78" t="b">
        <f t="shared" si="1486"/>
        <v>0</v>
      </c>
      <c r="AM1950" s="78" t="b">
        <f t="shared" si="1487"/>
        <v>0</v>
      </c>
      <c r="AN1950" s="78" t="b">
        <f t="shared" si="1488"/>
        <v>0</v>
      </c>
      <c r="AO1950" s="78" t="b">
        <f t="shared" si="1489"/>
        <v>0</v>
      </c>
    </row>
    <row r="1951" spans="7:41" x14ac:dyDescent="0.35">
      <c r="G1951" s="77">
        <f t="shared" si="1459"/>
        <v>0</v>
      </c>
      <c r="H1951" s="78">
        <f t="shared" si="1460"/>
        <v>0</v>
      </c>
      <c r="I1951" s="77">
        <f t="shared" si="1461"/>
        <v>0</v>
      </c>
      <c r="J1951" s="78">
        <f t="shared" si="1462"/>
        <v>0</v>
      </c>
      <c r="K1951" s="78" t="str">
        <f t="shared" si="1463"/>
        <v>1900-01-00 00:0:00</v>
      </c>
      <c r="L1951" s="78" t="str">
        <f t="shared" si="1464"/>
        <v>1900-01-00 00:0:00</v>
      </c>
      <c r="M1951" s="79">
        <f t="shared" si="1465"/>
        <v>0</v>
      </c>
      <c r="N1951">
        <f t="shared" si="1490"/>
        <v>1</v>
      </c>
      <c r="O1951" t="str">
        <f>IFERROR(_xlfn.XLOOKUP(A1951,HC!A:A,HC!C:C),"")</f>
        <v>Workforce</v>
      </c>
      <c r="R1951" s="78" t="b">
        <f t="shared" si="1466"/>
        <v>0</v>
      </c>
      <c r="S1951" s="78" t="b">
        <f t="shared" si="1467"/>
        <v>0</v>
      </c>
      <c r="T1951" s="78" t="b">
        <f t="shared" si="1468"/>
        <v>0</v>
      </c>
      <c r="U1951" s="78" t="b">
        <f t="shared" si="1469"/>
        <v>0</v>
      </c>
      <c r="V1951" s="78" t="b">
        <f t="shared" si="1470"/>
        <v>0</v>
      </c>
      <c r="W1951" s="78" t="b">
        <f t="shared" si="1471"/>
        <v>0</v>
      </c>
      <c r="X1951" s="78" t="b">
        <f t="shared" si="1472"/>
        <v>0</v>
      </c>
      <c r="Y1951" s="78" t="b">
        <f t="shared" si="1473"/>
        <v>0</v>
      </c>
      <c r="Z1951" s="78" t="b">
        <f t="shared" si="1474"/>
        <v>0</v>
      </c>
      <c r="AA1951" s="78" t="b">
        <f t="shared" si="1475"/>
        <v>0</v>
      </c>
      <c r="AB1951" s="78" t="b">
        <f t="shared" si="1476"/>
        <v>0</v>
      </c>
      <c r="AC1951" s="78" t="b">
        <f t="shared" si="1477"/>
        <v>0</v>
      </c>
      <c r="AD1951" s="78" t="b">
        <f t="shared" si="1478"/>
        <v>0</v>
      </c>
      <c r="AE1951" s="78" t="b">
        <f t="shared" si="1479"/>
        <v>0</v>
      </c>
      <c r="AF1951" s="78" t="b">
        <f t="shared" si="1480"/>
        <v>0</v>
      </c>
      <c r="AG1951" s="78" t="b">
        <f t="shared" si="1481"/>
        <v>0</v>
      </c>
      <c r="AH1951" s="78" t="b">
        <f t="shared" si="1482"/>
        <v>0</v>
      </c>
      <c r="AI1951" s="78" t="b">
        <f t="shared" si="1483"/>
        <v>0</v>
      </c>
      <c r="AJ1951" s="78" t="b">
        <f t="shared" si="1484"/>
        <v>0</v>
      </c>
      <c r="AK1951" s="78" t="b">
        <f t="shared" si="1485"/>
        <v>0</v>
      </c>
      <c r="AL1951" s="78" t="b">
        <f t="shared" si="1486"/>
        <v>0</v>
      </c>
      <c r="AM1951" s="78" t="b">
        <f t="shared" si="1487"/>
        <v>0</v>
      </c>
      <c r="AN1951" s="78" t="b">
        <f t="shared" si="1488"/>
        <v>0</v>
      </c>
      <c r="AO1951" s="78" t="b">
        <f t="shared" si="1489"/>
        <v>0</v>
      </c>
    </row>
    <row r="1952" spans="7:41" x14ac:dyDescent="0.35">
      <c r="G1952" s="77">
        <f t="shared" si="1459"/>
        <v>0</v>
      </c>
      <c r="H1952" s="78">
        <f t="shared" si="1460"/>
        <v>0</v>
      </c>
      <c r="I1952" s="77">
        <f t="shared" si="1461"/>
        <v>0</v>
      </c>
      <c r="J1952" s="78">
        <f t="shared" si="1462"/>
        <v>0</v>
      </c>
      <c r="K1952" s="78" t="str">
        <f t="shared" si="1463"/>
        <v>1900-01-00 00:0:00</v>
      </c>
      <c r="L1952" s="78" t="str">
        <f t="shared" si="1464"/>
        <v>1900-01-00 00:0:00</v>
      </c>
      <c r="M1952" s="79">
        <f t="shared" si="1465"/>
        <v>0</v>
      </c>
      <c r="N1952">
        <f t="shared" si="1490"/>
        <v>1</v>
      </c>
      <c r="O1952" t="str">
        <f>IFERROR(_xlfn.XLOOKUP(A1952,HC!A:A,HC!C:C),"")</f>
        <v>Workforce</v>
      </c>
      <c r="R1952" s="78" t="b">
        <f t="shared" si="1466"/>
        <v>0</v>
      </c>
      <c r="S1952" s="78" t="b">
        <f t="shared" si="1467"/>
        <v>0</v>
      </c>
      <c r="T1952" s="78" t="b">
        <f t="shared" si="1468"/>
        <v>0</v>
      </c>
      <c r="U1952" s="78" t="b">
        <f t="shared" si="1469"/>
        <v>0</v>
      </c>
      <c r="V1952" s="78" t="b">
        <f t="shared" si="1470"/>
        <v>0</v>
      </c>
      <c r="W1952" s="78" t="b">
        <f t="shared" si="1471"/>
        <v>0</v>
      </c>
      <c r="X1952" s="78" t="b">
        <f t="shared" si="1472"/>
        <v>0</v>
      </c>
      <c r="Y1952" s="78" t="b">
        <f t="shared" si="1473"/>
        <v>0</v>
      </c>
      <c r="Z1952" s="78" t="b">
        <f t="shared" si="1474"/>
        <v>0</v>
      </c>
      <c r="AA1952" s="78" t="b">
        <f t="shared" si="1475"/>
        <v>0</v>
      </c>
      <c r="AB1952" s="78" t="b">
        <f t="shared" si="1476"/>
        <v>0</v>
      </c>
      <c r="AC1952" s="78" t="b">
        <f t="shared" si="1477"/>
        <v>0</v>
      </c>
      <c r="AD1952" s="78" t="b">
        <f t="shared" si="1478"/>
        <v>0</v>
      </c>
      <c r="AE1952" s="78" t="b">
        <f t="shared" si="1479"/>
        <v>0</v>
      </c>
      <c r="AF1952" s="78" t="b">
        <f t="shared" si="1480"/>
        <v>0</v>
      </c>
      <c r="AG1952" s="78" t="b">
        <f t="shared" si="1481"/>
        <v>0</v>
      </c>
      <c r="AH1952" s="78" t="b">
        <f t="shared" si="1482"/>
        <v>0</v>
      </c>
      <c r="AI1952" s="78" t="b">
        <f t="shared" si="1483"/>
        <v>0</v>
      </c>
      <c r="AJ1952" s="78" t="b">
        <f t="shared" si="1484"/>
        <v>0</v>
      </c>
      <c r="AK1952" s="78" t="b">
        <f t="shared" si="1485"/>
        <v>0</v>
      </c>
      <c r="AL1952" s="78" t="b">
        <f t="shared" si="1486"/>
        <v>0</v>
      </c>
      <c r="AM1952" s="78" t="b">
        <f t="shared" si="1487"/>
        <v>0</v>
      </c>
      <c r="AN1952" s="78" t="b">
        <f t="shared" si="1488"/>
        <v>0</v>
      </c>
      <c r="AO1952" s="78" t="b">
        <f t="shared" si="1489"/>
        <v>0</v>
      </c>
    </row>
    <row r="1953" spans="7:41" x14ac:dyDescent="0.35">
      <c r="G1953" s="77">
        <f t="shared" si="1459"/>
        <v>0</v>
      </c>
      <c r="H1953" s="78">
        <f t="shared" si="1460"/>
        <v>0</v>
      </c>
      <c r="I1953" s="77">
        <f t="shared" si="1461"/>
        <v>0</v>
      </c>
      <c r="J1953" s="78">
        <f t="shared" si="1462"/>
        <v>0</v>
      </c>
      <c r="K1953" s="78" t="str">
        <f t="shared" si="1463"/>
        <v>1900-01-00 00:0:00</v>
      </c>
      <c r="L1953" s="78" t="str">
        <f t="shared" si="1464"/>
        <v>1900-01-00 00:0:00</v>
      </c>
      <c r="M1953" s="79">
        <f t="shared" si="1465"/>
        <v>0</v>
      </c>
      <c r="N1953">
        <f t="shared" si="1490"/>
        <v>1</v>
      </c>
      <c r="O1953" t="str">
        <f>IFERROR(_xlfn.XLOOKUP(A1953,HC!A:A,HC!C:C),"")</f>
        <v>Workforce</v>
      </c>
      <c r="R1953" s="78" t="b">
        <f t="shared" si="1466"/>
        <v>0</v>
      </c>
      <c r="S1953" s="78" t="b">
        <f t="shared" si="1467"/>
        <v>0</v>
      </c>
      <c r="T1953" s="78" t="b">
        <f t="shared" si="1468"/>
        <v>0</v>
      </c>
      <c r="U1953" s="78" t="b">
        <f t="shared" si="1469"/>
        <v>0</v>
      </c>
      <c r="V1953" s="78" t="b">
        <f t="shared" si="1470"/>
        <v>0</v>
      </c>
      <c r="W1953" s="78" t="b">
        <f t="shared" si="1471"/>
        <v>0</v>
      </c>
      <c r="X1953" s="78" t="b">
        <f t="shared" si="1472"/>
        <v>0</v>
      </c>
      <c r="Y1953" s="78" t="b">
        <f t="shared" si="1473"/>
        <v>0</v>
      </c>
      <c r="Z1953" s="78" t="b">
        <f t="shared" si="1474"/>
        <v>0</v>
      </c>
      <c r="AA1953" s="78" t="b">
        <f t="shared" si="1475"/>
        <v>0</v>
      </c>
      <c r="AB1953" s="78" t="b">
        <f t="shared" si="1476"/>
        <v>0</v>
      </c>
      <c r="AC1953" s="78" t="b">
        <f t="shared" si="1477"/>
        <v>0</v>
      </c>
      <c r="AD1953" s="78" t="b">
        <f t="shared" si="1478"/>
        <v>0</v>
      </c>
      <c r="AE1953" s="78" t="b">
        <f t="shared" si="1479"/>
        <v>0</v>
      </c>
      <c r="AF1953" s="78" t="b">
        <f t="shared" si="1480"/>
        <v>0</v>
      </c>
      <c r="AG1953" s="78" t="b">
        <f t="shared" si="1481"/>
        <v>0</v>
      </c>
      <c r="AH1953" s="78" t="b">
        <f t="shared" si="1482"/>
        <v>0</v>
      </c>
      <c r="AI1953" s="78" t="b">
        <f t="shared" si="1483"/>
        <v>0</v>
      </c>
      <c r="AJ1953" s="78" t="b">
        <f t="shared" si="1484"/>
        <v>0</v>
      </c>
      <c r="AK1953" s="78" t="b">
        <f t="shared" si="1485"/>
        <v>0</v>
      </c>
      <c r="AL1953" s="78" t="b">
        <f t="shared" si="1486"/>
        <v>0</v>
      </c>
      <c r="AM1953" s="78" t="b">
        <f t="shared" si="1487"/>
        <v>0</v>
      </c>
      <c r="AN1953" s="78" t="b">
        <f t="shared" si="1488"/>
        <v>0</v>
      </c>
      <c r="AO1953" s="78" t="b">
        <f t="shared" si="1489"/>
        <v>0</v>
      </c>
    </row>
    <row r="1954" spans="7:41" x14ac:dyDescent="0.35">
      <c r="G1954" s="77">
        <f t="shared" si="1459"/>
        <v>0</v>
      </c>
      <c r="H1954" s="78">
        <f t="shared" si="1460"/>
        <v>0</v>
      </c>
      <c r="I1954" s="77">
        <f t="shared" si="1461"/>
        <v>0</v>
      </c>
      <c r="J1954" s="78">
        <f t="shared" si="1462"/>
        <v>0</v>
      </c>
      <c r="K1954" s="78" t="str">
        <f t="shared" si="1463"/>
        <v>1900-01-00 00:0:00</v>
      </c>
      <c r="L1954" s="78" t="str">
        <f t="shared" si="1464"/>
        <v>1900-01-00 00:0:00</v>
      </c>
      <c r="M1954" s="79">
        <f t="shared" si="1465"/>
        <v>0</v>
      </c>
      <c r="N1954">
        <f t="shared" si="1490"/>
        <v>1</v>
      </c>
      <c r="O1954" t="str">
        <f>IFERROR(_xlfn.XLOOKUP(A1954,HC!A:A,HC!C:C),"")</f>
        <v>Workforce</v>
      </c>
      <c r="R1954" s="78" t="b">
        <f t="shared" si="1466"/>
        <v>0</v>
      </c>
      <c r="S1954" s="78" t="b">
        <f t="shared" si="1467"/>
        <v>0</v>
      </c>
      <c r="T1954" s="78" t="b">
        <f t="shared" si="1468"/>
        <v>0</v>
      </c>
      <c r="U1954" s="78" t="b">
        <f t="shared" si="1469"/>
        <v>0</v>
      </c>
      <c r="V1954" s="78" t="b">
        <f t="shared" si="1470"/>
        <v>0</v>
      </c>
      <c r="W1954" s="78" t="b">
        <f t="shared" si="1471"/>
        <v>0</v>
      </c>
      <c r="X1954" s="78" t="b">
        <f t="shared" si="1472"/>
        <v>0</v>
      </c>
      <c r="Y1954" s="78" t="b">
        <f t="shared" si="1473"/>
        <v>0</v>
      </c>
      <c r="Z1954" s="78" t="b">
        <f t="shared" si="1474"/>
        <v>0</v>
      </c>
      <c r="AA1954" s="78" t="b">
        <f t="shared" si="1475"/>
        <v>0</v>
      </c>
      <c r="AB1954" s="78" t="b">
        <f t="shared" si="1476"/>
        <v>0</v>
      </c>
      <c r="AC1954" s="78" t="b">
        <f t="shared" si="1477"/>
        <v>0</v>
      </c>
      <c r="AD1954" s="78" t="b">
        <f t="shared" si="1478"/>
        <v>0</v>
      </c>
      <c r="AE1954" s="78" t="b">
        <f t="shared" si="1479"/>
        <v>0</v>
      </c>
      <c r="AF1954" s="78" t="b">
        <f t="shared" si="1480"/>
        <v>0</v>
      </c>
      <c r="AG1954" s="78" t="b">
        <f t="shared" si="1481"/>
        <v>0</v>
      </c>
      <c r="AH1954" s="78" t="b">
        <f t="shared" si="1482"/>
        <v>0</v>
      </c>
      <c r="AI1954" s="78" t="b">
        <f t="shared" si="1483"/>
        <v>0</v>
      </c>
      <c r="AJ1954" s="78" t="b">
        <f t="shared" si="1484"/>
        <v>0</v>
      </c>
      <c r="AK1954" s="78" t="b">
        <f t="shared" si="1485"/>
        <v>0</v>
      </c>
      <c r="AL1954" s="78" t="b">
        <f t="shared" si="1486"/>
        <v>0</v>
      </c>
      <c r="AM1954" s="78" t="b">
        <f t="shared" si="1487"/>
        <v>0</v>
      </c>
      <c r="AN1954" s="78" t="b">
        <f t="shared" si="1488"/>
        <v>0</v>
      </c>
      <c r="AO1954" s="78" t="b">
        <f t="shared" si="1489"/>
        <v>0</v>
      </c>
    </row>
    <row r="1955" spans="7:41" x14ac:dyDescent="0.35">
      <c r="G1955" s="77">
        <f t="shared" si="1459"/>
        <v>0</v>
      </c>
      <c r="H1955" s="78">
        <f t="shared" si="1460"/>
        <v>0</v>
      </c>
      <c r="I1955" s="77">
        <f t="shared" si="1461"/>
        <v>0</v>
      </c>
      <c r="J1955" s="78">
        <f t="shared" si="1462"/>
        <v>0</v>
      </c>
      <c r="K1955" s="78" t="str">
        <f t="shared" si="1463"/>
        <v>1900-01-00 00:0:00</v>
      </c>
      <c r="L1955" s="78" t="str">
        <f t="shared" si="1464"/>
        <v>1900-01-00 00:0:00</v>
      </c>
      <c r="M1955" s="79">
        <f t="shared" si="1465"/>
        <v>0</v>
      </c>
      <c r="N1955">
        <f t="shared" si="1490"/>
        <v>1</v>
      </c>
      <c r="O1955" t="str">
        <f>IFERROR(_xlfn.XLOOKUP(A1955,HC!A:A,HC!C:C),"")</f>
        <v>Workforce</v>
      </c>
      <c r="R1955" s="78" t="b">
        <f t="shared" si="1466"/>
        <v>0</v>
      </c>
      <c r="S1955" s="78" t="b">
        <f t="shared" si="1467"/>
        <v>0</v>
      </c>
      <c r="T1955" s="78" t="b">
        <f t="shared" si="1468"/>
        <v>0</v>
      </c>
      <c r="U1955" s="78" t="b">
        <f t="shared" si="1469"/>
        <v>0</v>
      </c>
      <c r="V1955" s="78" t="b">
        <f t="shared" si="1470"/>
        <v>0</v>
      </c>
      <c r="W1955" s="78" t="b">
        <f t="shared" si="1471"/>
        <v>0</v>
      </c>
      <c r="X1955" s="78" t="b">
        <f t="shared" si="1472"/>
        <v>0</v>
      </c>
      <c r="Y1955" s="78" t="b">
        <f t="shared" si="1473"/>
        <v>0</v>
      </c>
      <c r="Z1955" s="78" t="b">
        <f t="shared" si="1474"/>
        <v>0</v>
      </c>
      <c r="AA1955" s="78" t="b">
        <f t="shared" si="1475"/>
        <v>0</v>
      </c>
      <c r="AB1955" s="78" t="b">
        <f t="shared" si="1476"/>
        <v>0</v>
      </c>
      <c r="AC1955" s="78" t="b">
        <f t="shared" si="1477"/>
        <v>0</v>
      </c>
      <c r="AD1955" s="78" t="b">
        <f t="shared" si="1478"/>
        <v>0</v>
      </c>
      <c r="AE1955" s="78" t="b">
        <f t="shared" si="1479"/>
        <v>0</v>
      </c>
      <c r="AF1955" s="78" t="b">
        <f t="shared" si="1480"/>
        <v>0</v>
      </c>
      <c r="AG1955" s="78" t="b">
        <f t="shared" si="1481"/>
        <v>0</v>
      </c>
      <c r="AH1955" s="78" t="b">
        <f t="shared" si="1482"/>
        <v>0</v>
      </c>
      <c r="AI1955" s="78" t="b">
        <f t="shared" si="1483"/>
        <v>0</v>
      </c>
      <c r="AJ1955" s="78" t="b">
        <f t="shared" si="1484"/>
        <v>0</v>
      </c>
      <c r="AK1955" s="78" t="b">
        <f t="shared" si="1485"/>
        <v>0</v>
      </c>
      <c r="AL1955" s="78" t="b">
        <f t="shared" si="1486"/>
        <v>0</v>
      </c>
      <c r="AM1955" s="78" t="b">
        <f t="shared" si="1487"/>
        <v>0</v>
      </c>
      <c r="AN1955" s="78" t="b">
        <f t="shared" si="1488"/>
        <v>0</v>
      </c>
      <c r="AO1955" s="78" t="b">
        <f t="shared" si="1489"/>
        <v>0</v>
      </c>
    </row>
    <row r="1956" spans="7:41" x14ac:dyDescent="0.35">
      <c r="G1956" s="77">
        <f t="shared" si="1459"/>
        <v>0</v>
      </c>
      <c r="H1956" s="78">
        <f t="shared" si="1460"/>
        <v>0</v>
      </c>
      <c r="I1956" s="77">
        <f t="shared" si="1461"/>
        <v>0</v>
      </c>
      <c r="J1956" s="78">
        <f t="shared" si="1462"/>
        <v>0</v>
      </c>
      <c r="K1956" s="78" t="str">
        <f t="shared" si="1463"/>
        <v>1900-01-00 00:0:00</v>
      </c>
      <c r="L1956" s="78" t="str">
        <f t="shared" si="1464"/>
        <v>1900-01-00 00:0:00</v>
      </c>
      <c r="M1956" s="79">
        <f t="shared" si="1465"/>
        <v>0</v>
      </c>
      <c r="N1956">
        <f t="shared" si="1490"/>
        <v>1</v>
      </c>
      <c r="O1956" t="str">
        <f>IFERROR(_xlfn.XLOOKUP(A1956,HC!A:A,HC!C:C),"")</f>
        <v>Workforce</v>
      </c>
      <c r="R1956" s="78" t="b">
        <f t="shared" si="1466"/>
        <v>0</v>
      </c>
      <c r="S1956" s="78" t="b">
        <f t="shared" si="1467"/>
        <v>0</v>
      </c>
      <c r="T1956" s="78" t="b">
        <f t="shared" si="1468"/>
        <v>0</v>
      </c>
      <c r="U1956" s="78" t="b">
        <f t="shared" si="1469"/>
        <v>0</v>
      </c>
      <c r="V1956" s="78" t="b">
        <f t="shared" si="1470"/>
        <v>0</v>
      </c>
      <c r="W1956" s="78" t="b">
        <f t="shared" si="1471"/>
        <v>0</v>
      </c>
      <c r="X1956" s="78" t="b">
        <f t="shared" si="1472"/>
        <v>0</v>
      </c>
      <c r="Y1956" s="78" t="b">
        <f t="shared" si="1473"/>
        <v>0</v>
      </c>
      <c r="Z1956" s="78" t="b">
        <f t="shared" si="1474"/>
        <v>0</v>
      </c>
      <c r="AA1956" s="78" t="b">
        <f t="shared" si="1475"/>
        <v>0</v>
      </c>
      <c r="AB1956" s="78" t="b">
        <f t="shared" si="1476"/>
        <v>0</v>
      </c>
      <c r="AC1956" s="78" t="b">
        <f t="shared" si="1477"/>
        <v>0</v>
      </c>
      <c r="AD1956" s="78" t="b">
        <f t="shared" si="1478"/>
        <v>0</v>
      </c>
      <c r="AE1956" s="78" t="b">
        <f t="shared" si="1479"/>
        <v>0</v>
      </c>
      <c r="AF1956" s="78" t="b">
        <f t="shared" si="1480"/>
        <v>0</v>
      </c>
      <c r="AG1956" s="78" t="b">
        <f t="shared" si="1481"/>
        <v>0</v>
      </c>
      <c r="AH1956" s="78" t="b">
        <f t="shared" si="1482"/>
        <v>0</v>
      </c>
      <c r="AI1956" s="78" t="b">
        <f t="shared" si="1483"/>
        <v>0</v>
      </c>
      <c r="AJ1956" s="78" t="b">
        <f t="shared" si="1484"/>
        <v>0</v>
      </c>
      <c r="AK1956" s="78" t="b">
        <f t="shared" si="1485"/>
        <v>0</v>
      </c>
      <c r="AL1956" s="78" t="b">
        <f t="shared" si="1486"/>
        <v>0</v>
      </c>
      <c r="AM1956" s="78" t="b">
        <f t="shared" si="1487"/>
        <v>0</v>
      </c>
      <c r="AN1956" s="78" t="b">
        <f t="shared" si="1488"/>
        <v>0</v>
      </c>
      <c r="AO1956" s="78" t="b">
        <f t="shared" si="1489"/>
        <v>0</v>
      </c>
    </row>
    <row r="1957" spans="7:41" x14ac:dyDescent="0.35">
      <c r="G1957" s="77">
        <f t="shared" si="1459"/>
        <v>0</v>
      </c>
      <c r="H1957" s="78">
        <f t="shared" si="1460"/>
        <v>0</v>
      </c>
      <c r="I1957" s="77">
        <f t="shared" si="1461"/>
        <v>0</v>
      </c>
      <c r="J1957" s="78">
        <f t="shared" si="1462"/>
        <v>0</v>
      </c>
      <c r="K1957" s="78" t="str">
        <f t="shared" si="1463"/>
        <v>1900-01-00 00:0:00</v>
      </c>
      <c r="L1957" s="78" t="str">
        <f t="shared" si="1464"/>
        <v>1900-01-00 00:0:00</v>
      </c>
      <c r="M1957" s="79">
        <f t="shared" si="1465"/>
        <v>0</v>
      </c>
      <c r="N1957">
        <f t="shared" si="1490"/>
        <v>1</v>
      </c>
      <c r="O1957" t="str">
        <f>IFERROR(_xlfn.XLOOKUP(A1957,HC!A:A,HC!C:C),"")</f>
        <v>Workforce</v>
      </c>
      <c r="R1957" s="78" t="b">
        <f t="shared" si="1466"/>
        <v>0</v>
      </c>
      <c r="S1957" s="78" t="b">
        <f t="shared" si="1467"/>
        <v>0</v>
      </c>
      <c r="T1957" s="78" t="b">
        <f t="shared" si="1468"/>
        <v>0</v>
      </c>
      <c r="U1957" s="78" t="b">
        <f t="shared" si="1469"/>
        <v>0</v>
      </c>
      <c r="V1957" s="78" t="b">
        <f t="shared" si="1470"/>
        <v>0</v>
      </c>
      <c r="W1957" s="78" t="b">
        <f t="shared" si="1471"/>
        <v>0</v>
      </c>
      <c r="X1957" s="78" t="b">
        <f t="shared" si="1472"/>
        <v>0</v>
      </c>
      <c r="Y1957" s="78" t="b">
        <f t="shared" si="1473"/>
        <v>0</v>
      </c>
      <c r="Z1957" s="78" t="b">
        <f t="shared" si="1474"/>
        <v>0</v>
      </c>
      <c r="AA1957" s="78" t="b">
        <f t="shared" si="1475"/>
        <v>0</v>
      </c>
      <c r="AB1957" s="78" t="b">
        <f t="shared" si="1476"/>
        <v>0</v>
      </c>
      <c r="AC1957" s="78" t="b">
        <f t="shared" si="1477"/>
        <v>0</v>
      </c>
      <c r="AD1957" s="78" t="b">
        <f t="shared" si="1478"/>
        <v>0</v>
      </c>
      <c r="AE1957" s="78" t="b">
        <f t="shared" si="1479"/>
        <v>0</v>
      </c>
      <c r="AF1957" s="78" t="b">
        <f t="shared" si="1480"/>
        <v>0</v>
      </c>
      <c r="AG1957" s="78" t="b">
        <f t="shared" si="1481"/>
        <v>0</v>
      </c>
      <c r="AH1957" s="78" t="b">
        <f t="shared" si="1482"/>
        <v>0</v>
      </c>
      <c r="AI1957" s="78" t="b">
        <f t="shared" si="1483"/>
        <v>0</v>
      </c>
      <c r="AJ1957" s="78" t="b">
        <f t="shared" si="1484"/>
        <v>0</v>
      </c>
      <c r="AK1957" s="78" t="b">
        <f t="shared" si="1485"/>
        <v>0</v>
      </c>
      <c r="AL1957" s="78" t="b">
        <f t="shared" si="1486"/>
        <v>0</v>
      </c>
      <c r="AM1957" s="78" t="b">
        <f t="shared" si="1487"/>
        <v>0</v>
      </c>
      <c r="AN1957" s="78" t="b">
        <f t="shared" si="1488"/>
        <v>0</v>
      </c>
      <c r="AO1957" s="78" t="b">
        <f t="shared" si="1489"/>
        <v>0</v>
      </c>
    </row>
    <row r="1958" spans="7:41" x14ac:dyDescent="0.35">
      <c r="G1958" s="77">
        <f t="shared" si="1459"/>
        <v>0</v>
      </c>
      <c r="H1958" s="78">
        <f t="shared" si="1460"/>
        <v>0</v>
      </c>
      <c r="I1958" s="77">
        <f t="shared" si="1461"/>
        <v>0</v>
      </c>
      <c r="J1958" s="78">
        <f t="shared" si="1462"/>
        <v>0</v>
      </c>
      <c r="K1958" s="78" t="str">
        <f t="shared" si="1463"/>
        <v>1900-01-00 00:0:00</v>
      </c>
      <c r="L1958" s="78" t="str">
        <f t="shared" si="1464"/>
        <v>1900-01-00 00:0:00</v>
      </c>
      <c r="M1958" s="79">
        <f t="shared" si="1465"/>
        <v>0</v>
      </c>
      <c r="N1958">
        <f t="shared" si="1490"/>
        <v>1</v>
      </c>
      <c r="O1958" t="str">
        <f>IFERROR(_xlfn.XLOOKUP(A1958,HC!A:A,HC!C:C),"")</f>
        <v>Workforce</v>
      </c>
      <c r="R1958" s="78" t="b">
        <f t="shared" si="1466"/>
        <v>0</v>
      </c>
      <c r="S1958" s="78" t="b">
        <f t="shared" si="1467"/>
        <v>0</v>
      </c>
      <c r="T1958" s="78" t="b">
        <f t="shared" si="1468"/>
        <v>0</v>
      </c>
      <c r="U1958" s="78" t="b">
        <f t="shared" si="1469"/>
        <v>0</v>
      </c>
      <c r="V1958" s="78" t="b">
        <f t="shared" si="1470"/>
        <v>0</v>
      </c>
      <c r="W1958" s="78" t="b">
        <f t="shared" si="1471"/>
        <v>0</v>
      </c>
      <c r="X1958" s="78" t="b">
        <f t="shared" si="1472"/>
        <v>0</v>
      </c>
      <c r="Y1958" s="78" t="b">
        <f t="shared" si="1473"/>
        <v>0</v>
      </c>
      <c r="Z1958" s="78" t="b">
        <f t="shared" si="1474"/>
        <v>0</v>
      </c>
      <c r="AA1958" s="78" t="b">
        <f t="shared" si="1475"/>
        <v>0</v>
      </c>
      <c r="AB1958" s="78" t="b">
        <f t="shared" si="1476"/>
        <v>0</v>
      </c>
      <c r="AC1958" s="78" t="b">
        <f t="shared" si="1477"/>
        <v>0</v>
      </c>
      <c r="AD1958" s="78" t="b">
        <f t="shared" si="1478"/>
        <v>0</v>
      </c>
      <c r="AE1958" s="78" t="b">
        <f t="shared" si="1479"/>
        <v>0</v>
      </c>
      <c r="AF1958" s="78" t="b">
        <f t="shared" si="1480"/>
        <v>0</v>
      </c>
      <c r="AG1958" s="78" t="b">
        <f t="shared" si="1481"/>
        <v>0</v>
      </c>
      <c r="AH1958" s="78" t="b">
        <f t="shared" si="1482"/>
        <v>0</v>
      </c>
      <c r="AI1958" s="78" t="b">
        <f t="shared" si="1483"/>
        <v>0</v>
      </c>
      <c r="AJ1958" s="78" t="b">
        <f t="shared" si="1484"/>
        <v>0</v>
      </c>
      <c r="AK1958" s="78" t="b">
        <f t="shared" si="1485"/>
        <v>0</v>
      </c>
      <c r="AL1958" s="78" t="b">
        <f t="shared" si="1486"/>
        <v>0</v>
      </c>
      <c r="AM1958" s="78" t="b">
        <f t="shared" si="1487"/>
        <v>0</v>
      </c>
      <c r="AN1958" s="78" t="b">
        <f t="shared" si="1488"/>
        <v>0</v>
      </c>
      <c r="AO1958" s="78" t="b">
        <f t="shared" si="1489"/>
        <v>0</v>
      </c>
    </row>
    <row r="1959" spans="7:41" x14ac:dyDescent="0.35">
      <c r="G1959" s="77">
        <f t="shared" si="1459"/>
        <v>0</v>
      </c>
      <c r="H1959" s="78">
        <f t="shared" si="1460"/>
        <v>0</v>
      </c>
      <c r="I1959" s="77">
        <f t="shared" si="1461"/>
        <v>0</v>
      </c>
      <c r="J1959" s="78">
        <f t="shared" si="1462"/>
        <v>0</v>
      </c>
      <c r="K1959" s="78" t="str">
        <f t="shared" si="1463"/>
        <v>1900-01-00 00:0:00</v>
      </c>
      <c r="L1959" s="78" t="str">
        <f t="shared" si="1464"/>
        <v>1900-01-00 00:0:00</v>
      </c>
      <c r="M1959" s="79">
        <f t="shared" si="1465"/>
        <v>0</v>
      </c>
      <c r="N1959">
        <f t="shared" si="1490"/>
        <v>1</v>
      </c>
      <c r="O1959" t="str">
        <f>IFERROR(_xlfn.XLOOKUP(A1959,HC!A:A,HC!C:C),"")</f>
        <v>Workforce</v>
      </c>
      <c r="R1959" s="78" t="b">
        <f t="shared" si="1466"/>
        <v>0</v>
      </c>
      <c r="S1959" s="78" t="b">
        <f t="shared" si="1467"/>
        <v>0</v>
      </c>
      <c r="T1959" s="78" t="b">
        <f t="shared" si="1468"/>
        <v>0</v>
      </c>
      <c r="U1959" s="78" t="b">
        <f t="shared" si="1469"/>
        <v>0</v>
      </c>
      <c r="V1959" s="78" t="b">
        <f t="shared" si="1470"/>
        <v>0</v>
      </c>
      <c r="W1959" s="78" t="b">
        <f t="shared" si="1471"/>
        <v>0</v>
      </c>
      <c r="X1959" s="78" t="b">
        <f t="shared" si="1472"/>
        <v>0</v>
      </c>
      <c r="Y1959" s="78" t="b">
        <f t="shared" si="1473"/>
        <v>0</v>
      </c>
      <c r="Z1959" s="78" t="b">
        <f t="shared" si="1474"/>
        <v>0</v>
      </c>
      <c r="AA1959" s="78" t="b">
        <f t="shared" si="1475"/>
        <v>0</v>
      </c>
      <c r="AB1959" s="78" t="b">
        <f t="shared" si="1476"/>
        <v>0</v>
      </c>
      <c r="AC1959" s="78" t="b">
        <f t="shared" si="1477"/>
        <v>0</v>
      </c>
      <c r="AD1959" s="78" t="b">
        <f t="shared" si="1478"/>
        <v>0</v>
      </c>
      <c r="AE1959" s="78" t="b">
        <f t="shared" si="1479"/>
        <v>0</v>
      </c>
      <c r="AF1959" s="78" t="b">
        <f t="shared" si="1480"/>
        <v>0</v>
      </c>
      <c r="AG1959" s="78" t="b">
        <f t="shared" si="1481"/>
        <v>0</v>
      </c>
      <c r="AH1959" s="78" t="b">
        <f t="shared" si="1482"/>
        <v>0</v>
      </c>
      <c r="AI1959" s="78" t="b">
        <f t="shared" si="1483"/>
        <v>0</v>
      </c>
      <c r="AJ1959" s="78" t="b">
        <f t="shared" si="1484"/>
        <v>0</v>
      </c>
      <c r="AK1959" s="78" t="b">
        <f t="shared" si="1485"/>
        <v>0</v>
      </c>
      <c r="AL1959" s="78" t="b">
        <f t="shared" si="1486"/>
        <v>0</v>
      </c>
      <c r="AM1959" s="78" t="b">
        <f t="shared" si="1487"/>
        <v>0</v>
      </c>
      <c r="AN1959" s="78" t="b">
        <f t="shared" si="1488"/>
        <v>0</v>
      </c>
      <c r="AO1959" s="78" t="b">
        <f t="shared" si="1489"/>
        <v>0</v>
      </c>
    </row>
    <row r="1960" spans="7:41" x14ac:dyDescent="0.35">
      <c r="G1960" s="77">
        <f t="shared" si="1459"/>
        <v>0</v>
      </c>
      <c r="H1960" s="78">
        <f t="shared" si="1460"/>
        <v>0</v>
      </c>
      <c r="I1960" s="77">
        <f t="shared" si="1461"/>
        <v>0</v>
      </c>
      <c r="J1960" s="78">
        <f t="shared" si="1462"/>
        <v>0</v>
      </c>
      <c r="K1960" s="78" t="str">
        <f t="shared" si="1463"/>
        <v>1900-01-00 00:0:00</v>
      </c>
      <c r="L1960" s="78" t="str">
        <f t="shared" si="1464"/>
        <v>1900-01-00 00:0:00</v>
      </c>
      <c r="M1960" s="79">
        <f t="shared" si="1465"/>
        <v>0</v>
      </c>
      <c r="N1960">
        <f t="shared" si="1490"/>
        <v>1</v>
      </c>
      <c r="O1960" t="str">
        <f>IFERROR(_xlfn.XLOOKUP(A1960,HC!A:A,HC!C:C),"")</f>
        <v>Workforce</v>
      </c>
      <c r="R1960" s="78" t="b">
        <f t="shared" si="1466"/>
        <v>0</v>
      </c>
      <c r="S1960" s="78" t="b">
        <f t="shared" si="1467"/>
        <v>0</v>
      </c>
      <c r="T1960" s="78" t="b">
        <f t="shared" si="1468"/>
        <v>0</v>
      </c>
      <c r="U1960" s="78" t="b">
        <f t="shared" si="1469"/>
        <v>0</v>
      </c>
      <c r="V1960" s="78" t="b">
        <f t="shared" si="1470"/>
        <v>0</v>
      </c>
      <c r="W1960" s="78" t="b">
        <f t="shared" si="1471"/>
        <v>0</v>
      </c>
      <c r="X1960" s="78" t="b">
        <f t="shared" si="1472"/>
        <v>0</v>
      </c>
      <c r="Y1960" s="78" t="b">
        <f t="shared" si="1473"/>
        <v>0</v>
      </c>
      <c r="Z1960" s="78" t="b">
        <f t="shared" si="1474"/>
        <v>0</v>
      </c>
      <c r="AA1960" s="78" t="b">
        <f t="shared" si="1475"/>
        <v>0</v>
      </c>
      <c r="AB1960" s="78" t="b">
        <f t="shared" si="1476"/>
        <v>0</v>
      </c>
      <c r="AC1960" s="78" t="b">
        <f t="shared" si="1477"/>
        <v>0</v>
      </c>
      <c r="AD1960" s="78" t="b">
        <f t="shared" si="1478"/>
        <v>0</v>
      </c>
      <c r="AE1960" s="78" t="b">
        <f t="shared" si="1479"/>
        <v>0</v>
      </c>
      <c r="AF1960" s="78" t="b">
        <f t="shared" si="1480"/>
        <v>0</v>
      </c>
      <c r="AG1960" s="78" t="b">
        <f t="shared" si="1481"/>
        <v>0</v>
      </c>
      <c r="AH1960" s="78" t="b">
        <f t="shared" si="1482"/>
        <v>0</v>
      </c>
      <c r="AI1960" s="78" t="b">
        <f t="shared" si="1483"/>
        <v>0</v>
      </c>
      <c r="AJ1960" s="78" t="b">
        <f t="shared" si="1484"/>
        <v>0</v>
      </c>
      <c r="AK1960" s="78" t="b">
        <f t="shared" si="1485"/>
        <v>0</v>
      </c>
      <c r="AL1960" s="78" t="b">
        <f t="shared" si="1486"/>
        <v>0</v>
      </c>
      <c r="AM1960" s="78" t="b">
        <f t="shared" si="1487"/>
        <v>0</v>
      </c>
      <c r="AN1960" s="78" t="b">
        <f t="shared" si="1488"/>
        <v>0</v>
      </c>
      <c r="AO1960" s="78" t="b">
        <f t="shared" si="1489"/>
        <v>0</v>
      </c>
    </row>
    <row r="1961" spans="7:41" x14ac:dyDescent="0.35">
      <c r="G1961" s="77">
        <f t="shared" si="1459"/>
        <v>0</v>
      </c>
      <c r="H1961" s="78">
        <f t="shared" si="1460"/>
        <v>0</v>
      </c>
      <c r="I1961" s="77">
        <f t="shared" si="1461"/>
        <v>0</v>
      </c>
      <c r="J1961" s="78">
        <f t="shared" si="1462"/>
        <v>0</v>
      </c>
      <c r="K1961" s="78" t="str">
        <f t="shared" si="1463"/>
        <v>1900-01-00 00:0:00</v>
      </c>
      <c r="L1961" s="78" t="str">
        <f t="shared" si="1464"/>
        <v>1900-01-00 00:0:00</v>
      </c>
      <c r="M1961" s="79">
        <f t="shared" si="1465"/>
        <v>0</v>
      </c>
      <c r="N1961">
        <f t="shared" si="1490"/>
        <v>1</v>
      </c>
      <c r="O1961" t="str">
        <f>IFERROR(_xlfn.XLOOKUP(A1961,HC!A:A,HC!C:C),"")</f>
        <v>Workforce</v>
      </c>
      <c r="R1961" s="78" t="b">
        <f t="shared" si="1466"/>
        <v>0</v>
      </c>
      <c r="S1961" s="78" t="b">
        <f t="shared" si="1467"/>
        <v>0</v>
      </c>
      <c r="T1961" s="78" t="b">
        <f t="shared" si="1468"/>
        <v>0</v>
      </c>
      <c r="U1961" s="78" t="b">
        <f t="shared" si="1469"/>
        <v>0</v>
      </c>
      <c r="V1961" s="78" t="b">
        <f t="shared" si="1470"/>
        <v>0</v>
      </c>
      <c r="W1961" s="78" t="b">
        <f t="shared" si="1471"/>
        <v>0</v>
      </c>
      <c r="X1961" s="78" t="b">
        <f t="shared" si="1472"/>
        <v>0</v>
      </c>
      <c r="Y1961" s="78" t="b">
        <f t="shared" si="1473"/>
        <v>0</v>
      </c>
      <c r="Z1961" s="78" t="b">
        <f t="shared" si="1474"/>
        <v>0</v>
      </c>
      <c r="AA1961" s="78" t="b">
        <f t="shared" si="1475"/>
        <v>0</v>
      </c>
      <c r="AB1961" s="78" t="b">
        <f t="shared" si="1476"/>
        <v>0</v>
      </c>
      <c r="AC1961" s="78" t="b">
        <f t="shared" si="1477"/>
        <v>0</v>
      </c>
      <c r="AD1961" s="78" t="b">
        <f t="shared" si="1478"/>
        <v>0</v>
      </c>
      <c r="AE1961" s="78" t="b">
        <f t="shared" si="1479"/>
        <v>0</v>
      </c>
      <c r="AF1961" s="78" t="b">
        <f t="shared" si="1480"/>
        <v>0</v>
      </c>
      <c r="AG1961" s="78" t="b">
        <f t="shared" si="1481"/>
        <v>0</v>
      </c>
      <c r="AH1961" s="78" t="b">
        <f t="shared" si="1482"/>
        <v>0</v>
      </c>
      <c r="AI1961" s="78" t="b">
        <f t="shared" si="1483"/>
        <v>0</v>
      </c>
      <c r="AJ1961" s="78" t="b">
        <f t="shared" si="1484"/>
        <v>0</v>
      </c>
      <c r="AK1961" s="78" t="b">
        <f t="shared" si="1485"/>
        <v>0</v>
      </c>
      <c r="AL1961" s="78" t="b">
        <f t="shared" si="1486"/>
        <v>0</v>
      </c>
      <c r="AM1961" s="78" t="b">
        <f t="shared" si="1487"/>
        <v>0</v>
      </c>
      <c r="AN1961" s="78" t="b">
        <f t="shared" si="1488"/>
        <v>0</v>
      </c>
      <c r="AO1961" s="78" t="b">
        <f t="shared" si="1489"/>
        <v>0</v>
      </c>
    </row>
    <row r="1962" spans="7:41" x14ac:dyDescent="0.35">
      <c r="G1962" s="77">
        <f t="shared" si="1459"/>
        <v>0</v>
      </c>
      <c r="H1962" s="78">
        <f t="shared" si="1460"/>
        <v>0</v>
      </c>
      <c r="I1962" s="77">
        <f t="shared" si="1461"/>
        <v>0</v>
      </c>
      <c r="J1962" s="78">
        <f t="shared" si="1462"/>
        <v>0</v>
      </c>
      <c r="K1962" s="78" t="str">
        <f t="shared" si="1463"/>
        <v>1900-01-00 00:0:00</v>
      </c>
      <c r="L1962" s="78" t="str">
        <f t="shared" si="1464"/>
        <v>1900-01-00 00:0:00</v>
      </c>
      <c r="M1962" s="79">
        <f t="shared" si="1465"/>
        <v>0</v>
      </c>
      <c r="N1962">
        <f t="shared" si="1490"/>
        <v>1</v>
      </c>
      <c r="O1962" t="str">
        <f>IFERROR(_xlfn.XLOOKUP(A1962,HC!A:A,HC!C:C),"")</f>
        <v>Workforce</v>
      </c>
      <c r="R1962" s="78" t="b">
        <f t="shared" si="1466"/>
        <v>0</v>
      </c>
      <c r="S1962" s="78" t="b">
        <f t="shared" si="1467"/>
        <v>0</v>
      </c>
      <c r="T1962" s="78" t="b">
        <f t="shared" si="1468"/>
        <v>0</v>
      </c>
      <c r="U1962" s="78" t="b">
        <f t="shared" si="1469"/>
        <v>0</v>
      </c>
      <c r="V1962" s="78" t="b">
        <f t="shared" si="1470"/>
        <v>0</v>
      </c>
      <c r="W1962" s="78" t="b">
        <f t="shared" si="1471"/>
        <v>0</v>
      </c>
      <c r="X1962" s="78" t="b">
        <f t="shared" si="1472"/>
        <v>0</v>
      </c>
      <c r="Y1962" s="78" t="b">
        <f t="shared" si="1473"/>
        <v>0</v>
      </c>
      <c r="Z1962" s="78" t="b">
        <f t="shared" si="1474"/>
        <v>0</v>
      </c>
      <c r="AA1962" s="78" t="b">
        <f t="shared" si="1475"/>
        <v>0</v>
      </c>
      <c r="AB1962" s="78" t="b">
        <f t="shared" si="1476"/>
        <v>0</v>
      </c>
      <c r="AC1962" s="78" t="b">
        <f t="shared" si="1477"/>
        <v>0</v>
      </c>
      <c r="AD1962" s="78" t="b">
        <f t="shared" si="1478"/>
        <v>0</v>
      </c>
      <c r="AE1962" s="78" t="b">
        <f t="shared" si="1479"/>
        <v>0</v>
      </c>
      <c r="AF1962" s="78" t="b">
        <f t="shared" si="1480"/>
        <v>0</v>
      </c>
      <c r="AG1962" s="78" t="b">
        <f t="shared" si="1481"/>
        <v>0</v>
      </c>
      <c r="AH1962" s="78" t="b">
        <f t="shared" si="1482"/>
        <v>0</v>
      </c>
      <c r="AI1962" s="78" t="b">
        <f t="shared" si="1483"/>
        <v>0</v>
      </c>
      <c r="AJ1962" s="78" t="b">
        <f t="shared" si="1484"/>
        <v>0</v>
      </c>
      <c r="AK1962" s="78" t="b">
        <f t="shared" si="1485"/>
        <v>0</v>
      </c>
      <c r="AL1962" s="78" t="b">
        <f t="shared" si="1486"/>
        <v>0</v>
      </c>
      <c r="AM1962" s="78" t="b">
        <f t="shared" si="1487"/>
        <v>0</v>
      </c>
      <c r="AN1962" s="78" t="b">
        <f t="shared" si="1488"/>
        <v>0</v>
      </c>
      <c r="AO1962" s="78" t="b">
        <f t="shared" si="1489"/>
        <v>0</v>
      </c>
    </row>
    <row r="1963" spans="7:41" x14ac:dyDescent="0.35">
      <c r="G1963" s="77">
        <f t="shared" si="1459"/>
        <v>0</v>
      </c>
      <c r="H1963" s="78">
        <f t="shared" si="1460"/>
        <v>0</v>
      </c>
      <c r="I1963" s="77">
        <f t="shared" si="1461"/>
        <v>0</v>
      </c>
      <c r="J1963" s="78">
        <f t="shared" si="1462"/>
        <v>0</v>
      </c>
      <c r="K1963" s="78" t="str">
        <f t="shared" si="1463"/>
        <v>1900-01-00 00:0:00</v>
      </c>
      <c r="L1963" s="78" t="str">
        <f t="shared" si="1464"/>
        <v>1900-01-00 00:0:00</v>
      </c>
      <c r="M1963" s="79">
        <f t="shared" si="1465"/>
        <v>0</v>
      </c>
      <c r="N1963">
        <f t="shared" si="1490"/>
        <v>1</v>
      </c>
      <c r="O1963" t="str">
        <f>IFERROR(_xlfn.XLOOKUP(A1963,HC!A:A,HC!C:C),"")</f>
        <v>Workforce</v>
      </c>
      <c r="R1963" s="78" t="b">
        <f t="shared" si="1466"/>
        <v>0</v>
      </c>
      <c r="S1963" s="78" t="b">
        <f t="shared" si="1467"/>
        <v>0</v>
      </c>
      <c r="T1963" s="78" t="b">
        <f t="shared" si="1468"/>
        <v>0</v>
      </c>
      <c r="U1963" s="78" t="b">
        <f t="shared" si="1469"/>
        <v>0</v>
      </c>
      <c r="V1963" s="78" t="b">
        <f t="shared" si="1470"/>
        <v>0</v>
      </c>
      <c r="W1963" s="78" t="b">
        <f t="shared" si="1471"/>
        <v>0</v>
      </c>
      <c r="X1963" s="78" t="b">
        <f t="shared" si="1472"/>
        <v>0</v>
      </c>
      <c r="Y1963" s="78" t="b">
        <f t="shared" si="1473"/>
        <v>0</v>
      </c>
      <c r="Z1963" s="78" t="b">
        <f t="shared" si="1474"/>
        <v>0</v>
      </c>
      <c r="AA1963" s="78" t="b">
        <f t="shared" si="1475"/>
        <v>0</v>
      </c>
      <c r="AB1963" s="78" t="b">
        <f t="shared" si="1476"/>
        <v>0</v>
      </c>
      <c r="AC1963" s="78" t="b">
        <f t="shared" si="1477"/>
        <v>0</v>
      </c>
      <c r="AD1963" s="78" t="b">
        <f t="shared" si="1478"/>
        <v>0</v>
      </c>
      <c r="AE1963" s="78" t="b">
        <f t="shared" si="1479"/>
        <v>0</v>
      </c>
      <c r="AF1963" s="78" t="b">
        <f t="shared" si="1480"/>
        <v>0</v>
      </c>
      <c r="AG1963" s="78" t="b">
        <f t="shared" si="1481"/>
        <v>0</v>
      </c>
      <c r="AH1963" s="78" t="b">
        <f t="shared" si="1482"/>
        <v>0</v>
      </c>
      <c r="AI1963" s="78" t="b">
        <f t="shared" si="1483"/>
        <v>0</v>
      </c>
      <c r="AJ1963" s="78" t="b">
        <f t="shared" si="1484"/>
        <v>0</v>
      </c>
      <c r="AK1963" s="78" t="b">
        <f t="shared" si="1485"/>
        <v>0</v>
      </c>
      <c r="AL1963" s="78" t="b">
        <f t="shared" si="1486"/>
        <v>0</v>
      </c>
      <c r="AM1963" s="78" t="b">
        <f t="shared" si="1487"/>
        <v>0</v>
      </c>
      <c r="AN1963" s="78" t="b">
        <f t="shared" si="1488"/>
        <v>0</v>
      </c>
      <c r="AO1963" s="78" t="b">
        <f t="shared" si="1489"/>
        <v>0</v>
      </c>
    </row>
    <row r="1964" spans="7:41" x14ac:dyDescent="0.35">
      <c r="G1964" s="77">
        <f t="shared" si="1459"/>
        <v>0</v>
      </c>
      <c r="H1964" s="78">
        <f t="shared" si="1460"/>
        <v>0</v>
      </c>
      <c r="I1964" s="77">
        <f t="shared" si="1461"/>
        <v>0</v>
      </c>
      <c r="J1964" s="78">
        <f t="shared" si="1462"/>
        <v>0</v>
      </c>
      <c r="K1964" s="78" t="str">
        <f t="shared" si="1463"/>
        <v>1900-01-00 00:0:00</v>
      </c>
      <c r="L1964" s="78" t="str">
        <f t="shared" si="1464"/>
        <v>1900-01-00 00:0:00</v>
      </c>
      <c r="M1964" s="79">
        <f t="shared" si="1465"/>
        <v>0</v>
      </c>
      <c r="N1964">
        <f t="shared" si="1490"/>
        <v>1</v>
      </c>
      <c r="O1964" t="str">
        <f>IFERROR(_xlfn.XLOOKUP(A1964,HC!A:A,HC!C:C),"")</f>
        <v>Workforce</v>
      </c>
      <c r="R1964" s="78" t="b">
        <f t="shared" si="1466"/>
        <v>0</v>
      </c>
      <c r="S1964" s="78" t="b">
        <f t="shared" si="1467"/>
        <v>0</v>
      </c>
      <c r="T1964" s="78" t="b">
        <f t="shared" si="1468"/>
        <v>0</v>
      </c>
      <c r="U1964" s="78" t="b">
        <f t="shared" si="1469"/>
        <v>0</v>
      </c>
      <c r="V1964" s="78" t="b">
        <f t="shared" si="1470"/>
        <v>0</v>
      </c>
      <c r="W1964" s="78" t="b">
        <f t="shared" si="1471"/>
        <v>0</v>
      </c>
      <c r="X1964" s="78" t="b">
        <f t="shared" si="1472"/>
        <v>0</v>
      </c>
      <c r="Y1964" s="78" t="b">
        <f t="shared" si="1473"/>
        <v>0</v>
      </c>
      <c r="Z1964" s="78" t="b">
        <f t="shared" si="1474"/>
        <v>0</v>
      </c>
      <c r="AA1964" s="78" t="b">
        <f t="shared" si="1475"/>
        <v>0</v>
      </c>
      <c r="AB1964" s="78" t="b">
        <f t="shared" si="1476"/>
        <v>0</v>
      </c>
      <c r="AC1964" s="78" t="b">
        <f t="shared" si="1477"/>
        <v>0</v>
      </c>
      <c r="AD1964" s="78" t="b">
        <f t="shared" si="1478"/>
        <v>0</v>
      </c>
      <c r="AE1964" s="78" t="b">
        <f t="shared" si="1479"/>
        <v>0</v>
      </c>
      <c r="AF1964" s="78" t="b">
        <f t="shared" si="1480"/>
        <v>0</v>
      </c>
      <c r="AG1964" s="78" t="b">
        <f t="shared" si="1481"/>
        <v>0</v>
      </c>
      <c r="AH1964" s="78" t="b">
        <f t="shared" si="1482"/>
        <v>0</v>
      </c>
      <c r="AI1964" s="78" t="b">
        <f t="shared" si="1483"/>
        <v>0</v>
      </c>
      <c r="AJ1964" s="78" t="b">
        <f t="shared" si="1484"/>
        <v>0</v>
      </c>
      <c r="AK1964" s="78" t="b">
        <f t="shared" si="1485"/>
        <v>0</v>
      </c>
      <c r="AL1964" s="78" t="b">
        <f t="shared" si="1486"/>
        <v>0</v>
      </c>
      <c r="AM1964" s="78" t="b">
        <f t="shared" si="1487"/>
        <v>0</v>
      </c>
      <c r="AN1964" s="78" t="b">
        <f t="shared" si="1488"/>
        <v>0</v>
      </c>
      <c r="AO1964" s="78" t="b">
        <f t="shared" si="1489"/>
        <v>0</v>
      </c>
    </row>
    <row r="1965" spans="7:41" x14ac:dyDescent="0.35">
      <c r="G1965" s="77">
        <f t="shared" si="1459"/>
        <v>0</v>
      </c>
      <c r="H1965" s="78">
        <f t="shared" si="1460"/>
        <v>0</v>
      </c>
      <c r="I1965" s="77">
        <f t="shared" si="1461"/>
        <v>0</v>
      </c>
      <c r="J1965" s="78">
        <f t="shared" si="1462"/>
        <v>0</v>
      </c>
      <c r="K1965" s="78" t="str">
        <f t="shared" si="1463"/>
        <v>1900-01-00 00:0:00</v>
      </c>
      <c r="L1965" s="78" t="str">
        <f t="shared" si="1464"/>
        <v>1900-01-00 00:0:00</v>
      </c>
      <c r="M1965" s="79">
        <f t="shared" si="1465"/>
        <v>0</v>
      </c>
      <c r="N1965">
        <f t="shared" si="1490"/>
        <v>1</v>
      </c>
      <c r="O1965" t="str">
        <f>IFERROR(_xlfn.XLOOKUP(A1965,HC!A:A,HC!C:C),"")</f>
        <v>Workforce</v>
      </c>
      <c r="R1965" s="78" t="b">
        <f t="shared" si="1466"/>
        <v>0</v>
      </c>
      <c r="S1965" s="78" t="b">
        <f t="shared" si="1467"/>
        <v>0</v>
      </c>
      <c r="T1965" s="78" t="b">
        <f t="shared" si="1468"/>
        <v>0</v>
      </c>
      <c r="U1965" s="78" t="b">
        <f t="shared" si="1469"/>
        <v>0</v>
      </c>
      <c r="V1965" s="78" t="b">
        <f t="shared" si="1470"/>
        <v>0</v>
      </c>
      <c r="W1965" s="78" t="b">
        <f t="shared" si="1471"/>
        <v>0</v>
      </c>
      <c r="X1965" s="78" t="b">
        <f t="shared" si="1472"/>
        <v>0</v>
      </c>
      <c r="Y1965" s="78" t="b">
        <f t="shared" si="1473"/>
        <v>0</v>
      </c>
      <c r="Z1965" s="78" t="b">
        <f t="shared" si="1474"/>
        <v>0</v>
      </c>
      <c r="AA1965" s="78" t="b">
        <f t="shared" si="1475"/>
        <v>0</v>
      </c>
      <c r="AB1965" s="78" t="b">
        <f t="shared" si="1476"/>
        <v>0</v>
      </c>
      <c r="AC1965" s="78" t="b">
        <f t="shared" si="1477"/>
        <v>0</v>
      </c>
      <c r="AD1965" s="78" t="b">
        <f t="shared" si="1478"/>
        <v>0</v>
      </c>
      <c r="AE1965" s="78" t="b">
        <f t="shared" si="1479"/>
        <v>0</v>
      </c>
      <c r="AF1965" s="78" t="b">
        <f t="shared" si="1480"/>
        <v>0</v>
      </c>
      <c r="AG1965" s="78" t="b">
        <f t="shared" si="1481"/>
        <v>0</v>
      </c>
      <c r="AH1965" s="78" t="b">
        <f t="shared" si="1482"/>
        <v>0</v>
      </c>
      <c r="AI1965" s="78" t="b">
        <f t="shared" si="1483"/>
        <v>0</v>
      </c>
      <c r="AJ1965" s="78" t="b">
        <f t="shared" si="1484"/>
        <v>0</v>
      </c>
      <c r="AK1965" s="78" t="b">
        <f t="shared" si="1485"/>
        <v>0</v>
      </c>
      <c r="AL1965" s="78" t="b">
        <f t="shared" si="1486"/>
        <v>0</v>
      </c>
      <c r="AM1965" s="78" t="b">
        <f t="shared" si="1487"/>
        <v>0</v>
      </c>
      <c r="AN1965" s="78" t="b">
        <f t="shared" si="1488"/>
        <v>0</v>
      </c>
      <c r="AO1965" s="78" t="b">
        <f t="shared" si="1489"/>
        <v>0</v>
      </c>
    </row>
    <row r="1966" spans="7:41" x14ac:dyDescent="0.35">
      <c r="G1966" s="77">
        <f t="shared" si="1459"/>
        <v>0</v>
      </c>
      <c r="H1966" s="78">
        <f t="shared" si="1460"/>
        <v>0</v>
      </c>
      <c r="I1966" s="77">
        <f t="shared" si="1461"/>
        <v>0</v>
      </c>
      <c r="J1966" s="78">
        <f t="shared" si="1462"/>
        <v>0</v>
      </c>
      <c r="K1966" s="78" t="str">
        <f t="shared" si="1463"/>
        <v>1900-01-00 00:0:00</v>
      </c>
      <c r="L1966" s="78" t="str">
        <f t="shared" si="1464"/>
        <v>1900-01-00 00:0:00</v>
      </c>
      <c r="M1966" s="79">
        <f t="shared" si="1465"/>
        <v>0</v>
      </c>
      <c r="N1966">
        <f t="shared" si="1490"/>
        <v>1</v>
      </c>
      <c r="O1966" t="str">
        <f>IFERROR(_xlfn.XLOOKUP(A1966,HC!A:A,HC!C:C),"")</f>
        <v>Workforce</v>
      </c>
      <c r="R1966" s="78" t="b">
        <f t="shared" si="1466"/>
        <v>0</v>
      </c>
      <c r="S1966" s="78" t="b">
        <f t="shared" si="1467"/>
        <v>0</v>
      </c>
      <c r="T1966" s="78" t="b">
        <f t="shared" si="1468"/>
        <v>0</v>
      </c>
      <c r="U1966" s="78" t="b">
        <f t="shared" si="1469"/>
        <v>0</v>
      </c>
      <c r="V1966" s="78" t="b">
        <f t="shared" si="1470"/>
        <v>0</v>
      </c>
      <c r="W1966" s="78" t="b">
        <f t="shared" si="1471"/>
        <v>0</v>
      </c>
      <c r="X1966" s="78" t="b">
        <f t="shared" si="1472"/>
        <v>0</v>
      </c>
      <c r="Y1966" s="78" t="b">
        <f t="shared" si="1473"/>
        <v>0</v>
      </c>
      <c r="Z1966" s="78" t="b">
        <f t="shared" si="1474"/>
        <v>0</v>
      </c>
      <c r="AA1966" s="78" t="b">
        <f t="shared" si="1475"/>
        <v>0</v>
      </c>
      <c r="AB1966" s="78" t="b">
        <f t="shared" si="1476"/>
        <v>0</v>
      </c>
      <c r="AC1966" s="78" t="b">
        <f t="shared" si="1477"/>
        <v>0</v>
      </c>
      <c r="AD1966" s="78" t="b">
        <f t="shared" si="1478"/>
        <v>0</v>
      </c>
      <c r="AE1966" s="78" t="b">
        <f t="shared" si="1479"/>
        <v>0</v>
      </c>
      <c r="AF1966" s="78" t="b">
        <f t="shared" si="1480"/>
        <v>0</v>
      </c>
      <c r="AG1966" s="78" t="b">
        <f t="shared" si="1481"/>
        <v>0</v>
      </c>
      <c r="AH1966" s="78" t="b">
        <f t="shared" si="1482"/>
        <v>0</v>
      </c>
      <c r="AI1966" s="78" t="b">
        <f t="shared" si="1483"/>
        <v>0</v>
      </c>
      <c r="AJ1966" s="78" t="b">
        <f t="shared" si="1484"/>
        <v>0</v>
      </c>
      <c r="AK1966" s="78" t="b">
        <f t="shared" si="1485"/>
        <v>0</v>
      </c>
      <c r="AL1966" s="78" t="b">
        <f t="shared" si="1486"/>
        <v>0</v>
      </c>
      <c r="AM1966" s="78" t="b">
        <f t="shared" si="1487"/>
        <v>0</v>
      </c>
      <c r="AN1966" s="78" t="b">
        <f t="shared" si="1488"/>
        <v>0</v>
      </c>
      <c r="AO1966" s="78" t="b">
        <f t="shared" si="1489"/>
        <v>0</v>
      </c>
    </row>
    <row r="1967" spans="7:41" x14ac:dyDescent="0.35">
      <c r="G1967" s="77">
        <f t="shared" si="1459"/>
        <v>0</v>
      </c>
      <c r="H1967" s="78">
        <f t="shared" si="1460"/>
        <v>0</v>
      </c>
      <c r="I1967" s="77">
        <f t="shared" si="1461"/>
        <v>0</v>
      </c>
      <c r="J1967" s="78">
        <f t="shared" si="1462"/>
        <v>0</v>
      </c>
      <c r="K1967" s="78" t="str">
        <f t="shared" si="1463"/>
        <v>1900-01-00 00:0:00</v>
      </c>
      <c r="L1967" s="78" t="str">
        <f t="shared" si="1464"/>
        <v>1900-01-00 00:0:00</v>
      </c>
      <c r="M1967" s="79">
        <f t="shared" si="1465"/>
        <v>0</v>
      </c>
      <c r="N1967">
        <f t="shared" si="1490"/>
        <v>1</v>
      </c>
      <c r="O1967" t="str">
        <f>IFERROR(_xlfn.XLOOKUP(A1967,HC!A:A,HC!C:C),"")</f>
        <v>Workforce</v>
      </c>
      <c r="R1967" s="78" t="b">
        <f t="shared" si="1466"/>
        <v>0</v>
      </c>
      <c r="S1967" s="78" t="b">
        <f t="shared" si="1467"/>
        <v>0</v>
      </c>
      <c r="T1967" s="78" t="b">
        <f t="shared" si="1468"/>
        <v>0</v>
      </c>
      <c r="U1967" s="78" t="b">
        <f t="shared" si="1469"/>
        <v>0</v>
      </c>
      <c r="V1967" s="78" t="b">
        <f t="shared" si="1470"/>
        <v>0</v>
      </c>
      <c r="W1967" s="78" t="b">
        <f t="shared" si="1471"/>
        <v>0</v>
      </c>
      <c r="X1967" s="78" t="b">
        <f t="shared" si="1472"/>
        <v>0</v>
      </c>
      <c r="Y1967" s="78" t="b">
        <f t="shared" si="1473"/>
        <v>0</v>
      </c>
      <c r="Z1967" s="78" t="b">
        <f t="shared" si="1474"/>
        <v>0</v>
      </c>
      <c r="AA1967" s="78" t="b">
        <f t="shared" si="1475"/>
        <v>0</v>
      </c>
      <c r="AB1967" s="78" t="b">
        <f t="shared" si="1476"/>
        <v>0</v>
      </c>
      <c r="AC1967" s="78" t="b">
        <f t="shared" si="1477"/>
        <v>0</v>
      </c>
      <c r="AD1967" s="78" t="b">
        <f t="shared" si="1478"/>
        <v>0</v>
      </c>
      <c r="AE1967" s="78" t="b">
        <f t="shared" si="1479"/>
        <v>0</v>
      </c>
      <c r="AF1967" s="78" t="b">
        <f t="shared" si="1480"/>
        <v>0</v>
      </c>
      <c r="AG1967" s="78" t="b">
        <f t="shared" si="1481"/>
        <v>0</v>
      </c>
      <c r="AH1967" s="78" t="b">
        <f t="shared" si="1482"/>
        <v>0</v>
      </c>
      <c r="AI1967" s="78" t="b">
        <f t="shared" si="1483"/>
        <v>0</v>
      </c>
      <c r="AJ1967" s="78" t="b">
        <f t="shared" si="1484"/>
        <v>0</v>
      </c>
      <c r="AK1967" s="78" t="b">
        <f t="shared" si="1485"/>
        <v>0</v>
      </c>
      <c r="AL1967" s="78" t="b">
        <f t="shared" si="1486"/>
        <v>0</v>
      </c>
      <c r="AM1967" s="78" t="b">
        <f t="shared" si="1487"/>
        <v>0</v>
      </c>
      <c r="AN1967" s="78" t="b">
        <f t="shared" si="1488"/>
        <v>0</v>
      </c>
      <c r="AO1967" s="78" t="b">
        <f t="shared" si="1489"/>
        <v>0</v>
      </c>
    </row>
    <row r="1968" spans="7:41" x14ac:dyDescent="0.35">
      <c r="G1968" s="77">
        <f t="shared" si="1459"/>
        <v>0</v>
      </c>
      <c r="H1968" s="78">
        <f t="shared" si="1460"/>
        <v>0</v>
      </c>
      <c r="I1968" s="77">
        <f t="shared" si="1461"/>
        <v>0</v>
      </c>
      <c r="J1968" s="78">
        <f t="shared" si="1462"/>
        <v>0</v>
      </c>
      <c r="K1968" s="78" t="str">
        <f t="shared" si="1463"/>
        <v>1900-01-00 00:0:00</v>
      </c>
      <c r="L1968" s="78" t="str">
        <f t="shared" si="1464"/>
        <v>1900-01-00 00:0:00</v>
      </c>
      <c r="M1968" s="79">
        <f t="shared" si="1465"/>
        <v>0</v>
      </c>
      <c r="N1968">
        <f t="shared" si="1490"/>
        <v>1</v>
      </c>
      <c r="O1968" t="str">
        <f>IFERROR(_xlfn.XLOOKUP(A1968,HC!A:A,HC!C:C),"")</f>
        <v>Workforce</v>
      </c>
      <c r="R1968" s="78" t="b">
        <f t="shared" si="1466"/>
        <v>0</v>
      </c>
      <c r="S1968" s="78" t="b">
        <f t="shared" si="1467"/>
        <v>0</v>
      </c>
      <c r="T1968" s="78" t="b">
        <f t="shared" si="1468"/>
        <v>0</v>
      </c>
      <c r="U1968" s="78" t="b">
        <f t="shared" si="1469"/>
        <v>0</v>
      </c>
      <c r="V1968" s="78" t="b">
        <f t="shared" si="1470"/>
        <v>0</v>
      </c>
      <c r="W1968" s="78" t="b">
        <f t="shared" si="1471"/>
        <v>0</v>
      </c>
      <c r="X1968" s="78" t="b">
        <f t="shared" si="1472"/>
        <v>0</v>
      </c>
      <c r="Y1968" s="78" t="b">
        <f t="shared" si="1473"/>
        <v>0</v>
      </c>
      <c r="Z1968" s="78" t="b">
        <f t="shared" si="1474"/>
        <v>0</v>
      </c>
      <c r="AA1968" s="78" t="b">
        <f t="shared" si="1475"/>
        <v>0</v>
      </c>
      <c r="AB1968" s="78" t="b">
        <f t="shared" si="1476"/>
        <v>0</v>
      </c>
      <c r="AC1968" s="78" t="b">
        <f t="shared" si="1477"/>
        <v>0</v>
      </c>
      <c r="AD1968" s="78" t="b">
        <f t="shared" si="1478"/>
        <v>0</v>
      </c>
      <c r="AE1968" s="78" t="b">
        <f t="shared" si="1479"/>
        <v>0</v>
      </c>
      <c r="AF1968" s="78" t="b">
        <f t="shared" si="1480"/>
        <v>0</v>
      </c>
      <c r="AG1968" s="78" t="b">
        <f t="shared" si="1481"/>
        <v>0</v>
      </c>
      <c r="AH1968" s="78" t="b">
        <f t="shared" si="1482"/>
        <v>0</v>
      </c>
      <c r="AI1968" s="78" t="b">
        <f t="shared" si="1483"/>
        <v>0</v>
      </c>
      <c r="AJ1968" s="78" t="b">
        <f t="shared" si="1484"/>
        <v>0</v>
      </c>
      <c r="AK1968" s="78" t="b">
        <f t="shared" si="1485"/>
        <v>0</v>
      </c>
      <c r="AL1968" s="78" t="b">
        <f t="shared" si="1486"/>
        <v>0</v>
      </c>
      <c r="AM1968" s="78" t="b">
        <f t="shared" si="1487"/>
        <v>0</v>
      </c>
      <c r="AN1968" s="78" t="b">
        <f t="shared" si="1488"/>
        <v>0</v>
      </c>
      <c r="AO1968" s="78" t="b">
        <f t="shared" si="1489"/>
        <v>0</v>
      </c>
    </row>
    <row r="1969" spans="7:41" x14ac:dyDescent="0.35">
      <c r="G1969" s="77">
        <f t="shared" si="1459"/>
        <v>0</v>
      </c>
      <c r="H1969" s="78">
        <f t="shared" si="1460"/>
        <v>0</v>
      </c>
      <c r="I1969" s="77">
        <f t="shared" si="1461"/>
        <v>0</v>
      </c>
      <c r="J1969" s="78">
        <f t="shared" si="1462"/>
        <v>0</v>
      </c>
      <c r="K1969" s="78" t="str">
        <f t="shared" si="1463"/>
        <v>1900-01-00 00:0:00</v>
      </c>
      <c r="L1969" s="78" t="str">
        <f t="shared" si="1464"/>
        <v>1900-01-00 00:0:00</v>
      </c>
      <c r="M1969" s="79">
        <f t="shared" si="1465"/>
        <v>0</v>
      </c>
      <c r="N1969">
        <f t="shared" si="1490"/>
        <v>1</v>
      </c>
      <c r="O1969" t="str">
        <f>IFERROR(_xlfn.XLOOKUP(A1969,HC!A:A,HC!C:C),"")</f>
        <v>Workforce</v>
      </c>
      <c r="R1969" s="78" t="b">
        <f t="shared" si="1466"/>
        <v>0</v>
      </c>
      <c r="S1969" s="78" t="b">
        <f t="shared" si="1467"/>
        <v>0</v>
      </c>
      <c r="T1969" s="78" t="b">
        <f t="shared" si="1468"/>
        <v>0</v>
      </c>
      <c r="U1969" s="78" t="b">
        <f t="shared" si="1469"/>
        <v>0</v>
      </c>
      <c r="V1969" s="78" t="b">
        <f t="shared" si="1470"/>
        <v>0</v>
      </c>
      <c r="W1969" s="78" t="b">
        <f t="shared" si="1471"/>
        <v>0</v>
      </c>
      <c r="X1969" s="78" t="b">
        <f t="shared" si="1472"/>
        <v>0</v>
      </c>
      <c r="Y1969" s="78" t="b">
        <f t="shared" si="1473"/>
        <v>0</v>
      </c>
      <c r="Z1969" s="78" t="b">
        <f t="shared" si="1474"/>
        <v>0</v>
      </c>
      <c r="AA1969" s="78" t="b">
        <f t="shared" si="1475"/>
        <v>0</v>
      </c>
      <c r="AB1969" s="78" t="b">
        <f t="shared" si="1476"/>
        <v>0</v>
      </c>
      <c r="AC1969" s="78" t="b">
        <f t="shared" si="1477"/>
        <v>0</v>
      </c>
      <c r="AD1969" s="78" t="b">
        <f t="shared" si="1478"/>
        <v>0</v>
      </c>
      <c r="AE1969" s="78" t="b">
        <f t="shared" si="1479"/>
        <v>0</v>
      </c>
      <c r="AF1969" s="78" t="b">
        <f t="shared" si="1480"/>
        <v>0</v>
      </c>
      <c r="AG1969" s="78" t="b">
        <f t="shared" si="1481"/>
        <v>0</v>
      </c>
      <c r="AH1969" s="78" t="b">
        <f t="shared" si="1482"/>
        <v>0</v>
      </c>
      <c r="AI1969" s="78" t="b">
        <f t="shared" si="1483"/>
        <v>0</v>
      </c>
      <c r="AJ1969" s="78" t="b">
        <f t="shared" si="1484"/>
        <v>0</v>
      </c>
      <c r="AK1969" s="78" t="b">
        <f t="shared" si="1485"/>
        <v>0</v>
      </c>
      <c r="AL1969" s="78" t="b">
        <f t="shared" si="1486"/>
        <v>0</v>
      </c>
      <c r="AM1969" s="78" t="b">
        <f t="shared" si="1487"/>
        <v>0</v>
      </c>
      <c r="AN1969" s="78" t="b">
        <f t="shared" si="1488"/>
        <v>0</v>
      </c>
      <c r="AO1969" s="78" t="b">
        <f t="shared" si="1489"/>
        <v>0</v>
      </c>
    </row>
    <row r="1970" spans="7:41" x14ac:dyDescent="0.35">
      <c r="G1970" s="77">
        <f t="shared" si="1459"/>
        <v>0</v>
      </c>
      <c r="H1970" s="78">
        <f t="shared" si="1460"/>
        <v>0</v>
      </c>
      <c r="I1970" s="77">
        <f t="shared" si="1461"/>
        <v>0</v>
      </c>
      <c r="J1970" s="78">
        <f t="shared" si="1462"/>
        <v>0</v>
      </c>
      <c r="K1970" s="78" t="str">
        <f t="shared" si="1463"/>
        <v>1900-01-00 00:0:00</v>
      </c>
      <c r="L1970" s="78" t="str">
        <f t="shared" si="1464"/>
        <v>1900-01-00 00:0:00</v>
      </c>
      <c r="M1970" s="79">
        <f t="shared" si="1465"/>
        <v>0</v>
      </c>
      <c r="N1970">
        <f t="shared" si="1490"/>
        <v>1</v>
      </c>
      <c r="O1970" t="str">
        <f>IFERROR(_xlfn.XLOOKUP(A1970,HC!A:A,HC!C:C),"")</f>
        <v>Workforce</v>
      </c>
      <c r="R1970" s="78" t="b">
        <f t="shared" si="1466"/>
        <v>0</v>
      </c>
      <c r="S1970" s="78" t="b">
        <f t="shared" si="1467"/>
        <v>0</v>
      </c>
      <c r="T1970" s="78" t="b">
        <f t="shared" si="1468"/>
        <v>0</v>
      </c>
      <c r="U1970" s="78" t="b">
        <f t="shared" si="1469"/>
        <v>0</v>
      </c>
      <c r="V1970" s="78" t="b">
        <f t="shared" si="1470"/>
        <v>0</v>
      </c>
      <c r="W1970" s="78" t="b">
        <f t="shared" si="1471"/>
        <v>0</v>
      </c>
      <c r="X1970" s="78" t="b">
        <f t="shared" si="1472"/>
        <v>0</v>
      </c>
      <c r="Y1970" s="78" t="b">
        <f t="shared" si="1473"/>
        <v>0</v>
      </c>
      <c r="Z1970" s="78" t="b">
        <f t="shared" si="1474"/>
        <v>0</v>
      </c>
      <c r="AA1970" s="78" t="b">
        <f t="shared" si="1475"/>
        <v>0</v>
      </c>
      <c r="AB1970" s="78" t="b">
        <f t="shared" si="1476"/>
        <v>0</v>
      </c>
      <c r="AC1970" s="78" t="b">
        <f t="shared" si="1477"/>
        <v>0</v>
      </c>
      <c r="AD1970" s="78" t="b">
        <f t="shared" si="1478"/>
        <v>0</v>
      </c>
      <c r="AE1970" s="78" t="b">
        <f t="shared" si="1479"/>
        <v>0</v>
      </c>
      <c r="AF1970" s="78" t="b">
        <f t="shared" si="1480"/>
        <v>0</v>
      </c>
      <c r="AG1970" s="78" t="b">
        <f t="shared" si="1481"/>
        <v>0</v>
      </c>
      <c r="AH1970" s="78" t="b">
        <f t="shared" si="1482"/>
        <v>0</v>
      </c>
      <c r="AI1970" s="78" t="b">
        <f t="shared" si="1483"/>
        <v>0</v>
      </c>
      <c r="AJ1970" s="78" t="b">
        <f t="shared" si="1484"/>
        <v>0</v>
      </c>
      <c r="AK1970" s="78" t="b">
        <f t="shared" si="1485"/>
        <v>0</v>
      </c>
      <c r="AL1970" s="78" t="b">
        <f t="shared" si="1486"/>
        <v>0</v>
      </c>
      <c r="AM1970" s="78" t="b">
        <f t="shared" si="1487"/>
        <v>0</v>
      </c>
      <c r="AN1970" s="78" t="b">
        <f t="shared" si="1488"/>
        <v>0</v>
      </c>
      <c r="AO1970" s="78" t="b">
        <f t="shared" si="1489"/>
        <v>0</v>
      </c>
    </row>
    <row r="1971" spans="7:41" x14ac:dyDescent="0.35">
      <c r="G1971" s="77">
        <f t="shared" si="1459"/>
        <v>0</v>
      </c>
      <c r="H1971" s="78">
        <f t="shared" si="1460"/>
        <v>0</v>
      </c>
      <c r="I1971" s="77">
        <f t="shared" si="1461"/>
        <v>0</v>
      </c>
      <c r="J1971" s="78">
        <f t="shared" si="1462"/>
        <v>0</v>
      </c>
      <c r="K1971" s="78" t="str">
        <f t="shared" si="1463"/>
        <v>1900-01-00 00:0:00</v>
      </c>
      <c r="L1971" s="78" t="str">
        <f t="shared" si="1464"/>
        <v>1900-01-00 00:0:00</v>
      </c>
      <c r="M1971" s="79">
        <f t="shared" si="1465"/>
        <v>0</v>
      </c>
      <c r="N1971">
        <f t="shared" si="1490"/>
        <v>1</v>
      </c>
      <c r="O1971" t="str">
        <f>IFERROR(_xlfn.XLOOKUP(A1971,HC!A:A,HC!C:C),"")</f>
        <v>Workforce</v>
      </c>
      <c r="R1971" s="78" t="b">
        <f t="shared" si="1466"/>
        <v>0</v>
      </c>
      <c r="S1971" s="78" t="b">
        <f t="shared" si="1467"/>
        <v>0</v>
      </c>
      <c r="T1971" s="78" t="b">
        <f t="shared" si="1468"/>
        <v>0</v>
      </c>
      <c r="U1971" s="78" t="b">
        <f t="shared" si="1469"/>
        <v>0</v>
      </c>
      <c r="V1971" s="78" t="b">
        <f t="shared" si="1470"/>
        <v>0</v>
      </c>
      <c r="W1971" s="78" t="b">
        <f t="shared" si="1471"/>
        <v>0</v>
      </c>
      <c r="X1971" s="78" t="b">
        <f t="shared" si="1472"/>
        <v>0</v>
      </c>
      <c r="Y1971" s="78" t="b">
        <f t="shared" si="1473"/>
        <v>0</v>
      </c>
      <c r="Z1971" s="78" t="b">
        <f t="shared" si="1474"/>
        <v>0</v>
      </c>
      <c r="AA1971" s="78" t="b">
        <f t="shared" si="1475"/>
        <v>0</v>
      </c>
      <c r="AB1971" s="78" t="b">
        <f t="shared" si="1476"/>
        <v>0</v>
      </c>
      <c r="AC1971" s="78" t="b">
        <f t="shared" si="1477"/>
        <v>0</v>
      </c>
      <c r="AD1971" s="78" t="b">
        <f t="shared" si="1478"/>
        <v>0</v>
      </c>
      <c r="AE1971" s="78" t="b">
        <f t="shared" si="1479"/>
        <v>0</v>
      </c>
      <c r="AF1971" s="78" t="b">
        <f t="shared" si="1480"/>
        <v>0</v>
      </c>
      <c r="AG1971" s="78" t="b">
        <f t="shared" si="1481"/>
        <v>0</v>
      </c>
      <c r="AH1971" s="78" t="b">
        <f t="shared" si="1482"/>
        <v>0</v>
      </c>
      <c r="AI1971" s="78" t="b">
        <f t="shared" si="1483"/>
        <v>0</v>
      </c>
      <c r="AJ1971" s="78" t="b">
        <f t="shared" si="1484"/>
        <v>0</v>
      </c>
      <c r="AK1971" s="78" t="b">
        <f t="shared" si="1485"/>
        <v>0</v>
      </c>
      <c r="AL1971" s="78" t="b">
        <f t="shared" si="1486"/>
        <v>0</v>
      </c>
      <c r="AM1971" s="78" t="b">
        <f t="shared" si="1487"/>
        <v>0</v>
      </c>
      <c r="AN1971" s="78" t="b">
        <f t="shared" si="1488"/>
        <v>0</v>
      </c>
      <c r="AO1971" s="78" t="b">
        <f t="shared" si="1489"/>
        <v>0</v>
      </c>
    </row>
    <row r="1972" spans="7:41" x14ac:dyDescent="0.35">
      <c r="G1972" s="77">
        <f t="shared" si="1459"/>
        <v>0</v>
      </c>
      <c r="H1972" s="78">
        <f t="shared" si="1460"/>
        <v>0</v>
      </c>
      <c r="I1972" s="77">
        <f t="shared" si="1461"/>
        <v>0</v>
      </c>
      <c r="J1972" s="78">
        <f t="shared" si="1462"/>
        <v>0</v>
      </c>
      <c r="K1972" s="78" t="str">
        <f t="shared" si="1463"/>
        <v>1900-01-00 00:0:00</v>
      </c>
      <c r="L1972" s="78" t="str">
        <f t="shared" si="1464"/>
        <v>1900-01-00 00:0:00</v>
      </c>
      <c r="M1972" s="79">
        <f t="shared" si="1465"/>
        <v>0</v>
      </c>
      <c r="N1972">
        <f t="shared" si="1490"/>
        <v>1</v>
      </c>
      <c r="O1972" t="str">
        <f>IFERROR(_xlfn.XLOOKUP(A1972,HC!A:A,HC!C:C),"")</f>
        <v>Workforce</v>
      </c>
      <c r="R1972" s="78" t="b">
        <f t="shared" si="1466"/>
        <v>0</v>
      </c>
      <c r="S1972" s="78" t="b">
        <f t="shared" si="1467"/>
        <v>0</v>
      </c>
      <c r="T1972" s="78" t="b">
        <f t="shared" si="1468"/>
        <v>0</v>
      </c>
      <c r="U1972" s="78" t="b">
        <f t="shared" si="1469"/>
        <v>0</v>
      </c>
      <c r="V1972" s="78" t="b">
        <f t="shared" si="1470"/>
        <v>0</v>
      </c>
      <c r="W1972" s="78" t="b">
        <f t="shared" si="1471"/>
        <v>0</v>
      </c>
      <c r="X1972" s="78" t="b">
        <f t="shared" si="1472"/>
        <v>0</v>
      </c>
      <c r="Y1972" s="78" t="b">
        <f t="shared" si="1473"/>
        <v>0</v>
      </c>
      <c r="Z1972" s="78" t="b">
        <f t="shared" si="1474"/>
        <v>0</v>
      </c>
      <c r="AA1972" s="78" t="b">
        <f t="shared" si="1475"/>
        <v>0</v>
      </c>
      <c r="AB1972" s="78" t="b">
        <f t="shared" si="1476"/>
        <v>0</v>
      </c>
      <c r="AC1972" s="78" t="b">
        <f t="shared" si="1477"/>
        <v>0</v>
      </c>
      <c r="AD1972" s="78" t="b">
        <f t="shared" si="1478"/>
        <v>0</v>
      </c>
      <c r="AE1972" s="78" t="b">
        <f t="shared" si="1479"/>
        <v>0</v>
      </c>
      <c r="AF1972" s="78" t="b">
        <f t="shared" si="1480"/>
        <v>0</v>
      </c>
      <c r="AG1972" s="78" t="b">
        <f t="shared" si="1481"/>
        <v>0</v>
      </c>
      <c r="AH1972" s="78" t="b">
        <f t="shared" si="1482"/>
        <v>0</v>
      </c>
      <c r="AI1972" s="78" t="b">
        <f t="shared" si="1483"/>
        <v>0</v>
      </c>
      <c r="AJ1972" s="78" t="b">
        <f t="shared" si="1484"/>
        <v>0</v>
      </c>
      <c r="AK1972" s="78" t="b">
        <f t="shared" si="1485"/>
        <v>0</v>
      </c>
      <c r="AL1972" s="78" t="b">
        <f t="shared" si="1486"/>
        <v>0</v>
      </c>
      <c r="AM1972" s="78" t="b">
        <f t="shared" si="1487"/>
        <v>0</v>
      </c>
      <c r="AN1972" s="78" t="b">
        <f t="shared" si="1488"/>
        <v>0</v>
      </c>
      <c r="AO1972" s="78" t="b">
        <f t="shared" si="1489"/>
        <v>0</v>
      </c>
    </row>
    <row r="1973" spans="7:41" x14ac:dyDescent="0.35">
      <c r="G1973" s="77">
        <f t="shared" si="1459"/>
        <v>0</v>
      </c>
      <c r="H1973" s="78">
        <f t="shared" si="1460"/>
        <v>0</v>
      </c>
      <c r="I1973" s="77">
        <f t="shared" si="1461"/>
        <v>0</v>
      </c>
      <c r="J1973" s="78">
        <f t="shared" si="1462"/>
        <v>0</v>
      </c>
      <c r="K1973" s="78" t="str">
        <f t="shared" si="1463"/>
        <v>1900-01-00 00:0:00</v>
      </c>
      <c r="L1973" s="78" t="str">
        <f t="shared" si="1464"/>
        <v>1900-01-00 00:0:00</v>
      </c>
      <c r="M1973" s="79">
        <f t="shared" si="1465"/>
        <v>0</v>
      </c>
      <c r="N1973">
        <f t="shared" si="1490"/>
        <v>1</v>
      </c>
      <c r="O1973" t="str">
        <f>IFERROR(_xlfn.XLOOKUP(A1973,HC!A:A,HC!C:C),"")</f>
        <v>Workforce</v>
      </c>
      <c r="R1973" s="78" t="b">
        <f t="shared" si="1466"/>
        <v>0</v>
      </c>
      <c r="S1973" s="78" t="b">
        <f t="shared" si="1467"/>
        <v>0</v>
      </c>
      <c r="T1973" s="78" t="b">
        <f t="shared" si="1468"/>
        <v>0</v>
      </c>
      <c r="U1973" s="78" t="b">
        <f t="shared" si="1469"/>
        <v>0</v>
      </c>
      <c r="V1973" s="78" t="b">
        <f t="shared" si="1470"/>
        <v>0</v>
      </c>
      <c r="W1973" s="78" t="b">
        <f t="shared" si="1471"/>
        <v>0</v>
      </c>
      <c r="X1973" s="78" t="b">
        <f t="shared" si="1472"/>
        <v>0</v>
      </c>
      <c r="Y1973" s="78" t="b">
        <f t="shared" si="1473"/>
        <v>0</v>
      </c>
      <c r="Z1973" s="78" t="b">
        <f t="shared" si="1474"/>
        <v>0</v>
      </c>
      <c r="AA1973" s="78" t="b">
        <f t="shared" si="1475"/>
        <v>0</v>
      </c>
      <c r="AB1973" s="78" t="b">
        <f t="shared" si="1476"/>
        <v>0</v>
      </c>
      <c r="AC1973" s="78" t="b">
        <f t="shared" si="1477"/>
        <v>0</v>
      </c>
      <c r="AD1973" s="78" t="b">
        <f t="shared" si="1478"/>
        <v>0</v>
      </c>
      <c r="AE1973" s="78" t="b">
        <f t="shared" si="1479"/>
        <v>0</v>
      </c>
      <c r="AF1973" s="78" t="b">
        <f t="shared" si="1480"/>
        <v>0</v>
      </c>
      <c r="AG1973" s="78" t="b">
        <f t="shared" si="1481"/>
        <v>0</v>
      </c>
      <c r="AH1973" s="78" t="b">
        <f t="shared" si="1482"/>
        <v>0</v>
      </c>
      <c r="AI1973" s="78" t="b">
        <f t="shared" si="1483"/>
        <v>0</v>
      </c>
      <c r="AJ1973" s="78" t="b">
        <f t="shared" si="1484"/>
        <v>0</v>
      </c>
      <c r="AK1973" s="78" t="b">
        <f t="shared" si="1485"/>
        <v>0</v>
      </c>
      <c r="AL1973" s="78" t="b">
        <f t="shared" si="1486"/>
        <v>0</v>
      </c>
      <c r="AM1973" s="78" t="b">
        <f t="shared" si="1487"/>
        <v>0</v>
      </c>
      <c r="AN1973" s="78" t="b">
        <f t="shared" si="1488"/>
        <v>0</v>
      </c>
      <c r="AO1973" s="78" t="b">
        <f t="shared" si="1489"/>
        <v>0</v>
      </c>
    </row>
    <row r="1974" spans="7:41" x14ac:dyDescent="0.35">
      <c r="G1974" s="77">
        <f t="shared" si="1459"/>
        <v>0</v>
      </c>
      <c r="H1974" s="78">
        <f t="shared" si="1460"/>
        <v>0</v>
      </c>
      <c r="I1974" s="77">
        <f t="shared" si="1461"/>
        <v>0</v>
      </c>
      <c r="J1974" s="78">
        <f t="shared" si="1462"/>
        <v>0</v>
      </c>
      <c r="K1974" s="78" t="str">
        <f t="shared" si="1463"/>
        <v>1900-01-00 00:0:00</v>
      </c>
      <c r="L1974" s="78" t="str">
        <f t="shared" si="1464"/>
        <v>1900-01-00 00:0:00</v>
      </c>
      <c r="M1974" s="79">
        <f t="shared" si="1465"/>
        <v>0</v>
      </c>
      <c r="N1974">
        <f t="shared" si="1490"/>
        <v>1</v>
      </c>
      <c r="O1974" t="str">
        <f>IFERROR(_xlfn.XLOOKUP(A1974,HC!A:A,HC!C:C),"")</f>
        <v>Workforce</v>
      </c>
      <c r="R1974" s="78" t="b">
        <f t="shared" si="1466"/>
        <v>0</v>
      </c>
      <c r="S1974" s="78" t="b">
        <f t="shared" si="1467"/>
        <v>0</v>
      </c>
      <c r="T1974" s="78" t="b">
        <f t="shared" si="1468"/>
        <v>0</v>
      </c>
      <c r="U1974" s="78" t="b">
        <f t="shared" si="1469"/>
        <v>0</v>
      </c>
      <c r="V1974" s="78" t="b">
        <f t="shared" si="1470"/>
        <v>0</v>
      </c>
      <c r="W1974" s="78" t="b">
        <f t="shared" si="1471"/>
        <v>0</v>
      </c>
      <c r="X1974" s="78" t="b">
        <f t="shared" si="1472"/>
        <v>0</v>
      </c>
      <c r="Y1974" s="78" t="b">
        <f t="shared" si="1473"/>
        <v>0</v>
      </c>
      <c r="Z1974" s="78" t="b">
        <f t="shared" si="1474"/>
        <v>0</v>
      </c>
      <c r="AA1974" s="78" t="b">
        <f t="shared" si="1475"/>
        <v>0</v>
      </c>
      <c r="AB1974" s="78" t="b">
        <f t="shared" si="1476"/>
        <v>0</v>
      </c>
      <c r="AC1974" s="78" t="b">
        <f t="shared" si="1477"/>
        <v>0</v>
      </c>
      <c r="AD1974" s="78" t="b">
        <f t="shared" si="1478"/>
        <v>0</v>
      </c>
      <c r="AE1974" s="78" t="b">
        <f t="shared" si="1479"/>
        <v>0</v>
      </c>
      <c r="AF1974" s="78" t="b">
        <f t="shared" si="1480"/>
        <v>0</v>
      </c>
      <c r="AG1974" s="78" t="b">
        <f t="shared" si="1481"/>
        <v>0</v>
      </c>
      <c r="AH1974" s="78" t="b">
        <f t="shared" si="1482"/>
        <v>0</v>
      </c>
      <c r="AI1974" s="78" t="b">
        <f t="shared" si="1483"/>
        <v>0</v>
      </c>
      <c r="AJ1974" s="78" t="b">
        <f t="shared" si="1484"/>
        <v>0</v>
      </c>
      <c r="AK1974" s="78" t="b">
        <f t="shared" si="1485"/>
        <v>0</v>
      </c>
      <c r="AL1974" s="78" t="b">
        <f t="shared" si="1486"/>
        <v>0</v>
      </c>
      <c r="AM1974" s="78" t="b">
        <f t="shared" si="1487"/>
        <v>0</v>
      </c>
      <c r="AN1974" s="78" t="b">
        <f t="shared" si="1488"/>
        <v>0</v>
      </c>
      <c r="AO1974" s="78" t="b">
        <f t="shared" si="1489"/>
        <v>0</v>
      </c>
    </row>
    <row r="1975" spans="7:41" x14ac:dyDescent="0.35">
      <c r="G1975" s="77">
        <f t="shared" si="1459"/>
        <v>0</v>
      </c>
      <c r="H1975" s="78">
        <f t="shared" si="1460"/>
        <v>0</v>
      </c>
      <c r="I1975" s="77">
        <f t="shared" si="1461"/>
        <v>0</v>
      </c>
      <c r="J1975" s="78">
        <f t="shared" si="1462"/>
        <v>0</v>
      </c>
      <c r="K1975" s="78" t="str">
        <f t="shared" si="1463"/>
        <v>1900-01-00 00:0:00</v>
      </c>
      <c r="L1975" s="78" t="str">
        <f t="shared" si="1464"/>
        <v>1900-01-00 00:0:00</v>
      </c>
      <c r="M1975" s="79">
        <f t="shared" si="1465"/>
        <v>0</v>
      </c>
      <c r="N1975">
        <f t="shared" si="1490"/>
        <v>1</v>
      </c>
      <c r="O1975" t="str">
        <f>IFERROR(_xlfn.XLOOKUP(A1975,HC!A:A,HC!C:C),"")</f>
        <v>Workforce</v>
      </c>
      <c r="R1975" s="78" t="b">
        <f t="shared" si="1466"/>
        <v>0</v>
      </c>
      <c r="S1975" s="78" t="b">
        <f t="shared" si="1467"/>
        <v>0</v>
      </c>
      <c r="T1975" s="78" t="b">
        <f t="shared" si="1468"/>
        <v>0</v>
      </c>
      <c r="U1975" s="78" t="b">
        <f t="shared" si="1469"/>
        <v>0</v>
      </c>
      <c r="V1975" s="78" t="b">
        <f t="shared" si="1470"/>
        <v>0</v>
      </c>
      <c r="W1975" s="78" t="b">
        <f t="shared" si="1471"/>
        <v>0</v>
      </c>
      <c r="X1975" s="78" t="b">
        <f t="shared" si="1472"/>
        <v>0</v>
      </c>
      <c r="Y1975" s="78" t="b">
        <f t="shared" si="1473"/>
        <v>0</v>
      </c>
      <c r="Z1975" s="78" t="b">
        <f t="shared" si="1474"/>
        <v>0</v>
      </c>
      <c r="AA1975" s="78" t="b">
        <f t="shared" si="1475"/>
        <v>0</v>
      </c>
      <c r="AB1975" s="78" t="b">
        <f t="shared" si="1476"/>
        <v>0</v>
      </c>
      <c r="AC1975" s="78" t="b">
        <f t="shared" si="1477"/>
        <v>0</v>
      </c>
      <c r="AD1975" s="78" t="b">
        <f t="shared" si="1478"/>
        <v>0</v>
      </c>
      <c r="AE1975" s="78" t="b">
        <f t="shared" si="1479"/>
        <v>0</v>
      </c>
      <c r="AF1975" s="78" t="b">
        <f t="shared" si="1480"/>
        <v>0</v>
      </c>
      <c r="AG1975" s="78" t="b">
        <f t="shared" si="1481"/>
        <v>0</v>
      </c>
      <c r="AH1975" s="78" t="b">
        <f t="shared" si="1482"/>
        <v>0</v>
      </c>
      <c r="AI1975" s="78" t="b">
        <f t="shared" si="1483"/>
        <v>0</v>
      </c>
      <c r="AJ1975" s="78" t="b">
        <f t="shared" si="1484"/>
        <v>0</v>
      </c>
      <c r="AK1975" s="78" t="b">
        <f t="shared" si="1485"/>
        <v>0</v>
      </c>
      <c r="AL1975" s="78" t="b">
        <f t="shared" si="1486"/>
        <v>0</v>
      </c>
      <c r="AM1975" s="78" t="b">
        <f t="shared" si="1487"/>
        <v>0</v>
      </c>
      <c r="AN1975" s="78" t="b">
        <f t="shared" si="1488"/>
        <v>0</v>
      </c>
      <c r="AO1975" s="78" t="b">
        <f t="shared" si="1489"/>
        <v>0</v>
      </c>
    </row>
    <row r="1976" spans="7:41" x14ac:dyDescent="0.35">
      <c r="G1976" s="77">
        <f t="shared" si="1459"/>
        <v>0</v>
      </c>
      <c r="H1976" s="78">
        <f t="shared" si="1460"/>
        <v>0</v>
      </c>
      <c r="I1976" s="77">
        <f t="shared" si="1461"/>
        <v>0</v>
      </c>
      <c r="J1976" s="78">
        <f t="shared" si="1462"/>
        <v>0</v>
      </c>
      <c r="K1976" s="78" t="str">
        <f t="shared" si="1463"/>
        <v>1900-01-00 00:0:00</v>
      </c>
      <c r="L1976" s="78" t="str">
        <f t="shared" si="1464"/>
        <v>1900-01-00 00:0:00</v>
      </c>
      <c r="M1976" s="79">
        <f t="shared" si="1465"/>
        <v>0</v>
      </c>
      <c r="N1976">
        <f t="shared" si="1490"/>
        <v>1</v>
      </c>
      <c r="O1976" t="str">
        <f>IFERROR(_xlfn.XLOOKUP(A1976,HC!A:A,HC!C:C),"")</f>
        <v>Workforce</v>
      </c>
      <c r="R1976" s="78" t="b">
        <f t="shared" si="1466"/>
        <v>0</v>
      </c>
      <c r="S1976" s="78" t="b">
        <f t="shared" si="1467"/>
        <v>0</v>
      </c>
      <c r="T1976" s="78" t="b">
        <f t="shared" si="1468"/>
        <v>0</v>
      </c>
      <c r="U1976" s="78" t="b">
        <f t="shared" si="1469"/>
        <v>0</v>
      </c>
      <c r="V1976" s="78" t="b">
        <f t="shared" si="1470"/>
        <v>0</v>
      </c>
      <c r="W1976" s="78" t="b">
        <f t="shared" si="1471"/>
        <v>0</v>
      </c>
      <c r="X1976" s="78" t="b">
        <f t="shared" si="1472"/>
        <v>0</v>
      </c>
      <c r="Y1976" s="78" t="b">
        <f t="shared" si="1473"/>
        <v>0</v>
      </c>
      <c r="Z1976" s="78" t="b">
        <f t="shared" si="1474"/>
        <v>0</v>
      </c>
      <c r="AA1976" s="78" t="b">
        <f t="shared" si="1475"/>
        <v>0</v>
      </c>
      <c r="AB1976" s="78" t="b">
        <f t="shared" si="1476"/>
        <v>0</v>
      </c>
      <c r="AC1976" s="78" t="b">
        <f t="shared" si="1477"/>
        <v>0</v>
      </c>
      <c r="AD1976" s="78" t="b">
        <f t="shared" si="1478"/>
        <v>0</v>
      </c>
      <c r="AE1976" s="78" t="b">
        <f t="shared" si="1479"/>
        <v>0</v>
      </c>
      <c r="AF1976" s="78" t="b">
        <f t="shared" si="1480"/>
        <v>0</v>
      </c>
      <c r="AG1976" s="78" t="b">
        <f t="shared" si="1481"/>
        <v>0</v>
      </c>
      <c r="AH1976" s="78" t="b">
        <f t="shared" si="1482"/>
        <v>0</v>
      </c>
      <c r="AI1976" s="78" t="b">
        <f t="shared" si="1483"/>
        <v>0</v>
      </c>
      <c r="AJ1976" s="78" t="b">
        <f t="shared" si="1484"/>
        <v>0</v>
      </c>
      <c r="AK1976" s="78" t="b">
        <f t="shared" si="1485"/>
        <v>0</v>
      </c>
      <c r="AL1976" s="78" t="b">
        <f t="shared" si="1486"/>
        <v>0</v>
      </c>
      <c r="AM1976" s="78" t="b">
        <f t="shared" si="1487"/>
        <v>0</v>
      </c>
      <c r="AN1976" s="78" t="b">
        <f t="shared" si="1488"/>
        <v>0</v>
      </c>
      <c r="AO1976" s="78" t="b">
        <f t="shared" si="1489"/>
        <v>0</v>
      </c>
    </row>
    <row r="1977" spans="7:41" x14ac:dyDescent="0.35">
      <c r="G1977" s="77">
        <f t="shared" si="1459"/>
        <v>0</v>
      </c>
      <c r="H1977" s="78">
        <f t="shared" si="1460"/>
        <v>0</v>
      </c>
      <c r="I1977" s="77">
        <f t="shared" si="1461"/>
        <v>0</v>
      </c>
      <c r="J1977" s="78">
        <f t="shared" si="1462"/>
        <v>0</v>
      </c>
      <c r="K1977" s="78" t="str">
        <f t="shared" si="1463"/>
        <v>1900-01-00 00:0:00</v>
      </c>
      <c r="L1977" s="78" t="str">
        <f t="shared" si="1464"/>
        <v>1900-01-00 00:0:00</v>
      </c>
      <c r="M1977" s="79">
        <f t="shared" si="1465"/>
        <v>0</v>
      </c>
      <c r="N1977">
        <f t="shared" si="1490"/>
        <v>1</v>
      </c>
      <c r="O1977" t="str">
        <f>IFERROR(_xlfn.XLOOKUP(A1977,HC!A:A,HC!C:C),"")</f>
        <v>Workforce</v>
      </c>
      <c r="R1977" s="78" t="b">
        <f t="shared" si="1466"/>
        <v>0</v>
      </c>
      <c r="S1977" s="78" t="b">
        <f t="shared" si="1467"/>
        <v>0</v>
      </c>
      <c r="T1977" s="78" t="b">
        <f t="shared" si="1468"/>
        <v>0</v>
      </c>
      <c r="U1977" s="78" t="b">
        <f t="shared" si="1469"/>
        <v>0</v>
      </c>
      <c r="V1977" s="78" t="b">
        <f t="shared" si="1470"/>
        <v>0</v>
      </c>
      <c r="W1977" s="78" t="b">
        <f t="shared" si="1471"/>
        <v>0</v>
      </c>
      <c r="X1977" s="78" t="b">
        <f t="shared" si="1472"/>
        <v>0</v>
      </c>
      <c r="Y1977" s="78" t="b">
        <f t="shared" si="1473"/>
        <v>0</v>
      </c>
      <c r="Z1977" s="78" t="b">
        <f t="shared" si="1474"/>
        <v>0</v>
      </c>
      <c r="AA1977" s="78" t="b">
        <f t="shared" si="1475"/>
        <v>0</v>
      </c>
      <c r="AB1977" s="78" t="b">
        <f t="shared" si="1476"/>
        <v>0</v>
      </c>
      <c r="AC1977" s="78" t="b">
        <f t="shared" si="1477"/>
        <v>0</v>
      </c>
      <c r="AD1977" s="78" t="b">
        <f t="shared" si="1478"/>
        <v>0</v>
      </c>
      <c r="AE1977" s="78" t="b">
        <f t="shared" si="1479"/>
        <v>0</v>
      </c>
      <c r="AF1977" s="78" t="b">
        <f t="shared" si="1480"/>
        <v>0</v>
      </c>
      <c r="AG1977" s="78" t="b">
        <f t="shared" si="1481"/>
        <v>0</v>
      </c>
      <c r="AH1977" s="78" t="b">
        <f t="shared" si="1482"/>
        <v>0</v>
      </c>
      <c r="AI1977" s="78" t="b">
        <f t="shared" si="1483"/>
        <v>0</v>
      </c>
      <c r="AJ1977" s="78" t="b">
        <f t="shared" si="1484"/>
        <v>0</v>
      </c>
      <c r="AK1977" s="78" t="b">
        <f t="shared" si="1485"/>
        <v>0</v>
      </c>
      <c r="AL1977" s="78" t="b">
        <f t="shared" si="1486"/>
        <v>0</v>
      </c>
      <c r="AM1977" s="78" t="b">
        <f t="shared" si="1487"/>
        <v>0</v>
      </c>
      <c r="AN1977" s="78" t="b">
        <f t="shared" si="1488"/>
        <v>0</v>
      </c>
      <c r="AO1977" s="78" t="b">
        <f t="shared" si="1489"/>
        <v>0</v>
      </c>
    </row>
    <row r="1978" spans="7:41" x14ac:dyDescent="0.35">
      <c r="G1978" s="77">
        <f t="shared" ref="G1978:G2003" si="1491">INT(D1978)</f>
        <v>0</v>
      </c>
      <c r="H1978" s="78">
        <f t="shared" ref="H1978:H2003" si="1492">D1978-G1978</f>
        <v>0</v>
      </c>
      <c r="I1978" s="77">
        <f t="shared" ref="I1978:I2003" si="1493">INT(E1978)</f>
        <v>0</v>
      </c>
      <c r="J1978" s="78">
        <f t="shared" ref="J1978:J2003" si="1494">E1978-I1978</f>
        <v>0</v>
      </c>
      <c r="K1978" s="78" t="str">
        <f t="shared" ref="K1978:K2003" si="1495">TEXT(G1978+H1978,"yyyy-mm-dd hh:m:ss")</f>
        <v>1900-01-00 00:0:00</v>
      </c>
      <c r="L1978" s="78" t="str">
        <f t="shared" ref="L1978:L2003" si="1496">TEXT(I1978+J1978,"yyyy-mm-dd hh:m:ss")</f>
        <v>1900-01-00 00:0:00</v>
      </c>
      <c r="M1978" s="79">
        <f t="shared" ref="M1978:M2003" si="1497">E1978-D1978</f>
        <v>0</v>
      </c>
      <c r="N1978">
        <f t="shared" si="1490"/>
        <v>1</v>
      </c>
      <c r="O1978" t="str">
        <f>IFERROR(_xlfn.XLOOKUP(A1978,HC!A:A,HC!C:C),"")</f>
        <v>Workforce</v>
      </c>
      <c r="R1978" s="78" t="b">
        <f t="shared" si="1466"/>
        <v>0</v>
      </c>
      <c r="S1978" s="78" t="b">
        <f t="shared" si="1467"/>
        <v>0</v>
      </c>
      <c r="T1978" s="78" t="b">
        <f t="shared" si="1468"/>
        <v>0</v>
      </c>
      <c r="U1978" s="78" t="b">
        <f t="shared" si="1469"/>
        <v>0</v>
      </c>
      <c r="V1978" s="78" t="b">
        <f t="shared" si="1470"/>
        <v>0</v>
      </c>
      <c r="W1978" s="78" t="b">
        <f t="shared" si="1471"/>
        <v>0</v>
      </c>
      <c r="X1978" s="78" t="b">
        <f t="shared" si="1472"/>
        <v>0</v>
      </c>
      <c r="Y1978" s="78" t="b">
        <f t="shared" si="1473"/>
        <v>0</v>
      </c>
      <c r="Z1978" s="78" t="b">
        <f t="shared" si="1474"/>
        <v>0</v>
      </c>
      <c r="AA1978" s="78" t="b">
        <f t="shared" si="1475"/>
        <v>0</v>
      </c>
      <c r="AB1978" s="78" t="b">
        <f t="shared" si="1476"/>
        <v>0</v>
      </c>
      <c r="AC1978" s="78" t="b">
        <f t="shared" si="1477"/>
        <v>0</v>
      </c>
      <c r="AD1978" s="78" t="b">
        <f t="shared" si="1478"/>
        <v>0</v>
      </c>
      <c r="AE1978" s="78" t="b">
        <f t="shared" si="1479"/>
        <v>0</v>
      </c>
      <c r="AF1978" s="78" t="b">
        <f t="shared" si="1480"/>
        <v>0</v>
      </c>
      <c r="AG1978" s="78" t="b">
        <f t="shared" si="1481"/>
        <v>0</v>
      </c>
      <c r="AH1978" s="78" t="b">
        <f t="shared" si="1482"/>
        <v>0</v>
      </c>
      <c r="AI1978" s="78" t="b">
        <f t="shared" si="1483"/>
        <v>0</v>
      </c>
      <c r="AJ1978" s="78" t="b">
        <f t="shared" si="1484"/>
        <v>0</v>
      </c>
      <c r="AK1978" s="78" t="b">
        <f t="shared" si="1485"/>
        <v>0</v>
      </c>
      <c r="AL1978" s="78" t="b">
        <f t="shared" si="1486"/>
        <v>0</v>
      </c>
      <c r="AM1978" s="78" t="b">
        <f t="shared" si="1487"/>
        <v>0</v>
      </c>
      <c r="AN1978" s="78" t="b">
        <f t="shared" si="1488"/>
        <v>0</v>
      </c>
      <c r="AO1978" s="78" t="b">
        <f t="shared" si="1489"/>
        <v>0</v>
      </c>
    </row>
    <row r="1979" spans="7:41" x14ac:dyDescent="0.35">
      <c r="G1979" s="77">
        <f t="shared" si="1491"/>
        <v>0</v>
      </c>
      <c r="H1979" s="78">
        <f t="shared" si="1492"/>
        <v>0</v>
      </c>
      <c r="I1979" s="77">
        <f t="shared" si="1493"/>
        <v>0</v>
      </c>
      <c r="J1979" s="78">
        <f t="shared" si="1494"/>
        <v>0</v>
      </c>
      <c r="K1979" s="78" t="str">
        <f t="shared" si="1495"/>
        <v>1900-01-00 00:0:00</v>
      </c>
      <c r="L1979" s="78" t="str">
        <f t="shared" si="1496"/>
        <v>1900-01-00 00:0:00</v>
      </c>
      <c r="M1979" s="79">
        <f t="shared" si="1497"/>
        <v>0</v>
      </c>
      <c r="N1979">
        <f t="shared" si="1490"/>
        <v>1</v>
      </c>
      <c r="O1979" t="str">
        <f>IFERROR(_xlfn.XLOOKUP(A1979,HC!A:A,HC!C:C),"")</f>
        <v>Workforce</v>
      </c>
      <c r="R1979" s="78" t="b">
        <f t="shared" si="1466"/>
        <v>0</v>
      </c>
      <c r="S1979" s="78" t="b">
        <f t="shared" si="1467"/>
        <v>0</v>
      </c>
      <c r="T1979" s="78" t="b">
        <f t="shared" si="1468"/>
        <v>0</v>
      </c>
      <c r="U1979" s="78" t="b">
        <f t="shared" si="1469"/>
        <v>0</v>
      </c>
      <c r="V1979" s="78" t="b">
        <f t="shared" si="1470"/>
        <v>0</v>
      </c>
      <c r="W1979" s="78" t="b">
        <f t="shared" si="1471"/>
        <v>0</v>
      </c>
      <c r="X1979" s="78" t="b">
        <f t="shared" si="1472"/>
        <v>0</v>
      </c>
      <c r="Y1979" s="78" t="b">
        <f t="shared" si="1473"/>
        <v>0</v>
      </c>
      <c r="Z1979" s="78" t="b">
        <f t="shared" si="1474"/>
        <v>0</v>
      </c>
      <c r="AA1979" s="78" t="b">
        <f t="shared" si="1475"/>
        <v>0</v>
      </c>
      <c r="AB1979" s="78" t="b">
        <f t="shared" si="1476"/>
        <v>0</v>
      </c>
      <c r="AC1979" s="78" t="b">
        <f t="shared" si="1477"/>
        <v>0</v>
      </c>
      <c r="AD1979" s="78" t="b">
        <f t="shared" si="1478"/>
        <v>0</v>
      </c>
      <c r="AE1979" s="78" t="b">
        <f t="shared" si="1479"/>
        <v>0</v>
      </c>
      <c r="AF1979" s="78" t="b">
        <f t="shared" si="1480"/>
        <v>0</v>
      </c>
      <c r="AG1979" s="78" t="b">
        <f t="shared" si="1481"/>
        <v>0</v>
      </c>
      <c r="AH1979" s="78" t="b">
        <f t="shared" si="1482"/>
        <v>0</v>
      </c>
      <c r="AI1979" s="78" t="b">
        <f t="shared" si="1483"/>
        <v>0</v>
      </c>
      <c r="AJ1979" s="78" t="b">
        <f t="shared" si="1484"/>
        <v>0</v>
      </c>
      <c r="AK1979" s="78" t="b">
        <f t="shared" si="1485"/>
        <v>0</v>
      </c>
      <c r="AL1979" s="78" t="b">
        <f t="shared" si="1486"/>
        <v>0</v>
      </c>
      <c r="AM1979" s="78" t="b">
        <f t="shared" si="1487"/>
        <v>0</v>
      </c>
      <c r="AN1979" s="78" t="b">
        <f t="shared" si="1488"/>
        <v>0</v>
      </c>
      <c r="AO1979" s="78" t="b">
        <f t="shared" si="1489"/>
        <v>0</v>
      </c>
    </row>
    <row r="1980" spans="7:41" x14ac:dyDescent="0.35">
      <c r="G1980" s="77">
        <f t="shared" si="1491"/>
        <v>0</v>
      </c>
      <c r="H1980" s="78">
        <f t="shared" si="1492"/>
        <v>0</v>
      </c>
      <c r="I1980" s="77">
        <f t="shared" si="1493"/>
        <v>0</v>
      </c>
      <c r="J1980" s="78">
        <f t="shared" si="1494"/>
        <v>0</v>
      </c>
      <c r="K1980" s="78" t="str">
        <f t="shared" si="1495"/>
        <v>1900-01-00 00:0:00</v>
      </c>
      <c r="L1980" s="78" t="str">
        <f t="shared" si="1496"/>
        <v>1900-01-00 00:0:00</v>
      </c>
      <c r="M1980" s="79">
        <f t="shared" si="1497"/>
        <v>0</v>
      </c>
      <c r="N1980">
        <f t="shared" si="1490"/>
        <v>1</v>
      </c>
      <c r="O1980" t="str">
        <f>IFERROR(_xlfn.XLOOKUP(A1980,HC!A:A,HC!C:C),"")</f>
        <v>Workforce</v>
      </c>
      <c r="R1980" s="78" t="b">
        <f t="shared" ref="R1980:R2003" si="1498">IFERROR(IF($B1980=$D$1,IF(AND($K1980&lt;R$1,$L1980&lt;R$1),"",IF(AND($K1980&gt;S$1,$L1980&gt;S$1),"",IF(AND($K1980&lt;R$1,$L1980&lt;=S$1),$L1980-R$1,IF(AND($K1980&gt;=R$1,$L1980&gt;S$1),S$1-$K1980,IF(AND($K1980&gt;=R$1,$L1980&lt;=S$1),$L1980-$K1980,IF(AND($K1980&lt;R$1,$L1980&gt;S$1),S$1-R$1,""))))))),"")</f>
        <v>0</v>
      </c>
      <c r="S1980" s="78" t="b">
        <f t="shared" ref="S1980:S2003" si="1499">IFERROR(IF($B1980=$D$1,IF(AND($K1980&lt;S$1,$L1980&lt;S$1),"",IF(AND($K1980&gt;T$1,$L1980&gt;T$1),"",IF(AND($K1980&lt;S$1,$L1980&lt;=T$1),$L1980-S$1,IF(AND($K1980&gt;=S$1,$L1980&gt;T$1),T$1-$K1980,IF(AND($K1980&gt;=S$1,$L1980&lt;=T$1),$L1980-$K1980,IF(AND($K1980&lt;S$1,$L1980&gt;T$1),T$1-S$1,""))))))),"")</f>
        <v>0</v>
      </c>
      <c r="T1980" s="78" t="b">
        <f t="shared" ref="T1980:T2003" si="1500">IFERROR(IF($B1980=$D$1,IF(AND($K1980&lt;T$1,$L1980&lt;T$1),"",IF(AND($K1980&gt;U$1,$L1980&gt;U$1),"",IF(AND($K1980&lt;T$1,$L1980&lt;=U$1),$L1980-T$1,IF(AND($K1980&gt;=T$1,$L1980&gt;U$1),U$1-$K1980,IF(AND($K1980&gt;=T$1,$L1980&lt;=U$1),$L1980-$K1980,IF(AND($K1980&lt;T$1,$L1980&gt;U$1),U$1-T$1,""))))))),"")</f>
        <v>0</v>
      </c>
      <c r="U1980" s="78" t="b">
        <f t="shared" ref="U1980:U2003" si="1501">IFERROR(IF($B1980=$D$1,IF(AND($K1980&lt;U$1,$L1980&lt;U$1),"",IF(AND($K1980&gt;V$1,$L1980&gt;V$1),"",IF(AND($K1980&lt;U$1,$L1980&lt;=V$1),$L1980-U$1,IF(AND($K1980&gt;=U$1,$L1980&gt;V$1),V$1-$K1980,IF(AND($K1980&gt;=U$1,$L1980&lt;=V$1),$L1980-$K1980,IF(AND($K1980&lt;U$1,$L1980&gt;V$1),V$1-U$1,""))))))),"")</f>
        <v>0</v>
      </c>
      <c r="V1980" s="78" t="b">
        <f t="shared" ref="V1980:V2003" si="1502">IFERROR(IF($B1980=$D$1,IF(AND($K1980&lt;V$1,$L1980&lt;V$1),"",IF(AND($K1980&gt;W$1,$L1980&gt;W$1),"",IF(AND($K1980&lt;V$1,$L1980&lt;=W$1),$L1980-V$1,IF(AND($K1980&gt;=V$1,$L1980&gt;W$1),W$1-$K1980,IF(AND($K1980&gt;=V$1,$L1980&lt;=W$1),$L1980-$K1980,IF(AND($K1980&lt;V$1,$L1980&gt;W$1),W$1-V$1,""))))))),"")</f>
        <v>0</v>
      </c>
      <c r="W1980" s="78" t="b">
        <f t="shared" ref="W1980:W2003" si="1503">IFERROR(IF($B1980=$D$1,IF(AND($K1980&lt;W$1,$L1980&lt;W$1),"",IF(AND($K1980&gt;X$1,$L1980&gt;X$1),"",IF(AND($K1980&lt;W$1,$L1980&lt;=X$1),$L1980-W$1,IF(AND($K1980&gt;=W$1,$L1980&gt;X$1),X$1-$K1980,IF(AND($K1980&gt;=W$1,$L1980&lt;=X$1),$L1980-$K1980,IF(AND($K1980&lt;W$1,$L1980&gt;X$1),X$1-W$1,""))))))),"")</f>
        <v>0</v>
      </c>
      <c r="X1980" s="78" t="b">
        <f t="shared" ref="X1980:X2003" si="1504">IFERROR(IF($B1980=$D$1,IF(AND($K1980&lt;X$1,$L1980&lt;X$1),"",IF(AND($K1980&gt;Y$1,$L1980&gt;Y$1),"",IF(AND($K1980&lt;X$1,$L1980&lt;=Y$1),$L1980-X$1,IF(AND($K1980&gt;=X$1,$L1980&gt;Y$1),Y$1-$K1980,IF(AND($K1980&gt;=X$1,$L1980&lt;=Y$1),$L1980-$K1980,IF(AND($K1980&lt;X$1,$L1980&gt;Y$1),Y$1-X$1,""))))))),"")</f>
        <v>0</v>
      </c>
      <c r="Y1980" s="78" t="b">
        <f t="shared" ref="Y1980:Y2003" si="1505">IFERROR(IF($B1980=$D$1,IF(AND($K1980&lt;Y$1,$L1980&lt;Y$1),"",IF(AND($K1980&gt;Z$1,$L1980&gt;Z$1),"",IF(AND($K1980&lt;Y$1,$L1980&lt;=Z$1),$L1980-Y$1,IF(AND($K1980&gt;=Y$1,$L1980&gt;Z$1),Z$1-$K1980,IF(AND($K1980&gt;=Y$1,$L1980&lt;=Z$1),$L1980-$K1980,IF(AND($K1980&lt;Y$1,$L1980&gt;Z$1),Z$1-Y$1,""))))))),"")</f>
        <v>0</v>
      </c>
      <c r="Z1980" s="78" t="b">
        <f t="shared" ref="Z1980:Z2003" si="1506">IFERROR(IF($B1980=$D$1,IF(AND($K1980&lt;Z$1,$L1980&lt;Z$1),"",IF(AND($K1980&gt;AA$1,$L1980&gt;AA$1),"",IF(AND($K1980&lt;Z$1,$L1980&lt;=AA$1),$L1980-Z$1,IF(AND($K1980&gt;=Z$1,$L1980&gt;AA$1),AA$1-$K1980,IF(AND($K1980&gt;=Z$1,$L1980&lt;=AA$1),$L1980-$K1980,IF(AND($K1980&lt;Z$1,$L1980&gt;AA$1),AA$1-Z$1,""))))))),"")</f>
        <v>0</v>
      </c>
      <c r="AA1980" s="78" t="b">
        <f t="shared" ref="AA1980:AA2003" si="1507">IFERROR(IF($B1980=$D$1,IF(AND($K1980&lt;AA$1,$L1980&lt;AA$1),"",IF(AND($K1980&gt;AB$1,$L1980&gt;AB$1),"",IF(AND($K1980&lt;AA$1,$L1980&lt;=AB$1),$L1980-AA$1,IF(AND($K1980&gt;=AA$1,$L1980&gt;AB$1),AB$1-$K1980,IF(AND($K1980&gt;=AA$1,$L1980&lt;=AB$1),$L1980-$K1980,IF(AND($K1980&lt;AA$1,$L1980&gt;AB$1),AB$1-AA$1,""))))))),"")</f>
        <v>0</v>
      </c>
      <c r="AB1980" s="78" t="b">
        <f t="shared" ref="AB1980:AB2003" si="1508">IFERROR(IF($B1980=$D$1,IF(AND($K1980&lt;AB$1,$L1980&lt;AB$1),"",IF(AND($K1980&gt;AC$1,$L1980&gt;AC$1),"",IF(AND($K1980&lt;AB$1,$L1980&lt;=AC$1),$L1980-AB$1,IF(AND($K1980&gt;=AB$1,$L1980&gt;AC$1),AC$1-$K1980,IF(AND($K1980&gt;=AB$1,$L1980&lt;=AC$1),$L1980-$K1980,IF(AND($K1980&lt;AB$1,$L1980&gt;AC$1),AC$1-AB$1,""))))))),"")</f>
        <v>0</v>
      </c>
      <c r="AC1980" s="78" t="b">
        <f t="shared" ref="AC1980:AC2003" si="1509">IFERROR(IF($B1980=$D$1,IF(AND($K1980&lt;AC$1,$L1980&lt;AC$1),"",IF(AND($K1980&gt;AD$1,$L1980&gt;AD$1),"",IF(AND($K1980&lt;AC$1,$L1980&lt;=AD$1),$L1980-AC$1,IF(AND($K1980&gt;=AC$1,$L1980&gt;AD$1),AD$1-$K1980,IF(AND($K1980&gt;=AC$1,$L1980&lt;=AD$1),$L1980-$K1980,IF(AND($K1980&lt;AC$1,$L1980&gt;AD$1),AD$1-AC$1,""))))))),"")</f>
        <v>0</v>
      </c>
      <c r="AD1980" s="78" t="b">
        <f t="shared" ref="AD1980:AD2003" si="1510">IFERROR(IF($B1980=$D$1,IF(AND($K1980&lt;AD$1,$L1980&lt;AD$1),"",IF(AND($K1980&gt;AE$1,$L1980&gt;AE$1),"",IF(AND($K1980&lt;AD$1,$L1980&lt;=AE$1),$L1980-AD$1,IF(AND($K1980&gt;=AD$1,$L1980&gt;AE$1),AE$1-$K1980,IF(AND($K1980&gt;=AD$1,$L1980&lt;=AE$1),$L1980-$K1980,IF(AND($K1980&lt;AD$1,$L1980&gt;AE$1),AE$1-AD$1,""))))))),"")</f>
        <v>0</v>
      </c>
      <c r="AE1980" s="78" t="b">
        <f t="shared" ref="AE1980:AE2003" si="1511">IFERROR(IF($B1980=$D$1,IF(AND($K1980&lt;AE$1,$L1980&lt;AE$1),"",IF(AND($K1980&gt;AF$1,$L1980&gt;AF$1),"",IF(AND($K1980&lt;AE$1,$L1980&lt;=AF$1),$L1980-AE$1,IF(AND($K1980&gt;=AE$1,$L1980&gt;AF$1),AF$1-$K1980,IF(AND($K1980&gt;=AE$1,$L1980&lt;=AF$1),$L1980-$K1980,IF(AND($K1980&lt;AE$1,$L1980&gt;AF$1),AF$1-AE$1,""))))))),"")</f>
        <v>0</v>
      </c>
      <c r="AF1980" s="78" t="b">
        <f t="shared" ref="AF1980:AF2003" si="1512">IFERROR(IF($B1980=$D$1,IF(AND($K1980&lt;AF$1,$L1980&lt;AF$1),"",IF(AND($K1980&gt;AG$1,$L1980&gt;AG$1),"",IF(AND($K1980&lt;AF$1,$L1980&lt;=AG$1),$L1980-AF$1,IF(AND($K1980&gt;=AF$1,$L1980&gt;AG$1),AG$1-$K1980,IF(AND($K1980&gt;=AF$1,$L1980&lt;=AG$1),$L1980-$K1980,IF(AND($K1980&lt;AF$1,$L1980&gt;AG$1),AG$1-AF$1,""))))))),"")</f>
        <v>0</v>
      </c>
      <c r="AG1980" s="78" t="b">
        <f t="shared" ref="AG1980:AG2003" si="1513">IFERROR(IF($B1980=$D$1,IF(AND($K1980&lt;AG$1,$L1980&lt;AG$1),"",IF(AND($K1980&gt;AH$1,$L1980&gt;AH$1),"",IF(AND($K1980&lt;AG$1,$L1980&lt;=AH$1),$L1980-AG$1,IF(AND($K1980&gt;=AG$1,$L1980&gt;AH$1),AH$1-$K1980,IF(AND($K1980&gt;=AG$1,$L1980&lt;=AH$1),$L1980-$K1980,IF(AND($K1980&lt;AG$1,$L1980&gt;AH$1),AH$1-AG$1,""))))))),"")</f>
        <v>0</v>
      </c>
      <c r="AH1980" s="78" t="b">
        <f t="shared" ref="AH1980:AH2003" si="1514">IFERROR(IF($B1980=$D$1,IF(AND($K1980&lt;AH$1,$L1980&lt;AH$1),"",IF(AND($K1980&gt;AI$1,$L1980&gt;AI$1),"",IF(AND($K1980&lt;AH$1,$L1980&lt;=AI$1),$L1980-AH$1,IF(AND($K1980&gt;=AH$1,$L1980&gt;AI$1),AI$1-$K1980,IF(AND($K1980&gt;=AH$1,$L1980&lt;=AI$1),$L1980-$K1980,IF(AND($K1980&lt;AH$1,$L1980&gt;AI$1),AI$1-AH$1,""))))))),"")</f>
        <v>0</v>
      </c>
      <c r="AI1980" s="78" t="b">
        <f t="shared" ref="AI1980:AI2003" si="1515">IFERROR(IF($B1980=$D$1,IF(AND($K1980&lt;AI$1,$L1980&lt;AI$1),"",IF(AND($K1980&gt;AJ$1,$L1980&gt;AJ$1),"",IF(AND($K1980&lt;AI$1,$L1980&lt;=AJ$1),$L1980-AI$1,IF(AND($K1980&gt;=AI$1,$L1980&gt;AJ$1),AJ$1-$K1980,IF(AND($K1980&gt;=AI$1,$L1980&lt;=AJ$1),$L1980-$K1980,IF(AND($K1980&lt;AI$1,$L1980&gt;AJ$1),AJ$1-AI$1,""))))))),"")</f>
        <v>0</v>
      </c>
      <c r="AJ1980" s="78" t="b">
        <f t="shared" ref="AJ1980:AJ2003" si="1516">IFERROR(IF($B1980=$D$1,IF(AND($K1980&lt;AJ$1,$L1980&lt;AJ$1),"",IF(AND($K1980&gt;AK$1,$L1980&gt;AK$1),"",IF(AND($K1980&lt;AJ$1,$L1980&lt;=AK$1),$L1980-AJ$1,IF(AND($K1980&gt;=AJ$1,$L1980&gt;AK$1),AK$1-$K1980,IF(AND($K1980&gt;=AJ$1,$L1980&lt;=AK$1),$L1980-$K1980,IF(AND($K1980&lt;AJ$1,$L1980&gt;AK$1),AK$1-AJ$1,""))))))),"")</f>
        <v>0</v>
      </c>
      <c r="AK1980" s="78" t="b">
        <f t="shared" ref="AK1980:AK2003" si="1517">IFERROR(IF($B1980=$D$1,IF(AND($K1980&lt;AK$1,$L1980&lt;AK$1),"",IF(AND($K1980&gt;AL$1,$L1980&gt;AL$1),"",IF(AND($K1980&lt;AK$1,$L1980&lt;=AL$1),$L1980-AK$1,IF(AND($K1980&gt;=AK$1,$L1980&gt;AL$1),AL$1-$K1980,IF(AND($K1980&gt;=AK$1,$L1980&lt;=AL$1),$L1980-$K1980,IF(AND($K1980&lt;AK$1,$L1980&gt;AL$1),AL$1-AK$1,""))))))),"")</f>
        <v>0</v>
      </c>
      <c r="AL1980" s="78" t="b">
        <f t="shared" ref="AL1980:AL2003" si="1518">IFERROR(IF($B1980=$D$1,IF(AND($K1980&lt;AL$1,$L1980&lt;AL$1),"",IF(AND($K1980&gt;AM$1,$L1980&gt;AM$1),"",IF(AND($K1980&lt;AL$1,$L1980&lt;=AM$1),$L1980-AL$1,IF(AND($K1980&gt;=AL$1,$L1980&gt;AM$1),AM$1-$K1980,IF(AND($K1980&gt;=AL$1,$L1980&lt;=AM$1),$L1980-$K1980,IF(AND($K1980&lt;AL$1,$L1980&gt;AM$1),AM$1-AL$1,""))))))),"")</f>
        <v>0</v>
      </c>
      <c r="AM1980" s="78" t="b">
        <f t="shared" ref="AM1980:AM2003" si="1519">IFERROR(IF($B1980=$D$1,IF(AND($K1980&lt;AM$1,$L1980&lt;AM$1),"",IF(AND($K1980&gt;AN$1,$L1980&gt;AN$1),"",IF(AND($K1980&lt;AM$1,$L1980&lt;=AN$1),$L1980-AM$1,IF(AND($K1980&gt;=AM$1,$L1980&gt;AN$1),AN$1-$K1980,IF(AND($K1980&gt;=AM$1,$L1980&lt;=AN$1),$L1980-$K1980,IF(AND($K1980&lt;AM$1,$L1980&gt;AN$1),AN$1-AM$1,""))))))),"")</f>
        <v>0</v>
      </c>
      <c r="AN1980" s="78" t="b">
        <f t="shared" ref="AN1980:AN2003" si="1520">IFERROR(IF($B1980=$D$1,IF(AND($K1980&lt;AN$1,$L1980&lt;AN$1),"",IF(AND($K1980&gt;AO$1,$L1980&gt;AO$1),"",IF(AND($K1980&lt;AN$1,$L1980&lt;=AO$1),$L1980-AN$1,IF(AND($K1980&gt;=AN$1,$L1980&gt;AO$1),AO$1-$K1980,IF(AND($K1980&gt;=AN$1,$L1980&lt;=AO$1),$L1980-$K1980,IF(AND($K1980&lt;AN$1,$L1980&gt;AO$1),AO$1-AN$1,""))))))),"")</f>
        <v>0</v>
      </c>
      <c r="AO1980" s="78" t="b">
        <f t="shared" ref="AO1980:AO2003" si="1521">IFERROR(IF($B1980=$D$1,IF(AND($K1980&lt;AO$1,$L1980&lt;AO$1),"",IF(AND($K1980&gt;AP$1,$L1980&gt;AP$1),"",IF(AND($K1980&lt;AO$1,$L1980&lt;=AP$1),$L1980-AO$1,IF(AND($K1980&gt;=AO$1,$L1980&gt;AP$1),AP$1-$K1980,IF(AND($K1980&gt;=AO$1,$L1980&lt;=AP$1),$L1980-$K1980,IF(AND($K1980&lt;AO$1,$L1980&gt;AP$1),AP$1-AO$1,""))))))),"")</f>
        <v>0</v>
      </c>
    </row>
    <row r="1981" spans="7:41" x14ac:dyDescent="0.35">
      <c r="G1981" s="77">
        <f t="shared" si="1491"/>
        <v>0</v>
      </c>
      <c r="H1981" s="78">
        <f t="shared" si="1492"/>
        <v>0</v>
      </c>
      <c r="I1981" s="77">
        <f t="shared" si="1493"/>
        <v>0</v>
      </c>
      <c r="J1981" s="78">
        <f t="shared" si="1494"/>
        <v>0</v>
      </c>
      <c r="K1981" s="78" t="str">
        <f t="shared" si="1495"/>
        <v>1900-01-00 00:0:00</v>
      </c>
      <c r="L1981" s="78" t="str">
        <f t="shared" si="1496"/>
        <v>1900-01-00 00:0:00</v>
      </c>
      <c r="M1981" s="79">
        <f t="shared" si="1497"/>
        <v>0</v>
      </c>
      <c r="N1981">
        <f t="shared" si="1490"/>
        <v>1</v>
      </c>
      <c r="O1981" t="str">
        <f>IFERROR(_xlfn.XLOOKUP(A1981,HC!A:A,HC!C:C),"")</f>
        <v>Workforce</v>
      </c>
      <c r="R1981" s="78" t="b">
        <f t="shared" si="1498"/>
        <v>0</v>
      </c>
      <c r="S1981" s="78" t="b">
        <f t="shared" si="1499"/>
        <v>0</v>
      </c>
      <c r="T1981" s="78" t="b">
        <f t="shared" si="1500"/>
        <v>0</v>
      </c>
      <c r="U1981" s="78" t="b">
        <f t="shared" si="1501"/>
        <v>0</v>
      </c>
      <c r="V1981" s="78" t="b">
        <f t="shared" si="1502"/>
        <v>0</v>
      </c>
      <c r="W1981" s="78" t="b">
        <f t="shared" si="1503"/>
        <v>0</v>
      </c>
      <c r="X1981" s="78" t="b">
        <f t="shared" si="1504"/>
        <v>0</v>
      </c>
      <c r="Y1981" s="78" t="b">
        <f t="shared" si="1505"/>
        <v>0</v>
      </c>
      <c r="Z1981" s="78" t="b">
        <f t="shared" si="1506"/>
        <v>0</v>
      </c>
      <c r="AA1981" s="78" t="b">
        <f t="shared" si="1507"/>
        <v>0</v>
      </c>
      <c r="AB1981" s="78" t="b">
        <f t="shared" si="1508"/>
        <v>0</v>
      </c>
      <c r="AC1981" s="78" t="b">
        <f t="shared" si="1509"/>
        <v>0</v>
      </c>
      <c r="AD1981" s="78" t="b">
        <f t="shared" si="1510"/>
        <v>0</v>
      </c>
      <c r="AE1981" s="78" t="b">
        <f t="shared" si="1511"/>
        <v>0</v>
      </c>
      <c r="AF1981" s="78" t="b">
        <f t="shared" si="1512"/>
        <v>0</v>
      </c>
      <c r="AG1981" s="78" t="b">
        <f t="shared" si="1513"/>
        <v>0</v>
      </c>
      <c r="AH1981" s="78" t="b">
        <f t="shared" si="1514"/>
        <v>0</v>
      </c>
      <c r="AI1981" s="78" t="b">
        <f t="shared" si="1515"/>
        <v>0</v>
      </c>
      <c r="AJ1981" s="78" t="b">
        <f t="shared" si="1516"/>
        <v>0</v>
      </c>
      <c r="AK1981" s="78" t="b">
        <f t="shared" si="1517"/>
        <v>0</v>
      </c>
      <c r="AL1981" s="78" t="b">
        <f t="shared" si="1518"/>
        <v>0</v>
      </c>
      <c r="AM1981" s="78" t="b">
        <f t="shared" si="1519"/>
        <v>0</v>
      </c>
      <c r="AN1981" s="78" t="b">
        <f t="shared" si="1520"/>
        <v>0</v>
      </c>
      <c r="AO1981" s="78" t="b">
        <f t="shared" si="1521"/>
        <v>0</v>
      </c>
    </row>
    <row r="1982" spans="7:41" x14ac:dyDescent="0.35">
      <c r="G1982" s="77">
        <f t="shared" si="1491"/>
        <v>0</v>
      </c>
      <c r="H1982" s="78">
        <f t="shared" si="1492"/>
        <v>0</v>
      </c>
      <c r="I1982" s="77">
        <f t="shared" si="1493"/>
        <v>0</v>
      </c>
      <c r="J1982" s="78">
        <f t="shared" si="1494"/>
        <v>0</v>
      </c>
      <c r="K1982" s="78" t="str">
        <f t="shared" si="1495"/>
        <v>1900-01-00 00:0:00</v>
      </c>
      <c r="L1982" s="78" t="str">
        <f t="shared" si="1496"/>
        <v>1900-01-00 00:0:00</v>
      </c>
      <c r="M1982" s="79">
        <f t="shared" si="1497"/>
        <v>0</v>
      </c>
      <c r="N1982">
        <f t="shared" si="1490"/>
        <v>1</v>
      </c>
      <c r="O1982" t="str">
        <f>IFERROR(_xlfn.XLOOKUP(A1982,HC!A:A,HC!C:C),"")</f>
        <v>Workforce</v>
      </c>
      <c r="R1982" s="78" t="b">
        <f t="shared" si="1498"/>
        <v>0</v>
      </c>
      <c r="S1982" s="78" t="b">
        <f t="shared" si="1499"/>
        <v>0</v>
      </c>
      <c r="T1982" s="78" t="b">
        <f t="shared" si="1500"/>
        <v>0</v>
      </c>
      <c r="U1982" s="78" t="b">
        <f t="shared" si="1501"/>
        <v>0</v>
      </c>
      <c r="V1982" s="78" t="b">
        <f t="shared" si="1502"/>
        <v>0</v>
      </c>
      <c r="W1982" s="78" t="b">
        <f t="shared" si="1503"/>
        <v>0</v>
      </c>
      <c r="X1982" s="78" t="b">
        <f t="shared" si="1504"/>
        <v>0</v>
      </c>
      <c r="Y1982" s="78" t="b">
        <f t="shared" si="1505"/>
        <v>0</v>
      </c>
      <c r="Z1982" s="78" t="b">
        <f t="shared" si="1506"/>
        <v>0</v>
      </c>
      <c r="AA1982" s="78" t="b">
        <f t="shared" si="1507"/>
        <v>0</v>
      </c>
      <c r="AB1982" s="78" t="b">
        <f t="shared" si="1508"/>
        <v>0</v>
      </c>
      <c r="AC1982" s="78" t="b">
        <f t="shared" si="1509"/>
        <v>0</v>
      </c>
      <c r="AD1982" s="78" t="b">
        <f t="shared" si="1510"/>
        <v>0</v>
      </c>
      <c r="AE1982" s="78" t="b">
        <f t="shared" si="1511"/>
        <v>0</v>
      </c>
      <c r="AF1982" s="78" t="b">
        <f t="shared" si="1512"/>
        <v>0</v>
      </c>
      <c r="AG1982" s="78" t="b">
        <f t="shared" si="1513"/>
        <v>0</v>
      </c>
      <c r="AH1982" s="78" t="b">
        <f t="shared" si="1514"/>
        <v>0</v>
      </c>
      <c r="AI1982" s="78" t="b">
        <f t="shared" si="1515"/>
        <v>0</v>
      </c>
      <c r="AJ1982" s="78" t="b">
        <f t="shared" si="1516"/>
        <v>0</v>
      </c>
      <c r="AK1982" s="78" t="b">
        <f t="shared" si="1517"/>
        <v>0</v>
      </c>
      <c r="AL1982" s="78" t="b">
        <f t="shared" si="1518"/>
        <v>0</v>
      </c>
      <c r="AM1982" s="78" t="b">
        <f t="shared" si="1519"/>
        <v>0</v>
      </c>
      <c r="AN1982" s="78" t="b">
        <f t="shared" si="1520"/>
        <v>0</v>
      </c>
      <c r="AO1982" s="78" t="b">
        <f t="shared" si="1521"/>
        <v>0</v>
      </c>
    </row>
    <row r="1983" spans="7:41" x14ac:dyDescent="0.35">
      <c r="G1983" s="77">
        <f t="shared" si="1491"/>
        <v>0</v>
      </c>
      <c r="H1983" s="78">
        <f t="shared" si="1492"/>
        <v>0</v>
      </c>
      <c r="I1983" s="77">
        <f t="shared" si="1493"/>
        <v>0</v>
      </c>
      <c r="J1983" s="78">
        <f t="shared" si="1494"/>
        <v>0</v>
      </c>
      <c r="K1983" s="78" t="str">
        <f t="shared" si="1495"/>
        <v>1900-01-00 00:0:00</v>
      </c>
      <c r="L1983" s="78" t="str">
        <f t="shared" si="1496"/>
        <v>1900-01-00 00:0:00</v>
      </c>
      <c r="M1983" s="79">
        <f t="shared" si="1497"/>
        <v>0</v>
      </c>
      <c r="N1983">
        <f t="shared" si="1490"/>
        <v>1</v>
      </c>
      <c r="O1983" t="str">
        <f>IFERROR(_xlfn.XLOOKUP(A1983,HC!A:A,HC!C:C),"")</f>
        <v>Workforce</v>
      </c>
      <c r="R1983" s="78" t="b">
        <f t="shared" si="1498"/>
        <v>0</v>
      </c>
      <c r="S1983" s="78" t="b">
        <f t="shared" si="1499"/>
        <v>0</v>
      </c>
      <c r="T1983" s="78" t="b">
        <f t="shared" si="1500"/>
        <v>0</v>
      </c>
      <c r="U1983" s="78" t="b">
        <f t="shared" si="1501"/>
        <v>0</v>
      </c>
      <c r="V1983" s="78" t="b">
        <f t="shared" si="1502"/>
        <v>0</v>
      </c>
      <c r="W1983" s="78" t="b">
        <f t="shared" si="1503"/>
        <v>0</v>
      </c>
      <c r="X1983" s="78" t="b">
        <f t="shared" si="1504"/>
        <v>0</v>
      </c>
      <c r="Y1983" s="78" t="b">
        <f t="shared" si="1505"/>
        <v>0</v>
      </c>
      <c r="Z1983" s="78" t="b">
        <f t="shared" si="1506"/>
        <v>0</v>
      </c>
      <c r="AA1983" s="78" t="b">
        <f t="shared" si="1507"/>
        <v>0</v>
      </c>
      <c r="AB1983" s="78" t="b">
        <f t="shared" si="1508"/>
        <v>0</v>
      </c>
      <c r="AC1983" s="78" t="b">
        <f t="shared" si="1509"/>
        <v>0</v>
      </c>
      <c r="AD1983" s="78" t="b">
        <f t="shared" si="1510"/>
        <v>0</v>
      </c>
      <c r="AE1983" s="78" t="b">
        <f t="shared" si="1511"/>
        <v>0</v>
      </c>
      <c r="AF1983" s="78" t="b">
        <f t="shared" si="1512"/>
        <v>0</v>
      </c>
      <c r="AG1983" s="78" t="b">
        <f t="shared" si="1513"/>
        <v>0</v>
      </c>
      <c r="AH1983" s="78" t="b">
        <f t="shared" si="1514"/>
        <v>0</v>
      </c>
      <c r="AI1983" s="78" t="b">
        <f t="shared" si="1515"/>
        <v>0</v>
      </c>
      <c r="AJ1983" s="78" t="b">
        <f t="shared" si="1516"/>
        <v>0</v>
      </c>
      <c r="AK1983" s="78" t="b">
        <f t="shared" si="1517"/>
        <v>0</v>
      </c>
      <c r="AL1983" s="78" t="b">
        <f t="shared" si="1518"/>
        <v>0</v>
      </c>
      <c r="AM1983" s="78" t="b">
        <f t="shared" si="1519"/>
        <v>0</v>
      </c>
      <c r="AN1983" s="78" t="b">
        <f t="shared" si="1520"/>
        <v>0</v>
      </c>
      <c r="AO1983" s="78" t="b">
        <f t="shared" si="1521"/>
        <v>0</v>
      </c>
    </row>
    <row r="1984" spans="7:41" x14ac:dyDescent="0.35">
      <c r="G1984" s="77">
        <f t="shared" si="1491"/>
        <v>0</v>
      </c>
      <c r="H1984" s="78">
        <f t="shared" si="1492"/>
        <v>0</v>
      </c>
      <c r="I1984" s="77">
        <f t="shared" si="1493"/>
        <v>0</v>
      </c>
      <c r="J1984" s="78">
        <f t="shared" si="1494"/>
        <v>0</v>
      </c>
      <c r="K1984" s="78" t="str">
        <f t="shared" si="1495"/>
        <v>1900-01-00 00:0:00</v>
      </c>
      <c r="L1984" s="78" t="str">
        <f t="shared" si="1496"/>
        <v>1900-01-00 00:0:00</v>
      </c>
      <c r="M1984" s="79">
        <f t="shared" si="1497"/>
        <v>0</v>
      </c>
      <c r="N1984">
        <f t="shared" si="1490"/>
        <v>1</v>
      </c>
      <c r="O1984" t="str">
        <f>IFERROR(_xlfn.XLOOKUP(A1984,HC!A:A,HC!C:C),"")</f>
        <v>Workforce</v>
      </c>
      <c r="R1984" s="78" t="b">
        <f t="shared" si="1498"/>
        <v>0</v>
      </c>
      <c r="S1984" s="78" t="b">
        <f t="shared" si="1499"/>
        <v>0</v>
      </c>
      <c r="T1984" s="78" t="b">
        <f t="shared" si="1500"/>
        <v>0</v>
      </c>
      <c r="U1984" s="78" t="b">
        <f t="shared" si="1501"/>
        <v>0</v>
      </c>
      <c r="V1984" s="78" t="b">
        <f t="shared" si="1502"/>
        <v>0</v>
      </c>
      <c r="W1984" s="78" t="b">
        <f t="shared" si="1503"/>
        <v>0</v>
      </c>
      <c r="X1984" s="78" t="b">
        <f t="shared" si="1504"/>
        <v>0</v>
      </c>
      <c r="Y1984" s="78" t="b">
        <f t="shared" si="1505"/>
        <v>0</v>
      </c>
      <c r="Z1984" s="78" t="b">
        <f t="shared" si="1506"/>
        <v>0</v>
      </c>
      <c r="AA1984" s="78" t="b">
        <f t="shared" si="1507"/>
        <v>0</v>
      </c>
      <c r="AB1984" s="78" t="b">
        <f t="shared" si="1508"/>
        <v>0</v>
      </c>
      <c r="AC1984" s="78" t="b">
        <f t="shared" si="1509"/>
        <v>0</v>
      </c>
      <c r="AD1984" s="78" t="b">
        <f t="shared" si="1510"/>
        <v>0</v>
      </c>
      <c r="AE1984" s="78" t="b">
        <f t="shared" si="1511"/>
        <v>0</v>
      </c>
      <c r="AF1984" s="78" t="b">
        <f t="shared" si="1512"/>
        <v>0</v>
      </c>
      <c r="AG1984" s="78" t="b">
        <f t="shared" si="1513"/>
        <v>0</v>
      </c>
      <c r="AH1984" s="78" t="b">
        <f t="shared" si="1514"/>
        <v>0</v>
      </c>
      <c r="AI1984" s="78" t="b">
        <f t="shared" si="1515"/>
        <v>0</v>
      </c>
      <c r="AJ1984" s="78" t="b">
        <f t="shared" si="1516"/>
        <v>0</v>
      </c>
      <c r="AK1984" s="78" t="b">
        <f t="shared" si="1517"/>
        <v>0</v>
      </c>
      <c r="AL1984" s="78" t="b">
        <f t="shared" si="1518"/>
        <v>0</v>
      </c>
      <c r="AM1984" s="78" t="b">
        <f t="shared" si="1519"/>
        <v>0</v>
      </c>
      <c r="AN1984" s="78" t="b">
        <f t="shared" si="1520"/>
        <v>0</v>
      </c>
      <c r="AO1984" s="78" t="b">
        <f t="shared" si="1521"/>
        <v>0</v>
      </c>
    </row>
    <row r="1985" spans="7:41" x14ac:dyDescent="0.35">
      <c r="G1985" s="77">
        <f t="shared" si="1491"/>
        <v>0</v>
      </c>
      <c r="H1985" s="78">
        <f t="shared" si="1492"/>
        <v>0</v>
      </c>
      <c r="I1985" s="77">
        <f t="shared" si="1493"/>
        <v>0</v>
      </c>
      <c r="J1985" s="78">
        <f t="shared" si="1494"/>
        <v>0</v>
      </c>
      <c r="K1985" s="78" t="str">
        <f t="shared" si="1495"/>
        <v>1900-01-00 00:0:00</v>
      </c>
      <c r="L1985" s="78" t="str">
        <f t="shared" si="1496"/>
        <v>1900-01-00 00:0:00</v>
      </c>
      <c r="M1985" s="79">
        <f t="shared" si="1497"/>
        <v>0</v>
      </c>
      <c r="N1985">
        <f t="shared" si="1490"/>
        <v>1</v>
      </c>
      <c r="O1985" t="str">
        <f>IFERROR(_xlfn.XLOOKUP(A1985,HC!A:A,HC!C:C),"")</f>
        <v>Workforce</v>
      </c>
      <c r="R1985" s="78" t="b">
        <f t="shared" si="1498"/>
        <v>0</v>
      </c>
      <c r="S1985" s="78" t="b">
        <f t="shared" si="1499"/>
        <v>0</v>
      </c>
      <c r="T1985" s="78" t="b">
        <f t="shared" si="1500"/>
        <v>0</v>
      </c>
      <c r="U1985" s="78" t="b">
        <f t="shared" si="1501"/>
        <v>0</v>
      </c>
      <c r="V1985" s="78" t="b">
        <f t="shared" si="1502"/>
        <v>0</v>
      </c>
      <c r="W1985" s="78" t="b">
        <f t="shared" si="1503"/>
        <v>0</v>
      </c>
      <c r="X1985" s="78" t="b">
        <f t="shared" si="1504"/>
        <v>0</v>
      </c>
      <c r="Y1985" s="78" t="b">
        <f t="shared" si="1505"/>
        <v>0</v>
      </c>
      <c r="Z1985" s="78" t="b">
        <f t="shared" si="1506"/>
        <v>0</v>
      </c>
      <c r="AA1985" s="78" t="b">
        <f t="shared" si="1507"/>
        <v>0</v>
      </c>
      <c r="AB1985" s="78" t="b">
        <f t="shared" si="1508"/>
        <v>0</v>
      </c>
      <c r="AC1985" s="78" t="b">
        <f t="shared" si="1509"/>
        <v>0</v>
      </c>
      <c r="AD1985" s="78" t="b">
        <f t="shared" si="1510"/>
        <v>0</v>
      </c>
      <c r="AE1985" s="78" t="b">
        <f t="shared" si="1511"/>
        <v>0</v>
      </c>
      <c r="AF1985" s="78" t="b">
        <f t="shared" si="1512"/>
        <v>0</v>
      </c>
      <c r="AG1985" s="78" t="b">
        <f t="shared" si="1513"/>
        <v>0</v>
      </c>
      <c r="AH1985" s="78" t="b">
        <f t="shared" si="1514"/>
        <v>0</v>
      </c>
      <c r="AI1985" s="78" t="b">
        <f t="shared" si="1515"/>
        <v>0</v>
      </c>
      <c r="AJ1985" s="78" t="b">
        <f t="shared" si="1516"/>
        <v>0</v>
      </c>
      <c r="AK1985" s="78" t="b">
        <f t="shared" si="1517"/>
        <v>0</v>
      </c>
      <c r="AL1985" s="78" t="b">
        <f t="shared" si="1518"/>
        <v>0</v>
      </c>
      <c r="AM1985" s="78" t="b">
        <f t="shared" si="1519"/>
        <v>0</v>
      </c>
      <c r="AN1985" s="78" t="b">
        <f t="shared" si="1520"/>
        <v>0</v>
      </c>
      <c r="AO1985" s="78" t="b">
        <f t="shared" si="1521"/>
        <v>0</v>
      </c>
    </row>
    <row r="1986" spans="7:41" x14ac:dyDescent="0.35">
      <c r="G1986" s="77">
        <f t="shared" si="1491"/>
        <v>0</v>
      </c>
      <c r="H1986" s="78">
        <f t="shared" si="1492"/>
        <v>0</v>
      </c>
      <c r="I1986" s="77">
        <f t="shared" si="1493"/>
        <v>0</v>
      </c>
      <c r="J1986" s="78">
        <f t="shared" si="1494"/>
        <v>0</v>
      </c>
      <c r="K1986" s="78" t="str">
        <f t="shared" si="1495"/>
        <v>1900-01-00 00:0:00</v>
      </c>
      <c r="L1986" s="78" t="str">
        <f t="shared" si="1496"/>
        <v>1900-01-00 00:0:00</v>
      </c>
      <c r="M1986" s="79">
        <f t="shared" si="1497"/>
        <v>0</v>
      </c>
      <c r="N1986">
        <f t="shared" si="1490"/>
        <v>1</v>
      </c>
      <c r="O1986" t="str">
        <f>IFERROR(_xlfn.XLOOKUP(A1986,HC!A:A,HC!C:C),"")</f>
        <v>Workforce</v>
      </c>
      <c r="R1986" s="78" t="b">
        <f t="shared" si="1498"/>
        <v>0</v>
      </c>
      <c r="S1986" s="78" t="b">
        <f t="shared" si="1499"/>
        <v>0</v>
      </c>
      <c r="T1986" s="78" t="b">
        <f t="shared" si="1500"/>
        <v>0</v>
      </c>
      <c r="U1986" s="78" t="b">
        <f t="shared" si="1501"/>
        <v>0</v>
      </c>
      <c r="V1986" s="78" t="b">
        <f t="shared" si="1502"/>
        <v>0</v>
      </c>
      <c r="W1986" s="78" t="b">
        <f t="shared" si="1503"/>
        <v>0</v>
      </c>
      <c r="X1986" s="78" t="b">
        <f t="shared" si="1504"/>
        <v>0</v>
      </c>
      <c r="Y1986" s="78" t="b">
        <f t="shared" si="1505"/>
        <v>0</v>
      </c>
      <c r="Z1986" s="78" t="b">
        <f t="shared" si="1506"/>
        <v>0</v>
      </c>
      <c r="AA1986" s="78" t="b">
        <f t="shared" si="1507"/>
        <v>0</v>
      </c>
      <c r="AB1986" s="78" t="b">
        <f t="shared" si="1508"/>
        <v>0</v>
      </c>
      <c r="AC1986" s="78" t="b">
        <f t="shared" si="1509"/>
        <v>0</v>
      </c>
      <c r="AD1986" s="78" t="b">
        <f t="shared" si="1510"/>
        <v>0</v>
      </c>
      <c r="AE1986" s="78" t="b">
        <f t="shared" si="1511"/>
        <v>0</v>
      </c>
      <c r="AF1986" s="78" t="b">
        <f t="shared" si="1512"/>
        <v>0</v>
      </c>
      <c r="AG1986" s="78" t="b">
        <f t="shared" si="1513"/>
        <v>0</v>
      </c>
      <c r="AH1986" s="78" t="b">
        <f t="shared" si="1514"/>
        <v>0</v>
      </c>
      <c r="AI1986" s="78" t="b">
        <f t="shared" si="1515"/>
        <v>0</v>
      </c>
      <c r="AJ1986" s="78" t="b">
        <f t="shared" si="1516"/>
        <v>0</v>
      </c>
      <c r="AK1986" s="78" t="b">
        <f t="shared" si="1517"/>
        <v>0</v>
      </c>
      <c r="AL1986" s="78" t="b">
        <f t="shared" si="1518"/>
        <v>0</v>
      </c>
      <c r="AM1986" s="78" t="b">
        <f t="shared" si="1519"/>
        <v>0</v>
      </c>
      <c r="AN1986" s="78" t="b">
        <f t="shared" si="1520"/>
        <v>0</v>
      </c>
      <c r="AO1986" s="78" t="b">
        <f t="shared" si="1521"/>
        <v>0</v>
      </c>
    </row>
    <row r="1987" spans="7:41" x14ac:dyDescent="0.35">
      <c r="G1987" s="77">
        <f t="shared" si="1491"/>
        <v>0</v>
      </c>
      <c r="H1987" s="78">
        <f t="shared" si="1492"/>
        <v>0</v>
      </c>
      <c r="I1987" s="77">
        <f t="shared" si="1493"/>
        <v>0</v>
      </c>
      <c r="J1987" s="78">
        <f t="shared" si="1494"/>
        <v>0</v>
      </c>
      <c r="K1987" s="78" t="str">
        <f t="shared" si="1495"/>
        <v>1900-01-00 00:0:00</v>
      </c>
      <c r="L1987" s="78" t="str">
        <f t="shared" si="1496"/>
        <v>1900-01-00 00:0:00</v>
      </c>
      <c r="M1987" s="79">
        <f t="shared" si="1497"/>
        <v>0</v>
      </c>
      <c r="N1987">
        <f t="shared" si="1490"/>
        <v>1</v>
      </c>
      <c r="O1987" t="str">
        <f>IFERROR(_xlfn.XLOOKUP(A1987,HC!A:A,HC!C:C),"")</f>
        <v>Workforce</v>
      </c>
      <c r="R1987" s="78" t="b">
        <f t="shared" si="1498"/>
        <v>0</v>
      </c>
      <c r="S1987" s="78" t="b">
        <f t="shared" si="1499"/>
        <v>0</v>
      </c>
      <c r="T1987" s="78" t="b">
        <f t="shared" si="1500"/>
        <v>0</v>
      </c>
      <c r="U1987" s="78" t="b">
        <f t="shared" si="1501"/>
        <v>0</v>
      </c>
      <c r="V1987" s="78" t="b">
        <f t="shared" si="1502"/>
        <v>0</v>
      </c>
      <c r="W1987" s="78" t="b">
        <f t="shared" si="1503"/>
        <v>0</v>
      </c>
      <c r="X1987" s="78" t="b">
        <f t="shared" si="1504"/>
        <v>0</v>
      </c>
      <c r="Y1987" s="78" t="b">
        <f t="shared" si="1505"/>
        <v>0</v>
      </c>
      <c r="Z1987" s="78" t="b">
        <f t="shared" si="1506"/>
        <v>0</v>
      </c>
      <c r="AA1987" s="78" t="b">
        <f t="shared" si="1507"/>
        <v>0</v>
      </c>
      <c r="AB1987" s="78" t="b">
        <f t="shared" si="1508"/>
        <v>0</v>
      </c>
      <c r="AC1987" s="78" t="b">
        <f t="shared" si="1509"/>
        <v>0</v>
      </c>
      <c r="AD1987" s="78" t="b">
        <f t="shared" si="1510"/>
        <v>0</v>
      </c>
      <c r="AE1987" s="78" t="b">
        <f t="shared" si="1511"/>
        <v>0</v>
      </c>
      <c r="AF1987" s="78" t="b">
        <f t="shared" si="1512"/>
        <v>0</v>
      </c>
      <c r="AG1987" s="78" t="b">
        <f t="shared" si="1513"/>
        <v>0</v>
      </c>
      <c r="AH1987" s="78" t="b">
        <f t="shared" si="1514"/>
        <v>0</v>
      </c>
      <c r="AI1987" s="78" t="b">
        <f t="shared" si="1515"/>
        <v>0</v>
      </c>
      <c r="AJ1987" s="78" t="b">
        <f t="shared" si="1516"/>
        <v>0</v>
      </c>
      <c r="AK1987" s="78" t="b">
        <f t="shared" si="1517"/>
        <v>0</v>
      </c>
      <c r="AL1987" s="78" t="b">
        <f t="shared" si="1518"/>
        <v>0</v>
      </c>
      <c r="AM1987" s="78" t="b">
        <f t="shared" si="1519"/>
        <v>0</v>
      </c>
      <c r="AN1987" s="78" t="b">
        <f t="shared" si="1520"/>
        <v>0</v>
      </c>
      <c r="AO1987" s="78" t="b">
        <f t="shared" si="1521"/>
        <v>0</v>
      </c>
    </row>
    <row r="1988" spans="7:41" x14ac:dyDescent="0.35">
      <c r="G1988" s="77">
        <f t="shared" si="1491"/>
        <v>0</v>
      </c>
      <c r="H1988" s="78">
        <f t="shared" si="1492"/>
        <v>0</v>
      </c>
      <c r="I1988" s="77">
        <f t="shared" si="1493"/>
        <v>0</v>
      </c>
      <c r="J1988" s="78">
        <f t="shared" si="1494"/>
        <v>0</v>
      </c>
      <c r="K1988" s="78" t="str">
        <f t="shared" si="1495"/>
        <v>1900-01-00 00:0:00</v>
      </c>
      <c r="L1988" s="78" t="str">
        <f t="shared" si="1496"/>
        <v>1900-01-00 00:0:00</v>
      </c>
      <c r="M1988" s="79">
        <f t="shared" si="1497"/>
        <v>0</v>
      </c>
      <c r="N1988">
        <f t="shared" ref="N1988:N2003" si="1522">IF(M1988&lt;$BA$1,1,0)</f>
        <v>1</v>
      </c>
      <c r="O1988" t="str">
        <f>IFERROR(_xlfn.XLOOKUP(A1988,HC!A:A,HC!C:C),"")</f>
        <v>Workforce</v>
      </c>
      <c r="R1988" s="78" t="b">
        <f t="shared" si="1498"/>
        <v>0</v>
      </c>
      <c r="S1988" s="78" t="b">
        <f t="shared" si="1499"/>
        <v>0</v>
      </c>
      <c r="T1988" s="78" t="b">
        <f t="shared" si="1500"/>
        <v>0</v>
      </c>
      <c r="U1988" s="78" t="b">
        <f t="shared" si="1501"/>
        <v>0</v>
      </c>
      <c r="V1988" s="78" t="b">
        <f t="shared" si="1502"/>
        <v>0</v>
      </c>
      <c r="W1988" s="78" t="b">
        <f t="shared" si="1503"/>
        <v>0</v>
      </c>
      <c r="X1988" s="78" t="b">
        <f t="shared" si="1504"/>
        <v>0</v>
      </c>
      <c r="Y1988" s="78" t="b">
        <f t="shared" si="1505"/>
        <v>0</v>
      </c>
      <c r="Z1988" s="78" t="b">
        <f t="shared" si="1506"/>
        <v>0</v>
      </c>
      <c r="AA1988" s="78" t="b">
        <f t="shared" si="1507"/>
        <v>0</v>
      </c>
      <c r="AB1988" s="78" t="b">
        <f t="shared" si="1508"/>
        <v>0</v>
      </c>
      <c r="AC1988" s="78" t="b">
        <f t="shared" si="1509"/>
        <v>0</v>
      </c>
      <c r="AD1988" s="78" t="b">
        <f t="shared" si="1510"/>
        <v>0</v>
      </c>
      <c r="AE1988" s="78" t="b">
        <f t="shared" si="1511"/>
        <v>0</v>
      </c>
      <c r="AF1988" s="78" t="b">
        <f t="shared" si="1512"/>
        <v>0</v>
      </c>
      <c r="AG1988" s="78" t="b">
        <f t="shared" si="1513"/>
        <v>0</v>
      </c>
      <c r="AH1988" s="78" t="b">
        <f t="shared" si="1514"/>
        <v>0</v>
      </c>
      <c r="AI1988" s="78" t="b">
        <f t="shared" si="1515"/>
        <v>0</v>
      </c>
      <c r="AJ1988" s="78" t="b">
        <f t="shared" si="1516"/>
        <v>0</v>
      </c>
      <c r="AK1988" s="78" t="b">
        <f t="shared" si="1517"/>
        <v>0</v>
      </c>
      <c r="AL1988" s="78" t="b">
        <f t="shared" si="1518"/>
        <v>0</v>
      </c>
      <c r="AM1988" s="78" t="b">
        <f t="shared" si="1519"/>
        <v>0</v>
      </c>
      <c r="AN1988" s="78" t="b">
        <f t="shared" si="1520"/>
        <v>0</v>
      </c>
      <c r="AO1988" s="78" t="b">
        <f t="shared" si="1521"/>
        <v>0</v>
      </c>
    </row>
    <row r="1989" spans="7:41" x14ac:dyDescent="0.35">
      <c r="G1989" s="77">
        <f t="shared" si="1491"/>
        <v>0</v>
      </c>
      <c r="H1989" s="78">
        <f t="shared" si="1492"/>
        <v>0</v>
      </c>
      <c r="I1989" s="77">
        <f t="shared" si="1493"/>
        <v>0</v>
      </c>
      <c r="J1989" s="78">
        <f t="shared" si="1494"/>
        <v>0</v>
      </c>
      <c r="K1989" s="78" t="str">
        <f t="shared" si="1495"/>
        <v>1900-01-00 00:0:00</v>
      </c>
      <c r="L1989" s="78" t="str">
        <f t="shared" si="1496"/>
        <v>1900-01-00 00:0:00</v>
      </c>
      <c r="M1989" s="79">
        <f t="shared" si="1497"/>
        <v>0</v>
      </c>
      <c r="N1989">
        <f t="shared" si="1522"/>
        <v>1</v>
      </c>
      <c r="O1989" t="str">
        <f>IFERROR(_xlfn.XLOOKUP(A1989,HC!A:A,HC!C:C),"")</f>
        <v>Workforce</v>
      </c>
      <c r="R1989" s="78" t="b">
        <f t="shared" si="1498"/>
        <v>0</v>
      </c>
      <c r="S1989" s="78" t="b">
        <f t="shared" si="1499"/>
        <v>0</v>
      </c>
      <c r="T1989" s="78" t="b">
        <f t="shared" si="1500"/>
        <v>0</v>
      </c>
      <c r="U1989" s="78" t="b">
        <f t="shared" si="1501"/>
        <v>0</v>
      </c>
      <c r="V1989" s="78" t="b">
        <f t="shared" si="1502"/>
        <v>0</v>
      </c>
      <c r="W1989" s="78" t="b">
        <f t="shared" si="1503"/>
        <v>0</v>
      </c>
      <c r="X1989" s="78" t="b">
        <f t="shared" si="1504"/>
        <v>0</v>
      </c>
      <c r="Y1989" s="78" t="b">
        <f t="shared" si="1505"/>
        <v>0</v>
      </c>
      <c r="Z1989" s="78" t="b">
        <f t="shared" si="1506"/>
        <v>0</v>
      </c>
      <c r="AA1989" s="78" t="b">
        <f t="shared" si="1507"/>
        <v>0</v>
      </c>
      <c r="AB1989" s="78" t="b">
        <f t="shared" si="1508"/>
        <v>0</v>
      </c>
      <c r="AC1989" s="78" t="b">
        <f t="shared" si="1509"/>
        <v>0</v>
      </c>
      <c r="AD1989" s="78" t="b">
        <f t="shared" si="1510"/>
        <v>0</v>
      </c>
      <c r="AE1989" s="78" t="b">
        <f t="shared" si="1511"/>
        <v>0</v>
      </c>
      <c r="AF1989" s="78" t="b">
        <f t="shared" si="1512"/>
        <v>0</v>
      </c>
      <c r="AG1989" s="78" t="b">
        <f t="shared" si="1513"/>
        <v>0</v>
      </c>
      <c r="AH1989" s="78" t="b">
        <f t="shared" si="1514"/>
        <v>0</v>
      </c>
      <c r="AI1989" s="78" t="b">
        <f t="shared" si="1515"/>
        <v>0</v>
      </c>
      <c r="AJ1989" s="78" t="b">
        <f t="shared" si="1516"/>
        <v>0</v>
      </c>
      <c r="AK1989" s="78" t="b">
        <f t="shared" si="1517"/>
        <v>0</v>
      </c>
      <c r="AL1989" s="78" t="b">
        <f t="shared" si="1518"/>
        <v>0</v>
      </c>
      <c r="AM1989" s="78" t="b">
        <f t="shared" si="1519"/>
        <v>0</v>
      </c>
      <c r="AN1989" s="78" t="b">
        <f t="shared" si="1520"/>
        <v>0</v>
      </c>
      <c r="AO1989" s="78" t="b">
        <f t="shared" si="1521"/>
        <v>0</v>
      </c>
    </row>
    <row r="1990" spans="7:41" x14ac:dyDescent="0.35">
      <c r="G1990" s="77">
        <f t="shared" si="1491"/>
        <v>0</v>
      </c>
      <c r="H1990" s="78">
        <f t="shared" si="1492"/>
        <v>0</v>
      </c>
      <c r="I1990" s="77">
        <f t="shared" si="1493"/>
        <v>0</v>
      </c>
      <c r="J1990" s="78">
        <f t="shared" si="1494"/>
        <v>0</v>
      </c>
      <c r="K1990" s="78" t="str">
        <f t="shared" si="1495"/>
        <v>1900-01-00 00:0:00</v>
      </c>
      <c r="L1990" s="78" t="str">
        <f t="shared" si="1496"/>
        <v>1900-01-00 00:0:00</v>
      </c>
      <c r="M1990" s="79">
        <f t="shared" si="1497"/>
        <v>0</v>
      </c>
      <c r="N1990">
        <f t="shared" si="1522"/>
        <v>1</v>
      </c>
      <c r="O1990" t="str">
        <f>IFERROR(_xlfn.XLOOKUP(A1990,HC!A:A,HC!C:C),"")</f>
        <v>Workforce</v>
      </c>
      <c r="R1990" s="78" t="b">
        <f t="shared" si="1498"/>
        <v>0</v>
      </c>
      <c r="S1990" s="78" t="b">
        <f t="shared" si="1499"/>
        <v>0</v>
      </c>
      <c r="T1990" s="78" t="b">
        <f t="shared" si="1500"/>
        <v>0</v>
      </c>
      <c r="U1990" s="78" t="b">
        <f t="shared" si="1501"/>
        <v>0</v>
      </c>
      <c r="V1990" s="78" t="b">
        <f t="shared" si="1502"/>
        <v>0</v>
      </c>
      <c r="W1990" s="78" t="b">
        <f t="shared" si="1503"/>
        <v>0</v>
      </c>
      <c r="X1990" s="78" t="b">
        <f t="shared" si="1504"/>
        <v>0</v>
      </c>
      <c r="Y1990" s="78" t="b">
        <f t="shared" si="1505"/>
        <v>0</v>
      </c>
      <c r="Z1990" s="78" t="b">
        <f t="shared" si="1506"/>
        <v>0</v>
      </c>
      <c r="AA1990" s="78" t="b">
        <f t="shared" si="1507"/>
        <v>0</v>
      </c>
      <c r="AB1990" s="78" t="b">
        <f t="shared" si="1508"/>
        <v>0</v>
      </c>
      <c r="AC1990" s="78" t="b">
        <f t="shared" si="1509"/>
        <v>0</v>
      </c>
      <c r="AD1990" s="78" t="b">
        <f t="shared" si="1510"/>
        <v>0</v>
      </c>
      <c r="AE1990" s="78" t="b">
        <f t="shared" si="1511"/>
        <v>0</v>
      </c>
      <c r="AF1990" s="78" t="b">
        <f t="shared" si="1512"/>
        <v>0</v>
      </c>
      <c r="AG1990" s="78" t="b">
        <f t="shared" si="1513"/>
        <v>0</v>
      </c>
      <c r="AH1990" s="78" t="b">
        <f t="shared" si="1514"/>
        <v>0</v>
      </c>
      <c r="AI1990" s="78" t="b">
        <f t="shared" si="1515"/>
        <v>0</v>
      </c>
      <c r="AJ1990" s="78" t="b">
        <f t="shared" si="1516"/>
        <v>0</v>
      </c>
      <c r="AK1990" s="78" t="b">
        <f t="shared" si="1517"/>
        <v>0</v>
      </c>
      <c r="AL1990" s="78" t="b">
        <f t="shared" si="1518"/>
        <v>0</v>
      </c>
      <c r="AM1990" s="78" t="b">
        <f t="shared" si="1519"/>
        <v>0</v>
      </c>
      <c r="AN1990" s="78" t="b">
        <f t="shared" si="1520"/>
        <v>0</v>
      </c>
      <c r="AO1990" s="78" t="b">
        <f t="shared" si="1521"/>
        <v>0</v>
      </c>
    </row>
    <row r="1991" spans="7:41" x14ac:dyDescent="0.35">
      <c r="G1991" s="77">
        <f t="shared" si="1491"/>
        <v>0</v>
      </c>
      <c r="H1991" s="78">
        <f t="shared" si="1492"/>
        <v>0</v>
      </c>
      <c r="I1991" s="77">
        <f t="shared" si="1493"/>
        <v>0</v>
      </c>
      <c r="J1991" s="78">
        <f t="shared" si="1494"/>
        <v>0</v>
      </c>
      <c r="K1991" s="78" t="str">
        <f t="shared" si="1495"/>
        <v>1900-01-00 00:0:00</v>
      </c>
      <c r="L1991" s="78" t="str">
        <f t="shared" si="1496"/>
        <v>1900-01-00 00:0:00</v>
      </c>
      <c r="M1991" s="79">
        <f t="shared" si="1497"/>
        <v>0</v>
      </c>
      <c r="N1991">
        <f t="shared" si="1522"/>
        <v>1</v>
      </c>
      <c r="O1991" t="str">
        <f>IFERROR(_xlfn.XLOOKUP(A1991,HC!A:A,HC!C:C),"")</f>
        <v>Workforce</v>
      </c>
      <c r="R1991" s="78" t="b">
        <f t="shared" si="1498"/>
        <v>0</v>
      </c>
      <c r="S1991" s="78" t="b">
        <f t="shared" si="1499"/>
        <v>0</v>
      </c>
      <c r="T1991" s="78" t="b">
        <f t="shared" si="1500"/>
        <v>0</v>
      </c>
      <c r="U1991" s="78" t="b">
        <f t="shared" si="1501"/>
        <v>0</v>
      </c>
      <c r="V1991" s="78" t="b">
        <f t="shared" si="1502"/>
        <v>0</v>
      </c>
      <c r="W1991" s="78" t="b">
        <f t="shared" si="1503"/>
        <v>0</v>
      </c>
      <c r="X1991" s="78" t="b">
        <f t="shared" si="1504"/>
        <v>0</v>
      </c>
      <c r="Y1991" s="78" t="b">
        <f t="shared" si="1505"/>
        <v>0</v>
      </c>
      <c r="Z1991" s="78" t="b">
        <f t="shared" si="1506"/>
        <v>0</v>
      </c>
      <c r="AA1991" s="78" t="b">
        <f t="shared" si="1507"/>
        <v>0</v>
      </c>
      <c r="AB1991" s="78" t="b">
        <f t="shared" si="1508"/>
        <v>0</v>
      </c>
      <c r="AC1991" s="78" t="b">
        <f t="shared" si="1509"/>
        <v>0</v>
      </c>
      <c r="AD1991" s="78" t="b">
        <f t="shared" si="1510"/>
        <v>0</v>
      </c>
      <c r="AE1991" s="78" t="b">
        <f t="shared" si="1511"/>
        <v>0</v>
      </c>
      <c r="AF1991" s="78" t="b">
        <f t="shared" si="1512"/>
        <v>0</v>
      </c>
      <c r="AG1991" s="78" t="b">
        <f t="shared" si="1513"/>
        <v>0</v>
      </c>
      <c r="AH1991" s="78" t="b">
        <f t="shared" si="1514"/>
        <v>0</v>
      </c>
      <c r="AI1991" s="78" t="b">
        <f t="shared" si="1515"/>
        <v>0</v>
      </c>
      <c r="AJ1991" s="78" t="b">
        <f t="shared" si="1516"/>
        <v>0</v>
      </c>
      <c r="AK1991" s="78" t="b">
        <f t="shared" si="1517"/>
        <v>0</v>
      </c>
      <c r="AL1991" s="78" t="b">
        <f t="shared" si="1518"/>
        <v>0</v>
      </c>
      <c r="AM1991" s="78" t="b">
        <f t="shared" si="1519"/>
        <v>0</v>
      </c>
      <c r="AN1991" s="78" t="b">
        <f t="shared" si="1520"/>
        <v>0</v>
      </c>
      <c r="AO1991" s="78" t="b">
        <f t="shared" si="1521"/>
        <v>0</v>
      </c>
    </row>
    <row r="1992" spans="7:41" x14ac:dyDescent="0.35">
      <c r="G1992" s="77">
        <f t="shared" si="1491"/>
        <v>0</v>
      </c>
      <c r="H1992" s="78">
        <f t="shared" si="1492"/>
        <v>0</v>
      </c>
      <c r="I1992" s="77">
        <f t="shared" si="1493"/>
        <v>0</v>
      </c>
      <c r="J1992" s="78">
        <f t="shared" si="1494"/>
        <v>0</v>
      </c>
      <c r="K1992" s="78" t="str">
        <f t="shared" si="1495"/>
        <v>1900-01-00 00:0:00</v>
      </c>
      <c r="L1992" s="78" t="str">
        <f t="shared" si="1496"/>
        <v>1900-01-00 00:0:00</v>
      </c>
      <c r="M1992" s="79">
        <f t="shared" si="1497"/>
        <v>0</v>
      </c>
      <c r="N1992">
        <f t="shared" si="1522"/>
        <v>1</v>
      </c>
      <c r="O1992" t="str">
        <f>IFERROR(_xlfn.XLOOKUP(A1992,HC!A:A,HC!C:C),"")</f>
        <v>Workforce</v>
      </c>
      <c r="R1992" s="78" t="b">
        <f t="shared" si="1498"/>
        <v>0</v>
      </c>
      <c r="S1992" s="78" t="b">
        <f t="shared" si="1499"/>
        <v>0</v>
      </c>
      <c r="T1992" s="78" t="b">
        <f t="shared" si="1500"/>
        <v>0</v>
      </c>
      <c r="U1992" s="78" t="b">
        <f t="shared" si="1501"/>
        <v>0</v>
      </c>
      <c r="V1992" s="78" t="b">
        <f t="shared" si="1502"/>
        <v>0</v>
      </c>
      <c r="W1992" s="78" t="b">
        <f t="shared" si="1503"/>
        <v>0</v>
      </c>
      <c r="X1992" s="78" t="b">
        <f t="shared" si="1504"/>
        <v>0</v>
      </c>
      <c r="Y1992" s="78" t="b">
        <f t="shared" si="1505"/>
        <v>0</v>
      </c>
      <c r="Z1992" s="78" t="b">
        <f t="shared" si="1506"/>
        <v>0</v>
      </c>
      <c r="AA1992" s="78" t="b">
        <f t="shared" si="1507"/>
        <v>0</v>
      </c>
      <c r="AB1992" s="78" t="b">
        <f t="shared" si="1508"/>
        <v>0</v>
      </c>
      <c r="AC1992" s="78" t="b">
        <f t="shared" si="1509"/>
        <v>0</v>
      </c>
      <c r="AD1992" s="78" t="b">
        <f t="shared" si="1510"/>
        <v>0</v>
      </c>
      <c r="AE1992" s="78" t="b">
        <f t="shared" si="1511"/>
        <v>0</v>
      </c>
      <c r="AF1992" s="78" t="b">
        <f t="shared" si="1512"/>
        <v>0</v>
      </c>
      <c r="AG1992" s="78" t="b">
        <f t="shared" si="1513"/>
        <v>0</v>
      </c>
      <c r="AH1992" s="78" t="b">
        <f t="shared" si="1514"/>
        <v>0</v>
      </c>
      <c r="AI1992" s="78" t="b">
        <f t="shared" si="1515"/>
        <v>0</v>
      </c>
      <c r="AJ1992" s="78" t="b">
        <f t="shared" si="1516"/>
        <v>0</v>
      </c>
      <c r="AK1992" s="78" t="b">
        <f t="shared" si="1517"/>
        <v>0</v>
      </c>
      <c r="AL1992" s="78" t="b">
        <f t="shared" si="1518"/>
        <v>0</v>
      </c>
      <c r="AM1992" s="78" t="b">
        <f t="shared" si="1519"/>
        <v>0</v>
      </c>
      <c r="AN1992" s="78" t="b">
        <f t="shared" si="1520"/>
        <v>0</v>
      </c>
      <c r="AO1992" s="78" t="b">
        <f t="shared" si="1521"/>
        <v>0</v>
      </c>
    </row>
    <row r="1993" spans="7:41" x14ac:dyDescent="0.35">
      <c r="G1993" s="77">
        <f t="shared" si="1491"/>
        <v>0</v>
      </c>
      <c r="H1993" s="78">
        <f t="shared" si="1492"/>
        <v>0</v>
      </c>
      <c r="I1993" s="77">
        <f t="shared" si="1493"/>
        <v>0</v>
      </c>
      <c r="J1993" s="78">
        <f t="shared" si="1494"/>
        <v>0</v>
      </c>
      <c r="K1993" s="78" t="str">
        <f t="shared" si="1495"/>
        <v>1900-01-00 00:0:00</v>
      </c>
      <c r="L1993" s="78" t="str">
        <f t="shared" si="1496"/>
        <v>1900-01-00 00:0:00</v>
      </c>
      <c r="M1993" s="79">
        <f t="shared" si="1497"/>
        <v>0</v>
      </c>
      <c r="N1993">
        <f t="shared" si="1522"/>
        <v>1</v>
      </c>
      <c r="O1993" t="str">
        <f>IFERROR(_xlfn.XLOOKUP(A1993,HC!A:A,HC!C:C),"")</f>
        <v>Workforce</v>
      </c>
      <c r="R1993" s="78" t="b">
        <f t="shared" si="1498"/>
        <v>0</v>
      </c>
      <c r="S1993" s="78" t="b">
        <f t="shared" si="1499"/>
        <v>0</v>
      </c>
      <c r="T1993" s="78" t="b">
        <f t="shared" si="1500"/>
        <v>0</v>
      </c>
      <c r="U1993" s="78" t="b">
        <f t="shared" si="1501"/>
        <v>0</v>
      </c>
      <c r="V1993" s="78" t="b">
        <f t="shared" si="1502"/>
        <v>0</v>
      </c>
      <c r="W1993" s="78" t="b">
        <f t="shared" si="1503"/>
        <v>0</v>
      </c>
      <c r="X1993" s="78" t="b">
        <f t="shared" si="1504"/>
        <v>0</v>
      </c>
      <c r="Y1993" s="78" t="b">
        <f t="shared" si="1505"/>
        <v>0</v>
      </c>
      <c r="Z1993" s="78" t="b">
        <f t="shared" si="1506"/>
        <v>0</v>
      </c>
      <c r="AA1993" s="78" t="b">
        <f t="shared" si="1507"/>
        <v>0</v>
      </c>
      <c r="AB1993" s="78" t="b">
        <f t="shared" si="1508"/>
        <v>0</v>
      </c>
      <c r="AC1993" s="78" t="b">
        <f t="shared" si="1509"/>
        <v>0</v>
      </c>
      <c r="AD1993" s="78" t="b">
        <f t="shared" si="1510"/>
        <v>0</v>
      </c>
      <c r="AE1993" s="78" t="b">
        <f t="shared" si="1511"/>
        <v>0</v>
      </c>
      <c r="AF1993" s="78" t="b">
        <f t="shared" si="1512"/>
        <v>0</v>
      </c>
      <c r="AG1993" s="78" t="b">
        <f t="shared" si="1513"/>
        <v>0</v>
      </c>
      <c r="AH1993" s="78" t="b">
        <f t="shared" si="1514"/>
        <v>0</v>
      </c>
      <c r="AI1993" s="78" t="b">
        <f t="shared" si="1515"/>
        <v>0</v>
      </c>
      <c r="AJ1993" s="78" t="b">
        <f t="shared" si="1516"/>
        <v>0</v>
      </c>
      <c r="AK1993" s="78" t="b">
        <f t="shared" si="1517"/>
        <v>0</v>
      </c>
      <c r="AL1993" s="78" t="b">
        <f t="shared" si="1518"/>
        <v>0</v>
      </c>
      <c r="AM1993" s="78" t="b">
        <f t="shared" si="1519"/>
        <v>0</v>
      </c>
      <c r="AN1993" s="78" t="b">
        <f t="shared" si="1520"/>
        <v>0</v>
      </c>
      <c r="AO1993" s="78" t="b">
        <f t="shared" si="1521"/>
        <v>0</v>
      </c>
    </row>
    <row r="1994" spans="7:41" x14ac:dyDescent="0.35">
      <c r="G1994" s="77">
        <f t="shared" si="1491"/>
        <v>0</v>
      </c>
      <c r="H1994" s="78">
        <f t="shared" si="1492"/>
        <v>0</v>
      </c>
      <c r="I1994" s="77">
        <f t="shared" si="1493"/>
        <v>0</v>
      </c>
      <c r="J1994" s="78">
        <f t="shared" si="1494"/>
        <v>0</v>
      </c>
      <c r="K1994" s="78" t="str">
        <f t="shared" si="1495"/>
        <v>1900-01-00 00:0:00</v>
      </c>
      <c r="L1994" s="78" t="str">
        <f t="shared" si="1496"/>
        <v>1900-01-00 00:0:00</v>
      </c>
      <c r="M1994" s="79">
        <f t="shared" si="1497"/>
        <v>0</v>
      </c>
      <c r="N1994">
        <f t="shared" si="1522"/>
        <v>1</v>
      </c>
      <c r="O1994" t="str">
        <f>IFERROR(_xlfn.XLOOKUP(A1994,HC!A:A,HC!C:C),"")</f>
        <v>Workforce</v>
      </c>
      <c r="R1994" s="78" t="b">
        <f t="shared" si="1498"/>
        <v>0</v>
      </c>
      <c r="S1994" s="78" t="b">
        <f t="shared" si="1499"/>
        <v>0</v>
      </c>
      <c r="T1994" s="78" t="b">
        <f t="shared" si="1500"/>
        <v>0</v>
      </c>
      <c r="U1994" s="78" t="b">
        <f t="shared" si="1501"/>
        <v>0</v>
      </c>
      <c r="V1994" s="78" t="b">
        <f t="shared" si="1502"/>
        <v>0</v>
      </c>
      <c r="W1994" s="78" t="b">
        <f t="shared" si="1503"/>
        <v>0</v>
      </c>
      <c r="X1994" s="78" t="b">
        <f t="shared" si="1504"/>
        <v>0</v>
      </c>
      <c r="Y1994" s="78" t="b">
        <f t="shared" si="1505"/>
        <v>0</v>
      </c>
      <c r="Z1994" s="78" t="b">
        <f t="shared" si="1506"/>
        <v>0</v>
      </c>
      <c r="AA1994" s="78" t="b">
        <f t="shared" si="1507"/>
        <v>0</v>
      </c>
      <c r="AB1994" s="78" t="b">
        <f t="shared" si="1508"/>
        <v>0</v>
      </c>
      <c r="AC1994" s="78" t="b">
        <f t="shared" si="1509"/>
        <v>0</v>
      </c>
      <c r="AD1994" s="78" t="b">
        <f t="shared" si="1510"/>
        <v>0</v>
      </c>
      <c r="AE1994" s="78" t="b">
        <f t="shared" si="1511"/>
        <v>0</v>
      </c>
      <c r="AF1994" s="78" t="b">
        <f t="shared" si="1512"/>
        <v>0</v>
      </c>
      <c r="AG1994" s="78" t="b">
        <f t="shared" si="1513"/>
        <v>0</v>
      </c>
      <c r="AH1994" s="78" t="b">
        <f t="shared" si="1514"/>
        <v>0</v>
      </c>
      <c r="AI1994" s="78" t="b">
        <f t="shared" si="1515"/>
        <v>0</v>
      </c>
      <c r="AJ1994" s="78" t="b">
        <f t="shared" si="1516"/>
        <v>0</v>
      </c>
      <c r="AK1994" s="78" t="b">
        <f t="shared" si="1517"/>
        <v>0</v>
      </c>
      <c r="AL1994" s="78" t="b">
        <f t="shared" si="1518"/>
        <v>0</v>
      </c>
      <c r="AM1994" s="78" t="b">
        <f t="shared" si="1519"/>
        <v>0</v>
      </c>
      <c r="AN1994" s="78" t="b">
        <f t="shared" si="1520"/>
        <v>0</v>
      </c>
      <c r="AO1994" s="78" t="b">
        <f t="shared" si="1521"/>
        <v>0</v>
      </c>
    </row>
    <row r="1995" spans="7:41" x14ac:dyDescent="0.35">
      <c r="G1995" s="77">
        <f t="shared" si="1491"/>
        <v>0</v>
      </c>
      <c r="H1995" s="78">
        <f t="shared" si="1492"/>
        <v>0</v>
      </c>
      <c r="I1995" s="77">
        <f t="shared" si="1493"/>
        <v>0</v>
      </c>
      <c r="J1995" s="78">
        <f t="shared" si="1494"/>
        <v>0</v>
      </c>
      <c r="K1995" s="78" t="str">
        <f t="shared" si="1495"/>
        <v>1900-01-00 00:0:00</v>
      </c>
      <c r="L1995" s="78" t="str">
        <f t="shared" si="1496"/>
        <v>1900-01-00 00:0:00</v>
      </c>
      <c r="M1995" s="79">
        <f t="shared" si="1497"/>
        <v>0</v>
      </c>
      <c r="N1995">
        <f t="shared" si="1522"/>
        <v>1</v>
      </c>
      <c r="O1995" t="str">
        <f>IFERROR(_xlfn.XLOOKUP(A1995,HC!A:A,HC!C:C),"")</f>
        <v>Workforce</v>
      </c>
      <c r="R1995" s="78" t="b">
        <f t="shared" si="1498"/>
        <v>0</v>
      </c>
      <c r="S1995" s="78" t="b">
        <f t="shared" si="1499"/>
        <v>0</v>
      </c>
      <c r="T1995" s="78" t="b">
        <f t="shared" si="1500"/>
        <v>0</v>
      </c>
      <c r="U1995" s="78" t="b">
        <f t="shared" si="1501"/>
        <v>0</v>
      </c>
      <c r="V1995" s="78" t="b">
        <f t="shared" si="1502"/>
        <v>0</v>
      </c>
      <c r="W1995" s="78" t="b">
        <f t="shared" si="1503"/>
        <v>0</v>
      </c>
      <c r="X1995" s="78" t="b">
        <f t="shared" si="1504"/>
        <v>0</v>
      </c>
      <c r="Y1995" s="78" t="b">
        <f t="shared" si="1505"/>
        <v>0</v>
      </c>
      <c r="Z1995" s="78" t="b">
        <f t="shared" si="1506"/>
        <v>0</v>
      </c>
      <c r="AA1995" s="78" t="b">
        <f t="shared" si="1507"/>
        <v>0</v>
      </c>
      <c r="AB1995" s="78" t="b">
        <f t="shared" si="1508"/>
        <v>0</v>
      </c>
      <c r="AC1995" s="78" t="b">
        <f t="shared" si="1509"/>
        <v>0</v>
      </c>
      <c r="AD1995" s="78" t="b">
        <f t="shared" si="1510"/>
        <v>0</v>
      </c>
      <c r="AE1995" s="78" t="b">
        <f t="shared" si="1511"/>
        <v>0</v>
      </c>
      <c r="AF1995" s="78" t="b">
        <f t="shared" si="1512"/>
        <v>0</v>
      </c>
      <c r="AG1995" s="78" t="b">
        <f t="shared" si="1513"/>
        <v>0</v>
      </c>
      <c r="AH1995" s="78" t="b">
        <f t="shared" si="1514"/>
        <v>0</v>
      </c>
      <c r="AI1995" s="78" t="b">
        <f t="shared" si="1515"/>
        <v>0</v>
      </c>
      <c r="AJ1995" s="78" t="b">
        <f t="shared" si="1516"/>
        <v>0</v>
      </c>
      <c r="AK1995" s="78" t="b">
        <f t="shared" si="1517"/>
        <v>0</v>
      </c>
      <c r="AL1995" s="78" t="b">
        <f t="shared" si="1518"/>
        <v>0</v>
      </c>
      <c r="AM1995" s="78" t="b">
        <f t="shared" si="1519"/>
        <v>0</v>
      </c>
      <c r="AN1995" s="78" t="b">
        <f t="shared" si="1520"/>
        <v>0</v>
      </c>
      <c r="AO1995" s="78" t="b">
        <f t="shared" si="1521"/>
        <v>0</v>
      </c>
    </row>
    <row r="1996" spans="7:41" x14ac:dyDescent="0.35">
      <c r="G1996" s="77">
        <f t="shared" si="1491"/>
        <v>0</v>
      </c>
      <c r="H1996" s="78">
        <f t="shared" si="1492"/>
        <v>0</v>
      </c>
      <c r="I1996" s="77">
        <f t="shared" si="1493"/>
        <v>0</v>
      </c>
      <c r="J1996" s="78">
        <f t="shared" si="1494"/>
        <v>0</v>
      </c>
      <c r="K1996" s="78" t="str">
        <f t="shared" si="1495"/>
        <v>1900-01-00 00:0:00</v>
      </c>
      <c r="L1996" s="78" t="str">
        <f t="shared" si="1496"/>
        <v>1900-01-00 00:0:00</v>
      </c>
      <c r="M1996" s="79">
        <f t="shared" si="1497"/>
        <v>0</v>
      </c>
      <c r="N1996">
        <f t="shared" si="1522"/>
        <v>1</v>
      </c>
      <c r="O1996" t="str">
        <f>IFERROR(_xlfn.XLOOKUP(A1996,HC!A:A,HC!C:C),"")</f>
        <v>Workforce</v>
      </c>
      <c r="R1996" s="78" t="b">
        <f t="shared" si="1498"/>
        <v>0</v>
      </c>
      <c r="S1996" s="78" t="b">
        <f t="shared" si="1499"/>
        <v>0</v>
      </c>
      <c r="T1996" s="78" t="b">
        <f t="shared" si="1500"/>
        <v>0</v>
      </c>
      <c r="U1996" s="78" t="b">
        <f t="shared" si="1501"/>
        <v>0</v>
      </c>
      <c r="V1996" s="78" t="b">
        <f t="shared" si="1502"/>
        <v>0</v>
      </c>
      <c r="W1996" s="78" t="b">
        <f t="shared" si="1503"/>
        <v>0</v>
      </c>
      <c r="X1996" s="78" t="b">
        <f t="shared" si="1504"/>
        <v>0</v>
      </c>
      <c r="Y1996" s="78" t="b">
        <f t="shared" si="1505"/>
        <v>0</v>
      </c>
      <c r="Z1996" s="78" t="b">
        <f t="shared" si="1506"/>
        <v>0</v>
      </c>
      <c r="AA1996" s="78" t="b">
        <f t="shared" si="1507"/>
        <v>0</v>
      </c>
      <c r="AB1996" s="78" t="b">
        <f t="shared" si="1508"/>
        <v>0</v>
      </c>
      <c r="AC1996" s="78" t="b">
        <f t="shared" si="1509"/>
        <v>0</v>
      </c>
      <c r="AD1996" s="78" t="b">
        <f t="shared" si="1510"/>
        <v>0</v>
      </c>
      <c r="AE1996" s="78" t="b">
        <f t="shared" si="1511"/>
        <v>0</v>
      </c>
      <c r="AF1996" s="78" t="b">
        <f t="shared" si="1512"/>
        <v>0</v>
      </c>
      <c r="AG1996" s="78" t="b">
        <f t="shared" si="1513"/>
        <v>0</v>
      </c>
      <c r="AH1996" s="78" t="b">
        <f t="shared" si="1514"/>
        <v>0</v>
      </c>
      <c r="AI1996" s="78" t="b">
        <f t="shared" si="1515"/>
        <v>0</v>
      </c>
      <c r="AJ1996" s="78" t="b">
        <f t="shared" si="1516"/>
        <v>0</v>
      </c>
      <c r="AK1996" s="78" t="b">
        <f t="shared" si="1517"/>
        <v>0</v>
      </c>
      <c r="AL1996" s="78" t="b">
        <f t="shared" si="1518"/>
        <v>0</v>
      </c>
      <c r="AM1996" s="78" t="b">
        <f t="shared" si="1519"/>
        <v>0</v>
      </c>
      <c r="AN1996" s="78" t="b">
        <f t="shared" si="1520"/>
        <v>0</v>
      </c>
      <c r="AO1996" s="78" t="b">
        <f t="shared" si="1521"/>
        <v>0</v>
      </c>
    </row>
    <row r="1997" spans="7:41" x14ac:dyDescent="0.35">
      <c r="G1997" s="77">
        <f t="shared" si="1491"/>
        <v>0</v>
      </c>
      <c r="H1997" s="78">
        <f t="shared" si="1492"/>
        <v>0</v>
      </c>
      <c r="I1997" s="77">
        <f t="shared" si="1493"/>
        <v>0</v>
      </c>
      <c r="J1997" s="78">
        <f t="shared" si="1494"/>
        <v>0</v>
      </c>
      <c r="K1997" s="78" t="str">
        <f t="shared" si="1495"/>
        <v>1900-01-00 00:0:00</v>
      </c>
      <c r="L1997" s="78" t="str">
        <f t="shared" si="1496"/>
        <v>1900-01-00 00:0:00</v>
      </c>
      <c r="M1997" s="79">
        <f t="shared" si="1497"/>
        <v>0</v>
      </c>
      <c r="N1997">
        <f t="shared" si="1522"/>
        <v>1</v>
      </c>
      <c r="O1997" t="str">
        <f>IFERROR(_xlfn.XLOOKUP(A1997,HC!A:A,HC!C:C),"")</f>
        <v>Workforce</v>
      </c>
      <c r="R1997" s="78" t="b">
        <f t="shared" si="1498"/>
        <v>0</v>
      </c>
      <c r="S1997" s="78" t="b">
        <f t="shared" si="1499"/>
        <v>0</v>
      </c>
      <c r="T1997" s="78" t="b">
        <f t="shared" si="1500"/>
        <v>0</v>
      </c>
      <c r="U1997" s="78" t="b">
        <f t="shared" si="1501"/>
        <v>0</v>
      </c>
      <c r="V1997" s="78" t="b">
        <f t="shared" si="1502"/>
        <v>0</v>
      </c>
      <c r="W1997" s="78" t="b">
        <f t="shared" si="1503"/>
        <v>0</v>
      </c>
      <c r="X1997" s="78" t="b">
        <f t="shared" si="1504"/>
        <v>0</v>
      </c>
      <c r="Y1997" s="78" t="b">
        <f t="shared" si="1505"/>
        <v>0</v>
      </c>
      <c r="Z1997" s="78" t="b">
        <f t="shared" si="1506"/>
        <v>0</v>
      </c>
      <c r="AA1997" s="78" t="b">
        <f t="shared" si="1507"/>
        <v>0</v>
      </c>
      <c r="AB1997" s="78" t="b">
        <f t="shared" si="1508"/>
        <v>0</v>
      </c>
      <c r="AC1997" s="78" t="b">
        <f t="shared" si="1509"/>
        <v>0</v>
      </c>
      <c r="AD1997" s="78" t="b">
        <f t="shared" si="1510"/>
        <v>0</v>
      </c>
      <c r="AE1997" s="78" t="b">
        <f t="shared" si="1511"/>
        <v>0</v>
      </c>
      <c r="AF1997" s="78" t="b">
        <f t="shared" si="1512"/>
        <v>0</v>
      </c>
      <c r="AG1997" s="78" t="b">
        <f t="shared" si="1513"/>
        <v>0</v>
      </c>
      <c r="AH1997" s="78" t="b">
        <f t="shared" si="1514"/>
        <v>0</v>
      </c>
      <c r="AI1997" s="78" t="b">
        <f t="shared" si="1515"/>
        <v>0</v>
      </c>
      <c r="AJ1997" s="78" t="b">
        <f t="shared" si="1516"/>
        <v>0</v>
      </c>
      <c r="AK1997" s="78" t="b">
        <f t="shared" si="1517"/>
        <v>0</v>
      </c>
      <c r="AL1997" s="78" t="b">
        <f t="shared" si="1518"/>
        <v>0</v>
      </c>
      <c r="AM1997" s="78" t="b">
        <f t="shared" si="1519"/>
        <v>0</v>
      </c>
      <c r="AN1997" s="78" t="b">
        <f t="shared" si="1520"/>
        <v>0</v>
      </c>
      <c r="AO1997" s="78" t="b">
        <f t="shared" si="1521"/>
        <v>0</v>
      </c>
    </row>
    <row r="1998" spans="7:41" x14ac:dyDescent="0.35">
      <c r="G1998" s="77">
        <f t="shared" si="1491"/>
        <v>0</v>
      </c>
      <c r="H1998" s="78">
        <f t="shared" si="1492"/>
        <v>0</v>
      </c>
      <c r="I1998" s="77">
        <f t="shared" si="1493"/>
        <v>0</v>
      </c>
      <c r="J1998" s="78">
        <f t="shared" si="1494"/>
        <v>0</v>
      </c>
      <c r="K1998" s="78" t="str">
        <f t="shared" si="1495"/>
        <v>1900-01-00 00:0:00</v>
      </c>
      <c r="L1998" s="78" t="str">
        <f t="shared" si="1496"/>
        <v>1900-01-00 00:0:00</v>
      </c>
      <c r="M1998" s="79">
        <f t="shared" si="1497"/>
        <v>0</v>
      </c>
      <c r="N1998">
        <f t="shared" si="1522"/>
        <v>1</v>
      </c>
      <c r="O1998" t="str">
        <f>IFERROR(_xlfn.XLOOKUP(A1998,HC!A:A,HC!C:C),"")</f>
        <v>Workforce</v>
      </c>
      <c r="R1998" s="78" t="b">
        <f t="shared" si="1498"/>
        <v>0</v>
      </c>
      <c r="S1998" s="78" t="b">
        <f t="shared" si="1499"/>
        <v>0</v>
      </c>
      <c r="T1998" s="78" t="b">
        <f t="shared" si="1500"/>
        <v>0</v>
      </c>
      <c r="U1998" s="78" t="b">
        <f t="shared" si="1501"/>
        <v>0</v>
      </c>
      <c r="V1998" s="78" t="b">
        <f t="shared" si="1502"/>
        <v>0</v>
      </c>
      <c r="W1998" s="78" t="b">
        <f t="shared" si="1503"/>
        <v>0</v>
      </c>
      <c r="X1998" s="78" t="b">
        <f t="shared" si="1504"/>
        <v>0</v>
      </c>
      <c r="Y1998" s="78" t="b">
        <f t="shared" si="1505"/>
        <v>0</v>
      </c>
      <c r="Z1998" s="78" t="b">
        <f t="shared" si="1506"/>
        <v>0</v>
      </c>
      <c r="AA1998" s="78" t="b">
        <f t="shared" si="1507"/>
        <v>0</v>
      </c>
      <c r="AB1998" s="78" t="b">
        <f t="shared" si="1508"/>
        <v>0</v>
      </c>
      <c r="AC1998" s="78" t="b">
        <f t="shared" si="1509"/>
        <v>0</v>
      </c>
      <c r="AD1998" s="78" t="b">
        <f t="shared" si="1510"/>
        <v>0</v>
      </c>
      <c r="AE1998" s="78" t="b">
        <f t="shared" si="1511"/>
        <v>0</v>
      </c>
      <c r="AF1998" s="78" t="b">
        <f t="shared" si="1512"/>
        <v>0</v>
      </c>
      <c r="AG1998" s="78" t="b">
        <f t="shared" si="1513"/>
        <v>0</v>
      </c>
      <c r="AH1998" s="78" t="b">
        <f t="shared" si="1514"/>
        <v>0</v>
      </c>
      <c r="AI1998" s="78" t="b">
        <f t="shared" si="1515"/>
        <v>0</v>
      </c>
      <c r="AJ1998" s="78" t="b">
        <f t="shared" si="1516"/>
        <v>0</v>
      </c>
      <c r="AK1998" s="78" t="b">
        <f t="shared" si="1517"/>
        <v>0</v>
      </c>
      <c r="AL1998" s="78" t="b">
        <f t="shared" si="1518"/>
        <v>0</v>
      </c>
      <c r="AM1998" s="78" t="b">
        <f t="shared" si="1519"/>
        <v>0</v>
      </c>
      <c r="AN1998" s="78" t="b">
        <f t="shared" si="1520"/>
        <v>0</v>
      </c>
      <c r="AO1998" s="78" t="b">
        <f t="shared" si="1521"/>
        <v>0</v>
      </c>
    </row>
    <row r="1999" spans="7:41" x14ac:dyDescent="0.35">
      <c r="G1999" s="77">
        <f t="shared" si="1491"/>
        <v>0</v>
      </c>
      <c r="H1999" s="78">
        <f t="shared" si="1492"/>
        <v>0</v>
      </c>
      <c r="I1999" s="77">
        <f t="shared" si="1493"/>
        <v>0</v>
      </c>
      <c r="J1999" s="78">
        <f t="shared" si="1494"/>
        <v>0</v>
      </c>
      <c r="K1999" s="78" t="str">
        <f t="shared" si="1495"/>
        <v>1900-01-00 00:0:00</v>
      </c>
      <c r="L1999" s="78" t="str">
        <f t="shared" si="1496"/>
        <v>1900-01-00 00:0:00</v>
      </c>
      <c r="M1999" s="79">
        <f t="shared" si="1497"/>
        <v>0</v>
      </c>
      <c r="N1999">
        <f t="shared" si="1522"/>
        <v>1</v>
      </c>
      <c r="O1999" t="str">
        <f>IFERROR(_xlfn.XLOOKUP(A1999,HC!A:A,HC!C:C),"")</f>
        <v>Workforce</v>
      </c>
      <c r="R1999" s="78" t="b">
        <f t="shared" si="1498"/>
        <v>0</v>
      </c>
      <c r="S1999" s="78" t="b">
        <f t="shared" si="1499"/>
        <v>0</v>
      </c>
      <c r="T1999" s="78" t="b">
        <f t="shared" si="1500"/>
        <v>0</v>
      </c>
      <c r="U1999" s="78" t="b">
        <f t="shared" si="1501"/>
        <v>0</v>
      </c>
      <c r="V1999" s="78" t="b">
        <f t="shared" si="1502"/>
        <v>0</v>
      </c>
      <c r="W1999" s="78" t="b">
        <f t="shared" si="1503"/>
        <v>0</v>
      </c>
      <c r="X1999" s="78" t="b">
        <f t="shared" si="1504"/>
        <v>0</v>
      </c>
      <c r="Y1999" s="78" t="b">
        <f t="shared" si="1505"/>
        <v>0</v>
      </c>
      <c r="Z1999" s="78" t="b">
        <f t="shared" si="1506"/>
        <v>0</v>
      </c>
      <c r="AA1999" s="78" t="b">
        <f t="shared" si="1507"/>
        <v>0</v>
      </c>
      <c r="AB1999" s="78" t="b">
        <f t="shared" si="1508"/>
        <v>0</v>
      </c>
      <c r="AC1999" s="78" t="b">
        <f t="shared" si="1509"/>
        <v>0</v>
      </c>
      <c r="AD1999" s="78" t="b">
        <f t="shared" si="1510"/>
        <v>0</v>
      </c>
      <c r="AE1999" s="78" t="b">
        <f t="shared" si="1511"/>
        <v>0</v>
      </c>
      <c r="AF1999" s="78" t="b">
        <f t="shared" si="1512"/>
        <v>0</v>
      </c>
      <c r="AG1999" s="78" t="b">
        <f t="shared" si="1513"/>
        <v>0</v>
      </c>
      <c r="AH1999" s="78" t="b">
        <f t="shared" si="1514"/>
        <v>0</v>
      </c>
      <c r="AI1999" s="78" t="b">
        <f t="shared" si="1515"/>
        <v>0</v>
      </c>
      <c r="AJ1999" s="78" t="b">
        <f t="shared" si="1516"/>
        <v>0</v>
      </c>
      <c r="AK1999" s="78" t="b">
        <f t="shared" si="1517"/>
        <v>0</v>
      </c>
      <c r="AL1999" s="78" t="b">
        <f t="shared" si="1518"/>
        <v>0</v>
      </c>
      <c r="AM1999" s="78" t="b">
        <f t="shared" si="1519"/>
        <v>0</v>
      </c>
      <c r="AN1999" s="78" t="b">
        <f t="shared" si="1520"/>
        <v>0</v>
      </c>
      <c r="AO1999" s="78" t="b">
        <f t="shared" si="1521"/>
        <v>0</v>
      </c>
    </row>
    <row r="2000" spans="7:41" x14ac:dyDescent="0.35">
      <c r="G2000" s="77">
        <f t="shared" si="1491"/>
        <v>0</v>
      </c>
      <c r="H2000" s="78">
        <f t="shared" si="1492"/>
        <v>0</v>
      </c>
      <c r="I2000" s="77">
        <f t="shared" si="1493"/>
        <v>0</v>
      </c>
      <c r="J2000" s="78">
        <f t="shared" si="1494"/>
        <v>0</v>
      </c>
      <c r="K2000" s="78" t="str">
        <f t="shared" si="1495"/>
        <v>1900-01-00 00:0:00</v>
      </c>
      <c r="L2000" s="78" t="str">
        <f t="shared" si="1496"/>
        <v>1900-01-00 00:0:00</v>
      </c>
      <c r="M2000" s="79">
        <f t="shared" si="1497"/>
        <v>0</v>
      </c>
      <c r="N2000">
        <f t="shared" si="1522"/>
        <v>1</v>
      </c>
      <c r="O2000" t="str">
        <f>IFERROR(_xlfn.XLOOKUP(A2000,HC!A:A,HC!C:C),"")</f>
        <v>Workforce</v>
      </c>
      <c r="R2000" s="78" t="b">
        <f t="shared" si="1498"/>
        <v>0</v>
      </c>
      <c r="S2000" s="78" t="b">
        <f t="shared" si="1499"/>
        <v>0</v>
      </c>
      <c r="T2000" s="78" t="b">
        <f t="shared" si="1500"/>
        <v>0</v>
      </c>
      <c r="U2000" s="78" t="b">
        <f t="shared" si="1501"/>
        <v>0</v>
      </c>
      <c r="V2000" s="78" t="b">
        <f t="shared" si="1502"/>
        <v>0</v>
      </c>
      <c r="W2000" s="78" t="b">
        <f t="shared" si="1503"/>
        <v>0</v>
      </c>
      <c r="X2000" s="78" t="b">
        <f t="shared" si="1504"/>
        <v>0</v>
      </c>
      <c r="Y2000" s="78" t="b">
        <f t="shared" si="1505"/>
        <v>0</v>
      </c>
      <c r="Z2000" s="78" t="b">
        <f t="shared" si="1506"/>
        <v>0</v>
      </c>
      <c r="AA2000" s="78" t="b">
        <f t="shared" si="1507"/>
        <v>0</v>
      </c>
      <c r="AB2000" s="78" t="b">
        <f t="shared" si="1508"/>
        <v>0</v>
      </c>
      <c r="AC2000" s="78" t="b">
        <f t="shared" si="1509"/>
        <v>0</v>
      </c>
      <c r="AD2000" s="78" t="b">
        <f t="shared" si="1510"/>
        <v>0</v>
      </c>
      <c r="AE2000" s="78" t="b">
        <f t="shared" si="1511"/>
        <v>0</v>
      </c>
      <c r="AF2000" s="78" t="b">
        <f t="shared" si="1512"/>
        <v>0</v>
      </c>
      <c r="AG2000" s="78" t="b">
        <f t="shared" si="1513"/>
        <v>0</v>
      </c>
      <c r="AH2000" s="78" t="b">
        <f t="shared" si="1514"/>
        <v>0</v>
      </c>
      <c r="AI2000" s="78" t="b">
        <f t="shared" si="1515"/>
        <v>0</v>
      </c>
      <c r="AJ2000" s="78" t="b">
        <f t="shared" si="1516"/>
        <v>0</v>
      </c>
      <c r="AK2000" s="78" t="b">
        <f t="shared" si="1517"/>
        <v>0</v>
      </c>
      <c r="AL2000" s="78" t="b">
        <f t="shared" si="1518"/>
        <v>0</v>
      </c>
      <c r="AM2000" s="78" t="b">
        <f t="shared" si="1519"/>
        <v>0</v>
      </c>
      <c r="AN2000" s="78" t="b">
        <f t="shared" si="1520"/>
        <v>0</v>
      </c>
      <c r="AO2000" s="78" t="b">
        <f t="shared" si="1521"/>
        <v>0</v>
      </c>
    </row>
    <row r="2001" spans="7:41" x14ac:dyDescent="0.35">
      <c r="G2001" s="77">
        <f t="shared" si="1491"/>
        <v>0</v>
      </c>
      <c r="H2001" s="78">
        <f t="shared" si="1492"/>
        <v>0</v>
      </c>
      <c r="I2001" s="77">
        <f t="shared" si="1493"/>
        <v>0</v>
      </c>
      <c r="J2001" s="78">
        <f t="shared" si="1494"/>
        <v>0</v>
      </c>
      <c r="K2001" s="78" t="str">
        <f t="shared" si="1495"/>
        <v>1900-01-00 00:0:00</v>
      </c>
      <c r="L2001" s="78" t="str">
        <f t="shared" si="1496"/>
        <v>1900-01-00 00:0:00</v>
      </c>
      <c r="M2001" s="79">
        <f t="shared" si="1497"/>
        <v>0</v>
      </c>
      <c r="N2001">
        <f t="shared" si="1522"/>
        <v>1</v>
      </c>
      <c r="O2001" t="str">
        <f>IFERROR(_xlfn.XLOOKUP(A2001,HC!A:A,HC!C:C),"")</f>
        <v>Workforce</v>
      </c>
      <c r="R2001" s="78" t="b">
        <f t="shared" si="1498"/>
        <v>0</v>
      </c>
      <c r="S2001" s="78" t="b">
        <f t="shared" si="1499"/>
        <v>0</v>
      </c>
      <c r="T2001" s="78" t="b">
        <f t="shared" si="1500"/>
        <v>0</v>
      </c>
      <c r="U2001" s="78" t="b">
        <f t="shared" si="1501"/>
        <v>0</v>
      </c>
      <c r="V2001" s="78" t="b">
        <f t="shared" si="1502"/>
        <v>0</v>
      </c>
      <c r="W2001" s="78" t="b">
        <f t="shared" si="1503"/>
        <v>0</v>
      </c>
      <c r="X2001" s="78" t="b">
        <f t="shared" si="1504"/>
        <v>0</v>
      </c>
      <c r="Y2001" s="78" t="b">
        <f t="shared" si="1505"/>
        <v>0</v>
      </c>
      <c r="Z2001" s="78" t="b">
        <f t="shared" si="1506"/>
        <v>0</v>
      </c>
      <c r="AA2001" s="78" t="b">
        <f t="shared" si="1507"/>
        <v>0</v>
      </c>
      <c r="AB2001" s="78" t="b">
        <f t="shared" si="1508"/>
        <v>0</v>
      </c>
      <c r="AC2001" s="78" t="b">
        <f t="shared" si="1509"/>
        <v>0</v>
      </c>
      <c r="AD2001" s="78" t="b">
        <f t="shared" si="1510"/>
        <v>0</v>
      </c>
      <c r="AE2001" s="78" t="b">
        <f t="shared" si="1511"/>
        <v>0</v>
      </c>
      <c r="AF2001" s="78" t="b">
        <f t="shared" si="1512"/>
        <v>0</v>
      </c>
      <c r="AG2001" s="78" t="b">
        <f t="shared" si="1513"/>
        <v>0</v>
      </c>
      <c r="AH2001" s="78" t="b">
        <f t="shared" si="1514"/>
        <v>0</v>
      </c>
      <c r="AI2001" s="78" t="b">
        <f t="shared" si="1515"/>
        <v>0</v>
      </c>
      <c r="AJ2001" s="78" t="b">
        <f t="shared" si="1516"/>
        <v>0</v>
      </c>
      <c r="AK2001" s="78" t="b">
        <f t="shared" si="1517"/>
        <v>0</v>
      </c>
      <c r="AL2001" s="78" t="b">
        <f t="shared" si="1518"/>
        <v>0</v>
      </c>
      <c r="AM2001" s="78" t="b">
        <f t="shared" si="1519"/>
        <v>0</v>
      </c>
      <c r="AN2001" s="78" t="b">
        <f t="shared" si="1520"/>
        <v>0</v>
      </c>
      <c r="AO2001" s="78" t="b">
        <f t="shared" si="1521"/>
        <v>0</v>
      </c>
    </row>
    <row r="2002" spans="7:41" x14ac:dyDescent="0.35">
      <c r="G2002" s="77">
        <f t="shared" si="1491"/>
        <v>0</v>
      </c>
      <c r="H2002" s="78">
        <f t="shared" si="1492"/>
        <v>0</v>
      </c>
      <c r="I2002" s="77">
        <f t="shared" si="1493"/>
        <v>0</v>
      </c>
      <c r="J2002" s="78">
        <f t="shared" si="1494"/>
        <v>0</v>
      </c>
      <c r="K2002" s="78" t="str">
        <f t="shared" si="1495"/>
        <v>1900-01-00 00:0:00</v>
      </c>
      <c r="L2002" s="78" t="str">
        <f t="shared" si="1496"/>
        <v>1900-01-00 00:0:00</v>
      </c>
      <c r="M2002" s="79">
        <f t="shared" si="1497"/>
        <v>0</v>
      </c>
      <c r="N2002">
        <f t="shared" si="1522"/>
        <v>1</v>
      </c>
      <c r="O2002" t="str">
        <f>IFERROR(_xlfn.XLOOKUP(A2002,HC!A:A,HC!C:C),"")</f>
        <v>Workforce</v>
      </c>
      <c r="R2002" s="78" t="b">
        <f t="shared" si="1498"/>
        <v>0</v>
      </c>
      <c r="S2002" s="78" t="b">
        <f t="shared" si="1499"/>
        <v>0</v>
      </c>
      <c r="T2002" s="78" t="b">
        <f t="shared" si="1500"/>
        <v>0</v>
      </c>
      <c r="U2002" s="78" t="b">
        <f t="shared" si="1501"/>
        <v>0</v>
      </c>
      <c r="V2002" s="78" t="b">
        <f t="shared" si="1502"/>
        <v>0</v>
      </c>
      <c r="W2002" s="78" t="b">
        <f t="shared" si="1503"/>
        <v>0</v>
      </c>
      <c r="X2002" s="78" t="b">
        <f t="shared" si="1504"/>
        <v>0</v>
      </c>
      <c r="Y2002" s="78" t="b">
        <f t="shared" si="1505"/>
        <v>0</v>
      </c>
      <c r="Z2002" s="78" t="b">
        <f t="shared" si="1506"/>
        <v>0</v>
      </c>
      <c r="AA2002" s="78" t="b">
        <f t="shared" si="1507"/>
        <v>0</v>
      </c>
      <c r="AB2002" s="78" t="b">
        <f t="shared" si="1508"/>
        <v>0</v>
      </c>
      <c r="AC2002" s="78" t="b">
        <f t="shared" si="1509"/>
        <v>0</v>
      </c>
      <c r="AD2002" s="78" t="b">
        <f t="shared" si="1510"/>
        <v>0</v>
      </c>
      <c r="AE2002" s="78" t="b">
        <f t="shared" si="1511"/>
        <v>0</v>
      </c>
      <c r="AF2002" s="78" t="b">
        <f t="shared" si="1512"/>
        <v>0</v>
      </c>
      <c r="AG2002" s="78" t="b">
        <f t="shared" si="1513"/>
        <v>0</v>
      </c>
      <c r="AH2002" s="78" t="b">
        <f t="shared" si="1514"/>
        <v>0</v>
      </c>
      <c r="AI2002" s="78" t="b">
        <f t="shared" si="1515"/>
        <v>0</v>
      </c>
      <c r="AJ2002" s="78" t="b">
        <f t="shared" si="1516"/>
        <v>0</v>
      </c>
      <c r="AK2002" s="78" t="b">
        <f t="shared" si="1517"/>
        <v>0</v>
      </c>
      <c r="AL2002" s="78" t="b">
        <f t="shared" si="1518"/>
        <v>0</v>
      </c>
      <c r="AM2002" s="78" t="b">
        <f t="shared" si="1519"/>
        <v>0</v>
      </c>
      <c r="AN2002" s="78" t="b">
        <f t="shared" si="1520"/>
        <v>0</v>
      </c>
      <c r="AO2002" s="78" t="b">
        <f t="shared" si="1521"/>
        <v>0</v>
      </c>
    </row>
    <row r="2003" spans="7:41" x14ac:dyDescent="0.35">
      <c r="G2003" s="77">
        <f t="shared" si="1491"/>
        <v>0</v>
      </c>
      <c r="H2003" s="78">
        <f t="shared" si="1492"/>
        <v>0</v>
      </c>
      <c r="I2003" s="77">
        <f t="shared" si="1493"/>
        <v>0</v>
      </c>
      <c r="J2003" s="78">
        <f t="shared" si="1494"/>
        <v>0</v>
      </c>
      <c r="K2003" s="78" t="str">
        <f t="shared" si="1495"/>
        <v>1900-01-00 00:0:00</v>
      </c>
      <c r="L2003" s="78" t="str">
        <f t="shared" si="1496"/>
        <v>1900-01-00 00:0:00</v>
      </c>
      <c r="M2003" s="79">
        <f t="shared" si="1497"/>
        <v>0</v>
      </c>
      <c r="N2003">
        <f t="shared" si="1522"/>
        <v>1</v>
      </c>
      <c r="O2003" t="str">
        <f>IFERROR(_xlfn.XLOOKUP(A2003,HC!A:A,HC!C:C),"")</f>
        <v>Workforce</v>
      </c>
      <c r="R2003" s="78" t="b">
        <f t="shared" si="1498"/>
        <v>0</v>
      </c>
      <c r="S2003" s="78" t="b">
        <f t="shared" si="1499"/>
        <v>0</v>
      </c>
      <c r="T2003" s="78" t="b">
        <f t="shared" si="1500"/>
        <v>0</v>
      </c>
      <c r="U2003" s="78" t="b">
        <f t="shared" si="1501"/>
        <v>0</v>
      </c>
      <c r="V2003" s="78" t="b">
        <f t="shared" si="1502"/>
        <v>0</v>
      </c>
      <c r="W2003" s="78" t="b">
        <f t="shared" si="1503"/>
        <v>0</v>
      </c>
      <c r="X2003" s="78" t="b">
        <f t="shared" si="1504"/>
        <v>0</v>
      </c>
      <c r="Y2003" s="78" t="b">
        <f t="shared" si="1505"/>
        <v>0</v>
      </c>
      <c r="Z2003" s="78" t="b">
        <f t="shared" si="1506"/>
        <v>0</v>
      </c>
      <c r="AA2003" s="78" t="b">
        <f t="shared" si="1507"/>
        <v>0</v>
      </c>
      <c r="AB2003" s="78" t="b">
        <f t="shared" si="1508"/>
        <v>0</v>
      </c>
      <c r="AC2003" s="78" t="b">
        <f t="shared" si="1509"/>
        <v>0</v>
      </c>
      <c r="AD2003" s="78" t="b">
        <f t="shared" si="1510"/>
        <v>0</v>
      </c>
      <c r="AE2003" s="78" t="b">
        <f t="shared" si="1511"/>
        <v>0</v>
      </c>
      <c r="AF2003" s="78" t="b">
        <f t="shared" si="1512"/>
        <v>0</v>
      </c>
      <c r="AG2003" s="78" t="b">
        <f t="shared" si="1513"/>
        <v>0</v>
      </c>
      <c r="AH2003" s="78" t="b">
        <f t="shared" si="1514"/>
        <v>0</v>
      </c>
      <c r="AI2003" s="78" t="b">
        <f t="shared" si="1515"/>
        <v>0</v>
      </c>
      <c r="AJ2003" s="78" t="b">
        <f t="shared" si="1516"/>
        <v>0</v>
      </c>
      <c r="AK2003" s="78" t="b">
        <f t="shared" si="1517"/>
        <v>0</v>
      </c>
      <c r="AL2003" s="78" t="b">
        <f t="shared" si="1518"/>
        <v>0</v>
      </c>
      <c r="AM2003" s="78" t="b">
        <f t="shared" si="1519"/>
        <v>0</v>
      </c>
      <c r="AN2003" s="78" t="b">
        <f t="shared" si="1520"/>
        <v>0</v>
      </c>
      <c r="AO2003" s="78" t="b">
        <f t="shared" si="1521"/>
        <v>0</v>
      </c>
    </row>
  </sheetData>
  <autoFilter ref="A1:M761" xr:uid="{FA2F05E1-C0D7-4A60-9943-868D576C01C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74A51-0601-49CE-9D84-02379DF38FF5}">
  <sheetPr codeName="Sheet12"/>
  <dimension ref="A1:C172"/>
  <sheetViews>
    <sheetView workbookViewId="0">
      <selection activeCell="C1" sqref="C1:C159"/>
    </sheetView>
  </sheetViews>
  <sheetFormatPr defaultRowHeight="14.5" x14ac:dyDescent="0.35"/>
  <cols>
    <col min="1" max="1" width="36.453125" bestFit="1" customWidth="1"/>
    <col min="2" max="2" width="31.453125" bestFit="1" customWidth="1"/>
  </cols>
  <sheetData>
    <row r="1" spans="1:3" ht="15" thickBot="1" x14ac:dyDescent="0.4">
      <c r="A1" s="98" t="s">
        <v>51</v>
      </c>
      <c r="B1" s="98" t="s">
        <v>59</v>
      </c>
      <c r="C1" s="110" t="s">
        <v>225</v>
      </c>
    </row>
    <row r="2" spans="1:3" ht="15" thickBot="1" x14ac:dyDescent="0.4">
      <c r="A2" s="91" t="s">
        <v>151</v>
      </c>
      <c r="B2" s="83">
        <v>3499</v>
      </c>
      <c r="C2" s="100" t="s">
        <v>58</v>
      </c>
    </row>
    <row r="3" spans="1:3" ht="15" thickBot="1" x14ac:dyDescent="0.4">
      <c r="A3" s="91" t="s">
        <v>118</v>
      </c>
      <c r="B3" s="83">
        <v>1769</v>
      </c>
      <c r="C3" s="100" t="s">
        <v>51</v>
      </c>
    </row>
    <row r="4" spans="1:3" ht="15" thickBot="1" x14ac:dyDescent="0.4">
      <c r="A4" s="91" t="s">
        <v>141</v>
      </c>
      <c r="B4" s="83">
        <v>3931</v>
      </c>
      <c r="C4" s="100" t="s">
        <v>58</v>
      </c>
    </row>
    <row r="5" spans="1:3" ht="25.5" thickBot="1" x14ac:dyDescent="0.4">
      <c r="A5" s="91" t="s">
        <v>152</v>
      </c>
      <c r="B5" s="84">
        <v>4377</v>
      </c>
      <c r="C5" s="100" t="s">
        <v>67</v>
      </c>
    </row>
    <row r="6" spans="1:3" ht="15" thickBot="1" x14ac:dyDescent="0.4">
      <c r="A6" s="91" t="s">
        <v>153</v>
      </c>
      <c r="B6" s="83">
        <v>4376</v>
      </c>
      <c r="C6" s="100" t="s">
        <v>58</v>
      </c>
    </row>
    <row r="7" spans="1:3" ht="25.5" thickBot="1" x14ac:dyDescent="0.4">
      <c r="A7" s="91" t="s">
        <v>154</v>
      </c>
      <c r="B7" s="83">
        <v>2717</v>
      </c>
      <c r="C7" s="100" t="s">
        <v>67</v>
      </c>
    </row>
    <row r="8" spans="1:3" ht="15" thickBot="1" x14ac:dyDescent="0.4">
      <c r="A8" s="91" t="s">
        <v>105</v>
      </c>
      <c r="B8" s="83">
        <v>3371</v>
      </c>
      <c r="C8" s="100" t="s">
        <v>58</v>
      </c>
    </row>
    <row r="9" spans="1:3" ht="15" thickBot="1" x14ac:dyDescent="0.4">
      <c r="A9" s="91" t="s">
        <v>106</v>
      </c>
      <c r="B9" s="83">
        <v>3933</v>
      </c>
      <c r="C9" s="100" t="s">
        <v>58</v>
      </c>
    </row>
    <row r="10" spans="1:3" ht="15" thickBot="1" x14ac:dyDescent="0.4">
      <c r="A10" s="91" t="s">
        <v>120</v>
      </c>
      <c r="B10" s="83">
        <v>4379</v>
      </c>
      <c r="C10" s="100" t="s">
        <v>51</v>
      </c>
    </row>
    <row r="11" spans="1:3" ht="15" thickBot="1" x14ac:dyDescent="0.4">
      <c r="A11" s="91" t="s">
        <v>155</v>
      </c>
      <c r="B11" s="83">
        <v>5058</v>
      </c>
      <c r="C11" s="100" t="s">
        <v>58</v>
      </c>
    </row>
    <row r="12" spans="1:3" ht="15" thickBot="1" x14ac:dyDescent="0.4">
      <c r="A12" s="91" t="s">
        <v>156</v>
      </c>
      <c r="B12" s="83">
        <v>5059</v>
      </c>
      <c r="C12" s="100" t="s">
        <v>58</v>
      </c>
    </row>
    <row r="13" spans="1:3" ht="15" thickBot="1" x14ac:dyDescent="0.4">
      <c r="A13" s="91" t="s">
        <v>157</v>
      </c>
      <c r="B13" s="83">
        <v>5065</v>
      </c>
      <c r="C13" s="100" t="s">
        <v>58</v>
      </c>
    </row>
    <row r="14" spans="1:3" ht="15" thickBot="1" x14ac:dyDescent="0.4">
      <c r="A14" s="91" t="s">
        <v>123</v>
      </c>
      <c r="B14" s="83">
        <v>5062</v>
      </c>
      <c r="C14" s="100" t="s">
        <v>58</v>
      </c>
    </row>
    <row r="15" spans="1:3" ht="15" thickBot="1" x14ac:dyDescent="0.4">
      <c r="A15" s="91" t="s">
        <v>158</v>
      </c>
      <c r="B15" s="83">
        <v>2375</v>
      </c>
      <c r="C15" s="86" t="s">
        <v>66</v>
      </c>
    </row>
    <row r="16" spans="1:3" ht="15" thickBot="1" x14ac:dyDescent="0.4">
      <c r="A16" s="91" t="s">
        <v>159</v>
      </c>
      <c r="B16" s="83">
        <v>3504</v>
      </c>
      <c r="C16" s="86" t="s">
        <v>53</v>
      </c>
    </row>
    <row r="17" spans="1:3" ht="15" thickBot="1" x14ac:dyDescent="0.4">
      <c r="A17" s="91" t="s">
        <v>121</v>
      </c>
      <c r="B17" s="83">
        <v>3541</v>
      </c>
      <c r="C17" s="86" t="s">
        <v>53</v>
      </c>
    </row>
    <row r="18" spans="1:3" ht="15" thickBot="1" x14ac:dyDescent="0.4">
      <c r="A18" s="91" t="s">
        <v>160</v>
      </c>
      <c r="B18" s="83">
        <v>1922</v>
      </c>
      <c r="C18" s="86" t="s">
        <v>53</v>
      </c>
    </row>
    <row r="19" spans="1:3" ht="25.5" thickBot="1" x14ac:dyDescent="0.4">
      <c r="A19" s="91" t="s">
        <v>86</v>
      </c>
      <c r="B19" s="83">
        <v>1456</v>
      </c>
      <c r="C19" s="111" t="s">
        <v>57</v>
      </c>
    </row>
    <row r="20" spans="1:3" ht="15" thickBot="1" x14ac:dyDescent="0.4">
      <c r="A20" s="91" t="s">
        <v>161</v>
      </c>
      <c r="B20" s="83">
        <v>1461</v>
      </c>
      <c r="C20" s="100" t="s">
        <v>58</v>
      </c>
    </row>
    <row r="21" spans="1:3" ht="15" thickBot="1" x14ac:dyDescent="0.4">
      <c r="A21" s="91" t="s">
        <v>162</v>
      </c>
      <c r="B21" s="83">
        <v>1498</v>
      </c>
      <c r="C21" s="111" t="s">
        <v>51</v>
      </c>
    </row>
    <row r="22" spans="1:3" ht="15" thickBot="1" x14ac:dyDescent="0.4">
      <c r="A22" s="91" t="s">
        <v>163</v>
      </c>
      <c r="B22" s="83">
        <v>3376</v>
      </c>
      <c r="C22" s="111" t="s">
        <v>51</v>
      </c>
    </row>
    <row r="23" spans="1:3" ht="26.5" thickBot="1" x14ac:dyDescent="0.4">
      <c r="A23" s="99" t="s">
        <v>164</v>
      </c>
      <c r="B23" s="85">
        <v>5067</v>
      </c>
      <c r="C23" s="86" t="s">
        <v>68</v>
      </c>
    </row>
    <row r="24" spans="1:3" ht="26.5" thickBot="1" x14ac:dyDescent="0.4">
      <c r="A24" s="100" t="s">
        <v>150</v>
      </c>
      <c r="B24" s="86">
        <v>5415</v>
      </c>
      <c r="C24" s="86" t="s">
        <v>68</v>
      </c>
    </row>
    <row r="25" spans="1:3" ht="15" thickBot="1" x14ac:dyDescent="0.4">
      <c r="A25" s="100" t="s">
        <v>145</v>
      </c>
      <c r="B25" s="86">
        <v>5419</v>
      </c>
      <c r="C25" s="100" t="s">
        <v>58</v>
      </c>
    </row>
    <row r="26" spans="1:3" ht="15" thickBot="1" x14ac:dyDescent="0.4">
      <c r="A26" s="86" t="s">
        <v>97</v>
      </c>
      <c r="B26" s="86">
        <v>5420</v>
      </c>
      <c r="C26" s="86" t="s">
        <v>58</v>
      </c>
    </row>
    <row r="27" spans="1:3" ht="15" thickBot="1" x14ac:dyDescent="0.4">
      <c r="A27" s="86" t="s">
        <v>131</v>
      </c>
      <c r="B27" s="86">
        <v>5422</v>
      </c>
      <c r="C27" s="86" t="s">
        <v>58</v>
      </c>
    </row>
    <row r="28" spans="1:3" ht="15" thickBot="1" x14ac:dyDescent="0.4">
      <c r="A28" s="86" t="s">
        <v>122</v>
      </c>
      <c r="B28" s="86">
        <v>5423</v>
      </c>
      <c r="C28" s="111" t="s">
        <v>51</v>
      </c>
    </row>
    <row r="29" spans="1:3" ht="26.5" thickBot="1" x14ac:dyDescent="0.4">
      <c r="A29" s="101" t="s">
        <v>165</v>
      </c>
      <c r="B29" s="86">
        <v>5426</v>
      </c>
      <c r="C29" s="86" t="s">
        <v>69</v>
      </c>
    </row>
    <row r="30" spans="1:3" ht="15" thickBot="1" x14ac:dyDescent="0.4">
      <c r="A30" s="86" t="s">
        <v>166</v>
      </c>
      <c r="B30" s="86">
        <v>5431</v>
      </c>
      <c r="C30" s="86" t="s">
        <v>58</v>
      </c>
    </row>
    <row r="31" spans="1:3" ht="15" thickBot="1" x14ac:dyDescent="0.4">
      <c r="A31" s="102" t="s">
        <v>113</v>
      </c>
      <c r="B31" s="86">
        <v>5433</v>
      </c>
      <c r="C31" s="86" t="s">
        <v>58</v>
      </c>
    </row>
    <row r="32" spans="1:3" ht="26.5" thickBot="1" x14ac:dyDescent="0.4">
      <c r="A32" s="102" t="s">
        <v>167</v>
      </c>
      <c r="B32" s="86">
        <v>5434</v>
      </c>
      <c r="C32" s="86" t="s">
        <v>67</v>
      </c>
    </row>
    <row r="33" spans="1:3" ht="15" thickBot="1" x14ac:dyDescent="0.4">
      <c r="A33" s="102" t="s">
        <v>132</v>
      </c>
      <c r="B33" s="86">
        <v>5441</v>
      </c>
      <c r="C33" s="100" t="s">
        <v>58</v>
      </c>
    </row>
    <row r="34" spans="1:3" ht="15" thickBot="1" x14ac:dyDescent="0.4">
      <c r="A34" s="102" t="s">
        <v>85</v>
      </c>
      <c r="B34" s="86">
        <v>5443</v>
      </c>
      <c r="C34" s="86" t="s">
        <v>58</v>
      </c>
    </row>
    <row r="35" spans="1:3" ht="15" thickBot="1" x14ac:dyDescent="0.4">
      <c r="A35" s="103" t="s">
        <v>168</v>
      </c>
      <c r="B35" s="86">
        <v>5445</v>
      </c>
      <c r="C35" s="86" t="s">
        <v>58</v>
      </c>
    </row>
    <row r="36" spans="1:3" ht="26.5" thickBot="1" x14ac:dyDescent="0.4">
      <c r="A36" s="102" t="s">
        <v>169</v>
      </c>
      <c r="B36" s="86">
        <v>5742</v>
      </c>
      <c r="C36" s="86" t="s">
        <v>67</v>
      </c>
    </row>
    <row r="37" spans="1:3" ht="26.5" thickBot="1" x14ac:dyDescent="0.4">
      <c r="A37" s="102" t="s">
        <v>170</v>
      </c>
      <c r="B37" s="86">
        <v>5739</v>
      </c>
      <c r="C37" s="86" t="s">
        <v>69</v>
      </c>
    </row>
    <row r="38" spans="1:3" ht="15" thickBot="1" x14ac:dyDescent="0.4">
      <c r="A38" s="91" t="s">
        <v>146</v>
      </c>
      <c r="B38" s="86">
        <v>5746</v>
      </c>
      <c r="C38" s="86" t="s">
        <v>53</v>
      </c>
    </row>
    <row r="39" spans="1:3" ht="15" thickBot="1" x14ac:dyDescent="0.4">
      <c r="A39" s="102" t="s">
        <v>140</v>
      </c>
      <c r="B39" s="86">
        <v>5824</v>
      </c>
      <c r="C39" s="86" t="s">
        <v>58</v>
      </c>
    </row>
    <row r="40" spans="1:3" ht="15" thickBot="1" x14ac:dyDescent="0.4">
      <c r="A40" s="104" t="s">
        <v>171</v>
      </c>
      <c r="B40" s="88">
        <v>5827</v>
      </c>
      <c r="C40" s="88" t="s">
        <v>58</v>
      </c>
    </row>
    <row r="41" spans="1:3" ht="15" thickBot="1" x14ac:dyDescent="0.4">
      <c r="A41" s="102" t="s">
        <v>130</v>
      </c>
      <c r="B41" s="86">
        <v>5837</v>
      </c>
      <c r="C41" s="86" t="s">
        <v>58</v>
      </c>
    </row>
    <row r="42" spans="1:3" ht="15" thickBot="1" x14ac:dyDescent="0.4">
      <c r="A42" s="102" t="s">
        <v>133</v>
      </c>
      <c r="B42" s="86">
        <v>5831</v>
      </c>
      <c r="C42" s="86" t="s">
        <v>58</v>
      </c>
    </row>
    <row r="43" spans="1:3" ht="15" thickBot="1" x14ac:dyDescent="0.4">
      <c r="A43" s="86" t="s">
        <v>172</v>
      </c>
      <c r="B43" s="86">
        <v>5439</v>
      </c>
      <c r="C43" s="86" t="s">
        <v>58</v>
      </c>
    </row>
    <row r="44" spans="1:3" ht="15" thickBot="1" x14ac:dyDescent="0.4">
      <c r="A44" s="91" t="s">
        <v>107</v>
      </c>
      <c r="B44" s="86">
        <v>5988</v>
      </c>
      <c r="C44" s="86" t="s">
        <v>53</v>
      </c>
    </row>
    <row r="45" spans="1:3" ht="15" thickBot="1" x14ac:dyDescent="0.4">
      <c r="A45" s="91" t="s">
        <v>138</v>
      </c>
      <c r="B45" s="87">
        <v>6092</v>
      </c>
      <c r="C45" s="86" t="s">
        <v>58</v>
      </c>
    </row>
    <row r="46" spans="1:3" ht="15" thickBot="1" x14ac:dyDescent="0.4">
      <c r="A46" s="91" t="s">
        <v>173</v>
      </c>
      <c r="B46" s="87">
        <v>5817</v>
      </c>
      <c r="C46" s="86" t="s">
        <v>58</v>
      </c>
    </row>
    <row r="47" spans="1:3" ht="26.5" thickBot="1" x14ac:dyDescent="0.4">
      <c r="A47" s="91" t="s">
        <v>174</v>
      </c>
      <c r="B47" s="87">
        <v>6101</v>
      </c>
      <c r="C47" s="86" t="s">
        <v>67</v>
      </c>
    </row>
    <row r="48" spans="1:3" ht="15" thickBot="1" x14ac:dyDescent="0.4">
      <c r="A48" s="91" t="s">
        <v>175</v>
      </c>
      <c r="B48" s="87">
        <v>6104</v>
      </c>
      <c r="C48" s="86" t="s">
        <v>58</v>
      </c>
    </row>
    <row r="49" spans="1:3" ht="15" thickBot="1" x14ac:dyDescent="0.4">
      <c r="A49" s="91" t="s">
        <v>176</v>
      </c>
      <c r="B49" s="87">
        <v>6102</v>
      </c>
      <c r="C49" s="86" t="s">
        <v>58</v>
      </c>
    </row>
    <row r="50" spans="1:3" ht="15" thickBot="1" x14ac:dyDescent="0.4">
      <c r="A50" s="91" t="s">
        <v>87</v>
      </c>
      <c r="B50" s="87">
        <v>5832</v>
      </c>
      <c r="C50" s="86" t="s">
        <v>58</v>
      </c>
    </row>
    <row r="51" spans="1:3" ht="15" thickBot="1" x14ac:dyDescent="0.4">
      <c r="A51" s="91" t="s">
        <v>115</v>
      </c>
      <c r="B51" s="87">
        <v>6100</v>
      </c>
      <c r="C51" s="86" t="s">
        <v>58</v>
      </c>
    </row>
    <row r="52" spans="1:3" ht="15" thickBot="1" x14ac:dyDescent="0.4">
      <c r="A52" s="90" t="s">
        <v>93</v>
      </c>
      <c r="B52" s="89">
        <v>3927</v>
      </c>
      <c r="C52" s="86" t="s">
        <v>60</v>
      </c>
    </row>
    <row r="53" spans="1:3" ht="26.5" thickBot="1" x14ac:dyDescent="0.4">
      <c r="A53" s="90" t="s">
        <v>177</v>
      </c>
      <c r="B53" s="89">
        <v>3929</v>
      </c>
      <c r="C53" s="86" t="s">
        <v>67</v>
      </c>
    </row>
    <row r="54" spans="1:3" ht="15" thickBot="1" x14ac:dyDescent="0.4">
      <c r="A54" s="90" t="s">
        <v>178</v>
      </c>
      <c r="B54" s="89">
        <v>3932</v>
      </c>
      <c r="C54" s="86" t="s">
        <v>60</v>
      </c>
    </row>
    <row r="55" spans="1:3" ht="15" thickBot="1" x14ac:dyDescent="0.4">
      <c r="A55" s="90" t="s">
        <v>179</v>
      </c>
      <c r="B55" s="89">
        <v>3542</v>
      </c>
      <c r="C55" s="86" t="s">
        <v>226</v>
      </c>
    </row>
    <row r="56" spans="1:3" ht="15" thickBot="1" x14ac:dyDescent="0.4">
      <c r="A56" s="90" t="s">
        <v>92</v>
      </c>
      <c r="B56" s="89">
        <v>3502</v>
      </c>
      <c r="C56" s="86" t="s">
        <v>60</v>
      </c>
    </row>
    <row r="57" spans="1:3" ht="15" thickBot="1" x14ac:dyDescent="0.4">
      <c r="A57" s="90" t="s">
        <v>180</v>
      </c>
      <c r="B57" s="89">
        <v>3005</v>
      </c>
      <c r="C57" s="86" t="s">
        <v>60</v>
      </c>
    </row>
    <row r="58" spans="1:3" ht="15" thickBot="1" x14ac:dyDescent="0.4">
      <c r="A58" s="90" t="s">
        <v>143</v>
      </c>
      <c r="B58" s="89">
        <v>2994</v>
      </c>
      <c r="C58" s="86" t="s">
        <v>226</v>
      </c>
    </row>
    <row r="59" spans="1:3" ht="15" thickBot="1" x14ac:dyDescent="0.4">
      <c r="A59" s="105" t="s">
        <v>83</v>
      </c>
      <c r="B59" s="89">
        <v>2795</v>
      </c>
      <c r="C59" s="86" t="s">
        <v>226</v>
      </c>
    </row>
    <row r="60" spans="1:3" ht="15" thickBot="1" x14ac:dyDescent="0.4">
      <c r="A60" s="90" t="s">
        <v>112</v>
      </c>
      <c r="B60" s="89">
        <v>2797</v>
      </c>
      <c r="C60" s="86" t="s">
        <v>60</v>
      </c>
    </row>
    <row r="61" spans="1:3" ht="15" thickBot="1" x14ac:dyDescent="0.4">
      <c r="A61" s="90" t="s">
        <v>134</v>
      </c>
      <c r="B61" s="89">
        <v>2798</v>
      </c>
      <c r="C61" s="86" t="s">
        <v>60</v>
      </c>
    </row>
    <row r="62" spans="1:3" ht="15" thickBot="1" x14ac:dyDescent="0.4">
      <c r="A62" s="90" t="s">
        <v>181</v>
      </c>
      <c r="B62" s="89">
        <v>2556</v>
      </c>
      <c r="C62" s="86" t="s">
        <v>66</v>
      </c>
    </row>
    <row r="63" spans="1:3" ht="15" thickBot="1" x14ac:dyDescent="0.4">
      <c r="A63" s="90" t="s">
        <v>114</v>
      </c>
      <c r="B63" s="90">
        <v>4380</v>
      </c>
      <c r="C63" s="86" t="s">
        <v>60</v>
      </c>
    </row>
    <row r="64" spans="1:3" ht="26.5" thickBot="1" x14ac:dyDescent="0.4">
      <c r="A64" s="90" t="s">
        <v>182</v>
      </c>
      <c r="B64" s="90">
        <v>4378</v>
      </c>
      <c r="C64" s="86" t="s">
        <v>67</v>
      </c>
    </row>
    <row r="65" spans="1:3" ht="15" thickBot="1" x14ac:dyDescent="0.4">
      <c r="A65" s="90" t="s">
        <v>91</v>
      </c>
      <c r="B65" s="90">
        <v>5437</v>
      </c>
      <c r="C65" s="86" t="s">
        <v>60</v>
      </c>
    </row>
    <row r="66" spans="1:3" ht="15" thickBot="1" x14ac:dyDescent="0.4">
      <c r="A66" s="90" t="s">
        <v>149</v>
      </c>
      <c r="B66" s="90">
        <v>5740</v>
      </c>
      <c r="C66" s="86" t="s">
        <v>60</v>
      </c>
    </row>
    <row r="67" spans="1:3" ht="15" thickBot="1" x14ac:dyDescent="0.4">
      <c r="A67" s="90" t="s">
        <v>127</v>
      </c>
      <c r="B67" s="90">
        <v>5750</v>
      </c>
      <c r="C67" s="86" t="s">
        <v>60</v>
      </c>
    </row>
    <row r="68" spans="1:3" ht="15" thickBot="1" x14ac:dyDescent="0.4">
      <c r="A68" s="90" t="s">
        <v>183</v>
      </c>
      <c r="B68" s="90">
        <v>5743</v>
      </c>
      <c r="C68" s="86" t="s">
        <v>60</v>
      </c>
    </row>
    <row r="69" spans="1:3" ht="15" thickBot="1" x14ac:dyDescent="0.4">
      <c r="A69" s="90" t="s">
        <v>128</v>
      </c>
      <c r="B69" s="90">
        <v>5737</v>
      </c>
      <c r="C69" s="86" t="s">
        <v>60</v>
      </c>
    </row>
    <row r="70" spans="1:3" ht="15" thickBot="1" x14ac:dyDescent="0.4">
      <c r="A70" s="90" t="s">
        <v>184</v>
      </c>
      <c r="B70" s="90">
        <v>5748</v>
      </c>
      <c r="C70" s="86" t="s">
        <v>60</v>
      </c>
    </row>
    <row r="71" spans="1:3" ht="15" thickBot="1" x14ac:dyDescent="0.4">
      <c r="A71" s="90" t="s">
        <v>185</v>
      </c>
      <c r="B71" s="90">
        <v>5738</v>
      </c>
      <c r="C71" s="86" t="s">
        <v>60</v>
      </c>
    </row>
    <row r="72" spans="1:3" ht="15" thickBot="1" x14ac:dyDescent="0.4">
      <c r="A72" s="90" t="s">
        <v>186</v>
      </c>
      <c r="B72" s="90">
        <v>5744</v>
      </c>
      <c r="C72" s="86" t="s">
        <v>60</v>
      </c>
    </row>
    <row r="73" spans="1:3" ht="15" thickBot="1" x14ac:dyDescent="0.4">
      <c r="A73" s="90" t="s">
        <v>102</v>
      </c>
      <c r="B73" s="90">
        <v>5741</v>
      </c>
      <c r="C73" s="86" t="s">
        <v>60</v>
      </c>
    </row>
    <row r="74" spans="1:3" ht="15" thickBot="1" x14ac:dyDescent="0.4">
      <c r="A74" s="90" t="s">
        <v>96</v>
      </c>
      <c r="B74" s="90">
        <v>5825</v>
      </c>
      <c r="C74" s="86" t="s">
        <v>60</v>
      </c>
    </row>
    <row r="75" spans="1:3" ht="15" thickBot="1" x14ac:dyDescent="0.4">
      <c r="A75" s="90" t="s">
        <v>187</v>
      </c>
      <c r="B75" s="90">
        <v>5828</v>
      </c>
      <c r="C75" s="86" t="s">
        <v>60</v>
      </c>
    </row>
    <row r="76" spans="1:3" ht="15" thickBot="1" x14ac:dyDescent="0.4">
      <c r="A76" s="90" t="s">
        <v>188</v>
      </c>
      <c r="B76" s="90">
        <v>5997</v>
      </c>
      <c r="C76" s="86" t="s">
        <v>60</v>
      </c>
    </row>
    <row r="77" spans="1:3" ht="15" thickBot="1" x14ac:dyDescent="0.4">
      <c r="A77" s="90" t="s">
        <v>108</v>
      </c>
      <c r="B77" s="90">
        <v>5989</v>
      </c>
      <c r="C77" s="86" t="s">
        <v>60</v>
      </c>
    </row>
    <row r="78" spans="1:3" ht="15" thickBot="1" x14ac:dyDescent="0.4">
      <c r="A78" s="90" t="s">
        <v>189</v>
      </c>
      <c r="B78" s="90">
        <v>5993</v>
      </c>
      <c r="C78" s="86" t="s">
        <v>226</v>
      </c>
    </row>
    <row r="79" spans="1:3" ht="15" thickBot="1" x14ac:dyDescent="0.4">
      <c r="A79" s="90" t="s">
        <v>190</v>
      </c>
      <c r="B79" s="90">
        <v>5987</v>
      </c>
      <c r="C79" s="86" t="s">
        <v>60</v>
      </c>
    </row>
    <row r="80" spans="1:3" ht="15" thickBot="1" x14ac:dyDescent="0.4">
      <c r="A80" s="90" t="s">
        <v>110</v>
      </c>
      <c r="B80" s="90">
        <v>6002</v>
      </c>
      <c r="C80" s="86" t="s">
        <v>60</v>
      </c>
    </row>
    <row r="81" spans="1:3" ht="15" thickBot="1" x14ac:dyDescent="0.4">
      <c r="A81" s="90" t="s">
        <v>191</v>
      </c>
      <c r="B81" s="90">
        <v>5990</v>
      </c>
      <c r="C81" s="86" t="s">
        <v>60</v>
      </c>
    </row>
    <row r="82" spans="1:3" ht="15" thickBot="1" x14ac:dyDescent="0.4">
      <c r="A82" s="90" t="s">
        <v>192</v>
      </c>
      <c r="B82" s="90">
        <v>5996</v>
      </c>
      <c r="C82" s="86" t="s">
        <v>60</v>
      </c>
    </row>
    <row r="83" spans="1:3" ht="15" thickBot="1" x14ac:dyDescent="0.4">
      <c r="A83" s="90" t="s">
        <v>193</v>
      </c>
      <c r="B83" s="90">
        <v>5999</v>
      </c>
      <c r="C83" s="86" t="s">
        <v>60</v>
      </c>
    </row>
    <row r="84" spans="1:3" ht="15" thickBot="1" x14ac:dyDescent="0.4">
      <c r="A84" s="90" t="s">
        <v>194</v>
      </c>
      <c r="B84" s="90">
        <v>5063</v>
      </c>
      <c r="C84" s="86" t="s">
        <v>60</v>
      </c>
    </row>
    <row r="85" spans="1:3" ht="15" thickBot="1" x14ac:dyDescent="0.4">
      <c r="A85" s="106" t="s">
        <v>195</v>
      </c>
      <c r="B85" s="92">
        <v>7079</v>
      </c>
      <c r="C85" s="88" t="s">
        <v>58</v>
      </c>
    </row>
    <row r="86" spans="1:3" ht="15" thickBot="1" x14ac:dyDescent="0.4">
      <c r="A86" s="90" t="s">
        <v>101</v>
      </c>
      <c r="B86" s="91">
        <v>7083</v>
      </c>
      <c r="C86" s="86" t="s">
        <v>58</v>
      </c>
    </row>
    <row r="87" spans="1:3" ht="15" thickBot="1" x14ac:dyDescent="0.4">
      <c r="A87" s="90" t="s">
        <v>196</v>
      </c>
      <c r="B87" s="91">
        <v>7074</v>
      </c>
      <c r="C87" s="86" t="s">
        <v>58</v>
      </c>
    </row>
    <row r="88" spans="1:3" ht="15" thickBot="1" x14ac:dyDescent="0.4">
      <c r="A88" s="90" t="s">
        <v>139</v>
      </c>
      <c r="B88" s="91">
        <v>7098</v>
      </c>
      <c r="C88" s="86" t="s">
        <v>58</v>
      </c>
    </row>
    <row r="89" spans="1:3" ht="15" thickBot="1" x14ac:dyDescent="0.4">
      <c r="A89" s="90" t="s">
        <v>104</v>
      </c>
      <c r="B89" s="91">
        <v>7080</v>
      </c>
      <c r="C89" s="86" t="s">
        <v>58</v>
      </c>
    </row>
    <row r="90" spans="1:3" ht="15" thickBot="1" x14ac:dyDescent="0.4">
      <c r="A90" s="90" t="s">
        <v>126</v>
      </c>
      <c r="B90" s="91">
        <v>7093</v>
      </c>
      <c r="C90" s="86" t="s">
        <v>58</v>
      </c>
    </row>
    <row r="91" spans="1:3" ht="15" thickBot="1" x14ac:dyDescent="0.4">
      <c r="A91" s="90" t="s">
        <v>197</v>
      </c>
      <c r="B91" s="91">
        <v>7077</v>
      </c>
      <c r="C91" s="86" t="s">
        <v>53</v>
      </c>
    </row>
    <row r="92" spans="1:3" ht="15" thickBot="1" x14ac:dyDescent="0.4">
      <c r="A92" s="90" t="s">
        <v>135</v>
      </c>
      <c r="B92" s="91">
        <v>7076</v>
      </c>
      <c r="C92" s="86" t="s">
        <v>60</v>
      </c>
    </row>
    <row r="93" spans="1:3" ht="15" thickBot="1" x14ac:dyDescent="0.4">
      <c r="A93" s="90" t="s">
        <v>94</v>
      </c>
      <c r="B93" s="91">
        <v>7078</v>
      </c>
      <c r="C93" s="86" t="s">
        <v>60</v>
      </c>
    </row>
    <row r="94" spans="1:3" ht="15" thickBot="1" x14ac:dyDescent="0.4">
      <c r="A94" s="90" t="s">
        <v>99</v>
      </c>
      <c r="B94" s="91">
        <v>7081</v>
      </c>
      <c r="C94" s="86" t="s">
        <v>60</v>
      </c>
    </row>
    <row r="95" spans="1:3" ht="15" thickBot="1" x14ac:dyDescent="0.4">
      <c r="A95" s="90" t="s">
        <v>198</v>
      </c>
      <c r="B95" s="91">
        <v>7099</v>
      </c>
      <c r="C95" s="86" t="s">
        <v>60</v>
      </c>
    </row>
    <row r="96" spans="1:3" ht="15" thickBot="1" x14ac:dyDescent="0.4">
      <c r="A96" s="90" t="s">
        <v>103</v>
      </c>
      <c r="B96" s="91">
        <v>7084</v>
      </c>
      <c r="C96" s="86" t="s">
        <v>60</v>
      </c>
    </row>
    <row r="97" spans="1:3" ht="15" thickBot="1" x14ac:dyDescent="0.4">
      <c r="A97" s="90" t="s">
        <v>109</v>
      </c>
      <c r="B97" s="91">
        <v>7087</v>
      </c>
      <c r="C97" s="86" t="s">
        <v>60</v>
      </c>
    </row>
    <row r="98" spans="1:3" ht="15" thickBot="1" x14ac:dyDescent="0.4">
      <c r="A98" s="90" t="s">
        <v>199</v>
      </c>
      <c r="B98" s="91">
        <v>7088</v>
      </c>
      <c r="C98" s="86" t="s">
        <v>60</v>
      </c>
    </row>
    <row r="99" spans="1:3" ht="15" thickBot="1" x14ac:dyDescent="0.4">
      <c r="A99" s="90" t="s">
        <v>200</v>
      </c>
      <c r="B99" s="91">
        <v>7089</v>
      </c>
      <c r="C99" s="86" t="s">
        <v>60</v>
      </c>
    </row>
    <row r="100" spans="1:3" ht="15" thickBot="1" x14ac:dyDescent="0.4">
      <c r="A100" s="90" t="s">
        <v>144</v>
      </c>
      <c r="B100" s="91">
        <v>7090</v>
      </c>
      <c r="C100" s="86" t="s">
        <v>60</v>
      </c>
    </row>
    <row r="101" spans="1:3" ht="15" thickBot="1" x14ac:dyDescent="0.4">
      <c r="A101" s="90" t="s">
        <v>148</v>
      </c>
      <c r="B101" s="91">
        <v>7091</v>
      </c>
      <c r="C101" s="86" t="s">
        <v>60</v>
      </c>
    </row>
    <row r="102" spans="1:3" ht="15" thickBot="1" x14ac:dyDescent="0.4">
      <c r="A102" s="90" t="s">
        <v>90</v>
      </c>
      <c r="B102" s="91">
        <v>20386</v>
      </c>
      <c r="C102" s="86" t="s">
        <v>60</v>
      </c>
    </row>
    <row r="103" spans="1:3" ht="15" thickBot="1" x14ac:dyDescent="0.4">
      <c r="A103" s="91" t="s">
        <v>142</v>
      </c>
      <c r="B103" s="91">
        <v>1770</v>
      </c>
      <c r="C103" s="86" t="s">
        <v>66</v>
      </c>
    </row>
    <row r="104" spans="1:3" ht="26.5" thickBot="1" x14ac:dyDescent="0.4">
      <c r="A104" s="90" t="s">
        <v>201</v>
      </c>
      <c r="B104" s="91">
        <v>1496</v>
      </c>
      <c r="C104" s="86" t="s">
        <v>68</v>
      </c>
    </row>
    <row r="105" spans="1:3" ht="15" thickBot="1" x14ac:dyDescent="0.4">
      <c r="A105" s="90" t="s">
        <v>202</v>
      </c>
      <c r="B105" s="91">
        <v>1351</v>
      </c>
      <c r="C105" s="86" t="s">
        <v>66</v>
      </c>
    </row>
    <row r="106" spans="1:3" ht="15" thickBot="1" x14ac:dyDescent="0.4">
      <c r="A106" s="90" t="s">
        <v>203</v>
      </c>
      <c r="B106" s="91">
        <v>1348</v>
      </c>
      <c r="C106" s="86" t="s">
        <v>66</v>
      </c>
    </row>
    <row r="107" spans="1:3" ht="15" thickBot="1" x14ac:dyDescent="0.4">
      <c r="A107" s="90" t="s">
        <v>125</v>
      </c>
      <c r="B107" s="91">
        <v>7294</v>
      </c>
      <c r="C107" s="86" t="s">
        <v>58</v>
      </c>
    </row>
    <row r="108" spans="1:3" ht="15" thickBot="1" x14ac:dyDescent="0.4">
      <c r="A108" s="90" t="s">
        <v>124</v>
      </c>
      <c r="B108" s="91">
        <v>7293</v>
      </c>
      <c r="C108" s="86" t="s">
        <v>58</v>
      </c>
    </row>
    <row r="109" spans="1:3" ht="15" thickBot="1" x14ac:dyDescent="0.4">
      <c r="A109" s="90" t="s">
        <v>147</v>
      </c>
      <c r="B109" s="91">
        <v>7291</v>
      </c>
      <c r="C109" s="86" t="s">
        <v>58</v>
      </c>
    </row>
    <row r="110" spans="1:3" ht="15" thickBot="1" x14ac:dyDescent="0.4">
      <c r="A110" s="90" t="s">
        <v>204</v>
      </c>
      <c r="B110" s="91">
        <v>7288</v>
      </c>
      <c r="C110" s="86" t="s">
        <v>58</v>
      </c>
    </row>
    <row r="111" spans="1:3" ht="15" thickBot="1" x14ac:dyDescent="0.4">
      <c r="A111" s="91" t="s">
        <v>205</v>
      </c>
      <c r="B111" s="91">
        <v>7285</v>
      </c>
      <c r="C111" s="86" t="s">
        <v>53</v>
      </c>
    </row>
    <row r="112" spans="1:3" ht="15" thickBot="1" x14ac:dyDescent="0.4">
      <c r="A112" s="91" t="s">
        <v>206</v>
      </c>
      <c r="B112" s="91">
        <v>7297</v>
      </c>
      <c r="C112" s="86" t="s">
        <v>53</v>
      </c>
    </row>
    <row r="113" spans="1:3" ht="15" thickBot="1" x14ac:dyDescent="0.4">
      <c r="A113" s="107" t="s">
        <v>95</v>
      </c>
      <c r="B113" s="91">
        <v>7299</v>
      </c>
      <c r="C113" s="86" t="s">
        <v>60</v>
      </c>
    </row>
    <row r="114" spans="1:3" ht="15" thickBot="1" x14ac:dyDescent="0.4">
      <c r="A114" s="90" t="s">
        <v>129</v>
      </c>
      <c r="B114" s="91">
        <v>7295</v>
      </c>
      <c r="C114" s="86" t="s">
        <v>60</v>
      </c>
    </row>
    <row r="115" spans="1:3" ht="15" thickBot="1" x14ac:dyDescent="0.4">
      <c r="A115" s="107" t="s">
        <v>88</v>
      </c>
      <c r="B115" s="91">
        <v>7296</v>
      </c>
      <c r="C115" s="86" t="s">
        <v>53</v>
      </c>
    </row>
    <row r="116" spans="1:3" ht="15" thickBot="1" x14ac:dyDescent="0.4">
      <c r="A116" s="107" t="s">
        <v>207</v>
      </c>
      <c r="B116" s="91">
        <v>7298</v>
      </c>
      <c r="C116" s="86" t="s">
        <v>60</v>
      </c>
    </row>
    <row r="117" spans="1:3" ht="15" thickBot="1" x14ac:dyDescent="0.4">
      <c r="A117" s="107" t="s">
        <v>119</v>
      </c>
      <c r="B117" s="91">
        <v>7305</v>
      </c>
      <c r="C117" s="86" t="s">
        <v>60</v>
      </c>
    </row>
    <row r="118" spans="1:3" ht="15" thickBot="1" x14ac:dyDescent="0.4">
      <c r="A118" s="107" t="s">
        <v>116</v>
      </c>
      <c r="B118" s="91">
        <v>7304</v>
      </c>
      <c r="C118" s="86" t="s">
        <v>60</v>
      </c>
    </row>
    <row r="119" spans="1:3" ht="15" thickBot="1" x14ac:dyDescent="0.4">
      <c r="A119" s="107" t="s">
        <v>208</v>
      </c>
      <c r="B119" s="91">
        <v>7292</v>
      </c>
      <c r="C119" s="86" t="s">
        <v>60</v>
      </c>
    </row>
    <row r="120" spans="1:3" ht="15" thickBot="1" x14ac:dyDescent="0.4">
      <c r="A120" s="107" t="s">
        <v>209</v>
      </c>
      <c r="B120" s="91">
        <v>7289</v>
      </c>
      <c r="C120" s="86" t="s">
        <v>60</v>
      </c>
    </row>
    <row r="121" spans="1:3" ht="26.5" thickBot="1" x14ac:dyDescent="0.4">
      <c r="A121" s="90"/>
      <c r="B121" s="91">
        <v>6755</v>
      </c>
      <c r="C121" s="86" t="s">
        <v>68</v>
      </c>
    </row>
    <row r="122" spans="1:3" ht="26.5" thickBot="1" x14ac:dyDescent="0.4">
      <c r="A122" s="90"/>
      <c r="B122" s="91">
        <v>4982</v>
      </c>
      <c r="C122" s="86" t="s">
        <v>68</v>
      </c>
    </row>
    <row r="123" spans="1:3" ht="26.5" thickBot="1" x14ac:dyDescent="0.4">
      <c r="A123" s="90"/>
      <c r="B123" s="91">
        <v>6982</v>
      </c>
      <c r="C123" s="86" t="s">
        <v>71</v>
      </c>
    </row>
    <row r="124" spans="1:3" ht="26.5" thickBot="1" x14ac:dyDescent="0.4">
      <c r="A124" s="90"/>
      <c r="B124" s="91">
        <v>1037</v>
      </c>
      <c r="C124" s="86" t="s">
        <v>71</v>
      </c>
    </row>
    <row r="125" spans="1:3" ht="26.5" thickBot="1" x14ac:dyDescent="0.4">
      <c r="A125" s="90"/>
      <c r="B125" s="91">
        <v>1044</v>
      </c>
      <c r="C125" s="86" t="s">
        <v>72</v>
      </c>
    </row>
    <row r="126" spans="1:3" ht="15" thickBot="1" x14ac:dyDescent="0.4">
      <c r="A126" s="90"/>
      <c r="B126" s="91">
        <v>1113</v>
      </c>
      <c r="C126" s="86" t="s">
        <v>73</v>
      </c>
    </row>
    <row r="127" spans="1:3" ht="26.5" thickBot="1" x14ac:dyDescent="0.4">
      <c r="A127" s="90"/>
      <c r="B127" s="91">
        <v>1130</v>
      </c>
      <c r="C127" s="86" t="s">
        <v>71</v>
      </c>
    </row>
    <row r="128" spans="1:3" ht="26.5" thickBot="1" x14ac:dyDescent="0.4">
      <c r="A128" s="90"/>
      <c r="B128" s="91">
        <v>1497</v>
      </c>
      <c r="C128" s="86" t="s">
        <v>71</v>
      </c>
    </row>
    <row r="129" spans="1:3" ht="15" thickBot="1" x14ac:dyDescent="0.4">
      <c r="A129" s="90"/>
      <c r="B129" s="91">
        <v>1765</v>
      </c>
      <c r="C129" s="86" t="s">
        <v>74</v>
      </c>
    </row>
    <row r="130" spans="1:3" ht="39" thickBot="1" x14ac:dyDescent="0.4">
      <c r="A130" s="90"/>
      <c r="B130" s="91">
        <v>1916</v>
      </c>
      <c r="C130" s="86" t="s">
        <v>75</v>
      </c>
    </row>
    <row r="131" spans="1:3" ht="15" thickBot="1" x14ac:dyDescent="0.4">
      <c r="A131" s="90"/>
      <c r="B131" s="91">
        <v>2378</v>
      </c>
      <c r="C131" s="86" t="s">
        <v>74</v>
      </c>
    </row>
    <row r="132" spans="1:3" ht="15" thickBot="1" x14ac:dyDescent="0.4">
      <c r="A132" s="90"/>
      <c r="B132" s="91">
        <v>2997</v>
      </c>
      <c r="C132" s="86" t="s">
        <v>74</v>
      </c>
    </row>
    <row r="133" spans="1:3" ht="26.5" thickBot="1" x14ac:dyDescent="0.4">
      <c r="A133" s="90"/>
      <c r="B133" s="91">
        <v>3500</v>
      </c>
      <c r="C133" s="86" t="s">
        <v>71</v>
      </c>
    </row>
    <row r="134" spans="1:3" ht="26.5" thickBot="1" x14ac:dyDescent="0.4">
      <c r="A134" s="90"/>
      <c r="B134" s="91">
        <v>5421</v>
      </c>
      <c r="C134" s="86" t="s">
        <v>71</v>
      </c>
    </row>
    <row r="135" spans="1:3" ht="15" thickBot="1" x14ac:dyDescent="0.4">
      <c r="A135" s="90"/>
      <c r="B135" s="91">
        <v>3374</v>
      </c>
      <c r="C135" s="86" t="s">
        <v>73</v>
      </c>
    </row>
    <row r="136" spans="1:3" ht="15" thickBot="1" x14ac:dyDescent="0.4">
      <c r="A136" s="90"/>
      <c r="B136" s="91">
        <v>1771</v>
      </c>
      <c r="C136" s="86" t="s">
        <v>74</v>
      </c>
    </row>
    <row r="137" spans="1:3" ht="15" thickBot="1" x14ac:dyDescent="0.4">
      <c r="A137" s="90"/>
      <c r="B137" s="91">
        <v>1131</v>
      </c>
      <c r="C137" s="86" t="s">
        <v>73</v>
      </c>
    </row>
    <row r="138" spans="1:3" ht="15" thickBot="1" x14ac:dyDescent="0.4">
      <c r="A138" s="108" t="s">
        <v>111</v>
      </c>
      <c r="B138" s="93">
        <v>7659</v>
      </c>
      <c r="C138" s="86" t="s">
        <v>53</v>
      </c>
    </row>
    <row r="139" spans="1:3" ht="15" thickBot="1" x14ac:dyDescent="0.4">
      <c r="A139" s="91" t="s">
        <v>100</v>
      </c>
      <c r="B139" s="93">
        <v>7646</v>
      </c>
      <c r="C139" s="86" t="s">
        <v>53</v>
      </c>
    </row>
    <row r="140" spans="1:3" ht="15" thickBot="1" x14ac:dyDescent="0.4">
      <c r="A140" s="108" t="s">
        <v>117</v>
      </c>
      <c r="B140" s="93">
        <v>7660</v>
      </c>
      <c r="C140" s="86" t="s">
        <v>53</v>
      </c>
    </row>
    <row r="141" spans="1:3" ht="15" thickBot="1" x14ac:dyDescent="0.4">
      <c r="A141" s="90" t="s">
        <v>89</v>
      </c>
      <c r="B141" s="91">
        <v>7645</v>
      </c>
      <c r="C141" s="86" t="s">
        <v>58</v>
      </c>
    </row>
    <row r="142" spans="1:3" ht="15" thickBot="1" x14ac:dyDescent="0.4">
      <c r="A142" s="90" t="s">
        <v>210</v>
      </c>
      <c r="B142" s="91">
        <v>7650</v>
      </c>
      <c r="C142" s="86" t="s">
        <v>58</v>
      </c>
    </row>
    <row r="143" spans="1:3" ht="15" thickBot="1" x14ac:dyDescent="0.4">
      <c r="A143" s="90" t="s">
        <v>211</v>
      </c>
      <c r="B143" s="91">
        <v>7651</v>
      </c>
      <c r="C143" s="86" t="s">
        <v>58</v>
      </c>
    </row>
    <row r="144" spans="1:3" ht="15" thickBot="1" x14ac:dyDescent="0.4">
      <c r="A144" s="90" t="s">
        <v>136</v>
      </c>
      <c r="B144" s="91">
        <v>7663</v>
      </c>
      <c r="C144" s="86" t="s">
        <v>58</v>
      </c>
    </row>
    <row r="145" spans="1:3" ht="15" thickBot="1" x14ac:dyDescent="0.4">
      <c r="A145" s="90" t="s">
        <v>212</v>
      </c>
      <c r="B145" s="91">
        <v>7662</v>
      </c>
      <c r="C145" s="86" t="s">
        <v>58</v>
      </c>
    </row>
    <row r="146" spans="1:3" ht="15" thickBot="1" x14ac:dyDescent="0.4">
      <c r="A146" s="90" t="s">
        <v>137</v>
      </c>
      <c r="B146" s="91">
        <v>7644</v>
      </c>
      <c r="C146" s="86" t="s">
        <v>58</v>
      </c>
    </row>
    <row r="147" spans="1:3" ht="15" thickBot="1" x14ac:dyDescent="0.4">
      <c r="A147" s="90" t="s">
        <v>98</v>
      </c>
      <c r="B147" s="91">
        <v>7664</v>
      </c>
      <c r="C147" s="86" t="s">
        <v>58</v>
      </c>
    </row>
    <row r="148" spans="1:3" ht="15" thickBot="1" x14ac:dyDescent="0.4">
      <c r="A148" s="109" t="s">
        <v>213</v>
      </c>
      <c r="B148" s="87">
        <v>9116</v>
      </c>
      <c r="C148" s="86" t="s">
        <v>58</v>
      </c>
    </row>
    <row r="149" spans="1:3" ht="26.5" thickBot="1" x14ac:dyDescent="0.4">
      <c r="A149" s="109" t="s">
        <v>214</v>
      </c>
      <c r="B149" s="87">
        <v>9125</v>
      </c>
      <c r="C149" s="86" t="s">
        <v>227</v>
      </c>
    </row>
    <row r="150" spans="1:3" ht="15" thickBot="1" x14ac:dyDescent="0.4">
      <c r="A150" s="109" t="s">
        <v>215</v>
      </c>
      <c r="B150" s="87">
        <v>9119</v>
      </c>
      <c r="C150" s="86" t="s">
        <v>58</v>
      </c>
    </row>
    <row r="151" spans="1:3" ht="15" thickBot="1" x14ac:dyDescent="0.4">
      <c r="A151" s="109" t="s">
        <v>216</v>
      </c>
      <c r="B151" s="87">
        <v>9126</v>
      </c>
      <c r="C151" s="86" t="s">
        <v>58</v>
      </c>
    </row>
    <row r="152" spans="1:3" ht="15" thickBot="1" x14ac:dyDescent="0.4">
      <c r="A152" s="109" t="s">
        <v>217</v>
      </c>
      <c r="B152" s="87">
        <v>9117</v>
      </c>
      <c r="C152" s="86" t="s">
        <v>58</v>
      </c>
    </row>
    <row r="153" spans="1:3" ht="15" thickBot="1" x14ac:dyDescent="0.4">
      <c r="A153" s="109" t="s">
        <v>218</v>
      </c>
      <c r="B153" s="87">
        <v>9127</v>
      </c>
      <c r="C153" s="86" t="s">
        <v>58</v>
      </c>
    </row>
    <row r="154" spans="1:3" ht="15" thickBot="1" x14ac:dyDescent="0.4">
      <c r="A154" s="109" t="s">
        <v>219</v>
      </c>
      <c r="B154" s="87">
        <v>9118</v>
      </c>
      <c r="C154" s="86" t="s">
        <v>58</v>
      </c>
    </row>
    <row r="155" spans="1:3" ht="15" thickBot="1" x14ac:dyDescent="0.4">
      <c r="A155" s="109" t="s">
        <v>220</v>
      </c>
      <c r="B155" s="87">
        <v>9129</v>
      </c>
      <c r="C155" s="86" t="s">
        <v>58</v>
      </c>
    </row>
    <row r="156" spans="1:3" ht="15" thickBot="1" x14ac:dyDescent="0.4">
      <c r="A156" s="109" t="s">
        <v>221</v>
      </c>
      <c r="B156" s="87">
        <v>9128</v>
      </c>
      <c r="C156" s="86" t="s">
        <v>58</v>
      </c>
    </row>
    <row r="157" spans="1:3" ht="15" thickBot="1" x14ac:dyDescent="0.4">
      <c r="A157" s="109" t="s">
        <v>222</v>
      </c>
      <c r="B157" s="87">
        <v>9115</v>
      </c>
      <c r="C157" s="86" t="s">
        <v>53</v>
      </c>
    </row>
    <row r="158" spans="1:3" ht="15" thickBot="1" x14ac:dyDescent="0.4">
      <c r="A158" s="109" t="s">
        <v>223</v>
      </c>
      <c r="B158" s="87">
        <v>9123</v>
      </c>
      <c r="C158" s="86" t="s">
        <v>53</v>
      </c>
    </row>
    <row r="159" spans="1:3" ht="15" thickBot="1" x14ac:dyDescent="0.4">
      <c r="A159" s="109" t="s">
        <v>224</v>
      </c>
      <c r="B159" s="87">
        <v>9124</v>
      </c>
      <c r="C159" s="86" t="s">
        <v>53</v>
      </c>
    </row>
    <row r="160" spans="1:3" ht="15" thickBot="1" x14ac:dyDescent="0.4">
      <c r="B160" s="87"/>
      <c r="C160" s="94"/>
    </row>
    <row r="161" spans="1:3" ht="15" thickBot="1" x14ac:dyDescent="0.4">
      <c r="B161" s="87"/>
      <c r="C161" s="94"/>
    </row>
    <row r="162" spans="1:3" ht="15" thickBot="1" x14ac:dyDescent="0.4">
      <c r="B162" s="87"/>
      <c r="C162" s="94"/>
    </row>
    <row r="163" spans="1:3" ht="15" thickBot="1" x14ac:dyDescent="0.4">
      <c r="B163" s="87"/>
      <c r="C163" s="94"/>
    </row>
    <row r="164" spans="1:3" ht="15" thickBot="1" x14ac:dyDescent="0.4">
      <c r="B164" s="87"/>
      <c r="C164" s="94"/>
    </row>
    <row r="165" spans="1:3" ht="15" thickBot="1" x14ac:dyDescent="0.4">
      <c r="B165" s="87"/>
      <c r="C165" s="94"/>
    </row>
    <row r="166" spans="1:3" ht="15" thickBot="1" x14ac:dyDescent="0.4">
      <c r="B166" s="87"/>
      <c r="C166" s="94"/>
    </row>
    <row r="167" spans="1:3" ht="15" thickBot="1" x14ac:dyDescent="0.4">
      <c r="B167" s="87"/>
      <c r="C167" s="94"/>
    </row>
    <row r="168" spans="1:3" ht="15" thickBot="1" x14ac:dyDescent="0.4">
      <c r="B168" s="87"/>
      <c r="C168" s="94"/>
    </row>
    <row r="169" spans="1:3" ht="15" thickBot="1" x14ac:dyDescent="0.4">
      <c r="B169" s="87"/>
      <c r="C169" s="94"/>
    </row>
    <row r="172" spans="1:3" x14ac:dyDescent="0.35">
      <c r="A172" s="82"/>
    </row>
  </sheetData>
  <autoFilter ref="A1:C127" xr:uid="{60CA30C2-D656-4684-9804-A698F42FDE8B}"/>
  <conditionalFormatting sqref="A170:A182">
    <cfRule type="duplicateValues" dxfId="287" priority="4"/>
  </conditionalFormatting>
  <hyperlinks>
    <hyperlink ref="A113" r:id="rId1" display="mailto:fajr.seyam@breadfast.com" xr:uid="{A3AFED58-0610-401D-902E-D9453570EA35}"/>
    <hyperlink ref="A115" r:id="rId2" display="mailto:ahmed.adel@breadfast.com" xr:uid="{249F3F42-06A3-4C7C-85DB-66831FECFB86}"/>
    <hyperlink ref="A116" r:id="rId3" display="mailto:kareem.fathy@breadfast.com" xr:uid="{A1A06090-C260-49D7-9AAC-5BBB693B542E}"/>
    <hyperlink ref="A117" r:id="rId4" display="mailto:passant.darwish@breadfast.com" xr:uid="{377F670F-B5E6-48A8-907F-4721A1AA6A0F}"/>
    <hyperlink ref="A118" r:id="rId5" display="mailto:nagham.ayman@breadfast.com" xr:uid="{F8468330-9034-4C98-8915-9F769598719A}"/>
    <hyperlink ref="A119" r:id="rId6" display="mailto:reham.tarek@breadfast.com" xr:uid="{FC12C943-5E95-4DFB-8106-C93475A147B7}"/>
    <hyperlink ref="A120" r:id="rId7" display="mailto:nada.zein@breadfast.com" xr:uid="{B14BB64F-65FA-46CE-B316-B39F32EE0B49}"/>
  </hyperlinks>
  <pageMargins left="0.7" right="0.7" top="0.75" bottom="0.75" header="0.3" footer="0.3"/>
  <pageSetup orientation="portrait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31"/>
  <sheetViews>
    <sheetView zoomScale="90" zoomScaleNormal="90" workbookViewId="0">
      <selection activeCell="I4" sqref="I4:J27"/>
    </sheetView>
  </sheetViews>
  <sheetFormatPr defaultRowHeight="14.5" x14ac:dyDescent="0.35"/>
  <cols>
    <col min="1" max="1" width="8.54296875" style="49"/>
    <col min="3" max="3" width="9.453125" customWidth="1"/>
    <col min="4" max="4" width="3.81640625" bestFit="1" customWidth="1"/>
    <col min="5" max="6" width="9.453125" customWidth="1"/>
    <col min="11" max="11" width="5.453125" bestFit="1" customWidth="1"/>
    <col min="13" max="13" width="5.26953125" style="59" bestFit="1" customWidth="1"/>
    <col min="14" max="14" width="3.81640625" hidden="1" customWidth="1"/>
    <col min="19" max="19" width="1.54296875" customWidth="1"/>
    <col min="20" max="20" width="21.453125" style="3" customWidth="1"/>
    <col min="21" max="21" width="21.453125" customWidth="1"/>
    <col min="22" max="22" width="1.453125" customWidth="1"/>
    <col min="23" max="23" width="3.453125" bestFit="1" customWidth="1"/>
    <col min="24" max="24" width="3.54296875" bestFit="1" customWidth="1"/>
    <col min="25" max="25" width="7" customWidth="1"/>
    <col min="26" max="27" width="6.453125" bestFit="1" customWidth="1"/>
    <col min="28" max="28" width="7" customWidth="1"/>
    <col min="29" max="29" width="9.453125" customWidth="1"/>
    <col min="30" max="30" width="9.54296875" customWidth="1"/>
    <col min="38" max="38" width="41.54296875" bestFit="1" customWidth="1"/>
  </cols>
  <sheetData>
    <row r="1" spans="1:34" x14ac:dyDescent="0.35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F1" s="2">
        <f>B1*9%</f>
        <v>7.5000000000000002E-4</v>
      </c>
      <c r="W1" s="122" t="s">
        <v>0</v>
      </c>
      <c r="X1" s="122"/>
      <c r="Y1" s="122"/>
      <c r="Z1" s="122"/>
      <c r="AA1" s="122"/>
      <c r="AB1" s="122"/>
    </row>
    <row r="2" spans="1:34" ht="15" customHeight="1" x14ac:dyDescent="0.35">
      <c r="B2" s="123" t="s">
        <v>2</v>
      </c>
      <c r="C2" s="124" t="s">
        <v>3</v>
      </c>
      <c r="D2" s="124" t="s">
        <v>4</v>
      </c>
      <c r="E2" s="124"/>
      <c r="F2" s="124" t="s">
        <v>5</v>
      </c>
      <c r="G2" s="124"/>
      <c r="H2" s="124"/>
      <c r="I2" s="124" t="s">
        <v>6</v>
      </c>
      <c r="J2" s="124"/>
      <c r="K2" s="124"/>
      <c r="L2" s="124"/>
      <c r="M2" s="124"/>
      <c r="N2" s="125" t="s">
        <v>7</v>
      </c>
      <c r="O2" s="126" t="s">
        <v>8</v>
      </c>
      <c r="P2" s="126" t="s">
        <v>9</v>
      </c>
      <c r="Q2" s="126" t="s">
        <v>54</v>
      </c>
      <c r="R2" s="126" t="s">
        <v>55</v>
      </c>
      <c r="T2" s="118" t="s">
        <v>10</v>
      </c>
      <c r="U2" s="119" t="s">
        <v>11</v>
      </c>
      <c r="W2" s="120" t="s">
        <v>12</v>
      </c>
      <c r="X2" s="120"/>
      <c r="Y2" s="120"/>
      <c r="Z2" s="121" t="s">
        <v>13</v>
      </c>
      <c r="AA2" s="121"/>
      <c r="AB2" s="121"/>
      <c r="AF2" s="117" t="s">
        <v>32</v>
      </c>
      <c r="AG2" s="117"/>
    </row>
    <row r="3" spans="1:34" ht="21.5" thickBot="1" x14ac:dyDescent="0.4">
      <c r="B3" s="123"/>
      <c r="C3" s="124"/>
      <c r="D3" s="38" t="s">
        <v>14</v>
      </c>
      <c r="E3" s="38" t="s">
        <v>15</v>
      </c>
      <c r="F3" s="38" t="s">
        <v>14</v>
      </c>
      <c r="G3" s="38" t="s">
        <v>16</v>
      </c>
      <c r="H3" s="38" t="s">
        <v>17</v>
      </c>
      <c r="I3" s="38" t="s">
        <v>18</v>
      </c>
      <c r="J3" s="38" t="s">
        <v>19</v>
      </c>
      <c r="K3" s="48" t="s">
        <v>20</v>
      </c>
      <c r="L3" s="38" t="s">
        <v>21</v>
      </c>
      <c r="M3" s="114" t="s">
        <v>22</v>
      </c>
      <c r="N3" s="125"/>
      <c r="O3" s="126"/>
      <c r="P3" s="126"/>
      <c r="Q3" s="126"/>
      <c r="R3" s="126"/>
      <c r="T3" s="118"/>
      <c r="U3" s="119"/>
      <c r="W3" s="7" t="s">
        <v>23</v>
      </c>
      <c r="X3" s="7" t="s">
        <v>24</v>
      </c>
      <c r="Y3" s="7" t="s">
        <v>25</v>
      </c>
      <c r="Z3" s="48" t="s">
        <v>23</v>
      </c>
      <c r="AA3" s="48" t="s">
        <v>24</v>
      </c>
      <c r="AB3" s="48" t="s">
        <v>25</v>
      </c>
      <c r="AE3" s="6" t="s">
        <v>2</v>
      </c>
      <c r="AF3" s="6" t="str">
        <f>I3</f>
        <v>Demand</v>
      </c>
      <c r="AG3" s="6" t="s">
        <v>33</v>
      </c>
    </row>
    <row r="4" spans="1:34" x14ac:dyDescent="0.35">
      <c r="A4" s="49">
        <v>0</v>
      </c>
      <c r="B4" s="69">
        <v>0</v>
      </c>
      <c r="C4" s="70">
        <f>'Chat Run'!B3</f>
        <v>0</v>
      </c>
      <c r="D4" s="81"/>
      <c r="E4" s="71" t="e">
        <f>C4/D4</f>
        <v>#DIV/0!</v>
      </c>
      <c r="F4" s="27">
        <f>'Chat Run'!C3</f>
        <v>0</v>
      </c>
      <c r="G4" s="29" t="e">
        <f>F4/C4</f>
        <v>#DIV/0!</v>
      </c>
      <c r="H4" s="29" t="e">
        <f>'Chat Run'!I3/'Chat Run'!B3</f>
        <v>#DIV/0!</v>
      </c>
      <c r="I4" s="81"/>
      <c r="J4" s="81"/>
      <c r="K4" s="30">
        <f>(VLOOKUP(B4,'Run Report'!AR:AV,2,0)/"1:00:00")</f>
        <v>0</v>
      </c>
      <c r="L4" s="71" t="e">
        <f>(J4-I4)/I4</f>
        <v>#DIV/0!</v>
      </c>
      <c r="M4" s="71" t="e">
        <f>1-((VLOOKUP(B4,'Run Report'!AR:AV,2,0)/"1:00:00")/J4)</f>
        <v>#DIV/0!</v>
      </c>
      <c r="N4" s="17"/>
      <c r="O4" s="72">
        <f>TIME(0,'Chat Run'!J3,0)</f>
        <v>0</v>
      </c>
      <c r="P4" s="73" t="e">
        <f>'Chat Run'!D3/'Chat Run'!B3</f>
        <v>#DIV/0!</v>
      </c>
      <c r="Q4" s="74">
        <f>'Chat Run'!F3</f>
        <v>0</v>
      </c>
      <c r="R4" s="75">
        <f>'Chat Run'!G3</f>
        <v>0</v>
      </c>
      <c r="T4" s="20"/>
      <c r="U4" s="21"/>
      <c r="W4" s="22">
        <f>J4</f>
        <v>0</v>
      </c>
      <c r="X4" s="54"/>
      <c r="Y4" s="23"/>
      <c r="Z4" s="24"/>
      <c r="AA4" s="25"/>
      <c r="AB4" s="26"/>
      <c r="AE4" s="8">
        <v>0</v>
      </c>
      <c r="AF4" s="15">
        <f>I4</f>
        <v>0</v>
      </c>
      <c r="AG4" s="15">
        <f>J4-SUM(X4:Y4)</f>
        <v>0</v>
      </c>
      <c r="AH4" s="50"/>
    </row>
    <row r="5" spans="1:34" x14ac:dyDescent="0.35">
      <c r="A5" s="49">
        <v>1</v>
      </c>
      <c r="B5" s="69">
        <v>4.1666666666666699E-2</v>
      </c>
      <c r="C5" s="70">
        <f>'Chat Run'!B4</f>
        <v>0</v>
      </c>
      <c r="D5" s="81"/>
      <c r="E5" s="71" t="e">
        <f t="shared" ref="E5" si="0">C5/D5</f>
        <v>#DIV/0!</v>
      </c>
      <c r="F5" s="27">
        <f>'Chat Run'!C4</f>
        <v>0</v>
      </c>
      <c r="G5" s="29" t="e">
        <f t="shared" ref="G5:G27" si="1">F5/C5</f>
        <v>#DIV/0!</v>
      </c>
      <c r="H5" s="29" t="e">
        <f>'Chat Run'!I4/'Chat Run'!B4</f>
        <v>#DIV/0!</v>
      </c>
      <c r="I5" s="81"/>
      <c r="J5" s="81"/>
      <c r="K5" s="30">
        <f>(VLOOKUP(B5,'Run Report'!AR:AV,2,0)/"1:00:00")</f>
        <v>0</v>
      </c>
      <c r="L5" s="71" t="e">
        <f t="shared" ref="L5" si="2">(J5-I5)/I5</f>
        <v>#DIV/0!</v>
      </c>
      <c r="M5" s="71" t="e">
        <f>1-((VLOOKUP(B5,'Run Report'!AR:AV,2,0)/"1:00:00")/J5)</f>
        <v>#DIV/0!</v>
      </c>
      <c r="N5" s="17"/>
      <c r="O5" s="72">
        <f>TIME(0,'Chat Run'!J4,0)</f>
        <v>0</v>
      </c>
      <c r="P5" s="73" t="e">
        <f>'Chat Run'!D4/'Chat Run'!B4</f>
        <v>#DIV/0!</v>
      </c>
      <c r="Q5" s="74">
        <f>'Chat Run'!F4</f>
        <v>0</v>
      </c>
      <c r="R5" s="75">
        <f>'Chat Run'!G4</f>
        <v>0</v>
      </c>
      <c r="T5" s="20"/>
      <c r="U5" s="21"/>
      <c r="W5" s="22">
        <f t="shared" ref="W5" si="3">J5</f>
        <v>0</v>
      </c>
      <c r="X5" s="54"/>
      <c r="Y5" s="23"/>
      <c r="Z5" s="24"/>
      <c r="AA5" s="25"/>
      <c r="AB5" s="26"/>
      <c r="AE5" s="8">
        <v>4.1666666666666699E-2</v>
      </c>
      <c r="AF5" s="15">
        <f t="shared" ref="AF5:AF27" si="4">I5</f>
        <v>0</v>
      </c>
      <c r="AG5" s="15">
        <f t="shared" ref="AG5:AG27" si="5">J5-SUM(X5:Y5)</f>
        <v>0</v>
      </c>
    </row>
    <row r="6" spans="1:34" x14ac:dyDescent="0.35">
      <c r="A6" s="49">
        <v>2</v>
      </c>
      <c r="B6" s="69">
        <v>8.3333333333333301E-2</v>
      </c>
      <c r="C6" s="70">
        <f>'Chat Run'!B5</f>
        <v>0</v>
      </c>
      <c r="D6" s="81"/>
      <c r="E6" s="71" t="e">
        <f>C6/D6</f>
        <v>#DIV/0!</v>
      </c>
      <c r="F6" s="27">
        <f>'Chat Run'!C5</f>
        <v>0</v>
      </c>
      <c r="G6" s="29" t="e">
        <f t="shared" si="1"/>
        <v>#DIV/0!</v>
      </c>
      <c r="H6" s="29" t="e">
        <f>'Chat Run'!I5/'Chat Run'!B5</f>
        <v>#DIV/0!</v>
      </c>
      <c r="I6" s="81"/>
      <c r="J6" s="81"/>
      <c r="K6" s="30">
        <f>(VLOOKUP(B6,'Run Report'!AR:AV,2,0)/"1:00:00")</f>
        <v>0</v>
      </c>
      <c r="L6" s="71" t="e">
        <f>(J6-I6)/I6</f>
        <v>#DIV/0!</v>
      </c>
      <c r="M6" s="71" t="e">
        <f>1-((VLOOKUP(B6,'Run Report'!AR:AV,2,0)/"1:00:00")/J6)</f>
        <v>#DIV/0!</v>
      </c>
      <c r="N6" s="17"/>
      <c r="O6" s="72">
        <f>TIME(0,'Chat Run'!J5,0)</f>
        <v>0</v>
      </c>
      <c r="P6" s="73" t="e">
        <f>'Chat Run'!D5/'Chat Run'!B5</f>
        <v>#DIV/0!</v>
      </c>
      <c r="Q6" s="74">
        <f>'Chat Run'!F5</f>
        <v>0</v>
      </c>
      <c r="R6" s="75">
        <f>'Chat Run'!G5</f>
        <v>0</v>
      </c>
      <c r="T6" s="20"/>
      <c r="U6" s="21"/>
      <c r="W6" s="22">
        <f>J6</f>
        <v>0</v>
      </c>
      <c r="X6" s="54"/>
      <c r="Y6" s="23"/>
      <c r="Z6" s="24"/>
      <c r="AA6" s="25"/>
      <c r="AB6" s="26"/>
      <c r="AE6" s="8">
        <v>8.3333333333333301E-2</v>
      </c>
      <c r="AF6" s="15">
        <f t="shared" si="4"/>
        <v>0</v>
      </c>
      <c r="AG6" s="15">
        <f t="shared" si="5"/>
        <v>0</v>
      </c>
    </row>
    <row r="7" spans="1:34" x14ac:dyDescent="0.35">
      <c r="A7" s="49">
        <v>3</v>
      </c>
      <c r="B7" s="69">
        <v>0.125</v>
      </c>
      <c r="C7" s="70">
        <f>'Chat Run'!B6</f>
        <v>0</v>
      </c>
      <c r="D7" s="81"/>
      <c r="E7" s="71" t="e">
        <f t="shared" ref="E7:E27" si="6">C7/D7</f>
        <v>#DIV/0!</v>
      </c>
      <c r="F7" s="27">
        <f>'Chat Run'!C6</f>
        <v>0</v>
      </c>
      <c r="G7" s="29" t="e">
        <f t="shared" si="1"/>
        <v>#DIV/0!</v>
      </c>
      <c r="H7" s="29" t="e">
        <f>'Chat Run'!I6/'Chat Run'!B6</f>
        <v>#DIV/0!</v>
      </c>
      <c r="I7" s="81"/>
      <c r="J7" s="81"/>
      <c r="K7" s="30">
        <f>(VLOOKUP(B7,'Run Report'!AR:AV,2,0)/"1:00:00")</f>
        <v>0</v>
      </c>
      <c r="L7" s="71" t="e">
        <f t="shared" ref="L7:L27" si="7">(J7-I7)/I7</f>
        <v>#DIV/0!</v>
      </c>
      <c r="M7" s="71" t="e">
        <f>1-((VLOOKUP(B7,'Run Report'!AR:AV,2,0)/"1:00:00")/J7)</f>
        <v>#DIV/0!</v>
      </c>
      <c r="N7" s="17"/>
      <c r="O7" s="72">
        <f>TIME(0,'Chat Run'!J6,0)</f>
        <v>0</v>
      </c>
      <c r="P7" s="73" t="e">
        <f>'Chat Run'!D6/'Chat Run'!B6</f>
        <v>#DIV/0!</v>
      </c>
      <c r="Q7" s="74">
        <f>'Chat Run'!F6</f>
        <v>0</v>
      </c>
      <c r="R7" s="75">
        <f>'Chat Run'!G6</f>
        <v>0</v>
      </c>
      <c r="T7" s="20"/>
      <c r="U7" s="21"/>
      <c r="W7" s="22">
        <f t="shared" ref="W7:W27" si="8">J7</f>
        <v>0</v>
      </c>
      <c r="X7" s="54"/>
      <c r="Y7" s="23"/>
      <c r="Z7" s="24"/>
      <c r="AA7" s="25"/>
      <c r="AB7" s="26"/>
      <c r="AE7" s="8">
        <v>0.125</v>
      </c>
      <c r="AF7" s="15">
        <f t="shared" si="4"/>
        <v>0</v>
      </c>
      <c r="AG7" s="15">
        <f t="shared" si="5"/>
        <v>0</v>
      </c>
    </row>
    <row r="8" spans="1:34" x14ac:dyDescent="0.35">
      <c r="A8" s="49">
        <v>4</v>
      </c>
      <c r="B8" s="69">
        <v>0.16666666666666699</v>
      </c>
      <c r="C8" s="70">
        <f>'Chat Run'!B7</f>
        <v>0</v>
      </c>
      <c r="D8" s="81"/>
      <c r="E8" s="71" t="e">
        <f t="shared" si="6"/>
        <v>#DIV/0!</v>
      </c>
      <c r="F8" s="27">
        <f>'Chat Run'!C7</f>
        <v>0</v>
      </c>
      <c r="G8" s="29" t="e">
        <f t="shared" si="1"/>
        <v>#DIV/0!</v>
      </c>
      <c r="H8" s="29" t="e">
        <f>'Chat Run'!I7/'Chat Run'!B7</f>
        <v>#DIV/0!</v>
      </c>
      <c r="I8" s="81"/>
      <c r="J8" s="81"/>
      <c r="K8" s="30">
        <f>(VLOOKUP(B8,'Run Report'!AR:AV,2,0)/"1:00:00")</f>
        <v>0</v>
      </c>
      <c r="L8" s="71" t="e">
        <f t="shared" si="7"/>
        <v>#DIV/0!</v>
      </c>
      <c r="M8" s="71" t="e">
        <f>1-((VLOOKUP(B8,'Run Report'!AR:AV,2,0)/"1:00:00")/J8)</f>
        <v>#DIV/0!</v>
      </c>
      <c r="N8" s="17"/>
      <c r="O8" s="72">
        <f>TIME(0,'Chat Run'!J7,0)</f>
        <v>0</v>
      </c>
      <c r="P8" s="73" t="e">
        <f>'Chat Run'!D7/'Chat Run'!B7</f>
        <v>#DIV/0!</v>
      </c>
      <c r="Q8" s="74">
        <f>'Chat Run'!F7</f>
        <v>0</v>
      </c>
      <c r="R8" s="75">
        <f>'Chat Run'!G7</f>
        <v>0</v>
      </c>
      <c r="T8" s="20"/>
      <c r="U8" s="21"/>
      <c r="W8" s="22">
        <f t="shared" si="8"/>
        <v>0</v>
      </c>
      <c r="X8" s="54"/>
      <c r="Y8" s="23"/>
      <c r="Z8" s="24"/>
      <c r="AA8" s="25"/>
      <c r="AB8" s="26"/>
      <c r="AE8" s="8">
        <v>0.16666666666666699</v>
      </c>
      <c r="AF8" s="15">
        <f t="shared" si="4"/>
        <v>0</v>
      </c>
      <c r="AG8" s="15">
        <f t="shared" si="5"/>
        <v>0</v>
      </c>
    </row>
    <row r="9" spans="1:34" x14ac:dyDescent="0.35">
      <c r="A9" s="49">
        <v>5</v>
      </c>
      <c r="B9" s="69">
        <v>0.20833333333333301</v>
      </c>
      <c r="C9" s="70">
        <f>'Chat Run'!B8</f>
        <v>0</v>
      </c>
      <c r="D9" s="81"/>
      <c r="E9" s="71" t="e">
        <f t="shared" si="6"/>
        <v>#DIV/0!</v>
      </c>
      <c r="F9" s="27">
        <f>'Chat Run'!C8</f>
        <v>0</v>
      </c>
      <c r="G9" s="29" t="e">
        <f t="shared" si="1"/>
        <v>#DIV/0!</v>
      </c>
      <c r="H9" s="29" t="e">
        <f>'Chat Run'!I8/'Chat Run'!B8</f>
        <v>#DIV/0!</v>
      </c>
      <c r="I9" s="81"/>
      <c r="J9" s="81"/>
      <c r="K9" s="30">
        <f>(VLOOKUP(B9,'Run Report'!AR:AV,2,0)/"1:00:00")</f>
        <v>0</v>
      </c>
      <c r="L9" s="71" t="e">
        <f t="shared" si="7"/>
        <v>#DIV/0!</v>
      </c>
      <c r="M9" s="71" t="e">
        <f>1-((VLOOKUP(B9,'Run Report'!AR:AV,2,0)/"1:00:00")/J9)</f>
        <v>#DIV/0!</v>
      </c>
      <c r="N9" s="17"/>
      <c r="O9" s="72">
        <f>TIME(0,'Chat Run'!J8,0)</f>
        <v>0</v>
      </c>
      <c r="P9" s="73" t="e">
        <f>'Chat Run'!D8/'Chat Run'!B8</f>
        <v>#DIV/0!</v>
      </c>
      <c r="Q9" s="74">
        <f>'Chat Run'!F8</f>
        <v>0</v>
      </c>
      <c r="R9" s="75">
        <f>'Chat Run'!G8</f>
        <v>0</v>
      </c>
      <c r="T9" s="20"/>
      <c r="U9" s="21"/>
      <c r="W9" s="22">
        <f t="shared" si="8"/>
        <v>0</v>
      </c>
      <c r="X9" s="54"/>
      <c r="Y9" s="23"/>
      <c r="Z9" s="24"/>
      <c r="AA9" s="25"/>
      <c r="AB9" s="26"/>
      <c r="AE9" s="8">
        <v>0.20833333333333301</v>
      </c>
      <c r="AF9" s="15">
        <f t="shared" si="4"/>
        <v>0</v>
      </c>
      <c r="AG9" s="15">
        <f t="shared" si="5"/>
        <v>0</v>
      </c>
    </row>
    <row r="10" spans="1:34" x14ac:dyDescent="0.35">
      <c r="A10" s="49">
        <v>6</v>
      </c>
      <c r="B10" s="69">
        <v>0.25</v>
      </c>
      <c r="C10" s="70">
        <f>'Chat Run'!B9</f>
        <v>0</v>
      </c>
      <c r="D10" s="81"/>
      <c r="E10" s="71" t="e">
        <f t="shared" si="6"/>
        <v>#DIV/0!</v>
      </c>
      <c r="F10" s="27">
        <f>'Chat Run'!C9</f>
        <v>0</v>
      </c>
      <c r="G10" s="29" t="e">
        <f t="shared" si="1"/>
        <v>#DIV/0!</v>
      </c>
      <c r="H10" s="29" t="e">
        <f>'Chat Run'!I9/'Chat Run'!B9</f>
        <v>#DIV/0!</v>
      </c>
      <c r="I10" s="81"/>
      <c r="J10" s="81"/>
      <c r="K10" s="30">
        <f>(VLOOKUP(B10,'Run Report'!AR:AV,2,0)/"1:00:00")</f>
        <v>0</v>
      </c>
      <c r="L10" s="71" t="e">
        <f t="shared" si="7"/>
        <v>#DIV/0!</v>
      </c>
      <c r="M10" s="71" t="e">
        <f>1-((VLOOKUP(B10,'Run Report'!AR:AV,2,0)/"1:00:00")/J10)</f>
        <v>#DIV/0!</v>
      </c>
      <c r="N10" s="17"/>
      <c r="O10" s="72">
        <f>TIME(0,'Chat Run'!J9,0)</f>
        <v>0</v>
      </c>
      <c r="P10" s="73" t="e">
        <f>'Chat Run'!D9/'Chat Run'!B9</f>
        <v>#DIV/0!</v>
      </c>
      <c r="Q10" s="74">
        <f>'Chat Run'!F9</f>
        <v>0</v>
      </c>
      <c r="R10" s="75">
        <f>'Chat Run'!G9</f>
        <v>0</v>
      </c>
      <c r="T10" s="20"/>
      <c r="U10" s="21"/>
      <c r="W10" s="22">
        <f t="shared" si="8"/>
        <v>0</v>
      </c>
      <c r="X10" s="54"/>
      <c r="Y10" s="23"/>
      <c r="Z10" s="24"/>
      <c r="AA10" s="25"/>
      <c r="AB10" s="26"/>
      <c r="AE10" s="8">
        <v>0.25</v>
      </c>
      <c r="AF10" s="15">
        <f t="shared" si="4"/>
        <v>0</v>
      </c>
      <c r="AG10" s="15">
        <f t="shared" si="5"/>
        <v>0</v>
      </c>
    </row>
    <row r="11" spans="1:34" x14ac:dyDescent="0.35">
      <c r="A11" s="49">
        <v>7</v>
      </c>
      <c r="B11" s="69">
        <v>0.29166666666666702</v>
      </c>
      <c r="C11" s="70">
        <f>'Chat Run'!B10</f>
        <v>0</v>
      </c>
      <c r="D11" s="81"/>
      <c r="E11" s="71" t="e">
        <f t="shared" si="6"/>
        <v>#DIV/0!</v>
      </c>
      <c r="F11" s="27">
        <f>'Chat Run'!C10</f>
        <v>0</v>
      </c>
      <c r="G11" s="29" t="e">
        <f t="shared" si="1"/>
        <v>#DIV/0!</v>
      </c>
      <c r="H11" s="29" t="e">
        <f>'Chat Run'!I10/'Chat Run'!B10</f>
        <v>#DIV/0!</v>
      </c>
      <c r="I11" s="81"/>
      <c r="J11" s="81"/>
      <c r="K11" s="30">
        <f>(VLOOKUP(B11,'Run Report'!AR:AV,2,0)/"1:00:00")</f>
        <v>0</v>
      </c>
      <c r="L11" s="71" t="e">
        <f t="shared" si="7"/>
        <v>#DIV/0!</v>
      </c>
      <c r="M11" s="71" t="e">
        <f>1-((VLOOKUP(B11,'Run Report'!AR:AV,2,0)/"1:00:00")/J11)</f>
        <v>#DIV/0!</v>
      </c>
      <c r="N11" s="17"/>
      <c r="O11" s="72">
        <f>TIME(0,'Chat Run'!J10,0)</f>
        <v>0</v>
      </c>
      <c r="P11" s="73" t="e">
        <f>'Chat Run'!D10/'Chat Run'!B10</f>
        <v>#DIV/0!</v>
      </c>
      <c r="Q11" s="74">
        <f>'Chat Run'!F10</f>
        <v>0</v>
      </c>
      <c r="R11" s="75">
        <f>'Chat Run'!G10</f>
        <v>0</v>
      </c>
      <c r="T11" s="20"/>
      <c r="U11" s="21"/>
      <c r="W11" s="22">
        <f t="shared" si="8"/>
        <v>0</v>
      </c>
      <c r="X11" s="54"/>
      <c r="Y11" s="23"/>
      <c r="Z11" s="24"/>
      <c r="AA11" s="25"/>
      <c r="AB11" s="26"/>
      <c r="AE11" s="8">
        <v>0.29166666666666702</v>
      </c>
      <c r="AF11" s="15">
        <f t="shared" si="4"/>
        <v>0</v>
      </c>
      <c r="AG11" s="15">
        <f t="shared" si="5"/>
        <v>0</v>
      </c>
      <c r="AH11" s="46">
        <f>AF11-AG11</f>
        <v>0</v>
      </c>
    </row>
    <row r="12" spans="1:34" x14ac:dyDescent="0.35">
      <c r="A12" s="49">
        <v>8</v>
      </c>
      <c r="B12" s="69">
        <v>0.33333333333333298</v>
      </c>
      <c r="C12" s="70">
        <f>'Chat Run'!B11</f>
        <v>0</v>
      </c>
      <c r="D12" s="81"/>
      <c r="E12" s="71" t="e">
        <f t="shared" si="6"/>
        <v>#DIV/0!</v>
      </c>
      <c r="F12" s="27">
        <f>'Chat Run'!C11</f>
        <v>0</v>
      </c>
      <c r="G12" s="29" t="e">
        <f t="shared" si="1"/>
        <v>#DIV/0!</v>
      </c>
      <c r="H12" s="29" t="e">
        <f>'Chat Run'!I11/'Chat Run'!B11</f>
        <v>#DIV/0!</v>
      </c>
      <c r="I12" s="81"/>
      <c r="J12" s="81"/>
      <c r="K12" s="30">
        <f>(VLOOKUP(B12,'Run Report'!AR:AV,2,0)/"1:00:00")</f>
        <v>0</v>
      </c>
      <c r="L12" s="71" t="e">
        <f t="shared" si="7"/>
        <v>#DIV/0!</v>
      </c>
      <c r="M12" s="71" t="e">
        <f>1-((VLOOKUP(B12,'Run Report'!AR:AV,2,0)/"1:00:00")/J12)</f>
        <v>#DIV/0!</v>
      </c>
      <c r="N12" s="17"/>
      <c r="O12" s="72">
        <f>TIME(0,'Chat Run'!J11,0)</f>
        <v>0</v>
      </c>
      <c r="P12" s="73" t="e">
        <f>'Chat Run'!D11/'Chat Run'!B11</f>
        <v>#DIV/0!</v>
      </c>
      <c r="Q12" s="74">
        <f>'Chat Run'!F11</f>
        <v>0</v>
      </c>
      <c r="R12" s="75">
        <f>'Chat Run'!G11</f>
        <v>0</v>
      </c>
      <c r="T12" s="20"/>
      <c r="U12" s="21"/>
      <c r="W12" s="22">
        <f t="shared" si="8"/>
        <v>0</v>
      </c>
      <c r="X12" s="54"/>
      <c r="Y12" s="23"/>
      <c r="Z12" s="24"/>
      <c r="AA12" s="25"/>
      <c r="AB12" s="26"/>
      <c r="AE12" s="8">
        <v>0.33333333333333298</v>
      </c>
      <c r="AF12" s="15">
        <f t="shared" si="4"/>
        <v>0</v>
      </c>
      <c r="AG12" s="15">
        <f t="shared" si="5"/>
        <v>0</v>
      </c>
      <c r="AH12" s="46">
        <f t="shared" ref="AH12:AH27" si="9">AF12-AG12</f>
        <v>0</v>
      </c>
    </row>
    <row r="13" spans="1:34" x14ac:dyDescent="0.35">
      <c r="A13" s="49">
        <v>9</v>
      </c>
      <c r="B13" s="69">
        <v>0.375</v>
      </c>
      <c r="C13" s="70">
        <f>'Chat Run'!B12</f>
        <v>0</v>
      </c>
      <c r="D13" s="81"/>
      <c r="E13" s="71" t="e">
        <f t="shared" si="6"/>
        <v>#DIV/0!</v>
      </c>
      <c r="F13" s="27">
        <f>'Chat Run'!C12</f>
        <v>0</v>
      </c>
      <c r="G13" s="29" t="e">
        <f t="shared" si="1"/>
        <v>#DIV/0!</v>
      </c>
      <c r="H13" s="29" t="e">
        <f>'Chat Run'!I12/'Chat Run'!B12</f>
        <v>#DIV/0!</v>
      </c>
      <c r="I13" s="81"/>
      <c r="J13" s="81"/>
      <c r="K13" s="30">
        <f>(VLOOKUP(B13,'Run Report'!AR:AV,2,0)/"1:00:00")</f>
        <v>0</v>
      </c>
      <c r="L13" s="71" t="e">
        <f t="shared" si="7"/>
        <v>#DIV/0!</v>
      </c>
      <c r="M13" s="71" t="e">
        <f>1-((VLOOKUP(B13,'Run Report'!AR:AV,2,0)/"1:00:00")/J13)</f>
        <v>#DIV/0!</v>
      </c>
      <c r="N13" s="17"/>
      <c r="O13" s="72">
        <f>TIME(0,'Chat Run'!J12,0)</f>
        <v>0</v>
      </c>
      <c r="P13" s="73" t="e">
        <f>'Chat Run'!D12/'Chat Run'!B12</f>
        <v>#DIV/0!</v>
      </c>
      <c r="Q13" s="74">
        <f>'Chat Run'!F12</f>
        <v>0</v>
      </c>
      <c r="R13" s="75">
        <f>'Chat Run'!G12</f>
        <v>0</v>
      </c>
      <c r="T13" s="20"/>
      <c r="U13" s="21"/>
      <c r="W13" s="22">
        <f t="shared" si="8"/>
        <v>0</v>
      </c>
      <c r="X13" s="54"/>
      <c r="Y13" s="23"/>
      <c r="Z13" s="24"/>
      <c r="AA13" s="25"/>
      <c r="AB13" s="26"/>
      <c r="AE13" s="8">
        <v>0.375</v>
      </c>
      <c r="AF13" s="15">
        <f t="shared" si="4"/>
        <v>0</v>
      </c>
      <c r="AG13" s="15">
        <f t="shared" si="5"/>
        <v>0</v>
      </c>
      <c r="AH13" s="46">
        <f t="shared" si="9"/>
        <v>0</v>
      </c>
    </row>
    <row r="14" spans="1:34" x14ac:dyDescent="0.35">
      <c r="A14" s="49">
        <v>10</v>
      </c>
      <c r="B14" s="69">
        <v>0.41666666666666702</v>
      </c>
      <c r="C14" s="70">
        <f>'Chat Run'!B13</f>
        <v>0</v>
      </c>
      <c r="D14" s="81"/>
      <c r="E14" s="71" t="e">
        <f t="shared" si="6"/>
        <v>#DIV/0!</v>
      </c>
      <c r="F14" s="27">
        <f>'Chat Run'!C13</f>
        <v>0</v>
      </c>
      <c r="G14" s="29" t="e">
        <f t="shared" si="1"/>
        <v>#DIV/0!</v>
      </c>
      <c r="H14" s="29" t="e">
        <f>'Chat Run'!I13/'Chat Run'!B13</f>
        <v>#DIV/0!</v>
      </c>
      <c r="I14" s="81"/>
      <c r="J14" s="81"/>
      <c r="K14" s="30">
        <f>(VLOOKUP(B14,'Run Report'!AR:AV,2,0)/"1:00:00")</f>
        <v>0</v>
      </c>
      <c r="L14" s="71" t="e">
        <f t="shared" si="7"/>
        <v>#DIV/0!</v>
      </c>
      <c r="M14" s="71" t="e">
        <f>1-((VLOOKUP(B14,'Run Report'!AR:AV,2,0)/"1:00:00")/J14)</f>
        <v>#DIV/0!</v>
      </c>
      <c r="N14" s="17"/>
      <c r="O14" s="72">
        <f>TIME(0,'Chat Run'!J13,0)</f>
        <v>0</v>
      </c>
      <c r="P14" s="73" t="e">
        <f>'Chat Run'!D13/'Chat Run'!B13</f>
        <v>#DIV/0!</v>
      </c>
      <c r="Q14" s="74">
        <f>'Chat Run'!F13</f>
        <v>0</v>
      </c>
      <c r="R14" s="75">
        <f>'Chat Run'!G13</f>
        <v>0</v>
      </c>
      <c r="T14" s="20"/>
      <c r="U14" s="21"/>
      <c r="W14" s="22">
        <f t="shared" si="8"/>
        <v>0</v>
      </c>
      <c r="X14" s="54"/>
      <c r="Y14" s="23"/>
      <c r="Z14" s="24"/>
      <c r="AA14" s="25"/>
      <c r="AB14" s="26"/>
      <c r="AE14" s="8">
        <v>0.41666666666666702</v>
      </c>
      <c r="AF14" s="15">
        <f t="shared" si="4"/>
        <v>0</v>
      </c>
      <c r="AG14" s="15">
        <f t="shared" si="5"/>
        <v>0</v>
      </c>
      <c r="AH14" s="46">
        <f t="shared" si="9"/>
        <v>0</v>
      </c>
    </row>
    <row r="15" spans="1:34" x14ac:dyDescent="0.35">
      <c r="A15" s="49">
        <v>11</v>
      </c>
      <c r="B15" s="69">
        <v>0.45833333333333298</v>
      </c>
      <c r="C15" s="70">
        <f>'Chat Run'!B14</f>
        <v>0</v>
      </c>
      <c r="D15" s="81"/>
      <c r="E15" s="71" t="e">
        <f t="shared" si="6"/>
        <v>#DIV/0!</v>
      </c>
      <c r="F15" s="27">
        <f>'Chat Run'!C14</f>
        <v>0</v>
      </c>
      <c r="G15" s="29" t="e">
        <f t="shared" si="1"/>
        <v>#DIV/0!</v>
      </c>
      <c r="H15" s="29" t="e">
        <f>'Chat Run'!I14/'Chat Run'!B14</f>
        <v>#DIV/0!</v>
      </c>
      <c r="I15" s="81"/>
      <c r="J15" s="81"/>
      <c r="K15" s="30">
        <f>(VLOOKUP(B15,'Run Report'!AR:AV,2,0)/"1:00:00")</f>
        <v>0</v>
      </c>
      <c r="L15" s="71" t="e">
        <f t="shared" si="7"/>
        <v>#DIV/0!</v>
      </c>
      <c r="M15" s="71" t="e">
        <f>1-((VLOOKUP(B15,'Run Report'!AR:AV,2,0)/"1:00:00")/J15)</f>
        <v>#DIV/0!</v>
      </c>
      <c r="N15" s="17"/>
      <c r="O15" s="72">
        <f>TIME(0,'Chat Run'!J14,0)</f>
        <v>0</v>
      </c>
      <c r="P15" s="73" t="e">
        <f>'Chat Run'!D14/'Chat Run'!B14</f>
        <v>#DIV/0!</v>
      </c>
      <c r="Q15" s="74">
        <f>'Chat Run'!F14</f>
        <v>0</v>
      </c>
      <c r="R15" s="75">
        <f>'Chat Run'!G14</f>
        <v>0</v>
      </c>
      <c r="T15" s="20"/>
      <c r="U15" s="21"/>
      <c r="W15" s="22">
        <f t="shared" si="8"/>
        <v>0</v>
      </c>
      <c r="X15" s="54"/>
      <c r="Y15" s="23"/>
      <c r="Z15" s="24"/>
      <c r="AA15" s="25"/>
      <c r="AB15" s="26"/>
      <c r="AE15" s="8">
        <v>0.45833333333333298</v>
      </c>
      <c r="AF15" s="15">
        <f t="shared" si="4"/>
        <v>0</v>
      </c>
      <c r="AG15" s="15">
        <f t="shared" si="5"/>
        <v>0</v>
      </c>
      <c r="AH15" s="46">
        <f t="shared" si="9"/>
        <v>0</v>
      </c>
    </row>
    <row r="16" spans="1:34" x14ac:dyDescent="0.35">
      <c r="A16" s="49">
        <v>12</v>
      </c>
      <c r="B16" s="69">
        <v>0.5</v>
      </c>
      <c r="C16" s="70">
        <f>'Chat Run'!B15</f>
        <v>0</v>
      </c>
      <c r="D16" s="81"/>
      <c r="E16" s="71" t="e">
        <f t="shared" si="6"/>
        <v>#DIV/0!</v>
      </c>
      <c r="F16" s="27">
        <f>'Chat Run'!C15</f>
        <v>0</v>
      </c>
      <c r="G16" s="29" t="e">
        <f t="shared" si="1"/>
        <v>#DIV/0!</v>
      </c>
      <c r="H16" s="29" t="e">
        <f>'Chat Run'!I15/'Chat Run'!B15</f>
        <v>#DIV/0!</v>
      </c>
      <c r="I16" s="81"/>
      <c r="J16" s="81"/>
      <c r="K16" s="30">
        <f>(VLOOKUP(B16,'Run Report'!AR:AV,2,0)/"1:00:00")</f>
        <v>0</v>
      </c>
      <c r="L16" s="71" t="e">
        <f t="shared" si="7"/>
        <v>#DIV/0!</v>
      </c>
      <c r="M16" s="71" t="e">
        <f>1-((VLOOKUP(B16,'Run Report'!AR:AV,2,0)/"1:00:00")/J16)</f>
        <v>#DIV/0!</v>
      </c>
      <c r="N16" s="17"/>
      <c r="O16" s="72">
        <f>TIME(0,'Chat Run'!J15,0)</f>
        <v>0</v>
      </c>
      <c r="P16" s="73" t="e">
        <f>'Chat Run'!D15/'Chat Run'!B15</f>
        <v>#DIV/0!</v>
      </c>
      <c r="Q16" s="74">
        <f>'Chat Run'!F15</f>
        <v>0</v>
      </c>
      <c r="R16" s="75">
        <f>'Chat Run'!G15</f>
        <v>0</v>
      </c>
      <c r="T16" s="20"/>
      <c r="U16" s="21"/>
      <c r="W16" s="22">
        <f t="shared" si="8"/>
        <v>0</v>
      </c>
      <c r="X16" s="54"/>
      <c r="Y16" s="23"/>
      <c r="Z16" s="24"/>
      <c r="AA16" s="25"/>
      <c r="AB16" s="26"/>
      <c r="AE16" s="8">
        <v>0.5</v>
      </c>
      <c r="AF16" s="15">
        <f t="shared" si="4"/>
        <v>0</v>
      </c>
      <c r="AG16" s="15">
        <f t="shared" si="5"/>
        <v>0</v>
      </c>
      <c r="AH16" s="46">
        <f t="shared" si="9"/>
        <v>0</v>
      </c>
    </row>
    <row r="17" spans="1:40" x14ac:dyDescent="0.35">
      <c r="A17" s="49">
        <v>13</v>
      </c>
      <c r="B17" s="69">
        <v>0.54166666666666696</v>
      </c>
      <c r="C17" s="70">
        <f>'Chat Run'!B16</f>
        <v>0</v>
      </c>
      <c r="D17" s="81"/>
      <c r="E17" s="71" t="e">
        <f t="shared" si="6"/>
        <v>#DIV/0!</v>
      </c>
      <c r="F17" s="27">
        <f>'Chat Run'!C16</f>
        <v>0</v>
      </c>
      <c r="G17" s="29" t="e">
        <f t="shared" si="1"/>
        <v>#DIV/0!</v>
      </c>
      <c r="H17" s="29" t="e">
        <f>'Chat Run'!I16/'Chat Run'!B16</f>
        <v>#DIV/0!</v>
      </c>
      <c r="I17" s="81"/>
      <c r="J17" s="81"/>
      <c r="K17" s="30">
        <f>(VLOOKUP(B17,'Run Report'!AR:AV,2,0)/"1:00:00")</f>
        <v>0</v>
      </c>
      <c r="L17" s="71" t="e">
        <f t="shared" si="7"/>
        <v>#DIV/0!</v>
      </c>
      <c r="M17" s="71" t="e">
        <f>1-((VLOOKUP(B17,'Run Report'!AR:AV,2,0)/"1:00:00")/J17)</f>
        <v>#DIV/0!</v>
      </c>
      <c r="N17" s="17"/>
      <c r="O17" s="72">
        <f>TIME(0,'Chat Run'!J16,0)</f>
        <v>0</v>
      </c>
      <c r="P17" s="73" t="e">
        <f>'Chat Run'!D16/'Chat Run'!B16</f>
        <v>#DIV/0!</v>
      </c>
      <c r="Q17" s="74">
        <f>'Chat Run'!F16</f>
        <v>0</v>
      </c>
      <c r="R17" s="75">
        <f>'Chat Run'!G16</f>
        <v>0</v>
      </c>
      <c r="T17" s="20"/>
      <c r="U17" s="21"/>
      <c r="W17" s="22">
        <f t="shared" si="8"/>
        <v>0</v>
      </c>
      <c r="X17" s="54"/>
      <c r="Y17" s="23"/>
      <c r="Z17" s="24"/>
      <c r="AA17" s="25"/>
      <c r="AB17" s="26"/>
      <c r="AE17" s="8">
        <v>0.54166666666666696</v>
      </c>
      <c r="AF17" s="15">
        <f t="shared" si="4"/>
        <v>0</v>
      </c>
      <c r="AG17" s="15">
        <f t="shared" si="5"/>
        <v>0</v>
      </c>
      <c r="AH17" s="46">
        <f t="shared" si="9"/>
        <v>0</v>
      </c>
    </row>
    <row r="18" spans="1:40" x14ac:dyDescent="0.35">
      <c r="A18" s="49">
        <v>14</v>
      </c>
      <c r="B18" s="69">
        <v>0.58333333333333304</v>
      </c>
      <c r="C18" s="70">
        <f>'Chat Run'!B17</f>
        <v>0</v>
      </c>
      <c r="D18" s="81"/>
      <c r="E18" s="71" t="e">
        <f t="shared" si="6"/>
        <v>#DIV/0!</v>
      </c>
      <c r="F18" s="27">
        <f>'Chat Run'!C17</f>
        <v>0</v>
      </c>
      <c r="G18" s="29" t="e">
        <f t="shared" si="1"/>
        <v>#DIV/0!</v>
      </c>
      <c r="H18" s="29" t="e">
        <f>'Chat Run'!I17/'Chat Run'!B17</f>
        <v>#DIV/0!</v>
      </c>
      <c r="I18" s="81"/>
      <c r="J18" s="81"/>
      <c r="K18" s="30">
        <f>(VLOOKUP(B18,'Run Report'!AR:AV,2,0)/"1:00:00")</f>
        <v>0</v>
      </c>
      <c r="L18" s="71" t="e">
        <f t="shared" si="7"/>
        <v>#DIV/0!</v>
      </c>
      <c r="M18" s="71" t="e">
        <f>1-((VLOOKUP(B18,'Run Report'!AR:AV,2,0)/"1:00:00")/J18)</f>
        <v>#DIV/0!</v>
      </c>
      <c r="N18" s="17"/>
      <c r="O18" s="72">
        <f>TIME(0,'Chat Run'!J17,0)</f>
        <v>0</v>
      </c>
      <c r="P18" s="73" t="e">
        <f>'Chat Run'!D17/'Chat Run'!B17</f>
        <v>#DIV/0!</v>
      </c>
      <c r="Q18" s="74">
        <f>'Chat Run'!F17</f>
        <v>0</v>
      </c>
      <c r="R18" s="75">
        <f>'Chat Run'!G17</f>
        <v>0</v>
      </c>
      <c r="T18" s="20"/>
      <c r="U18" s="21"/>
      <c r="W18" s="22">
        <f t="shared" si="8"/>
        <v>0</v>
      </c>
      <c r="X18" s="54"/>
      <c r="Y18" s="23"/>
      <c r="Z18" s="24"/>
      <c r="AA18" s="25"/>
      <c r="AB18" s="26"/>
      <c r="AE18" s="8">
        <v>0.58333333333333304</v>
      </c>
      <c r="AF18" s="15">
        <f t="shared" si="4"/>
        <v>0</v>
      </c>
      <c r="AG18" s="15">
        <f t="shared" si="5"/>
        <v>0</v>
      </c>
      <c r="AH18" s="46">
        <f t="shared" si="9"/>
        <v>0</v>
      </c>
    </row>
    <row r="19" spans="1:40" x14ac:dyDescent="0.35">
      <c r="A19" s="49">
        <v>15</v>
      </c>
      <c r="B19" s="69">
        <v>0.625</v>
      </c>
      <c r="C19" s="70">
        <f>'Chat Run'!B18</f>
        <v>0</v>
      </c>
      <c r="D19" s="81"/>
      <c r="E19" s="71" t="e">
        <f t="shared" si="6"/>
        <v>#DIV/0!</v>
      </c>
      <c r="F19" s="27">
        <f>'Chat Run'!C18</f>
        <v>0</v>
      </c>
      <c r="G19" s="29" t="e">
        <f t="shared" si="1"/>
        <v>#DIV/0!</v>
      </c>
      <c r="H19" s="29" t="e">
        <f>'Chat Run'!I18/'Chat Run'!B18</f>
        <v>#DIV/0!</v>
      </c>
      <c r="I19" s="81"/>
      <c r="J19" s="81"/>
      <c r="K19" s="30">
        <f>(VLOOKUP(B19,'Run Report'!AR:AV,2,0)/"1:00:00")</f>
        <v>0</v>
      </c>
      <c r="L19" s="71" t="e">
        <f t="shared" si="7"/>
        <v>#DIV/0!</v>
      </c>
      <c r="M19" s="71" t="e">
        <f>1-((VLOOKUP(B19,'Run Report'!AR:AV,2,0)/"1:00:00")/J19)</f>
        <v>#DIV/0!</v>
      </c>
      <c r="N19" s="17"/>
      <c r="O19" s="72">
        <f>TIME(0,'Chat Run'!J18,0)</f>
        <v>0</v>
      </c>
      <c r="P19" s="73" t="e">
        <f>'Chat Run'!D18/'Chat Run'!B18</f>
        <v>#DIV/0!</v>
      </c>
      <c r="Q19" s="74">
        <f>'Chat Run'!F18</f>
        <v>0</v>
      </c>
      <c r="R19" s="75">
        <f>'Chat Run'!G18</f>
        <v>0</v>
      </c>
      <c r="T19" s="20"/>
      <c r="U19" s="21"/>
      <c r="W19" s="22">
        <f t="shared" si="8"/>
        <v>0</v>
      </c>
      <c r="X19" s="54"/>
      <c r="Y19" s="23"/>
      <c r="Z19" s="24"/>
      <c r="AA19" s="25"/>
      <c r="AB19" s="26"/>
      <c r="AE19" s="8">
        <v>0.625</v>
      </c>
      <c r="AF19" s="15">
        <f t="shared" si="4"/>
        <v>0</v>
      </c>
      <c r="AG19" s="15">
        <f t="shared" si="5"/>
        <v>0</v>
      </c>
      <c r="AH19" s="46">
        <f t="shared" si="9"/>
        <v>0</v>
      </c>
    </row>
    <row r="20" spans="1:40" x14ac:dyDescent="0.35">
      <c r="A20" s="49">
        <v>16</v>
      </c>
      <c r="B20" s="69">
        <v>0.66666666666666696</v>
      </c>
      <c r="C20" s="70">
        <f>'Chat Run'!B19</f>
        <v>0</v>
      </c>
      <c r="D20" s="81"/>
      <c r="E20" s="71" t="e">
        <f t="shared" si="6"/>
        <v>#DIV/0!</v>
      </c>
      <c r="F20" s="27">
        <f>'Chat Run'!C19</f>
        <v>0</v>
      </c>
      <c r="G20" s="29" t="e">
        <f t="shared" si="1"/>
        <v>#DIV/0!</v>
      </c>
      <c r="H20" s="29" t="e">
        <f>'Chat Run'!I19/'Chat Run'!B19</f>
        <v>#DIV/0!</v>
      </c>
      <c r="I20" s="81"/>
      <c r="J20" s="81"/>
      <c r="K20" s="30">
        <f>(VLOOKUP(B20,'Run Report'!AR:AV,2,0)/"1:00:00")</f>
        <v>0</v>
      </c>
      <c r="L20" s="71" t="e">
        <f t="shared" si="7"/>
        <v>#DIV/0!</v>
      </c>
      <c r="M20" s="71" t="e">
        <f>1-((VLOOKUP(B20,'Run Report'!AR:AV,2,0)/"1:00:00")/J20)</f>
        <v>#DIV/0!</v>
      </c>
      <c r="N20" s="17"/>
      <c r="O20" s="72">
        <f>TIME(0,'Chat Run'!J19,0)</f>
        <v>0</v>
      </c>
      <c r="P20" s="73" t="e">
        <f>'Chat Run'!D19/'Chat Run'!B19</f>
        <v>#DIV/0!</v>
      </c>
      <c r="Q20" s="74">
        <f>'Chat Run'!F19</f>
        <v>0</v>
      </c>
      <c r="R20" s="75">
        <f>'Chat Run'!G19</f>
        <v>0</v>
      </c>
      <c r="T20" s="20"/>
      <c r="U20" s="21"/>
      <c r="W20" s="22">
        <f t="shared" si="8"/>
        <v>0</v>
      </c>
      <c r="X20" s="54"/>
      <c r="Y20" s="23"/>
      <c r="Z20" s="24"/>
      <c r="AA20" s="25"/>
      <c r="AB20" s="26"/>
      <c r="AE20" s="8">
        <v>0.66666666666666696</v>
      </c>
      <c r="AF20" s="15">
        <f t="shared" si="4"/>
        <v>0</v>
      </c>
      <c r="AG20" s="15">
        <f t="shared" si="5"/>
        <v>0</v>
      </c>
      <c r="AH20" s="46">
        <f t="shared" si="9"/>
        <v>0</v>
      </c>
    </row>
    <row r="21" spans="1:40" x14ac:dyDescent="0.35">
      <c r="A21" s="49">
        <v>17</v>
      </c>
      <c r="B21" s="69">
        <v>0.70833333333333304</v>
      </c>
      <c r="C21" s="70">
        <f>'Chat Run'!B20</f>
        <v>0</v>
      </c>
      <c r="D21" s="81"/>
      <c r="E21" s="71" t="e">
        <f t="shared" si="6"/>
        <v>#DIV/0!</v>
      </c>
      <c r="F21" s="27">
        <f>'Chat Run'!C20</f>
        <v>0</v>
      </c>
      <c r="G21" s="29" t="e">
        <f t="shared" si="1"/>
        <v>#DIV/0!</v>
      </c>
      <c r="H21" s="29" t="e">
        <f>'Chat Run'!I20/'Chat Run'!B20</f>
        <v>#DIV/0!</v>
      </c>
      <c r="I21" s="81"/>
      <c r="J21" s="81"/>
      <c r="K21" s="30">
        <f>(VLOOKUP(B21,'Run Report'!AR:AV,2,0)/"1:00:00")</f>
        <v>0</v>
      </c>
      <c r="L21" s="71" t="e">
        <f t="shared" si="7"/>
        <v>#DIV/0!</v>
      </c>
      <c r="M21" s="71" t="e">
        <f>1-((VLOOKUP(B21,'Run Report'!AR:AV,2,0)/"1:00:00")/J21)</f>
        <v>#DIV/0!</v>
      </c>
      <c r="N21" s="17"/>
      <c r="O21" s="72">
        <f>TIME(0,'Chat Run'!J20,0)</f>
        <v>0</v>
      </c>
      <c r="P21" s="73" t="e">
        <f>'Chat Run'!D20/'Chat Run'!B20</f>
        <v>#DIV/0!</v>
      </c>
      <c r="Q21" s="74">
        <f>'Chat Run'!F20</f>
        <v>0</v>
      </c>
      <c r="R21" s="75">
        <f>'Chat Run'!G20</f>
        <v>0</v>
      </c>
      <c r="T21" s="20"/>
      <c r="U21" s="21"/>
      <c r="W21" s="22">
        <f t="shared" si="8"/>
        <v>0</v>
      </c>
      <c r="X21" s="54"/>
      <c r="Y21" s="23"/>
      <c r="Z21" s="24"/>
      <c r="AA21" s="25"/>
      <c r="AB21" s="26"/>
      <c r="AE21" s="8">
        <v>0.70833333333333304</v>
      </c>
      <c r="AF21" s="15">
        <f t="shared" si="4"/>
        <v>0</v>
      </c>
      <c r="AG21" s="15">
        <f t="shared" si="5"/>
        <v>0</v>
      </c>
      <c r="AH21" s="46">
        <f t="shared" si="9"/>
        <v>0</v>
      </c>
    </row>
    <row r="22" spans="1:40" x14ac:dyDescent="0.35">
      <c r="A22" s="49">
        <v>18</v>
      </c>
      <c r="B22" s="69">
        <v>0.75</v>
      </c>
      <c r="C22" s="70">
        <f>'Chat Run'!B21</f>
        <v>0</v>
      </c>
      <c r="D22" s="81"/>
      <c r="E22" s="71" t="e">
        <f t="shared" si="6"/>
        <v>#DIV/0!</v>
      </c>
      <c r="F22" s="27">
        <f>'Chat Run'!C21</f>
        <v>0</v>
      </c>
      <c r="G22" s="29" t="e">
        <f t="shared" si="1"/>
        <v>#DIV/0!</v>
      </c>
      <c r="H22" s="29" t="e">
        <f>'Chat Run'!I21/'Chat Run'!B21</f>
        <v>#DIV/0!</v>
      </c>
      <c r="I22" s="81"/>
      <c r="J22" s="81"/>
      <c r="K22" s="30">
        <f>(VLOOKUP(B22,'Run Report'!AR:AV,2,0)/"1:00:00")</f>
        <v>0</v>
      </c>
      <c r="L22" s="71" t="e">
        <f t="shared" si="7"/>
        <v>#DIV/0!</v>
      </c>
      <c r="M22" s="71" t="e">
        <f>1-((VLOOKUP(B22,'Run Report'!AR:AV,2,0)/"1:00:00")/J22)</f>
        <v>#DIV/0!</v>
      </c>
      <c r="N22" s="17"/>
      <c r="O22" s="72">
        <f>TIME(0,'Chat Run'!J21,0)</f>
        <v>0</v>
      </c>
      <c r="P22" s="73" t="e">
        <f>'Chat Run'!D21/'Chat Run'!B21</f>
        <v>#DIV/0!</v>
      </c>
      <c r="Q22" s="74">
        <f>'Chat Run'!F21</f>
        <v>0</v>
      </c>
      <c r="R22" s="75">
        <f>'Chat Run'!G21</f>
        <v>0</v>
      </c>
      <c r="T22" s="20"/>
      <c r="U22" s="21"/>
      <c r="W22" s="22">
        <f t="shared" si="8"/>
        <v>0</v>
      </c>
      <c r="X22" s="54"/>
      <c r="Y22" s="23"/>
      <c r="Z22" s="24"/>
      <c r="AA22" s="25"/>
      <c r="AB22" s="26"/>
      <c r="AE22" s="8">
        <v>0.75</v>
      </c>
      <c r="AF22" s="15">
        <f t="shared" si="4"/>
        <v>0</v>
      </c>
      <c r="AG22" s="15">
        <f t="shared" si="5"/>
        <v>0</v>
      </c>
      <c r="AH22" s="46">
        <f t="shared" si="9"/>
        <v>0</v>
      </c>
    </row>
    <row r="23" spans="1:40" x14ac:dyDescent="0.35">
      <c r="A23" s="49">
        <v>19</v>
      </c>
      <c r="B23" s="69">
        <v>0.79166666666666696</v>
      </c>
      <c r="C23" s="70">
        <f>'Chat Run'!B22</f>
        <v>0</v>
      </c>
      <c r="D23" s="81"/>
      <c r="E23" s="71" t="e">
        <f t="shared" si="6"/>
        <v>#DIV/0!</v>
      </c>
      <c r="F23" s="27">
        <f>'Chat Run'!C22</f>
        <v>0</v>
      </c>
      <c r="G23" s="29" t="e">
        <f t="shared" si="1"/>
        <v>#DIV/0!</v>
      </c>
      <c r="H23" s="29" t="e">
        <f>'Chat Run'!I22/'Chat Run'!B22</f>
        <v>#DIV/0!</v>
      </c>
      <c r="I23" s="81"/>
      <c r="J23" s="81"/>
      <c r="K23" s="30">
        <f>(VLOOKUP(B23,'Run Report'!AR:AV,2,0)/"1:00:00")</f>
        <v>0</v>
      </c>
      <c r="L23" s="71" t="e">
        <f t="shared" si="7"/>
        <v>#DIV/0!</v>
      </c>
      <c r="M23" s="71" t="e">
        <f>1-((VLOOKUP(B23,'Run Report'!AR:AV,2,0)/"1:00:00")/J23)</f>
        <v>#DIV/0!</v>
      </c>
      <c r="N23" s="17"/>
      <c r="O23" s="72">
        <f>TIME(0,'Chat Run'!J22,0)</f>
        <v>0</v>
      </c>
      <c r="P23" s="73" t="e">
        <f>'Chat Run'!D22/'Chat Run'!B22</f>
        <v>#DIV/0!</v>
      </c>
      <c r="Q23" s="74">
        <f>'Chat Run'!F22</f>
        <v>0</v>
      </c>
      <c r="R23" s="75">
        <f>'Chat Run'!G22</f>
        <v>0</v>
      </c>
      <c r="T23" s="20"/>
      <c r="U23" s="21"/>
      <c r="W23" s="22">
        <f t="shared" si="8"/>
        <v>0</v>
      </c>
      <c r="X23" s="54"/>
      <c r="Y23" s="23"/>
      <c r="Z23" s="24"/>
      <c r="AA23" s="25"/>
      <c r="AB23" s="26"/>
      <c r="AE23" s="8">
        <v>0.79166666666666696</v>
      </c>
      <c r="AF23" s="15">
        <f t="shared" si="4"/>
        <v>0</v>
      </c>
      <c r="AG23" s="15">
        <f t="shared" si="5"/>
        <v>0</v>
      </c>
      <c r="AH23" s="46">
        <f t="shared" si="9"/>
        <v>0</v>
      </c>
    </row>
    <row r="24" spans="1:40" x14ac:dyDescent="0.35">
      <c r="A24" s="49">
        <v>20</v>
      </c>
      <c r="B24" s="69">
        <v>0.83333333333333304</v>
      </c>
      <c r="C24" s="70">
        <f>'Chat Run'!B23</f>
        <v>0</v>
      </c>
      <c r="D24" s="81"/>
      <c r="E24" s="71" t="e">
        <f t="shared" si="6"/>
        <v>#DIV/0!</v>
      </c>
      <c r="F24" s="27">
        <f>'Chat Run'!C23</f>
        <v>0</v>
      </c>
      <c r="G24" s="29" t="e">
        <f t="shared" si="1"/>
        <v>#DIV/0!</v>
      </c>
      <c r="H24" s="29" t="e">
        <f>'Chat Run'!I23/'Chat Run'!B23</f>
        <v>#DIV/0!</v>
      </c>
      <c r="I24" s="81"/>
      <c r="J24" s="81"/>
      <c r="K24" s="30">
        <f>(VLOOKUP(B24,'Run Report'!AR:AV,2,0)/"1:00:00")</f>
        <v>0</v>
      </c>
      <c r="L24" s="71" t="e">
        <f t="shared" si="7"/>
        <v>#DIV/0!</v>
      </c>
      <c r="M24" s="71" t="e">
        <f>1-((VLOOKUP(B24,'Run Report'!AR:AV,2,0)/"1:00:00")/J24)</f>
        <v>#DIV/0!</v>
      </c>
      <c r="N24" s="17"/>
      <c r="O24" s="72">
        <f>TIME(0,'Chat Run'!J23,0)</f>
        <v>0</v>
      </c>
      <c r="P24" s="73" t="e">
        <f>'Chat Run'!D23/'Chat Run'!B23</f>
        <v>#DIV/0!</v>
      </c>
      <c r="Q24" s="74">
        <f>'Chat Run'!F23</f>
        <v>0</v>
      </c>
      <c r="R24" s="75">
        <f>'Chat Run'!G23</f>
        <v>0</v>
      </c>
      <c r="T24" s="20"/>
      <c r="U24" s="21"/>
      <c r="W24" s="22">
        <f t="shared" si="8"/>
        <v>0</v>
      </c>
      <c r="X24" s="54"/>
      <c r="Y24" s="23"/>
      <c r="Z24" s="24"/>
      <c r="AA24" s="25"/>
      <c r="AB24" s="26"/>
      <c r="AE24" s="8">
        <v>0.83333333333333304</v>
      </c>
      <c r="AF24" s="15">
        <f t="shared" si="4"/>
        <v>0</v>
      </c>
      <c r="AG24" s="15">
        <f t="shared" si="5"/>
        <v>0</v>
      </c>
      <c r="AH24" s="46">
        <f t="shared" si="9"/>
        <v>0</v>
      </c>
    </row>
    <row r="25" spans="1:40" x14ac:dyDescent="0.35">
      <c r="A25" s="49">
        <v>21</v>
      </c>
      <c r="B25" s="69">
        <v>0.875</v>
      </c>
      <c r="C25" s="70">
        <f>'Chat Run'!B24</f>
        <v>0</v>
      </c>
      <c r="D25" s="81"/>
      <c r="E25" s="71" t="e">
        <f t="shared" si="6"/>
        <v>#DIV/0!</v>
      </c>
      <c r="F25" s="27">
        <f>'Chat Run'!C24</f>
        <v>0</v>
      </c>
      <c r="G25" s="29" t="e">
        <f t="shared" si="1"/>
        <v>#DIV/0!</v>
      </c>
      <c r="H25" s="29" t="e">
        <f>'Chat Run'!I24/'Chat Run'!B24</f>
        <v>#DIV/0!</v>
      </c>
      <c r="I25" s="81"/>
      <c r="J25" s="81"/>
      <c r="K25" s="30">
        <f>(VLOOKUP(B25,'Run Report'!AR:AV,2,0)/"1:00:00")</f>
        <v>0</v>
      </c>
      <c r="L25" s="71" t="e">
        <f t="shared" si="7"/>
        <v>#DIV/0!</v>
      </c>
      <c r="M25" s="71" t="e">
        <f>1-((VLOOKUP(B25,'Run Report'!AR:AV,2,0)/"1:00:00")/J25)</f>
        <v>#DIV/0!</v>
      </c>
      <c r="N25" s="17"/>
      <c r="O25" s="72">
        <f>TIME(0,'Chat Run'!J24,0)</f>
        <v>0</v>
      </c>
      <c r="P25" s="73" t="e">
        <f>'Chat Run'!D24/'Chat Run'!B24</f>
        <v>#DIV/0!</v>
      </c>
      <c r="Q25" s="74">
        <f>'Chat Run'!F24</f>
        <v>0</v>
      </c>
      <c r="R25" s="75">
        <f>'Chat Run'!G24</f>
        <v>0</v>
      </c>
      <c r="T25" s="20"/>
      <c r="U25" s="21"/>
      <c r="W25" s="22">
        <f t="shared" si="8"/>
        <v>0</v>
      </c>
      <c r="X25" s="54"/>
      <c r="Y25" s="23"/>
      <c r="Z25" s="24"/>
      <c r="AA25" s="25"/>
      <c r="AB25" s="26"/>
      <c r="AE25" s="8">
        <v>0.875</v>
      </c>
      <c r="AF25" s="15">
        <f t="shared" si="4"/>
        <v>0</v>
      </c>
      <c r="AG25" s="15">
        <f t="shared" si="5"/>
        <v>0</v>
      </c>
      <c r="AH25" s="46">
        <f t="shared" si="9"/>
        <v>0</v>
      </c>
    </row>
    <row r="26" spans="1:40" x14ac:dyDescent="0.35">
      <c r="A26" s="49">
        <v>22</v>
      </c>
      <c r="B26" s="69">
        <v>0.91666666666666696</v>
      </c>
      <c r="C26" s="70">
        <f>'Chat Run'!B25</f>
        <v>0</v>
      </c>
      <c r="D26" s="81"/>
      <c r="E26" s="71" t="e">
        <f t="shared" si="6"/>
        <v>#DIV/0!</v>
      </c>
      <c r="F26" s="27">
        <f>'Chat Run'!C25</f>
        <v>0</v>
      </c>
      <c r="G26" s="29" t="e">
        <f t="shared" si="1"/>
        <v>#DIV/0!</v>
      </c>
      <c r="H26" s="29" t="e">
        <f>'Chat Run'!I25/'Chat Run'!B25</f>
        <v>#DIV/0!</v>
      </c>
      <c r="I26" s="81"/>
      <c r="J26" s="81"/>
      <c r="K26" s="30">
        <f>(VLOOKUP(B26,'Run Report'!AR:AV,2,0)/"1:00:00")</f>
        <v>0</v>
      </c>
      <c r="L26" s="71" t="e">
        <f t="shared" si="7"/>
        <v>#DIV/0!</v>
      </c>
      <c r="M26" s="71" t="e">
        <f>1-((VLOOKUP(B26,'Run Report'!AR:AV,2,0)/"1:00:00")/J26)</f>
        <v>#DIV/0!</v>
      </c>
      <c r="N26" s="17"/>
      <c r="O26" s="72">
        <f>TIME(0,'Chat Run'!J25,0)</f>
        <v>0</v>
      </c>
      <c r="P26" s="73" t="e">
        <f>'Chat Run'!D25/'Chat Run'!B25</f>
        <v>#DIV/0!</v>
      </c>
      <c r="Q26" s="74">
        <f>'Chat Run'!F25</f>
        <v>0</v>
      </c>
      <c r="R26" s="75">
        <f>'Chat Run'!G25</f>
        <v>0</v>
      </c>
      <c r="T26" s="20"/>
      <c r="U26" s="21"/>
      <c r="W26" s="22">
        <f t="shared" si="8"/>
        <v>0</v>
      </c>
      <c r="X26" s="54"/>
      <c r="Y26" s="23"/>
      <c r="Z26" s="24"/>
      <c r="AA26" s="25"/>
      <c r="AB26" s="26"/>
      <c r="AE26" s="8">
        <v>0.91666666666666696</v>
      </c>
      <c r="AF26" s="15">
        <f t="shared" si="4"/>
        <v>0</v>
      </c>
      <c r="AG26" s="15">
        <f t="shared" si="5"/>
        <v>0</v>
      </c>
      <c r="AH26" s="46">
        <f t="shared" si="9"/>
        <v>0</v>
      </c>
      <c r="AJ26" s="55" t="s">
        <v>34</v>
      </c>
      <c r="AK26" s="55" t="s">
        <v>35</v>
      </c>
      <c r="AL26" s="55" t="s">
        <v>36</v>
      </c>
      <c r="AN26" t="s">
        <v>40</v>
      </c>
    </row>
    <row r="27" spans="1:40" x14ac:dyDescent="0.35">
      <c r="A27" s="49">
        <v>23</v>
      </c>
      <c r="B27" s="69">
        <v>0.95833333333333304</v>
      </c>
      <c r="C27" s="70">
        <f>'Chat Run'!B26</f>
        <v>0</v>
      </c>
      <c r="D27" s="81"/>
      <c r="E27" s="71" t="e">
        <f t="shared" si="6"/>
        <v>#DIV/0!</v>
      </c>
      <c r="F27" s="27">
        <f>'Chat Run'!C26</f>
        <v>0</v>
      </c>
      <c r="G27" s="29" t="e">
        <f t="shared" si="1"/>
        <v>#DIV/0!</v>
      </c>
      <c r="H27" s="29" t="e">
        <f>'Chat Run'!I26/'Chat Run'!B26</f>
        <v>#DIV/0!</v>
      </c>
      <c r="I27" s="81"/>
      <c r="J27" s="81"/>
      <c r="K27" s="30">
        <f>(VLOOKUP(B27,'Run Report'!AR:AV,2,0)/"1:00:00")</f>
        <v>0</v>
      </c>
      <c r="L27" s="71" t="e">
        <f t="shared" si="7"/>
        <v>#DIV/0!</v>
      </c>
      <c r="M27" s="71" t="e">
        <f>1-((VLOOKUP(B27,'Run Report'!AR:AV,2,0)/"1:00:00")/J27)</f>
        <v>#DIV/0!</v>
      </c>
      <c r="N27" s="17"/>
      <c r="O27" s="72">
        <f>TIME(0,'Chat Run'!J26,0)</f>
        <v>0</v>
      </c>
      <c r="P27" s="73" t="e">
        <f>'Chat Run'!D26/'Chat Run'!B26</f>
        <v>#DIV/0!</v>
      </c>
      <c r="Q27" s="74">
        <f>'Chat Run'!F26</f>
        <v>0</v>
      </c>
      <c r="R27" s="75">
        <f>'Chat Run'!G26</f>
        <v>0</v>
      </c>
      <c r="T27" s="20"/>
      <c r="U27" s="21"/>
      <c r="W27" s="22">
        <f t="shared" si="8"/>
        <v>0</v>
      </c>
      <c r="X27" s="54"/>
      <c r="Y27" s="23"/>
      <c r="Z27" s="24"/>
      <c r="AA27" s="25"/>
      <c r="AB27" s="26"/>
      <c r="AE27" s="8">
        <v>0.95833333333333304</v>
      </c>
      <c r="AF27" s="15">
        <f t="shared" si="4"/>
        <v>0</v>
      </c>
      <c r="AG27" s="15">
        <f t="shared" si="5"/>
        <v>0</v>
      </c>
      <c r="AH27" s="46">
        <f t="shared" si="9"/>
        <v>0</v>
      </c>
      <c r="AJ27" s="58">
        <v>0.33333333333333331</v>
      </c>
      <c r="AK27" s="58">
        <v>0.375</v>
      </c>
      <c r="AL27" s="56" t="s">
        <v>38</v>
      </c>
      <c r="AN27" s="53" t="s">
        <v>38</v>
      </c>
    </row>
    <row r="28" spans="1:40" x14ac:dyDescent="0.35">
      <c r="B28" s="31"/>
      <c r="C28" s="9"/>
      <c r="D28" s="31"/>
      <c r="E28" s="32">
        <f>COUNTIFS(E4:E27,"&gt;85%",E4:E27,"&lt;115%")</f>
        <v>0</v>
      </c>
      <c r="F28" s="12">
        <f>'Chat Run'!C27</f>
        <v>0</v>
      </c>
      <c r="G28" s="33"/>
      <c r="H28" s="33"/>
      <c r="I28" s="33"/>
      <c r="J28" s="33"/>
      <c r="K28" s="30"/>
      <c r="L28" s="33"/>
      <c r="M28" s="113"/>
      <c r="N28" s="31"/>
      <c r="O28" s="31"/>
      <c r="P28" s="31"/>
      <c r="Q28" s="31"/>
      <c r="R28" s="31"/>
      <c r="T28" s="34"/>
      <c r="U28" s="35"/>
      <c r="W28" s="31"/>
      <c r="X28" s="36"/>
      <c r="Y28" s="37"/>
      <c r="Z28" s="37"/>
      <c r="AA28" s="37"/>
      <c r="AB28" s="37"/>
      <c r="AJ28" s="58">
        <v>0.375</v>
      </c>
      <c r="AK28" s="58">
        <v>0.41666666666666669</v>
      </c>
      <c r="AL28" s="56" t="s">
        <v>76</v>
      </c>
      <c r="AN28" t="s">
        <v>39</v>
      </c>
    </row>
    <row r="29" spans="1:40" x14ac:dyDescent="0.35">
      <c r="B29" s="38" t="s">
        <v>26</v>
      </c>
      <c r="C29" s="39">
        <f>SUM(C4:C27)</f>
        <v>0</v>
      </c>
      <c r="D29" s="39">
        <f>SUM(D4:D27)</f>
        <v>0</v>
      </c>
      <c r="E29" s="40">
        <f>COUNTIFS(E4:E27,"&gt;=0.80",E4:E27,"&lt;=01.15")/COUNTA(E4:E27)</f>
        <v>0</v>
      </c>
      <c r="F29" s="39">
        <f>SUM(F4:F27)</f>
        <v>0</v>
      </c>
      <c r="G29" s="40" t="e">
        <f>F29/C29</f>
        <v>#DIV/0!</v>
      </c>
      <c r="H29" s="40" t="e">
        <f>'Chat Run'!I30/'Chat Run'!B30</f>
        <v>#DIV/0!</v>
      </c>
      <c r="I29" s="33"/>
      <c r="J29" s="41">
        <f>SUM(J4:J27)</f>
        <v>0</v>
      </c>
      <c r="K29" s="42">
        <f>SUM(K4:K27)</f>
        <v>0</v>
      </c>
      <c r="M29" s="40" t="e">
        <f>IF((J29-K29)/J29&gt;0,(J29-K29)/J29,0%)</f>
        <v>#DIV/0!</v>
      </c>
      <c r="N29" s="43"/>
      <c r="O29" s="44">
        <f>TIME(0,'Chat Run'!J30,0)</f>
        <v>0</v>
      </c>
      <c r="P29" s="45" t="e">
        <f>SUM('Chat Run'!D3:D26)/SUM('Chat Run'!B3:B26)</f>
        <v>#DIV/0!</v>
      </c>
      <c r="Q29" s="68"/>
      <c r="R29" s="68"/>
      <c r="T29" s="34"/>
      <c r="U29" s="35"/>
      <c r="W29" s="31"/>
      <c r="X29" s="36"/>
      <c r="Y29" s="37"/>
      <c r="Z29" s="37"/>
      <c r="AA29" s="37"/>
      <c r="AB29" s="37"/>
      <c r="AJ29" s="58">
        <v>0.91666666666666663</v>
      </c>
      <c r="AK29" s="58">
        <v>0</v>
      </c>
      <c r="AL29" s="56" t="s">
        <v>38</v>
      </c>
    </row>
    <row r="30" spans="1:40" x14ac:dyDescent="0.35">
      <c r="H30" s="59"/>
      <c r="X30" s="46"/>
      <c r="AJ30" s="95"/>
      <c r="AK30" s="95"/>
      <c r="AL30" s="49"/>
    </row>
    <row r="31" spans="1:40" x14ac:dyDescent="0.35">
      <c r="X31" s="46"/>
    </row>
  </sheetData>
  <mergeCells count="16">
    <mergeCell ref="W1:AB1"/>
    <mergeCell ref="B2:B3"/>
    <mergeCell ref="C2:C3"/>
    <mergeCell ref="D2:E2"/>
    <mergeCell ref="F2:H2"/>
    <mergeCell ref="I2:M2"/>
    <mergeCell ref="N2:N3"/>
    <mergeCell ref="O2:O3"/>
    <mergeCell ref="P2:P3"/>
    <mergeCell ref="Q2:Q3"/>
    <mergeCell ref="R2:R3"/>
    <mergeCell ref="AF2:AG2"/>
    <mergeCell ref="T2:T3"/>
    <mergeCell ref="U2:U3"/>
    <mergeCell ref="W2:Y2"/>
    <mergeCell ref="Z2:AB2"/>
  </mergeCells>
  <conditionalFormatting sqref="P4:R27">
    <cfRule type="cellIs" dxfId="286" priority="67" operator="lessThan">
      <formula>0.8</formula>
    </cfRule>
  </conditionalFormatting>
  <conditionalFormatting sqref="E4:E27">
    <cfRule type="cellIs" dxfId="285" priority="65" operator="lessThan">
      <formula>0.8</formula>
    </cfRule>
    <cfRule type="cellIs" dxfId="284" priority="66" operator="greaterThan">
      <formula>1.15</formula>
    </cfRule>
  </conditionalFormatting>
  <conditionalFormatting sqref="M4:M27">
    <cfRule type="cellIs" dxfId="283" priority="59" operator="lessThan">
      <formula>0</formula>
    </cfRule>
    <cfRule type="cellIs" dxfId="282" priority="62" operator="lessThan">
      <formula>0.101111111</formula>
    </cfRule>
    <cfRule type="cellIs" dxfId="281" priority="63" operator="between">
      <formula>0.1</formula>
      <formula>0.201111111</formula>
    </cfRule>
    <cfRule type="cellIs" dxfId="280" priority="64" operator="greaterThan">
      <formula>0.2</formula>
    </cfRule>
  </conditionalFormatting>
  <conditionalFormatting sqref="L4:L27">
    <cfRule type="cellIs" dxfId="279" priority="60" operator="lessThan">
      <formula>0</formula>
    </cfRule>
    <cfRule type="cellIs" dxfId="278" priority="61" operator="greaterThan">
      <formula>0</formula>
    </cfRule>
  </conditionalFormatting>
  <conditionalFormatting sqref="AA4">
    <cfRule type="cellIs" dxfId="277" priority="53" operator="lessThan">
      <formula>$Y$4</formula>
    </cfRule>
    <cfRule type="cellIs" dxfId="276" priority="54" operator="greaterThan">
      <formula>$Y$4</formula>
    </cfRule>
  </conditionalFormatting>
  <conditionalFormatting sqref="AA6">
    <cfRule type="cellIs" dxfId="275" priority="51" operator="lessThan">
      <formula>$Y$6</formula>
    </cfRule>
    <cfRule type="cellIs" dxfId="274" priority="52" operator="greaterThan">
      <formula>$Y$6</formula>
    </cfRule>
  </conditionalFormatting>
  <conditionalFormatting sqref="AA7">
    <cfRule type="cellIs" dxfId="273" priority="49" operator="lessThan">
      <formula>$Y$7</formula>
    </cfRule>
    <cfRule type="cellIs" dxfId="272" priority="50" operator="greaterThan">
      <formula>$Y$7</formula>
    </cfRule>
  </conditionalFormatting>
  <conditionalFormatting sqref="AA8">
    <cfRule type="cellIs" dxfId="271" priority="47" operator="lessThan">
      <formula>$Y$8</formula>
    </cfRule>
    <cfRule type="cellIs" dxfId="270" priority="48" operator="greaterThan">
      <formula>$Y$8</formula>
    </cfRule>
  </conditionalFormatting>
  <conditionalFormatting sqref="AA9">
    <cfRule type="cellIs" dxfId="269" priority="45" operator="lessThan">
      <formula>$Y$9</formula>
    </cfRule>
    <cfRule type="cellIs" dxfId="268" priority="46" operator="greaterThan">
      <formula>$Y$9</formula>
    </cfRule>
  </conditionalFormatting>
  <conditionalFormatting sqref="AA10">
    <cfRule type="cellIs" dxfId="267" priority="43" operator="lessThan">
      <formula>$Y$10</formula>
    </cfRule>
    <cfRule type="cellIs" dxfId="266" priority="44" operator="greaterThan">
      <formula>$Y$10</formula>
    </cfRule>
  </conditionalFormatting>
  <conditionalFormatting sqref="AA11">
    <cfRule type="cellIs" dxfId="265" priority="41" operator="lessThan">
      <formula>$Y$11</formula>
    </cfRule>
    <cfRule type="cellIs" dxfId="264" priority="42" operator="greaterThan">
      <formula>$Y$11</formula>
    </cfRule>
  </conditionalFormatting>
  <conditionalFormatting sqref="AA12">
    <cfRule type="cellIs" dxfId="263" priority="39" operator="lessThan">
      <formula>$Y$12</formula>
    </cfRule>
    <cfRule type="cellIs" dxfId="262" priority="40" operator="greaterThan">
      <formula>$Y$12</formula>
    </cfRule>
  </conditionalFormatting>
  <conditionalFormatting sqref="AA13">
    <cfRule type="cellIs" dxfId="261" priority="37" operator="lessThan">
      <formula>$Y$13</formula>
    </cfRule>
    <cfRule type="cellIs" dxfId="260" priority="38" operator="greaterThan">
      <formula>$Y$13</formula>
    </cfRule>
  </conditionalFormatting>
  <conditionalFormatting sqref="AA14">
    <cfRule type="cellIs" dxfId="259" priority="35" operator="lessThan">
      <formula>$Y$14</formula>
    </cfRule>
    <cfRule type="cellIs" dxfId="258" priority="36" operator="greaterThan">
      <formula>$Y$14</formula>
    </cfRule>
  </conditionalFormatting>
  <conditionalFormatting sqref="AA15">
    <cfRule type="cellIs" dxfId="257" priority="33" operator="lessThan">
      <formula>$Y$15</formula>
    </cfRule>
    <cfRule type="cellIs" dxfId="256" priority="34" operator="greaterThan">
      <formula>$Y$15</formula>
    </cfRule>
  </conditionalFormatting>
  <conditionalFormatting sqref="AA16">
    <cfRule type="cellIs" dxfId="255" priority="31" operator="lessThan">
      <formula>$Y$16</formula>
    </cfRule>
    <cfRule type="cellIs" dxfId="254" priority="32" operator="greaterThan">
      <formula>$Y$16</formula>
    </cfRule>
  </conditionalFormatting>
  <conditionalFormatting sqref="AA17">
    <cfRule type="cellIs" dxfId="253" priority="29" operator="lessThan">
      <formula>$Y$17</formula>
    </cfRule>
    <cfRule type="cellIs" dxfId="252" priority="30" operator="greaterThan">
      <formula>$Y$17</formula>
    </cfRule>
  </conditionalFormatting>
  <conditionalFormatting sqref="AA18">
    <cfRule type="cellIs" dxfId="251" priority="27" operator="lessThan">
      <formula>$Y$18</formula>
    </cfRule>
    <cfRule type="cellIs" dxfId="250" priority="28" operator="greaterThan">
      <formula>$Y$18</formula>
    </cfRule>
  </conditionalFormatting>
  <conditionalFormatting sqref="AA19">
    <cfRule type="cellIs" dxfId="249" priority="25" operator="lessThan">
      <formula>$Y$19</formula>
    </cfRule>
    <cfRule type="cellIs" dxfId="248" priority="26" operator="greaterThan">
      <formula>$Y$19</formula>
    </cfRule>
  </conditionalFormatting>
  <conditionalFormatting sqref="AA20">
    <cfRule type="cellIs" dxfId="247" priority="23" operator="lessThan">
      <formula>$Y$20</formula>
    </cfRule>
    <cfRule type="cellIs" dxfId="246" priority="24" operator="greaterThan">
      <formula>$Y$20</formula>
    </cfRule>
  </conditionalFormatting>
  <conditionalFormatting sqref="AA21">
    <cfRule type="cellIs" dxfId="245" priority="21" operator="lessThan">
      <formula>$Y$21</formula>
    </cfRule>
    <cfRule type="cellIs" dxfId="244" priority="22" operator="greaterThan">
      <formula>$Y$21</formula>
    </cfRule>
  </conditionalFormatting>
  <conditionalFormatting sqref="AA22">
    <cfRule type="cellIs" dxfId="243" priority="19" operator="lessThan">
      <formula>$Y$22</formula>
    </cfRule>
    <cfRule type="cellIs" dxfId="242" priority="20" operator="greaterThan">
      <formula>$Y$22</formula>
    </cfRule>
  </conditionalFormatting>
  <conditionalFormatting sqref="AA23">
    <cfRule type="cellIs" dxfId="241" priority="17" operator="lessThan">
      <formula>$Y$23</formula>
    </cfRule>
    <cfRule type="cellIs" dxfId="240" priority="18" operator="greaterThan">
      <formula>$Y$23</formula>
    </cfRule>
  </conditionalFormatting>
  <conditionalFormatting sqref="AA24">
    <cfRule type="cellIs" dxfId="239" priority="15" operator="lessThan">
      <formula>$Y$24</formula>
    </cfRule>
    <cfRule type="cellIs" dxfId="238" priority="16" operator="greaterThan">
      <formula>$Y$24</formula>
    </cfRule>
  </conditionalFormatting>
  <conditionalFormatting sqref="AA25">
    <cfRule type="cellIs" dxfId="237" priority="13" operator="lessThan">
      <formula>$Y$25</formula>
    </cfRule>
    <cfRule type="cellIs" dxfId="236" priority="14" operator="greaterThan">
      <formula>$Y$25</formula>
    </cfRule>
  </conditionalFormatting>
  <conditionalFormatting sqref="AA26">
    <cfRule type="cellIs" dxfId="235" priority="11" operator="lessThan">
      <formula>$Y$26</formula>
    </cfRule>
    <cfRule type="cellIs" dxfId="234" priority="12" operator="greaterThan">
      <formula>$Y$26</formula>
    </cfRule>
  </conditionalFormatting>
  <conditionalFormatting sqref="AA27">
    <cfRule type="cellIs" dxfId="233" priority="9" operator="lessThan">
      <formula>$Y$27</formula>
    </cfRule>
    <cfRule type="cellIs" dxfId="232" priority="10" operator="greaterThan">
      <formula>$Y$27</formula>
    </cfRule>
  </conditionalFormatting>
  <conditionalFormatting sqref="AA5">
    <cfRule type="cellIs" dxfId="231" priority="3" operator="lessThan">
      <formula>$Y$5</formula>
    </cfRule>
    <cfRule type="cellIs" dxfId="230" priority="4" operator="greaterThan">
      <formula>$Y$5</formula>
    </cfRule>
  </conditionalFormatting>
  <conditionalFormatting sqref="O4:O27">
    <cfRule type="cellIs" dxfId="229" priority="1" operator="greaterThan">
      <formula>$B$1</formula>
    </cfRule>
  </conditionalFormatting>
  <dataValidations count="2">
    <dataValidation type="list" errorStyle="information" allowBlank="1" showInputMessage="1" showErrorMessage="1" error="You Are about to change the Drop menu !!" sqref="T1:T3 T28:T1048576" xr:uid="{3C971975-3886-460B-9606-BB044E68F9BF}">
      <formula1>"Off Phone Activities Without alignment( ),High AHT,High Talk time,Unplaned Breaks,Staff Shortage,High Abs ( %),High Call Traffic,Low AHT,Low Traffic Calls,Staff Over Demanded,Staff Under Demand"</formula1>
    </dataValidation>
    <dataValidation type="list" errorStyle="information" allowBlank="1" showInputMessage="1" showErrorMessage="1" error="&quot;you are about to edit the dropp menu be carefull &quot; !!" sqref="T4:T27" xr:uid="{D150A9F6-0508-4B71-90B6-DB7FB534A1A9}">
      <formula1>"Unplanned Off Phone Activities(""""),Lack of break adherence,High AHT,Low AHT,High Abs (  %),Staff Over Demanded,Staff Under Demand,Staff Shortage,Unplanned Breaks,exceeding Breaks,High Traffic Chats,Low Traffic Chats"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08B19-7ABB-435C-ACB1-E8230A0E5BF0}">
  <sheetPr codeName="Sheet2">
    <tabColor rgb="FFFFFF00"/>
  </sheetPr>
  <dimension ref="A2:J33"/>
  <sheetViews>
    <sheetView workbookViewId="0">
      <selection activeCell="A3" sqref="A3:G26"/>
    </sheetView>
  </sheetViews>
  <sheetFormatPr defaultRowHeight="14.5" x14ac:dyDescent="0.35"/>
  <cols>
    <col min="4" max="4" width="9.54296875" bestFit="1" customWidth="1"/>
    <col min="9" max="9" width="8.54296875" style="49"/>
  </cols>
  <sheetData>
    <row r="2" spans="1:10" x14ac:dyDescent="0.35">
      <c r="A2" t="s">
        <v>27</v>
      </c>
      <c r="B2" t="s">
        <v>28</v>
      </c>
      <c r="C2" t="s">
        <v>29</v>
      </c>
      <c r="D2" t="s">
        <v>30</v>
      </c>
      <c r="E2" t="s">
        <v>1</v>
      </c>
      <c r="F2" t="s">
        <v>56</v>
      </c>
      <c r="G2" t="s">
        <v>55</v>
      </c>
      <c r="I2" s="49" t="s">
        <v>31</v>
      </c>
      <c r="J2" t="s">
        <v>1</v>
      </c>
    </row>
    <row r="3" spans="1:10" x14ac:dyDescent="0.35">
      <c r="I3" s="49">
        <f t="shared" ref="I3:I26" si="0">B3-C3</f>
        <v>0</v>
      </c>
      <c r="J3" t="str">
        <f>IFERROR(IFERROR(IFERROR(IFERROR(TIME(LEFT(E3,FIND("h",E3,1)-1),REPLACE(RIGHT(E3,FIND("h ",E3,1)+4),3,5,""),0),TIME(LEFT(E3,FIND("h",E3,1)-1),REPLACE(RIGHT(E3,FIND("h ",E3,1)+5),3,5,""),0)),TIME(0,LEFT(E3,FIND("m",E3,1)-1),0)),"-")*24*60,"0")</f>
        <v>0</v>
      </c>
    </row>
    <row r="4" spans="1:10" x14ac:dyDescent="0.35">
      <c r="I4" s="49">
        <f t="shared" si="0"/>
        <v>0</v>
      </c>
      <c r="J4" t="str">
        <f t="shared" ref="J4:J26" si="1">IFERROR(IFERROR(IFERROR(IFERROR(TIME(LEFT(E4,FIND("h",E4,1)-1),REPLACE(RIGHT(E4,FIND("h ",E4,1)+4),3,5,""),0),TIME(LEFT(E4,FIND("h",E4,1)-1),REPLACE(RIGHT(E4,FIND("h ",E4,1)+5),3,5,""),0)),TIME(0,LEFT(E4,FIND("m",E4,1)-1),0)),"-")*24*60,"0")</f>
        <v>0</v>
      </c>
    </row>
    <row r="5" spans="1:10" x14ac:dyDescent="0.35">
      <c r="I5" s="49">
        <f t="shared" si="0"/>
        <v>0</v>
      </c>
      <c r="J5" t="str">
        <f t="shared" si="1"/>
        <v>0</v>
      </c>
    </row>
    <row r="6" spans="1:10" x14ac:dyDescent="0.35">
      <c r="I6" s="49">
        <f t="shared" si="0"/>
        <v>0</v>
      </c>
      <c r="J6" t="str">
        <f t="shared" si="1"/>
        <v>0</v>
      </c>
    </row>
    <row r="7" spans="1:10" x14ac:dyDescent="0.35">
      <c r="I7" s="49">
        <f t="shared" si="0"/>
        <v>0</v>
      </c>
      <c r="J7" t="str">
        <f t="shared" si="1"/>
        <v>0</v>
      </c>
    </row>
    <row r="8" spans="1:10" x14ac:dyDescent="0.35">
      <c r="I8" s="49">
        <f t="shared" si="0"/>
        <v>0</v>
      </c>
      <c r="J8" t="str">
        <f t="shared" si="1"/>
        <v>0</v>
      </c>
    </row>
    <row r="9" spans="1:10" x14ac:dyDescent="0.35">
      <c r="I9" s="49">
        <f t="shared" si="0"/>
        <v>0</v>
      </c>
      <c r="J9" t="str">
        <f t="shared" si="1"/>
        <v>0</v>
      </c>
    </row>
    <row r="10" spans="1:10" x14ac:dyDescent="0.35">
      <c r="I10" s="49">
        <f t="shared" si="0"/>
        <v>0</v>
      </c>
      <c r="J10" t="str">
        <f t="shared" si="1"/>
        <v>0</v>
      </c>
    </row>
    <row r="11" spans="1:10" x14ac:dyDescent="0.35">
      <c r="I11" s="49">
        <f t="shared" si="0"/>
        <v>0</v>
      </c>
      <c r="J11" t="str">
        <f t="shared" si="1"/>
        <v>0</v>
      </c>
    </row>
    <row r="12" spans="1:10" x14ac:dyDescent="0.35">
      <c r="I12" s="49">
        <f t="shared" si="0"/>
        <v>0</v>
      </c>
      <c r="J12" t="str">
        <f t="shared" si="1"/>
        <v>0</v>
      </c>
    </row>
    <row r="13" spans="1:10" x14ac:dyDescent="0.35">
      <c r="I13" s="49">
        <f t="shared" si="0"/>
        <v>0</v>
      </c>
      <c r="J13" t="str">
        <f t="shared" si="1"/>
        <v>0</v>
      </c>
    </row>
    <row r="14" spans="1:10" x14ac:dyDescent="0.35">
      <c r="I14" s="49">
        <f t="shared" si="0"/>
        <v>0</v>
      </c>
      <c r="J14" t="str">
        <f t="shared" si="1"/>
        <v>0</v>
      </c>
    </row>
    <row r="15" spans="1:10" x14ac:dyDescent="0.35">
      <c r="I15" s="49">
        <f t="shared" si="0"/>
        <v>0</v>
      </c>
      <c r="J15" t="str">
        <f t="shared" si="1"/>
        <v>0</v>
      </c>
    </row>
    <row r="16" spans="1:10" x14ac:dyDescent="0.35">
      <c r="I16" s="49">
        <f t="shared" si="0"/>
        <v>0</v>
      </c>
      <c r="J16" t="str">
        <f t="shared" si="1"/>
        <v>0</v>
      </c>
    </row>
    <row r="17" spans="2:10" x14ac:dyDescent="0.35">
      <c r="I17" s="49">
        <f t="shared" si="0"/>
        <v>0</v>
      </c>
      <c r="J17" t="str">
        <f t="shared" si="1"/>
        <v>0</v>
      </c>
    </row>
    <row r="18" spans="2:10" x14ac:dyDescent="0.35">
      <c r="I18" s="49">
        <f t="shared" si="0"/>
        <v>0</v>
      </c>
      <c r="J18" t="str">
        <f t="shared" si="1"/>
        <v>0</v>
      </c>
    </row>
    <row r="19" spans="2:10" x14ac:dyDescent="0.35">
      <c r="I19" s="49">
        <f t="shared" si="0"/>
        <v>0</v>
      </c>
      <c r="J19" t="str">
        <f t="shared" si="1"/>
        <v>0</v>
      </c>
    </row>
    <row r="20" spans="2:10" x14ac:dyDescent="0.35">
      <c r="I20" s="49">
        <f t="shared" si="0"/>
        <v>0</v>
      </c>
      <c r="J20" t="str">
        <f t="shared" si="1"/>
        <v>0</v>
      </c>
    </row>
    <row r="21" spans="2:10" x14ac:dyDescent="0.35">
      <c r="I21" s="49">
        <f t="shared" si="0"/>
        <v>0</v>
      </c>
      <c r="J21" t="str">
        <f t="shared" si="1"/>
        <v>0</v>
      </c>
    </row>
    <row r="22" spans="2:10" x14ac:dyDescent="0.35">
      <c r="I22" s="49">
        <f t="shared" si="0"/>
        <v>0</v>
      </c>
      <c r="J22" t="str">
        <f t="shared" si="1"/>
        <v>0</v>
      </c>
    </row>
    <row r="23" spans="2:10" x14ac:dyDescent="0.35">
      <c r="I23" s="49">
        <f t="shared" si="0"/>
        <v>0</v>
      </c>
      <c r="J23" t="str">
        <f t="shared" si="1"/>
        <v>0</v>
      </c>
    </row>
    <row r="24" spans="2:10" x14ac:dyDescent="0.35">
      <c r="I24" s="49">
        <f t="shared" si="0"/>
        <v>0</v>
      </c>
      <c r="J24" t="str">
        <f t="shared" si="1"/>
        <v>0</v>
      </c>
    </row>
    <row r="25" spans="2:10" x14ac:dyDescent="0.35">
      <c r="I25" s="49">
        <f t="shared" si="0"/>
        <v>0</v>
      </c>
      <c r="J25" t="str">
        <f t="shared" si="1"/>
        <v>0</v>
      </c>
    </row>
    <row r="26" spans="2:10" x14ac:dyDescent="0.35">
      <c r="I26" s="49">
        <f t="shared" si="0"/>
        <v>0</v>
      </c>
      <c r="J26" t="str">
        <f t="shared" si="1"/>
        <v>0</v>
      </c>
    </row>
    <row r="30" spans="2:10" x14ac:dyDescent="0.35">
      <c r="B30" s="76"/>
      <c r="C30" s="76"/>
      <c r="D30" s="76"/>
      <c r="E30" s="76"/>
      <c r="H30">
        <f t="shared" ref="H30:I30" si="2">SUM(H3:H26)</f>
        <v>0</v>
      </c>
      <c r="I30">
        <f t="shared" si="2"/>
        <v>0</v>
      </c>
      <c r="J30" t="str">
        <f t="shared" ref="J30" si="3">IFERROR(IFERROR(IFERROR(IFERROR(TIME(LEFT(E30,FIND("h",E30,1)-1),REPLACE(RIGHT(E30,FIND("h ",E30,1)+4),3,5,""),0),TIME(LEFT(E30,FIND("h",E30,1)-1),REPLACE(RIGHT(E30,FIND("h ",E30,1)+5),3,5,""),0)),TIME(0,LEFT(E30,FIND("m",E30,1)-1),0)),"-")*24*60,"0")</f>
        <v>0</v>
      </c>
    </row>
    <row r="33" spans="4:4" x14ac:dyDescent="0.35">
      <c r="D33" s="59" t="e">
        <f>D30/B30</f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5334-F88B-4D5D-9EF0-896303D2340D}">
  <sheetPr codeName="Sheet3"/>
  <dimension ref="A1:AL31"/>
  <sheetViews>
    <sheetView topLeftCell="A7" zoomScale="90" zoomScaleNormal="90" workbookViewId="0">
      <selection activeCell="D4" sqref="D4:D27"/>
    </sheetView>
  </sheetViews>
  <sheetFormatPr defaultRowHeight="14.5" x14ac:dyDescent="0.35"/>
  <cols>
    <col min="1" max="1" width="8.54296875" style="49"/>
    <col min="3" max="3" width="9.453125" customWidth="1"/>
    <col min="4" max="4" width="3.81640625" bestFit="1" customWidth="1"/>
    <col min="5" max="6" width="9.453125" customWidth="1"/>
    <col min="9" max="10" width="0" hidden="1" customWidth="1"/>
    <col min="11" max="11" width="5.453125" hidden="1" customWidth="1"/>
    <col min="12" max="12" width="0" hidden="1" customWidth="1"/>
    <col min="13" max="13" width="5.1796875" hidden="1" customWidth="1"/>
    <col min="14" max="14" width="3.1796875" hidden="1" customWidth="1"/>
    <col min="17" max="17" width="1.54296875" customWidth="1"/>
    <col min="18" max="18" width="21.453125" style="3" customWidth="1"/>
    <col min="19" max="19" width="21.453125" customWidth="1"/>
    <col min="20" max="20" width="1.453125" customWidth="1"/>
    <col min="21" max="21" width="3.453125" bestFit="1" customWidth="1"/>
    <col min="22" max="22" width="3.54296875" bestFit="1" customWidth="1"/>
    <col min="23" max="23" width="7" customWidth="1"/>
    <col min="24" max="25" width="6.453125" bestFit="1" customWidth="1"/>
    <col min="26" max="26" width="7" customWidth="1"/>
    <col min="27" max="27" width="9.453125" customWidth="1"/>
    <col min="28" max="28" width="9.54296875" customWidth="1"/>
    <col min="36" max="36" width="43" bestFit="1" customWidth="1"/>
  </cols>
  <sheetData>
    <row r="1" spans="1:32" ht="15" thickBot="1" x14ac:dyDescent="0.4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F1" s="2">
        <f>B1*9%</f>
        <v>7.5000000000000002E-4</v>
      </c>
      <c r="U1" s="122" t="s">
        <v>0</v>
      </c>
      <c r="V1" s="122"/>
      <c r="W1" s="122"/>
      <c r="X1" s="122"/>
      <c r="Y1" s="122"/>
      <c r="Z1" s="122"/>
    </row>
    <row r="2" spans="1:32" ht="15" customHeight="1" x14ac:dyDescent="0.35">
      <c r="B2" s="130" t="s">
        <v>2</v>
      </c>
      <c r="C2" s="132" t="s">
        <v>3</v>
      </c>
      <c r="D2" s="134" t="s">
        <v>4</v>
      </c>
      <c r="E2" s="135"/>
      <c r="F2" s="134" t="s">
        <v>5</v>
      </c>
      <c r="G2" s="136"/>
      <c r="H2" s="135"/>
      <c r="I2" s="134" t="s">
        <v>6</v>
      </c>
      <c r="J2" s="136"/>
      <c r="K2" s="136"/>
      <c r="L2" s="136"/>
      <c r="M2" s="135"/>
      <c r="N2" s="127" t="s">
        <v>7</v>
      </c>
      <c r="O2" s="128" t="s">
        <v>8</v>
      </c>
      <c r="P2" s="128" t="s">
        <v>9</v>
      </c>
      <c r="R2" s="118" t="s">
        <v>10</v>
      </c>
      <c r="S2" s="119" t="s">
        <v>11</v>
      </c>
      <c r="U2" s="120" t="s">
        <v>12</v>
      </c>
      <c r="V2" s="120"/>
      <c r="W2" s="120"/>
      <c r="X2" s="121" t="s">
        <v>13</v>
      </c>
      <c r="Y2" s="121"/>
      <c r="Z2" s="121"/>
      <c r="AD2" s="117" t="s">
        <v>32</v>
      </c>
      <c r="AE2" s="117"/>
    </row>
    <row r="3" spans="1:32" ht="21.5" thickBot="1" x14ac:dyDescent="0.4">
      <c r="B3" s="131"/>
      <c r="C3" s="133"/>
      <c r="D3" s="4" t="s">
        <v>14</v>
      </c>
      <c r="E3" s="5" t="s">
        <v>15</v>
      </c>
      <c r="F3" s="6" t="s">
        <v>14</v>
      </c>
      <c r="G3" s="6" t="s">
        <v>16</v>
      </c>
      <c r="H3" s="6" t="s">
        <v>17</v>
      </c>
      <c r="I3" s="4" t="s">
        <v>18</v>
      </c>
      <c r="J3" s="6" t="s">
        <v>19</v>
      </c>
      <c r="K3" s="47" t="s">
        <v>20</v>
      </c>
      <c r="L3" s="6" t="s">
        <v>21</v>
      </c>
      <c r="M3" s="5" t="s">
        <v>22</v>
      </c>
      <c r="N3" s="125"/>
      <c r="O3" s="129"/>
      <c r="P3" s="129"/>
      <c r="R3" s="118"/>
      <c r="S3" s="119"/>
      <c r="U3" s="7" t="s">
        <v>23</v>
      </c>
      <c r="V3" s="7" t="s">
        <v>24</v>
      </c>
      <c r="W3" s="7" t="s">
        <v>25</v>
      </c>
      <c r="X3" s="48" t="s">
        <v>23</v>
      </c>
      <c r="Y3" s="48" t="s">
        <v>24</v>
      </c>
      <c r="Z3" s="48" t="s">
        <v>25</v>
      </c>
      <c r="AC3" s="6" t="s">
        <v>2</v>
      </c>
      <c r="AD3" s="6" t="str">
        <f>I3</f>
        <v>Demand</v>
      </c>
      <c r="AE3" s="6" t="s">
        <v>33</v>
      </c>
    </row>
    <row r="4" spans="1:32" ht="15" thickBot="1" x14ac:dyDescent="0.4">
      <c r="A4" s="49">
        <v>0</v>
      </c>
      <c r="B4" s="8">
        <v>0</v>
      </c>
      <c r="C4" s="9">
        <f>'Social media Run'!B3</f>
        <v>0</v>
      </c>
      <c r="D4" s="81"/>
      <c r="E4" s="11" t="e">
        <f>C4/D4</f>
        <v>#DIV/0!</v>
      </c>
      <c r="F4" s="12">
        <f>'Social media Run'!C3</f>
        <v>0</v>
      </c>
      <c r="G4" s="13" t="e">
        <f>F4/C4</f>
        <v>#DIV/0!</v>
      </c>
      <c r="H4" s="14" t="e">
        <f>'Social media Run'!G3/'Social media Run'!B3</f>
        <v>#DIV/0!</v>
      </c>
      <c r="I4" s="81"/>
      <c r="J4" s="81"/>
      <c r="K4" s="15" t="e">
        <f>(VLOOKUP(B4,#REF!,2,0)/"1:00:00")</f>
        <v>#REF!</v>
      </c>
      <c r="L4" s="16" t="e">
        <f>(J4-I4)/I4</f>
        <v>#DIV/0!</v>
      </c>
      <c r="M4" s="80" t="e">
        <f>1-((VLOOKUP(B4,#REF!,2,0)/"1:00:00")/J4)</f>
        <v>#REF!</v>
      </c>
      <c r="N4" s="17"/>
      <c r="O4" s="18">
        <f>TIME(0,'Social media Run'!H3,0)</f>
        <v>0</v>
      </c>
      <c r="P4" s="19" t="e">
        <f>'Social media Run'!D3/'Social media Run'!B3</f>
        <v>#DIV/0!</v>
      </c>
      <c r="R4" s="20"/>
      <c r="S4" s="21"/>
      <c r="U4" s="22">
        <f>J4</f>
        <v>0</v>
      </c>
      <c r="V4" s="54"/>
      <c r="W4" s="23"/>
      <c r="X4" s="24"/>
      <c r="Y4" s="25"/>
      <c r="Z4" s="26"/>
      <c r="AC4" s="8">
        <v>0</v>
      </c>
      <c r="AD4" s="15">
        <f>I4</f>
        <v>0</v>
      </c>
      <c r="AE4" s="15">
        <f>IF(J4-SUM(V4:W4)&lt;=0,1,J4-SUM(V4:W4))</f>
        <v>1</v>
      </c>
      <c r="AF4" s="50"/>
    </row>
    <row r="5" spans="1:32" ht="15" thickBot="1" x14ac:dyDescent="0.4">
      <c r="A5" s="49">
        <v>1</v>
      </c>
      <c r="B5" s="8">
        <v>4.1666666666666699E-2</v>
      </c>
      <c r="C5" s="9">
        <f>'Social media Run'!B4</f>
        <v>0</v>
      </c>
      <c r="D5" s="81"/>
      <c r="E5" s="11" t="e">
        <f t="shared" ref="E5" si="0">C5/D5</f>
        <v>#DIV/0!</v>
      </c>
      <c r="F5" s="12">
        <f>'Social media Run'!C4</f>
        <v>0</v>
      </c>
      <c r="G5" s="29" t="e">
        <f t="shared" ref="G5:G27" si="1">F5/C5</f>
        <v>#DIV/0!</v>
      </c>
      <c r="H5" s="14" t="e">
        <f>'Social media Run'!G4/'Social media Run'!B4</f>
        <v>#DIV/0!</v>
      </c>
      <c r="I5" s="81"/>
      <c r="J5" s="81"/>
      <c r="K5" s="15" t="e">
        <f>(VLOOKUP(B5,#REF!,2,0)/"1:00:00")</f>
        <v>#REF!</v>
      </c>
      <c r="L5" s="16" t="e">
        <f t="shared" ref="L5" si="2">(J5-I5)/I5</f>
        <v>#DIV/0!</v>
      </c>
      <c r="M5" s="11" t="e">
        <f>1-((VLOOKUP(B5,#REF!,2,0)/"1:00:00")/J5)</f>
        <v>#REF!</v>
      </c>
      <c r="N5" s="17"/>
      <c r="O5" s="18">
        <f>TIME(0,'Social media Run'!H4,0)</f>
        <v>0</v>
      </c>
      <c r="P5" s="19" t="e">
        <f>'Social media Run'!D4/'Social media Run'!B4</f>
        <v>#DIV/0!</v>
      </c>
      <c r="R5" s="20"/>
      <c r="S5" s="21"/>
      <c r="U5" s="22">
        <f t="shared" ref="U5" si="3">J5</f>
        <v>0</v>
      </c>
      <c r="V5" s="54"/>
      <c r="W5" s="23"/>
      <c r="X5" s="24"/>
      <c r="Y5" s="25"/>
      <c r="Z5" s="26"/>
      <c r="AC5" s="8">
        <v>4.1666666666666699E-2</v>
      </c>
      <c r="AD5" s="15">
        <f t="shared" ref="AD5:AD27" si="4">I5</f>
        <v>0</v>
      </c>
      <c r="AE5" s="15">
        <f t="shared" ref="AE5:AE27" si="5">IF(J5-SUM(V5:W5)&lt;=0,1,J5-SUM(V5:W5))</f>
        <v>1</v>
      </c>
    </row>
    <row r="6" spans="1:32" ht="15" thickBot="1" x14ac:dyDescent="0.4">
      <c r="A6" s="49">
        <v>2</v>
      </c>
      <c r="B6" s="8">
        <v>8.3333333333333301E-2</v>
      </c>
      <c r="C6" s="9">
        <f>'Social media Run'!B5</f>
        <v>0</v>
      </c>
      <c r="D6" s="81"/>
      <c r="E6" s="11" t="e">
        <f>C6/D6</f>
        <v>#DIV/0!</v>
      </c>
      <c r="F6" s="12">
        <f>'Social media Run'!C5</f>
        <v>0</v>
      </c>
      <c r="G6" s="13" t="e">
        <f t="shared" si="1"/>
        <v>#DIV/0!</v>
      </c>
      <c r="H6" s="14" t="e">
        <f>'Social media Run'!G5/'Social media Run'!B5</f>
        <v>#DIV/0!</v>
      </c>
      <c r="I6" s="81"/>
      <c r="J6" s="81"/>
      <c r="K6" s="15" t="e">
        <f>(VLOOKUP(B6,#REF!,2,0)/"1:00:00")</f>
        <v>#REF!</v>
      </c>
      <c r="L6" s="16" t="e">
        <f>(J6-I6)/I6</f>
        <v>#DIV/0!</v>
      </c>
      <c r="M6" s="11" t="e">
        <f>1-((VLOOKUP(B6,#REF!,2,0)/"1:00:00")/J6)</f>
        <v>#REF!</v>
      </c>
      <c r="N6" s="17"/>
      <c r="O6" s="18">
        <f>TIME(0,'Social media Run'!H5,0)</f>
        <v>0</v>
      </c>
      <c r="P6" s="19" t="e">
        <f>'Social media Run'!D5/'Social media Run'!B5</f>
        <v>#DIV/0!</v>
      </c>
      <c r="R6" s="20"/>
      <c r="S6" s="21"/>
      <c r="U6" s="22">
        <f>J6</f>
        <v>0</v>
      </c>
      <c r="V6" s="54"/>
      <c r="W6" s="23"/>
      <c r="X6" s="24"/>
      <c r="Y6" s="25"/>
      <c r="Z6" s="26"/>
      <c r="AC6" s="8">
        <v>8.3333333333333301E-2</v>
      </c>
      <c r="AD6" s="15">
        <f t="shared" si="4"/>
        <v>0</v>
      </c>
      <c r="AE6" s="15">
        <f t="shared" si="5"/>
        <v>1</v>
      </c>
    </row>
    <row r="7" spans="1:32" ht="15" thickBot="1" x14ac:dyDescent="0.4">
      <c r="A7" s="49">
        <v>3</v>
      </c>
      <c r="B7" s="8">
        <v>0.125</v>
      </c>
      <c r="C7" s="9">
        <f>'Social media Run'!B6</f>
        <v>0</v>
      </c>
      <c r="D7" s="81"/>
      <c r="E7" s="11" t="e">
        <f t="shared" ref="E7:E27" si="6">C7/D7</f>
        <v>#DIV/0!</v>
      </c>
      <c r="F7" s="12">
        <f>'Social media Run'!C6</f>
        <v>0</v>
      </c>
      <c r="G7" s="13" t="e">
        <f t="shared" si="1"/>
        <v>#DIV/0!</v>
      </c>
      <c r="H7" s="14" t="e">
        <f>'Social media Run'!G6/'Social media Run'!B6</f>
        <v>#DIV/0!</v>
      </c>
      <c r="I7" s="81"/>
      <c r="J7" s="81"/>
      <c r="K7" s="15" t="e">
        <f>(VLOOKUP(B7,#REF!,2,0)/"1:00:00")</f>
        <v>#REF!</v>
      </c>
      <c r="L7" s="16" t="e">
        <f t="shared" ref="L7:L27" si="7">(J7-I7)/I7</f>
        <v>#DIV/0!</v>
      </c>
      <c r="M7" s="11" t="e">
        <f>1-((VLOOKUP(B7,#REF!,2,0)/"1:00:00")/J7)</f>
        <v>#REF!</v>
      </c>
      <c r="N7" s="17"/>
      <c r="O7" s="18">
        <f>TIME(0,'Social media Run'!H6,0)</f>
        <v>0</v>
      </c>
      <c r="P7" s="19" t="e">
        <f>'Social media Run'!D6/'Social media Run'!B6</f>
        <v>#DIV/0!</v>
      </c>
      <c r="R7" s="20"/>
      <c r="S7" s="21"/>
      <c r="U7" s="22">
        <f t="shared" ref="U7:U27" si="8">J7</f>
        <v>0</v>
      </c>
      <c r="V7" s="54"/>
      <c r="W7" s="23"/>
      <c r="X7" s="24"/>
      <c r="Y7" s="25"/>
      <c r="Z7" s="26"/>
      <c r="AC7" s="8">
        <v>0.125</v>
      </c>
      <c r="AD7" s="15">
        <f t="shared" si="4"/>
        <v>0</v>
      </c>
      <c r="AE7" s="15">
        <f t="shared" si="5"/>
        <v>1</v>
      </c>
    </row>
    <row r="8" spans="1:32" ht="15" thickBot="1" x14ac:dyDescent="0.4">
      <c r="A8" s="49">
        <v>4</v>
      </c>
      <c r="B8" s="8">
        <v>0.16666666666666699</v>
      </c>
      <c r="C8" s="9">
        <f>'Social media Run'!B7</f>
        <v>0</v>
      </c>
      <c r="D8" s="81"/>
      <c r="E8" s="11" t="e">
        <f t="shared" si="6"/>
        <v>#DIV/0!</v>
      </c>
      <c r="F8" s="12">
        <f>'Social media Run'!C7</f>
        <v>0</v>
      </c>
      <c r="G8" s="29" t="e">
        <f t="shared" si="1"/>
        <v>#DIV/0!</v>
      </c>
      <c r="H8" s="14" t="e">
        <f>'Social media Run'!G7/'Social media Run'!B7</f>
        <v>#DIV/0!</v>
      </c>
      <c r="I8" s="81"/>
      <c r="J8" s="81"/>
      <c r="K8" s="15" t="e">
        <f>(VLOOKUP(B8,#REF!,2,0)/"1:00:00")</f>
        <v>#REF!</v>
      </c>
      <c r="L8" s="16" t="e">
        <f t="shared" si="7"/>
        <v>#DIV/0!</v>
      </c>
      <c r="M8" s="11" t="e">
        <f>1-((VLOOKUP(B8,#REF!,2,0)/"1:00:00")/J8)</f>
        <v>#REF!</v>
      </c>
      <c r="N8" s="17"/>
      <c r="O8" s="18">
        <f>TIME(0,'Social media Run'!H7,0)</f>
        <v>0</v>
      </c>
      <c r="P8" s="19" t="e">
        <f>'Social media Run'!D7/'Social media Run'!B7</f>
        <v>#DIV/0!</v>
      </c>
      <c r="R8" s="20"/>
      <c r="S8" s="21"/>
      <c r="U8" s="22">
        <f t="shared" si="8"/>
        <v>0</v>
      </c>
      <c r="V8" s="54"/>
      <c r="W8" s="23"/>
      <c r="X8" s="24"/>
      <c r="Y8" s="25"/>
      <c r="Z8" s="26"/>
      <c r="AC8" s="8">
        <v>0.16666666666666699</v>
      </c>
      <c r="AD8" s="15">
        <f t="shared" si="4"/>
        <v>0</v>
      </c>
      <c r="AE8" s="15">
        <f t="shared" si="5"/>
        <v>1</v>
      </c>
    </row>
    <row r="9" spans="1:32" ht="15" thickBot="1" x14ac:dyDescent="0.4">
      <c r="A9" s="49">
        <v>5</v>
      </c>
      <c r="B9" s="8">
        <v>0.20833333333333301</v>
      </c>
      <c r="C9" s="9">
        <f>'Social media Run'!B8</f>
        <v>0</v>
      </c>
      <c r="D9" s="81"/>
      <c r="E9" s="11" t="e">
        <f t="shared" si="6"/>
        <v>#DIV/0!</v>
      </c>
      <c r="F9" s="12">
        <f>'Social media Run'!C8</f>
        <v>0</v>
      </c>
      <c r="G9" s="13" t="e">
        <f t="shared" si="1"/>
        <v>#DIV/0!</v>
      </c>
      <c r="H9" s="14" t="e">
        <f>'Social media Run'!G8/'Social media Run'!B8</f>
        <v>#DIV/0!</v>
      </c>
      <c r="I9" s="81"/>
      <c r="J9" s="81"/>
      <c r="K9" s="15" t="e">
        <f>(VLOOKUP(B9,#REF!,2,0)/"1:00:00")</f>
        <v>#REF!</v>
      </c>
      <c r="L9" s="16" t="e">
        <f t="shared" si="7"/>
        <v>#DIV/0!</v>
      </c>
      <c r="M9" s="11" t="e">
        <f>1-((VLOOKUP(B9,#REF!,2,0)/"1:00:00")/J9)</f>
        <v>#REF!</v>
      </c>
      <c r="N9" s="17"/>
      <c r="O9" s="18">
        <f>TIME(0,'Social media Run'!H8,0)</f>
        <v>0</v>
      </c>
      <c r="P9" s="19" t="e">
        <f>'Social media Run'!D8/'Social media Run'!B8</f>
        <v>#DIV/0!</v>
      </c>
      <c r="R9" s="20"/>
      <c r="S9" s="21"/>
      <c r="U9" s="22">
        <f t="shared" si="8"/>
        <v>0</v>
      </c>
      <c r="V9" s="54"/>
      <c r="W9" s="23"/>
      <c r="X9" s="24"/>
      <c r="Y9" s="25"/>
      <c r="Z9" s="26"/>
      <c r="AC9" s="8">
        <v>0.20833333333333301</v>
      </c>
      <c r="AD9" s="15">
        <f t="shared" si="4"/>
        <v>0</v>
      </c>
      <c r="AE9" s="15">
        <f t="shared" si="5"/>
        <v>1</v>
      </c>
    </row>
    <row r="10" spans="1:32" ht="15" thickBot="1" x14ac:dyDescent="0.4">
      <c r="A10" s="49">
        <v>6</v>
      </c>
      <c r="B10" s="8">
        <v>0.25</v>
      </c>
      <c r="C10" s="9">
        <f>'Social media Run'!B9</f>
        <v>0</v>
      </c>
      <c r="D10" s="81"/>
      <c r="E10" s="11" t="e">
        <f t="shared" si="6"/>
        <v>#DIV/0!</v>
      </c>
      <c r="F10" s="12">
        <f>'Social media Run'!C9</f>
        <v>0</v>
      </c>
      <c r="G10" s="13" t="e">
        <f t="shared" si="1"/>
        <v>#DIV/0!</v>
      </c>
      <c r="H10" s="14" t="e">
        <f>'Social media Run'!G9/'Social media Run'!B9</f>
        <v>#DIV/0!</v>
      </c>
      <c r="I10" s="81"/>
      <c r="J10" s="81"/>
      <c r="K10" s="15" t="e">
        <f>(VLOOKUP(B10,#REF!,2,0)/"1:00:00")</f>
        <v>#REF!</v>
      </c>
      <c r="L10" s="16" t="e">
        <f t="shared" si="7"/>
        <v>#DIV/0!</v>
      </c>
      <c r="M10" s="11" t="e">
        <f>1-((VLOOKUP(B10,#REF!,2,0)/"1:00:00")/J10)</f>
        <v>#REF!</v>
      </c>
      <c r="N10" s="17"/>
      <c r="O10" s="18">
        <f>TIME(0,'Social media Run'!H9,0)</f>
        <v>0</v>
      </c>
      <c r="P10" s="19" t="e">
        <f>'Social media Run'!D9/'Social media Run'!B9</f>
        <v>#DIV/0!</v>
      </c>
      <c r="R10" s="20"/>
      <c r="S10" s="21"/>
      <c r="U10" s="22">
        <f t="shared" si="8"/>
        <v>0</v>
      </c>
      <c r="V10" s="54"/>
      <c r="W10" s="23"/>
      <c r="X10" s="24"/>
      <c r="Y10" s="25"/>
      <c r="Z10" s="26"/>
      <c r="AC10" s="8">
        <v>0.25</v>
      </c>
      <c r="AD10" s="15">
        <f t="shared" si="4"/>
        <v>0</v>
      </c>
      <c r="AE10" s="15">
        <f t="shared" si="5"/>
        <v>1</v>
      </c>
    </row>
    <row r="11" spans="1:32" ht="15" customHeight="1" thickBot="1" x14ac:dyDescent="0.4">
      <c r="A11" s="49">
        <v>7</v>
      </c>
      <c r="B11" s="8">
        <v>0.29166666666666702</v>
      </c>
      <c r="C11" s="9">
        <f>'Social media Run'!B10</f>
        <v>0</v>
      </c>
      <c r="D11" s="81"/>
      <c r="E11" s="11" t="e">
        <f t="shared" si="6"/>
        <v>#DIV/0!</v>
      </c>
      <c r="F11" s="12">
        <f>'Social media Run'!C10</f>
        <v>0</v>
      </c>
      <c r="G11" s="29" t="e">
        <f t="shared" si="1"/>
        <v>#DIV/0!</v>
      </c>
      <c r="H11" s="14" t="e">
        <f>'Social media Run'!G10/'Social media Run'!B10</f>
        <v>#DIV/0!</v>
      </c>
      <c r="I11" s="81"/>
      <c r="J11" s="81"/>
      <c r="K11" s="15" t="e">
        <f>(VLOOKUP(B11,#REF!,2,0)/"1:00:00")</f>
        <v>#REF!</v>
      </c>
      <c r="L11" s="16" t="e">
        <f t="shared" si="7"/>
        <v>#DIV/0!</v>
      </c>
      <c r="M11" s="11" t="e">
        <f>1-((VLOOKUP(B11,#REF!,2,0)/"1:00:00")/J11)</f>
        <v>#REF!</v>
      </c>
      <c r="N11" s="17"/>
      <c r="O11" s="18">
        <f>TIME(0,'Social media Run'!H10,0)</f>
        <v>0</v>
      </c>
      <c r="P11" s="19" t="e">
        <f>'Social media Run'!D10/'Social media Run'!B10</f>
        <v>#DIV/0!</v>
      </c>
      <c r="R11" s="20"/>
      <c r="S11" s="21"/>
      <c r="U11" s="22">
        <f t="shared" si="8"/>
        <v>0</v>
      </c>
      <c r="V11" s="54"/>
      <c r="W11" s="23"/>
      <c r="X11" s="24"/>
      <c r="Y11" s="25"/>
      <c r="Z11" s="26"/>
      <c r="AC11" s="8">
        <v>0.29166666666666702</v>
      </c>
      <c r="AD11" s="15">
        <f t="shared" si="4"/>
        <v>0</v>
      </c>
      <c r="AE11" s="15">
        <f t="shared" si="5"/>
        <v>1</v>
      </c>
    </row>
    <row r="12" spans="1:32" ht="15" thickBot="1" x14ac:dyDescent="0.4">
      <c r="A12" s="49">
        <v>8</v>
      </c>
      <c r="B12" s="8">
        <v>0.33333333333333298</v>
      </c>
      <c r="C12" s="9">
        <f>'Social media Run'!B11</f>
        <v>0</v>
      </c>
      <c r="D12" s="81"/>
      <c r="E12" s="11" t="e">
        <f t="shared" si="6"/>
        <v>#DIV/0!</v>
      </c>
      <c r="F12" s="12">
        <f>'Social media Run'!C11</f>
        <v>0</v>
      </c>
      <c r="G12" s="13" t="e">
        <f t="shared" si="1"/>
        <v>#DIV/0!</v>
      </c>
      <c r="H12" s="14" t="e">
        <f>'Social media Run'!G11/'Social media Run'!B11</f>
        <v>#DIV/0!</v>
      </c>
      <c r="I12" s="81"/>
      <c r="J12" s="81"/>
      <c r="K12" s="15" t="e">
        <f>(VLOOKUP(B12,#REF!,2,0)/"1:00:00")</f>
        <v>#REF!</v>
      </c>
      <c r="L12" s="16" t="e">
        <f t="shared" si="7"/>
        <v>#DIV/0!</v>
      </c>
      <c r="M12" s="11" t="e">
        <f>1-((VLOOKUP(B12,#REF!,2,0)/"1:00:00")/J12)</f>
        <v>#REF!</v>
      </c>
      <c r="N12" s="17"/>
      <c r="O12" s="18">
        <f>TIME(0,'Social media Run'!H11,0)</f>
        <v>0</v>
      </c>
      <c r="P12" s="19" t="e">
        <f>'Social media Run'!D11/'Social media Run'!B11</f>
        <v>#DIV/0!</v>
      </c>
      <c r="R12" s="20"/>
      <c r="S12" s="21"/>
      <c r="U12" s="22">
        <f t="shared" si="8"/>
        <v>0</v>
      </c>
      <c r="V12" s="54"/>
      <c r="W12" s="23"/>
      <c r="X12" s="24"/>
      <c r="Y12" s="25"/>
      <c r="Z12" s="26"/>
      <c r="AC12" s="8">
        <v>0.33333333333333298</v>
      </c>
      <c r="AD12" s="15">
        <f t="shared" si="4"/>
        <v>0</v>
      </c>
      <c r="AE12" s="15">
        <f t="shared" si="5"/>
        <v>1</v>
      </c>
    </row>
    <row r="13" spans="1:32" ht="15" thickBot="1" x14ac:dyDescent="0.4">
      <c r="A13" s="49">
        <v>9</v>
      </c>
      <c r="B13" s="8">
        <v>0.375</v>
      </c>
      <c r="C13" s="9">
        <f>'Social media Run'!B12</f>
        <v>0</v>
      </c>
      <c r="D13" s="81"/>
      <c r="E13" s="11" t="e">
        <f t="shared" si="6"/>
        <v>#DIV/0!</v>
      </c>
      <c r="F13" s="12">
        <f>'Social media Run'!C12</f>
        <v>0</v>
      </c>
      <c r="G13" s="13" t="e">
        <f t="shared" si="1"/>
        <v>#DIV/0!</v>
      </c>
      <c r="H13" s="14" t="e">
        <f>'Social media Run'!G12/'Social media Run'!B12</f>
        <v>#DIV/0!</v>
      </c>
      <c r="I13" s="81"/>
      <c r="J13" s="81"/>
      <c r="K13" s="15" t="e">
        <f>(VLOOKUP(B13,#REF!,2,0)/"1:00:00")</f>
        <v>#REF!</v>
      </c>
      <c r="L13" s="16" t="e">
        <f t="shared" si="7"/>
        <v>#DIV/0!</v>
      </c>
      <c r="M13" s="11" t="e">
        <f>1-((VLOOKUP(B13,#REF!,2,0)/"1:00:00")/J13)</f>
        <v>#REF!</v>
      </c>
      <c r="N13" s="17"/>
      <c r="O13" s="18">
        <f>TIME(0,'Social media Run'!H12,0)</f>
        <v>0</v>
      </c>
      <c r="P13" s="19" t="e">
        <f>'Social media Run'!D12/'Social media Run'!B12</f>
        <v>#DIV/0!</v>
      </c>
      <c r="R13" s="20"/>
      <c r="S13" s="21"/>
      <c r="U13" s="22">
        <f t="shared" si="8"/>
        <v>0</v>
      </c>
      <c r="V13" s="54"/>
      <c r="W13" s="23"/>
      <c r="X13" s="24"/>
      <c r="Y13" s="25"/>
      <c r="Z13" s="26"/>
      <c r="AC13" s="8">
        <v>0.375</v>
      </c>
      <c r="AD13" s="15">
        <f t="shared" si="4"/>
        <v>0</v>
      </c>
      <c r="AE13" s="15">
        <f t="shared" si="5"/>
        <v>1</v>
      </c>
    </row>
    <row r="14" spans="1:32" ht="15" thickBot="1" x14ac:dyDescent="0.4">
      <c r="A14" s="49">
        <v>10</v>
      </c>
      <c r="B14" s="8">
        <v>0.41666666666666702</v>
      </c>
      <c r="C14" s="9">
        <f>'Social media Run'!B13</f>
        <v>0</v>
      </c>
      <c r="D14" s="81"/>
      <c r="E14" s="11" t="e">
        <f t="shared" si="6"/>
        <v>#DIV/0!</v>
      </c>
      <c r="F14" s="12">
        <f>'Social media Run'!C13</f>
        <v>0</v>
      </c>
      <c r="G14" s="29" t="e">
        <f t="shared" si="1"/>
        <v>#DIV/0!</v>
      </c>
      <c r="H14" s="14" t="e">
        <f>'Social media Run'!G13/'Social media Run'!B13</f>
        <v>#DIV/0!</v>
      </c>
      <c r="I14" s="81"/>
      <c r="J14" s="81"/>
      <c r="K14" s="15" t="e">
        <f>(VLOOKUP(B14,#REF!,2,0)/"1:00:00")</f>
        <v>#REF!</v>
      </c>
      <c r="L14" s="16" t="e">
        <f t="shared" si="7"/>
        <v>#DIV/0!</v>
      </c>
      <c r="M14" s="11" t="e">
        <f>1-((VLOOKUP(B14,#REF!,2,0)/"1:00:00")/J14)</f>
        <v>#REF!</v>
      </c>
      <c r="N14" s="17"/>
      <c r="O14" s="18">
        <f>TIME(0,'Social media Run'!H13,0)</f>
        <v>0</v>
      </c>
      <c r="P14" s="19" t="e">
        <f>'Social media Run'!D13/'Social media Run'!B13</f>
        <v>#DIV/0!</v>
      </c>
      <c r="R14" s="20"/>
      <c r="S14" s="21"/>
      <c r="U14" s="22">
        <f t="shared" si="8"/>
        <v>0</v>
      </c>
      <c r="V14" s="54"/>
      <c r="W14" s="23"/>
      <c r="X14" s="24"/>
      <c r="Y14" s="25"/>
      <c r="Z14" s="26"/>
      <c r="AC14" s="8">
        <v>0.41666666666666702</v>
      </c>
      <c r="AD14" s="15">
        <f t="shared" si="4"/>
        <v>0</v>
      </c>
      <c r="AE14" s="15">
        <f t="shared" si="5"/>
        <v>1</v>
      </c>
    </row>
    <row r="15" spans="1:32" ht="15" thickBot="1" x14ac:dyDescent="0.4">
      <c r="A15" s="49">
        <v>11</v>
      </c>
      <c r="B15" s="8">
        <v>0.45833333333333298</v>
      </c>
      <c r="C15" s="9">
        <f>'Social media Run'!B14</f>
        <v>0</v>
      </c>
      <c r="D15" s="81"/>
      <c r="E15" s="11" t="e">
        <f t="shared" si="6"/>
        <v>#DIV/0!</v>
      </c>
      <c r="F15" s="12">
        <f>'Social media Run'!C14</f>
        <v>0</v>
      </c>
      <c r="G15" s="13" t="e">
        <f t="shared" si="1"/>
        <v>#DIV/0!</v>
      </c>
      <c r="H15" s="14" t="e">
        <f>'Social media Run'!G14/'Social media Run'!B14</f>
        <v>#DIV/0!</v>
      </c>
      <c r="I15" s="81"/>
      <c r="J15" s="81"/>
      <c r="K15" s="15" t="e">
        <f>(VLOOKUP(B15,#REF!,2,0)/"1:00:00")</f>
        <v>#REF!</v>
      </c>
      <c r="L15" s="16" t="e">
        <f t="shared" si="7"/>
        <v>#DIV/0!</v>
      </c>
      <c r="M15" s="11" t="e">
        <f>1-((VLOOKUP(B15,#REF!,2,0)/"1:00:00")/J15)</f>
        <v>#REF!</v>
      </c>
      <c r="N15" s="17"/>
      <c r="O15" s="18">
        <f>TIME(0,'Social media Run'!H14,0)</f>
        <v>0</v>
      </c>
      <c r="P15" s="19" t="e">
        <f>'Social media Run'!D14/'Social media Run'!B14</f>
        <v>#DIV/0!</v>
      </c>
      <c r="R15" s="20"/>
      <c r="S15" s="21"/>
      <c r="U15" s="22">
        <f t="shared" si="8"/>
        <v>0</v>
      </c>
      <c r="V15" s="54"/>
      <c r="W15" s="23"/>
      <c r="X15" s="24"/>
      <c r="Y15" s="25"/>
      <c r="Z15" s="26"/>
      <c r="AC15" s="8">
        <v>0.45833333333333298</v>
      </c>
      <c r="AD15" s="15">
        <f t="shared" si="4"/>
        <v>0</v>
      </c>
      <c r="AE15" s="15">
        <f t="shared" si="5"/>
        <v>1</v>
      </c>
    </row>
    <row r="16" spans="1:32" ht="15" thickBot="1" x14ac:dyDescent="0.4">
      <c r="A16" s="49">
        <v>12</v>
      </c>
      <c r="B16" s="8">
        <v>0.5</v>
      </c>
      <c r="C16" s="9">
        <f>'Social media Run'!B15</f>
        <v>0</v>
      </c>
      <c r="D16" s="81"/>
      <c r="E16" s="11" t="e">
        <f t="shared" si="6"/>
        <v>#DIV/0!</v>
      </c>
      <c r="F16" s="12">
        <f>'Social media Run'!C15</f>
        <v>0</v>
      </c>
      <c r="G16" s="13" t="e">
        <f t="shared" si="1"/>
        <v>#DIV/0!</v>
      </c>
      <c r="H16" s="14" t="e">
        <f>'Social media Run'!G15/'Social media Run'!B15</f>
        <v>#DIV/0!</v>
      </c>
      <c r="I16" s="81"/>
      <c r="J16" s="81"/>
      <c r="K16" s="15" t="e">
        <f>(VLOOKUP(B16,#REF!,2,0)/"1:00:00")</f>
        <v>#REF!</v>
      </c>
      <c r="L16" s="16" t="e">
        <f t="shared" si="7"/>
        <v>#DIV/0!</v>
      </c>
      <c r="M16" s="11" t="e">
        <f>1-((VLOOKUP(B16,#REF!,2,0)/"1:00:00")/J16)</f>
        <v>#REF!</v>
      </c>
      <c r="N16" s="17"/>
      <c r="O16" s="18">
        <f>TIME(0,'Social media Run'!H15,0)</f>
        <v>0</v>
      </c>
      <c r="P16" s="19" t="e">
        <f>'Social media Run'!D15/'Social media Run'!B15</f>
        <v>#DIV/0!</v>
      </c>
      <c r="R16" s="20"/>
      <c r="S16" s="21"/>
      <c r="U16" s="22">
        <f t="shared" si="8"/>
        <v>0</v>
      </c>
      <c r="V16" s="54"/>
      <c r="W16" s="23"/>
      <c r="X16" s="24"/>
      <c r="Y16" s="25"/>
      <c r="Z16" s="26"/>
      <c r="AC16" s="8">
        <v>0.5</v>
      </c>
      <c r="AD16" s="15">
        <f t="shared" si="4"/>
        <v>0</v>
      </c>
      <c r="AE16" s="15">
        <f t="shared" si="5"/>
        <v>1</v>
      </c>
    </row>
    <row r="17" spans="1:38" ht="15" thickBot="1" x14ac:dyDescent="0.4">
      <c r="A17" s="49">
        <v>13</v>
      </c>
      <c r="B17" s="8">
        <v>0.54166666666666696</v>
      </c>
      <c r="C17" s="9">
        <f>'Social media Run'!B16</f>
        <v>0</v>
      </c>
      <c r="D17" s="81"/>
      <c r="E17" s="11" t="e">
        <f t="shared" si="6"/>
        <v>#DIV/0!</v>
      </c>
      <c r="F17" s="12">
        <f>'Social media Run'!C16</f>
        <v>0</v>
      </c>
      <c r="G17" s="29" t="e">
        <f t="shared" si="1"/>
        <v>#DIV/0!</v>
      </c>
      <c r="H17" s="14" t="e">
        <f>'Social media Run'!G16/'Social media Run'!B16</f>
        <v>#DIV/0!</v>
      </c>
      <c r="I17" s="81"/>
      <c r="J17" s="81"/>
      <c r="K17" s="15" t="e">
        <f>(VLOOKUP(B17,#REF!,2,0)/"1:00:00")</f>
        <v>#REF!</v>
      </c>
      <c r="L17" s="16" t="e">
        <f t="shared" si="7"/>
        <v>#DIV/0!</v>
      </c>
      <c r="M17" s="11" t="e">
        <f>1-((VLOOKUP(B17,#REF!,2,0)/"1:00:00")/J17)</f>
        <v>#REF!</v>
      </c>
      <c r="N17" s="17"/>
      <c r="O17" s="18">
        <f>TIME(0,'Social media Run'!H16,0)</f>
        <v>0</v>
      </c>
      <c r="P17" s="19" t="e">
        <f>'Social media Run'!D16/'Social media Run'!B16</f>
        <v>#DIV/0!</v>
      </c>
      <c r="R17" s="20"/>
      <c r="S17" s="21"/>
      <c r="U17" s="22">
        <f t="shared" si="8"/>
        <v>0</v>
      </c>
      <c r="V17" s="54"/>
      <c r="W17" s="23"/>
      <c r="X17" s="24"/>
      <c r="Y17" s="25"/>
      <c r="Z17" s="26"/>
      <c r="AC17" s="8">
        <v>0.54166666666666696</v>
      </c>
      <c r="AD17" s="15">
        <f t="shared" si="4"/>
        <v>0</v>
      </c>
      <c r="AE17" s="15">
        <f t="shared" si="5"/>
        <v>1</v>
      </c>
    </row>
    <row r="18" spans="1:38" ht="15" thickBot="1" x14ac:dyDescent="0.4">
      <c r="A18" s="49">
        <v>14</v>
      </c>
      <c r="B18" s="8">
        <v>0.58333333333333304</v>
      </c>
      <c r="C18" s="9">
        <f>'Social media Run'!B17</f>
        <v>0</v>
      </c>
      <c r="D18" s="81"/>
      <c r="E18" s="11" t="e">
        <f t="shared" si="6"/>
        <v>#DIV/0!</v>
      </c>
      <c r="F18" s="12">
        <f>'Social media Run'!C17</f>
        <v>0</v>
      </c>
      <c r="G18" s="13" t="e">
        <f t="shared" si="1"/>
        <v>#DIV/0!</v>
      </c>
      <c r="H18" s="14" t="e">
        <f>'Social media Run'!G17/'Social media Run'!B17</f>
        <v>#DIV/0!</v>
      </c>
      <c r="I18" s="81"/>
      <c r="J18" s="81"/>
      <c r="K18" s="15" t="e">
        <f>(VLOOKUP(B18,#REF!,2,0)/"1:00:00")</f>
        <v>#REF!</v>
      </c>
      <c r="L18" s="16" t="e">
        <f t="shared" si="7"/>
        <v>#DIV/0!</v>
      </c>
      <c r="M18" s="11" t="e">
        <f>1-((VLOOKUP(B18,#REF!,2,0)/"1:00:00")/J18)</f>
        <v>#REF!</v>
      </c>
      <c r="N18" s="17"/>
      <c r="O18" s="18">
        <f>TIME(0,'Social media Run'!H17,0)</f>
        <v>0</v>
      </c>
      <c r="P18" s="19" t="e">
        <f>'Social media Run'!D17/'Social media Run'!B17</f>
        <v>#DIV/0!</v>
      </c>
      <c r="R18" s="20"/>
      <c r="S18" s="21"/>
      <c r="U18" s="22">
        <f t="shared" si="8"/>
        <v>0</v>
      </c>
      <c r="V18" s="54"/>
      <c r="W18" s="23"/>
      <c r="X18" s="24"/>
      <c r="Y18" s="25"/>
      <c r="Z18" s="26"/>
      <c r="AC18" s="8">
        <v>0.58333333333333304</v>
      </c>
      <c r="AD18" s="15">
        <f t="shared" si="4"/>
        <v>0</v>
      </c>
      <c r="AE18" s="15">
        <f t="shared" si="5"/>
        <v>1</v>
      </c>
    </row>
    <row r="19" spans="1:38" ht="15" thickBot="1" x14ac:dyDescent="0.4">
      <c r="A19" s="49">
        <v>15</v>
      </c>
      <c r="B19" s="8">
        <v>0.625</v>
      </c>
      <c r="C19" s="9">
        <f>'Social media Run'!B18</f>
        <v>0</v>
      </c>
      <c r="D19" s="81"/>
      <c r="E19" s="11" t="e">
        <f t="shared" si="6"/>
        <v>#DIV/0!</v>
      </c>
      <c r="F19" s="12">
        <f>'Social media Run'!C18</f>
        <v>0</v>
      </c>
      <c r="G19" s="13" t="e">
        <f t="shared" si="1"/>
        <v>#DIV/0!</v>
      </c>
      <c r="H19" s="14" t="e">
        <f>'Social media Run'!G18/'Social media Run'!B18</f>
        <v>#DIV/0!</v>
      </c>
      <c r="I19" s="81"/>
      <c r="J19" s="81"/>
      <c r="K19" s="15" t="e">
        <f>(VLOOKUP(B19,#REF!,2,0)/"1:00:00")</f>
        <v>#REF!</v>
      </c>
      <c r="L19" s="16" t="e">
        <f t="shared" si="7"/>
        <v>#DIV/0!</v>
      </c>
      <c r="M19" s="11" t="e">
        <f>1-((VLOOKUP(B19,#REF!,2,0)/"1:00:00")/J19)</f>
        <v>#REF!</v>
      </c>
      <c r="N19" s="17"/>
      <c r="O19" s="18">
        <f>TIME(0,'Social media Run'!H18,0)</f>
        <v>0</v>
      </c>
      <c r="P19" s="19" t="e">
        <f>'Social media Run'!D18/'Social media Run'!B18</f>
        <v>#DIV/0!</v>
      </c>
      <c r="R19" s="20"/>
      <c r="S19" s="21"/>
      <c r="U19" s="22">
        <f t="shared" si="8"/>
        <v>0</v>
      </c>
      <c r="V19" s="54"/>
      <c r="W19" s="23"/>
      <c r="X19" s="24"/>
      <c r="Y19" s="25"/>
      <c r="Z19" s="26"/>
      <c r="AC19" s="8">
        <v>0.625</v>
      </c>
      <c r="AD19" s="15">
        <f t="shared" si="4"/>
        <v>0</v>
      </c>
      <c r="AE19" s="15">
        <f t="shared" si="5"/>
        <v>1</v>
      </c>
    </row>
    <row r="20" spans="1:38" ht="15" thickBot="1" x14ac:dyDescent="0.4">
      <c r="A20" s="49">
        <v>16</v>
      </c>
      <c r="B20" s="8">
        <v>0.66666666666666696</v>
      </c>
      <c r="C20" s="9">
        <f>'Social media Run'!B19</f>
        <v>0</v>
      </c>
      <c r="D20" s="81"/>
      <c r="E20" s="11" t="e">
        <f t="shared" si="6"/>
        <v>#DIV/0!</v>
      </c>
      <c r="F20" s="12">
        <f>'Social media Run'!C19</f>
        <v>0</v>
      </c>
      <c r="G20" s="29" t="e">
        <f t="shared" si="1"/>
        <v>#DIV/0!</v>
      </c>
      <c r="H20" s="14" t="e">
        <f>'Social media Run'!G19/'Social media Run'!B19</f>
        <v>#DIV/0!</v>
      </c>
      <c r="I20" s="81"/>
      <c r="J20" s="81"/>
      <c r="K20" s="15" t="e">
        <f>(VLOOKUP(B20,#REF!,2,0)/"1:00:00")</f>
        <v>#REF!</v>
      </c>
      <c r="L20" s="16" t="e">
        <f t="shared" si="7"/>
        <v>#DIV/0!</v>
      </c>
      <c r="M20" s="11" t="e">
        <f>1-((VLOOKUP(B20,#REF!,2,0)/"1:00:00")/J20)</f>
        <v>#REF!</v>
      </c>
      <c r="N20" s="17"/>
      <c r="O20" s="18">
        <f>TIME(0,'Social media Run'!H19,0)</f>
        <v>0</v>
      </c>
      <c r="P20" s="19" t="e">
        <f>'Social media Run'!D19/'Social media Run'!B19</f>
        <v>#DIV/0!</v>
      </c>
      <c r="R20" s="20"/>
      <c r="S20" s="21"/>
      <c r="U20" s="22">
        <f t="shared" si="8"/>
        <v>0</v>
      </c>
      <c r="V20" s="54"/>
      <c r="W20" s="23"/>
      <c r="X20" s="24"/>
      <c r="Y20" s="25"/>
      <c r="Z20" s="26"/>
      <c r="AC20" s="8">
        <v>0.66666666666666696</v>
      </c>
      <c r="AD20" s="15">
        <f t="shared" si="4"/>
        <v>0</v>
      </c>
      <c r="AE20" s="15">
        <f t="shared" si="5"/>
        <v>1</v>
      </c>
    </row>
    <row r="21" spans="1:38" ht="15" thickBot="1" x14ac:dyDescent="0.4">
      <c r="A21" s="49">
        <v>17</v>
      </c>
      <c r="B21" s="8">
        <v>0.70833333333333304</v>
      </c>
      <c r="C21" s="9">
        <f>'Social media Run'!B20</f>
        <v>0</v>
      </c>
      <c r="D21" s="81"/>
      <c r="E21" s="11" t="e">
        <f t="shared" si="6"/>
        <v>#DIV/0!</v>
      </c>
      <c r="F21" s="12">
        <f>'Social media Run'!C20</f>
        <v>0</v>
      </c>
      <c r="G21" s="13" t="e">
        <f t="shared" si="1"/>
        <v>#DIV/0!</v>
      </c>
      <c r="H21" s="14" t="e">
        <f>'Social media Run'!G20/'Social media Run'!B20</f>
        <v>#DIV/0!</v>
      </c>
      <c r="I21" s="81"/>
      <c r="J21" s="81"/>
      <c r="K21" s="15" t="e">
        <f>(VLOOKUP(B21,#REF!,2,0)/"1:00:00")</f>
        <v>#REF!</v>
      </c>
      <c r="L21" s="16" t="e">
        <f t="shared" si="7"/>
        <v>#DIV/0!</v>
      </c>
      <c r="M21" s="11" t="e">
        <f>1-((VLOOKUP(B21,#REF!,2,0)/"1:00:00")/J21)</f>
        <v>#REF!</v>
      </c>
      <c r="N21" s="17"/>
      <c r="O21" s="18">
        <f>TIME(0,'Social media Run'!H20,0)</f>
        <v>0</v>
      </c>
      <c r="P21" s="19" t="e">
        <f>'Social media Run'!D20/'Social media Run'!B20</f>
        <v>#DIV/0!</v>
      </c>
      <c r="R21" s="20"/>
      <c r="S21" s="21"/>
      <c r="U21" s="22">
        <f t="shared" si="8"/>
        <v>0</v>
      </c>
      <c r="V21" s="54"/>
      <c r="W21" s="23"/>
      <c r="X21" s="24"/>
      <c r="Y21" s="25"/>
      <c r="Z21" s="26"/>
      <c r="AC21" s="8">
        <v>0.70833333333333304</v>
      </c>
      <c r="AD21" s="15">
        <f t="shared" si="4"/>
        <v>0</v>
      </c>
      <c r="AE21" s="15">
        <f t="shared" si="5"/>
        <v>1</v>
      </c>
    </row>
    <row r="22" spans="1:38" ht="15" thickBot="1" x14ac:dyDescent="0.4">
      <c r="A22" s="49">
        <v>18</v>
      </c>
      <c r="B22" s="8">
        <v>0.75</v>
      </c>
      <c r="C22" s="9">
        <f>'Social media Run'!B21</f>
        <v>0</v>
      </c>
      <c r="D22" s="81"/>
      <c r="E22" s="11" t="e">
        <f t="shared" si="6"/>
        <v>#DIV/0!</v>
      </c>
      <c r="F22" s="12">
        <f>'Social media Run'!C21</f>
        <v>0</v>
      </c>
      <c r="G22" s="13" t="e">
        <f t="shared" si="1"/>
        <v>#DIV/0!</v>
      </c>
      <c r="H22" s="14" t="e">
        <f>'Social media Run'!G21/'Social media Run'!B21</f>
        <v>#DIV/0!</v>
      </c>
      <c r="I22" s="81"/>
      <c r="J22" s="81"/>
      <c r="K22" s="15" t="e">
        <f>(VLOOKUP(B22,#REF!,2,0)/"1:00:00")</f>
        <v>#REF!</v>
      </c>
      <c r="L22" s="16" t="e">
        <f t="shared" si="7"/>
        <v>#DIV/0!</v>
      </c>
      <c r="M22" s="11" t="e">
        <f>1-((VLOOKUP(B22,#REF!,2,0)/"1:00:00")/J22)</f>
        <v>#REF!</v>
      </c>
      <c r="N22" s="17"/>
      <c r="O22" s="18">
        <f>TIME(0,'Social media Run'!H21,0)</f>
        <v>0</v>
      </c>
      <c r="P22" s="19" t="e">
        <f>'Social media Run'!D21/'Social media Run'!B21</f>
        <v>#DIV/0!</v>
      </c>
      <c r="R22" s="20"/>
      <c r="S22" s="21"/>
      <c r="U22" s="22">
        <f t="shared" si="8"/>
        <v>0</v>
      </c>
      <c r="V22" s="54"/>
      <c r="W22" s="23"/>
      <c r="X22" s="24"/>
      <c r="Y22" s="25"/>
      <c r="Z22" s="26"/>
      <c r="AC22" s="8">
        <v>0.75</v>
      </c>
      <c r="AD22" s="15">
        <f t="shared" si="4"/>
        <v>0</v>
      </c>
      <c r="AE22" s="15">
        <f t="shared" si="5"/>
        <v>1</v>
      </c>
    </row>
    <row r="23" spans="1:38" ht="15" thickBot="1" x14ac:dyDescent="0.4">
      <c r="A23" s="49">
        <v>19</v>
      </c>
      <c r="B23" s="8">
        <v>0.79166666666666696</v>
      </c>
      <c r="C23" s="9">
        <f>'Social media Run'!B22</f>
        <v>0</v>
      </c>
      <c r="D23" s="81"/>
      <c r="E23" s="11" t="e">
        <f t="shared" si="6"/>
        <v>#DIV/0!</v>
      </c>
      <c r="F23" s="12">
        <f>'Social media Run'!C22</f>
        <v>0</v>
      </c>
      <c r="G23" s="13" t="e">
        <f t="shared" si="1"/>
        <v>#DIV/0!</v>
      </c>
      <c r="H23" s="14" t="e">
        <f>'Social media Run'!G22/'Social media Run'!B22</f>
        <v>#DIV/0!</v>
      </c>
      <c r="I23" s="81"/>
      <c r="J23" s="81"/>
      <c r="K23" s="15" t="e">
        <f>(VLOOKUP(B23,#REF!,2,0)/"1:00:00")</f>
        <v>#REF!</v>
      </c>
      <c r="L23" s="16" t="e">
        <f t="shared" si="7"/>
        <v>#DIV/0!</v>
      </c>
      <c r="M23" s="11" t="e">
        <f>1-((VLOOKUP(B23,#REF!,2,0)/"1:00:00")/J23)</f>
        <v>#REF!</v>
      </c>
      <c r="N23" s="17"/>
      <c r="O23" s="18">
        <f>TIME(0,'Social media Run'!H22,0)</f>
        <v>0</v>
      </c>
      <c r="P23" s="19" t="e">
        <f>'Social media Run'!D22/'Social media Run'!B22</f>
        <v>#DIV/0!</v>
      </c>
      <c r="R23" s="20"/>
      <c r="S23" s="21"/>
      <c r="U23" s="22">
        <f t="shared" si="8"/>
        <v>0</v>
      </c>
      <c r="V23" s="54"/>
      <c r="W23" s="23"/>
      <c r="X23" s="24"/>
      <c r="Y23" s="25"/>
      <c r="Z23" s="26"/>
      <c r="AC23" s="8">
        <v>0.79166666666666696</v>
      </c>
      <c r="AD23" s="15">
        <f t="shared" si="4"/>
        <v>0</v>
      </c>
      <c r="AE23" s="15">
        <f t="shared" si="5"/>
        <v>1</v>
      </c>
    </row>
    <row r="24" spans="1:38" ht="15" thickBot="1" x14ac:dyDescent="0.4">
      <c r="A24" s="49">
        <v>20</v>
      </c>
      <c r="B24" s="8">
        <v>0.83333333333333304</v>
      </c>
      <c r="C24" s="9">
        <f>'Social media Run'!B23</f>
        <v>0</v>
      </c>
      <c r="D24" s="81"/>
      <c r="E24" s="11" t="e">
        <f t="shared" si="6"/>
        <v>#DIV/0!</v>
      </c>
      <c r="F24" s="12">
        <f>'Social media Run'!C23</f>
        <v>0</v>
      </c>
      <c r="G24" s="13" t="e">
        <f t="shared" si="1"/>
        <v>#DIV/0!</v>
      </c>
      <c r="H24" s="14" t="e">
        <f>'Social media Run'!G23/'Social media Run'!B23</f>
        <v>#DIV/0!</v>
      </c>
      <c r="I24" s="81"/>
      <c r="J24" s="81"/>
      <c r="K24" s="15" t="e">
        <f>(VLOOKUP(B24,#REF!,2,0)/"1:00:00")</f>
        <v>#REF!</v>
      </c>
      <c r="L24" s="16" t="e">
        <f t="shared" si="7"/>
        <v>#DIV/0!</v>
      </c>
      <c r="M24" s="11" t="e">
        <f>1-((VLOOKUP(B24,#REF!,2,0)/"1:00:00")/J24)</f>
        <v>#REF!</v>
      </c>
      <c r="N24" s="17"/>
      <c r="O24" s="18">
        <f>TIME(0,'Social media Run'!H23,0)</f>
        <v>0</v>
      </c>
      <c r="P24" s="19" t="e">
        <f>'Social media Run'!D23/'Social media Run'!B23</f>
        <v>#DIV/0!</v>
      </c>
      <c r="R24" s="20"/>
      <c r="S24" s="21"/>
      <c r="U24" s="22">
        <f t="shared" si="8"/>
        <v>0</v>
      </c>
      <c r="V24" s="54"/>
      <c r="W24" s="23"/>
      <c r="X24" s="24"/>
      <c r="Y24" s="25"/>
      <c r="Z24" s="26"/>
      <c r="AC24" s="8">
        <v>0.83333333333333304</v>
      </c>
      <c r="AD24" s="15">
        <f t="shared" si="4"/>
        <v>0</v>
      </c>
      <c r="AE24" s="15">
        <f t="shared" si="5"/>
        <v>1</v>
      </c>
    </row>
    <row r="25" spans="1:38" ht="15" thickBot="1" x14ac:dyDescent="0.4">
      <c r="A25" s="49">
        <v>21</v>
      </c>
      <c r="B25" s="8">
        <v>0.875</v>
      </c>
      <c r="C25" s="9">
        <f>'Social media Run'!B24</f>
        <v>0</v>
      </c>
      <c r="D25" s="81"/>
      <c r="E25" s="11" t="e">
        <f t="shared" si="6"/>
        <v>#DIV/0!</v>
      </c>
      <c r="F25" s="12">
        <f>'Social media Run'!C24</f>
        <v>0</v>
      </c>
      <c r="G25" s="13" t="e">
        <f t="shared" si="1"/>
        <v>#DIV/0!</v>
      </c>
      <c r="H25" s="14" t="e">
        <f>'Social media Run'!G24/'Social media Run'!B24</f>
        <v>#DIV/0!</v>
      </c>
      <c r="I25" s="81"/>
      <c r="J25" s="81"/>
      <c r="K25" s="15" t="e">
        <f>(VLOOKUP(B25,#REF!,2,0)/"1:00:00")</f>
        <v>#REF!</v>
      </c>
      <c r="L25" s="16" t="e">
        <f t="shared" si="7"/>
        <v>#DIV/0!</v>
      </c>
      <c r="M25" s="11" t="e">
        <f>1-((VLOOKUP(B25,#REF!,2,0)/"1:00:00")/J25)</f>
        <v>#REF!</v>
      </c>
      <c r="N25" s="17"/>
      <c r="O25" s="18">
        <f>TIME(0,'Social media Run'!H24,0)</f>
        <v>0</v>
      </c>
      <c r="P25" s="19" t="e">
        <f>'Social media Run'!D24/'Social media Run'!B24</f>
        <v>#DIV/0!</v>
      </c>
      <c r="R25" s="20"/>
      <c r="S25" s="21"/>
      <c r="U25" s="22">
        <f t="shared" si="8"/>
        <v>0</v>
      </c>
      <c r="V25" s="54"/>
      <c r="W25" s="23"/>
      <c r="X25" s="24"/>
      <c r="Y25" s="25"/>
      <c r="Z25" s="26"/>
      <c r="AC25" s="8">
        <v>0.875</v>
      </c>
      <c r="AD25" s="15">
        <f t="shared" si="4"/>
        <v>0</v>
      </c>
      <c r="AE25" s="15">
        <f t="shared" si="5"/>
        <v>1</v>
      </c>
    </row>
    <row r="26" spans="1:38" ht="15" thickBot="1" x14ac:dyDescent="0.4">
      <c r="A26" s="49">
        <v>22</v>
      </c>
      <c r="B26" s="8">
        <v>0.91666666666666696</v>
      </c>
      <c r="C26" s="9">
        <f>'Social media Run'!B25</f>
        <v>0</v>
      </c>
      <c r="D26" s="81"/>
      <c r="E26" s="11" t="e">
        <f t="shared" si="6"/>
        <v>#DIV/0!</v>
      </c>
      <c r="F26" s="12">
        <f>'Social media Run'!C25</f>
        <v>0</v>
      </c>
      <c r="G26" s="13" t="e">
        <f t="shared" si="1"/>
        <v>#DIV/0!</v>
      </c>
      <c r="H26" s="14" t="e">
        <f>'Social media Run'!G25/'Social media Run'!B25</f>
        <v>#DIV/0!</v>
      </c>
      <c r="I26" s="81"/>
      <c r="J26" s="81"/>
      <c r="K26" s="15" t="e">
        <f>(VLOOKUP(B26,#REF!,2,0)/"1:00:00")</f>
        <v>#REF!</v>
      </c>
      <c r="L26" s="16" t="e">
        <f t="shared" si="7"/>
        <v>#DIV/0!</v>
      </c>
      <c r="M26" s="11" t="e">
        <f>1-((VLOOKUP(B26,#REF!,2,0)/"1:00:00")/J26)</f>
        <v>#REF!</v>
      </c>
      <c r="N26" s="17"/>
      <c r="O26" s="18">
        <f>TIME(0,'Social media Run'!H25,0)</f>
        <v>0</v>
      </c>
      <c r="P26" s="19" t="e">
        <f>'Social media Run'!D25/'Social media Run'!B25</f>
        <v>#DIV/0!</v>
      </c>
      <c r="R26" s="20"/>
      <c r="S26" s="21"/>
      <c r="U26" s="22">
        <f t="shared" si="8"/>
        <v>0</v>
      </c>
      <c r="V26" s="54"/>
      <c r="W26" s="23"/>
      <c r="X26" s="24"/>
      <c r="Y26" s="25"/>
      <c r="Z26" s="26"/>
      <c r="AC26" s="8">
        <v>0.91666666666666696</v>
      </c>
      <c r="AD26" s="15">
        <f t="shared" si="4"/>
        <v>0</v>
      </c>
      <c r="AE26" s="15">
        <f t="shared" si="5"/>
        <v>1</v>
      </c>
      <c r="AH26" s="51" t="s">
        <v>34</v>
      </c>
      <c r="AI26" s="52" t="s">
        <v>35</v>
      </c>
      <c r="AJ26" s="52" t="s">
        <v>36</v>
      </c>
      <c r="AL26" t="s">
        <v>37</v>
      </c>
    </row>
    <row r="27" spans="1:38" x14ac:dyDescent="0.35">
      <c r="A27" s="49">
        <v>23</v>
      </c>
      <c r="B27" s="8">
        <v>0.95833333333333304</v>
      </c>
      <c r="C27" s="9">
        <f>'Social media Run'!B26</f>
        <v>0</v>
      </c>
      <c r="D27" s="81"/>
      <c r="E27" s="11" t="e">
        <f t="shared" si="6"/>
        <v>#DIV/0!</v>
      </c>
      <c r="F27" s="12">
        <f>'Social media Run'!C26</f>
        <v>0</v>
      </c>
      <c r="G27" s="13" t="e">
        <f t="shared" si="1"/>
        <v>#DIV/0!</v>
      </c>
      <c r="H27" s="14" t="e">
        <f>'Social media Run'!G26/'Social media Run'!B26</f>
        <v>#DIV/0!</v>
      </c>
      <c r="I27" s="81"/>
      <c r="J27" s="81"/>
      <c r="K27" s="15" t="e">
        <f>(VLOOKUP(B27,#REF!,2,0)/"1:00:00")</f>
        <v>#REF!</v>
      </c>
      <c r="L27" s="16" t="e">
        <f t="shared" si="7"/>
        <v>#DIV/0!</v>
      </c>
      <c r="M27" s="11" t="e">
        <f>1-((VLOOKUP(B27,#REF!,2,0)/"1:00:00")/J27)</f>
        <v>#REF!</v>
      </c>
      <c r="N27" s="17"/>
      <c r="O27" s="18">
        <f>TIME(0,'Social media Run'!H26,0)</f>
        <v>0</v>
      </c>
      <c r="P27" s="19" t="e">
        <f>'Social media Run'!D26/'Social media Run'!B26</f>
        <v>#DIV/0!</v>
      </c>
      <c r="R27" s="20"/>
      <c r="S27" s="21"/>
      <c r="U27" s="22">
        <f t="shared" si="8"/>
        <v>0</v>
      </c>
      <c r="V27" s="54"/>
      <c r="W27" s="23"/>
      <c r="X27" s="24"/>
      <c r="Y27" s="25"/>
      <c r="Z27" s="26"/>
      <c r="AC27" s="8">
        <v>0.95833333333333304</v>
      </c>
      <c r="AD27" s="15">
        <f t="shared" si="4"/>
        <v>0</v>
      </c>
      <c r="AE27" s="15">
        <f t="shared" si="5"/>
        <v>1</v>
      </c>
      <c r="AH27" s="58">
        <v>0.29166666666666669</v>
      </c>
      <c r="AI27" s="58">
        <v>0.33333333333333331</v>
      </c>
      <c r="AJ27" s="57" t="s">
        <v>38</v>
      </c>
      <c r="AL27" s="53" t="s">
        <v>38</v>
      </c>
    </row>
    <row r="28" spans="1:38" x14ac:dyDescent="0.35">
      <c r="B28" s="31"/>
      <c r="C28" s="9"/>
      <c r="D28" s="31"/>
      <c r="E28" s="32">
        <f>COUNTIFS(E4:E27,"&gt;85%",E4:E27,"&lt;115%")</f>
        <v>0</v>
      </c>
      <c r="F28" s="12">
        <f>'Social media Run'!C27</f>
        <v>0</v>
      </c>
      <c r="G28" s="33"/>
      <c r="H28" s="33"/>
      <c r="I28" s="33"/>
      <c r="J28" s="33"/>
      <c r="K28" s="15" t="e">
        <f>(VLOOKUP(B28,#REF!,2,0)/"1:00:00")</f>
        <v>#REF!</v>
      </c>
      <c r="L28" s="33"/>
      <c r="M28" s="33"/>
      <c r="N28" s="31"/>
      <c r="O28" s="31"/>
      <c r="P28" s="31"/>
      <c r="R28" s="34"/>
      <c r="S28" s="35"/>
      <c r="U28" s="31"/>
      <c r="V28" s="36"/>
      <c r="W28" s="37"/>
      <c r="X28" s="37"/>
      <c r="Y28" s="37"/>
      <c r="Z28" s="37"/>
      <c r="AH28" s="58">
        <v>0.33333333333333331</v>
      </c>
      <c r="AI28" s="58">
        <v>0.83333333333333337</v>
      </c>
      <c r="AJ28" s="56" t="s">
        <v>40</v>
      </c>
      <c r="AL28" t="s">
        <v>39</v>
      </c>
    </row>
    <row r="29" spans="1:38" x14ac:dyDescent="0.35">
      <c r="B29" s="38" t="s">
        <v>26</v>
      </c>
      <c r="C29" s="39">
        <f>SUM(C4:C27)</f>
        <v>0</v>
      </c>
      <c r="D29" s="39">
        <f>SUM(D4:D27)</f>
        <v>0</v>
      </c>
      <c r="E29" s="40">
        <f>COUNTIFS(E4:E27,"&gt;=0.80",E4:E27,"&lt;=01.15")/COUNTA(E4:E27)</f>
        <v>0</v>
      </c>
      <c r="F29" s="39">
        <f>SUM(F4:F27)</f>
        <v>0</v>
      </c>
      <c r="G29" s="40" t="e">
        <f>F29/C29</f>
        <v>#DIV/0!</v>
      </c>
      <c r="H29" s="40" t="e">
        <f>'Social media Run'!G30/'Social media Run'!B30</f>
        <v>#DIV/0!</v>
      </c>
      <c r="I29" s="33"/>
      <c r="J29" s="41">
        <f>SUM(J4:J27)</f>
        <v>0</v>
      </c>
      <c r="K29" s="42" t="e">
        <f>SUM(K4:K27)</f>
        <v>#REF!</v>
      </c>
      <c r="M29" s="40" t="e">
        <f>IF((J29-K29)/J29&gt;0,(J29-K29)/J29,0%)</f>
        <v>#REF!</v>
      </c>
      <c r="N29" s="43"/>
      <c r="O29" s="44">
        <f>TIME(0,'Social media Run'!H30,0)</f>
        <v>0</v>
      </c>
      <c r="P29" s="45" t="e">
        <f>'Social media Run'!D30/'Social media Run'!B30</f>
        <v>#DIV/0!</v>
      </c>
      <c r="R29" s="34"/>
      <c r="S29" s="35"/>
      <c r="U29" s="31"/>
      <c r="V29" s="36"/>
      <c r="W29" s="37"/>
      <c r="X29" s="37"/>
      <c r="Y29" s="37"/>
      <c r="Z29" s="37"/>
      <c r="AH29" s="58">
        <v>0.83333333333333337</v>
      </c>
      <c r="AI29" s="58">
        <v>0</v>
      </c>
      <c r="AJ29" s="57" t="s">
        <v>38</v>
      </c>
      <c r="AL29" s="56" t="s">
        <v>40</v>
      </c>
    </row>
    <row r="30" spans="1:38" x14ac:dyDescent="0.35">
      <c r="V30" s="46"/>
    </row>
    <row r="31" spans="1:38" x14ac:dyDescent="0.35">
      <c r="V31" s="46"/>
    </row>
  </sheetData>
  <mergeCells count="14">
    <mergeCell ref="B2:B3"/>
    <mergeCell ref="C2:C3"/>
    <mergeCell ref="D2:E2"/>
    <mergeCell ref="F2:H2"/>
    <mergeCell ref="I2:M2"/>
    <mergeCell ref="AD2:AE2"/>
    <mergeCell ref="U1:Z1"/>
    <mergeCell ref="N2:N3"/>
    <mergeCell ref="O2:O3"/>
    <mergeCell ref="P2:P3"/>
    <mergeCell ref="R2:R3"/>
    <mergeCell ref="S2:S3"/>
    <mergeCell ref="U2:W2"/>
    <mergeCell ref="X2:Z2"/>
  </mergeCells>
  <conditionalFormatting sqref="P4:P27">
    <cfRule type="cellIs" dxfId="228" priority="59" operator="lessThan">
      <formula>0.8</formula>
    </cfRule>
  </conditionalFormatting>
  <conditionalFormatting sqref="E4:E27">
    <cfRule type="cellIs" dxfId="227" priority="57" operator="lessThan">
      <formula>0.8</formula>
    </cfRule>
    <cfRule type="cellIs" dxfId="226" priority="58" operator="greaterThan">
      <formula>1.15</formula>
    </cfRule>
  </conditionalFormatting>
  <conditionalFormatting sqref="M4:M27">
    <cfRule type="cellIs" dxfId="225" priority="51" operator="lessThan">
      <formula>0</formula>
    </cfRule>
    <cfRule type="cellIs" dxfId="224" priority="54" operator="lessThan">
      <formula>0.101111111</formula>
    </cfRule>
    <cfRule type="cellIs" dxfId="223" priority="55" operator="between">
      <formula>0.1</formula>
      <formula>0.201111111</formula>
    </cfRule>
    <cfRule type="cellIs" dxfId="222" priority="56" operator="greaterThan">
      <formula>0.2</formula>
    </cfRule>
  </conditionalFormatting>
  <conditionalFormatting sqref="L4:L27">
    <cfRule type="cellIs" dxfId="221" priority="52" operator="lessThan">
      <formula>0</formula>
    </cfRule>
    <cfRule type="cellIs" dxfId="220" priority="53" operator="greaterThan">
      <formula>0</formula>
    </cfRule>
  </conditionalFormatting>
  <conditionalFormatting sqref="Y4">
    <cfRule type="cellIs" dxfId="219" priority="49" operator="lessThan">
      <formula>$W$4</formula>
    </cfRule>
    <cfRule type="cellIs" dxfId="218" priority="50" operator="greaterThan">
      <formula>$W$4</formula>
    </cfRule>
  </conditionalFormatting>
  <conditionalFormatting sqref="Y6">
    <cfRule type="cellIs" dxfId="217" priority="47" operator="lessThan">
      <formula>$W$6</formula>
    </cfRule>
    <cfRule type="cellIs" dxfId="216" priority="48" operator="greaterThan">
      <formula>$W$6</formula>
    </cfRule>
  </conditionalFormatting>
  <conditionalFormatting sqref="Y7">
    <cfRule type="cellIs" dxfId="215" priority="45" operator="lessThan">
      <formula>$W$7</formula>
    </cfRule>
    <cfRule type="cellIs" dxfId="214" priority="46" operator="greaterThan">
      <formula>$W$7</formula>
    </cfRule>
  </conditionalFormatting>
  <conditionalFormatting sqref="Y8">
    <cfRule type="cellIs" dxfId="213" priority="43" operator="lessThan">
      <formula>$W$8</formula>
    </cfRule>
    <cfRule type="cellIs" dxfId="212" priority="44" operator="greaterThan">
      <formula>$W$8</formula>
    </cfRule>
  </conditionalFormatting>
  <conditionalFormatting sqref="Y9">
    <cfRule type="cellIs" dxfId="211" priority="41" operator="lessThan">
      <formula>$W$9</formula>
    </cfRule>
    <cfRule type="cellIs" dxfId="210" priority="42" operator="greaterThan">
      <formula>$W$9</formula>
    </cfRule>
  </conditionalFormatting>
  <conditionalFormatting sqref="Y10">
    <cfRule type="cellIs" dxfId="209" priority="39" operator="lessThan">
      <formula>$W$10</formula>
    </cfRule>
    <cfRule type="cellIs" dxfId="208" priority="40" operator="greaterThan">
      <formula>$W$10</formula>
    </cfRule>
  </conditionalFormatting>
  <conditionalFormatting sqref="Y11">
    <cfRule type="cellIs" dxfId="207" priority="37" operator="lessThan">
      <formula>$W$11</formula>
    </cfRule>
    <cfRule type="cellIs" dxfId="206" priority="38" operator="greaterThan">
      <formula>$W$11</formula>
    </cfRule>
  </conditionalFormatting>
  <conditionalFormatting sqref="Y12">
    <cfRule type="cellIs" dxfId="205" priority="35" operator="lessThan">
      <formula>$W$12</formula>
    </cfRule>
    <cfRule type="cellIs" dxfId="204" priority="36" operator="greaterThan">
      <formula>$W$12</formula>
    </cfRule>
  </conditionalFormatting>
  <conditionalFormatting sqref="Y13">
    <cfRule type="cellIs" dxfId="203" priority="33" operator="lessThan">
      <formula>$W$13</formula>
    </cfRule>
    <cfRule type="cellIs" dxfId="202" priority="34" operator="greaterThan">
      <formula>$W$13</formula>
    </cfRule>
  </conditionalFormatting>
  <conditionalFormatting sqref="Y14">
    <cfRule type="cellIs" dxfId="201" priority="31" operator="lessThan">
      <formula>$W$14</formula>
    </cfRule>
    <cfRule type="cellIs" dxfId="200" priority="32" operator="greaterThan">
      <formula>$W$14</formula>
    </cfRule>
  </conditionalFormatting>
  <conditionalFormatting sqref="Y15">
    <cfRule type="cellIs" dxfId="199" priority="29" operator="lessThan">
      <formula>$W$15</formula>
    </cfRule>
    <cfRule type="cellIs" dxfId="198" priority="30" operator="greaterThan">
      <formula>$W$15</formula>
    </cfRule>
  </conditionalFormatting>
  <conditionalFormatting sqref="Y16">
    <cfRule type="cellIs" dxfId="197" priority="27" operator="lessThan">
      <formula>$W$16</formula>
    </cfRule>
    <cfRule type="cellIs" dxfId="196" priority="28" operator="greaterThan">
      <formula>$W$16</formula>
    </cfRule>
  </conditionalFormatting>
  <conditionalFormatting sqref="Y17">
    <cfRule type="cellIs" dxfId="195" priority="25" operator="lessThan">
      <formula>$W$17</formula>
    </cfRule>
    <cfRule type="cellIs" dxfId="194" priority="26" operator="greaterThan">
      <formula>$W$17</formula>
    </cfRule>
  </conditionalFormatting>
  <conditionalFormatting sqref="Y18">
    <cfRule type="cellIs" dxfId="193" priority="23" operator="lessThan">
      <formula>$W$18</formula>
    </cfRule>
    <cfRule type="cellIs" dxfId="192" priority="24" operator="greaterThan">
      <formula>$W$18</formula>
    </cfRule>
  </conditionalFormatting>
  <conditionalFormatting sqref="Y19">
    <cfRule type="cellIs" dxfId="191" priority="21" operator="lessThan">
      <formula>$W$19</formula>
    </cfRule>
    <cfRule type="cellIs" dxfId="190" priority="22" operator="greaterThan">
      <formula>$W$19</formula>
    </cfRule>
  </conditionalFormatting>
  <conditionalFormatting sqref="Y20">
    <cfRule type="cellIs" dxfId="189" priority="19" operator="lessThan">
      <formula>$W$20</formula>
    </cfRule>
    <cfRule type="cellIs" dxfId="188" priority="20" operator="greaterThan">
      <formula>$W$20</formula>
    </cfRule>
  </conditionalFormatting>
  <conditionalFormatting sqref="Y21">
    <cfRule type="cellIs" dxfId="187" priority="17" operator="lessThan">
      <formula>$W$21</formula>
    </cfRule>
    <cfRule type="cellIs" dxfId="186" priority="18" operator="greaterThan">
      <formula>$W$21</formula>
    </cfRule>
  </conditionalFormatting>
  <conditionalFormatting sqref="Y22">
    <cfRule type="cellIs" dxfId="185" priority="15" operator="lessThan">
      <formula>$W$22</formula>
    </cfRule>
    <cfRule type="cellIs" dxfId="184" priority="16" operator="greaterThan">
      <formula>$W$22</formula>
    </cfRule>
  </conditionalFormatting>
  <conditionalFormatting sqref="Y23">
    <cfRule type="cellIs" dxfId="183" priority="13" operator="lessThan">
      <formula>$W$23</formula>
    </cfRule>
    <cfRule type="cellIs" dxfId="182" priority="14" operator="greaterThan">
      <formula>$W$23</formula>
    </cfRule>
  </conditionalFormatting>
  <conditionalFormatting sqref="Y24">
    <cfRule type="cellIs" dxfId="181" priority="11" operator="lessThan">
      <formula>$W$24</formula>
    </cfRule>
    <cfRule type="cellIs" dxfId="180" priority="12" operator="greaterThan">
      <formula>$W$24</formula>
    </cfRule>
  </conditionalFormatting>
  <conditionalFormatting sqref="Y25">
    <cfRule type="cellIs" dxfId="179" priority="9" operator="lessThan">
      <formula>$W$25</formula>
    </cfRule>
    <cfRule type="cellIs" dxfId="178" priority="10" operator="greaterThan">
      <formula>$W$25</formula>
    </cfRule>
  </conditionalFormatting>
  <conditionalFormatting sqref="Y26">
    <cfRule type="cellIs" dxfId="177" priority="7" operator="lessThan">
      <formula>$W$26</formula>
    </cfRule>
    <cfRule type="cellIs" dxfId="176" priority="8" operator="greaterThan">
      <formula>$W$26</formula>
    </cfRule>
  </conditionalFormatting>
  <conditionalFormatting sqref="Y27">
    <cfRule type="cellIs" dxfId="175" priority="5" operator="lessThan">
      <formula>$W$27</formula>
    </cfRule>
    <cfRule type="cellIs" dxfId="174" priority="6" operator="greaterThan">
      <formula>$W$27</formula>
    </cfRule>
  </conditionalFormatting>
  <conditionalFormatting sqref="Y5">
    <cfRule type="cellIs" dxfId="173" priority="3" operator="lessThan">
      <formula>$W$5</formula>
    </cfRule>
    <cfRule type="cellIs" dxfId="172" priority="4" operator="greaterThan">
      <formula>$W$5</formula>
    </cfRule>
  </conditionalFormatting>
  <conditionalFormatting sqref="O4:O27">
    <cfRule type="cellIs" dxfId="171" priority="1" operator="greaterThan">
      <formula>$B$1</formula>
    </cfRule>
  </conditionalFormatting>
  <dataValidations count="2">
    <dataValidation type="list" errorStyle="information" allowBlank="1" showInputMessage="1" showErrorMessage="1" error="You Are about to change the Drop menu !!" sqref="R1:R3 R28:R1048576" xr:uid="{FA66D45E-E17B-450A-AEB6-4FBBAF02445B}">
      <formula1>"Off Phone Activities Without alignment( ),High AHT,High Talk time,Unplaned Breaks,Staff Shortage,High Abs ( %),High Call Traffic,Low AHT,Low Traffic Calls,Staff Over Demanded,Staff Under Demand"</formula1>
    </dataValidation>
    <dataValidation type="list" errorStyle="information" allowBlank="1" showInputMessage="1" showErrorMessage="1" error="&quot;you are about to edit the dropp menu be carefull &quot; !!" sqref="R4:R27" xr:uid="{DF0E016E-80C9-4A47-8D2F-8E718C5D6EE4}">
      <formula1>"Unplanned Off Phone Activities(""""),Lack of break adherence,High AHT,Low AHT,High Abs (  %),Staff Over Demanded,Staff Under Demand,Staff Shortage,Unplanned Breaks,exceeding Breaks,High Traffic Chats,Low Traffic Chats"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22C35-B8EF-4435-985B-549D00559219}">
  <sheetPr codeName="Sheet4">
    <tabColor rgb="FF00B050"/>
  </sheetPr>
  <dimension ref="A2:H30"/>
  <sheetViews>
    <sheetView workbookViewId="0">
      <selection activeCell="A3" sqref="A3:E26"/>
    </sheetView>
  </sheetViews>
  <sheetFormatPr defaultRowHeight="14.5" x14ac:dyDescent="0.35"/>
  <cols>
    <col min="4" max="4" width="9.54296875" bestFit="1" customWidth="1"/>
    <col min="7" max="7" width="8.54296875" style="49"/>
  </cols>
  <sheetData>
    <row r="2" spans="1:8" x14ac:dyDescent="0.35">
      <c r="A2" t="s">
        <v>27</v>
      </c>
      <c r="B2" t="s">
        <v>28</v>
      </c>
      <c r="C2" t="s">
        <v>29</v>
      </c>
      <c r="D2" t="s">
        <v>30</v>
      </c>
      <c r="E2" t="s">
        <v>1</v>
      </c>
      <c r="G2" s="49" t="s">
        <v>31</v>
      </c>
      <c r="H2" t="s">
        <v>1</v>
      </c>
    </row>
    <row r="3" spans="1:8" x14ac:dyDescent="0.35">
      <c r="G3" s="49">
        <f>B3-C3</f>
        <v>0</v>
      </c>
      <c r="H3" t="str">
        <f>IFERROR(IFERROR(IFERROR(IFERROR(TIME(LEFT(E3,FIND("h",E3,1)-1),REPLACE(RIGHT(E3,FIND("h ",E3,1)+4),3,5,""),0),TIME(LEFT(E3,FIND("h",E3,1)-1),REPLACE(RIGHT(E3,FIND("h ",E3,1)+5),3,5,""),0)),TIME(0,LEFT(E3,FIND("m",E3,1)-1),0)),"-")*24*60,"0")</f>
        <v>0</v>
      </c>
    </row>
    <row r="4" spans="1:8" x14ac:dyDescent="0.35">
      <c r="G4" s="49">
        <f t="shared" ref="G4:G26" si="0">B4-C4</f>
        <v>0</v>
      </c>
      <c r="H4" t="str">
        <f t="shared" ref="H4:H26" si="1">IFERROR(IFERROR(IFERROR(IFERROR(TIME(LEFT(E4,FIND("h",E4,1)-1),REPLACE(RIGHT(E4,FIND("h ",E4,1)+4),3,5,""),0),TIME(LEFT(E4,FIND("h",E4,1)-1),REPLACE(RIGHT(E4,FIND("h ",E4,1)+5),3,5,""),0)),TIME(0,LEFT(E4,FIND("m",E4,1)-1),0)),"-")*24*60,"0")</f>
        <v>0</v>
      </c>
    </row>
    <row r="5" spans="1:8" x14ac:dyDescent="0.35">
      <c r="G5" s="49">
        <f t="shared" si="0"/>
        <v>0</v>
      </c>
      <c r="H5" t="str">
        <f t="shared" si="1"/>
        <v>0</v>
      </c>
    </row>
    <row r="6" spans="1:8" x14ac:dyDescent="0.35">
      <c r="G6" s="49">
        <f t="shared" si="0"/>
        <v>0</v>
      </c>
      <c r="H6" t="str">
        <f t="shared" si="1"/>
        <v>0</v>
      </c>
    </row>
    <row r="7" spans="1:8" x14ac:dyDescent="0.35">
      <c r="G7" s="49">
        <f t="shared" si="0"/>
        <v>0</v>
      </c>
      <c r="H7" t="str">
        <f t="shared" si="1"/>
        <v>0</v>
      </c>
    </row>
    <row r="8" spans="1:8" x14ac:dyDescent="0.35">
      <c r="G8" s="49">
        <f t="shared" si="0"/>
        <v>0</v>
      </c>
      <c r="H8" t="str">
        <f t="shared" si="1"/>
        <v>0</v>
      </c>
    </row>
    <row r="9" spans="1:8" x14ac:dyDescent="0.35">
      <c r="G9" s="49">
        <f t="shared" si="0"/>
        <v>0</v>
      </c>
      <c r="H9" t="str">
        <f t="shared" si="1"/>
        <v>0</v>
      </c>
    </row>
    <row r="10" spans="1:8" x14ac:dyDescent="0.35">
      <c r="G10" s="49">
        <f t="shared" si="0"/>
        <v>0</v>
      </c>
      <c r="H10" t="str">
        <f t="shared" si="1"/>
        <v>0</v>
      </c>
    </row>
    <row r="11" spans="1:8" x14ac:dyDescent="0.35">
      <c r="G11" s="49">
        <f t="shared" si="0"/>
        <v>0</v>
      </c>
      <c r="H11" t="str">
        <f t="shared" si="1"/>
        <v>0</v>
      </c>
    </row>
    <row r="12" spans="1:8" x14ac:dyDescent="0.35">
      <c r="G12" s="49">
        <f t="shared" si="0"/>
        <v>0</v>
      </c>
      <c r="H12" t="str">
        <f t="shared" si="1"/>
        <v>0</v>
      </c>
    </row>
    <row r="13" spans="1:8" x14ac:dyDescent="0.35">
      <c r="G13" s="49">
        <f t="shared" si="0"/>
        <v>0</v>
      </c>
      <c r="H13" t="str">
        <f t="shared" si="1"/>
        <v>0</v>
      </c>
    </row>
    <row r="14" spans="1:8" x14ac:dyDescent="0.35">
      <c r="G14" s="49">
        <f t="shared" si="0"/>
        <v>0</v>
      </c>
      <c r="H14" t="str">
        <f t="shared" si="1"/>
        <v>0</v>
      </c>
    </row>
    <row r="15" spans="1:8" x14ac:dyDescent="0.35">
      <c r="G15" s="49">
        <f t="shared" si="0"/>
        <v>0</v>
      </c>
      <c r="H15" t="str">
        <f t="shared" si="1"/>
        <v>0</v>
      </c>
    </row>
    <row r="16" spans="1:8" x14ac:dyDescent="0.35">
      <c r="G16" s="49">
        <f t="shared" si="0"/>
        <v>0</v>
      </c>
      <c r="H16" t="str">
        <f t="shared" si="1"/>
        <v>0</v>
      </c>
    </row>
    <row r="17" spans="2:8" x14ac:dyDescent="0.35">
      <c r="G17" s="49">
        <f t="shared" si="0"/>
        <v>0</v>
      </c>
      <c r="H17" t="str">
        <f t="shared" si="1"/>
        <v>0</v>
      </c>
    </row>
    <row r="18" spans="2:8" x14ac:dyDescent="0.35">
      <c r="G18" s="49">
        <f t="shared" si="0"/>
        <v>0</v>
      </c>
      <c r="H18" t="str">
        <f t="shared" si="1"/>
        <v>0</v>
      </c>
    </row>
    <row r="19" spans="2:8" x14ac:dyDescent="0.35">
      <c r="G19" s="49">
        <f t="shared" si="0"/>
        <v>0</v>
      </c>
      <c r="H19" t="str">
        <f t="shared" si="1"/>
        <v>0</v>
      </c>
    </row>
    <row r="20" spans="2:8" x14ac:dyDescent="0.35">
      <c r="G20" s="49">
        <f t="shared" si="0"/>
        <v>0</v>
      </c>
      <c r="H20" t="str">
        <f t="shared" si="1"/>
        <v>0</v>
      </c>
    </row>
    <row r="21" spans="2:8" x14ac:dyDescent="0.35">
      <c r="G21" s="49">
        <f t="shared" si="0"/>
        <v>0</v>
      </c>
      <c r="H21" t="str">
        <f t="shared" si="1"/>
        <v>0</v>
      </c>
    </row>
    <row r="22" spans="2:8" x14ac:dyDescent="0.35">
      <c r="G22" s="49">
        <f t="shared" si="0"/>
        <v>0</v>
      </c>
      <c r="H22" t="str">
        <f t="shared" si="1"/>
        <v>0</v>
      </c>
    </row>
    <row r="23" spans="2:8" x14ac:dyDescent="0.35">
      <c r="G23" s="49">
        <f t="shared" si="0"/>
        <v>0</v>
      </c>
      <c r="H23" t="str">
        <f t="shared" si="1"/>
        <v>0</v>
      </c>
    </row>
    <row r="24" spans="2:8" x14ac:dyDescent="0.35">
      <c r="G24" s="49">
        <f t="shared" si="0"/>
        <v>0</v>
      </c>
      <c r="H24" t="str">
        <f t="shared" si="1"/>
        <v>0</v>
      </c>
    </row>
    <row r="25" spans="2:8" x14ac:dyDescent="0.35">
      <c r="G25" s="49">
        <f t="shared" si="0"/>
        <v>0</v>
      </c>
      <c r="H25" t="str">
        <f t="shared" si="1"/>
        <v>0</v>
      </c>
    </row>
    <row r="26" spans="2:8" x14ac:dyDescent="0.35">
      <c r="G26" s="49">
        <f t="shared" si="0"/>
        <v>0</v>
      </c>
      <c r="H26" t="str">
        <f t="shared" si="1"/>
        <v>0</v>
      </c>
    </row>
    <row r="30" spans="2:8" x14ac:dyDescent="0.35">
      <c r="B30" s="76"/>
      <c r="C30" s="76"/>
      <c r="D30" s="76"/>
      <c r="E30" s="76"/>
      <c r="F30">
        <f t="shared" ref="F30:G30" si="2">SUM(F3:F26)</f>
        <v>0</v>
      </c>
      <c r="G30">
        <f t="shared" si="2"/>
        <v>0</v>
      </c>
      <c r="H30" t="str">
        <f t="shared" ref="H30" si="3">IFERROR(IFERROR(IFERROR(IFERROR(TIME(LEFT(E30,FIND("h",E30,1)-1),REPLACE(RIGHT(E30,FIND("h ",E30,1)+4),3,5,""),0),TIME(LEFT(E30,FIND("h",E30,1)-1),REPLACE(RIGHT(E30,FIND("h ",E30,1)+5),3,5,""),0)),TIME(0,LEFT(E30,FIND("m",E30,1)-1),0)),"-")*24*60,"0")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D46D3-D9EA-490E-8D88-A7F49EA6862B}">
  <sheetPr codeName="Sheet5"/>
  <dimension ref="A1:AH31"/>
  <sheetViews>
    <sheetView workbookViewId="0">
      <selection activeCell="N16" sqref="N16"/>
    </sheetView>
  </sheetViews>
  <sheetFormatPr defaultRowHeight="14.5" x14ac:dyDescent="0.35"/>
  <cols>
    <col min="1" max="1" width="8.54296875" style="49"/>
    <col min="3" max="3" width="9.453125" customWidth="1"/>
    <col min="4" max="4" width="3.81640625" bestFit="1" customWidth="1"/>
    <col min="5" max="5" width="9.453125" customWidth="1"/>
    <col min="8" max="8" width="5.453125" bestFit="1" customWidth="1"/>
    <col min="9" max="9" width="7.453125" bestFit="1" customWidth="1"/>
    <col min="10" max="10" width="5.1796875" style="59" bestFit="1" customWidth="1"/>
    <col min="11" max="11" width="3.81640625" hidden="1" customWidth="1"/>
    <col min="13" max="13" width="1.54296875" customWidth="1"/>
    <col min="14" max="14" width="21.453125" style="3" customWidth="1"/>
    <col min="15" max="15" width="21.453125" customWidth="1"/>
    <col min="16" max="16" width="1.453125" customWidth="1"/>
    <col min="17" max="17" width="3.453125" bestFit="1" customWidth="1"/>
    <col min="18" max="18" width="3.54296875" bestFit="1" customWidth="1"/>
    <col min="19" max="19" width="7" customWidth="1"/>
    <col min="20" max="21" width="6.453125" bestFit="1" customWidth="1"/>
    <col min="22" max="22" width="7" customWidth="1"/>
    <col min="23" max="23" width="9.453125" customWidth="1"/>
    <col min="24" max="24" width="9.54296875" customWidth="1"/>
    <col min="32" max="32" width="43" bestFit="1" customWidth="1"/>
  </cols>
  <sheetData>
    <row r="1" spans="1:28" ht="15" thickBot="1" x14ac:dyDescent="0.4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Q1" s="122" t="s">
        <v>0</v>
      </c>
      <c r="R1" s="122"/>
      <c r="S1" s="122"/>
      <c r="T1" s="122"/>
      <c r="U1" s="122"/>
      <c r="V1" s="122"/>
    </row>
    <row r="2" spans="1:28" ht="15" customHeight="1" x14ac:dyDescent="0.35">
      <c r="B2" s="130" t="s">
        <v>2</v>
      </c>
      <c r="C2" s="132" t="s">
        <v>3</v>
      </c>
      <c r="D2" s="134" t="s">
        <v>4</v>
      </c>
      <c r="E2" s="135"/>
      <c r="F2" s="134" t="s">
        <v>6</v>
      </c>
      <c r="G2" s="136"/>
      <c r="H2" s="136"/>
      <c r="I2" s="136"/>
      <c r="J2" s="135"/>
      <c r="K2" s="127" t="s">
        <v>7</v>
      </c>
      <c r="L2" s="128" t="s">
        <v>9</v>
      </c>
      <c r="N2" s="118" t="s">
        <v>10</v>
      </c>
      <c r="O2" s="119" t="s">
        <v>11</v>
      </c>
      <c r="Q2" s="120" t="s">
        <v>12</v>
      </c>
      <c r="R2" s="120"/>
      <c r="S2" s="120"/>
      <c r="T2" s="121" t="s">
        <v>13</v>
      </c>
      <c r="U2" s="121"/>
      <c r="V2" s="121"/>
      <c r="Z2" s="117" t="s">
        <v>32</v>
      </c>
      <c r="AA2" s="117"/>
    </row>
    <row r="3" spans="1:28" ht="14.5" customHeight="1" thickBot="1" x14ac:dyDescent="0.4">
      <c r="B3" s="131"/>
      <c r="C3" s="133"/>
      <c r="D3" s="4" t="s">
        <v>14</v>
      </c>
      <c r="E3" s="5" t="s">
        <v>15</v>
      </c>
      <c r="F3" s="4" t="s">
        <v>18</v>
      </c>
      <c r="G3" s="6" t="s">
        <v>19</v>
      </c>
      <c r="H3" s="47" t="s">
        <v>20</v>
      </c>
      <c r="I3" s="6" t="s">
        <v>21</v>
      </c>
      <c r="J3" s="112" t="s">
        <v>22</v>
      </c>
      <c r="K3" s="125"/>
      <c r="L3" s="129"/>
      <c r="N3" s="118"/>
      <c r="O3" s="119"/>
      <c r="Q3" s="7" t="s">
        <v>23</v>
      </c>
      <c r="R3" s="7" t="s">
        <v>24</v>
      </c>
      <c r="S3" s="7" t="s">
        <v>25</v>
      </c>
      <c r="T3" s="48" t="s">
        <v>23</v>
      </c>
      <c r="U3" s="48" t="s">
        <v>24</v>
      </c>
      <c r="V3" s="48" t="s">
        <v>25</v>
      </c>
      <c r="Y3" s="6" t="s">
        <v>2</v>
      </c>
      <c r="Z3" s="6" t="str">
        <f t="shared" ref="Z3:Z27" si="0">F3</f>
        <v>Demand</v>
      </c>
      <c r="AA3" s="6" t="s">
        <v>33</v>
      </c>
    </row>
    <row r="4" spans="1:28" hidden="1" x14ac:dyDescent="0.35">
      <c r="A4" s="49">
        <v>0</v>
      </c>
      <c r="B4" s="8">
        <v>0</v>
      </c>
      <c r="C4" s="9">
        <f>'Email run'!B3</f>
        <v>0</v>
      </c>
      <c r="D4" s="81"/>
      <c r="E4" s="11" t="e">
        <f>C4/D4</f>
        <v>#DIV/0!</v>
      </c>
      <c r="F4" s="81"/>
      <c r="G4" s="81"/>
      <c r="H4" s="15" t="e">
        <f>(VLOOKUP(B4,#REF!,4,0)/"1:00:00")</f>
        <v>#REF!</v>
      </c>
      <c r="I4" s="16" t="e">
        <f>(G4-F4)/F4</f>
        <v>#DIV/0!</v>
      </c>
      <c r="J4" s="11" t="e">
        <f>1-(((VLOOKUP(B4,#REF!,4,0)/"1:00:00")/G4))</f>
        <v>#REF!</v>
      </c>
      <c r="K4" s="17"/>
      <c r="L4" s="19" t="e">
        <f>'Email run'!D3/'Email run'!B3</f>
        <v>#DIV/0!</v>
      </c>
      <c r="N4" s="20"/>
      <c r="O4" s="21"/>
      <c r="Q4" s="22">
        <f>G4</f>
        <v>0</v>
      </c>
      <c r="R4" s="54"/>
      <c r="S4" s="23"/>
      <c r="T4" s="24"/>
      <c r="U4" s="25"/>
      <c r="V4" s="26"/>
      <c r="Y4" s="8">
        <v>0</v>
      </c>
      <c r="Z4" s="15">
        <f t="shared" si="0"/>
        <v>0</v>
      </c>
      <c r="AA4" s="15">
        <f t="shared" ref="AA4:AA27" si="1">IF(G4-SUM(R4:S4)&lt;=0,1,G4-SUM(R4:S4))</f>
        <v>1</v>
      </c>
      <c r="AB4" s="50"/>
    </row>
    <row r="5" spans="1:28" hidden="1" x14ac:dyDescent="0.35">
      <c r="A5" s="49">
        <v>1</v>
      </c>
      <c r="B5" s="8">
        <v>4.1666666666666699E-2</v>
      </c>
      <c r="C5" s="9">
        <f>'Email run'!B4</f>
        <v>0</v>
      </c>
      <c r="D5" s="81"/>
      <c r="E5" s="11" t="e">
        <f t="shared" ref="E5" si="2">C5/D5</f>
        <v>#DIV/0!</v>
      </c>
      <c r="F5" s="81"/>
      <c r="G5" s="81"/>
      <c r="H5" s="15" t="e">
        <f>(VLOOKUP(B5,#REF!,4,0)/"1:00:00")</f>
        <v>#REF!</v>
      </c>
      <c r="I5" s="16" t="e">
        <f t="shared" ref="I5" si="3">(G5-F5)/F5</f>
        <v>#DIV/0!</v>
      </c>
      <c r="J5" s="11" t="e">
        <f>1-(((VLOOKUP(B5,#REF!,4,0)/"1:00:00")/G5))</f>
        <v>#REF!</v>
      </c>
      <c r="K5" s="17"/>
      <c r="L5" s="19" t="e">
        <f>'Email run'!D4/'Email run'!B4</f>
        <v>#DIV/0!</v>
      </c>
      <c r="N5" s="20"/>
      <c r="O5" s="21"/>
      <c r="Q5" s="22">
        <f>G5</f>
        <v>0</v>
      </c>
      <c r="R5" s="54"/>
      <c r="S5" s="23"/>
      <c r="T5" s="24"/>
      <c r="U5" s="25"/>
      <c r="V5" s="26"/>
      <c r="Y5" s="8">
        <v>4.1666666666666699E-2</v>
      </c>
      <c r="Z5" s="15">
        <f t="shared" si="0"/>
        <v>0</v>
      </c>
      <c r="AA5" s="15">
        <f t="shared" si="1"/>
        <v>1</v>
      </c>
    </row>
    <row r="6" spans="1:28" hidden="1" x14ac:dyDescent="0.35">
      <c r="A6" s="49">
        <v>2</v>
      </c>
      <c r="B6" s="8">
        <v>8.3333333333333301E-2</v>
      </c>
      <c r="C6" s="9">
        <f>'Email run'!B5</f>
        <v>0</v>
      </c>
      <c r="D6" s="81"/>
      <c r="E6" s="11" t="e">
        <f>C6/D6</f>
        <v>#DIV/0!</v>
      </c>
      <c r="F6" s="81"/>
      <c r="G6" s="81"/>
      <c r="H6" s="15" t="e">
        <f>(VLOOKUP(B6,#REF!,4,0)/"1:00:00")</f>
        <v>#REF!</v>
      </c>
      <c r="I6" s="16" t="e">
        <f>(G6-F6)/F6</f>
        <v>#DIV/0!</v>
      </c>
      <c r="J6" s="11" t="e">
        <f>1-(((VLOOKUP(B6,#REF!,4,0)/"1:00:00")/G6))</f>
        <v>#REF!</v>
      </c>
      <c r="K6" s="17"/>
      <c r="L6" s="19" t="e">
        <f>'Email run'!D5/'Email run'!B5</f>
        <v>#DIV/0!</v>
      </c>
      <c r="N6" s="20"/>
      <c r="O6" s="21"/>
      <c r="Q6" s="22">
        <f>G6</f>
        <v>0</v>
      </c>
      <c r="R6" s="54"/>
      <c r="S6" s="23"/>
      <c r="T6" s="24"/>
      <c r="U6" s="25"/>
      <c r="V6" s="26"/>
      <c r="Y6" s="8">
        <v>8.3333333333333301E-2</v>
      </c>
      <c r="Z6" s="15">
        <f t="shared" si="0"/>
        <v>0</v>
      </c>
      <c r="AA6" s="15">
        <f t="shared" si="1"/>
        <v>1</v>
      </c>
    </row>
    <row r="7" spans="1:28" hidden="1" x14ac:dyDescent="0.35">
      <c r="A7" s="49">
        <v>3</v>
      </c>
      <c r="B7" s="8">
        <v>0.125</v>
      </c>
      <c r="C7" s="9">
        <f>'Email run'!B6</f>
        <v>0</v>
      </c>
      <c r="D7" s="81"/>
      <c r="E7" s="11" t="e">
        <f t="shared" ref="E7:E27" si="4">C7/D7</f>
        <v>#DIV/0!</v>
      </c>
      <c r="F7" s="81"/>
      <c r="G7" s="81"/>
      <c r="H7" s="15" t="e">
        <f>(VLOOKUP(B7,#REF!,4,0)/"1:00:00")</f>
        <v>#REF!</v>
      </c>
      <c r="I7" s="16" t="e">
        <f t="shared" ref="I7:I27" si="5">(G7-F7)/F7</f>
        <v>#DIV/0!</v>
      </c>
      <c r="J7" s="11" t="e">
        <f>1-(((VLOOKUP(B7,#REF!,4,0)/"1:00:00")/G7))</f>
        <v>#REF!</v>
      </c>
      <c r="K7" s="17"/>
      <c r="L7" s="19" t="e">
        <f>'Email run'!D6/'Email run'!B6</f>
        <v>#DIV/0!</v>
      </c>
      <c r="N7" s="20"/>
      <c r="O7" s="21"/>
      <c r="Q7" s="22">
        <f t="shared" ref="Q7:Q27" si="6">G7</f>
        <v>0</v>
      </c>
      <c r="R7" s="54"/>
      <c r="S7" s="23"/>
      <c r="T7" s="24"/>
      <c r="U7" s="25"/>
      <c r="V7" s="26"/>
      <c r="Y7" s="8">
        <v>0.125</v>
      </c>
      <c r="Z7" s="15">
        <f t="shared" si="0"/>
        <v>0</v>
      </c>
      <c r="AA7" s="15">
        <f t="shared" si="1"/>
        <v>1</v>
      </c>
    </row>
    <row r="8" spans="1:28" hidden="1" x14ac:dyDescent="0.35">
      <c r="A8" s="49">
        <v>4</v>
      </c>
      <c r="B8" s="8">
        <v>0.16666666666666699</v>
      </c>
      <c r="C8" s="9">
        <f>'Email run'!B7</f>
        <v>0</v>
      </c>
      <c r="D8" s="81"/>
      <c r="E8" s="11" t="e">
        <f t="shared" si="4"/>
        <v>#DIV/0!</v>
      </c>
      <c r="F8" s="81"/>
      <c r="G8" s="81"/>
      <c r="H8" s="15" t="e">
        <f>(VLOOKUP(B8,#REF!,4,0)/"1:00:00")</f>
        <v>#REF!</v>
      </c>
      <c r="I8" s="16" t="e">
        <f t="shared" si="5"/>
        <v>#DIV/0!</v>
      </c>
      <c r="J8" s="11" t="e">
        <f>1-(((VLOOKUP(B8,#REF!,4,0)/"1:00:00")/G8))</f>
        <v>#REF!</v>
      </c>
      <c r="K8" s="17"/>
      <c r="L8" s="19" t="e">
        <f>'Email run'!D7/'Email run'!B7</f>
        <v>#DIV/0!</v>
      </c>
      <c r="N8" s="20"/>
      <c r="O8" s="21"/>
      <c r="Q8" s="22">
        <f t="shared" si="6"/>
        <v>0</v>
      </c>
      <c r="R8" s="54"/>
      <c r="S8" s="23"/>
      <c r="T8" s="24"/>
      <c r="U8" s="25"/>
      <c r="V8" s="26"/>
      <c r="Y8" s="8">
        <v>0.16666666666666699</v>
      </c>
      <c r="Z8" s="15">
        <f t="shared" si="0"/>
        <v>0</v>
      </c>
      <c r="AA8" s="15">
        <f t="shared" si="1"/>
        <v>1</v>
      </c>
    </row>
    <row r="9" spans="1:28" hidden="1" x14ac:dyDescent="0.35">
      <c r="A9" s="49">
        <v>5</v>
      </c>
      <c r="B9" s="8">
        <v>0.20833333333333301</v>
      </c>
      <c r="C9" s="9">
        <f>'Email run'!B8</f>
        <v>0</v>
      </c>
      <c r="D9" s="81"/>
      <c r="E9" s="11" t="e">
        <f t="shared" si="4"/>
        <v>#DIV/0!</v>
      </c>
      <c r="F9" s="81"/>
      <c r="G9" s="81"/>
      <c r="H9" s="15" t="e">
        <f>(VLOOKUP(B9,#REF!,4,0)/"1:00:00")</f>
        <v>#REF!</v>
      </c>
      <c r="I9" s="16" t="e">
        <f t="shared" si="5"/>
        <v>#DIV/0!</v>
      </c>
      <c r="J9" s="11" t="e">
        <f>1-(((VLOOKUP(B9,#REF!,4,0)/"1:00:00")/G9))</f>
        <v>#REF!</v>
      </c>
      <c r="K9" s="17"/>
      <c r="L9" s="19" t="e">
        <f>'Email run'!D8/'Email run'!B8</f>
        <v>#DIV/0!</v>
      </c>
      <c r="N9" s="20"/>
      <c r="O9" s="21"/>
      <c r="Q9" s="22">
        <f t="shared" si="6"/>
        <v>0</v>
      </c>
      <c r="R9" s="54"/>
      <c r="S9" s="23"/>
      <c r="T9" s="24"/>
      <c r="U9" s="25"/>
      <c r="V9" s="26"/>
      <c r="Y9" s="8">
        <v>0.20833333333333301</v>
      </c>
      <c r="Z9" s="15">
        <f t="shared" si="0"/>
        <v>0</v>
      </c>
      <c r="AA9" s="15">
        <f t="shared" si="1"/>
        <v>1</v>
      </c>
    </row>
    <row r="10" spans="1:28" hidden="1" x14ac:dyDescent="0.35">
      <c r="A10" s="49">
        <v>6</v>
      </c>
      <c r="B10" s="8">
        <v>0.25</v>
      </c>
      <c r="C10" s="9">
        <f>'Email run'!B9</f>
        <v>0</v>
      </c>
      <c r="D10" s="81"/>
      <c r="E10" s="11" t="e">
        <f t="shared" si="4"/>
        <v>#DIV/0!</v>
      </c>
      <c r="F10" s="81"/>
      <c r="G10" s="81"/>
      <c r="H10" s="15" t="e">
        <f>(VLOOKUP(B10,#REF!,4,0)/"1:00:00")</f>
        <v>#REF!</v>
      </c>
      <c r="I10" s="16" t="e">
        <f t="shared" si="5"/>
        <v>#DIV/0!</v>
      </c>
      <c r="J10" s="11" t="e">
        <f>1-(((VLOOKUP(B10,#REF!,4,0)/"1:00:00")/G10))</f>
        <v>#REF!</v>
      </c>
      <c r="K10" s="17"/>
      <c r="L10" s="19" t="e">
        <f>'Email run'!D9/'Email run'!B9</f>
        <v>#DIV/0!</v>
      </c>
      <c r="N10" s="20"/>
      <c r="O10" s="21"/>
      <c r="Q10" s="22">
        <f t="shared" si="6"/>
        <v>0</v>
      </c>
      <c r="R10" s="54"/>
      <c r="S10" s="23"/>
      <c r="T10" s="24"/>
      <c r="U10" s="25"/>
      <c r="V10" s="26"/>
      <c r="Y10" s="8">
        <v>0.25</v>
      </c>
      <c r="Z10" s="15">
        <f t="shared" si="0"/>
        <v>0</v>
      </c>
      <c r="AA10" s="15">
        <f t="shared" si="1"/>
        <v>1</v>
      </c>
    </row>
    <row r="11" spans="1:28" ht="14.5" customHeight="1" x14ac:dyDescent="0.35">
      <c r="A11" s="49">
        <v>7</v>
      </c>
      <c r="B11" s="8">
        <v>0.29166666666666702</v>
      </c>
      <c r="C11" s="9">
        <f>'Email run'!B10</f>
        <v>0</v>
      </c>
      <c r="D11" s="81"/>
      <c r="E11" s="11" t="e">
        <f t="shared" si="4"/>
        <v>#DIV/0!</v>
      </c>
      <c r="F11" s="81"/>
      <c r="G11" s="81"/>
      <c r="H11" s="15">
        <f>(VLOOKUP(B11,'Run Report'!AR:AV,3,0)/"1:00:00")</f>
        <v>0</v>
      </c>
      <c r="I11" s="16" t="e">
        <f t="shared" si="5"/>
        <v>#DIV/0!</v>
      </c>
      <c r="J11" s="11" t="e">
        <f>1-((VLOOKUP(B11,'Run Report'!AR:AV,3,0)/"1:00:00")/G11)</f>
        <v>#DIV/0!</v>
      </c>
      <c r="K11" s="17"/>
      <c r="L11" s="19" t="e">
        <f>'Email run'!D10/'Email run'!B10</f>
        <v>#DIV/0!</v>
      </c>
      <c r="N11" s="20"/>
      <c r="O11" s="21"/>
      <c r="Q11" s="22">
        <f t="shared" si="6"/>
        <v>0</v>
      </c>
      <c r="R11" s="54"/>
      <c r="S11" s="23"/>
      <c r="T11" s="24"/>
      <c r="U11" s="25"/>
      <c r="V11" s="26"/>
      <c r="Y11" s="8">
        <v>0.29166666666666702</v>
      </c>
      <c r="Z11" s="15">
        <f t="shared" si="0"/>
        <v>0</v>
      </c>
      <c r="AA11" s="15">
        <f t="shared" si="1"/>
        <v>1</v>
      </c>
    </row>
    <row r="12" spans="1:28" x14ac:dyDescent="0.35">
      <c r="A12" s="49">
        <v>8</v>
      </c>
      <c r="B12" s="8">
        <v>0.33333333333333298</v>
      </c>
      <c r="C12" s="9">
        <f>'Email run'!B11</f>
        <v>0</v>
      </c>
      <c r="D12" s="81"/>
      <c r="E12" s="11" t="e">
        <f t="shared" si="4"/>
        <v>#DIV/0!</v>
      </c>
      <c r="F12" s="81"/>
      <c r="G12" s="81"/>
      <c r="H12" s="15">
        <f>(VLOOKUP(B12,'Run Report'!AR:AV,3,0)/"1:00:00")</f>
        <v>0</v>
      </c>
      <c r="I12" s="16" t="e">
        <f t="shared" si="5"/>
        <v>#DIV/0!</v>
      </c>
      <c r="J12" s="11" t="e">
        <f>1-((VLOOKUP(B12,'Run Report'!AR:AV,3,0)/"1:00:00")/G12)</f>
        <v>#DIV/0!</v>
      </c>
      <c r="K12" s="17"/>
      <c r="L12" s="19" t="e">
        <f>'Email run'!D11/'Email run'!B11</f>
        <v>#DIV/0!</v>
      </c>
      <c r="N12" s="20"/>
      <c r="O12" s="21"/>
      <c r="Q12" s="22">
        <f t="shared" si="6"/>
        <v>0</v>
      </c>
      <c r="R12" s="54"/>
      <c r="S12" s="23"/>
      <c r="T12" s="24"/>
      <c r="U12" s="25"/>
      <c r="V12" s="26"/>
      <c r="Y12" s="8">
        <v>0.33333333333333298</v>
      </c>
      <c r="Z12" s="15">
        <f t="shared" si="0"/>
        <v>0</v>
      </c>
      <c r="AA12" s="15">
        <f t="shared" si="1"/>
        <v>1</v>
      </c>
    </row>
    <row r="13" spans="1:28" x14ac:dyDescent="0.35">
      <c r="A13" s="49">
        <v>9</v>
      </c>
      <c r="B13" s="8">
        <v>0.375</v>
      </c>
      <c r="C13" s="9">
        <f>'Email run'!B12</f>
        <v>0</v>
      </c>
      <c r="D13" s="81"/>
      <c r="E13" s="11" t="e">
        <f t="shared" si="4"/>
        <v>#DIV/0!</v>
      </c>
      <c r="F13" s="81"/>
      <c r="G13" s="81"/>
      <c r="H13" s="15">
        <f>(VLOOKUP(B13,'Run Report'!AR:AV,3,0)/"1:00:00")</f>
        <v>0</v>
      </c>
      <c r="I13" s="16" t="e">
        <f t="shared" si="5"/>
        <v>#DIV/0!</v>
      </c>
      <c r="J13" s="11" t="e">
        <f>1-((VLOOKUP(B13,'Run Report'!AR:AV,3,0)/"1:00:00")/G13)</f>
        <v>#DIV/0!</v>
      </c>
      <c r="K13" s="17"/>
      <c r="L13" s="19" t="e">
        <f>'Email run'!D12/'Email run'!B12</f>
        <v>#DIV/0!</v>
      </c>
      <c r="N13" s="20"/>
      <c r="O13" s="21"/>
      <c r="Q13" s="22">
        <f t="shared" si="6"/>
        <v>0</v>
      </c>
      <c r="R13" s="54"/>
      <c r="S13" s="23"/>
      <c r="T13" s="24"/>
      <c r="U13" s="25"/>
      <c r="V13" s="26"/>
      <c r="Y13" s="8">
        <v>0.375</v>
      </c>
      <c r="Z13" s="15">
        <f t="shared" si="0"/>
        <v>0</v>
      </c>
      <c r="AA13" s="15">
        <f t="shared" si="1"/>
        <v>1</v>
      </c>
    </row>
    <row r="14" spans="1:28" x14ac:dyDescent="0.35">
      <c r="A14" s="49">
        <v>10</v>
      </c>
      <c r="B14" s="8">
        <v>0.41666666666666702</v>
      </c>
      <c r="C14" s="9">
        <f>'Email run'!B13</f>
        <v>0</v>
      </c>
      <c r="D14" s="81"/>
      <c r="E14" s="11" t="e">
        <f t="shared" si="4"/>
        <v>#DIV/0!</v>
      </c>
      <c r="F14" s="81"/>
      <c r="G14" s="81"/>
      <c r="H14" s="15">
        <f>(VLOOKUP(B14,'Run Report'!AR:AV,3,0)/"1:00:00")</f>
        <v>0</v>
      </c>
      <c r="I14" s="16" t="e">
        <f t="shared" si="5"/>
        <v>#DIV/0!</v>
      </c>
      <c r="J14" s="11" t="e">
        <f>1-((VLOOKUP(B14,'Run Report'!AR:AV,3,0)/"1:00:00")/G14)</f>
        <v>#DIV/0!</v>
      </c>
      <c r="K14" s="17"/>
      <c r="L14" s="19" t="e">
        <f>'Email run'!D13/'Email run'!B13</f>
        <v>#DIV/0!</v>
      </c>
      <c r="N14" s="20"/>
      <c r="O14" s="21"/>
      <c r="Q14" s="22">
        <f t="shared" si="6"/>
        <v>0</v>
      </c>
      <c r="R14" s="54"/>
      <c r="S14" s="23"/>
      <c r="T14" s="24"/>
      <c r="U14" s="25"/>
      <c r="V14" s="26"/>
      <c r="Y14" s="8">
        <v>0.41666666666666702</v>
      </c>
      <c r="Z14" s="15">
        <f t="shared" si="0"/>
        <v>0</v>
      </c>
      <c r="AA14" s="15">
        <f t="shared" si="1"/>
        <v>1</v>
      </c>
    </row>
    <row r="15" spans="1:28" x14ac:dyDescent="0.35">
      <c r="A15" s="49">
        <v>11</v>
      </c>
      <c r="B15" s="8">
        <v>0.45833333333333298</v>
      </c>
      <c r="C15" s="9">
        <f>'Email run'!B14</f>
        <v>0</v>
      </c>
      <c r="D15" s="81"/>
      <c r="E15" s="11" t="e">
        <f t="shared" si="4"/>
        <v>#DIV/0!</v>
      </c>
      <c r="F15" s="81"/>
      <c r="G15" s="81"/>
      <c r="H15" s="15">
        <f>(VLOOKUP(B15,'Run Report'!AR:AV,3,0)/"1:00:00")</f>
        <v>0</v>
      </c>
      <c r="I15" s="16" t="e">
        <f t="shared" si="5"/>
        <v>#DIV/0!</v>
      </c>
      <c r="J15" s="11" t="e">
        <f>1-((VLOOKUP(B15,'Run Report'!AR:AV,3,0)/"1:00:00")/G15)</f>
        <v>#DIV/0!</v>
      </c>
      <c r="K15" s="17"/>
      <c r="L15" s="19" t="e">
        <f>'Email run'!D14/'Email run'!B14</f>
        <v>#DIV/0!</v>
      </c>
      <c r="N15" s="20"/>
      <c r="O15" s="21"/>
      <c r="Q15" s="22">
        <f t="shared" si="6"/>
        <v>0</v>
      </c>
      <c r="R15" s="54"/>
      <c r="S15" s="23"/>
      <c r="T15" s="24"/>
      <c r="U15" s="25"/>
      <c r="V15" s="26"/>
      <c r="Y15" s="8">
        <v>0.45833333333333298</v>
      </c>
      <c r="Z15" s="15">
        <f t="shared" si="0"/>
        <v>0</v>
      </c>
      <c r="AA15" s="15">
        <f t="shared" si="1"/>
        <v>1</v>
      </c>
    </row>
    <row r="16" spans="1:28" x14ac:dyDescent="0.35">
      <c r="A16" s="49">
        <v>12</v>
      </c>
      <c r="B16" s="8">
        <v>0.5</v>
      </c>
      <c r="C16" s="9">
        <f>'Email run'!B15</f>
        <v>0</v>
      </c>
      <c r="D16" s="81"/>
      <c r="E16" s="11" t="e">
        <f t="shared" si="4"/>
        <v>#DIV/0!</v>
      </c>
      <c r="F16" s="81"/>
      <c r="G16" s="81"/>
      <c r="H16" s="15">
        <f>(VLOOKUP(B16,'Run Report'!AR:AV,3,0)/"1:00:00")</f>
        <v>0</v>
      </c>
      <c r="I16" s="16" t="e">
        <f t="shared" si="5"/>
        <v>#DIV/0!</v>
      </c>
      <c r="J16" s="11" t="e">
        <f>1-((VLOOKUP(B16,'Run Report'!AR:AV,3,0)/"1:00:00")/G16)</f>
        <v>#DIV/0!</v>
      </c>
      <c r="K16" s="17"/>
      <c r="L16" s="19" t="e">
        <f>'Email run'!D15/'Email run'!B15</f>
        <v>#DIV/0!</v>
      </c>
      <c r="N16" s="20"/>
      <c r="O16" s="21"/>
      <c r="Q16" s="22">
        <f t="shared" si="6"/>
        <v>0</v>
      </c>
      <c r="R16" s="54"/>
      <c r="S16" s="23"/>
      <c r="T16" s="24"/>
      <c r="U16" s="25"/>
      <c r="V16" s="26"/>
      <c r="Y16" s="8">
        <v>0.5</v>
      </c>
      <c r="Z16" s="15">
        <f t="shared" si="0"/>
        <v>0</v>
      </c>
      <c r="AA16" s="15">
        <f t="shared" si="1"/>
        <v>1</v>
      </c>
    </row>
    <row r="17" spans="1:34" x14ac:dyDescent="0.35">
      <c r="A17" s="49">
        <v>13</v>
      </c>
      <c r="B17" s="8">
        <v>0.54166666666666696</v>
      </c>
      <c r="C17" s="9">
        <f>'Email run'!B16</f>
        <v>0</v>
      </c>
      <c r="D17" s="81"/>
      <c r="E17" s="11" t="e">
        <f t="shared" si="4"/>
        <v>#DIV/0!</v>
      </c>
      <c r="F17" s="81"/>
      <c r="G17" s="81"/>
      <c r="H17" s="15">
        <f>(VLOOKUP(B17,'Run Report'!AR:AV,3,0)/"1:00:00")</f>
        <v>0</v>
      </c>
      <c r="I17" s="16" t="e">
        <f t="shared" si="5"/>
        <v>#DIV/0!</v>
      </c>
      <c r="J17" s="11" t="e">
        <f>1-((VLOOKUP(B17,'Run Report'!AR:AV,3,0)/"1:00:00")/G17)</f>
        <v>#DIV/0!</v>
      </c>
      <c r="K17" s="17"/>
      <c r="L17" s="19" t="e">
        <f>'Email run'!D16/'Email run'!B16</f>
        <v>#DIV/0!</v>
      </c>
      <c r="N17" s="20"/>
      <c r="O17" s="21"/>
      <c r="Q17" s="22">
        <f t="shared" si="6"/>
        <v>0</v>
      </c>
      <c r="R17" s="54"/>
      <c r="S17" s="23"/>
      <c r="T17" s="24"/>
      <c r="U17" s="25"/>
      <c r="V17" s="26"/>
      <c r="Y17" s="8">
        <v>0.54166666666666696</v>
      </c>
      <c r="Z17" s="15">
        <f t="shared" si="0"/>
        <v>0</v>
      </c>
      <c r="AA17" s="15">
        <f t="shared" si="1"/>
        <v>1</v>
      </c>
    </row>
    <row r="18" spans="1:34" x14ac:dyDescent="0.35">
      <c r="A18" s="49">
        <v>14</v>
      </c>
      <c r="B18" s="8">
        <v>0.58333333333333304</v>
      </c>
      <c r="C18" s="9">
        <f>'Email run'!B17</f>
        <v>0</v>
      </c>
      <c r="D18" s="81"/>
      <c r="E18" s="11" t="e">
        <f t="shared" si="4"/>
        <v>#DIV/0!</v>
      </c>
      <c r="F18" s="81"/>
      <c r="G18" s="81"/>
      <c r="H18" s="15">
        <f>(VLOOKUP(B18,'Run Report'!AR:AV,3,0)/"1:00:00")</f>
        <v>0</v>
      </c>
      <c r="I18" s="16" t="e">
        <f t="shared" si="5"/>
        <v>#DIV/0!</v>
      </c>
      <c r="J18" s="11" t="e">
        <f>1-((VLOOKUP(B18,'Run Report'!AR:AV,3,0)/"1:00:00")/G18)</f>
        <v>#DIV/0!</v>
      </c>
      <c r="K18" s="17"/>
      <c r="L18" s="19" t="e">
        <f>'Email run'!D17/'Email run'!B17</f>
        <v>#DIV/0!</v>
      </c>
      <c r="N18" s="20"/>
      <c r="O18" s="21"/>
      <c r="Q18" s="22">
        <f t="shared" si="6"/>
        <v>0</v>
      </c>
      <c r="R18" s="54"/>
      <c r="S18" s="23"/>
      <c r="T18" s="24"/>
      <c r="U18" s="25"/>
      <c r="V18" s="26"/>
      <c r="Y18" s="8">
        <v>0.58333333333333304</v>
      </c>
      <c r="Z18" s="15">
        <f t="shared" si="0"/>
        <v>0</v>
      </c>
      <c r="AA18" s="15">
        <f t="shared" si="1"/>
        <v>1</v>
      </c>
    </row>
    <row r="19" spans="1:34" x14ac:dyDescent="0.35">
      <c r="A19" s="49">
        <v>15</v>
      </c>
      <c r="B19" s="8">
        <v>0.625</v>
      </c>
      <c r="C19" s="9">
        <f>'Email run'!B18</f>
        <v>0</v>
      </c>
      <c r="D19" s="81"/>
      <c r="E19" s="11" t="e">
        <f t="shared" si="4"/>
        <v>#DIV/0!</v>
      </c>
      <c r="F19" s="81"/>
      <c r="G19" s="81"/>
      <c r="H19" s="15">
        <f>(VLOOKUP(B19,'Run Report'!AR:AV,3,0)/"1:00:00")</f>
        <v>0</v>
      </c>
      <c r="I19" s="16" t="e">
        <f t="shared" si="5"/>
        <v>#DIV/0!</v>
      </c>
      <c r="J19" s="11" t="e">
        <f>1-((VLOOKUP(B19,'Run Report'!AR:AV,3,0)/"1:00:00")/G19)</f>
        <v>#DIV/0!</v>
      </c>
      <c r="K19" s="17"/>
      <c r="L19" s="19" t="e">
        <f>'Email run'!D18/'Email run'!B18</f>
        <v>#DIV/0!</v>
      </c>
      <c r="N19" s="20"/>
      <c r="O19" s="21"/>
      <c r="Q19" s="22">
        <f t="shared" si="6"/>
        <v>0</v>
      </c>
      <c r="R19" s="54"/>
      <c r="S19" s="23"/>
      <c r="T19" s="24"/>
      <c r="U19" s="25"/>
      <c r="V19" s="26"/>
      <c r="Y19" s="8">
        <v>0.625</v>
      </c>
      <c r="Z19" s="15">
        <f t="shared" si="0"/>
        <v>0</v>
      </c>
      <c r="AA19" s="15">
        <f t="shared" si="1"/>
        <v>1</v>
      </c>
    </row>
    <row r="20" spans="1:34" x14ac:dyDescent="0.35">
      <c r="A20" s="49">
        <v>16</v>
      </c>
      <c r="B20" s="8">
        <v>0.66666666666666696</v>
      </c>
      <c r="C20" s="9">
        <f>'Email run'!B19</f>
        <v>0</v>
      </c>
      <c r="D20" s="81"/>
      <c r="E20" s="11" t="e">
        <f t="shared" si="4"/>
        <v>#DIV/0!</v>
      </c>
      <c r="F20" s="81"/>
      <c r="G20" s="81"/>
      <c r="H20" s="15">
        <f>(VLOOKUP(B20,'Run Report'!AR:AV,3,0)/"1:00:00")</f>
        <v>0</v>
      </c>
      <c r="I20" s="16" t="e">
        <f t="shared" si="5"/>
        <v>#DIV/0!</v>
      </c>
      <c r="J20" s="11" t="e">
        <f>1-((VLOOKUP(B20,'Run Report'!AR:AV,3,0)/"1:00:00")/G20)</f>
        <v>#DIV/0!</v>
      </c>
      <c r="K20" s="17"/>
      <c r="L20" s="19" t="e">
        <f>'Email run'!D19/'Email run'!B19</f>
        <v>#DIV/0!</v>
      </c>
      <c r="N20" s="20"/>
      <c r="O20" s="21"/>
      <c r="Q20" s="22">
        <f t="shared" si="6"/>
        <v>0</v>
      </c>
      <c r="R20" s="54"/>
      <c r="S20" s="23"/>
      <c r="T20" s="24"/>
      <c r="U20" s="25"/>
      <c r="V20" s="26"/>
      <c r="Y20" s="8">
        <v>0.66666666666666696</v>
      </c>
      <c r="Z20" s="15">
        <f t="shared" si="0"/>
        <v>0</v>
      </c>
      <c r="AA20" s="15">
        <f t="shared" si="1"/>
        <v>1</v>
      </c>
    </row>
    <row r="21" spans="1:34" x14ac:dyDescent="0.35">
      <c r="A21" s="49">
        <v>17</v>
      </c>
      <c r="B21" s="8">
        <v>0.70833333333333304</v>
      </c>
      <c r="C21" s="9">
        <f>'Email run'!B20</f>
        <v>0</v>
      </c>
      <c r="D21" s="81"/>
      <c r="E21" s="11" t="e">
        <f t="shared" si="4"/>
        <v>#DIV/0!</v>
      </c>
      <c r="F21" s="81"/>
      <c r="G21" s="81"/>
      <c r="H21" s="15">
        <f>(VLOOKUP(B21,'Run Report'!AR:AV,3,0)/"1:00:00")</f>
        <v>0</v>
      </c>
      <c r="I21" s="16" t="e">
        <f t="shared" si="5"/>
        <v>#DIV/0!</v>
      </c>
      <c r="J21" s="11" t="e">
        <f>1-((VLOOKUP(B21,'Run Report'!AR:AV,3,0)/"1:00:00")/G21)</f>
        <v>#DIV/0!</v>
      </c>
      <c r="K21" s="17"/>
      <c r="L21" s="19" t="e">
        <f>'Email run'!D20/'Email run'!B20</f>
        <v>#DIV/0!</v>
      </c>
      <c r="N21" s="20"/>
      <c r="O21" s="21"/>
      <c r="Q21" s="22">
        <f t="shared" si="6"/>
        <v>0</v>
      </c>
      <c r="R21" s="54"/>
      <c r="S21" s="23"/>
      <c r="T21" s="24"/>
      <c r="U21" s="25"/>
      <c r="V21" s="26"/>
      <c r="Y21" s="8">
        <v>0.70833333333333304</v>
      </c>
      <c r="Z21" s="15">
        <f t="shared" si="0"/>
        <v>0</v>
      </c>
      <c r="AA21" s="15">
        <f t="shared" si="1"/>
        <v>1</v>
      </c>
    </row>
    <row r="22" spans="1:34" x14ac:dyDescent="0.35">
      <c r="A22" s="49">
        <v>18</v>
      </c>
      <c r="B22" s="8">
        <v>0.75</v>
      </c>
      <c r="C22" s="9">
        <f>'Email run'!B21</f>
        <v>0</v>
      </c>
      <c r="D22" s="81"/>
      <c r="E22" s="11" t="e">
        <f t="shared" si="4"/>
        <v>#DIV/0!</v>
      </c>
      <c r="F22" s="81"/>
      <c r="G22" s="81"/>
      <c r="H22" s="15">
        <f>(VLOOKUP(B22,'Run Report'!AR:AV,3,0)/"1:00:00")</f>
        <v>0</v>
      </c>
      <c r="I22" s="16" t="e">
        <f t="shared" si="5"/>
        <v>#DIV/0!</v>
      </c>
      <c r="J22" s="11" t="e">
        <f>1-((VLOOKUP(B22,'Run Report'!AR:AV,3,0)/"1:00:00")/G22)</f>
        <v>#DIV/0!</v>
      </c>
      <c r="K22" s="17"/>
      <c r="L22" s="19" t="e">
        <f>'Email run'!D21/'Email run'!B21</f>
        <v>#DIV/0!</v>
      </c>
      <c r="N22" s="20"/>
      <c r="O22" s="21"/>
      <c r="Q22" s="22">
        <f t="shared" si="6"/>
        <v>0</v>
      </c>
      <c r="R22" s="54"/>
      <c r="S22" s="23"/>
      <c r="T22" s="24"/>
      <c r="U22" s="25"/>
      <c r="V22" s="26"/>
      <c r="Y22" s="8">
        <v>0.75</v>
      </c>
      <c r="Z22" s="15">
        <f t="shared" si="0"/>
        <v>0</v>
      </c>
      <c r="AA22" s="15">
        <f t="shared" si="1"/>
        <v>1</v>
      </c>
    </row>
    <row r="23" spans="1:34" x14ac:dyDescent="0.35">
      <c r="A23" s="49">
        <v>19</v>
      </c>
      <c r="B23" s="8">
        <v>0.79166666666666696</v>
      </c>
      <c r="C23" s="9">
        <f>'Email run'!B22</f>
        <v>0</v>
      </c>
      <c r="D23" s="81"/>
      <c r="E23" s="11" t="e">
        <f t="shared" si="4"/>
        <v>#DIV/0!</v>
      </c>
      <c r="F23" s="81"/>
      <c r="G23" s="81"/>
      <c r="H23" s="15">
        <f>(VLOOKUP(B23,'Run Report'!AR:AV,3,0)/"1:00:00")</f>
        <v>0</v>
      </c>
      <c r="I23" s="16" t="e">
        <f t="shared" si="5"/>
        <v>#DIV/0!</v>
      </c>
      <c r="J23" s="11" t="e">
        <f>1-((VLOOKUP(B23,'Run Report'!AR:AV,3,0)/"1:00:00")/G23)</f>
        <v>#DIV/0!</v>
      </c>
      <c r="K23" s="17"/>
      <c r="L23" s="19" t="e">
        <f>'Email run'!D22/'Email run'!B22</f>
        <v>#DIV/0!</v>
      </c>
      <c r="N23" s="20"/>
      <c r="O23" s="21"/>
      <c r="Q23" s="22">
        <f t="shared" si="6"/>
        <v>0</v>
      </c>
      <c r="R23" s="54"/>
      <c r="S23" s="23"/>
      <c r="T23" s="24"/>
      <c r="U23" s="25"/>
      <c r="V23" s="26"/>
      <c r="Y23" s="8">
        <v>0.79166666666666696</v>
      </c>
      <c r="Z23" s="15">
        <f t="shared" si="0"/>
        <v>0</v>
      </c>
      <c r="AA23" s="15">
        <f t="shared" si="1"/>
        <v>1</v>
      </c>
    </row>
    <row r="24" spans="1:34" x14ac:dyDescent="0.35">
      <c r="A24" s="49">
        <v>20</v>
      </c>
      <c r="B24" s="8">
        <v>0.83333333333333304</v>
      </c>
      <c r="C24" s="9">
        <f>'Email run'!B23</f>
        <v>0</v>
      </c>
      <c r="D24" s="81"/>
      <c r="E24" s="11" t="e">
        <f t="shared" si="4"/>
        <v>#DIV/0!</v>
      </c>
      <c r="F24" s="81"/>
      <c r="G24" s="81"/>
      <c r="H24" s="15">
        <f>(VLOOKUP(B24,'Run Report'!AR:AV,3,0)/"1:00:00")</f>
        <v>0</v>
      </c>
      <c r="I24" s="16" t="e">
        <f t="shared" si="5"/>
        <v>#DIV/0!</v>
      </c>
      <c r="J24" s="11" t="e">
        <f>1-((VLOOKUP(B24,'Run Report'!AR:AV,3,0)/"1:00:00")/G24)</f>
        <v>#DIV/0!</v>
      </c>
      <c r="K24" s="17"/>
      <c r="L24" s="19" t="e">
        <f>'Email run'!D23/'Email run'!B23</f>
        <v>#DIV/0!</v>
      </c>
      <c r="N24" s="20"/>
      <c r="O24" s="21"/>
      <c r="Q24" s="22">
        <f t="shared" si="6"/>
        <v>0</v>
      </c>
      <c r="R24" s="54"/>
      <c r="S24" s="23"/>
      <c r="T24" s="24"/>
      <c r="U24" s="25"/>
      <c r="V24" s="26"/>
      <c r="Y24" s="8">
        <v>0.83333333333333304</v>
      </c>
      <c r="Z24" s="15">
        <f t="shared" si="0"/>
        <v>0</v>
      </c>
      <c r="AA24" s="15">
        <f t="shared" si="1"/>
        <v>1</v>
      </c>
    </row>
    <row r="25" spans="1:34" ht="15" thickBot="1" x14ac:dyDescent="0.4">
      <c r="A25" s="49">
        <v>21</v>
      </c>
      <c r="B25" s="8">
        <v>0.875</v>
      </c>
      <c r="C25" s="9">
        <f>'Email run'!B24</f>
        <v>0</v>
      </c>
      <c r="D25" s="81"/>
      <c r="E25" s="11" t="e">
        <f t="shared" si="4"/>
        <v>#DIV/0!</v>
      </c>
      <c r="F25" s="81"/>
      <c r="G25" s="81"/>
      <c r="H25" s="15">
        <f>(VLOOKUP(B25,'Run Report'!AR:AV,3,0)/"1:00:00")</f>
        <v>0</v>
      </c>
      <c r="I25" s="16" t="e">
        <f t="shared" si="5"/>
        <v>#DIV/0!</v>
      </c>
      <c r="J25" s="11" t="e">
        <f>1-((VLOOKUP(B25,'Run Report'!AR:AV,3,0)/"1:00:00")/G25)</f>
        <v>#DIV/0!</v>
      </c>
      <c r="K25" s="17"/>
      <c r="L25" s="19" t="e">
        <f>'Email run'!D24/'Email run'!B24</f>
        <v>#DIV/0!</v>
      </c>
      <c r="N25" s="20"/>
      <c r="O25" s="21"/>
      <c r="Q25" s="22">
        <f t="shared" si="6"/>
        <v>0</v>
      </c>
      <c r="R25" s="54"/>
      <c r="S25" s="23"/>
      <c r="T25" s="24"/>
      <c r="U25" s="25"/>
      <c r="V25" s="26"/>
      <c r="Y25" s="8">
        <v>0.875</v>
      </c>
      <c r="Z25" s="15">
        <f t="shared" si="0"/>
        <v>0</v>
      </c>
      <c r="AA25" s="15">
        <f t="shared" si="1"/>
        <v>1</v>
      </c>
    </row>
    <row r="26" spans="1:34" x14ac:dyDescent="0.35">
      <c r="A26" s="49">
        <v>22</v>
      </c>
      <c r="B26" s="8">
        <v>0.91666666666666696</v>
      </c>
      <c r="C26" s="9">
        <f>'Email run'!B25</f>
        <v>0</v>
      </c>
      <c r="D26" s="81"/>
      <c r="E26" s="11" t="e">
        <f t="shared" si="4"/>
        <v>#DIV/0!</v>
      </c>
      <c r="F26" s="81"/>
      <c r="G26" s="81"/>
      <c r="H26" s="15">
        <f>(VLOOKUP(B26,'Run Report'!AR:AV,3,0)/"1:00:00")</f>
        <v>0</v>
      </c>
      <c r="I26" s="16" t="e">
        <f t="shared" si="5"/>
        <v>#DIV/0!</v>
      </c>
      <c r="J26" s="11" t="e">
        <f>1-((VLOOKUP(B26,'Run Report'!AR:AV,3,0)/"1:00:00")/G26)</f>
        <v>#DIV/0!</v>
      </c>
      <c r="K26" s="17"/>
      <c r="L26" s="19" t="e">
        <f>'Email run'!D25/'Email run'!B25</f>
        <v>#DIV/0!</v>
      </c>
      <c r="N26" s="20"/>
      <c r="O26" s="21"/>
      <c r="Q26" s="22">
        <f t="shared" si="6"/>
        <v>0</v>
      </c>
      <c r="R26" s="54"/>
      <c r="S26" s="23"/>
      <c r="T26" s="24"/>
      <c r="U26" s="25"/>
      <c r="V26" s="26"/>
      <c r="Y26" s="8">
        <v>0.91666666666666696</v>
      </c>
      <c r="Z26" s="15">
        <f t="shared" si="0"/>
        <v>0</v>
      </c>
      <c r="AA26" s="15">
        <f t="shared" si="1"/>
        <v>1</v>
      </c>
      <c r="AD26" s="51" t="s">
        <v>34</v>
      </c>
      <c r="AE26" s="52" t="s">
        <v>35</v>
      </c>
      <c r="AF26" s="52" t="s">
        <v>36</v>
      </c>
      <c r="AH26" t="s">
        <v>37</v>
      </c>
    </row>
    <row r="27" spans="1:34" x14ac:dyDescent="0.35">
      <c r="A27" s="49">
        <v>23</v>
      </c>
      <c r="B27" s="8">
        <v>0.95833333333333304</v>
      </c>
      <c r="C27" s="9">
        <f>'Email run'!B26</f>
        <v>0</v>
      </c>
      <c r="D27" s="81"/>
      <c r="E27" s="11" t="e">
        <f t="shared" si="4"/>
        <v>#DIV/0!</v>
      </c>
      <c r="F27" s="81"/>
      <c r="G27" s="81"/>
      <c r="H27" s="15">
        <f>(VLOOKUP(B27,'Run Report'!AR:AV,3,0)/"1:00:00")</f>
        <v>0</v>
      </c>
      <c r="I27" s="16" t="e">
        <f t="shared" si="5"/>
        <v>#DIV/0!</v>
      </c>
      <c r="J27" s="11" t="e">
        <f>1-((VLOOKUP(B27,'Run Report'!AR:AV,3,0)/"1:00:00")/G27)</f>
        <v>#DIV/0!</v>
      </c>
      <c r="K27" s="17"/>
      <c r="L27" s="19" t="e">
        <f>'Email run'!D26/'Email run'!B26</f>
        <v>#DIV/0!</v>
      </c>
      <c r="N27" s="20"/>
      <c r="O27" s="21"/>
      <c r="Q27" s="22">
        <f t="shared" si="6"/>
        <v>0</v>
      </c>
      <c r="R27" s="54"/>
      <c r="S27" s="23"/>
      <c r="T27" s="24"/>
      <c r="U27" s="25"/>
      <c r="V27" s="26"/>
      <c r="Y27" s="8">
        <v>0.95833333333333304</v>
      </c>
      <c r="Z27" s="15">
        <f t="shared" si="0"/>
        <v>0</v>
      </c>
      <c r="AA27" s="15">
        <f t="shared" si="1"/>
        <v>1</v>
      </c>
      <c r="AD27" s="58">
        <v>0.29166666666666669</v>
      </c>
      <c r="AE27" s="58">
        <v>0.33333333333333331</v>
      </c>
      <c r="AF27" s="57" t="s">
        <v>38</v>
      </c>
      <c r="AH27" s="53" t="s">
        <v>38</v>
      </c>
    </row>
    <row r="28" spans="1:34" x14ac:dyDescent="0.35">
      <c r="B28" s="31"/>
      <c r="C28" s="9"/>
      <c r="D28" s="31"/>
      <c r="E28" s="32">
        <f>COUNTIFS(E4:E27,"&gt;85%",E4:E27,"&lt;115%")</f>
        <v>0</v>
      </c>
      <c r="F28" s="33"/>
      <c r="G28" s="33"/>
      <c r="H28" s="15">
        <f>(VLOOKUP(B28,'Run Report'!AR:AV,3,0)/"1:00:00")</f>
        <v>0</v>
      </c>
      <c r="I28" s="33"/>
      <c r="J28" s="113"/>
      <c r="K28" s="31"/>
      <c r="L28" s="31"/>
      <c r="N28" s="34"/>
      <c r="O28" s="35"/>
      <c r="Q28" s="31"/>
      <c r="R28" s="36"/>
      <c r="S28" s="37"/>
      <c r="T28" s="37"/>
      <c r="U28" s="37"/>
      <c r="V28" s="37"/>
      <c r="AD28" s="58">
        <v>0.33333333333333331</v>
      </c>
      <c r="AE28" s="58">
        <v>0.83333333333333337</v>
      </c>
      <c r="AF28" s="56" t="s">
        <v>40</v>
      </c>
      <c r="AH28" t="s">
        <v>39</v>
      </c>
    </row>
    <row r="29" spans="1:34" x14ac:dyDescent="0.35">
      <c r="B29" s="38" t="s">
        <v>26</v>
      </c>
      <c r="C29" s="39">
        <f>SUM(C11:C27)</f>
        <v>0</v>
      </c>
      <c r="D29" s="39">
        <f>SUM(D11:D27)</f>
        <v>0</v>
      </c>
      <c r="E29" s="40">
        <f>COUNTIFS(E11:E27,"&gt;=0.80",E11:E27,"&lt;=01.15")/COUNTA(E11:E27)</f>
        <v>0</v>
      </c>
      <c r="F29" s="33"/>
      <c r="G29" s="65">
        <f>SUM(G11:G27)</f>
        <v>0</v>
      </c>
      <c r="H29" s="66">
        <f>SUM(H11:H27)</f>
        <v>0</v>
      </c>
      <c r="J29" s="40" t="e">
        <f>IF((G29-H29)/G29&gt;0,(G29-H29)/G29,0%)</f>
        <v>#DIV/0!</v>
      </c>
      <c r="K29" s="43"/>
      <c r="L29" s="45" t="e">
        <f>SUM('Email run'!D10:D26)/SUM('Email run'!B10:B26)</f>
        <v>#DIV/0!</v>
      </c>
      <c r="N29" s="34"/>
      <c r="O29" s="35"/>
      <c r="Q29" s="31"/>
      <c r="R29" s="36"/>
      <c r="S29" s="37"/>
      <c r="T29" s="37"/>
      <c r="U29" s="37"/>
      <c r="V29" s="37"/>
      <c r="AD29" s="58">
        <v>0.83333333333333337</v>
      </c>
      <c r="AE29" s="58">
        <v>0</v>
      </c>
      <c r="AF29" s="57" t="s">
        <v>38</v>
      </c>
      <c r="AH29" s="56" t="s">
        <v>40</v>
      </c>
    </row>
    <row r="30" spans="1:34" x14ac:dyDescent="0.35">
      <c r="R30" s="46"/>
    </row>
    <row r="31" spans="1:34" x14ac:dyDescent="0.35">
      <c r="R31" s="46"/>
    </row>
  </sheetData>
  <mergeCells count="12">
    <mergeCell ref="O2:O3"/>
    <mergeCell ref="Q2:S2"/>
    <mergeCell ref="T2:V2"/>
    <mergeCell ref="Z2:AA2"/>
    <mergeCell ref="Q1:V1"/>
    <mergeCell ref="L2:L3"/>
    <mergeCell ref="N2:N3"/>
    <mergeCell ref="B2:B3"/>
    <mergeCell ref="C2:C3"/>
    <mergeCell ref="D2:E2"/>
    <mergeCell ref="F2:J2"/>
    <mergeCell ref="K2:K3"/>
  </mergeCells>
  <conditionalFormatting sqref="L4:L27">
    <cfRule type="cellIs" dxfId="170" priority="58" operator="lessThan">
      <formula>0.8</formula>
    </cfRule>
  </conditionalFormatting>
  <conditionalFormatting sqref="E4:E27">
    <cfRule type="cellIs" dxfId="169" priority="56" operator="lessThan">
      <formula>0.8</formula>
    </cfRule>
    <cfRule type="cellIs" dxfId="168" priority="57" operator="greaterThan">
      <formula>1.15</formula>
    </cfRule>
  </conditionalFormatting>
  <conditionalFormatting sqref="J4:J27">
    <cfRule type="cellIs" dxfId="167" priority="50" operator="lessThan">
      <formula>0</formula>
    </cfRule>
    <cfRule type="cellIs" dxfId="166" priority="53" operator="lessThan">
      <formula>0.101111111</formula>
    </cfRule>
    <cfRule type="cellIs" dxfId="165" priority="54" operator="between">
      <formula>0.1</formula>
      <formula>0.201111111</formula>
    </cfRule>
    <cfRule type="cellIs" dxfId="164" priority="55" operator="greaterThan">
      <formula>0.2</formula>
    </cfRule>
  </conditionalFormatting>
  <conditionalFormatting sqref="I4:I27">
    <cfRule type="cellIs" dxfId="163" priority="51" operator="lessThan">
      <formula>0</formula>
    </cfRule>
    <cfRule type="cellIs" dxfId="162" priority="52" operator="greaterThan">
      <formula>0</formula>
    </cfRule>
  </conditionalFormatting>
  <conditionalFormatting sqref="U4">
    <cfRule type="cellIs" dxfId="161" priority="48" operator="lessThan">
      <formula>$S$4</formula>
    </cfRule>
    <cfRule type="cellIs" dxfId="160" priority="49" operator="greaterThan">
      <formula>$S$4</formula>
    </cfRule>
  </conditionalFormatting>
  <conditionalFormatting sqref="U6">
    <cfRule type="cellIs" dxfId="159" priority="46" operator="lessThan">
      <formula>$S$6</formula>
    </cfRule>
    <cfRule type="cellIs" dxfId="158" priority="47" operator="greaterThan">
      <formula>$S$6</formula>
    </cfRule>
  </conditionalFormatting>
  <conditionalFormatting sqref="U7">
    <cfRule type="cellIs" dxfId="157" priority="44" operator="lessThan">
      <formula>$S$7</formula>
    </cfRule>
    <cfRule type="cellIs" dxfId="156" priority="45" operator="greaterThan">
      <formula>$S$7</formula>
    </cfRule>
  </conditionalFormatting>
  <conditionalFormatting sqref="U8">
    <cfRule type="cellIs" dxfId="155" priority="42" operator="lessThan">
      <formula>$S$8</formula>
    </cfRule>
    <cfRule type="cellIs" dxfId="154" priority="43" operator="greaterThan">
      <formula>$S$8</formula>
    </cfRule>
  </conditionalFormatting>
  <conditionalFormatting sqref="U9">
    <cfRule type="cellIs" dxfId="153" priority="40" operator="lessThan">
      <formula>$S$9</formula>
    </cfRule>
    <cfRule type="cellIs" dxfId="152" priority="41" operator="greaterThan">
      <formula>$S$9</formula>
    </cfRule>
  </conditionalFormatting>
  <conditionalFormatting sqref="U10">
    <cfRule type="cellIs" dxfId="151" priority="38" operator="lessThan">
      <formula>$S$10</formula>
    </cfRule>
    <cfRule type="cellIs" dxfId="150" priority="39" operator="greaterThan">
      <formula>$S$10</formula>
    </cfRule>
  </conditionalFormatting>
  <conditionalFormatting sqref="U11">
    <cfRule type="cellIs" dxfId="149" priority="36" operator="lessThan">
      <formula>$S$11</formula>
    </cfRule>
    <cfRule type="cellIs" dxfId="148" priority="37" operator="greaterThan">
      <formula>$S$11</formula>
    </cfRule>
  </conditionalFormatting>
  <conditionalFormatting sqref="U12">
    <cfRule type="cellIs" dxfId="147" priority="34" operator="lessThan">
      <formula>$S$12</formula>
    </cfRule>
    <cfRule type="cellIs" dxfId="146" priority="35" operator="greaterThan">
      <formula>$S$12</formula>
    </cfRule>
  </conditionalFormatting>
  <conditionalFormatting sqref="U13">
    <cfRule type="cellIs" dxfId="145" priority="32" operator="lessThan">
      <formula>$S$13</formula>
    </cfRule>
    <cfRule type="cellIs" dxfId="144" priority="33" operator="greaterThan">
      <formula>$S$13</formula>
    </cfRule>
  </conditionalFormatting>
  <conditionalFormatting sqref="U14">
    <cfRule type="cellIs" dxfId="143" priority="30" operator="lessThan">
      <formula>$S$14</formula>
    </cfRule>
    <cfRule type="cellIs" dxfId="142" priority="31" operator="greaterThan">
      <formula>$S$14</formula>
    </cfRule>
  </conditionalFormatting>
  <conditionalFormatting sqref="U15">
    <cfRule type="cellIs" dxfId="141" priority="28" operator="lessThan">
      <formula>$S$15</formula>
    </cfRule>
    <cfRule type="cellIs" dxfId="140" priority="29" operator="greaterThan">
      <formula>$S$15</formula>
    </cfRule>
  </conditionalFormatting>
  <conditionalFormatting sqref="U16">
    <cfRule type="cellIs" dxfId="139" priority="26" operator="lessThan">
      <formula>$S$16</formula>
    </cfRule>
    <cfRule type="cellIs" dxfId="138" priority="27" operator="greaterThan">
      <formula>$S$16</formula>
    </cfRule>
  </conditionalFormatting>
  <conditionalFormatting sqref="U17">
    <cfRule type="cellIs" dxfId="137" priority="24" operator="lessThan">
      <formula>$S$17</formula>
    </cfRule>
    <cfRule type="cellIs" dxfId="136" priority="25" operator="greaterThan">
      <formula>$S$17</formula>
    </cfRule>
  </conditionalFormatting>
  <conditionalFormatting sqref="U18">
    <cfRule type="cellIs" dxfId="135" priority="22" operator="lessThan">
      <formula>$S$18</formula>
    </cfRule>
    <cfRule type="cellIs" dxfId="134" priority="23" operator="greaterThan">
      <formula>$S$18</formula>
    </cfRule>
  </conditionalFormatting>
  <conditionalFormatting sqref="U19">
    <cfRule type="cellIs" dxfId="133" priority="20" operator="lessThan">
      <formula>$S$19</formula>
    </cfRule>
    <cfRule type="cellIs" dxfId="132" priority="21" operator="greaterThan">
      <formula>$S$19</formula>
    </cfRule>
  </conditionalFormatting>
  <conditionalFormatting sqref="U20">
    <cfRule type="cellIs" dxfId="131" priority="18" operator="lessThan">
      <formula>$S$20</formula>
    </cfRule>
    <cfRule type="cellIs" dxfId="130" priority="19" operator="greaterThan">
      <formula>$S$20</formula>
    </cfRule>
  </conditionalFormatting>
  <conditionalFormatting sqref="U21">
    <cfRule type="cellIs" dxfId="129" priority="16" operator="lessThan">
      <formula>$S$21</formula>
    </cfRule>
    <cfRule type="cellIs" dxfId="128" priority="17" operator="greaterThan">
      <formula>$S$21</formula>
    </cfRule>
  </conditionalFormatting>
  <conditionalFormatting sqref="U22">
    <cfRule type="cellIs" dxfId="127" priority="14" operator="lessThan">
      <formula>$S$22</formula>
    </cfRule>
    <cfRule type="cellIs" dxfId="126" priority="15" operator="greaterThan">
      <formula>$S$22</formula>
    </cfRule>
  </conditionalFormatting>
  <conditionalFormatting sqref="U23">
    <cfRule type="cellIs" dxfId="125" priority="12" operator="lessThan">
      <formula>$S$23</formula>
    </cfRule>
    <cfRule type="cellIs" dxfId="124" priority="13" operator="greaterThan">
      <formula>$S$23</formula>
    </cfRule>
  </conditionalFormatting>
  <conditionalFormatting sqref="U24">
    <cfRule type="cellIs" dxfId="123" priority="10" operator="lessThan">
      <formula>$S$24</formula>
    </cfRule>
    <cfRule type="cellIs" dxfId="122" priority="11" operator="greaterThan">
      <formula>$S$24</formula>
    </cfRule>
  </conditionalFormatting>
  <conditionalFormatting sqref="U25">
    <cfRule type="cellIs" dxfId="121" priority="8" operator="lessThan">
      <formula>$S$25</formula>
    </cfRule>
    <cfRule type="cellIs" dxfId="120" priority="9" operator="greaterThan">
      <formula>$S$25</formula>
    </cfRule>
  </conditionalFormatting>
  <conditionalFormatting sqref="U26">
    <cfRule type="cellIs" dxfId="119" priority="6" operator="lessThan">
      <formula>$S$26</formula>
    </cfRule>
    <cfRule type="cellIs" dxfId="118" priority="7" operator="greaterThan">
      <formula>$S$26</formula>
    </cfRule>
  </conditionalFormatting>
  <conditionalFormatting sqref="U27">
    <cfRule type="cellIs" dxfId="117" priority="4" operator="lessThan">
      <formula>$S$27</formula>
    </cfRule>
    <cfRule type="cellIs" dxfId="116" priority="5" operator="greaterThan">
      <formula>$S$27</formula>
    </cfRule>
  </conditionalFormatting>
  <conditionalFormatting sqref="U5">
    <cfRule type="cellIs" dxfId="115" priority="2" operator="lessThan">
      <formula>$S$5</formula>
    </cfRule>
    <cfRule type="cellIs" dxfId="114" priority="3" operator="greaterThan">
      <formula>$S$5</formula>
    </cfRule>
  </conditionalFormatting>
  <dataValidations count="2">
    <dataValidation type="list" errorStyle="information" allowBlank="1" showInputMessage="1" showErrorMessage="1" error="&quot;you are about to edit the dropp menu be carefull &quot; !!" sqref="N4:N27" xr:uid="{3A676B72-9896-4D1E-BDDD-CB24403FC855}">
      <formula1>"Unplanned Off Phone Activities(""""),Lack of break adherence,High AHT,Low AHT,High Abs (  %),Staff Over Demanded,Staff Under Demand,Staff Shortage,Unplanned Breaks,exceeding Breaks,High Traffic Chats,Low Traffic Chats"</formula1>
    </dataValidation>
    <dataValidation type="list" errorStyle="information" allowBlank="1" showInputMessage="1" showErrorMessage="1" error="You Are about to change the Drop menu !!" sqref="N1:N3 N28:N1048576" xr:uid="{26D77E70-E04C-4E83-9D4B-B5FF296E3020}">
      <formula1>"Off Phone Activities Without alignment( ),High AHT,High Talk time,Unplaned Breaks,Staff Shortage,High Abs ( %),High Call Traffic,Low AHT,Low Traffic Calls,Staff Over Demanded,Staff Under Demand"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A231-14EE-4149-92DE-0F0976E5775C}">
  <sheetPr codeName="Sheet6">
    <tabColor rgb="FFFF0000"/>
  </sheetPr>
  <dimension ref="A2:D28"/>
  <sheetViews>
    <sheetView workbookViewId="0">
      <selection activeCell="A3" sqref="A3:D26"/>
    </sheetView>
  </sheetViews>
  <sheetFormatPr defaultRowHeight="14.5" x14ac:dyDescent="0.35"/>
  <cols>
    <col min="1" max="1" width="14.453125" bestFit="1" customWidth="1"/>
    <col min="2" max="2" width="7" bestFit="1" customWidth="1"/>
    <col min="3" max="3" width="9.54296875" bestFit="1" customWidth="1"/>
  </cols>
  <sheetData>
    <row r="2" spans="1:4" x14ac:dyDescent="0.35">
      <c r="A2" t="s">
        <v>27</v>
      </c>
      <c r="B2" t="s">
        <v>28</v>
      </c>
      <c r="C2" t="s">
        <v>62</v>
      </c>
      <c r="D2" t="s">
        <v>30</v>
      </c>
    </row>
    <row r="28" spans="2:4" x14ac:dyDescent="0.35">
      <c r="B28" s="76">
        <f>SUM(B10:B26)</f>
        <v>0</v>
      </c>
      <c r="C28" s="76">
        <f>SUM(C10:C26)</f>
        <v>0</v>
      </c>
      <c r="D28" s="76">
        <f>SUM(D10:D26)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8FF94-DE3B-418A-97C4-879C7F925E75}">
  <sheetPr codeName="Sheet7"/>
  <dimension ref="A1:AH31"/>
  <sheetViews>
    <sheetView workbookViewId="0">
      <selection activeCell="F14" sqref="F14:G25"/>
    </sheetView>
  </sheetViews>
  <sheetFormatPr defaultRowHeight="14.5" x14ac:dyDescent="0.35"/>
  <cols>
    <col min="1" max="1" width="8.54296875" style="49"/>
    <col min="3" max="3" width="9.453125" customWidth="1"/>
    <col min="4" max="4" width="6.1796875" customWidth="1"/>
    <col min="5" max="5" width="9.453125" customWidth="1"/>
    <col min="8" max="8" width="5.453125" bestFit="1" customWidth="1"/>
    <col min="9" max="9" width="8.54296875" customWidth="1"/>
    <col min="10" max="10" width="5.1796875" style="59" bestFit="1" customWidth="1"/>
    <col min="11" max="11" width="3.81640625" hidden="1" customWidth="1"/>
    <col min="13" max="13" width="1.54296875" customWidth="1"/>
    <col min="14" max="14" width="21.453125" style="3" customWidth="1"/>
    <col min="15" max="15" width="21.453125" customWidth="1"/>
    <col min="16" max="16" width="1.453125" customWidth="1"/>
    <col min="17" max="17" width="3.453125" bestFit="1" customWidth="1"/>
    <col min="18" max="18" width="3.54296875" bestFit="1" customWidth="1"/>
    <col min="19" max="19" width="7" customWidth="1"/>
    <col min="20" max="21" width="6.453125" bestFit="1" customWidth="1"/>
    <col min="22" max="22" width="7" customWidth="1"/>
    <col min="23" max="23" width="9.453125" customWidth="1"/>
    <col min="24" max="24" width="9.54296875" customWidth="1"/>
    <col min="32" max="32" width="43" bestFit="1" customWidth="1"/>
  </cols>
  <sheetData>
    <row r="1" spans="1:28" ht="15" thickBot="1" x14ac:dyDescent="0.4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Q1" s="122" t="s">
        <v>0</v>
      </c>
      <c r="R1" s="122"/>
      <c r="S1" s="122"/>
      <c r="T1" s="122"/>
      <c r="U1" s="122"/>
      <c r="V1" s="122"/>
    </row>
    <row r="2" spans="1:28" ht="15" customHeight="1" x14ac:dyDescent="0.35">
      <c r="B2" s="130" t="s">
        <v>2</v>
      </c>
      <c r="C2" s="132" t="s">
        <v>3</v>
      </c>
      <c r="D2" s="134" t="s">
        <v>4</v>
      </c>
      <c r="E2" s="135"/>
      <c r="F2" s="134" t="s">
        <v>6</v>
      </c>
      <c r="G2" s="136"/>
      <c r="H2" s="136"/>
      <c r="I2" s="136"/>
      <c r="J2" s="135"/>
      <c r="K2" s="127" t="s">
        <v>7</v>
      </c>
      <c r="L2" s="128" t="s">
        <v>9</v>
      </c>
      <c r="N2" s="118" t="s">
        <v>10</v>
      </c>
      <c r="O2" s="119" t="s">
        <v>11</v>
      </c>
      <c r="Q2" s="120" t="s">
        <v>12</v>
      </c>
      <c r="R2" s="120"/>
      <c r="S2" s="120"/>
      <c r="T2" s="121" t="s">
        <v>13</v>
      </c>
      <c r="U2" s="121"/>
      <c r="V2" s="121"/>
      <c r="Z2" s="117" t="s">
        <v>32</v>
      </c>
      <c r="AA2" s="117"/>
    </row>
    <row r="3" spans="1:28" ht="15" thickBot="1" x14ac:dyDescent="0.4">
      <c r="B3" s="131"/>
      <c r="C3" s="133"/>
      <c r="D3" s="4" t="s">
        <v>14</v>
      </c>
      <c r="E3" s="5" t="s">
        <v>15</v>
      </c>
      <c r="F3" s="4" t="s">
        <v>18</v>
      </c>
      <c r="G3" s="6" t="s">
        <v>19</v>
      </c>
      <c r="H3" s="47" t="s">
        <v>20</v>
      </c>
      <c r="I3" s="6" t="s">
        <v>21</v>
      </c>
      <c r="J3" s="112" t="s">
        <v>22</v>
      </c>
      <c r="K3" s="125"/>
      <c r="L3" s="129"/>
      <c r="N3" s="118"/>
      <c r="O3" s="119"/>
      <c r="Q3" s="7" t="s">
        <v>23</v>
      </c>
      <c r="R3" s="7" t="s">
        <v>24</v>
      </c>
      <c r="S3" s="7" t="s">
        <v>25</v>
      </c>
      <c r="T3" s="48" t="s">
        <v>23</v>
      </c>
      <c r="U3" s="48" t="s">
        <v>24</v>
      </c>
      <c r="V3" s="48" t="s">
        <v>25</v>
      </c>
      <c r="Y3" s="6" t="s">
        <v>2</v>
      </c>
      <c r="Z3" s="6" t="str">
        <f t="shared" ref="Z3:Z27" si="0">F3</f>
        <v>Demand</v>
      </c>
      <c r="AA3" s="6" t="s">
        <v>33</v>
      </c>
    </row>
    <row r="4" spans="1:28" hidden="1" x14ac:dyDescent="0.35">
      <c r="A4" s="49">
        <v>0</v>
      </c>
      <c r="B4" s="8">
        <v>0</v>
      </c>
      <c r="C4" s="9">
        <f>'Retention RUN'!B3</f>
        <v>0</v>
      </c>
      <c r="D4" s="10"/>
      <c r="E4" s="11" t="e">
        <f>C4/D4</f>
        <v>#DIV/0!</v>
      </c>
      <c r="F4" s="12"/>
      <c r="G4" s="10"/>
      <c r="H4" s="15"/>
      <c r="I4" s="16" t="e">
        <f>(G4-F4)/F4</f>
        <v>#DIV/0!</v>
      </c>
      <c r="J4" s="11" t="e">
        <f>(G4-H4)/G4</f>
        <v>#DIV/0!</v>
      </c>
      <c r="K4" s="17"/>
      <c r="L4" s="19" t="e">
        <f>'Retention RUN'!C3/'Retention RUN'!B3</f>
        <v>#DIV/0!</v>
      </c>
      <c r="N4" s="20"/>
      <c r="O4" s="21"/>
      <c r="Q4" s="22">
        <f>G4</f>
        <v>0</v>
      </c>
      <c r="R4" s="54"/>
      <c r="S4" s="23"/>
      <c r="T4" s="24"/>
      <c r="U4" s="25"/>
      <c r="V4" s="26"/>
      <c r="Y4" s="8">
        <v>0</v>
      </c>
      <c r="Z4" s="15">
        <f t="shared" si="0"/>
        <v>0</v>
      </c>
      <c r="AA4" s="15">
        <f t="shared" ref="AA4:AA27" si="1">IF(G4-SUM(R4:S4)&lt;=0,1,G4-SUM(R4:S4))</f>
        <v>1</v>
      </c>
      <c r="AB4" s="50"/>
    </row>
    <row r="5" spans="1:28" hidden="1" x14ac:dyDescent="0.35">
      <c r="A5" s="49">
        <v>1</v>
      </c>
      <c r="B5" s="8">
        <v>4.1666666666666699E-2</v>
      </c>
      <c r="C5" s="9">
        <f>'Retention RUN'!B4</f>
        <v>0</v>
      </c>
      <c r="D5" s="27"/>
      <c r="E5" s="11" t="e">
        <f t="shared" ref="E5" si="2">C5/D5</f>
        <v>#DIV/0!</v>
      </c>
      <c r="F5" s="28"/>
      <c r="G5" s="27"/>
      <c r="H5" s="30"/>
      <c r="I5" s="16" t="e">
        <f t="shared" ref="I5" si="3">(G5-F5)/F5</f>
        <v>#DIV/0!</v>
      </c>
      <c r="J5" s="11" t="e">
        <f t="shared" ref="J5" si="4">(G5-H5)/G5</f>
        <v>#DIV/0!</v>
      </c>
      <c r="K5" s="17"/>
      <c r="L5" s="19" t="e">
        <f>'Retention RUN'!C4/'Retention RUN'!B4</f>
        <v>#DIV/0!</v>
      </c>
      <c r="N5" s="20"/>
      <c r="O5" s="21"/>
      <c r="Q5" s="22">
        <f>G5</f>
        <v>0</v>
      </c>
      <c r="R5" s="54"/>
      <c r="S5" s="23"/>
      <c r="T5" s="24"/>
      <c r="U5" s="25"/>
      <c r="V5" s="26"/>
      <c r="Y5" s="8">
        <v>4.1666666666666699E-2</v>
      </c>
      <c r="Z5" s="15">
        <f t="shared" si="0"/>
        <v>0</v>
      </c>
      <c r="AA5" s="15">
        <f t="shared" si="1"/>
        <v>1</v>
      </c>
    </row>
    <row r="6" spans="1:28" hidden="1" x14ac:dyDescent="0.35">
      <c r="A6" s="49">
        <v>2</v>
      </c>
      <c r="B6" s="8">
        <v>8.3333333333333301E-2</v>
      </c>
      <c r="C6" s="9">
        <f>'Retention RUN'!B5</f>
        <v>0</v>
      </c>
      <c r="D6" s="10"/>
      <c r="E6" s="11" t="e">
        <f>C6/D6</f>
        <v>#DIV/0!</v>
      </c>
      <c r="F6" s="12"/>
      <c r="G6" s="10"/>
      <c r="H6" s="15"/>
      <c r="I6" s="16" t="e">
        <f>(G6-F6)/F6</f>
        <v>#DIV/0!</v>
      </c>
      <c r="J6" s="11" t="e">
        <f>(G6-H6)/G6</f>
        <v>#DIV/0!</v>
      </c>
      <c r="K6" s="17"/>
      <c r="L6" s="19" t="e">
        <f>'Retention RUN'!C5/'Retention RUN'!B5</f>
        <v>#DIV/0!</v>
      </c>
      <c r="N6" s="20"/>
      <c r="O6" s="21"/>
      <c r="Q6" s="22">
        <f>G6</f>
        <v>0</v>
      </c>
      <c r="R6" s="54"/>
      <c r="S6" s="23"/>
      <c r="T6" s="24"/>
      <c r="U6" s="25"/>
      <c r="V6" s="26"/>
      <c r="Y6" s="8">
        <v>8.3333333333333301E-2</v>
      </c>
      <c r="Z6" s="15">
        <f t="shared" si="0"/>
        <v>0</v>
      </c>
      <c r="AA6" s="15">
        <f t="shared" si="1"/>
        <v>1</v>
      </c>
    </row>
    <row r="7" spans="1:28" hidden="1" x14ac:dyDescent="0.35">
      <c r="A7" s="49">
        <v>3</v>
      </c>
      <c r="B7" s="8">
        <v>0.125</v>
      </c>
      <c r="C7" s="9">
        <f>'Retention RUN'!B6</f>
        <v>0</v>
      </c>
      <c r="D7" s="10"/>
      <c r="E7" s="11" t="e">
        <f t="shared" ref="E7:E27" si="5">C7/D7</f>
        <v>#DIV/0!</v>
      </c>
      <c r="F7" s="12"/>
      <c r="G7" s="10"/>
      <c r="H7" s="15"/>
      <c r="I7" s="16" t="e">
        <f t="shared" ref="I7:I27" si="6">(G7-F7)/F7</f>
        <v>#DIV/0!</v>
      </c>
      <c r="J7" s="11" t="e">
        <f t="shared" ref="J7:J13" si="7">(G7-H7)/G7</f>
        <v>#DIV/0!</v>
      </c>
      <c r="K7" s="17"/>
      <c r="L7" s="19" t="e">
        <f>'Retention RUN'!C6/'Retention RUN'!B6</f>
        <v>#DIV/0!</v>
      </c>
      <c r="N7" s="20"/>
      <c r="O7" s="21"/>
      <c r="Q7" s="22">
        <f t="shared" ref="Q7:Q27" si="8">G7</f>
        <v>0</v>
      </c>
      <c r="R7" s="54"/>
      <c r="S7" s="23"/>
      <c r="T7" s="24"/>
      <c r="U7" s="25"/>
      <c r="V7" s="26"/>
      <c r="Y7" s="8">
        <v>0.125</v>
      </c>
      <c r="Z7" s="15">
        <f t="shared" si="0"/>
        <v>0</v>
      </c>
      <c r="AA7" s="15">
        <f t="shared" si="1"/>
        <v>1</v>
      </c>
    </row>
    <row r="8" spans="1:28" hidden="1" x14ac:dyDescent="0.35">
      <c r="A8" s="49">
        <v>4</v>
      </c>
      <c r="B8" s="8">
        <v>0.16666666666666699</v>
      </c>
      <c r="C8" s="9">
        <f>'Retention RUN'!B7</f>
        <v>0</v>
      </c>
      <c r="D8" s="27"/>
      <c r="E8" s="11" t="e">
        <f t="shared" si="5"/>
        <v>#DIV/0!</v>
      </c>
      <c r="F8" s="28"/>
      <c r="G8" s="27"/>
      <c r="H8" s="30"/>
      <c r="I8" s="16" t="e">
        <f t="shared" si="6"/>
        <v>#DIV/0!</v>
      </c>
      <c r="J8" s="11" t="e">
        <f t="shared" si="7"/>
        <v>#DIV/0!</v>
      </c>
      <c r="K8" s="17"/>
      <c r="L8" s="19" t="e">
        <f>'Retention RUN'!C7/'Retention RUN'!B7</f>
        <v>#DIV/0!</v>
      </c>
      <c r="N8" s="20"/>
      <c r="O8" s="21"/>
      <c r="Q8" s="22">
        <f t="shared" si="8"/>
        <v>0</v>
      </c>
      <c r="R8" s="54"/>
      <c r="S8" s="23"/>
      <c r="T8" s="24"/>
      <c r="U8" s="25"/>
      <c r="V8" s="26"/>
      <c r="Y8" s="8">
        <v>0.16666666666666699</v>
      </c>
      <c r="Z8" s="15">
        <f t="shared" si="0"/>
        <v>0</v>
      </c>
      <c r="AA8" s="15">
        <f t="shared" si="1"/>
        <v>1</v>
      </c>
    </row>
    <row r="9" spans="1:28" hidden="1" x14ac:dyDescent="0.35">
      <c r="A9" s="49">
        <v>5</v>
      </c>
      <c r="B9" s="8">
        <v>0.20833333333333301</v>
      </c>
      <c r="C9" s="9">
        <f>'Retention RUN'!B8</f>
        <v>0</v>
      </c>
      <c r="D9" s="10"/>
      <c r="E9" s="11" t="e">
        <f t="shared" si="5"/>
        <v>#DIV/0!</v>
      </c>
      <c r="F9" s="12"/>
      <c r="G9" s="10"/>
      <c r="H9" s="15"/>
      <c r="I9" s="16" t="e">
        <f t="shared" si="6"/>
        <v>#DIV/0!</v>
      </c>
      <c r="J9" s="11" t="e">
        <f t="shared" si="7"/>
        <v>#DIV/0!</v>
      </c>
      <c r="K9" s="17"/>
      <c r="L9" s="19" t="e">
        <f>'Retention RUN'!C8/'Retention RUN'!B8</f>
        <v>#DIV/0!</v>
      </c>
      <c r="N9" s="20"/>
      <c r="O9" s="21"/>
      <c r="Q9" s="22">
        <f t="shared" si="8"/>
        <v>0</v>
      </c>
      <c r="R9" s="54"/>
      <c r="S9" s="23"/>
      <c r="T9" s="24"/>
      <c r="U9" s="25"/>
      <c r="V9" s="26"/>
      <c r="Y9" s="8">
        <v>0.20833333333333301</v>
      </c>
      <c r="Z9" s="15">
        <f t="shared" si="0"/>
        <v>0</v>
      </c>
      <c r="AA9" s="15">
        <f t="shared" si="1"/>
        <v>1</v>
      </c>
    </row>
    <row r="10" spans="1:28" hidden="1" x14ac:dyDescent="0.35">
      <c r="A10" s="49">
        <v>6</v>
      </c>
      <c r="B10" s="8">
        <v>0.25</v>
      </c>
      <c r="C10" s="9">
        <f>'Retention RUN'!B9</f>
        <v>0</v>
      </c>
      <c r="D10" s="10"/>
      <c r="E10" s="11" t="e">
        <f t="shared" si="5"/>
        <v>#DIV/0!</v>
      </c>
      <c r="F10" s="12"/>
      <c r="G10" s="10"/>
      <c r="H10" s="15"/>
      <c r="I10" s="16" t="e">
        <f t="shared" si="6"/>
        <v>#DIV/0!</v>
      </c>
      <c r="J10" s="11" t="e">
        <f t="shared" si="7"/>
        <v>#DIV/0!</v>
      </c>
      <c r="K10" s="17"/>
      <c r="L10" s="19" t="e">
        <f>'Retention RUN'!C9/'Retention RUN'!B9</f>
        <v>#DIV/0!</v>
      </c>
      <c r="N10" s="20"/>
      <c r="O10" s="21"/>
      <c r="Q10" s="22">
        <f t="shared" si="8"/>
        <v>0</v>
      </c>
      <c r="R10" s="54"/>
      <c r="S10" s="23"/>
      <c r="T10" s="24"/>
      <c r="U10" s="25"/>
      <c r="V10" s="26"/>
      <c r="Y10" s="8">
        <v>0.25</v>
      </c>
      <c r="Z10" s="15">
        <f t="shared" si="0"/>
        <v>0</v>
      </c>
      <c r="AA10" s="15">
        <f t="shared" si="1"/>
        <v>1</v>
      </c>
    </row>
    <row r="11" spans="1:28" hidden="1" x14ac:dyDescent="0.35">
      <c r="A11" s="49">
        <v>7</v>
      </c>
      <c r="B11" s="8">
        <v>0.29166666666666702</v>
      </c>
      <c r="C11" s="137" t="s">
        <v>228</v>
      </c>
      <c r="D11" s="137" t="s">
        <v>229</v>
      </c>
      <c r="E11" s="11" t="e">
        <f t="shared" si="5"/>
        <v>#VALUE!</v>
      </c>
      <c r="F11" s="28"/>
      <c r="G11" s="27"/>
      <c r="H11" s="30"/>
      <c r="I11" s="16" t="e">
        <f t="shared" si="6"/>
        <v>#DIV/0!</v>
      </c>
      <c r="J11" s="11" t="e">
        <f t="shared" si="7"/>
        <v>#DIV/0!</v>
      </c>
      <c r="K11" s="17"/>
      <c r="L11" s="19" t="e">
        <f>'Retention RUN'!C10/'Retention RUN'!B10</f>
        <v>#DIV/0!</v>
      </c>
      <c r="N11" s="20"/>
      <c r="O11" s="21"/>
      <c r="Q11" s="22">
        <f t="shared" si="8"/>
        <v>0</v>
      </c>
      <c r="R11" s="54"/>
      <c r="S11" s="23"/>
      <c r="T11" s="24"/>
      <c r="U11" s="25"/>
      <c r="V11" s="26"/>
      <c r="Y11" s="8">
        <v>0.29166666666666702</v>
      </c>
      <c r="Z11" s="15">
        <f t="shared" si="0"/>
        <v>0</v>
      </c>
      <c r="AA11" s="15">
        <f t="shared" si="1"/>
        <v>1</v>
      </c>
    </row>
    <row r="12" spans="1:28" hidden="1" x14ac:dyDescent="0.35">
      <c r="A12" s="49">
        <v>8</v>
      </c>
      <c r="B12" s="8">
        <v>0.33333333333333298</v>
      </c>
      <c r="C12" s="138"/>
      <c r="D12" s="138"/>
      <c r="E12" s="11" t="e">
        <f t="shared" si="5"/>
        <v>#DIV/0!</v>
      </c>
      <c r="F12" s="12"/>
      <c r="G12" s="10"/>
      <c r="H12" s="15"/>
      <c r="I12" s="16" t="e">
        <f t="shared" si="6"/>
        <v>#DIV/0!</v>
      </c>
      <c r="J12" s="11" t="e">
        <f t="shared" si="7"/>
        <v>#DIV/0!</v>
      </c>
      <c r="K12" s="17"/>
      <c r="L12" s="19" t="e">
        <f>'Retention RUN'!C11/'Retention RUN'!B11</f>
        <v>#DIV/0!</v>
      </c>
      <c r="N12" s="20"/>
      <c r="O12" s="21"/>
      <c r="Q12" s="22">
        <f t="shared" si="8"/>
        <v>0</v>
      </c>
      <c r="R12" s="54"/>
      <c r="S12" s="23"/>
      <c r="T12" s="24"/>
      <c r="U12" s="25"/>
      <c r="V12" s="26"/>
      <c r="Y12" s="8">
        <v>0.33333333333333298</v>
      </c>
      <c r="Z12" s="15">
        <f t="shared" si="0"/>
        <v>0</v>
      </c>
      <c r="AA12" s="15">
        <f t="shared" si="1"/>
        <v>1</v>
      </c>
    </row>
    <row r="13" spans="1:28" ht="31.5" hidden="1" x14ac:dyDescent="0.35">
      <c r="A13" s="49">
        <v>9</v>
      </c>
      <c r="B13" s="8">
        <v>0.375</v>
      </c>
      <c r="C13" s="97" t="s">
        <v>230</v>
      </c>
      <c r="D13" s="139"/>
      <c r="E13" s="11" t="e">
        <f t="shared" si="5"/>
        <v>#VALUE!</v>
      </c>
      <c r="F13" s="12"/>
      <c r="G13" s="10"/>
      <c r="H13" s="15"/>
      <c r="I13" s="16" t="e">
        <f t="shared" si="6"/>
        <v>#DIV/0!</v>
      </c>
      <c r="J13" s="11" t="e">
        <f t="shared" si="7"/>
        <v>#DIV/0!</v>
      </c>
      <c r="K13" s="17"/>
      <c r="L13" s="19" t="e">
        <f>'Retention RUN'!C12/'Retention RUN'!B12</f>
        <v>#DIV/0!</v>
      </c>
      <c r="N13" s="20"/>
      <c r="O13" s="21"/>
      <c r="Q13" s="22">
        <f t="shared" si="8"/>
        <v>0</v>
      </c>
      <c r="R13" s="54"/>
      <c r="S13" s="23"/>
      <c r="T13" s="24"/>
      <c r="U13" s="25"/>
      <c r="V13" s="26"/>
      <c r="Y13" s="8">
        <v>0.375</v>
      </c>
      <c r="Z13" s="15">
        <f t="shared" si="0"/>
        <v>0</v>
      </c>
      <c r="AA13" s="15">
        <f t="shared" si="1"/>
        <v>1</v>
      </c>
    </row>
    <row r="14" spans="1:28" x14ac:dyDescent="0.35">
      <c r="A14" s="49">
        <v>10</v>
      </c>
      <c r="B14" s="8">
        <v>0.41666666666666702</v>
      </c>
      <c r="C14" s="9">
        <f>'Retention RUN'!B13</f>
        <v>0</v>
      </c>
      <c r="D14" s="81"/>
      <c r="E14" s="11" t="e">
        <f t="shared" si="5"/>
        <v>#DIV/0!</v>
      </c>
      <c r="F14" s="81"/>
      <c r="G14" s="81"/>
      <c r="H14" s="30">
        <f>(VLOOKUP(B14,'Run Report'!AR:AV,4,0)/"1:00:00")</f>
        <v>0</v>
      </c>
      <c r="I14" s="16" t="e">
        <f t="shared" si="6"/>
        <v>#DIV/0!</v>
      </c>
      <c r="J14" s="11" t="e">
        <f>1-(((VLOOKUP(B14,'Run Report'!AR:AV,4,0)/"1:00:00")/G14))</f>
        <v>#DIV/0!</v>
      </c>
      <c r="K14" s="17"/>
      <c r="L14" s="19" t="e">
        <f>'Retention RUN'!D13/'Retention RUN'!B13</f>
        <v>#DIV/0!</v>
      </c>
      <c r="N14" s="20"/>
      <c r="O14" s="21"/>
      <c r="Q14" s="22">
        <f t="shared" si="8"/>
        <v>0</v>
      </c>
      <c r="R14" s="54"/>
      <c r="S14" s="23"/>
      <c r="T14" s="24"/>
      <c r="U14" s="25"/>
      <c r="V14" s="26"/>
      <c r="Y14" s="8">
        <v>0.41666666666666702</v>
      </c>
      <c r="Z14" s="15">
        <f t="shared" si="0"/>
        <v>0</v>
      </c>
      <c r="AA14" s="15">
        <f t="shared" si="1"/>
        <v>1</v>
      </c>
    </row>
    <row r="15" spans="1:28" x14ac:dyDescent="0.35">
      <c r="A15" s="49">
        <v>11</v>
      </c>
      <c r="B15" s="8">
        <v>0.45833333333333298</v>
      </c>
      <c r="C15" s="9">
        <f>'Retention RUN'!B14</f>
        <v>0</v>
      </c>
      <c r="D15" s="81"/>
      <c r="E15" s="11" t="e">
        <f t="shared" si="5"/>
        <v>#DIV/0!</v>
      </c>
      <c r="F15" s="81"/>
      <c r="G15" s="81"/>
      <c r="H15" s="30">
        <f>(VLOOKUP(B15,'Run Report'!AR:AV,4,0)/"1:00:00")</f>
        <v>0</v>
      </c>
      <c r="I15" s="16" t="e">
        <f t="shared" si="6"/>
        <v>#DIV/0!</v>
      </c>
      <c r="J15" s="11" t="e">
        <f>1-(((VLOOKUP(B15,'Run Report'!AR:AV,4,0)/"1:00:00")/G15))</f>
        <v>#DIV/0!</v>
      </c>
      <c r="K15" s="17"/>
      <c r="L15" s="19" t="e">
        <f>'Retention RUN'!D14/'Retention RUN'!B14</f>
        <v>#DIV/0!</v>
      </c>
      <c r="N15" s="20"/>
      <c r="O15" s="21"/>
      <c r="Q15" s="22">
        <f t="shared" si="8"/>
        <v>0</v>
      </c>
      <c r="R15" s="54"/>
      <c r="S15" s="23"/>
      <c r="T15" s="24"/>
      <c r="U15" s="25"/>
      <c r="V15" s="26"/>
      <c r="Y15" s="8">
        <v>0.45833333333333298</v>
      </c>
      <c r="Z15" s="15">
        <f t="shared" si="0"/>
        <v>0</v>
      </c>
      <c r="AA15" s="15">
        <f t="shared" si="1"/>
        <v>1</v>
      </c>
    </row>
    <row r="16" spans="1:28" x14ac:dyDescent="0.35">
      <c r="A16" s="49">
        <v>12</v>
      </c>
      <c r="B16" s="8">
        <v>0.5</v>
      </c>
      <c r="C16" s="9">
        <f>'Retention RUN'!B15</f>
        <v>0</v>
      </c>
      <c r="D16" s="81"/>
      <c r="E16" s="11" t="e">
        <f t="shared" si="5"/>
        <v>#DIV/0!</v>
      </c>
      <c r="F16" s="81"/>
      <c r="G16" s="81"/>
      <c r="H16" s="30">
        <f>(VLOOKUP(B16,'Run Report'!AR:AV,4,0)/"1:00:00")</f>
        <v>0</v>
      </c>
      <c r="I16" s="16" t="e">
        <f t="shared" si="6"/>
        <v>#DIV/0!</v>
      </c>
      <c r="J16" s="11" t="e">
        <f>1-(((VLOOKUP(B16,'Run Report'!AR:AV,4,0)/"1:00:00")/G16))</f>
        <v>#DIV/0!</v>
      </c>
      <c r="K16" s="17"/>
      <c r="L16" s="19" t="e">
        <f>'Retention RUN'!D15/'Retention RUN'!B15</f>
        <v>#DIV/0!</v>
      </c>
      <c r="N16" s="20"/>
      <c r="O16" s="21"/>
      <c r="Q16" s="22">
        <f t="shared" si="8"/>
        <v>0</v>
      </c>
      <c r="R16" s="54"/>
      <c r="S16" s="23"/>
      <c r="T16" s="24"/>
      <c r="U16" s="25"/>
      <c r="V16" s="26"/>
      <c r="Y16" s="8">
        <v>0.5</v>
      </c>
      <c r="Z16" s="15">
        <f t="shared" si="0"/>
        <v>0</v>
      </c>
      <c r="AA16" s="15">
        <f t="shared" si="1"/>
        <v>1</v>
      </c>
    </row>
    <row r="17" spans="1:34" x14ac:dyDescent="0.35">
      <c r="A17" s="49">
        <v>13</v>
      </c>
      <c r="B17" s="8">
        <v>0.54166666666666696</v>
      </c>
      <c r="C17" s="9">
        <f>'Retention RUN'!B16</f>
        <v>0</v>
      </c>
      <c r="D17" s="81"/>
      <c r="E17" s="11" t="e">
        <f t="shared" si="5"/>
        <v>#DIV/0!</v>
      </c>
      <c r="F17" s="81"/>
      <c r="G17" s="81"/>
      <c r="H17" s="30">
        <f>(VLOOKUP(B17,'Run Report'!AR:AV,4,0)/"1:00:00")</f>
        <v>0</v>
      </c>
      <c r="I17" s="16" t="e">
        <f t="shared" si="6"/>
        <v>#DIV/0!</v>
      </c>
      <c r="J17" s="11" t="e">
        <f>1-(((VLOOKUP(B17,'Run Report'!AR:AV,4,0)/"1:00:00")/G17))</f>
        <v>#DIV/0!</v>
      </c>
      <c r="K17" s="17"/>
      <c r="L17" s="19" t="e">
        <f>'Retention RUN'!D16/'Retention RUN'!B16</f>
        <v>#DIV/0!</v>
      </c>
      <c r="N17" s="20"/>
      <c r="O17" s="21"/>
      <c r="Q17" s="22">
        <f t="shared" si="8"/>
        <v>0</v>
      </c>
      <c r="R17" s="54"/>
      <c r="S17" s="23"/>
      <c r="T17" s="24"/>
      <c r="U17" s="25"/>
      <c r="V17" s="26"/>
      <c r="Y17" s="8">
        <v>0.54166666666666696</v>
      </c>
      <c r="Z17" s="15">
        <f t="shared" si="0"/>
        <v>0</v>
      </c>
      <c r="AA17" s="15">
        <f t="shared" si="1"/>
        <v>1</v>
      </c>
    </row>
    <row r="18" spans="1:34" x14ac:dyDescent="0.35">
      <c r="A18" s="49">
        <v>14</v>
      </c>
      <c r="B18" s="8">
        <v>0.58333333333333304</v>
      </c>
      <c r="C18" s="9">
        <f>'Retention RUN'!B17</f>
        <v>0</v>
      </c>
      <c r="D18" s="81"/>
      <c r="E18" s="11" t="e">
        <f t="shared" si="5"/>
        <v>#DIV/0!</v>
      </c>
      <c r="F18" s="81"/>
      <c r="G18" s="81"/>
      <c r="H18" s="30">
        <f>(VLOOKUP(B18,'Run Report'!AR:AV,4,0)/"1:00:00")</f>
        <v>0</v>
      </c>
      <c r="I18" s="16" t="e">
        <f t="shared" si="6"/>
        <v>#DIV/0!</v>
      </c>
      <c r="J18" s="11" t="e">
        <f>1-(((VLOOKUP(B18,'Run Report'!AR:AV,4,0)/"1:00:00")/G18))</f>
        <v>#DIV/0!</v>
      </c>
      <c r="K18" s="17"/>
      <c r="L18" s="19" t="e">
        <f>'Retention RUN'!D17/'Retention RUN'!B17</f>
        <v>#DIV/0!</v>
      </c>
      <c r="N18" s="20"/>
      <c r="O18" s="21"/>
      <c r="Q18" s="22">
        <f t="shared" si="8"/>
        <v>0</v>
      </c>
      <c r="R18" s="54"/>
      <c r="S18" s="23"/>
      <c r="T18" s="24"/>
      <c r="U18" s="25"/>
      <c r="V18" s="26"/>
      <c r="Y18" s="8">
        <v>0.58333333333333304</v>
      </c>
      <c r="Z18" s="15">
        <f t="shared" si="0"/>
        <v>0</v>
      </c>
      <c r="AA18" s="15">
        <f t="shared" si="1"/>
        <v>1</v>
      </c>
    </row>
    <row r="19" spans="1:34" x14ac:dyDescent="0.35">
      <c r="A19" s="49">
        <v>15</v>
      </c>
      <c r="B19" s="8">
        <v>0.625</v>
      </c>
      <c r="C19" s="9">
        <f>'Retention RUN'!B18</f>
        <v>0</v>
      </c>
      <c r="D19" s="81"/>
      <c r="E19" s="11" t="e">
        <f t="shared" si="5"/>
        <v>#DIV/0!</v>
      </c>
      <c r="F19" s="81"/>
      <c r="G19" s="81"/>
      <c r="H19" s="30">
        <f>(VLOOKUP(B19,'Run Report'!AR:AV,4,0)/"1:00:00")</f>
        <v>0</v>
      </c>
      <c r="I19" s="16" t="e">
        <f t="shared" si="6"/>
        <v>#DIV/0!</v>
      </c>
      <c r="J19" s="11" t="e">
        <f>1-(((VLOOKUP(B19,'Run Report'!AR:AV,4,0)/"1:00:00")/G19))</f>
        <v>#DIV/0!</v>
      </c>
      <c r="K19" s="17"/>
      <c r="L19" s="19" t="e">
        <f>'Retention RUN'!D18/'Retention RUN'!B18</f>
        <v>#DIV/0!</v>
      </c>
      <c r="N19" s="20"/>
      <c r="O19" s="21"/>
      <c r="Q19" s="22">
        <f t="shared" si="8"/>
        <v>0</v>
      </c>
      <c r="R19" s="54"/>
      <c r="S19" s="23"/>
      <c r="T19" s="24"/>
      <c r="U19" s="25"/>
      <c r="V19" s="26"/>
      <c r="Y19" s="8">
        <v>0.625</v>
      </c>
      <c r="Z19" s="15">
        <f t="shared" si="0"/>
        <v>0</v>
      </c>
      <c r="AA19" s="15">
        <f t="shared" si="1"/>
        <v>1</v>
      </c>
    </row>
    <row r="20" spans="1:34" x14ac:dyDescent="0.35">
      <c r="A20" s="49">
        <v>16</v>
      </c>
      <c r="B20" s="8">
        <v>0.66666666666666696</v>
      </c>
      <c r="C20" s="9">
        <f>'Retention RUN'!B19</f>
        <v>0</v>
      </c>
      <c r="D20" s="81"/>
      <c r="E20" s="11" t="e">
        <f t="shared" si="5"/>
        <v>#DIV/0!</v>
      </c>
      <c r="F20" s="81"/>
      <c r="G20" s="81"/>
      <c r="H20" s="30">
        <f>(VLOOKUP(B20,'Run Report'!AR:AV,4,0)/"1:00:00")</f>
        <v>0</v>
      </c>
      <c r="I20" s="16" t="e">
        <f t="shared" si="6"/>
        <v>#DIV/0!</v>
      </c>
      <c r="J20" s="11" t="e">
        <f>1-(((VLOOKUP(B20,'Run Report'!AR:AV,4,0)/"1:00:00")/G20))</f>
        <v>#DIV/0!</v>
      </c>
      <c r="K20" s="17"/>
      <c r="L20" s="19" t="e">
        <f>'Retention RUN'!D19/'Retention RUN'!B19</f>
        <v>#DIV/0!</v>
      </c>
      <c r="N20" s="20"/>
      <c r="O20" s="21"/>
      <c r="Q20" s="22">
        <f t="shared" si="8"/>
        <v>0</v>
      </c>
      <c r="R20" s="54"/>
      <c r="S20" s="23"/>
      <c r="T20" s="24"/>
      <c r="U20" s="25"/>
      <c r="V20" s="26"/>
      <c r="Y20" s="8">
        <v>0.66666666666666696</v>
      </c>
      <c r="Z20" s="15">
        <f t="shared" si="0"/>
        <v>0</v>
      </c>
      <c r="AA20" s="15">
        <f t="shared" si="1"/>
        <v>1</v>
      </c>
    </row>
    <row r="21" spans="1:34" x14ac:dyDescent="0.35">
      <c r="A21" s="49">
        <v>17</v>
      </c>
      <c r="B21" s="8">
        <v>0.70833333333333304</v>
      </c>
      <c r="C21" s="9">
        <f>'Retention RUN'!B20</f>
        <v>0</v>
      </c>
      <c r="D21" s="81"/>
      <c r="E21" s="11" t="e">
        <f t="shared" si="5"/>
        <v>#DIV/0!</v>
      </c>
      <c r="F21" s="81"/>
      <c r="G21" s="81"/>
      <c r="H21" s="30">
        <f>(VLOOKUP(B21,'Run Report'!AR:AV,4,0)/"1:00:00")</f>
        <v>0</v>
      </c>
      <c r="I21" s="16" t="e">
        <f t="shared" si="6"/>
        <v>#DIV/0!</v>
      </c>
      <c r="J21" s="11" t="e">
        <f>1-(((VLOOKUP(B21,'Run Report'!AR:AV,4,0)/"1:00:00")/G21))</f>
        <v>#DIV/0!</v>
      </c>
      <c r="K21" s="17"/>
      <c r="L21" s="19" t="e">
        <f>'Retention RUN'!D20/'Retention RUN'!B20</f>
        <v>#DIV/0!</v>
      </c>
      <c r="N21" s="20"/>
      <c r="O21" s="21"/>
      <c r="Q21" s="22">
        <f t="shared" si="8"/>
        <v>0</v>
      </c>
      <c r="R21" s="54"/>
      <c r="S21" s="23"/>
      <c r="T21" s="24"/>
      <c r="U21" s="25"/>
      <c r="V21" s="26"/>
      <c r="Y21" s="8">
        <v>0.70833333333333304</v>
      </c>
      <c r="Z21" s="15">
        <f t="shared" si="0"/>
        <v>0</v>
      </c>
      <c r="AA21" s="15">
        <f t="shared" si="1"/>
        <v>1</v>
      </c>
    </row>
    <row r="22" spans="1:34" x14ac:dyDescent="0.35">
      <c r="A22" s="49">
        <v>18</v>
      </c>
      <c r="B22" s="8">
        <v>0.75</v>
      </c>
      <c r="C22" s="9">
        <f>'Retention RUN'!B21</f>
        <v>0</v>
      </c>
      <c r="D22" s="81"/>
      <c r="E22" s="11" t="e">
        <f t="shared" si="5"/>
        <v>#DIV/0!</v>
      </c>
      <c r="F22" s="81"/>
      <c r="G22" s="81"/>
      <c r="H22" s="30">
        <f>(VLOOKUP(B22,'Run Report'!AR:AV,4,0)/"1:00:00")</f>
        <v>0</v>
      </c>
      <c r="I22" s="16" t="e">
        <f t="shared" si="6"/>
        <v>#DIV/0!</v>
      </c>
      <c r="J22" s="11" t="e">
        <f>1-(((VLOOKUP(B22,'Run Report'!AR:AV,4,0)/"1:00:00")/G22))</f>
        <v>#DIV/0!</v>
      </c>
      <c r="K22" s="17"/>
      <c r="L22" s="19" t="e">
        <f>'Retention RUN'!D21/'Retention RUN'!B21</f>
        <v>#DIV/0!</v>
      </c>
      <c r="N22" s="20"/>
      <c r="O22" s="21"/>
      <c r="Q22" s="22">
        <f t="shared" si="8"/>
        <v>0</v>
      </c>
      <c r="R22" s="54"/>
      <c r="S22" s="23"/>
      <c r="T22" s="24"/>
      <c r="U22" s="25"/>
      <c r="V22" s="26"/>
      <c r="Y22" s="8">
        <v>0.75</v>
      </c>
      <c r="Z22" s="15">
        <f t="shared" si="0"/>
        <v>0</v>
      </c>
      <c r="AA22" s="15">
        <f t="shared" si="1"/>
        <v>1</v>
      </c>
    </row>
    <row r="23" spans="1:34" x14ac:dyDescent="0.35">
      <c r="A23" s="49">
        <v>19</v>
      </c>
      <c r="B23" s="8">
        <v>0.79166666666666696</v>
      </c>
      <c r="C23" s="9">
        <f>'Retention RUN'!B22</f>
        <v>0</v>
      </c>
      <c r="D23" s="81"/>
      <c r="E23" s="11" t="e">
        <f t="shared" si="5"/>
        <v>#DIV/0!</v>
      </c>
      <c r="F23" s="81"/>
      <c r="G23" s="81"/>
      <c r="H23" s="30">
        <f>(VLOOKUP(B23,'Run Report'!AR:AV,4,0)/"1:00:00")</f>
        <v>0</v>
      </c>
      <c r="I23" s="16" t="e">
        <f t="shared" si="6"/>
        <v>#DIV/0!</v>
      </c>
      <c r="J23" s="11" t="e">
        <f>1-(((VLOOKUP(B23,'Run Report'!AR:AV,4,0)/"1:00:00")/G23))</f>
        <v>#DIV/0!</v>
      </c>
      <c r="K23" s="17"/>
      <c r="L23" s="19" t="e">
        <f>'Retention RUN'!D22/'Retention RUN'!B22</f>
        <v>#DIV/0!</v>
      </c>
      <c r="N23" s="20"/>
      <c r="O23" s="21"/>
      <c r="Q23" s="22">
        <f t="shared" si="8"/>
        <v>0</v>
      </c>
      <c r="R23" s="54"/>
      <c r="S23" s="23"/>
      <c r="T23" s="24"/>
      <c r="U23" s="25"/>
      <c r="V23" s="26"/>
      <c r="Y23" s="8">
        <v>0.79166666666666696</v>
      </c>
      <c r="Z23" s="15">
        <f t="shared" si="0"/>
        <v>0</v>
      </c>
      <c r="AA23" s="15">
        <f t="shared" si="1"/>
        <v>1</v>
      </c>
    </row>
    <row r="24" spans="1:34" x14ac:dyDescent="0.35">
      <c r="A24" s="49">
        <v>20</v>
      </c>
      <c r="B24" s="8">
        <v>0.83333333333333304</v>
      </c>
      <c r="C24" s="9">
        <f>'Retention RUN'!B23</f>
        <v>0</v>
      </c>
      <c r="D24" s="81"/>
      <c r="E24" s="11" t="e">
        <f t="shared" si="5"/>
        <v>#DIV/0!</v>
      </c>
      <c r="F24" s="81"/>
      <c r="G24" s="81"/>
      <c r="H24" s="30">
        <f>(VLOOKUP(B24,'Run Report'!AR:AV,4,0)/"1:00:00")</f>
        <v>0</v>
      </c>
      <c r="I24" s="16" t="e">
        <f t="shared" si="6"/>
        <v>#DIV/0!</v>
      </c>
      <c r="J24" s="11" t="e">
        <f>1-(((VLOOKUP(B24,'Run Report'!AR:AV,4,0)/"1:00:00")/G24))</f>
        <v>#DIV/0!</v>
      </c>
      <c r="K24" s="17"/>
      <c r="L24" s="19" t="e">
        <f>'Retention RUN'!D23/'Retention RUN'!B23</f>
        <v>#DIV/0!</v>
      </c>
      <c r="N24" s="20"/>
      <c r="O24" s="21"/>
      <c r="Q24" s="22">
        <f t="shared" si="8"/>
        <v>0</v>
      </c>
      <c r="R24" s="54"/>
      <c r="S24" s="23"/>
      <c r="T24" s="24"/>
      <c r="U24" s="25"/>
      <c r="V24" s="26"/>
      <c r="Y24" s="8">
        <v>0.83333333333333304</v>
      </c>
      <c r="Z24" s="15">
        <f t="shared" si="0"/>
        <v>0</v>
      </c>
      <c r="AA24" s="15">
        <f t="shared" si="1"/>
        <v>1</v>
      </c>
    </row>
    <row r="25" spans="1:34" x14ac:dyDescent="0.35">
      <c r="A25" s="49">
        <v>21</v>
      </c>
      <c r="B25" s="8">
        <v>0.875</v>
      </c>
      <c r="C25" s="9">
        <f>'Retention RUN'!B24</f>
        <v>0</v>
      </c>
      <c r="D25" s="81"/>
      <c r="E25" s="11" t="e">
        <f t="shared" si="5"/>
        <v>#DIV/0!</v>
      </c>
      <c r="F25" s="81"/>
      <c r="G25" s="81"/>
      <c r="H25" s="30">
        <f>(VLOOKUP(B25,'Run Report'!AR:AV,4,0)/"1:00:00")</f>
        <v>0</v>
      </c>
      <c r="I25" s="16" t="e">
        <f t="shared" si="6"/>
        <v>#DIV/0!</v>
      </c>
      <c r="J25" s="11" t="e">
        <f>1-(((VLOOKUP(B25,'Run Report'!AR:AV,4,0)/"1:00:00")/G25))</f>
        <v>#DIV/0!</v>
      </c>
      <c r="K25" s="17"/>
      <c r="L25" s="19" t="e">
        <f>'Retention RUN'!D24/'Retention RUN'!B24</f>
        <v>#DIV/0!</v>
      </c>
      <c r="N25" s="20"/>
      <c r="O25" s="21"/>
      <c r="Q25" s="22">
        <f t="shared" si="8"/>
        <v>0</v>
      </c>
      <c r="R25" s="54"/>
      <c r="S25" s="23"/>
      <c r="T25" s="24"/>
      <c r="U25" s="25"/>
      <c r="V25" s="26"/>
      <c r="Y25" s="8">
        <v>0.875</v>
      </c>
      <c r="Z25" s="15">
        <f t="shared" si="0"/>
        <v>0</v>
      </c>
      <c r="AA25" s="15">
        <f t="shared" si="1"/>
        <v>1</v>
      </c>
    </row>
    <row r="26" spans="1:34" hidden="1" x14ac:dyDescent="0.35">
      <c r="A26" s="49">
        <v>22</v>
      </c>
      <c r="B26" s="8">
        <v>0.91666666666666696</v>
      </c>
      <c r="C26" s="9">
        <f>'Retention RUN'!B25</f>
        <v>0</v>
      </c>
      <c r="D26" s="10"/>
      <c r="E26" s="11" t="e">
        <f t="shared" si="5"/>
        <v>#DIV/0!</v>
      </c>
      <c r="F26" s="12">
        <v>5</v>
      </c>
      <c r="G26" s="10"/>
      <c r="H26" s="30">
        <f>(VLOOKUP(B26,'Run Report'!AR:AV,4,0)/"1:00:00")</f>
        <v>0</v>
      </c>
      <c r="I26" s="16">
        <f t="shared" si="6"/>
        <v>-1</v>
      </c>
      <c r="J26" s="11" t="e">
        <f>1-(((VLOOKUP(B26,'Run Report'!AR:AV,4,0)/"1:00:00")/G26))</f>
        <v>#DIV/0!</v>
      </c>
      <c r="K26" s="17"/>
      <c r="L26" s="19" t="e">
        <f>'Retention RUN'!D25/'Retention RUN'!B25</f>
        <v>#DIV/0!</v>
      </c>
      <c r="N26" s="20"/>
      <c r="O26" s="21"/>
      <c r="Q26" s="22">
        <f t="shared" si="8"/>
        <v>0</v>
      </c>
      <c r="R26" s="54"/>
      <c r="S26" s="23"/>
      <c r="T26" s="24"/>
      <c r="U26" s="25"/>
      <c r="V26" s="26"/>
      <c r="Y26" s="8">
        <v>0.91666666666666696</v>
      </c>
      <c r="Z26" s="15">
        <f t="shared" si="0"/>
        <v>5</v>
      </c>
      <c r="AA26" s="15">
        <f t="shared" si="1"/>
        <v>1</v>
      </c>
      <c r="AD26" s="51" t="s">
        <v>34</v>
      </c>
      <c r="AE26" s="52" t="s">
        <v>35</v>
      </c>
      <c r="AF26" s="52" t="s">
        <v>36</v>
      </c>
      <c r="AH26" t="s">
        <v>37</v>
      </c>
    </row>
    <row r="27" spans="1:34" hidden="1" x14ac:dyDescent="0.35">
      <c r="A27" s="49">
        <v>23</v>
      </c>
      <c r="B27" s="8">
        <v>0.95833333333333304</v>
      </c>
      <c r="C27" s="9">
        <f>'Retention RUN'!B26</f>
        <v>0</v>
      </c>
      <c r="D27" s="10"/>
      <c r="E27" s="11" t="e">
        <f t="shared" si="5"/>
        <v>#DIV/0!</v>
      </c>
      <c r="F27" s="12"/>
      <c r="G27" s="10"/>
      <c r="H27" s="30">
        <f>(VLOOKUP(B27,'Run Report'!AR:AV,4,0)/"1:00:00")</f>
        <v>0</v>
      </c>
      <c r="I27" s="16" t="e">
        <f t="shared" si="6"/>
        <v>#DIV/0!</v>
      </c>
      <c r="J27" s="11" t="e">
        <f>1-(((VLOOKUP(B27,'Run Report'!AR:AV,4,0)/"1:00:00")/G27))</f>
        <v>#DIV/0!</v>
      </c>
      <c r="K27" s="17"/>
      <c r="L27" s="19" t="e">
        <f>'Retention RUN'!D26/'Retention RUN'!B26</f>
        <v>#DIV/0!</v>
      </c>
      <c r="N27" s="20"/>
      <c r="O27" s="21"/>
      <c r="Q27" s="22">
        <f t="shared" si="8"/>
        <v>0</v>
      </c>
      <c r="R27" s="54"/>
      <c r="S27" s="23"/>
      <c r="T27" s="24"/>
      <c r="U27" s="25"/>
      <c r="V27" s="26"/>
      <c r="Y27" s="8">
        <v>0.95833333333333304</v>
      </c>
      <c r="Z27" s="15">
        <f t="shared" si="0"/>
        <v>0</v>
      </c>
      <c r="AA27" s="15">
        <f t="shared" si="1"/>
        <v>1</v>
      </c>
      <c r="AD27" s="58">
        <v>0.29166666666666669</v>
      </c>
      <c r="AE27" s="58">
        <v>0.33333333333333331</v>
      </c>
      <c r="AF27" s="57" t="s">
        <v>38</v>
      </c>
      <c r="AH27" s="53" t="s">
        <v>38</v>
      </c>
    </row>
    <row r="28" spans="1:34" x14ac:dyDescent="0.35">
      <c r="B28" s="31"/>
      <c r="C28" s="9"/>
      <c r="D28" s="31"/>
      <c r="E28" s="32">
        <f>COUNTIFS(E4:E27,"&gt;85%",E4:E27,"&lt;115%")</f>
        <v>0</v>
      </c>
      <c r="F28" s="33"/>
      <c r="G28" s="33"/>
      <c r="H28" s="30"/>
      <c r="I28" s="33"/>
      <c r="J28" s="113"/>
      <c r="K28" s="31"/>
      <c r="L28" s="31"/>
      <c r="N28" s="34"/>
      <c r="O28" s="35"/>
      <c r="Q28" s="31"/>
      <c r="R28" s="36"/>
      <c r="S28" s="37"/>
      <c r="T28" s="37"/>
      <c r="U28" s="37"/>
      <c r="V28" s="37"/>
      <c r="AD28" s="58">
        <v>0.33333333333333331</v>
      </c>
      <c r="AE28" s="58">
        <v>0.83333333333333337</v>
      </c>
      <c r="AF28" s="56" t="s">
        <v>40</v>
      </c>
      <c r="AH28" t="s">
        <v>39</v>
      </c>
    </row>
    <row r="29" spans="1:34" x14ac:dyDescent="0.35">
      <c r="B29" s="38" t="s">
        <v>26</v>
      </c>
      <c r="C29" s="39">
        <f>SUM(C14:C25)</f>
        <v>0</v>
      </c>
      <c r="D29" s="39">
        <f>SUM(D14:D25)</f>
        <v>0</v>
      </c>
      <c r="E29" s="40">
        <f>COUNTIFS(E14:E25,"&gt;=0.80",E14:E25,"&lt;=01.15")/COUNTA(E14:E25)</f>
        <v>0</v>
      </c>
      <c r="F29" s="33"/>
      <c r="G29" s="65">
        <f>SUM(G14:G25)</f>
        <v>0</v>
      </c>
      <c r="H29" s="65">
        <f>SUM(H14:H25)</f>
        <v>0</v>
      </c>
      <c r="J29" s="40" t="e">
        <f>IF((G29-H29)/G29&gt;0,(G29-H29)/G29,0%)</f>
        <v>#DIV/0!</v>
      </c>
      <c r="K29" s="43"/>
      <c r="L29" s="45" t="e">
        <f>SUM('Retention RUN'!D13:D24)/SUM('Retention RUN'!B13:B24)</f>
        <v>#DIV/0!</v>
      </c>
      <c r="N29" s="34"/>
      <c r="O29" s="35"/>
      <c r="Q29" s="31"/>
      <c r="R29" s="36"/>
      <c r="S29" s="37"/>
      <c r="T29" s="37"/>
      <c r="U29" s="37"/>
      <c r="V29" s="37"/>
      <c r="AD29" s="58">
        <v>0.83333333333333337</v>
      </c>
      <c r="AE29" s="58">
        <v>0</v>
      </c>
      <c r="AF29" s="57" t="s">
        <v>38</v>
      </c>
      <c r="AH29" s="56" t="s">
        <v>40</v>
      </c>
    </row>
    <row r="30" spans="1:34" x14ac:dyDescent="0.35">
      <c r="R30" s="46"/>
    </row>
    <row r="31" spans="1:34" x14ac:dyDescent="0.35">
      <c r="R31" s="46"/>
    </row>
  </sheetData>
  <mergeCells count="14">
    <mergeCell ref="B2:B3"/>
    <mergeCell ref="C2:C3"/>
    <mergeCell ref="D2:E2"/>
    <mergeCell ref="F2:J2"/>
    <mergeCell ref="K2:K3"/>
    <mergeCell ref="C11:C12"/>
    <mergeCell ref="D11:D13"/>
    <mergeCell ref="T2:V2"/>
    <mergeCell ref="Z2:AA2"/>
    <mergeCell ref="Q1:V1"/>
    <mergeCell ref="L2:L3"/>
    <mergeCell ref="N2:N3"/>
    <mergeCell ref="O2:O3"/>
    <mergeCell ref="Q2:S2"/>
  </mergeCells>
  <conditionalFormatting sqref="L4:L27">
    <cfRule type="cellIs" dxfId="113" priority="57" operator="lessThan">
      <formula>0.8</formula>
    </cfRule>
  </conditionalFormatting>
  <conditionalFormatting sqref="E4:E27">
    <cfRule type="cellIs" dxfId="112" priority="55" operator="lessThan">
      <formula>0.8</formula>
    </cfRule>
    <cfRule type="cellIs" dxfId="111" priority="56" operator="greaterThan">
      <formula>1.15</formula>
    </cfRule>
  </conditionalFormatting>
  <conditionalFormatting sqref="J4:J27">
    <cfRule type="cellIs" dxfId="110" priority="49" operator="lessThan">
      <formula>0</formula>
    </cfRule>
    <cfRule type="cellIs" dxfId="109" priority="52" operator="lessThan">
      <formula>0.101111111</formula>
    </cfRule>
    <cfRule type="cellIs" dxfId="108" priority="53" operator="between">
      <formula>0.1</formula>
      <formula>0.201111111</formula>
    </cfRule>
    <cfRule type="cellIs" dxfId="107" priority="54" operator="greaterThan">
      <formula>0.2</formula>
    </cfRule>
  </conditionalFormatting>
  <conditionalFormatting sqref="I4:I27">
    <cfRule type="cellIs" dxfId="106" priority="50" operator="lessThan">
      <formula>0</formula>
    </cfRule>
    <cfRule type="cellIs" dxfId="105" priority="51" operator="greaterThan">
      <formula>0</formula>
    </cfRule>
  </conditionalFormatting>
  <conditionalFormatting sqref="U4">
    <cfRule type="cellIs" dxfId="104" priority="47" operator="lessThan">
      <formula>$S$4</formula>
    </cfRule>
    <cfRule type="cellIs" dxfId="103" priority="48" operator="greaterThan">
      <formula>$S$4</formula>
    </cfRule>
  </conditionalFormatting>
  <conditionalFormatting sqref="U6">
    <cfRule type="cellIs" dxfId="102" priority="45" operator="lessThan">
      <formula>$S$6</formula>
    </cfRule>
    <cfRule type="cellIs" dxfId="101" priority="46" operator="greaterThan">
      <formula>$S$6</formula>
    </cfRule>
  </conditionalFormatting>
  <conditionalFormatting sqref="U7">
    <cfRule type="cellIs" dxfId="100" priority="43" operator="lessThan">
      <formula>$S$7</formula>
    </cfRule>
    <cfRule type="cellIs" dxfId="99" priority="44" operator="greaterThan">
      <formula>$S$7</formula>
    </cfRule>
  </conditionalFormatting>
  <conditionalFormatting sqref="U8">
    <cfRule type="cellIs" dxfId="98" priority="41" operator="lessThan">
      <formula>$S$8</formula>
    </cfRule>
    <cfRule type="cellIs" dxfId="97" priority="42" operator="greaterThan">
      <formula>$S$8</formula>
    </cfRule>
  </conditionalFormatting>
  <conditionalFormatting sqref="U9">
    <cfRule type="cellIs" dxfId="96" priority="39" operator="lessThan">
      <formula>$S$9</formula>
    </cfRule>
    <cfRule type="cellIs" dxfId="95" priority="40" operator="greaterThan">
      <formula>$S$9</formula>
    </cfRule>
  </conditionalFormatting>
  <conditionalFormatting sqref="U10">
    <cfRule type="cellIs" dxfId="94" priority="37" operator="lessThan">
      <formula>$S$10</formula>
    </cfRule>
    <cfRule type="cellIs" dxfId="93" priority="38" operator="greaterThan">
      <formula>$S$10</formula>
    </cfRule>
  </conditionalFormatting>
  <conditionalFormatting sqref="U11">
    <cfRule type="cellIs" dxfId="92" priority="35" operator="lessThan">
      <formula>$S$11</formula>
    </cfRule>
    <cfRule type="cellIs" dxfId="91" priority="36" operator="greaterThan">
      <formula>$S$11</formula>
    </cfRule>
  </conditionalFormatting>
  <conditionalFormatting sqref="U12">
    <cfRule type="cellIs" dxfId="90" priority="33" operator="lessThan">
      <formula>$S$12</formula>
    </cfRule>
    <cfRule type="cellIs" dxfId="89" priority="34" operator="greaterThan">
      <formula>$S$12</formula>
    </cfRule>
  </conditionalFormatting>
  <conditionalFormatting sqref="U13">
    <cfRule type="cellIs" dxfId="88" priority="31" operator="lessThan">
      <formula>$S$13</formula>
    </cfRule>
    <cfRule type="cellIs" dxfId="87" priority="32" operator="greaterThan">
      <formula>$S$13</formula>
    </cfRule>
  </conditionalFormatting>
  <conditionalFormatting sqref="U14">
    <cfRule type="cellIs" dxfId="86" priority="29" operator="lessThan">
      <formula>$S$14</formula>
    </cfRule>
    <cfRule type="cellIs" dxfId="85" priority="30" operator="greaterThan">
      <formula>$S$14</formula>
    </cfRule>
  </conditionalFormatting>
  <conditionalFormatting sqref="U15">
    <cfRule type="cellIs" dxfId="84" priority="27" operator="lessThan">
      <formula>$S$15</formula>
    </cfRule>
    <cfRule type="cellIs" dxfId="83" priority="28" operator="greaterThan">
      <formula>$S$15</formula>
    </cfRule>
  </conditionalFormatting>
  <conditionalFormatting sqref="U16">
    <cfRule type="cellIs" dxfId="82" priority="25" operator="lessThan">
      <formula>$S$16</formula>
    </cfRule>
    <cfRule type="cellIs" dxfId="81" priority="26" operator="greaterThan">
      <formula>$S$16</formula>
    </cfRule>
  </conditionalFormatting>
  <conditionalFormatting sqref="U17">
    <cfRule type="cellIs" dxfId="80" priority="23" operator="lessThan">
      <formula>$S$17</formula>
    </cfRule>
    <cfRule type="cellIs" dxfId="79" priority="24" operator="greaterThan">
      <formula>$S$17</formula>
    </cfRule>
  </conditionalFormatting>
  <conditionalFormatting sqref="U18">
    <cfRule type="cellIs" dxfId="78" priority="21" operator="lessThan">
      <formula>$S$18</formula>
    </cfRule>
    <cfRule type="cellIs" dxfId="77" priority="22" operator="greaterThan">
      <formula>$S$18</formula>
    </cfRule>
  </conditionalFormatting>
  <conditionalFormatting sqref="U19">
    <cfRule type="cellIs" dxfId="76" priority="19" operator="lessThan">
      <formula>$S$19</formula>
    </cfRule>
    <cfRule type="cellIs" dxfId="75" priority="20" operator="greaterThan">
      <formula>$S$19</formula>
    </cfRule>
  </conditionalFormatting>
  <conditionalFormatting sqref="U20">
    <cfRule type="cellIs" dxfId="74" priority="17" operator="lessThan">
      <formula>$S$20</formula>
    </cfRule>
    <cfRule type="cellIs" dxfId="73" priority="18" operator="greaterThan">
      <formula>$S$20</formula>
    </cfRule>
  </conditionalFormatting>
  <conditionalFormatting sqref="U21">
    <cfRule type="cellIs" dxfId="72" priority="15" operator="lessThan">
      <formula>$S$21</formula>
    </cfRule>
    <cfRule type="cellIs" dxfId="71" priority="16" operator="greaterThan">
      <formula>$S$21</formula>
    </cfRule>
  </conditionalFormatting>
  <conditionalFormatting sqref="U22">
    <cfRule type="cellIs" dxfId="70" priority="13" operator="lessThan">
      <formula>$S$22</formula>
    </cfRule>
    <cfRule type="cellIs" dxfId="69" priority="14" operator="greaterThan">
      <formula>$S$22</formula>
    </cfRule>
  </conditionalFormatting>
  <conditionalFormatting sqref="U23">
    <cfRule type="cellIs" dxfId="68" priority="11" operator="lessThan">
      <formula>$S$23</formula>
    </cfRule>
    <cfRule type="cellIs" dxfId="67" priority="12" operator="greaterThan">
      <formula>$S$23</formula>
    </cfRule>
  </conditionalFormatting>
  <conditionalFormatting sqref="U24">
    <cfRule type="cellIs" dxfId="66" priority="9" operator="lessThan">
      <formula>$S$24</formula>
    </cfRule>
    <cfRule type="cellIs" dxfId="65" priority="10" operator="greaterThan">
      <formula>$S$24</formula>
    </cfRule>
  </conditionalFormatting>
  <conditionalFormatting sqref="U25">
    <cfRule type="cellIs" dxfId="64" priority="7" operator="lessThan">
      <formula>$S$25</formula>
    </cfRule>
    <cfRule type="cellIs" dxfId="63" priority="8" operator="greaterThan">
      <formula>$S$25</formula>
    </cfRule>
  </conditionalFormatting>
  <conditionalFormatting sqref="U26">
    <cfRule type="cellIs" dxfId="62" priority="5" operator="lessThan">
      <formula>$S$26</formula>
    </cfRule>
    <cfRule type="cellIs" dxfId="61" priority="6" operator="greaterThan">
      <formula>$S$26</formula>
    </cfRule>
  </conditionalFormatting>
  <conditionalFormatting sqref="U27">
    <cfRule type="cellIs" dxfId="60" priority="3" operator="lessThan">
      <formula>$S$27</formula>
    </cfRule>
    <cfRule type="cellIs" dxfId="59" priority="4" operator="greaterThan">
      <formula>$S$27</formula>
    </cfRule>
  </conditionalFormatting>
  <conditionalFormatting sqref="U5">
    <cfRule type="cellIs" dxfId="58" priority="1" operator="lessThan">
      <formula>$S$5</formula>
    </cfRule>
    <cfRule type="cellIs" dxfId="57" priority="2" operator="greaterThan">
      <formula>$S$5</formula>
    </cfRule>
  </conditionalFormatting>
  <dataValidations count="2">
    <dataValidation type="list" errorStyle="information" allowBlank="1" showInputMessage="1" showErrorMessage="1" error="You Are about to change the Drop menu !!" sqref="N1:N3 N28:N1048576" xr:uid="{EA843C2B-0BF6-4CBD-9534-8F24CDC4C4EA}">
      <formula1>"Off Phone Activities Without alignment( ),High AHT,High Talk time,Unplaned Breaks,Staff Shortage,High Abs ( %),High Call Traffic,Low AHT,Low Traffic Calls,Staff Over Demanded,Staff Under Demand"</formula1>
    </dataValidation>
    <dataValidation type="list" errorStyle="information" allowBlank="1" showInputMessage="1" showErrorMessage="1" error="&quot;you are about to edit the dropp menu be carefull &quot; !!" sqref="N4:N27 C11:D11" xr:uid="{46192BE1-0BB8-4116-BBB5-4564836B37C8}">
      <formula1>"Unplanned Off Phone Activities(""""),Lack of break adherence,High AHT,Low AHT,High Abs (  %),Staff Over Demanded,Staff Under Demand,Staff Shortage,Unplanned Breaks,exceeding Breaks,High Traffic Chats,Low Traffic Chats"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C98D-6AED-439B-805F-7AA3FB5FD15E}">
  <sheetPr codeName="Sheet8">
    <tabColor rgb="FF7030A0"/>
  </sheetPr>
  <dimension ref="A2:D28"/>
  <sheetViews>
    <sheetView workbookViewId="0">
      <selection activeCell="A3" sqref="A3:D26"/>
    </sheetView>
  </sheetViews>
  <sheetFormatPr defaultRowHeight="14.5" x14ac:dyDescent="0.35"/>
  <cols>
    <col min="1" max="1" width="14.453125" bestFit="1" customWidth="1"/>
    <col min="2" max="2" width="7" bestFit="1" customWidth="1"/>
    <col min="3" max="3" width="9.54296875" bestFit="1" customWidth="1"/>
  </cols>
  <sheetData>
    <row r="2" spans="1:4" x14ac:dyDescent="0.35">
      <c r="A2" t="s">
        <v>27</v>
      </c>
      <c r="B2" t="s">
        <v>28</v>
      </c>
      <c r="C2" t="s">
        <v>62</v>
      </c>
      <c r="D2" t="s">
        <v>65</v>
      </c>
    </row>
    <row r="28" spans="2:4" x14ac:dyDescent="0.35">
      <c r="B28" s="76">
        <f>SUM(B13:B24)</f>
        <v>0</v>
      </c>
      <c r="C28" s="76">
        <f>SUM(C13:C24)</f>
        <v>0</v>
      </c>
      <c r="D28" s="76">
        <f>SUM(D13:D24)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E4D3E-2DAC-428F-AAE8-7FE8EFD1322F}">
  <sheetPr codeName="Sheet13"/>
  <dimension ref="A1:AH31"/>
  <sheetViews>
    <sheetView workbookViewId="0">
      <selection activeCell="D4" sqref="D4:D27"/>
    </sheetView>
  </sheetViews>
  <sheetFormatPr defaultRowHeight="14.5" x14ac:dyDescent="0.35"/>
  <cols>
    <col min="1" max="1" width="8.81640625" style="49"/>
    <col min="3" max="3" width="9.453125" customWidth="1"/>
    <col min="4" max="4" width="6.81640625" customWidth="1"/>
    <col min="5" max="5" width="9.453125" customWidth="1"/>
    <col min="7" max="7" width="8.7265625" customWidth="1"/>
    <col min="8" max="8" width="5.453125" bestFit="1" customWidth="1"/>
    <col min="9" max="9" width="8.54296875" customWidth="1"/>
    <col min="10" max="10" width="5.1796875" style="59" bestFit="1" customWidth="1"/>
    <col min="11" max="11" width="3.81640625" hidden="1" customWidth="1"/>
    <col min="13" max="13" width="1.54296875" customWidth="1"/>
    <col min="14" max="14" width="21.453125" style="3" customWidth="1"/>
    <col min="15" max="15" width="21.453125" customWidth="1"/>
    <col min="16" max="16" width="1.453125" customWidth="1"/>
    <col min="17" max="17" width="3.453125" bestFit="1" customWidth="1"/>
    <col min="18" max="18" width="3.54296875" bestFit="1" customWidth="1"/>
    <col min="19" max="19" width="7" customWidth="1"/>
    <col min="20" max="21" width="6.453125" bestFit="1" customWidth="1"/>
    <col min="22" max="22" width="7" customWidth="1"/>
    <col min="23" max="23" width="9.453125" customWidth="1"/>
    <col min="24" max="24" width="9.54296875" customWidth="1"/>
    <col min="32" max="32" width="43" bestFit="1" customWidth="1"/>
  </cols>
  <sheetData>
    <row r="1" spans="1:28" ht="15" thickBot="1" x14ac:dyDescent="0.4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Q1" s="122" t="s">
        <v>0</v>
      </c>
      <c r="R1" s="122"/>
      <c r="S1" s="122"/>
      <c r="T1" s="122"/>
      <c r="U1" s="122"/>
      <c r="V1" s="122"/>
    </row>
    <row r="2" spans="1:28" ht="15" customHeight="1" x14ac:dyDescent="0.35">
      <c r="B2" s="130" t="s">
        <v>2</v>
      </c>
      <c r="C2" s="132" t="s">
        <v>3</v>
      </c>
      <c r="D2" s="134" t="s">
        <v>4</v>
      </c>
      <c r="E2" s="135"/>
      <c r="F2" s="134" t="s">
        <v>6</v>
      </c>
      <c r="G2" s="136"/>
      <c r="H2" s="136"/>
      <c r="I2" s="136"/>
      <c r="J2" s="135"/>
      <c r="K2" s="127" t="s">
        <v>7</v>
      </c>
      <c r="L2" s="128" t="s">
        <v>9</v>
      </c>
      <c r="N2" s="118" t="s">
        <v>10</v>
      </c>
      <c r="O2" s="119" t="s">
        <v>11</v>
      </c>
      <c r="Q2" s="120" t="s">
        <v>12</v>
      </c>
      <c r="R2" s="120"/>
      <c r="S2" s="120"/>
      <c r="T2" s="121" t="s">
        <v>13</v>
      </c>
      <c r="U2" s="121"/>
      <c r="V2" s="121"/>
      <c r="Z2" s="117" t="s">
        <v>32</v>
      </c>
      <c r="AA2" s="117"/>
    </row>
    <row r="3" spans="1:28" ht="15" thickBot="1" x14ac:dyDescent="0.4">
      <c r="B3" s="131"/>
      <c r="C3" s="133"/>
      <c r="D3" s="4" t="s">
        <v>14</v>
      </c>
      <c r="E3" s="5" t="s">
        <v>15</v>
      </c>
      <c r="F3" s="4" t="s">
        <v>18</v>
      </c>
      <c r="G3" s="6" t="s">
        <v>19</v>
      </c>
      <c r="H3" s="47" t="s">
        <v>20</v>
      </c>
      <c r="I3" s="6" t="s">
        <v>21</v>
      </c>
      <c r="J3" s="112" t="s">
        <v>22</v>
      </c>
      <c r="K3" s="125"/>
      <c r="L3" s="129"/>
      <c r="N3" s="118"/>
      <c r="O3" s="119"/>
      <c r="Q3" s="7" t="s">
        <v>23</v>
      </c>
      <c r="R3" s="7" t="s">
        <v>24</v>
      </c>
      <c r="S3" s="7" t="s">
        <v>25</v>
      </c>
      <c r="T3" s="48" t="s">
        <v>23</v>
      </c>
      <c r="U3" s="48" t="s">
        <v>24</v>
      </c>
      <c r="V3" s="48" t="s">
        <v>25</v>
      </c>
      <c r="Y3" s="6" t="s">
        <v>2</v>
      </c>
      <c r="Z3" s="6" t="str">
        <f t="shared" ref="Z3:Z27" si="0">F3</f>
        <v>Demand</v>
      </c>
      <c r="AA3" s="6" t="s">
        <v>33</v>
      </c>
    </row>
    <row r="4" spans="1:28" x14ac:dyDescent="0.35">
      <c r="A4" s="49">
        <v>0</v>
      </c>
      <c r="B4" s="8">
        <v>0</v>
      </c>
      <c r="C4" s="9">
        <f>'OB RUN'!B3</f>
        <v>0</v>
      </c>
      <c r="D4" s="81"/>
      <c r="E4" s="11" t="e">
        <f>C4/D4</f>
        <v>#DIV/0!</v>
      </c>
      <c r="F4" s="81"/>
      <c r="G4" s="81"/>
      <c r="H4" s="30">
        <f>(VLOOKUP(B4,'Run Report'!AR:AV,5,0)/"1:00:00")</f>
        <v>0</v>
      </c>
      <c r="I4" s="16" t="e">
        <f>(G4-F4)/F4</f>
        <v>#DIV/0!</v>
      </c>
      <c r="J4" s="11" t="e">
        <f>1-(((VLOOKUP(B4,'Run Report'!AR:AV,5,0)/"1:00:00")/G4))</f>
        <v>#DIV/0!</v>
      </c>
      <c r="K4" s="17"/>
      <c r="L4" s="19" t="e">
        <f>'OB RUN'!D3/'OB RUN'!B3</f>
        <v>#DIV/0!</v>
      </c>
      <c r="N4" s="20"/>
      <c r="O4" s="21"/>
      <c r="Q4" s="22">
        <f>G4</f>
        <v>0</v>
      </c>
      <c r="R4" s="54"/>
      <c r="S4" s="23"/>
      <c r="T4" s="24"/>
      <c r="U4" s="25"/>
      <c r="V4" s="26"/>
      <c r="Y4" s="8">
        <v>0</v>
      </c>
      <c r="Z4" s="15">
        <f t="shared" si="0"/>
        <v>0</v>
      </c>
      <c r="AA4" s="15">
        <f t="shared" ref="AA4:AA27" si="1">IF(G4-SUM(R4:S4)&lt;=0,1,G4-SUM(R4:S4))</f>
        <v>1</v>
      </c>
      <c r="AB4" s="50"/>
    </row>
    <row r="5" spans="1:28" x14ac:dyDescent="0.35">
      <c r="A5" s="49">
        <v>1</v>
      </c>
      <c r="B5" s="8">
        <v>4.1666666666666699E-2</v>
      </c>
      <c r="C5" s="9">
        <f>'OB RUN'!B4</f>
        <v>0</v>
      </c>
      <c r="D5" s="81"/>
      <c r="E5" s="11" t="e">
        <f t="shared" ref="E5" si="2">C5/D5</f>
        <v>#DIV/0!</v>
      </c>
      <c r="F5" s="81"/>
      <c r="G5" s="81"/>
      <c r="H5" s="30">
        <f>(VLOOKUP(B5,'Run Report'!AR:AV,5,0)/"1:00:00")</f>
        <v>0</v>
      </c>
      <c r="I5" s="16" t="e">
        <f t="shared" ref="I5" si="3">(G5-F5)/F5</f>
        <v>#DIV/0!</v>
      </c>
      <c r="J5" s="11" t="e">
        <f>1-(((VLOOKUP(B5,'Run Report'!AR:AV,5,0)/"1:00:00")/G5))</f>
        <v>#DIV/0!</v>
      </c>
      <c r="K5" s="17"/>
      <c r="L5" s="19" t="e">
        <f>'OB RUN'!D4/'OB RUN'!B4</f>
        <v>#DIV/0!</v>
      </c>
      <c r="N5" s="20"/>
      <c r="O5" s="21"/>
      <c r="Q5" s="22">
        <f>G5</f>
        <v>0</v>
      </c>
      <c r="R5" s="54"/>
      <c r="S5" s="23"/>
      <c r="T5" s="24"/>
      <c r="U5" s="25"/>
      <c r="V5" s="26"/>
      <c r="Y5" s="8">
        <v>4.1666666666666699E-2</v>
      </c>
      <c r="Z5" s="15">
        <f t="shared" si="0"/>
        <v>0</v>
      </c>
      <c r="AA5" s="15">
        <f t="shared" si="1"/>
        <v>1</v>
      </c>
    </row>
    <row r="6" spans="1:28" x14ac:dyDescent="0.35">
      <c r="A6" s="49">
        <v>2</v>
      </c>
      <c r="B6" s="8">
        <v>8.3333333333333301E-2</v>
      </c>
      <c r="C6" s="9">
        <f>'OB RUN'!B5</f>
        <v>0</v>
      </c>
      <c r="D6" s="81"/>
      <c r="E6" s="11" t="e">
        <f>C6/D6</f>
        <v>#DIV/0!</v>
      </c>
      <c r="F6" s="81"/>
      <c r="G6" s="81"/>
      <c r="H6" s="30">
        <f>(VLOOKUP(B6,'Run Report'!AR:AV,5,0)/"1:00:00")</f>
        <v>0</v>
      </c>
      <c r="I6" s="16" t="e">
        <f>(G6-F6)/F6</f>
        <v>#DIV/0!</v>
      </c>
      <c r="J6" s="11" t="e">
        <f>1-(((VLOOKUP(B6,'Run Report'!AR:AV,5,0)/"1:00:00")/G6))</f>
        <v>#DIV/0!</v>
      </c>
      <c r="K6" s="17"/>
      <c r="L6" s="19" t="e">
        <f>'OB RUN'!D5/'OB RUN'!B5</f>
        <v>#DIV/0!</v>
      </c>
      <c r="N6" s="20"/>
      <c r="O6" s="21"/>
      <c r="Q6" s="22">
        <f>G6</f>
        <v>0</v>
      </c>
      <c r="R6" s="54"/>
      <c r="S6" s="23"/>
      <c r="T6" s="24"/>
      <c r="U6" s="25"/>
      <c r="V6" s="26"/>
      <c r="Y6" s="8">
        <v>8.3333333333333301E-2</v>
      </c>
      <c r="Z6" s="15">
        <f t="shared" si="0"/>
        <v>0</v>
      </c>
      <c r="AA6" s="15">
        <f t="shared" si="1"/>
        <v>1</v>
      </c>
    </row>
    <row r="7" spans="1:28" x14ac:dyDescent="0.35">
      <c r="A7" s="49">
        <v>3</v>
      </c>
      <c r="B7" s="8">
        <v>0.125</v>
      </c>
      <c r="C7" s="9">
        <f>'OB RUN'!B6</f>
        <v>0</v>
      </c>
      <c r="D7" s="81"/>
      <c r="E7" s="11" t="e">
        <f t="shared" ref="E7:E27" si="4">C7/D7</f>
        <v>#DIV/0!</v>
      </c>
      <c r="F7" s="81"/>
      <c r="G7" s="81"/>
      <c r="H7" s="30">
        <f>(VLOOKUP(B7,'Run Report'!AR:AV,5,0)/"1:00:00")</f>
        <v>0</v>
      </c>
      <c r="I7" s="16" t="e">
        <f t="shared" ref="I7:I27" si="5">(G7-F7)/F7</f>
        <v>#DIV/0!</v>
      </c>
      <c r="J7" s="11" t="e">
        <f>1-(((VLOOKUP(B7,'Run Report'!AR:AV,5,0)/"1:00:00")/G7))</f>
        <v>#DIV/0!</v>
      </c>
      <c r="K7" s="17"/>
      <c r="L7" s="19" t="e">
        <f>'OB RUN'!D6/'OB RUN'!B6</f>
        <v>#DIV/0!</v>
      </c>
      <c r="N7" s="20"/>
      <c r="O7" s="21"/>
      <c r="Q7" s="22">
        <f t="shared" ref="Q7:Q27" si="6">G7</f>
        <v>0</v>
      </c>
      <c r="R7" s="54"/>
      <c r="S7" s="23"/>
      <c r="T7" s="24"/>
      <c r="U7" s="25"/>
      <c r="V7" s="26"/>
      <c r="Y7" s="8">
        <v>0.125</v>
      </c>
      <c r="Z7" s="15">
        <f t="shared" si="0"/>
        <v>0</v>
      </c>
      <c r="AA7" s="15">
        <f t="shared" si="1"/>
        <v>1</v>
      </c>
    </row>
    <row r="8" spans="1:28" x14ac:dyDescent="0.35">
      <c r="A8" s="49">
        <v>4</v>
      </c>
      <c r="B8" s="8">
        <v>0.16666666666666699</v>
      </c>
      <c r="C8" s="9">
        <f>'OB RUN'!B7</f>
        <v>0</v>
      </c>
      <c r="D8" s="81"/>
      <c r="E8" s="11" t="e">
        <f t="shared" si="4"/>
        <v>#DIV/0!</v>
      </c>
      <c r="F8" s="81"/>
      <c r="G8" s="81"/>
      <c r="H8" s="30">
        <f>(VLOOKUP(B8,'Run Report'!AR:AV,5,0)/"1:00:00")</f>
        <v>0</v>
      </c>
      <c r="I8" s="16" t="e">
        <f t="shared" si="5"/>
        <v>#DIV/0!</v>
      </c>
      <c r="J8" s="11" t="e">
        <f>1-(((VLOOKUP(B8,'Run Report'!AR:AV,5,0)/"1:00:00")/G8))</f>
        <v>#DIV/0!</v>
      </c>
      <c r="K8" s="17"/>
      <c r="L8" s="19" t="e">
        <f>'OB RUN'!D7/'OB RUN'!B7</f>
        <v>#DIV/0!</v>
      </c>
      <c r="N8" s="20"/>
      <c r="O8" s="21"/>
      <c r="Q8" s="22">
        <f t="shared" si="6"/>
        <v>0</v>
      </c>
      <c r="R8" s="54"/>
      <c r="S8" s="23"/>
      <c r="T8" s="24"/>
      <c r="U8" s="25"/>
      <c r="V8" s="26"/>
      <c r="Y8" s="8">
        <v>0.16666666666666699</v>
      </c>
      <c r="Z8" s="15">
        <f t="shared" si="0"/>
        <v>0</v>
      </c>
      <c r="AA8" s="15">
        <f t="shared" si="1"/>
        <v>1</v>
      </c>
    </row>
    <row r="9" spans="1:28" x14ac:dyDescent="0.35">
      <c r="A9" s="49">
        <v>5</v>
      </c>
      <c r="B9" s="8">
        <v>0.20833333333333301</v>
      </c>
      <c r="C9" s="9">
        <f>'OB RUN'!B8</f>
        <v>0</v>
      </c>
      <c r="D9" s="81"/>
      <c r="E9" s="11" t="e">
        <f t="shared" si="4"/>
        <v>#DIV/0!</v>
      </c>
      <c r="F9" s="81"/>
      <c r="G9" s="81"/>
      <c r="H9" s="30">
        <f>(VLOOKUP(B9,'Run Report'!AR:AV,5,0)/"1:00:00")</f>
        <v>0</v>
      </c>
      <c r="I9" s="16" t="e">
        <f t="shared" si="5"/>
        <v>#DIV/0!</v>
      </c>
      <c r="J9" s="11" t="e">
        <f>1-(((VLOOKUP(B9,'Run Report'!AR:AV,5,0)/"1:00:00")/G9))</f>
        <v>#DIV/0!</v>
      </c>
      <c r="K9" s="17"/>
      <c r="L9" s="19" t="e">
        <f>'OB RUN'!D8/'OB RUN'!B8</f>
        <v>#DIV/0!</v>
      </c>
      <c r="N9" s="20"/>
      <c r="O9" s="21"/>
      <c r="Q9" s="22">
        <f t="shared" si="6"/>
        <v>0</v>
      </c>
      <c r="R9" s="54"/>
      <c r="S9" s="23"/>
      <c r="T9" s="24"/>
      <c r="U9" s="25"/>
      <c r="V9" s="26"/>
      <c r="Y9" s="8">
        <v>0.20833333333333301</v>
      </c>
      <c r="Z9" s="15">
        <f t="shared" si="0"/>
        <v>0</v>
      </c>
      <c r="AA9" s="15">
        <f t="shared" si="1"/>
        <v>1</v>
      </c>
    </row>
    <row r="10" spans="1:28" x14ac:dyDescent="0.35">
      <c r="A10" s="49">
        <v>6</v>
      </c>
      <c r="B10" s="8">
        <v>0.25</v>
      </c>
      <c r="C10" s="9">
        <f>'OB RUN'!B9</f>
        <v>0</v>
      </c>
      <c r="D10" s="81"/>
      <c r="E10" s="11" t="e">
        <f t="shared" si="4"/>
        <v>#DIV/0!</v>
      </c>
      <c r="F10" s="81"/>
      <c r="G10" s="81"/>
      <c r="H10" s="30">
        <f>(VLOOKUP(B10,'Run Report'!AR:AV,5,0)/"1:00:00")</f>
        <v>0</v>
      </c>
      <c r="I10" s="16" t="e">
        <f t="shared" si="5"/>
        <v>#DIV/0!</v>
      </c>
      <c r="J10" s="11" t="e">
        <f>1-(((VLOOKUP(B10,'Run Report'!AR:AV,5,0)/"1:00:00")/G10))</f>
        <v>#DIV/0!</v>
      </c>
      <c r="K10" s="17"/>
      <c r="L10" s="19" t="e">
        <f>'OB RUN'!D9/'OB RUN'!B9</f>
        <v>#DIV/0!</v>
      </c>
      <c r="N10" s="20"/>
      <c r="O10" s="21"/>
      <c r="Q10" s="22">
        <f t="shared" si="6"/>
        <v>0</v>
      </c>
      <c r="R10" s="54"/>
      <c r="S10" s="23"/>
      <c r="T10" s="24"/>
      <c r="U10" s="25"/>
      <c r="V10" s="26"/>
      <c r="Y10" s="8">
        <v>0.25</v>
      </c>
      <c r="Z10" s="15">
        <f t="shared" si="0"/>
        <v>0</v>
      </c>
      <c r="AA10" s="15">
        <f t="shared" si="1"/>
        <v>1</v>
      </c>
    </row>
    <row r="11" spans="1:28" ht="14.5" customHeight="1" x14ac:dyDescent="0.35">
      <c r="A11" s="49">
        <v>7</v>
      </c>
      <c r="B11" s="8">
        <v>0.29166666666666702</v>
      </c>
      <c r="C11" s="9">
        <f>'OB RUN'!B10</f>
        <v>0</v>
      </c>
      <c r="D11" s="81"/>
      <c r="E11" s="11" t="e">
        <f t="shared" si="4"/>
        <v>#DIV/0!</v>
      </c>
      <c r="F11" s="81"/>
      <c r="G11" s="81"/>
      <c r="H11" s="30">
        <f>(VLOOKUP(B11,'Run Report'!AR:AV,5,0)/"1:00:00")</f>
        <v>0</v>
      </c>
      <c r="I11" s="16" t="e">
        <f t="shared" si="5"/>
        <v>#DIV/0!</v>
      </c>
      <c r="J11" s="11" t="e">
        <f>1-(((VLOOKUP(B11,'Run Report'!AR:AV,5,0)/"1:00:00")/G11))</f>
        <v>#DIV/0!</v>
      </c>
      <c r="K11" s="17"/>
      <c r="L11" s="19" t="e">
        <f>'OB RUN'!D10/'OB RUN'!B10</f>
        <v>#DIV/0!</v>
      </c>
      <c r="N11" s="20"/>
      <c r="O11" s="21"/>
      <c r="Q11" s="22">
        <f t="shared" si="6"/>
        <v>0</v>
      </c>
      <c r="R11" s="54"/>
      <c r="S11" s="23"/>
      <c r="T11" s="24"/>
      <c r="U11" s="25"/>
      <c r="V11" s="26"/>
      <c r="Y11" s="8">
        <v>0.29166666666666702</v>
      </c>
      <c r="Z11" s="15">
        <f t="shared" si="0"/>
        <v>0</v>
      </c>
      <c r="AA11" s="15">
        <f t="shared" si="1"/>
        <v>1</v>
      </c>
    </row>
    <row r="12" spans="1:28" x14ac:dyDescent="0.35">
      <c r="A12" s="49">
        <v>8</v>
      </c>
      <c r="B12" s="8">
        <v>0.33333333333333298</v>
      </c>
      <c r="C12" s="9">
        <f>'OB RUN'!B11</f>
        <v>0</v>
      </c>
      <c r="D12" s="81"/>
      <c r="E12" s="11" t="e">
        <f t="shared" si="4"/>
        <v>#DIV/0!</v>
      </c>
      <c r="F12" s="81"/>
      <c r="G12" s="81"/>
      <c r="H12" s="30">
        <f>(VLOOKUP(B12,'Run Report'!AR:AV,5,0)/"1:00:00")</f>
        <v>0</v>
      </c>
      <c r="I12" s="16" t="e">
        <f t="shared" si="5"/>
        <v>#DIV/0!</v>
      </c>
      <c r="J12" s="11" t="e">
        <f>1-(((VLOOKUP(B12,'Run Report'!AR:AV,5,0)/"1:00:00")/G12))</f>
        <v>#DIV/0!</v>
      </c>
      <c r="K12" s="17"/>
      <c r="L12" s="19" t="e">
        <f>'OB RUN'!D11/'OB RUN'!B11</f>
        <v>#DIV/0!</v>
      </c>
      <c r="N12" s="20"/>
      <c r="O12" s="21"/>
      <c r="Q12" s="22">
        <f t="shared" si="6"/>
        <v>0</v>
      </c>
      <c r="R12" s="54"/>
      <c r="S12" s="23"/>
      <c r="T12" s="24"/>
      <c r="U12" s="25"/>
      <c r="V12" s="26"/>
      <c r="Y12" s="8">
        <v>0.33333333333333298</v>
      </c>
      <c r="Z12" s="15">
        <f t="shared" si="0"/>
        <v>0</v>
      </c>
      <c r="AA12" s="15">
        <f t="shared" si="1"/>
        <v>1</v>
      </c>
    </row>
    <row r="13" spans="1:28" x14ac:dyDescent="0.35">
      <c r="A13" s="49">
        <v>9</v>
      </c>
      <c r="B13" s="8">
        <v>0.375</v>
      </c>
      <c r="C13" s="9">
        <f>'OB RUN'!B12</f>
        <v>0</v>
      </c>
      <c r="D13" s="81"/>
      <c r="E13" s="11" t="e">
        <f t="shared" si="4"/>
        <v>#DIV/0!</v>
      </c>
      <c r="F13" s="81"/>
      <c r="G13" s="81"/>
      <c r="H13" s="30">
        <f>(VLOOKUP(B13,'Run Report'!AR:AV,5,0)/"1:00:00")</f>
        <v>0</v>
      </c>
      <c r="I13" s="16" t="e">
        <f t="shared" si="5"/>
        <v>#DIV/0!</v>
      </c>
      <c r="J13" s="11" t="e">
        <f>1-(((VLOOKUP(B13,'Run Report'!AR:AV,5,0)/"1:00:00")/G13))</f>
        <v>#DIV/0!</v>
      </c>
      <c r="K13" s="17"/>
      <c r="L13" s="19" t="e">
        <f>'OB RUN'!D12/'OB RUN'!B12</f>
        <v>#DIV/0!</v>
      </c>
      <c r="N13" s="20"/>
      <c r="O13" s="21"/>
      <c r="Q13" s="22">
        <f t="shared" si="6"/>
        <v>0</v>
      </c>
      <c r="R13" s="54"/>
      <c r="S13" s="23"/>
      <c r="T13" s="24"/>
      <c r="U13" s="25"/>
      <c r="V13" s="26"/>
      <c r="Y13" s="8">
        <v>0.375</v>
      </c>
      <c r="Z13" s="15">
        <f t="shared" si="0"/>
        <v>0</v>
      </c>
      <c r="AA13" s="15">
        <f t="shared" si="1"/>
        <v>1</v>
      </c>
    </row>
    <row r="14" spans="1:28" x14ac:dyDescent="0.35">
      <c r="A14" s="49">
        <v>10</v>
      </c>
      <c r="B14" s="8">
        <v>0.41666666666666702</v>
      </c>
      <c r="C14" s="9">
        <f>'OB RUN'!B13</f>
        <v>0</v>
      </c>
      <c r="D14" s="81"/>
      <c r="E14" s="11" t="e">
        <f t="shared" si="4"/>
        <v>#DIV/0!</v>
      </c>
      <c r="F14" s="81"/>
      <c r="G14" s="81"/>
      <c r="H14" s="30">
        <f>(VLOOKUP(B14,'Run Report'!AR:AV,5,0)/"1:00:00")</f>
        <v>0</v>
      </c>
      <c r="I14" s="16" t="e">
        <f t="shared" si="5"/>
        <v>#DIV/0!</v>
      </c>
      <c r="J14" s="11" t="e">
        <f>1-(((VLOOKUP(B14,'Run Report'!AR:AV,5,0)/"1:00:00")/G14))</f>
        <v>#DIV/0!</v>
      </c>
      <c r="K14" s="17"/>
      <c r="L14" s="19" t="e">
        <f>'OB RUN'!D13/'OB RUN'!B13</f>
        <v>#DIV/0!</v>
      </c>
      <c r="N14" s="20"/>
      <c r="O14" s="21"/>
      <c r="Q14" s="22">
        <f t="shared" si="6"/>
        <v>0</v>
      </c>
      <c r="R14" s="54"/>
      <c r="S14" s="23"/>
      <c r="T14" s="24"/>
      <c r="U14" s="25"/>
      <c r="V14" s="26"/>
      <c r="Y14" s="8">
        <v>0.41666666666666702</v>
      </c>
      <c r="Z14" s="15">
        <f t="shared" si="0"/>
        <v>0</v>
      </c>
      <c r="AA14" s="15">
        <f t="shared" si="1"/>
        <v>1</v>
      </c>
    </row>
    <row r="15" spans="1:28" x14ac:dyDescent="0.35">
      <c r="A15" s="49">
        <v>11</v>
      </c>
      <c r="B15" s="8">
        <v>0.45833333333333298</v>
      </c>
      <c r="C15" s="9">
        <f>'OB RUN'!B14</f>
        <v>0</v>
      </c>
      <c r="D15" s="81"/>
      <c r="E15" s="11" t="e">
        <f t="shared" si="4"/>
        <v>#DIV/0!</v>
      </c>
      <c r="F15" s="81"/>
      <c r="G15" s="81"/>
      <c r="H15" s="30">
        <f>(VLOOKUP(B15,'Run Report'!AR:AV,5,0)/"1:00:00")</f>
        <v>0</v>
      </c>
      <c r="I15" s="16" t="e">
        <f t="shared" si="5"/>
        <v>#DIV/0!</v>
      </c>
      <c r="J15" s="11" t="e">
        <f>1-(((VLOOKUP(B15,'Run Report'!AR:AV,5,0)/"1:00:00")/G15))</f>
        <v>#DIV/0!</v>
      </c>
      <c r="K15" s="17"/>
      <c r="L15" s="19" t="e">
        <f>'OB RUN'!D14/'OB RUN'!B14</f>
        <v>#DIV/0!</v>
      </c>
      <c r="N15" s="20"/>
      <c r="O15" s="21"/>
      <c r="Q15" s="22">
        <f t="shared" si="6"/>
        <v>0</v>
      </c>
      <c r="R15" s="54"/>
      <c r="S15" s="23"/>
      <c r="T15" s="24"/>
      <c r="U15" s="25"/>
      <c r="V15" s="26"/>
      <c r="Y15" s="8">
        <v>0.45833333333333298</v>
      </c>
      <c r="Z15" s="15">
        <f t="shared" si="0"/>
        <v>0</v>
      </c>
      <c r="AA15" s="15">
        <f t="shared" si="1"/>
        <v>1</v>
      </c>
    </row>
    <row r="16" spans="1:28" x14ac:dyDescent="0.35">
      <c r="A16" s="49">
        <v>12</v>
      </c>
      <c r="B16" s="8">
        <v>0.5</v>
      </c>
      <c r="C16" s="9">
        <f>'OB RUN'!B15</f>
        <v>0</v>
      </c>
      <c r="D16" s="81"/>
      <c r="E16" s="11" t="e">
        <f t="shared" si="4"/>
        <v>#DIV/0!</v>
      </c>
      <c r="F16" s="81"/>
      <c r="G16" s="81"/>
      <c r="H16" s="30">
        <f>(VLOOKUP(B16,'Run Report'!AR:AV,5,0)/"1:00:00")</f>
        <v>0</v>
      </c>
      <c r="I16" s="16" t="e">
        <f t="shared" si="5"/>
        <v>#DIV/0!</v>
      </c>
      <c r="J16" s="11" t="e">
        <f>1-(((VLOOKUP(B16,'Run Report'!AR:AV,5,0)/"1:00:00")/G16))</f>
        <v>#DIV/0!</v>
      </c>
      <c r="K16" s="17"/>
      <c r="L16" s="19" t="e">
        <f>'OB RUN'!D15/'OB RUN'!B15</f>
        <v>#DIV/0!</v>
      </c>
      <c r="N16" s="20"/>
      <c r="O16" s="21"/>
      <c r="Q16" s="22">
        <f t="shared" si="6"/>
        <v>0</v>
      </c>
      <c r="R16" s="54"/>
      <c r="S16" s="23"/>
      <c r="T16" s="24"/>
      <c r="U16" s="25"/>
      <c r="V16" s="26"/>
      <c r="Y16" s="8">
        <v>0.5</v>
      </c>
      <c r="Z16" s="15">
        <f t="shared" si="0"/>
        <v>0</v>
      </c>
      <c r="AA16" s="15">
        <f t="shared" si="1"/>
        <v>1</v>
      </c>
    </row>
    <row r="17" spans="1:34" x14ac:dyDescent="0.35">
      <c r="A17" s="49">
        <v>13</v>
      </c>
      <c r="B17" s="8">
        <v>0.54166666666666696</v>
      </c>
      <c r="C17" s="9">
        <f>'OB RUN'!B16</f>
        <v>0</v>
      </c>
      <c r="D17" s="81"/>
      <c r="E17" s="11" t="e">
        <f t="shared" si="4"/>
        <v>#DIV/0!</v>
      </c>
      <c r="F17" s="81"/>
      <c r="G17" s="81"/>
      <c r="H17" s="30">
        <f>(VLOOKUP(B17,'Run Report'!AR:AV,5,0)/"1:00:00")</f>
        <v>0</v>
      </c>
      <c r="I17" s="16" t="e">
        <f t="shared" si="5"/>
        <v>#DIV/0!</v>
      </c>
      <c r="J17" s="11" t="e">
        <f>1-(((VLOOKUP(B17,'Run Report'!AR:AV,5,0)/"1:00:00")/G17))</f>
        <v>#DIV/0!</v>
      </c>
      <c r="K17" s="17"/>
      <c r="L17" s="19" t="e">
        <f>'OB RUN'!D16/'OB RUN'!B16</f>
        <v>#DIV/0!</v>
      </c>
      <c r="N17" s="20"/>
      <c r="O17" s="21"/>
      <c r="Q17" s="22">
        <f t="shared" si="6"/>
        <v>0</v>
      </c>
      <c r="R17" s="54"/>
      <c r="S17" s="23"/>
      <c r="T17" s="24"/>
      <c r="U17" s="25"/>
      <c r="V17" s="26"/>
      <c r="Y17" s="8">
        <v>0.54166666666666696</v>
      </c>
      <c r="Z17" s="15">
        <f t="shared" si="0"/>
        <v>0</v>
      </c>
      <c r="AA17" s="15">
        <f t="shared" si="1"/>
        <v>1</v>
      </c>
    </row>
    <row r="18" spans="1:34" x14ac:dyDescent="0.35">
      <c r="A18" s="49">
        <v>14</v>
      </c>
      <c r="B18" s="8">
        <v>0.58333333333333304</v>
      </c>
      <c r="C18" s="9">
        <f>'OB RUN'!B17</f>
        <v>0</v>
      </c>
      <c r="D18" s="81"/>
      <c r="E18" s="11" t="e">
        <f t="shared" si="4"/>
        <v>#DIV/0!</v>
      </c>
      <c r="F18" s="81"/>
      <c r="G18" s="81"/>
      <c r="H18" s="30">
        <f>(VLOOKUP(B18,'Run Report'!AR:AV,5,0)/"1:00:00")</f>
        <v>0</v>
      </c>
      <c r="I18" s="16" t="e">
        <f t="shared" si="5"/>
        <v>#DIV/0!</v>
      </c>
      <c r="J18" s="11" t="e">
        <f>1-(((VLOOKUP(B18,'Run Report'!AR:AV,5,0)/"1:00:00")/G18))</f>
        <v>#DIV/0!</v>
      </c>
      <c r="K18" s="17"/>
      <c r="L18" s="19" t="e">
        <f>'OB RUN'!D17/'OB RUN'!B17</f>
        <v>#DIV/0!</v>
      </c>
      <c r="N18" s="20"/>
      <c r="O18" s="21"/>
      <c r="Q18" s="22">
        <f t="shared" si="6"/>
        <v>0</v>
      </c>
      <c r="R18" s="54"/>
      <c r="S18" s="23"/>
      <c r="T18" s="24"/>
      <c r="U18" s="25"/>
      <c r="V18" s="26"/>
      <c r="Y18" s="8">
        <v>0.58333333333333304</v>
      </c>
      <c r="Z18" s="15">
        <f t="shared" si="0"/>
        <v>0</v>
      </c>
      <c r="AA18" s="15">
        <f t="shared" si="1"/>
        <v>1</v>
      </c>
    </row>
    <row r="19" spans="1:34" x14ac:dyDescent="0.35">
      <c r="A19" s="49">
        <v>15</v>
      </c>
      <c r="B19" s="8">
        <v>0.625</v>
      </c>
      <c r="C19" s="9">
        <f>'OB RUN'!B18</f>
        <v>0</v>
      </c>
      <c r="D19" s="81"/>
      <c r="E19" s="11" t="e">
        <f t="shared" si="4"/>
        <v>#DIV/0!</v>
      </c>
      <c r="F19" s="81"/>
      <c r="G19" s="81"/>
      <c r="H19" s="30">
        <f>(VLOOKUP(B19,'Run Report'!AR:AV,5,0)/"1:00:00")</f>
        <v>0</v>
      </c>
      <c r="I19" s="16" t="e">
        <f t="shared" si="5"/>
        <v>#DIV/0!</v>
      </c>
      <c r="J19" s="11" t="e">
        <f>1-(((VLOOKUP(B19,'Run Report'!AR:AV,5,0)/"1:00:00")/G19))</f>
        <v>#DIV/0!</v>
      </c>
      <c r="K19" s="17"/>
      <c r="L19" s="19" t="e">
        <f>'OB RUN'!D18/'OB RUN'!B18</f>
        <v>#DIV/0!</v>
      </c>
      <c r="N19" s="20"/>
      <c r="O19" s="21"/>
      <c r="Q19" s="22">
        <f t="shared" si="6"/>
        <v>0</v>
      </c>
      <c r="R19" s="54"/>
      <c r="S19" s="23"/>
      <c r="T19" s="24"/>
      <c r="U19" s="25"/>
      <c r="V19" s="26"/>
      <c r="Y19" s="8">
        <v>0.625</v>
      </c>
      <c r="Z19" s="15">
        <f t="shared" si="0"/>
        <v>0</v>
      </c>
      <c r="AA19" s="15">
        <f t="shared" si="1"/>
        <v>1</v>
      </c>
    </row>
    <row r="20" spans="1:34" x14ac:dyDescent="0.35">
      <c r="A20" s="49">
        <v>16</v>
      </c>
      <c r="B20" s="8">
        <v>0.66666666666666696</v>
      </c>
      <c r="C20" s="9">
        <f>'OB RUN'!B19</f>
        <v>0</v>
      </c>
      <c r="D20" s="81"/>
      <c r="E20" s="11" t="e">
        <f t="shared" si="4"/>
        <v>#DIV/0!</v>
      </c>
      <c r="F20" s="81"/>
      <c r="G20" s="81"/>
      <c r="H20" s="30">
        <f>(VLOOKUP(B20,'Run Report'!AR:AV,5,0)/"1:00:00")</f>
        <v>0</v>
      </c>
      <c r="I20" s="16" t="e">
        <f t="shared" si="5"/>
        <v>#DIV/0!</v>
      </c>
      <c r="J20" s="11" t="e">
        <f>1-(((VLOOKUP(B20,'Run Report'!AR:AV,5,0)/"1:00:00")/G20))</f>
        <v>#DIV/0!</v>
      </c>
      <c r="K20" s="17"/>
      <c r="L20" s="19" t="e">
        <f>'OB RUN'!D19/'OB RUN'!B19</f>
        <v>#DIV/0!</v>
      </c>
      <c r="N20" s="20"/>
      <c r="O20" s="21"/>
      <c r="Q20" s="22">
        <f t="shared" si="6"/>
        <v>0</v>
      </c>
      <c r="R20" s="54"/>
      <c r="S20" s="23"/>
      <c r="T20" s="24"/>
      <c r="U20" s="25"/>
      <c r="V20" s="26"/>
      <c r="Y20" s="8">
        <v>0.66666666666666696</v>
      </c>
      <c r="Z20" s="15">
        <f t="shared" si="0"/>
        <v>0</v>
      </c>
      <c r="AA20" s="15">
        <f t="shared" si="1"/>
        <v>1</v>
      </c>
    </row>
    <row r="21" spans="1:34" x14ac:dyDescent="0.35">
      <c r="A21" s="49">
        <v>17</v>
      </c>
      <c r="B21" s="8">
        <v>0.70833333333333304</v>
      </c>
      <c r="C21" s="9">
        <f>'OB RUN'!B20</f>
        <v>0</v>
      </c>
      <c r="D21" s="81"/>
      <c r="E21" s="11" t="e">
        <f t="shared" si="4"/>
        <v>#DIV/0!</v>
      </c>
      <c r="F21" s="81"/>
      <c r="G21" s="81"/>
      <c r="H21" s="30">
        <f>(VLOOKUP(B21,'Run Report'!AR:AV,5,0)/"1:00:00")</f>
        <v>0</v>
      </c>
      <c r="I21" s="16" t="e">
        <f t="shared" si="5"/>
        <v>#DIV/0!</v>
      </c>
      <c r="J21" s="11" t="e">
        <f>1-(((VLOOKUP(B21,'Run Report'!AR:AV,5,0)/"1:00:00")/G21))</f>
        <v>#DIV/0!</v>
      </c>
      <c r="K21" s="17"/>
      <c r="L21" s="19" t="e">
        <f>'OB RUN'!D20/'OB RUN'!B20</f>
        <v>#DIV/0!</v>
      </c>
      <c r="N21" s="20"/>
      <c r="O21" s="21"/>
      <c r="Q21" s="22">
        <f t="shared" si="6"/>
        <v>0</v>
      </c>
      <c r="R21" s="54"/>
      <c r="S21" s="23"/>
      <c r="T21" s="24"/>
      <c r="U21" s="25"/>
      <c r="V21" s="26"/>
      <c r="Y21" s="8">
        <v>0.70833333333333304</v>
      </c>
      <c r="Z21" s="15">
        <f t="shared" si="0"/>
        <v>0</v>
      </c>
      <c r="AA21" s="15">
        <f t="shared" si="1"/>
        <v>1</v>
      </c>
    </row>
    <row r="22" spans="1:34" x14ac:dyDescent="0.35">
      <c r="A22" s="49">
        <v>18</v>
      </c>
      <c r="B22" s="8">
        <v>0.75</v>
      </c>
      <c r="C22" s="9">
        <f>'OB RUN'!B21</f>
        <v>0</v>
      </c>
      <c r="D22" s="81"/>
      <c r="E22" s="11" t="e">
        <f t="shared" si="4"/>
        <v>#DIV/0!</v>
      </c>
      <c r="F22" s="81"/>
      <c r="G22" s="81"/>
      <c r="H22" s="30">
        <f>(VLOOKUP(B22,'Run Report'!AR:AV,5,0)/"1:00:00")</f>
        <v>0</v>
      </c>
      <c r="I22" s="16" t="e">
        <f t="shared" si="5"/>
        <v>#DIV/0!</v>
      </c>
      <c r="J22" s="11" t="e">
        <f>1-(((VLOOKUP(B22,'Run Report'!AR:AV,5,0)/"1:00:00")/G22))</f>
        <v>#DIV/0!</v>
      </c>
      <c r="K22" s="17"/>
      <c r="L22" s="19" t="e">
        <f>'OB RUN'!D21/'OB RUN'!B21</f>
        <v>#DIV/0!</v>
      </c>
      <c r="N22" s="20"/>
      <c r="O22" s="21"/>
      <c r="Q22" s="22">
        <f t="shared" si="6"/>
        <v>0</v>
      </c>
      <c r="R22" s="54"/>
      <c r="S22" s="23"/>
      <c r="T22" s="24"/>
      <c r="U22" s="25"/>
      <c r="V22" s="26"/>
      <c r="Y22" s="8">
        <v>0.75</v>
      </c>
      <c r="Z22" s="15">
        <f t="shared" si="0"/>
        <v>0</v>
      </c>
      <c r="AA22" s="15">
        <f t="shared" si="1"/>
        <v>1</v>
      </c>
    </row>
    <row r="23" spans="1:34" x14ac:dyDescent="0.35">
      <c r="A23" s="49">
        <v>19</v>
      </c>
      <c r="B23" s="8">
        <v>0.79166666666666696</v>
      </c>
      <c r="C23" s="9">
        <f>'OB RUN'!B22</f>
        <v>0</v>
      </c>
      <c r="D23" s="81"/>
      <c r="E23" s="11" t="e">
        <f t="shared" si="4"/>
        <v>#DIV/0!</v>
      </c>
      <c r="F23" s="81"/>
      <c r="G23" s="81"/>
      <c r="H23" s="30">
        <f>(VLOOKUP(B23,'Run Report'!AR:AV,5,0)/"1:00:00")</f>
        <v>0</v>
      </c>
      <c r="I23" s="16" t="e">
        <f t="shared" si="5"/>
        <v>#DIV/0!</v>
      </c>
      <c r="J23" s="11" t="e">
        <f>1-(((VLOOKUP(B23,'Run Report'!AR:AV,5,0)/"1:00:00")/G23))</f>
        <v>#DIV/0!</v>
      </c>
      <c r="K23" s="17"/>
      <c r="L23" s="19" t="e">
        <f>'OB RUN'!D22/'OB RUN'!B22</f>
        <v>#DIV/0!</v>
      </c>
      <c r="N23" s="20"/>
      <c r="O23" s="21"/>
      <c r="Q23" s="22">
        <f t="shared" si="6"/>
        <v>0</v>
      </c>
      <c r="R23" s="54"/>
      <c r="S23" s="23"/>
      <c r="T23" s="24"/>
      <c r="U23" s="25"/>
      <c r="V23" s="26"/>
      <c r="Y23" s="8">
        <v>0.79166666666666696</v>
      </c>
      <c r="Z23" s="15">
        <f t="shared" si="0"/>
        <v>0</v>
      </c>
      <c r="AA23" s="15">
        <f t="shared" si="1"/>
        <v>1</v>
      </c>
    </row>
    <row r="24" spans="1:34" x14ac:dyDescent="0.35">
      <c r="A24" s="49">
        <v>20</v>
      </c>
      <c r="B24" s="8">
        <v>0.83333333333333304</v>
      </c>
      <c r="C24" s="9">
        <f>'OB RUN'!B23</f>
        <v>0</v>
      </c>
      <c r="D24" s="81"/>
      <c r="E24" s="11" t="e">
        <f t="shared" si="4"/>
        <v>#DIV/0!</v>
      </c>
      <c r="F24" s="81"/>
      <c r="G24" s="81"/>
      <c r="H24" s="30">
        <f>(VLOOKUP(B24,'Run Report'!AR:AV,5,0)/"1:00:00")</f>
        <v>0</v>
      </c>
      <c r="I24" s="16" t="e">
        <f t="shared" si="5"/>
        <v>#DIV/0!</v>
      </c>
      <c r="J24" s="11" t="e">
        <f>1-(((VLOOKUP(B24,'Run Report'!AR:AV,5,0)/"1:00:00")/G24))</f>
        <v>#DIV/0!</v>
      </c>
      <c r="K24" s="17"/>
      <c r="L24" s="19" t="e">
        <f>'OB RUN'!D23/'OB RUN'!B23</f>
        <v>#DIV/0!</v>
      </c>
      <c r="N24" s="20"/>
      <c r="O24" s="21"/>
      <c r="Q24" s="22">
        <f t="shared" si="6"/>
        <v>0</v>
      </c>
      <c r="R24" s="54"/>
      <c r="S24" s="23"/>
      <c r="T24" s="24"/>
      <c r="U24" s="25"/>
      <c r="V24" s="26"/>
      <c r="Y24" s="8">
        <v>0.83333333333333304</v>
      </c>
      <c r="Z24" s="15">
        <f t="shared" si="0"/>
        <v>0</v>
      </c>
      <c r="AA24" s="15">
        <f t="shared" si="1"/>
        <v>1</v>
      </c>
    </row>
    <row r="25" spans="1:34" ht="15" thickBot="1" x14ac:dyDescent="0.4">
      <c r="A25" s="49">
        <v>21</v>
      </c>
      <c r="B25" s="8">
        <v>0.875</v>
      </c>
      <c r="C25" s="9">
        <f>'OB RUN'!B24</f>
        <v>0</v>
      </c>
      <c r="D25" s="81"/>
      <c r="E25" s="11" t="e">
        <f t="shared" si="4"/>
        <v>#DIV/0!</v>
      </c>
      <c r="F25" s="81"/>
      <c r="G25" s="81"/>
      <c r="H25" s="30">
        <f>(VLOOKUP(B25,'Run Report'!AR:AV,5,0)/"1:00:00")</f>
        <v>0</v>
      </c>
      <c r="I25" s="16" t="e">
        <f t="shared" si="5"/>
        <v>#DIV/0!</v>
      </c>
      <c r="J25" s="11" t="e">
        <f>1-(((VLOOKUP(B25,'Run Report'!AR:AV,5,0)/"1:00:00")/G25))</f>
        <v>#DIV/0!</v>
      </c>
      <c r="K25" s="17"/>
      <c r="L25" s="19" t="e">
        <f>'OB RUN'!D24/'OB RUN'!B24</f>
        <v>#DIV/0!</v>
      </c>
      <c r="N25" s="20"/>
      <c r="O25" s="21"/>
      <c r="Q25" s="22">
        <f t="shared" si="6"/>
        <v>0</v>
      </c>
      <c r="R25" s="54"/>
      <c r="S25" s="23"/>
      <c r="T25" s="24"/>
      <c r="U25" s="25"/>
      <c r="V25" s="26"/>
      <c r="Y25" s="8">
        <v>0.875</v>
      </c>
      <c r="Z25" s="15">
        <f t="shared" si="0"/>
        <v>0</v>
      </c>
      <c r="AA25" s="15">
        <f t="shared" si="1"/>
        <v>1</v>
      </c>
    </row>
    <row r="26" spans="1:34" x14ac:dyDescent="0.35">
      <c r="A26" s="49">
        <v>22</v>
      </c>
      <c r="B26" s="8">
        <v>0.91666666666666696</v>
      </c>
      <c r="C26" s="9">
        <f>'OB RUN'!B25</f>
        <v>0</v>
      </c>
      <c r="D26" s="81"/>
      <c r="E26" s="11" t="e">
        <f t="shared" si="4"/>
        <v>#DIV/0!</v>
      </c>
      <c r="F26" s="81"/>
      <c r="G26" s="81"/>
      <c r="H26" s="30">
        <f>(VLOOKUP(B26,'Run Report'!AR:AV,5,0)/"1:00:00")</f>
        <v>0</v>
      </c>
      <c r="I26" s="16" t="e">
        <f t="shared" si="5"/>
        <v>#DIV/0!</v>
      </c>
      <c r="J26" s="11" t="e">
        <f>1-(((VLOOKUP(B26,'Run Report'!AR:AV,5,0)/"1:00:00")/G26))</f>
        <v>#DIV/0!</v>
      </c>
      <c r="K26" s="17"/>
      <c r="L26" s="19" t="e">
        <f>'OB RUN'!D25/'OB RUN'!B25</f>
        <v>#DIV/0!</v>
      </c>
      <c r="N26" s="20"/>
      <c r="O26" s="21"/>
      <c r="Q26" s="22">
        <f t="shared" si="6"/>
        <v>0</v>
      </c>
      <c r="R26" s="54"/>
      <c r="S26" s="23"/>
      <c r="T26" s="24"/>
      <c r="U26" s="25"/>
      <c r="V26" s="26"/>
      <c r="Y26" s="8">
        <v>0.91666666666666696</v>
      </c>
      <c r="Z26" s="15">
        <f t="shared" si="0"/>
        <v>0</v>
      </c>
      <c r="AA26" s="15">
        <f t="shared" si="1"/>
        <v>1</v>
      </c>
      <c r="AD26" s="51" t="s">
        <v>34</v>
      </c>
      <c r="AE26" s="52" t="s">
        <v>35</v>
      </c>
      <c r="AF26" s="52" t="s">
        <v>36</v>
      </c>
      <c r="AH26" t="s">
        <v>37</v>
      </c>
    </row>
    <row r="27" spans="1:34" x14ac:dyDescent="0.35">
      <c r="A27" s="49">
        <v>23</v>
      </c>
      <c r="B27" s="8">
        <v>0.95833333333333304</v>
      </c>
      <c r="C27" s="9">
        <f>'OB RUN'!B26</f>
        <v>0</v>
      </c>
      <c r="D27" s="81"/>
      <c r="E27" s="11" t="e">
        <f t="shared" si="4"/>
        <v>#DIV/0!</v>
      </c>
      <c r="F27" s="81"/>
      <c r="G27" s="81"/>
      <c r="H27" s="30">
        <f>(VLOOKUP(B27,'Run Report'!AR:AV,5,0)/"1:00:00")</f>
        <v>0</v>
      </c>
      <c r="I27" s="16" t="e">
        <f t="shared" si="5"/>
        <v>#DIV/0!</v>
      </c>
      <c r="J27" s="11" t="e">
        <f>1-(((VLOOKUP(B27,'Run Report'!AR:AV,5,0)/"1:00:00")/G27))</f>
        <v>#DIV/0!</v>
      </c>
      <c r="K27" s="17"/>
      <c r="L27" s="19" t="e">
        <f>'OB RUN'!D26/'OB RUN'!B26</f>
        <v>#DIV/0!</v>
      </c>
      <c r="N27" s="20"/>
      <c r="O27" s="21"/>
      <c r="Q27" s="22">
        <f t="shared" si="6"/>
        <v>0</v>
      </c>
      <c r="R27" s="54"/>
      <c r="S27" s="23"/>
      <c r="T27" s="24"/>
      <c r="U27" s="25"/>
      <c r="V27" s="26"/>
      <c r="Y27" s="8">
        <v>0.95833333333333304</v>
      </c>
      <c r="Z27" s="15">
        <f t="shared" si="0"/>
        <v>0</v>
      </c>
      <c r="AA27" s="15">
        <f t="shared" si="1"/>
        <v>1</v>
      </c>
      <c r="AD27" s="58">
        <v>0.29166666666666669</v>
      </c>
      <c r="AE27" s="58">
        <v>0.33333333333333331</v>
      </c>
      <c r="AF27" s="57" t="s">
        <v>38</v>
      </c>
      <c r="AH27" s="53" t="s">
        <v>38</v>
      </c>
    </row>
    <row r="28" spans="1:34" x14ac:dyDescent="0.35">
      <c r="B28" s="31"/>
      <c r="C28" s="9"/>
      <c r="D28" s="31"/>
      <c r="E28" s="32">
        <f>COUNTIFS(E4:E27,"&gt;85%",E4:E27,"&lt;115%")</f>
        <v>0</v>
      </c>
      <c r="F28" s="33"/>
      <c r="G28" s="33"/>
      <c r="H28" s="30"/>
      <c r="I28" s="33"/>
      <c r="J28" s="113"/>
      <c r="K28" s="31"/>
      <c r="L28" s="31"/>
      <c r="N28" s="34"/>
      <c r="O28" s="35"/>
      <c r="Q28" s="31"/>
      <c r="R28" s="36"/>
      <c r="S28" s="37"/>
      <c r="T28" s="37"/>
      <c r="U28" s="37"/>
      <c r="V28" s="37"/>
      <c r="AD28" s="58">
        <v>0.33333333333333331</v>
      </c>
      <c r="AE28" s="58">
        <v>0.83333333333333337</v>
      </c>
      <c r="AF28" s="56" t="s">
        <v>40</v>
      </c>
      <c r="AH28" t="s">
        <v>39</v>
      </c>
    </row>
    <row r="29" spans="1:34" x14ac:dyDescent="0.35">
      <c r="B29" s="38" t="s">
        <v>26</v>
      </c>
      <c r="C29" s="39">
        <f>SUM(C4:C27)</f>
        <v>0</v>
      </c>
      <c r="D29" s="39">
        <f>SUM(D14:D25)</f>
        <v>0</v>
      </c>
      <c r="E29" s="40">
        <f>COUNTIFS(E14:E25,"&gt;=0.80",E14:E25,"&lt;=01.15")/COUNTA(E14:E25)</f>
        <v>0</v>
      </c>
      <c r="F29" s="33"/>
      <c r="G29" s="65">
        <f>SUM(G14:G25)</f>
        <v>0</v>
      </c>
      <c r="H29" s="65">
        <f>SUM(H14:H25)</f>
        <v>0</v>
      </c>
      <c r="J29" s="40" t="e">
        <f>IF((G29-H29)/G29&gt;0,(G29-H29)/G29,0%)</f>
        <v>#DIV/0!</v>
      </c>
      <c r="K29" s="43"/>
      <c r="L29" s="45" t="e">
        <f>SUM('OB RUN'!D3:D26)/SUM('OB RUN'!B3:B26)</f>
        <v>#DIV/0!</v>
      </c>
      <c r="N29" s="34"/>
      <c r="O29" s="35"/>
      <c r="Q29" s="31"/>
      <c r="R29" s="36"/>
      <c r="S29" s="37"/>
      <c r="T29" s="37"/>
      <c r="U29" s="37"/>
      <c r="V29" s="37"/>
      <c r="AD29" s="58">
        <v>0.83333333333333337</v>
      </c>
      <c r="AE29" s="58">
        <v>0</v>
      </c>
      <c r="AF29" s="57" t="s">
        <v>38</v>
      </c>
      <c r="AH29" s="56" t="s">
        <v>40</v>
      </c>
    </row>
    <row r="30" spans="1:34" x14ac:dyDescent="0.35">
      <c r="R30" s="46"/>
    </row>
    <row r="31" spans="1:34" x14ac:dyDescent="0.35">
      <c r="R31" s="46"/>
    </row>
  </sheetData>
  <mergeCells count="12">
    <mergeCell ref="B2:B3"/>
    <mergeCell ref="C2:C3"/>
    <mergeCell ref="D2:E2"/>
    <mergeCell ref="F2:J2"/>
    <mergeCell ref="K2:K3"/>
    <mergeCell ref="T2:V2"/>
    <mergeCell ref="Z2:AA2"/>
    <mergeCell ref="Q1:V1"/>
    <mergeCell ref="L2:L3"/>
    <mergeCell ref="N2:N3"/>
    <mergeCell ref="O2:O3"/>
    <mergeCell ref="Q2:S2"/>
  </mergeCells>
  <conditionalFormatting sqref="L4:L27">
    <cfRule type="cellIs" dxfId="56" priority="57" operator="lessThan">
      <formula>0.8</formula>
    </cfRule>
  </conditionalFormatting>
  <conditionalFormatting sqref="E4:E27">
    <cfRule type="cellIs" dxfId="55" priority="55" operator="lessThan">
      <formula>0.8</formula>
    </cfRule>
    <cfRule type="cellIs" dxfId="54" priority="56" operator="greaterThan">
      <formula>1.15</formula>
    </cfRule>
  </conditionalFormatting>
  <conditionalFormatting sqref="J4:J27">
    <cfRule type="cellIs" dxfId="53" priority="49" operator="lessThan">
      <formula>0</formula>
    </cfRule>
    <cfRule type="cellIs" dxfId="52" priority="52" operator="lessThan">
      <formula>0.101111111</formula>
    </cfRule>
    <cfRule type="cellIs" dxfId="51" priority="53" operator="between">
      <formula>0.1</formula>
      <formula>0.201111111</formula>
    </cfRule>
    <cfRule type="cellIs" dxfId="50" priority="54" operator="greaterThan">
      <formula>0.2</formula>
    </cfRule>
  </conditionalFormatting>
  <conditionalFormatting sqref="I4:I27">
    <cfRule type="cellIs" dxfId="49" priority="50" operator="lessThan">
      <formula>0</formula>
    </cfRule>
    <cfRule type="cellIs" dxfId="48" priority="51" operator="greaterThan">
      <formula>0</formula>
    </cfRule>
  </conditionalFormatting>
  <conditionalFormatting sqref="U4">
    <cfRule type="cellIs" dxfId="47" priority="47" operator="lessThan">
      <formula>$S$4</formula>
    </cfRule>
    <cfRule type="cellIs" dxfId="46" priority="48" operator="greaterThan">
      <formula>$S$4</formula>
    </cfRule>
  </conditionalFormatting>
  <conditionalFormatting sqref="U6">
    <cfRule type="cellIs" dxfId="45" priority="45" operator="lessThan">
      <formula>$S$6</formula>
    </cfRule>
    <cfRule type="cellIs" dxfId="44" priority="46" operator="greaterThan">
      <formula>$S$6</formula>
    </cfRule>
  </conditionalFormatting>
  <conditionalFormatting sqref="U7">
    <cfRule type="cellIs" dxfId="43" priority="43" operator="lessThan">
      <formula>$S$7</formula>
    </cfRule>
    <cfRule type="cellIs" dxfId="42" priority="44" operator="greaterThan">
      <formula>$S$7</formula>
    </cfRule>
  </conditionalFormatting>
  <conditionalFormatting sqref="U8">
    <cfRule type="cellIs" dxfId="41" priority="41" operator="lessThan">
      <formula>$S$8</formula>
    </cfRule>
    <cfRule type="cellIs" dxfId="40" priority="42" operator="greaterThan">
      <formula>$S$8</formula>
    </cfRule>
  </conditionalFormatting>
  <conditionalFormatting sqref="U9">
    <cfRule type="cellIs" dxfId="39" priority="39" operator="lessThan">
      <formula>$S$9</formula>
    </cfRule>
    <cfRule type="cellIs" dxfId="38" priority="40" operator="greaterThan">
      <formula>$S$9</formula>
    </cfRule>
  </conditionalFormatting>
  <conditionalFormatting sqref="U10">
    <cfRule type="cellIs" dxfId="37" priority="37" operator="lessThan">
      <formula>$S$10</formula>
    </cfRule>
    <cfRule type="cellIs" dxfId="36" priority="38" operator="greaterThan">
      <formula>$S$10</formula>
    </cfRule>
  </conditionalFormatting>
  <conditionalFormatting sqref="U11">
    <cfRule type="cellIs" dxfId="35" priority="35" operator="lessThan">
      <formula>$S$11</formula>
    </cfRule>
    <cfRule type="cellIs" dxfId="34" priority="36" operator="greaterThan">
      <formula>$S$11</formula>
    </cfRule>
  </conditionalFormatting>
  <conditionalFormatting sqref="U12">
    <cfRule type="cellIs" dxfId="33" priority="33" operator="lessThan">
      <formula>$S$12</formula>
    </cfRule>
    <cfRule type="cellIs" dxfId="32" priority="34" operator="greaterThan">
      <formula>$S$12</formula>
    </cfRule>
  </conditionalFormatting>
  <conditionalFormatting sqref="U13">
    <cfRule type="cellIs" dxfId="31" priority="31" operator="lessThan">
      <formula>$S$13</formula>
    </cfRule>
    <cfRule type="cellIs" dxfId="30" priority="32" operator="greaterThan">
      <formula>$S$13</formula>
    </cfRule>
  </conditionalFormatting>
  <conditionalFormatting sqref="U14">
    <cfRule type="cellIs" dxfId="29" priority="29" operator="lessThan">
      <formula>$S$14</formula>
    </cfRule>
    <cfRule type="cellIs" dxfId="28" priority="30" operator="greaterThan">
      <formula>$S$14</formula>
    </cfRule>
  </conditionalFormatting>
  <conditionalFormatting sqref="U15">
    <cfRule type="cellIs" dxfId="27" priority="27" operator="lessThan">
      <formula>$S$15</formula>
    </cfRule>
    <cfRule type="cellIs" dxfId="26" priority="28" operator="greaterThan">
      <formula>$S$15</formula>
    </cfRule>
  </conditionalFormatting>
  <conditionalFormatting sqref="U16">
    <cfRule type="cellIs" dxfId="25" priority="25" operator="lessThan">
      <formula>$S$16</formula>
    </cfRule>
    <cfRule type="cellIs" dxfId="24" priority="26" operator="greaterThan">
      <formula>$S$16</formula>
    </cfRule>
  </conditionalFormatting>
  <conditionalFormatting sqref="U17">
    <cfRule type="cellIs" dxfId="23" priority="23" operator="lessThan">
      <formula>$S$17</formula>
    </cfRule>
    <cfRule type="cellIs" dxfId="22" priority="24" operator="greaterThan">
      <formula>$S$17</formula>
    </cfRule>
  </conditionalFormatting>
  <conditionalFormatting sqref="U18">
    <cfRule type="cellIs" dxfId="21" priority="21" operator="lessThan">
      <formula>$S$18</formula>
    </cfRule>
    <cfRule type="cellIs" dxfId="20" priority="22" operator="greaterThan">
      <formula>$S$18</formula>
    </cfRule>
  </conditionalFormatting>
  <conditionalFormatting sqref="U19">
    <cfRule type="cellIs" dxfId="19" priority="19" operator="lessThan">
      <formula>$S$19</formula>
    </cfRule>
    <cfRule type="cellIs" dxfId="18" priority="20" operator="greaterThan">
      <formula>$S$19</formula>
    </cfRule>
  </conditionalFormatting>
  <conditionalFormatting sqref="U20">
    <cfRule type="cellIs" dxfId="17" priority="17" operator="lessThan">
      <formula>$S$20</formula>
    </cfRule>
    <cfRule type="cellIs" dxfId="16" priority="18" operator="greaterThan">
      <formula>$S$20</formula>
    </cfRule>
  </conditionalFormatting>
  <conditionalFormatting sqref="U21">
    <cfRule type="cellIs" dxfId="15" priority="15" operator="lessThan">
      <formula>$S$21</formula>
    </cfRule>
    <cfRule type="cellIs" dxfId="14" priority="16" operator="greaterThan">
      <formula>$S$21</formula>
    </cfRule>
  </conditionalFormatting>
  <conditionalFormatting sqref="U22">
    <cfRule type="cellIs" dxfId="13" priority="13" operator="lessThan">
      <formula>$S$22</formula>
    </cfRule>
    <cfRule type="cellIs" dxfId="12" priority="14" operator="greaterThan">
      <formula>$S$22</formula>
    </cfRule>
  </conditionalFormatting>
  <conditionalFormatting sqref="U23">
    <cfRule type="cellIs" dxfId="11" priority="11" operator="lessThan">
      <formula>$S$23</formula>
    </cfRule>
    <cfRule type="cellIs" dxfId="10" priority="12" operator="greaterThan">
      <formula>$S$23</formula>
    </cfRule>
  </conditionalFormatting>
  <conditionalFormatting sqref="U24">
    <cfRule type="cellIs" dxfId="9" priority="9" operator="lessThan">
      <formula>$S$24</formula>
    </cfRule>
    <cfRule type="cellIs" dxfId="8" priority="10" operator="greaterThan">
      <formula>$S$24</formula>
    </cfRule>
  </conditionalFormatting>
  <conditionalFormatting sqref="U25">
    <cfRule type="cellIs" dxfId="7" priority="7" operator="lessThan">
      <formula>$S$25</formula>
    </cfRule>
    <cfRule type="cellIs" dxfId="6" priority="8" operator="greaterThan">
      <formula>$S$25</formula>
    </cfRule>
  </conditionalFormatting>
  <conditionalFormatting sqref="U26">
    <cfRule type="cellIs" dxfId="5" priority="5" operator="lessThan">
      <formula>$S$26</formula>
    </cfRule>
    <cfRule type="cellIs" dxfId="4" priority="6" operator="greaterThan">
      <formula>$S$26</formula>
    </cfRule>
  </conditionalFormatting>
  <conditionalFormatting sqref="U27">
    <cfRule type="cellIs" dxfId="3" priority="3" operator="lessThan">
      <formula>$S$27</formula>
    </cfRule>
    <cfRule type="cellIs" dxfId="2" priority="4" operator="greaterThan">
      <formula>$S$27</formula>
    </cfRule>
  </conditionalFormatting>
  <conditionalFormatting sqref="U5">
    <cfRule type="cellIs" dxfId="1" priority="1" operator="lessThan">
      <formula>$S$5</formula>
    </cfRule>
    <cfRule type="cellIs" dxfId="0" priority="2" operator="greaterThan">
      <formula>$S$5</formula>
    </cfRule>
  </conditionalFormatting>
  <dataValidations count="2">
    <dataValidation type="list" errorStyle="information" allowBlank="1" showInputMessage="1" showErrorMessage="1" error="&quot;you are about to edit the dropp menu be carefull &quot; !!" sqref="N4:N27" xr:uid="{8B214214-E634-4E5C-AC51-F034929628E9}">
      <formula1>"Unplanned Off Phone Activities(""""),Lack of break adherence,High AHT,Low AHT,High Abs (  %),Staff Over Demanded,Staff Under Demand,Staff Shortage,Unplanned Breaks,exceeding Breaks,High Traffic Chats,Low Traffic Chats"</formula1>
    </dataValidation>
    <dataValidation type="list" errorStyle="information" allowBlank="1" showInputMessage="1" showErrorMessage="1" error="You Are about to change the Drop menu !!" sqref="N1:N3 N28:N1048576" xr:uid="{B3327E9E-9770-466F-BFA8-9845288BE992}">
      <formula1>"Off Phone Activities Without alignment( ),High AHT,High Talk time,Unplaned Breaks,Staff Shortage,High Abs ( %),High Call Traffic,Low AHT,Low Traffic Calls,Staff Over Demanded,Staff Under Demand"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74A8A-A956-4082-B021-D361CEBCBD90}">
  <sheetPr codeName="Sheet14">
    <tabColor rgb="FF002060"/>
  </sheetPr>
  <dimension ref="A2:F28"/>
  <sheetViews>
    <sheetView workbookViewId="0">
      <selection activeCell="A3" sqref="A3:F26"/>
    </sheetView>
  </sheetViews>
  <sheetFormatPr defaultRowHeight="14.5" x14ac:dyDescent="0.35"/>
  <cols>
    <col min="1" max="1" width="14.453125" bestFit="1" customWidth="1"/>
    <col min="2" max="2" width="7" bestFit="1" customWidth="1"/>
    <col min="3" max="3" width="9.54296875" bestFit="1" customWidth="1"/>
  </cols>
  <sheetData>
    <row r="2" spans="1:6" x14ac:dyDescent="0.35">
      <c r="A2" t="s">
        <v>27</v>
      </c>
      <c r="B2" t="s">
        <v>61</v>
      </c>
      <c r="C2" t="s">
        <v>62</v>
      </c>
      <c r="D2" t="s">
        <v>30</v>
      </c>
      <c r="E2" t="s">
        <v>63</v>
      </c>
      <c r="F2" t="s">
        <v>64</v>
      </c>
    </row>
    <row r="28" spans="2:4" x14ac:dyDescent="0.35">
      <c r="B28" s="76">
        <f>SUM(B3:B26)</f>
        <v>0</v>
      </c>
      <c r="C28" s="76">
        <f>SUM(C3:C26)</f>
        <v>0</v>
      </c>
      <c r="D28" s="76">
        <f>SUM(D3:D26)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D7F2-DE41-49F4-B351-735C3035E7AB}">
  <sheetPr codeName="Sheet9">
    <tabColor rgb="FF00B0F0"/>
  </sheetPr>
  <dimension ref="A1:G13"/>
  <sheetViews>
    <sheetView tabSelected="1" workbookViewId="0">
      <selection activeCell="AJ26" sqref="AJ26:AL28"/>
    </sheetView>
  </sheetViews>
  <sheetFormatPr defaultRowHeight="14.5" x14ac:dyDescent="0.35"/>
  <cols>
    <col min="2" max="2" width="6.1796875" bestFit="1" customWidth="1"/>
    <col min="3" max="3" width="7.1796875" bestFit="1" customWidth="1"/>
    <col min="4" max="4" width="23.81640625" bestFit="1" customWidth="1"/>
    <col min="5" max="5" width="6.81640625" bestFit="1" customWidth="1"/>
    <col min="6" max="6" width="9" bestFit="1" customWidth="1"/>
    <col min="7" max="7" width="13.453125" customWidth="1"/>
  </cols>
  <sheetData>
    <row r="1" spans="1:7" x14ac:dyDescent="0.35">
      <c r="A1" s="143" t="s">
        <v>41</v>
      </c>
      <c r="B1" s="143"/>
      <c r="C1" s="140" t="s">
        <v>42</v>
      </c>
      <c r="D1" s="140" t="s">
        <v>43</v>
      </c>
      <c r="E1" s="140" t="s">
        <v>51</v>
      </c>
      <c r="F1" s="140" t="s">
        <v>53</v>
      </c>
      <c r="G1" s="140" t="s">
        <v>60</v>
      </c>
    </row>
    <row r="2" spans="1:7" x14ac:dyDescent="0.35">
      <c r="A2" s="143"/>
      <c r="B2" s="143"/>
      <c r="C2" s="140"/>
      <c r="D2" s="140"/>
      <c r="E2" s="140"/>
      <c r="F2" s="140"/>
      <c r="G2" s="140"/>
    </row>
    <row r="3" spans="1:7" x14ac:dyDescent="0.35">
      <c r="A3" s="142" t="s">
        <v>28</v>
      </c>
      <c r="B3" s="142"/>
      <c r="C3" s="60">
        <f>Chat!C29</f>
        <v>0</v>
      </c>
      <c r="D3" s="60">
        <f>'Social media '!C29</f>
        <v>0</v>
      </c>
      <c r="E3" s="60">
        <f>Email!C29</f>
        <v>0</v>
      </c>
      <c r="F3" s="60">
        <f>Retention!C29</f>
        <v>0</v>
      </c>
      <c r="G3" s="60">
        <f>OB!C29</f>
        <v>0</v>
      </c>
    </row>
    <row r="4" spans="1:7" x14ac:dyDescent="0.35">
      <c r="A4" s="141" t="s">
        <v>44</v>
      </c>
      <c r="B4" s="67" t="s">
        <v>45</v>
      </c>
      <c r="C4" s="60">
        <f>Chat!F29</f>
        <v>0</v>
      </c>
      <c r="D4" s="60">
        <f>'Social media '!F29</f>
        <v>0</v>
      </c>
      <c r="E4" s="60">
        <f>'Email run'!C28</f>
        <v>0</v>
      </c>
      <c r="F4" s="60">
        <f>'Retention RUN'!C28</f>
        <v>0</v>
      </c>
      <c r="G4" s="60">
        <f>'OB RUN'!C28</f>
        <v>0</v>
      </c>
    </row>
    <row r="5" spans="1:7" x14ac:dyDescent="0.35">
      <c r="A5" s="141"/>
      <c r="B5" s="67" t="s">
        <v>46</v>
      </c>
      <c r="C5" s="61" t="e">
        <f>Chat!G29</f>
        <v>#DIV/0!</v>
      </c>
      <c r="D5" s="61" t="e">
        <f>'Social media '!G29</f>
        <v>#DIV/0!</v>
      </c>
      <c r="E5" s="61">
        <v>1</v>
      </c>
      <c r="F5" s="61">
        <v>1</v>
      </c>
      <c r="G5" s="61">
        <v>1</v>
      </c>
    </row>
    <row r="6" spans="1:7" x14ac:dyDescent="0.35">
      <c r="A6" s="141" t="s">
        <v>1</v>
      </c>
      <c r="B6" s="67" t="s">
        <v>48</v>
      </c>
      <c r="C6" s="62">
        <f>Chat!O29</f>
        <v>0</v>
      </c>
      <c r="D6" s="62">
        <f>'Social media '!O29</f>
        <v>0</v>
      </c>
      <c r="E6" s="56" t="s">
        <v>52</v>
      </c>
      <c r="F6" s="56" t="s">
        <v>52</v>
      </c>
      <c r="G6" s="56" t="s">
        <v>52</v>
      </c>
    </row>
    <row r="7" spans="1:7" x14ac:dyDescent="0.35">
      <c r="A7" s="141"/>
      <c r="B7" s="67" t="s">
        <v>49</v>
      </c>
      <c r="C7" s="62">
        <v>8.3333333333333332E-3</v>
      </c>
      <c r="D7" s="62">
        <v>8.3333333333333332E-3</v>
      </c>
      <c r="E7" s="56" t="s">
        <v>52</v>
      </c>
      <c r="F7" s="56" t="s">
        <v>52</v>
      </c>
      <c r="G7" s="56" t="s">
        <v>52</v>
      </c>
    </row>
    <row r="8" spans="1:7" x14ac:dyDescent="0.35">
      <c r="A8" s="141" t="s">
        <v>47</v>
      </c>
      <c r="B8" s="67" t="s">
        <v>48</v>
      </c>
      <c r="C8" s="64" t="e">
        <f>Chat!P29</f>
        <v>#DIV/0!</v>
      </c>
      <c r="D8" s="64" t="e">
        <f>'Social media '!P29</f>
        <v>#DIV/0!</v>
      </c>
      <c r="E8" s="64" t="e">
        <f>Email!L29</f>
        <v>#DIV/0!</v>
      </c>
      <c r="F8" s="64" t="e">
        <f>Retention!L29</f>
        <v>#DIV/0!</v>
      </c>
      <c r="G8" s="64" t="e">
        <f>OB!L29</f>
        <v>#DIV/0!</v>
      </c>
    </row>
    <row r="9" spans="1:7" x14ac:dyDescent="0.35">
      <c r="A9" s="141"/>
      <c r="B9" s="67" t="s">
        <v>49</v>
      </c>
      <c r="C9" s="61">
        <v>0.9</v>
      </c>
      <c r="D9" s="61">
        <v>0.9</v>
      </c>
      <c r="E9" s="61">
        <v>0.9</v>
      </c>
      <c r="F9" s="61">
        <v>0.9</v>
      </c>
      <c r="G9" s="61">
        <v>0.9</v>
      </c>
    </row>
    <row r="10" spans="1:7" x14ac:dyDescent="0.35">
      <c r="A10" s="142" t="s">
        <v>17</v>
      </c>
      <c r="B10" s="142"/>
      <c r="C10" s="61" t="e">
        <f>Chat!H29</f>
        <v>#DIV/0!</v>
      </c>
      <c r="D10" s="61" t="e">
        <f>'Social media '!H29</f>
        <v>#DIV/0!</v>
      </c>
      <c r="E10" s="61">
        <v>0</v>
      </c>
      <c r="F10" s="61">
        <v>0</v>
      </c>
      <c r="G10" s="61">
        <v>0</v>
      </c>
    </row>
    <row r="11" spans="1:7" x14ac:dyDescent="0.35">
      <c r="A11" s="141" t="s">
        <v>50</v>
      </c>
      <c r="B11" s="141"/>
      <c r="C11" s="137"/>
      <c r="D11" s="137"/>
      <c r="E11" s="137"/>
      <c r="F11" s="137"/>
      <c r="G11" s="137"/>
    </row>
    <row r="12" spans="1:7" x14ac:dyDescent="0.35">
      <c r="A12" s="141"/>
      <c r="B12" s="141"/>
      <c r="C12" s="138"/>
      <c r="D12" s="138"/>
      <c r="E12" s="138"/>
      <c r="F12" s="138"/>
      <c r="G12" s="138"/>
    </row>
    <row r="13" spans="1:7" x14ac:dyDescent="0.35">
      <c r="A13" s="141"/>
      <c r="B13" s="141"/>
      <c r="C13" s="97"/>
      <c r="D13" s="139"/>
      <c r="E13" s="139"/>
      <c r="F13" s="139"/>
      <c r="G13" s="139"/>
    </row>
  </sheetData>
  <mergeCells count="17">
    <mergeCell ref="C11:C12"/>
    <mergeCell ref="A11:B13"/>
    <mergeCell ref="A6:A7"/>
    <mergeCell ref="C1:C2"/>
    <mergeCell ref="E1:E2"/>
    <mergeCell ref="D1:D2"/>
    <mergeCell ref="A4:A5"/>
    <mergeCell ref="A3:B3"/>
    <mergeCell ref="A8:A9"/>
    <mergeCell ref="A10:B10"/>
    <mergeCell ref="A1:B2"/>
    <mergeCell ref="G1:G2"/>
    <mergeCell ref="D11:D13"/>
    <mergeCell ref="E11:E13"/>
    <mergeCell ref="F11:F13"/>
    <mergeCell ref="G11:G13"/>
    <mergeCell ref="F1:F2"/>
  </mergeCells>
  <dataValidations count="1">
    <dataValidation type="list" errorStyle="information" allowBlank="1" showInputMessage="1" showErrorMessage="1" error="&quot;you are about to edit the dropp menu be carefull &quot; !!" sqref="C11:G11" xr:uid="{0914F29C-EECF-40CC-AA7B-FA29DD35F3D4}">
      <formula1>"Unplanned Off Phone Activities(""""),Lack of break adherence,High AHT,Low AHT,High Abs (  %),Staff Over Demanded,Staff Under Demand,Staff Shortage,Unplanned Breaks,exceeding Breaks,High Traffic Chats,Low Traffic Chats"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</vt:lpstr>
      <vt:lpstr>Run Report</vt:lpstr>
      <vt:lpstr>HC</vt:lpstr>
      <vt:lpstr>Chat</vt:lpstr>
      <vt:lpstr>Chat Run</vt:lpstr>
      <vt:lpstr>Social media </vt:lpstr>
      <vt:lpstr>Social media Run</vt:lpstr>
      <vt:lpstr>Email</vt:lpstr>
      <vt:lpstr>Email run</vt:lpstr>
      <vt:lpstr>Retention</vt:lpstr>
      <vt:lpstr>Retention RUN</vt:lpstr>
      <vt:lpstr>OB</vt:lpstr>
      <vt:lpstr>OB RUN</vt:lpstr>
      <vt:lpstr>Final 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Breadfast</dc:creator>
  <cp:lastModifiedBy>Breadfast</cp:lastModifiedBy>
  <dcterms:created xsi:type="dcterms:W3CDTF">2015-06-05T18:17:20Z</dcterms:created>
  <dcterms:modified xsi:type="dcterms:W3CDTF">2022-10-06T15:54:42Z</dcterms:modified>
</cp:coreProperties>
</file>